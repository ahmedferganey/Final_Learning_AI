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Factory/"/>
    </mc:Choice>
  </mc:AlternateContent>
  <xr:revisionPtr revIDLastSave="67" documentId="11_27A648D125312A46B68821C33BA205A158027043" xr6:coauthVersionLast="47" xr6:coauthVersionMax="47" xr10:uidLastSave="{2453EB5E-6AF7-4728-AD70-4125F0266E9D}"/>
  <bookViews>
    <workbookView xWindow="-120" yWindow="-120" windowWidth="29040" windowHeight="15720" tabRatio="500" firstSheet="8" activeTab="11" xr2:uid="{00000000-000D-0000-FFFF-FFFF00000000}"/>
  </bookViews>
  <sheets>
    <sheet name="Dashboard_View" sheetId="1" state="hidden" r:id="rId1"/>
    <sheet name="Decision_Layer" sheetId="2" state="hidden" r:id="rId2"/>
    <sheet name="Data_Dictionary" sheetId="3" state="hidden" r:id="rId3"/>
    <sheet name="Fact_Production_Hourly" sheetId="4" r:id="rId4"/>
    <sheet name="Fact_Quality_Sampling" sheetId="5" r:id="rId5"/>
    <sheet name="Fact_Defect_Detail" sheetId="16" r:id="rId6"/>
    <sheet name="Fact_Defect_Split" sheetId="15" r:id="rId7"/>
    <sheet name="Fact_Inspection" sheetId="6" r:id="rId8"/>
    <sheet name="Dim_Date" sheetId="7" r:id="rId9"/>
    <sheet name="Dim_Shift" sheetId="11" r:id="rId10"/>
    <sheet name="Dim_Time" sheetId="8" r:id="rId11"/>
    <sheet name="Dim_Machine" sheetId="9" r:id="rId12"/>
    <sheet name="Dim_Customer" sheetId="14" r:id="rId13"/>
    <sheet name="Dim_Product" sheetId="10" r:id="rId14"/>
    <sheet name="Dim_Defect" sheetId="12" r:id="rId15"/>
    <sheet name="Dim_Inspector" sheetId="13" r:id="rId1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3" i="7" l="1"/>
  <c r="C43" i="7"/>
  <c r="D43" i="7"/>
  <c r="E43" i="7"/>
  <c r="F43" i="7"/>
  <c r="A44" i="7"/>
  <c r="C44" i="7"/>
  <c r="D44" i="7"/>
  <c r="E44" i="7"/>
  <c r="F44" i="7"/>
  <c r="A45" i="7"/>
  <c r="C45" i="7"/>
  <c r="D45" i="7"/>
  <c r="E45" i="7"/>
  <c r="F45" i="7"/>
  <c r="A46" i="7"/>
  <c r="C46" i="7"/>
  <c r="D46" i="7"/>
  <c r="E46" i="7"/>
  <c r="F46" i="7"/>
  <c r="A47" i="7"/>
  <c r="C47" i="7"/>
  <c r="D47" i="7"/>
  <c r="E47" i="7"/>
  <c r="F47" i="7"/>
  <c r="A48" i="7"/>
  <c r="C48" i="7"/>
  <c r="D48" i="7"/>
  <c r="E48" i="7"/>
  <c r="F48" i="7"/>
  <c r="A49" i="7"/>
  <c r="C49" i="7"/>
  <c r="D49" i="7"/>
  <c r="E49" i="7"/>
  <c r="F49" i="7"/>
  <c r="A50" i="7"/>
  <c r="C50" i="7"/>
  <c r="D50" i="7"/>
  <c r="E50" i="7"/>
  <c r="F50" i="7"/>
  <c r="A51" i="7"/>
  <c r="C51" i="7"/>
  <c r="D51" i="7"/>
  <c r="E51" i="7"/>
  <c r="F51" i="7"/>
  <c r="A52" i="7"/>
  <c r="C52" i="7"/>
  <c r="D52" i="7"/>
  <c r="E52" i="7"/>
  <c r="F52" i="7"/>
  <c r="A53" i="7"/>
  <c r="C53" i="7"/>
  <c r="D53" i="7"/>
  <c r="E53" i="7"/>
  <c r="F53" i="7"/>
  <c r="A54" i="7"/>
  <c r="C54" i="7"/>
  <c r="D54" i="7"/>
  <c r="E54" i="7"/>
  <c r="F54" i="7"/>
  <c r="A55" i="7"/>
  <c r="C55" i="7"/>
  <c r="D55" i="7"/>
  <c r="E55" i="7"/>
  <c r="F55" i="7"/>
  <c r="A56" i="7"/>
  <c r="C56" i="7"/>
  <c r="D56" i="7"/>
  <c r="E56" i="7"/>
  <c r="F56" i="7"/>
  <c r="A57" i="7"/>
  <c r="C57" i="7"/>
  <c r="D57" i="7"/>
  <c r="E57" i="7"/>
  <c r="F57" i="7"/>
  <c r="A58" i="7"/>
  <c r="C58" i="7"/>
  <c r="D58" i="7"/>
  <c r="E58" i="7"/>
  <c r="F58" i="7"/>
  <c r="A59" i="7"/>
  <c r="C59" i="7"/>
  <c r="D59" i="7"/>
  <c r="E59" i="7"/>
  <c r="F59" i="7"/>
  <c r="A60" i="7"/>
  <c r="C60" i="7"/>
  <c r="D60" i="7"/>
  <c r="E60" i="7"/>
  <c r="F60" i="7"/>
  <c r="A61" i="7"/>
  <c r="C61" i="7"/>
  <c r="D61" i="7"/>
  <c r="E61" i="7"/>
  <c r="F61" i="7"/>
  <c r="A62" i="7"/>
  <c r="C62" i="7"/>
  <c r="D62" i="7"/>
  <c r="E62" i="7"/>
  <c r="F62" i="7"/>
  <c r="A63" i="7"/>
  <c r="C63" i="7"/>
  <c r="D63" i="7"/>
  <c r="E63" i="7"/>
  <c r="F63" i="7"/>
  <c r="A64" i="7"/>
  <c r="C64" i="7"/>
  <c r="D64" i="7"/>
  <c r="E64" i="7"/>
  <c r="F64" i="7"/>
  <c r="A65" i="7"/>
  <c r="C65" i="7"/>
  <c r="D65" i="7"/>
  <c r="E65" i="7"/>
  <c r="F65" i="7"/>
  <c r="A66" i="7"/>
  <c r="C66" i="7"/>
  <c r="D66" i="7"/>
  <c r="E66" i="7"/>
  <c r="F66" i="7"/>
  <c r="A67" i="7"/>
  <c r="C67" i="7"/>
  <c r="D67" i="7"/>
  <c r="E67" i="7"/>
  <c r="F67" i="7"/>
  <c r="A68" i="7"/>
  <c r="C68" i="7"/>
  <c r="D68" i="7"/>
  <c r="E68" i="7"/>
  <c r="F68" i="7"/>
  <c r="A69" i="7"/>
  <c r="C69" i="7"/>
  <c r="D69" i="7"/>
  <c r="E69" i="7"/>
  <c r="F69" i="7"/>
  <c r="A70" i="7"/>
  <c r="C70" i="7"/>
  <c r="D70" i="7"/>
  <c r="E70" i="7"/>
  <c r="F70" i="7"/>
  <c r="A71" i="7"/>
  <c r="C71" i="7"/>
  <c r="D71" i="7"/>
  <c r="E71" i="7"/>
  <c r="F71" i="7"/>
  <c r="A72" i="7"/>
  <c r="C72" i="7"/>
  <c r="D72" i="7"/>
  <c r="E72" i="7"/>
  <c r="F72" i="7"/>
  <c r="A73" i="7"/>
  <c r="C73" i="7"/>
  <c r="D73" i="7"/>
  <c r="E73" i="7"/>
  <c r="F73" i="7"/>
  <c r="A74" i="7"/>
  <c r="C74" i="7"/>
  <c r="D74" i="7"/>
  <c r="E74" i="7"/>
  <c r="F74" i="7"/>
  <c r="A75" i="7"/>
  <c r="C75" i="7"/>
  <c r="D75" i="7"/>
  <c r="E75" i="7"/>
  <c r="F75" i="7"/>
  <c r="A76" i="7"/>
  <c r="C76" i="7"/>
  <c r="D76" i="7"/>
  <c r="E76" i="7"/>
  <c r="F76" i="7"/>
  <c r="A77" i="7"/>
  <c r="C77" i="7"/>
  <c r="D77" i="7"/>
  <c r="E77" i="7"/>
  <c r="F77" i="7"/>
  <c r="A78" i="7"/>
  <c r="C78" i="7"/>
  <c r="D78" i="7"/>
  <c r="E78" i="7"/>
  <c r="F78" i="7"/>
  <c r="A79" i="7"/>
  <c r="C79" i="7"/>
  <c r="D79" i="7"/>
  <c r="E79" i="7"/>
  <c r="F79" i="7"/>
  <c r="A80" i="7"/>
  <c r="C80" i="7"/>
  <c r="D80" i="7"/>
  <c r="E80" i="7"/>
  <c r="F80" i="7"/>
  <c r="A81" i="7"/>
  <c r="C81" i="7"/>
  <c r="D81" i="7"/>
  <c r="E81" i="7"/>
  <c r="F81" i="7"/>
  <c r="A82" i="7"/>
  <c r="C82" i="7"/>
  <c r="D82" i="7"/>
  <c r="E82" i="7"/>
  <c r="F82" i="7"/>
  <c r="A83" i="7"/>
  <c r="C83" i="7"/>
  <c r="D83" i="7"/>
  <c r="E83" i="7"/>
  <c r="F83" i="7"/>
  <c r="A84" i="7"/>
  <c r="C84" i="7"/>
  <c r="D84" i="7"/>
  <c r="E84" i="7"/>
  <c r="F84" i="7"/>
  <c r="A85" i="7"/>
  <c r="C85" i="7"/>
  <c r="D85" i="7"/>
  <c r="E85" i="7"/>
  <c r="F85" i="7"/>
  <c r="A86" i="7"/>
  <c r="C86" i="7"/>
  <c r="D86" i="7"/>
  <c r="E86" i="7"/>
  <c r="F86" i="7"/>
  <c r="A87" i="7"/>
  <c r="C87" i="7"/>
  <c r="D87" i="7"/>
  <c r="E87" i="7"/>
  <c r="F87" i="7"/>
  <c r="A88" i="7"/>
  <c r="C88" i="7"/>
  <c r="D88" i="7"/>
  <c r="E88" i="7"/>
  <c r="F88" i="7"/>
  <c r="A89" i="7"/>
  <c r="C89" i="7"/>
  <c r="D89" i="7"/>
  <c r="E89" i="7"/>
  <c r="F89" i="7"/>
  <c r="A90" i="7"/>
  <c r="C90" i="7"/>
  <c r="D90" i="7"/>
  <c r="E90" i="7"/>
  <c r="F90" i="7"/>
  <c r="A91" i="7"/>
  <c r="C91" i="7"/>
  <c r="D91" i="7"/>
  <c r="E91" i="7"/>
  <c r="F91" i="7"/>
  <c r="A92" i="7"/>
  <c r="C92" i="7"/>
  <c r="D92" i="7"/>
  <c r="E92" i="7"/>
  <c r="F92" i="7"/>
  <c r="A93" i="7"/>
  <c r="C93" i="7"/>
  <c r="D93" i="7"/>
  <c r="E93" i="7"/>
  <c r="F93" i="7"/>
  <c r="A94" i="7"/>
  <c r="C94" i="7"/>
  <c r="D94" i="7"/>
  <c r="E94" i="7"/>
  <c r="F94" i="7"/>
  <c r="A95" i="7"/>
  <c r="C95" i="7"/>
  <c r="D95" i="7"/>
  <c r="E95" i="7"/>
  <c r="F95" i="7"/>
  <c r="A96" i="7"/>
  <c r="C96" i="7"/>
  <c r="D96" i="7"/>
  <c r="E96" i="7"/>
  <c r="F96" i="7"/>
  <c r="A97" i="7"/>
  <c r="C97" i="7"/>
  <c r="D97" i="7"/>
  <c r="E97" i="7"/>
  <c r="F97" i="7"/>
  <c r="A98" i="7"/>
  <c r="C98" i="7"/>
  <c r="D98" i="7"/>
  <c r="E98" i="7"/>
  <c r="F98" i="7"/>
  <c r="A99" i="7"/>
  <c r="C99" i="7"/>
  <c r="D99" i="7"/>
  <c r="E99" i="7"/>
  <c r="F99" i="7"/>
  <c r="A100" i="7"/>
  <c r="C100" i="7"/>
  <c r="D100" i="7"/>
  <c r="E100" i="7"/>
  <c r="F100" i="7"/>
  <c r="A101" i="7"/>
  <c r="C101" i="7"/>
  <c r="D101" i="7"/>
  <c r="E101" i="7"/>
  <c r="F101" i="7"/>
  <c r="A102" i="7"/>
  <c r="C102" i="7"/>
  <c r="D102" i="7"/>
  <c r="E102" i="7"/>
  <c r="F102" i="7"/>
  <c r="A103" i="7"/>
  <c r="C103" i="7"/>
  <c r="D103" i="7"/>
  <c r="E103" i="7"/>
  <c r="F103" i="7"/>
  <c r="A104" i="7"/>
  <c r="C104" i="7"/>
  <c r="D104" i="7"/>
  <c r="E104" i="7"/>
  <c r="F104" i="7"/>
  <c r="A105" i="7"/>
  <c r="C105" i="7"/>
  <c r="D105" i="7"/>
  <c r="E105" i="7"/>
  <c r="F105" i="7"/>
  <c r="A106" i="7"/>
  <c r="C106" i="7"/>
  <c r="D106" i="7"/>
  <c r="E106" i="7"/>
  <c r="F106" i="7"/>
  <c r="A107" i="7"/>
  <c r="C107" i="7"/>
  <c r="D107" i="7"/>
  <c r="E107" i="7"/>
  <c r="F107" i="7"/>
  <c r="A108" i="7"/>
  <c r="C108" i="7"/>
  <c r="D108" i="7"/>
  <c r="E108" i="7"/>
  <c r="F108" i="7"/>
  <c r="A109" i="7"/>
  <c r="C109" i="7"/>
  <c r="D109" i="7"/>
  <c r="E109" i="7"/>
  <c r="F109" i="7"/>
  <c r="A110" i="7"/>
  <c r="C110" i="7"/>
  <c r="D110" i="7"/>
  <c r="E110" i="7"/>
  <c r="F110" i="7"/>
  <c r="A111" i="7"/>
  <c r="C111" i="7"/>
  <c r="D111" i="7"/>
  <c r="E111" i="7"/>
  <c r="F111" i="7"/>
  <c r="A112" i="7"/>
  <c r="C112" i="7"/>
  <c r="D112" i="7"/>
  <c r="E112" i="7"/>
  <c r="F112" i="7"/>
  <c r="A113" i="7"/>
  <c r="C113" i="7"/>
  <c r="D113" i="7"/>
  <c r="E113" i="7"/>
  <c r="F113" i="7"/>
  <c r="A114" i="7"/>
  <c r="C114" i="7"/>
  <c r="D114" i="7"/>
  <c r="E114" i="7"/>
  <c r="F114" i="7"/>
  <c r="A115" i="7"/>
  <c r="C115" i="7"/>
  <c r="D115" i="7"/>
  <c r="E115" i="7"/>
  <c r="F115" i="7"/>
  <c r="A116" i="7"/>
  <c r="C116" i="7"/>
  <c r="D116" i="7"/>
  <c r="E116" i="7"/>
  <c r="F116" i="7"/>
  <c r="A117" i="7"/>
  <c r="C117" i="7"/>
  <c r="D117" i="7"/>
  <c r="E117" i="7"/>
  <c r="F117" i="7"/>
  <c r="A118" i="7"/>
  <c r="C118" i="7"/>
  <c r="D118" i="7"/>
  <c r="E118" i="7"/>
  <c r="F118" i="7"/>
  <c r="A119" i="7"/>
  <c r="C119" i="7"/>
  <c r="D119" i="7"/>
  <c r="E119" i="7"/>
  <c r="F119" i="7"/>
  <c r="A120" i="7"/>
  <c r="C120" i="7"/>
  <c r="D120" i="7"/>
  <c r="E120" i="7"/>
  <c r="F120" i="7"/>
  <c r="A121" i="7"/>
  <c r="C121" i="7"/>
  <c r="D121" i="7"/>
  <c r="E121" i="7"/>
  <c r="F121" i="7"/>
  <c r="A122" i="7"/>
  <c r="C122" i="7"/>
  <c r="D122" i="7"/>
  <c r="E122" i="7"/>
  <c r="F122" i="7"/>
  <c r="A123" i="7"/>
  <c r="C123" i="7"/>
  <c r="D123" i="7"/>
  <c r="E123" i="7"/>
  <c r="F123" i="7"/>
  <c r="A124" i="7"/>
  <c r="C124" i="7"/>
  <c r="D124" i="7"/>
  <c r="E124" i="7"/>
  <c r="F124" i="7"/>
  <c r="A125" i="7"/>
  <c r="C125" i="7"/>
  <c r="D125" i="7"/>
  <c r="E125" i="7"/>
  <c r="F125" i="7"/>
  <c r="A126" i="7"/>
  <c r="C126" i="7"/>
  <c r="D126" i="7"/>
  <c r="E126" i="7"/>
  <c r="F126" i="7"/>
  <c r="A127" i="7"/>
  <c r="C127" i="7"/>
  <c r="D127" i="7"/>
  <c r="E127" i="7"/>
  <c r="F127" i="7"/>
  <c r="A128" i="7"/>
  <c r="C128" i="7"/>
  <c r="D128" i="7"/>
  <c r="E128" i="7"/>
  <c r="F128" i="7"/>
  <c r="A129" i="7"/>
  <c r="C129" i="7"/>
  <c r="D129" i="7"/>
  <c r="E129" i="7"/>
  <c r="F129" i="7"/>
  <c r="A130" i="7"/>
  <c r="C130" i="7"/>
  <c r="D130" i="7"/>
  <c r="E130" i="7"/>
  <c r="F130" i="7"/>
  <c r="A131" i="7"/>
  <c r="C131" i="7"/>
  <c r="D131" i="7"/>
  <c r="E131" i="7"/>
  <c r="F131" i="7"/>
  <c r="A132" i="7"/>
  <c r="C132" i="7"/>
  <c r="D132" i="7"/>
  <c r="E132" i="7"/>
  <c r="F132" i="7"/>
  <c r="A133" i="7"/>
  <c r="C133" i="7"/>
  <c r="D133" i="7"/>
  <c r="E133" i="7"/>
  <c r="F133" i="7"/>
  <c r="A134" i="7"/>
  <c r="C134" i="7"/>
  <c r="D134" i="7"/>
  <c r="E134" i="7"/>
  <c r="F134" i="7"/>
  <c r="A135" i="7"/>
  <c r="C135" i="7"/>
  <c r="D135" i="7"/>
  <c r="E135" i="7"/>
  <c r="F135" i="7"/>
  <c r="A136" i="7"/>
  <c r="C136" i="7"/>
  <c r="D136" i="7"/>
  <c r="E136" i="7"/>
  <c r="F136" i="7"/>
  <c r="A137" i="7"/>
  <c r="C137" i="7"/>
  <c r="D137" i="7"/>
  <c r="E137" i="7"/>
  <c r="F137" i="7"/>
  <c r="A138" i="7"/>
  <c r="C138" i="7"/>
  <c r="D138" i="7"/>
  <c r="E138" i="7"/>
  <c r="F138" i="7"/>
  <c r="A139" i="7"/>
  <c r="C139" i="7"/>
  <c r="D139" i="7"/>
  <c r="E139" i="7"/>
  <c r="F139" i="7"/>
  <c r="A140" i="7"/>
  <c r="C140" i="7"/>
  <c r="D140" i="7"/>
  <c r="E140" i="7"/>
  <c r="F140" i="7"/>
  <c r="A141" i="7"/>
  <c r="C141" i="7"/>
  <c r="D141" i="7"/>
  <c r="E141" i="7"/>
  <c r="F141" i="7"/>
  <c r="A142" i="7"/>
  <c r="C142" i="7"/>
  <c r="D142" i="7"/>
  <c r="E142" i="7"/>
  <c r="F142" i="7"/>
  <c r="A143" i="7"/>
  <c r="C143" i="7"/>
  <c r="D143" i="7"/>
  <c r="E143" i="7"/>
  <c r="F143" i="7"/>
  <c r="A144" i="7"/>
  <c r="C144" i="7"/>
  <c r="D144" i="7"/>
  <c r="E144" i="7"/>
  <c r="F144" i="7"/>
  <c r="A145" i="7"/>
  <c r="C145" i="7"/>
  <c r="D145" i="7"/>
  <c r="E145" i="7"/>
  <c r="F145" i="7"/>
  <c r="A146" i="7"/>
  <c r="C146" i="7"/>
  <c r="D146" i="7"/>
  <c r="E146" i="7"/>
  <c r="F146" i="7"/>
  <c r="A147" i="7"/>
  <c r="C147" i="7"/>
  <c r="D147" i="7"/>
  <c r="E147" i="7"/>
  <c r="F147" i="7"/>
  <c r="A148" i="7"/>
  <c r="C148" i="7"/>
  <c r="D148" i="7"/>
  <c r="E148" i="7"/>
  <c r="F148" i="7"/>
  <c r="A149" i="7"/>
  <c r="C149" i="7"/>
  <c r="D149" i="7"/>
  <c r="E149" i="7"/>
  <c r="F149" i="7"/>
  <c r="A150" i="7"/>
  <c r="C150" i="7"/>
  <c r="D150" i="7"/>
  <c r="E150" i="7"/>
  <c r="F150" i="7"/>
  <c r="A151" i="7"/>
  <c r="C151" i="7"/>
  <c r="D151" i="7"/>
  <c r="E151" i="7"/>
  <c r="F151" i="7"/>
  <c r="A152" i="7"/>
  <c r="C152" i="7"/>
  <c r="D152" i="7"/>
  <c r="E152" i="7"/>
  <c r="F152" i="7"/>
  <c r="A153" i="7"/>
  <c r="C153" i="7"/>
  <c r="D153" i="7"/>
  <c r="E153" i="7"/>
  <c r="F153" i="7"/>
  <c r="A154" i="7"/>
  <c r="C154" i="7"/>
  <c r="D154" i="7"/>
  <c r="E154" i="7"/>
  <c r="F154" i="7"/>
  <c r="A155" i="7"/>
  <c r="C155" i="7"/>
  <c r="D155" i="7"/>
  <c r="E155" i="7"/>
  <c r="F155" i="7"/>
  <c r="A156" i="7"/>
  <c r="C156" i="7"/>
  <c r="D156" i="7"/>
  <c r="E156" i="7"/>
  <c r="F156" i="7"/>
  <c r="A157" i="7"/>
  <c r="C157" i="7"/>
  <c r="D157" i="7"/>
  <c r="E157" i="7"/>
  <c r="F157" i="7"/>
  <c r="A158" i="7"/>
  <c r="C158" i="7"/>
  <c r="D158" i="7"/>
  <c r="E158" i="7"/>
  <c r="F158" i="7"/>
  <c r="A159" i="7"/>
  <c r="C159" i="7"/>
  <c r="D159" i="7"/>
  <c r="E159" i="7"/>
  <c r="F159" i="7"/>
  <c r="A160" i="7"/>
  <c r="C160" i="7"/>
  <c r="D160" i="7"/>
  <c r="E160" i="7"/>
  <c r="F160" i="7"/>
  <c r="A161" i="7"/>
  <c r="C161" i="7"/>
  <c r="D161" i="7"/>
  <c r="E161" i="7"/>
  <c r="F161" i="7"/>
  <c r="A162" i="7"/>
  <c r="C162" i="7"/>
  <c r="D162" i="7"/>
  <c r="E162" i="7"/>
  <c r="F162" i="7"/>
  <c r="A163" i="7"/>
  <c r="C163" i="7"/>
  <c r="D163" i="7"/>
  <c r="E163" i="7"/>
  <c r="F163" i="7"/>
  <c r="A164" i="7"/>
  <c r="C164" i="7"/>
  <c r="D164" i="7"/>
  <c r="E164" i="7"/>
  <c r="F164" i="7"/>
  <c r="A165" i="7"/>
  <c r="C165" i="7"/>
  <c r="D165" i="7"/>
  <c r="E165" i="7"/>
  <c r="F165" i="7"/>
  <c r="A166" i="7"/>
  <c r="C166" i="7"/>
  <c r="D166" i="7"/>
  <c r="E166" i="7"/>
  <c r="F166" i="7"/>
  <c r="A167" i="7"/>
  <c r="C167" i="7"/>
  <c r="D167" i="7"/>
  <c r="E167" i="7"/>
  <c r="F167" i="7"/>
  <c r="A168" i="7"/>
  <c r="C168" i="7"/>
  <c r="D168" i="7"/>
  <c r="E168" i="7"/>
  <c r="F168" i="7"/>
  <c r="A169" i="7"/>
  <c r="C169" i="7"/>
  <c r="D169" i="7"/>
  <c r="E169" i="7"/>
  <c r="F169" i="7"/>
  <c r="A170" i="7"/>
  <c r="C170" i="7"/>
  <c r="D170" i="7"/>
  <c r="E170" i="7"/>
  <c r="F170" i="7"/>
  <c r="A171" i="7"/>
  <c r="C171" i="7"/>
  <c r="D171" i="7"/>
  <c r="E171" i="7"/>
  <c r="F171" i="7"/>
  <c r="A172" i="7"/>
  <c r="C172" i="7"/>
  <c r="D172" i="7"/>
  <c r="E172" i="7"/>
  <c r="F172" i="7"/>
  <c r="A173" i="7"/>
  <c r="C173" i="7"/>
  <c r="D173" i="7"/>
  <c r="E173" i="7"/>
  <c r="F173" i="7"/>
  <c r="A174" i="7"/>
  <c r="C174" i="7"/>
  <c r="D174" i="7"/>
  <c r="E174" i="7"/>
  <c r="F174" i="7"/>
  <c r="A175" i="7"/>
  <c r="C175" i="7"/>
  <c r="D175" i="7"/>
  <c r="E175" i="7"/>
  <c r="F175" i="7"/>
  <c r="A176" i="7"/>
  <c r="C176" i="7"/>
  <c r="D176" i="7"/>
  <c r="E176" i="7"/>
  <c r="F176" i="7"/>
  <c r="A177" i="7"/>
  <c r="C177" i="7"/>
  <c r="D177" i="7"/>
  <c r="E177" i="7"/>
  <c r="F177" i="7"/>
  <c r="A178" i="7"/>
  <c r="C178" i="7"/>
  <c r="D178" i="7"/>
  <c r="E178" i="7"/>
  <c r="F178" i="7"/>
  <c r="A179" i="7"/>
  <c r="C179" i="7"/>
  <c r="D179" i="7"/>
  <c r="E179" i="7"/>
  <c r="F179" i="7"/>
  <c r="A180" i="7"/>
  <c r="C180" i="7"/>
  <c r="D180" i="7"/>
  <c r="E180" i="7"/>
  <c r="F180" i="7"/>
  <c r="A181" i="7"/>
  <c r="C181" i="7"/>
  <c r="D181" i="7"/>
  <c r="E181" i="7"/>
  <c r="F181" i="7"/>
  <c r="A182" i="7"/>
  <c r="C182" i="7"/>
  <c r="D182" i="7"/>
  <c r="E182" i="7"/>
  <c r="F182" i="7"/>
  <c r="A183" i="7"/>
  <c r="C183" i="7"/>
  <c r="D183" i="7"/>
  <c r="E183" i="7"/>
  <c r="F183" i="7"/>
  <c r="A184" i="7"/>
  <c r="C184" i="7"/>
  <c r="D184" i="7"/>
  <c r="E184" i="7"/>
  <c r="F184" i="7"/>
  <c r="A185" i="7"/>
  <c r="C185" i="7"/>
  <c r="D185" i="7"/>
  <c r="E185" i="7"/>
  <c r="F185" i="7"/>
  <c r="A186" i="7"/>
  <c r="C186" i="7"/>
  <c r="D186" i="7"/>
  <c r="E186" i="7"/>
  <c r="F186" i="7"/>
  <c r="A187" i="7"/>
  <c r="C187" i="7"/>
  <c r="D187" i="7"/>
  <c r="E187" i="7"/>
  <c r="F187" i="7"/>
  <c r="A188" i="7"/>
  <c r="C188" i="7"/>
  <c r="D188" i="7"/>
  <c r="E188" i="7"/>
  <c r="F188" i="7"/>
  <c r="A189" i="7"/>
  <c r="C189" i="7"/>
  <c r="D189" i="7"/>
  <c r="E189" i="7"/>
  <c r="F189" i="7"/>
  <c r="A190" i="7"/>
  <c r="C190" i="7"/>
  <c r="D190" i="7"/>
  <c r="E190" i="7"/>
  <c r="F190" i="7"/>
  <c r="A191" i="7"/>
  <c r="C191" i="7"/>
  <c r="D191" i="7"/>
  <c r="E191" i="7"/>
  <c r="F191" i="7"/>
  <c r="A192" i="7"/>
  <c r="C192" i="7"/>
  <c r="D192" i="7"/>
  <c r="E192" i="7"/>
  <c r="F192" i="7"/>
  <c r="A193" i="7"/>
  <c r="C193" i="7"/>
  <c r="D193" i="7"/>
  <c r="E193" i="7"/>
  <c r="F193" i="7"/>
  <c r="A194" i="7"/>
  <c r="C194" i="7"/>
  <c r="D194" i="7"/>
  <c r="E194" i="7"/>
  <c r="F194" i="7"/>
  <c r="A195" i="7"/>
  <c r="C195" i="7"/>
  <c r="D195" i="7"/>
  <c r="E195" i="7"/>
  <c r="F195" i="7"/>
  <c r="A196" i="7"/>
  <c r="C196" i="7"/>
  <c r="D196" i="7"/>
  <c r="E196" i="7"/>
  <c r="F196" i="7"/>
  <c r="A197" i="7"/>
  <c r="C197" i="7"/>
  <c r="D197" i="7"/>
  <c r="E197" i="7"/>
  <c r="F197" i="7"/>
  <c r="A198" i="7"/>
  <c r="C198" i="7"/>
  <c r="D198" i="7"/>
  <c r="E198" i="7"/>
  <c r="F198" i="7"/>
  <c r="A199" i="7"/>
  <c r="C199" i="7"/>
  <c r="D199" i="7"/>
  <c r="E199" i="7"/>
  <c r="F199" i="7"/>
  <c r="A200" i="7"/>
  <c r="C200" i="7"/>
  <c r="D200" i="7"/>
  <c r="E200" i="7"/>
  <c r="F200" i="7"/>
  <c r="A201" i="7"/>
  <c r="C201" i="7"/>
  <c r="D201" i="7"/>
  <c r="E201" i="7"/>
  <c r="F201" i="7"/>
  <c r="A202" i="7"/>
  <c r="C202" i="7"/>
  <c r="D202" i="7"/>
  <c r="E202" i="7"/>
  <c r="F202" i="7"/>
  <c r="A203" i="7"/>
  <c r="C203" i="7"/>
  <c r="D203" i="7"/>
  <c r="E203" i="7"/>
  <c r="F203" i="7"/>
  <c r="A204" i="7"/>
  <c r="C204" i="7"/>
  <c r="D204" i="7"/>
  <c r="E204" i="7"/>
  <c r="F204" i="7"/>
  <c r="A205" i="7"/>
  <c r="C205" i="7"/>
  <c r="D205" i="7"/>
  <c r="E205" i="7"/>
  <c r="F205" i="7"/>
  <c r="A206" i="7"/>
  <c r="C206" i="7"/>
  <c r="D206" i="7"/>
  <c r="E206" i="7"/>
  <c r="F206" i="7"/>
  <c r="A34" i="7"/>
  <c r="C34" i="7"/>
  <c r="D34" i="7"/>
  <c r="E34" i="7"/>
  <c r="F34" i="7"/>
  <c r="A35" i="7"/>
  <c r="C35" i="7"/>
  <c r="D35" i="7"/>
  <c r="E35" i="7"/>
  <c r="F35" i="7"/>
  <c r="A36" i="7"/>
  <c r="C36" i="7"/>
  <c r="D36" i="7"/>
  <c r="E36" i="7"/>
  <c r="F36" i="7"/>
  <c r="A37" i="7"/>
  <c r="C37" i="7"/>
  <c r="D37" i="7"/>
  <c r="E37" i="7"/>
  <c r="F37" i="7"/>
  <c r="A38" i="7"/>
  <c r="C38" i="7"/>
  <c r="D38" i="7"/>
  <c r="E38" i="7"/>
  <c r="F38" i="7"/>
  <c r="A39" i="7"/>
  <c r="C39" i="7"/>
  <c r="D39" i="7"/>
  <c r="E39" i="7"/>
  <c r="F39" i="7"/>
  <c r="A40" i="7"/>
  <c r="C40" i="7"/>
  <c r="D40" i="7"/>
  <c r="E40" i="7"/>
  <c r="F40" i="7"/>
  <c r="A41" i="7"/>
  <c r="C41" i="7"/>
  <c r="D41" i="7"/>
  <c r="E41" i="7"/>
  <c r="F41" i="7"/>
  <c r="A42" i="7"/>
  <c r="C42" i="7"/>
  <c r="D42" i="7"/>
  <c r="E42" i="7"/>
  <c r="F42" i="7"/>
  <c r="A33" i="7"/>
  <c r="C33" i="7"/>
  <c r="D33" i="7"/>
  <c r="E33" i="7"/>
  <c r="F33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2" i="7"/>
  <c r="D23" i="7"/>
  <c r="D24" i="7"/>
  <c r="D25" i="7"/>
  <c r="D26" i="7"/>
  <c r="D27" i="7"/>
  <c r="D28" i="7"/>
  <c r="D29" i="7"/>
  <c r="D30" i="7"/>
  <c r="D31" i="7"/>
  <c r="D32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F307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C247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B218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N4" i="10"/>
  <c r="M4" i="10"/>
  <c r="J4" i="10"/>
  <c r="I4" i="10"/>
  <c r="F4" i="10"/>
  <c r="E4" i="10"/>
  <c r="N3" i="10"/>
  <c r="M3" i="10"/>
  <c r="J3" i="10"/>
  <c r="I3" i="10"/>
  <c r="F3" i="10"/>
  <c r="E3" i="10"/>
  <c r="N2" i="10"/>
  <c r="M2" i="10"/>
  <c r="J2" i="10"/>
  <c r="I2" i="10"/>
  <c r="F2" i="10"/>
  <c r="E2" i="10"/>
  <c r="N7" i="6"/>
  <c r="O7" i="6" s="1"/>
  <c r="M7" i="6"/>
  <c r="L7" i="6"/>
  <c r="N6" i="6"/>
  <c r="O6" i="6" s="1"/>
  <c r="M6" i="6"/>
  <c r="L6" i="6"/>
  <c r="O5" i="6"/>
  <c r="N5" i="6"/>
  <c r="M5" i="6"/>
  <c r="L5" i="6"/>
  <c r="N4" i="6"/>
  <c r="O4" i="6" s="1"/>
  <c r="M4" i="6"/>
  <c r="L4" i="6"/>
  <c r="N3" i="6"/>
  <c r="O3" i="6" s="1"/>
  <c r="M3" i="6"/>
  <c r="L3" i="6"/>
  <c r="N2" i="6"/>
  <c r="O2" i="6" s="1"/>
  <c r="M2" i="6"/>
  <c r="L2" i="6"/>
  <c r="F337" i="5"/>
  <c r="E337" i="5"/>
  <c r="E337" i="15" s="1"/>
  <c r="D337" i="5"/>
  <c r="D337" i="15" s="1"/>
  <c r="C337" i="5"/>
  <c r="C337" i="15" s="1"/>
  <c r="B337" i="5"/>
  <c r="B337" i="15" s="1"/>
  <c r="S336" i="5"/>
  <c r="P336" i="5"/>
  <c r="M336" i="5"/>
  <c r="F336" i="5"/>
  <c r="F336" i="15" s="1"/>
  <c r="E336" i="5"/>
  <c r="E336" i="15" s="1"/>
  <c r="D336" i="5"/>
  <c r="D336" i="15" s="1"/>
  <c r="C336" i="5"/>
  <c r="C336" i="15" s="1"/>
  <c r="B336" i="5"/>
  <c r="B336" i="15" s="1"/>
  <c r="S335" i="5"/>
  <c r="P335" i="5"/>
  <c r="F335" i="5"/>
  <c r="M335" i="5" s="1"/>
  <c r="E335" i="5"/>
  <c r="E335" i="15" s="1"/>
  <c r="D335" i="5"/>
  <c r="D335" i="15" s="1"/>
  <c r="C335" i="5"/>
  <c r="C335" i="15" s="1"/>
  <c r="B335" i="5"/>
  <c r="B335" i="15" s="1"/>
  <c r="F334" i="5"/>
  <c r="E334" i="5"/>
  <c r="E334" i="15" s="1"/>
  <c r="D334" i="5"/>
  <c r="D334" i="15" s="1"/>
  <c r="C334" i="5"/>
  <c r="C334" i="15" s="1"/>
  <c r="B334" i="5"/>
  <c r="B334" i="15" s="1"/>
  <c r="S333" i="5"/>
  <c r="P333" i="5"/>
  <c r="M333" i="5"/>
  <c r="F333" i="5"/>
  <c r="F333" i="15" s="1"/>
  <c r="E333" i="5"/>
  <c r="E333" i="15" s="1"/>
  <c r="D333" i="5"/>
  <c r="D333" i="15" s="1"/>
  <c r="C333" i="5"/>
  <c r="C333" i="15" s="1"/>
  <c r="B333" i="5"/>
  <c r="B333" i="15" s="1"/>
  <c r="F332" i="5"/>
  <c r="E332" i="5"/>
  <c r="E332" i="15" s="1"/>
  <c r="D332" i="5"/>
  <c r="D332" i="15" s="1"/>
  <c r="C332" i="5"/>
  <c r="C332" i="15" s="1"/>
  <c r="B332" i="5"/>
  <c r="B332" i="15" s="1"/>
  <c r="S331" i="5"/>
  <c r="F331" i="5"/>
  <c r="E331" i="5"/>
  <c r="E331" i="15" s="1"/>
  <c r="D331" i="5"/>
  <c r="D331" i="15" s="1"/>
  <c r="C331" i="5"/>
  <c r="C331" i="15" s="1"/>
  <c r="B331" i="5"/>
  <c r="B331" i="15" s="1"/>
  <c r="S330" i="5"/>
  <c r="P330" i="5"/>
  <c r="M330" i="5"/>
  <c r="G330" i="5"/>
  <c r="F330" i="5"/>
  <c r="F330" i="15" s="1"/>
  <c r="E330" i="5"/>
  <c r="E330" i="15" s="1"/>
  <c r="D330" i="5"/>
  <c r="D330" i="15" s="1"/>
  <c r="C330" i="5"/>
  <c r="C330" i="15" s="1"/>
  <c r="B330" i="5"/>
  <c r="B330" i="15" s="1"/>
  <c r="F329" i="5"/>
  <c r="F329" i="15" s="1"/>
  <c r="E329" i="5"/>
  <c r="E329" i="15" s="1"/>
  <c r="D329" i="5"/>
  <c r="D329" i="15" s="1"/>
  <c r="C329" i="5"/>
  <c r="C329" i="15" s="1"/>
  <c r="B329" i="5"/>
  <c r="B329" i="15" s="1"/>
  <c r="S328" i="5"/>
  <c r="F328" i="5"/>
  <c r="E328" i="5"/>
  <c r="E328" i="15" s="1"/>
  <c r="D328" i="5"/>
  <c r="D328" i="15" s="1"/>
  <c r="C328" i="5"/>
  <c r="C328" i="15" s="1"/>
  <c r="B328" i="5"/>
  <c r="B328" i="15" s="1"/>
  <c r="G327" i="5"/>
  <c r="F327" i="5"/>
  <c r="F327" i="15" s="1"/>
  <c r="E327" i="5"/>
  <c r="E327" i="15" s="1"/>
  <c r="D327" i="5"/>
  <c r="D327" i="15" s="1"/>
  <c r="C327" i="5"/>
  <c r="C327" i="15" s="1"/>
  <c r="B327" i="5"/>
  <c r="B327" i="15" s="1"/>
  <c r="M326" i="5"/>
  <c r="N326" i="5" s="1"/>
  <c r="G326" i="5"/>
  <c r="H326" i="5" s="1"/>
  <c r="F326" i="5"/>
  <c r="F326" i="15" s="1"/>
  <c r="E326" i="5"/>
  <c r="E326" i="15" s="1"/>
  <c r="D326" i="5"/>
  <c r="D326" i="15" s="1"/>
  <c r="C326" i="5"/>
  <c r="C326" i="15" s="1"/>
  <c r="B326" i="5"/>
  <c r="B326" i="15" s="1"/>
  <c r="S325" i="5"/>
  <c r="M325" i="5"/>
  <c r="J325" i="5"/>
  <c r="I325" i="5"/>
  <c r="H325" i="5"/>
  <c r="V325" i="5" s="1"/>
  <c r="W325" i="5" s="1"/>
  <c r="G325" i="5"/>
  <c r="F325" i="5"/>
  <c r="E325" i="5"/>
  <c r="E325" i="15" s="1"/>
  <c r="D325" i="5"/>
  <c r="D325" i="15" s="1"/>
  <c r="C325" i="5"/>
  <c r="C325" i="15" s="1"/>
  <c r="B325" i="5"/>
  <c r="B325" i="15" s="1"/>
  <c r="P324" i="5"/>
  <c r="M324" i="5"/>
  <c r="G324" i="5"/>
  <c r="F324" i="5"/>
  <c r="E324" i="5"/>
  <c r="E324" i="15" s="1"/>
  <c r="D324" i="5"/>
  <c r="D324" i="15" s="1"/>
  <c r="C324" i="5"/>
  <c r="C324" i="15" s="1"/>
  <c r="B324" i="5"/>
  <c r="B324" i="15" s="1"/>
  <c r="S323" i="5"/>
  <c r="P323" i="5"/>
  <c r="M323" i="5"/>
  <c r="F323" i="5"/>
  <c r="F323" i="15" s="1"/>
  <c r="E323" i="5"/>
  <c r="E323" i="15" s="1"/>
  <c r="D323" i="5"/>
  <c r="C323" i="5"/>
  <c r="C323" i="15" s="1"/>
  <c r="B323" i="5"/>
  <c r="B323" i="15" s="1"/>
  <c r="S322" i="5"/>
  <c r="F322" i="5"/>
  <c r="E322" i="5"/>
  <c r="E322" i="15" s="1"/>
  <c r="D322" i="5"/>
  <c r="D322" i="15" s="1"/>
  <c r="C322" i="5"/>
  <c r="C322" i="15" s="1"/>
  <c r="B322" i="5"/>
  <c r="B322" i="15" s="1"/>
  <c r="F321" i="5"/>
  <c r="E321" i="5"/>
  <c r="E321" i="15" s="1"/>
  <c r="D321" i="5"/>
  <c r="D321" i="15" s="1"/>
  <c r="C321" i="5"/>
  <c r="C321" i="15" s="1"/>
  <c r="B321" i="5"/>
  <c r="B321" i="15" s="1"/>
  <c r="S320" i="5"/>
  <c r="P320" i="5"/>
  <c r="M320" i="5"/>
  <c r="F320" i="5"/>
  <c r="F320" i="15" s="1"/>
  <c r="E320" i="5"/>
  <c r="E320" i="15" s="1"/>
  <c r="D320" i="5"/>
  <c r="C320" i="5"/>
  <c r="C320" i="15" s="1"/>
  <c r="B320" i="5"/>
  <c r="B320" i="15" s="1"/>
  <c r="G319" i="5"/>
  <c r="F319" i="5"/>
  <c r="E319" i="5"/>
  <c r="E319" i="15" s="1"/>
  <c r="D319" i="5"/>
  <c r="D319" i="15" s="1"/>
  <c r="C319" i="5"/>
  <c r="C319" i="15" s="1"/>
  <c r="B319" i="5"/>
  <c r="B319" i="15" s="1"/>
  <c r="G318" i="5"/>
  <c r="F318" i="5"/>
  <c r="E318" i="5"/>
  <c r="E318" i="15" s="1"/>
  <c r="D318" i="5"/>
  <c r="D318" i="15" s="1"/>
  <c r="C318" i="5"/>
  <c r="C318" i="15" s="1"/>
  <c r="B318" i="5"/>
  <c r="B318" i="15" s="1"/>
  <c r="S317" i="5"/>
  <c r="P317" i="5"/>
  <c r="M317" i="5"/>
  <c r="F317" i="5"/>
  <c r="F317" i="15" s="1"/>
  <c r="E317" i="5"/>
  <c r="E317" i="15" s="1"/>
  <c r="D317" i="5"/>
  <c r="C317" i="5"/>
  <c r="C317" i="15" s="1"/>
  <c r="B317" i="5"/>
  <c r="B317" i="15" s="1"/>
  <c r="S316" i="5"/>
  <c r="T316" i="5" s="1"/>
  <c r="P316" i="5"/>
  <c r="Q316" i="5" s="1"/>
  <c r="G316" i="5"/>
  <c r="H316" i="5" s="1"/>
  <c r="F316" i="5"/>
  <c r="E316" i="5"/>
  <c r="E316" i="15" s="1"/>
  <c r="D316" i="5"/>
  <c r="D316" i="15" s="1"/>
  <c r="C316" i="5"/>
  <c r="C316" i="15" s="1"/>
  <c r="B316" i="5"/>
  <c r="B316" i="15" s="1"/>
  <c r="S315" i="5"/>
  <c r="M315" i="5"/>
  <c r="F315" i="5"/>
  <c r="E315" i="5"/>
  <c r="E315" i="15" s="1"/>
  <c r="D315" i="5"/>
  <c r="D315" i="15" s="1"/>
  <c r="C315" i="5"/>
  <c r="C315" i="15" s="1"/>
  <c r="B315" i="5"/>
  <c r="B315" i="15" s="1"/>
  <c r="S314" i="5"/>
  <c r="P314" i="5"/>
  <c r="M314" i="5"/>
  <c r="G314" i="5"/>
  <c r="F314" i="5"/>
  <c r="F314" i="15" s="1"/>
  <c r="E314" i="5"/>
  <c r="E314" i="15" s="1"/>
  <c r="D314" i="5"/>
  <c r="D314" i="15" s="1"/>
  <c r="C314" i="5"/>
  <c r="C314" i="15" s="1"/>
  <c r="B314" i="5"/>
  <c r="B314" i="15" s="1"/>
  <c r="F313" i="5"/>
  <c r="F313" i="15" s="1"/>
  <c r="E313" i="5"/>
  <c r="E313" i="15" s="1"/>
  <c r="D313" i="5"/>
  <c r="D313" i="15" s="1"/>
  <c r="C313" i="5"/>
  <c r="C313" i="15" s="1"/>
  <c r="B313" i="5"/>
  <c r="B313" i="15" s="1"/>
  <c r="S312" i="5"/>
  <c r="F312" i="5"/>
  <c r="E312" i="5"/>
  <c r="E312" i="15" s="1"/>
  <c r="D312" i="5"/>
  <c r="C312" i="5"/>
  <c r="C312" i="15" s="1"/>
  <c r="B312" i="5"/>
  <c r="B312" i="15" s="1"/>
  <c r="G311" i="5"/>
  <c r="F311" i="5"/>
  <c r="E311" i="5"/>
  <c r="E311" i="15" s="1"/>
  <c r="D311" i="5"/>
  <c r="D311" i="15" s="1"/>
  <c r="C311" i="5"/>
  <c r="C311" i="15" s="1"/>
  <c r="B311" i="5"/>
  <c r="B311" i="15" s="1"/>
  <c r="M310" i="5"/>
  <c r="G310" i="5"/>
  <c r="F310" i="5"/>
  <c r="F310" i="15" s="1"/>
  <c r="E310" i="5"/>
  <c r="E310" i="15" s="1"/>
  <c r="D310" i="5"/>
  <c r="D310" i="15" s="1"/>
  <c r="C310" i="5"/>
  <c r="C310" i="15" s="1"/>
  <c r="B310" i="5"/>
  <c r="B310" i="15" s="1"/>
  <c r="S309" i="5"/>
  <c r="M309" i="5"/>
  <c r="J309" i="5"/>
  <c r="H309" i="5"/>
  <c r="V309" i="5" s="1"/>
  <c r="W309" i="5" s="1"/>
  <c r="G309" i="5"/>
  <c r="F309" i="5"/>
  <c r="E309" i="5"/>
  <c r="E309" i="15" s="1"/>
  <c r="D309" i="5"/>
  <c r="D309" i="15" s="1"/>
  <c r="C309" i="5"/>
  <c r="C309" i="15" s="1"/>
  <c r="B309" i="5"/>
  <c r="B309" i="15" s="1"/>
  <c r="P308" i="5"/>
  <c r="M308" i="5"/>
  <c r="G308" i="5"/>
  <c r="F308" i="5"/>
  <c r="E308" i="5"/>
  <c r="E308" i="15" s="1"/>
  <c r="D308" i="5"/>
  <c r="D308" i="15" s="1"/>
  <c r="C308" i="5"/>
  <c r="C308" i="15" s="1"/>
  <c r="B308" i="5"/>
  <c r="B308" i="15" s="1"/>
  <c r="S307" i="5"/>
  <c r="P307" i="5"/>
  <c r="M307" i="5"/>
  <c r="F307" i="5"/>
  <c r="E307" i="5"/>
  <c r="E307" i="15" s="1"/>
  <c r="D307" i="5"/>
  <c r="C307" i="5"/>
  <c r="C307" i="15" s="1"/>
  <c r="B307" i="5"/>
  <c r="B307" i="15" s="1"/>
  <c r="S306" i="5"/>
  <c r="F306" i="5"/>
  <c r="E306" i="5"/>
  <c r="E306" i="15" s="1"/>
  <c r="D306" i="5"/>
  <c r="D306" i="15" s="1"/>
  <c r="C306" i="5"/>
  <c r="C306" i="15" s="1"/>
  <c r="B306" i="5"/>
  <c r="B306" i="15" s="1"/>
  <c r="F305" i="5"/>
  <c r="E305" i="5"/>
  <c r="E305" i="15" s="1"/>
  <c r="D305" i="5"/>
  <c r="D305" i="15" s="1"/>
  <c r="C305" i="5"/>
  <c r="C305" i="15" s="1"/>
  <c r="B305" i="5"/>
  <c r="B305" i="15" s="1"/>
  <c r="S304" i="5"/>
  <c r="P304" i="5"/>
  <c r="M304" i="5"/>
  <c r="F304" i="5"/>
  <c r="F304" i="15" s="1"/>
  <c r="E304" i="5"/>
  <c r="E304" i="15" s="1"/>
  <c r="D304" i="5"/>
  <c r="C304" i="5"/>
  <c r="C304" i="15" s="1"/>
  <c r="B304" i="5"/>
  <c r="B304" i="15" s="1"/>
  <c r="F303" i="5"/>
  <c r="E303" i="5"/>
  <c r="E303" i="15" s="1"/>
  <c r="D303" i="5"/>
  <c r="D303" i="15" s="1"/>
  <c r="C303" i="5"/>
  <c r="C303" i="15" s="1"/>
  <c r="B303" i="5"/>
  <c r="B303" i="15" s="1"/>
  <c r="G302" i="5"/>
  <c r="F302" i="5"/>
  <c r="E302" i="5"/>
  <c r="E302" i="15" s="1"/>
  <c r="D302" i="5"/>
  <c r="D302" i="15" s="1"/>
  <c r="C302" i="5"/>
  <c r="C302" i="15" s="1"/>
  <c r="B302" i="5"/>
  <c r="B302" i="15" s="1"/>
  <c r="S301" i="5"/>
  <c r="P301" i="5"/>
  <c r="M301" i="5"/>
  <c r="F301" i="5"/>
  <c r="F301" i="15" s="1"/>
  <c r="E301" i="5"/>
  <c r="E301" i="15" s="1"/>
  <c r="D301" i="5"/>
  <c r="C301" i="5"/>
  <c r="C301" i="15" s="1"/>
  <c r="B301" i="5"/>
  <c r="B301" i="15" s="1"/>
  <c r="S300" i="5"/>
  <c r="P300" i="5"/>
  <c r="G300" i="5"/>
  <c r="F300" i="5"/>
  <c r="E300" i="5"/>
  <c r="E300" i="15" s="1"/>
  <c r="D300" i="5"/>
  <c r="D300" i="15" s="1"/>
  <c r="C300" i="5"/>
  <c r="C300" i="15" s="1"/>
  <c r="B300" i="5"/>
  <c r="B300" i="15" s="1"/>
  <c r="S299" i="5"/>
  <c r="M299" i="5"/>
  <c r="F299" i="5"/>
  <c r="E299" i="5"/>
  <c r="E299" i="15" s="1"/>
  <c r="D299" i="5"/>
  <c r="D299" i="15" s="1"/>
  <c r="C299" i="5"/>
  <c r="C299" i="15" s="1"/>
  <c r="B299" i="5"/>
  <c r="B299" i="15" s="1"/>
  <c r="S298" i="5"/>
  <c r="P298" i="5"/>
  <c r="M298" i="5"/>
  <c r="G298" i="5"/>
  <c r="F298" i="5"/>
  <c r="F298" i="15" s="1"/>
  <c r="E298" i="5"/>
  <c r="E298" i="15" s="1"/>
  <c r="D298" i="5"/>
  <c r="D298" i="15" s="1"/>
  <c r="C298" i="5"/>
  <c r="C298" i="15" s="1"/>
  <c r="B298" i="5"/>
  <c r="B298" i="15" s="1"/>
  <c r="F297" i="5"/>
  <c r="F297" i="15" s="1"/>
  <c r="E297" i="5"/>
  <c r="E297" i="15" s="1"/>
  <c r="D297" i="5"/>
  <c r="C297" i="5"/>
  <c r="C297" i="15" s="1"/>
  <c r="B297" i="5"/>
  <c r="B297" i="15" s="1"/>
  <c r="G296" i="5"/>
  <c r="F296" i="5"/>
  <c r="E296" i="5"/>
  <c r="E296" i="15" s="1"/>
  <c r="D296" i="5"/>
  <c r="D296" i="15" s="1"/>
  <c r="C296" i="5"/>
  <c r="C296" i="15" s="1"/>
  <c r="B296" i="5"/>
  <c r="B296" i="15" s="1"/>
  <c r="S295" i="5"/>
  <c r="P295" i="5"/>
  <c r="M295" i="5"/>
  <c r="G295" i="5"/>
  <c r="F295" i="5"/>
  <c r="F295" i="15" s="1"/>
  <c r="E295" i="5"/>
  <c r="E295" i="15" s="1"/>
  <c r="D295" i="5"/>
  <c r="D295" i="15" s="1"/>
  <c r="C295" i="5"/>
  <c r="C295" i="15" s="1"/>
  <c r="B295" i="5"/>
  <c r="B295" i="15" s="1"/>
  <c r="S294" i="5"/>
  <c r="P294" i="5"/>
  <c r="M294" i="5"/>
  <c r="F294" i="5"/>
  <c r="F294" i="15" s="1"/>
  <c r="E294" i="5"/>
  <c r="E294" i="15" s="1"/>
  <c r="D294" i="5"/>
  <c r="D294" i="15" s="1"/>
  <c r="C294" i="5"/>
  <c r="C294" i="15" s="1"/>
  <c r="B294" i="5"/>
  <c r="B294" i="15" s="1"/>
  <c r="F293" i="5"/>
  <c r="F293" i="15" s="1"/>
  <c r="E293" i="5"/>
  <c r="E293" i="15" s="1"/>
  <c r="D293" i="5"/>
  <c r="C293" i="5"/>
  <c r="C293" i="15" s="1"/>
  <c r="B293" i="5"/>
  <c r="B293" i="15" s="1"/>
  <c r="M292" i="5"/>
  <c r="F292" i="5"/>
  <c r="F292" i="15" s="1"/>
  <c r="E292" i="5"/>
  <c r="E292" i="15" s="1"/>
  <c r="D292" i="5"/>
  <c r="D292" i="15" s="1"/>
  <c r="C292" i="5"/>
  <c r="C292" i="15" s="1"/>
  <c r="B292" i="5"/>
  <c r="B292" i="15" s="1"/>
  <c r="S291" i="5"/>
  <c r="P291" i="5"/>
  <c r="M291" i="5"/>
  <c r="F291" i="5"/>
  <c r="F291" i="15" s="1"/>
  <c r="E291" i="5"/>
  <c r="E291" i="15" s="1"/>
  <c r="D291" i="5"/>
  <c r="D291" i="15" s="1"/>
  <c r="C291" i="5"/>
  <c r="C291" i="15" s="1"/>
  <c r="B291" i="5"/>
  <c r="B291" i="15" s="1"/>
  <c r="S290" i="5"/>
  <c r="F290" i="5"/>
  <c r="F290" i="15" s="1"/>
  <c r="E290" i="5"/>
  <c r="E290" i="15" s="1"/>
  <c r="D290" i="5"/>
  <c r="C290" i="5"/>
  <c r="C290" i="15" s="1"/>
  <c r="B290" i="5"/>
  <c r="B290" i="15" s="1"/>
  <c r="H289" i="5"/>
  <c r="G289" i="5"/>
  <c r="F289" i="5"/>
  <c r="E289" i="5"/>
  <c r="E289" i="15" s="1"/>
  <c r="D289" i="5"/>
  <c r="D289" i="15" s="1"/>
  <c r="C289" i="5"/>
  <c r="C289" i="15" s="1"/>
  <c r="B289" i="5"/>
  <c r="B289" i="15" s="1"/>
  <c r="S288" i="5"/>
  <c r="P288" i="5"/>
  <c r="N288" i="5"/>
  <c r="O288" i="5" s="1"/>
  <c r="M288" i="5"/>
  <c r="H288" i="5"/>
  <c r="G288" i="5"/>
  <c r="F288" i="5"/>
  <c r="F288" i="15" s="1"/>
  <c r="E288" i="5"/>
  <c r="E288" i="15" s="1"/>
  <c r="D288" i="5"/>
  <c r="D288" i="15" s="1"/>
  <c r="C288" i="5"/>
  <c r="C288" i="15" s="1"/>
  <c r="B288" i="5"/>
  <c r="B288" i="15" s="1"/>
  <c r="S287" i="5"/>
  <c r="P287" i="5"/>
  <c r="F287" i="5"/>
  <c r="F287" i="15" s="1"/>
  <c r="E287" i="5"/>
  <c r="E287" i="15" s="1"/>
  <c r="D287" i="5"/>
  <c r="D287" i="15" s="1"/>
  <c r="C287" i="5"/>
  <c r="C287" i="15" s="1"/>
  <c r="B287" i="5"/>
  <c r="B287" i="15" s="1"/>
  <c r="G286" i="5"/>
  <c r="F286" i="5"/>
  <c r="E286" i="5"/>
  <c r="E286" i="15" s="1"/>
  <c r="D286" i="5"/>
  <c r="D286" i="15" s="1"/>
  <c r="C286" i="5"/>
  <c r="C286" i="15" s="1"/>
  <c r="B286" i="5"/>
  <c r="B286" i="15" s="1"/>
  <c r="S285" i="5"/>
  <c r="P285" i="5"/>
  <c r="M285" i="5"/>
  <c r="G285" i="5"/>
  <c r="F285" i="5"/>
  <c r="F285" i="15" s="1"/>
  <c r="E285" i="5"/>
  <c r="E285" i="15" s="1"/>
  <c r="D285" i="5"/>
  <c r="D285" i="15" s="1"/>
  <c r="C285" i="5"/>
  <c r="C285" i="15" s="1"/>
  <c r="B285" i="5"/>
  <c r="B285" i="15" s="1"/>
  <c r="S284" i="5"/>
  <c r="P284" i="5"/>
  <c r="M284" i="5"/>
  <c r="F284" i="5"/>
  <c r="F284" i="15" s="1"/>
  <c r="E284" i="5"/>
  <c r="E284" i="15" s="1"/>
  <c r="D284" i="5"/>
  <c r="D284" i="15" s="1"/>
  <c r="C284" i="5"/>
  <c r="C284" i="15" s="1"/>
  <c r="B284" i="5"/>
  <c r="B284" i="15" s="1"/>
  <c r="F283" i="5"/>
  <c r="E283" i="5"/>
  <c r="E283" i="15" s="1"/>
  <c r="D283" i="5"/>
  <c r="D283" i="15" s="1"/>
  <c r="C283" i="5"/>
  <c r="C283" i="15" s="1"/>
  <c r="B283" i="5"/>
  <c r="B283" i="15" s="1"/>
  <c r="W282" i="5"/>
  <c r="M282" i="5"/>
  <c r="N282" i="5" s="1"/>
  <c r="O282" i="5" s="1"/>
  <c r="J282" i="5"/>
  <c r="I282" i="5"/>
  <c r="H282" i="5"/>
  <c r="V282" i="5" s="1"/>
  <c r="G282" i="5"/>
  <c r="F282" i="5"/>
  <c r="E282" i="5"/>
  <c r="E282" i="15" s="1"/>
  <c r="D282" i="5"/>
  <c r="D282" i="15" s="1"/>
  <c r="C282" i="5"/>
  <c r="C282" i="15" s="1"/>
  <c r="B282" i="5"/>
  <c r="B282" i="15" s="1"/>
  <c r="S281" i="5"/>
  <c r="P281" i="5"/>
  <c r="F281" i="5"/>
  <c r="F281" i="15" s="1"/>
  <c r="E281" i="5"/>
  <c r="E281" i="15" s="1"/>
  <c r="D281" i="5"/>
  <c r="D281" i="15" s="1"/>
  <c r="C281" i="5"/>
  <c r="C281" i="15" s="1"/>
  <c r="B281" i="5"/>
  <c r="B281" i="15" s="1"/>
  <c r="F280" i="5"/>
  <c r="E280" i="5"/>
  <c r="E280" i="15" s="1"/>
  <c r="D280" i="5"/>
  <c r="D280" i="15" s="1"/>
  <c r="C280" i="5"/>
  <c r="C280" i="15" s="1"/>
  <c r="B280" i="5"/>
  <c r="B280" i="15" s="1"/>
  <c r="V279" i="5"/>
  <c r="W279" i="5" s="1"/>
  <c r="P279" i="5"/>
  <c r="M279" i="5"/>
  <c r="N279" i="5" s="1"/>
  <c r="I279" i="5"/>
  <c r="H279" i="5"/>
  <c r="Q279" i="5" s="1"/>
  <c r="G279" i="5"/>
  <c r="F279" i="5"/>
  <c r="F279" i="15" s="1"/>
  <c r="E279" i="5"/>
  <c r="E279" i="15" s="1"/>
  <c r="D279" i="5"/>
  <c r="D279" i="15" s="1"/>
  <c r="C279" i="5"/>
  <c r="C279" i="15" s="1"/>
  <c r="B279" i="5"/>
  <c r="B279" i="15" s="1"/>
  <c r="S278" i="5"/>
  <c r="P278" i="5"/>
  <c r="M278" i="5"/>
  <c r="F278" i="5"/>
  <c r="F278" i="15" s="1"/>
  <c r="E278" i="5"/>
  <c r="E278" i="15" s="1"/>
  <c r="D278" i="5"/>
  <c r="D278" i="15" s="1"/>
  <c r="C278" i="5"/>
  <c r="C278" i="15" s="1"/>
  <c r="B278" i="5"/>
  <c r="B278" i="15" s="1"/>
  <c r="S277" i="5"/>
  <c r="P277" i="5"/>
  <c r="F277" i="5"/>
  <c r="E277" i="5"/>
  <c r="E277" i="15" s="1"/>
  <c r="D277" i="5"/>
  <c r="C277" i="5"/>
  <c r="C277" i="15" s="1"/>
  <c r="B277" i="5"/>
  <c r="B277" i="15" s="1"/>
  <c r="P276" i="5"/>
  <c r="F276" i="5"/>
  <c r="F276" i="15" s="1"/>
  <c r="E276" i="5"/>
  <c r="E276" i="15" s="1"/>
  <c r="D276" i="5"/>
  <c r="D276" i="15" s="1"/>
  <c r="C276" i="5"/>
  <c r="C276" i="15" s="1"/>
  <c r="B276" i="5"/>
  <c r="B276" i="15" s="1"/>
  <c r="S275" i="5"/>
  <c r="P275" i="5"/>
  <c r="M275" i="5"/>
  <c r="F275" i="5"/>
  <c r="F275" i="15" s="1"/>
  <c r="E275" i="5"/>
  <c r="E275" i="15" s="1"/>
  <c r="D275" i="5"/>
  <c r="D275" i="15" s="1"/>
  <c r="C275" i="5"/>
  <c r="C275" i="15" s="1"/>
  <c r="B275" i="5"/>
  <c r="B275" i="15" s="1"/>
  <c r="S274" i="5"/>
  <c r="F274" i="5"/>
  <c r="F274" i="15" s="1"/>
  <c r="E274" i="5"/>
  <c r="E274" i="15" s="1"/>
  <c r="D274" i="5"/>
  <c r="C274" i="5"/>
  <c r="C274" i="15" s="1"/>
  <c r="B274" i="5"/>
  <c r="B274" i="15" s="1"/>
  <c r="G273" i="5"/>
  <c r="F273" i="5"/>
  <c r="E273" i="5"/>
  <c r="E273" i="15" s="1"/>
  <c r="D273" i="5"/>
  <c r="D273" i="15" s="1"/>
  <c r="C273" i="5"/>
  <c r="C273" i="15" s="1"/>
  <c r="B273" i="5"/>
  <c r="B273" i="15" s="1"/>
  <c r="S272" i="5"/>
  <c r="P272" i="5"/>
  <c r="O272" i="5"/>
  <c r="N272" i="5"/>
  <c r="M272" i="5"/>
  <c r="H272" i="5"/>
  <c r="G272" i="5"/>
  <c r="F272" i="5"/>
  <c r="F272" i="15" s="1"/>
  <c r="E272" i="5"/>
  <c r="E272" i="15" s="1"/>
  <c r="D272" i="5"/>
  <c r="D272" i="15" s="1"/>
  <c r="C272" i="5"/>
  <c r="C272" i="15" s="1"/>
  <c r="B272" i="5"/>
  <c r="B272" i="15" s="1"/>
  <c r="S271" i="5"/>
  <c r="P271" i="5"/>
  <c r="F271" i="5"/>
  <c r="F271" i="15" s="1"/>
  <c r="E271" i="5"/>
  <c r="E271" i="15" s="1"/>
  <c r="D271" i="5"/>
  <c r="C271" i="5"/>
  <c r="C271" i="15" s="1"/>
  <c r="B271" i="5"/>
  <c r="B271" i="15" s="1"/>
  <c r="G270" i="5"/>
  <c r="F270" i="5"/>
  <c r="E270" i="5"/>
  <c r="E270" i="15" s="1"/>
  <c r="D270" i="5"/>
  <c r="D270" i="15" s="1"/>
  <c r="C270" i="5"/>
  <c r="C270" i="15" s="1"/>
  <c r="B270" i="5"/>
  <c r="B270" i="15" s="1"/>
  <c r="S269" i="5"/>
  <c r="P269" i="5"/>
  <c r="M269" i="5"/>
  <c r="G269" i="5"/>
  <c r="F269" i="5"/>
  <c r="F269" i="15" s="1"/>
  <c r="E269" i="5"/>
  <c r="E269" i="15" s="1"/>
  <c r="D269" i="5"/>
  <c r="D269" i="15" s="1"/>
  <c r="C269" i="5"/>
  <c r="C269" i="15" s="1"/>
  <c r="B269" i="5"/>
  <c r="B269" i="15" s="1"/>
  <c r="S268" i="5"/>
  <c r="P268" i="5"/>
  <c r="M268" i="5"/>
  <c r="G268" i="5"/>
  <c r="F268" i="5"/>
  <c r="F268" i="15" s="1"/>
  <c r="E268" i="5"/>
  <c r="E268" i="15" s="1"/>
  <c r="D268" i="5"/>
  <c r="D268" i="15" s="1"/>
  <c r="C268" i="5"/>
  <c r="C268" i="15" s="1"/>
  <c r="B268" i="5"/>
  <c r="B268" i="15" s="1"/>
  <c r="G267" i="5"/>
  <c r="F267" i="5"/>
  <c r="E267" i="5"/>
  <c r="E267" i="15" s="1"/>
  <c r="D267" i="5"/>
  <c r="D267" i="15" s="1"/>
  <c r="C267" i="5"/>
  <c r="C267" i="15" s="1"/>
  <c r="B267" i="5"/>
  <c r="B267" i="15" s="1"/>
  <c r="F266" i="5"/>
  <c r="E266" i="5"/>
  <c r="E266" i="15" s="1"/>
  <c r="D266" i="5"/>
  <c r="D266" i="15" s="1"/>
  <c r="C266" i="5"/>
  <c r="C266" i="15" s="1"/>
  <c r="B266" i="5"/>
  <c r="B266" i="15" s="1"/>
  <c r="S265" i="5"/>
  <c r="P265" i="5"/>
  <c r="F265" i="5"/>
  <c r="F265" i="15" s="1"/>
  <c r="E265" i="5"/>
  <c r="E265" i="15" s="1"/>
  <c r="D265" i="5"/>
  <c r="D265" i="15" s="1"/>
  <c r="C265" i="5"/>
  <c r="C265" i="15" s="1"/>
  <c r="B265" i="5"/>
  <c r="B265" i="15" s="1"/>
  <c r="G264" i="5"/>
  <c r="F264" i="5"/>
  <c r="E264" i="5"/>
  <c r="E264" i="15" s="1"/>
  <c r="D264" i="5"/>
  <c r="D264" i="15" s="1"/>
  <c r="C264" i="5"/>
  <c r="C264" i="15" s="1"/>
  <c r="B264" i="5"/>
  <c r="B264" i="15" s="1"/>
  <c r="V263" i="5"/>
  <c r="W263" i="5" s="1"/>
  <c r="S263" i="5"/>
  <c r="T263" i="5" s="1"/>
  <c r="P263" i="5"/>
  <c r="M263" i="5"/>
  <c r="N263" i="5" s="1"/>
  <c r="J263" i="5"/>
  <c r="I263" i="5"/>
  <c r="H263" i="5"/>
  <c r="Q263" i="5" s="1"/>
  <c r="G263" i="5"/>
  <c r="F263" i="5"/>
  <c r="F263" i="15" s="1"/>
  <c r="E263" i="5"/>
  <c r="E263" i="15" s="1"/>
  <c r="D263" i="5"/>
  <c r="D263" i="15" s="1"/>
  <c r="C263" i="5"/>
  <c r="C263" i="15" s="1"/>
  <c r="B263" i="5"/>
  <c r="B263" i="15" s="1"/>
  <c r="S262" i="5"/>
  <c r="P262" i="5"/>
  <c r="M262" i="5"/>
  <c r="F262" i="5"/>
  <c r="F262" i="15" s="1"/>
  <c r="E262" i="5"/>
  <c r="E262" i="15" s="1"/>
  <c r="D262" i="5"/>
  <c r="D262" i="15" s="1"/>
  <c r="C262" i="5"/>
  <c r="C262" i="15" s="1"/>
  <c r="B262" i="5"/>
  <c r="B262" i="15" s="1"/>
  <c r="F261" i="5"/>
  <c r="E261" i="5"/>
  <c r="E261" i="15" s="1"/>
  <c r="D261" i="5"/>
  <c r="C261" i="5"/>
  <c r="C261" i="15" s="1"/>
  <c r="B261" i="5"/>
  <c r="B261" i="15" s="1"/>
  <c r="P260" i="5"/>
  <c r="F260" i="5"/>
  <c r="F260" i="15" s="1"/>
  <c r="E260" i="5"/>
  <c r="E260" i="15" s="1"/>
  <c r="D260" i="5"/>
  <c r="D260" i="15" s="1"/>
  <c r="C260" i="5"/>
  <c r="C260" i="15" s="1"/>
  <c r="B260" i="5"/>
  <c r="B260" i="15" s="1"/>
  <c r="S259" i="5"/>
  <c r="P259" i="5"/>
  <c r="M259" i="5"/>
  <c r="F259" i="5"/>
  <c r="F259" i="15" s="1"/>
  <c r="E259" i="5"/>
  <c r="E259" i="15" s="1"/>
  <c r="D259" i="5"/>
  <c r="C259" i="5"/>
  <c r="C259" i="15" s="1"/>
  <c r="B259" i="5"/>
  <c r="B259" i="15" s="1"/>
  <c r="S258" i="5"/>
  <c r="F258" i="5"/>
  <c r="F258" i="15" s="1"/>
  <c r="E258" i="5"/>
  <c r="E258" i="15" s="1"/>
  <c r="D258" i="5"/>
  <c r="C258" i="5"/>
  <c r="C258" i="15" s="1"/>
  <c r="B258" i="5"/>
  <c r="B258" i="15" s="1"/>
  <c r="G257" i="5"/>
  <c r="F257" i="5"/>
  <c r="E257" i="5"/>
  <c r="E257" i="15" s="1"/>
  <c r="D257" i="5"/>
  <c r="D257" i="15" s="1"/>
  <c r="C257" i="5"/>
  <c r="C257" i="15" s="1"/>
  <c r="B257" i="5"/>
  <c r="B257" i="15" s="1"/>
  <c r="T256" i="5"/>
  <c r="S256" i="5"/>
  <c r="P256" i="5"/>
  <c r="M256" i="5"/>
  <c r="N256" i="5" s="1"/>
  <c r="O256" i="5" s="1"/>
  <c r="H256" i="5"/>
  <c r="G256" i="5"/>
  <c r="U256" i="5" s="1"/>
  <c r="F256" i="5"/>
  <c r="F256" i="15" s="1"/>
  <c r="E256" i="5"/>
  <c r="E256" i="15" s="1"/>
  <c r="D256" i="5"/>
  <c r="D256" i="15" s="1"/>
  <c r="C256" i="5"/>
  <c r="C256" i="15" s="1"/>
  <c r="B256" i="5"/>
  <c r="B256" i="15" s="1"/>
  <c r="S255" i="5"/>
  <c r="P255" i="5"/>
  <c r="F255" i="5"/>
  <c r="F255" i="15" s="1"/>
  <c r="E255" i="5"/>
  <c r="E255" i="15" s="1"/>
  <c r="D255" i="5"/>
  <c r="C255" i="5"/>
  <c r="C255" i="15" s="1"/>
  <c r="B255" i="5"/>
  <c r="B255" i="15" s="1"/>
  <c r="V254" i="5"/>
  <c r="W254" i="5" s="1"/>
  <c r="S254" i="5"/>
  <c r="T254" i="5" s="1"/>
  <c r="H254" i="5"/>
  <c r="G254" i="5"/>
  <c r="F254" i="5"/>
  <c r="E254" i="5"/>
  <c r="E254" i="15" s="1"/>
  <c r="D254" i="5"/>
  <c r="D254" i="15" s="1"/>
  <c r="C254" i="5"/>
  <c r="C254" i="15" s="1"/>
  <c r="B254" i="5"/>
  <c r="B254" i="15" s="1"/>
  <c r="S253" i="5"/>
  <c r="P253" i="5"/>
  <c r="M253" i="5"/>
  <c r="G253" i="5"/>
  <c r="F253" i="5"/>
  <c r="F253" i="15" s="1"/>
  <c r="E253" i="5"/>
  <c r="E253" i="15" s="1"/>
  <c r="D253" i="5"/>
  <c r="D253" i="15" s="1"/>
  <c r="C253" i="5"/>
  <c r="C253" i="15" s="1"/>
  <c r="B253" i="5"/>
  <c r="B253" i="15" s="1"/>
  <c r="S252" i="5"/>
  <c r="P252" i="5"/>
  <c r="M252" i="5"/>
  <c r="G252" i="5"/>
  <c r="F252" i="5"/>
  <c r="F252" i="15" s="1"/>
  <c r="E252" i="5"/>
  <c r="E252" i="15" s="1"/>
  <c r="D252" i="5"/>
  <c r="D252" i="15" s="1"/>
  <c r="C252" i="5"/>
  <c r="C252" i="15" s="1"/>
  <c r="B252" i="5"/>
  <c r="B252" i="15" s="1"/>
  <c r="G251" i="5"/>
  <c r="F251" i="5"/>
  <c r="E251" i="5"/>
  <c r="E251" i="15" s="1"/>
  <c r="D251" i="5"/>
  <c r="D251" i="15" s="1"/>
  <c r="C251" i="5"/>
  <c r="C251" i="15" s="1"/>
  <c r="B251" i="5"/>
  <c r="B251" i="15" s="1"/>
  <c r="F250" i="5"/>
  <c r="E250" i="5"/>
  <c r="E250" i="15" s="1"/>
  <c r="D250" i="5"/>
  <c r="D250" i="15" s="1"/>
  <c r="C250" i="5"/>
  <c r="C250" i="15" s="1"/>
  <c r="B250" i="5"/>
  <c r="B250" i="15" s="1"/>
  <c r="F249" i="5"/>
  <c r="E249" i="5"/>
  <c r="E249" i="15" s="1"/>
  <c r="D249" i="5"/>
  <c r="D249" i="15" s="1"/>
  <c r="C249" i="5"/>
  <c r="C249" i="15" s="1"/>
  <c r="B249" i="5"/>
  <c r="B249" i="15" s="1"/>
  <c r="F248" i="5"/>
  <c r="E248" i="5"/>
  <c r="E248" i="15" s="1"/>
  <c r="D248" i="5"/>
  <c r="D248" i="15" s="1"/>
  <c r="C248" i="5"/>
  <c r="C248" i="15" s="1"/>
  <c r="B248" i="5"/>
  <c r="B248" i="15" s="1"/>
  <c r="P247" i="5"/>
  <c r="M247" i="5"/>
  <c r="G247" i="5"/>
  <c r="F247" i="5"/>
  <c r="S247" i="5" s="1"/>
  <c r="E247" i="5"/>
  <c r="E247" i="15" s="1"/>
  <c r="D247" i="5"/>
  <c r="D247" i="15" s="1"/>
  <c r="C247" i="5"/>
  <c r="B247" i="5"/>
  <c r="B247" i="15" s="1"/>
  <c r="S246" i="5"/>
  <c r="P246" i="5"/>
  <c r="M246" i="5"/>
  <c r="F246" i="5"/>
  <c r="F246" i="15" s="1"/>
  <c r="E246" i="5"/>
  <c r="E246" i="15" s="1"/>
  <c r="D246" i="5"/>
  <c r="D246" i="15" s="1"/>
  <c r="C246" i="5"/>
  <c r="C246" i="15" s="1"/>
  <c r="B246" i="5"/>
  <c r="B246" i="15" s="1"/>
  <c r="S245" i="5"/>
  <c r="P245" i="5"/>
  <c r="F245" i="5"/>
  <c r="E245" i="5"/>
  <c r="E245" i="15" s="1"/>
  <c r="D245" i="5"/>
  <c r="D245" i="15" s="1"/>
  <c r="C245" i="5"/>
  <c r="C245" i="15" s="1"/>
  <c r="B245" i="5"/>
  <c r="B245" i="15" s="1"/>
  <c r="P244" i="5"/>
  <c r="M244" i="5"/>
  <c r="G244" i="5"/>
  <c r="F244" i="5"/>
  <c r="E244" i="5"/>
  <c r="E244" i="15" s="1"/>
  <c r="D244" i="5"/>
  <c r="D244" i="15" s="1"/>
  <c r="C244" i="5"/>
  <c r="C244" i="15" s="1"/>
  <c r="B244" i="5"/>
  <c r="B244" i="15" s="1"/>
  <c r="S243" i="5"/>
  <c r="P243" i="5"/>
  <c r="M243" i="5"/>
  <c r="F243" i="5"/>
  <c r="F243" i="15" s="1"/>
  <c r="E243" i="5"/>
  <c r="E243" i="15" s="1"/>
  <c r="D243" i="5"/>
  <c r="C243" i="5"/>
  <c r="C243" i="15" s="1"/>
  <c r="B243" i="5"/>
  <c r="B243" i="15" s="1"/>
  <c r="F242" i="5"/>
  <c r="E242" i="5"/>
  <c r="E242" i="15" s="1"/>
  <c r="D242" i="5"/>
  <c r="C242" i="5"/>
  <c r="C242" i="15" s="1"/>
  <c r="B242" i="5"/>
  <c r="B242" i="15" s="1"/>
  <c r="G241" i="5"/>
  <c r="F241" i="5"/>
  <c r="E241" i="5"/>
  <c r="E241" i="15" s="1"/>
  <c r="D241" i="5"/>
  <c r="D241" i="15" s="1"/>
  <c r="C241" i="5"/>
  <c r="C241" i="15" s="1"/>
  <c r="B241" i="5"/>
  <c r="B241" i="15" s="1"/>
  <c r="S240" i="5"/>
  <c r="Q240" i="5"/>
  <c r="P240" i="5"/>
  <c r="M240" i="5"/>
  <c r="N240" i="5" s="1"/>
  <c r="O240" i="5" s="1"/>
  <c r="H240" i="5"/>
  <c r="G240" i="5"/>
  <c r="F240" i="5"/>
  <c r="F240" i="15" s="1"/>
  <c r="E240" i="5"/>
  <c r="E240" i="15" s="1"/>
  <c r="D240" i="5"/>
  <c r="D240" i="15" s="1"/>
  <c r="C240" i="5"/>
  <c r="C240" i="15" s="1"/>
  <c r="B240" i="5"/>
  <c r="B240" i="15" s="1"/>
  <c r="F239" i="5"/>
  <c r="F239" i="15" s="1"/>
  <c r="E239" i="5"/>
  <c r="E239" i="15" s="1"/>
  <c r="D239" i="5"/>
  <c r="C239" i="5"/>
  <c r="C239" i="15" s="1"/>
  <c r="B239" i="5"/>
  <c r="B239" i="15" s="1"/>
  <c r="F238" i="5"/>
  <c r="E238" i="5"/>
  <c r="E238" i="15" s="1"/>
  <c r="D238" i="5"/>
  <c r="C238" i="5"/>
  <c r="C238" i="15" s="1"/>
  <c r="B238" i="5"/>
  <c r="B238" i="15" s="1"/>
  <c r="G237" i="5"/>
  <c r="F237" i="5"/>
  <c r="F237" i="15" s="1"/>
  <c r="E237" i="5"/>
  <c r="E237" i="15" s="1"/>
  <c r="D237" i="5"/>
  <c r="D237" i="15" s="1"/>
  <c r="C237" i="5"/>
  <c r="C237" i="15" s="1"/>
  <c r="B237" i="5"/>
  <c r="B237" i="15" s="1"/>
  <c r="S236" i="5"/>
  <c r="P236" i="5"/>
  <c r="M236" i="5"/>
  <c r="F236" i="5"/>
  <c r="F236" i="15" s="1"/>
  <c r="E236" i="5"/>
  <c r="E236" i="15" s="1"/>
  <c r="D236" i="5"/>
  <c r="C236" i="5"/>
  <c r="C236" i="15" s="1"/>
  <c r="B236" i="5"/>
  <c r="B236" i="15" s="1"/>
  <c r="F235" i="5"/>
  <c r="E235" i="5"/>
  <c r="E235" i="15" s="1"/>
  <c r="D235" i="5"/>
  <c r="C235" i="5"/>
  <c r="C235" i="15" s="1"/>
  <c r="B235" i="5"/>
  <c r="B235" i="15" s="1"/>
  <c r="F234" i="5"/>
  <c r="E234" i="5"/>
  <c r="E234" i="15" s="1"/>
  <c r="D234" i="5"/>
  <c r="D234" i="15" s="1"/>
  <c r="C234" i="5"/>
  <c r="C234" i="15" s="1"/>
  <c r="B234" i="5"/>
  <c r="B234" i="15" s="1"/>
  <c r="F233" i="5"/>
  <c r="E233" i="5"/>
  <c r="E233" i="15" s="1"/>
  <c r="D233" i="5"/>
  <c r="C233" i="5"/>
  <c r="C233" i="15" s="1"/>
  <c r="B233" i="5"/>
  <c r="B233" i="15" s="1"/>
  <c r="F232" i="5"/>
  <c r="E232" i="5"/>
  <c r="E232" i="15" s="1"/>
  <c r="D232" i="5"/>
  <c r="C232" i="5"/>
  <c r="C232" i="15" s="1"/>
  <c r="B232" i="5"/>
  <c r="B232" i="15" s="1"/>
  <c r="S231" i="5"/>
  <c r="P231" i="5"/>
  <c r="M231" i="5"/>
  <c r="F231" i="5"/>
  <c r="F231" i="15" s="1"/>
  <c r="E231" i="5"/>
  <c r="E231" i="15" s="1"/>
  <c r="D231" i="5"/>
  <c r="D231" i="15" s="1"/>
  <c r="C231" i="5"/>
  <c r="C231" i="15" s="1"/>
  <c r="B231" i="5"/>
  <c r="B231" i="15" s="1"/>
  <c r="S230" i="5"/>
  <c r="P230" i="5"/>
  <c r="M230" i="5"/>
  <c r="F230" i="5"/>
  <c r="F230" i="15" s="1"/>
  <c r="E230" i="5"/>
  <c r="E230" i="15" s="1"/>
  <c r="D230" i="5"/>
  <c r="D230" i="15" s="1"/>
  <c r="C230" i="5"/>
  <c r="C230" i="15" s="1"/>
  <c r="B230" i="5"/>
  <c r="B230" i="15" s="1"/>
  <c r="F229" i="5"/>
  <c r="E229" i="5"/>
  <c r="E229" i="15" s="1"/>
  <c r="D229" i="5"/>
  <c r="D229" i="15" s="1"/>
  <c r="C229" i="5"/>
  <c r="C229" i="15" s="1"/>
  <c r="B229" i="5"/>
  <c r="B229" i="15" s="1"/>
  <c r="F228" i="5"/>
  <c r="E228" i="5"/>
  <c r="E228" i="15" s="1"/>
  <c r="D228" i="5"/>
  <c r="D228" i="15" s="1"/>
  <c r="C228" i="5"/>
  <c r="C228" i="15" s="1"/>
  <c r="B228" i="5"/>
  <c r="B228" i="15" s="1"/>
  <c r="S227" i="5"/>
  <c r="P227" i="5"/>
  <c r="M227" i="5"/>
  <c r="F227" i="5"/>
  <c r="F227" i="15" s="1"/>
  <c r="E227" i="5"/>
  <c r="E227" i="15" s="1"/>
  <c r="D227" i="5"/>
  <c r="C227" i="5"/>
  <c r="C227" i="15" s="1"/>
  <c r="B227" i="5"/>
  <c r="B227" i="15" s="1"/>
  <c r="F226" i="5"/>
  <c r="E226" i="5"/>
  <c r="E226" i="15" s="1"/>
  <c r="D226" i="5"/>
  <c r="D226" i="15" s="1"/>
  <c r="C226" i="5"/>
  <c r="C226" i="15" s="1"/>
  <c r="B226" i="5"/>
  <c r="B226" i="15" s="1"/>
  <c r="H225" i="5"/>
  <c r="V225" i="5" s="1"/>
  <c r="W225" i="5" s="1"/>
  <c r="G225" i="5"/>
  <c r="F225" i="5"/>
  <c r="E225" i="5"/>
  <c r="E225" i="15" s="1"/>
  <c r="D225" i="5"/>
  <c r="D225" i="15" s="1"/>
  <c r="C225" i="5"/>
  <c r="C225" i="15" s="1"/>
  <c r="B225" i="5"/>
  <c r="B225" i="15" s="1"/>
  <c r="S224" i="5"/>
  <c r="P224" i="5"/>
  <c r="M224" i="5"/>
  <c r="G224" i="5"/>
  <c r="F224" i="5"/>
  <c r="F224" i="15" s="1"/>
  <c r="E224" i="5"/>
  <c r="E224" i="15" s="1"/>
  <c r="D224" i="5"/>
  <c r="D224" i="15" s="1"/>
  <c r="C224" i="5"/>
  <c r="C224" i="15" s="1"/>
  <c r="B224" i="5"/>
  <c r="B224" i="15" s="1"/>
  <c r="F223" i="5"/>
  <c r="F223" i="15" s="1"/>
  <c r="E223" i="5"/>
  <c r="E223" i="15" s="1"/>
  <c r="D223" i="5"/>
  <c r="C223" i="5"/>
  <c r="C223" i="15" s="1"/>
  <c r="B223" i="5"/>
  <c r="B223" i="15" s="1"/>
  <c r="F222" i="5"/>
  <c r="E222" i="5"/>
  <c r="E222" i="15" s="1"/>
  <c r="D222" i="5"/>
  <c r="D222" i="15" s="1"/>
  <c r="C222" i="5"/>
  <c r="C222" i="15" s="1"/>
  <c r="B222" i="5"/>
  <c r="B222" i="15" s="1"/>
  <c r="G221" i="5"/>
  <c r="F221" i="5"/>
  <c r="F221" i="15" s="1"/>
  <c r="E221" i="5"/>
  <c r="E221" i="15" s="1"/>
  <c r="D221" i="5"/>
  <c r="D221" i="15" s="1"/>
  <c r="C221" i="5"/>
  <c r="C221" i="15" s="1"/>
  <c r="B221" i="5"/>
  <c r="B221" i="15" s="1"/>
  <c r="S220" i="5"/>
  <c r="P220" i="5"/>
  <c r="M220" i="5"/>
  <c r="G220" i="5"/>
  <c r="F220" i="5"/>
  <c r="F220" i="15" s="1"/>
  <c r="E220" i="5"/>
  <c r="E220" i="15" s="1"/>
  <c r="D220" i="5"/>
  <c r="D220" i="15" s="1"/>
  <c r="C220" i="5"/>
  <c r="C220" i="15" s="1"/>
  <c r="B220" i="5"/>
  <c r="B220" i="15" s="1"/>
  <c r="F219" i="5"/>
  <c r="E219" i="5"/>
  <c r="E219" i="15" s="1"/>
  <c r="D219" i="5"/>
  <c r="C219" i="5"/>
  <c r="C219" i="15" s="1"/>
  <c r="B219" i="5"/>
  <c r="B219" i="15" s="1"/>
  <c r="F218" i="5"/>
  <c r="E218" i="5"/>
  <c r="E218" i="15" s="1"/>
  <c r="D218" i="5"/>
  <c r="D218" i="15" s="1"/>
  <c r="C218" i="5"/>
  <c r="C218" i="15" s="1"/>
  <c r="B218" i="5"/>
  <c r="F217" i="5"/>
  <c r="E217" i="5"/>
  <c r="E217" i="15" s="1"/>
  <c r="D217" i="5"/>
  <c r="C217" i="5"/>
  <c r="C217" i="15" s="1"/>
  <c r="B217" i="5"/>
  <c r="B217" i="15" s="1"/>
  <c r="S216" i="5"/>
  <c r="P216" i="5"/>
  <c r="G216" i="5"/>
  <c r="F216" i="5"/>
  <c r="E216" i="5"/>
  <c r="E216" i="15" s="1"/>
  <c r="D216" i="5"/>
  <c r="D216" i="15" s="1"/>
  <c r="C216" i="5"/>
  <c r="C216" i="15" s="1"/>
  <c r="B216" i="5"/>
  <c r="B216" i="15" s="1"/>
  <c r="S215" i="5"/>
  <c r="P215" i="5"/>
  <c r="M215" i="5"/>
  <c r="F215" i="5"/>
  <c r="F215" i="15" s="1"/>
  <c r="E215" i="5"/>
  <c r="E215" i="15" s="1"/>
  <c r="D215" i="5"/>
  <c r="D215" i="15" s="1"/>
  <c r="C215" i="5"/>
  <c r="C215" i="15" s="1"/>
  <c r="B215" i="5"/>
  <c r="B215" i="15" s="1"/>
  <c r="S214" i="5"/>
  <c r="P214" i="5"/>
  <c r="M214" i="5"/>
  <c r="F214" i="5"/>
  <c r="F214" i="15" s="1"/>
  <c r="E214" i="5"/>
  <c r="E214" i="15" s="1"/>
  <c r="D214" i="5"/>
  <c r="C214" i="5"/>
  <c r="C214" i="15" s="1"/>
  <c r="B214" i="5"/>
  <c r="B214" i="15" s="1"/>
  <c r="S213" i="5"/>
  <c r="P213" i="5"/>
  <c r="F213" i="5"/>
  <c r="E213" i="5"/>
  <c r="E213" i="15" s="1"/>
  <c r="D213" i="5"/>
  <c r="D213" i="15" s="1"/>
  <c r="C213" i="5"/>
  <c r="C213" i="15" s="1"/>
  <c r="B213" i="5"/>
  <c r="B213" i="15" s="1"/>
  <c r="P212" i="5"/>
  <c r="M212" i="5"/>
  <c r="F212" i="5"/>
  <c r="E212" i="5"/>
  <c r="E212" i="15" s="1"/>
  <c r="D212" i="5"/>
  <c r="D212" i="15" s="1"/>
  <c r="C212" i="5"/>
  <c r="C212" i="15" s="1"/>
  <c r="B212" i="5"/>
  <c r="B212" i="15" s="1"/>
  <c r="S211" i="5"/>
  <c r="P211" i="5"/>
  <c r="M211" i="5"/>
  <c r="F211" i="5"/>
  <c r="F211" i="15" s="1"/>
  <c r="E211" i="5"/>
  <c r="E211" i="15" s="1"/>
  <c r="D211" i="5"/>
  <c r="C211" i="5"/>
  <c r="C211" i="15" s="1"/>
  <c r="B211" i="5"/>
  <c r="B211" i="15" s="1"/>
  <c r="S210" i="5"/>
  <c r="F210" i="5"/>
  <c r="E210" i="5"/>
  <c r="E210" i="15" s="1"/>
  <c r="D210" i="5"/>
  <c r="D210" i="15" s="1"/>
  <c r="C210" i="5"/>
  <c r="C210" i="15" s="1"/>
  <c r="B210" i="5"/>
  <c r="B210" i="15" s="1"/>
  <c r="S209" i="5"/>
  <c r="M209" i="5"/>
  <c r="G209" i="5"/>
  <c r="F209" i="5"/>
  <c r="E209" i="5"/>
  <c r="E209" i="15" s="1"/>
  <c r="D209" i="5"/>
  <c r="D209" i="15" s="1"/>
  <c r="C209" i="5"/>
  <c r="C209" i="15" s="1"/>
  <c r="B209" i="5"/>
  <c r="B209" i="15" s="1"/>
  <c r="S208" i="5"/>
  <c r="P208" i="5"/>
  <c r="M208" i="5"/>
  <c r="F208" i="5"/>
  <c r="F208" i="15" s="1"/>
  <c r="E208" i="5"/>
  <c r="E208" i="15" s="1"/>
  <c r="D208" i="5"/>
  <c r="D208" i="15" s="1"/>
  <c r="C208" i="5"/>
  <c r="C208" i="15" s="1"/>
  <c r="B208" i="5"/>
  <c r="B208" i="15" s="1"/>
  <c r="F207" i="5"/>
  <c r="F207" i="15" s="1"/>
  <c r="E207" i="5"/>
  <c r="E207" i="15" s="1"/>
  <c r="D207" i="5"/>
  <c r="D207" i="15" s="1"/>
  <c r="C207" i="5"/>
  <c r="C207" i="15" s="1"/>
  <c r="B207" i="5"/>
  <c r="B207" i="15" s="1"/>
  <c r="S206" i="5"/>
  <c r="P206" i="5"/>
  <c r="M206" i="5"/>
  <c r="F206" i="5"/>
  <c r="F206" i="15" s="1"/>
  <c r="E206" i="5"/>
  <c r="E206" i="15" s="1"/>
  <c r="D206" i="5"/>
  <c r="D206" i="15" s="1"/>
  <c r="C206" i="5"/>
  <c r="C206" i="15" s="1"/>
  <c r="B206" i="5"/>
  <c r="B206" i="15" s="1"/>
  <c r="S205" i="5"/>
  <c r="P205" i="5"/>
  <c r="F205" i="5"/>
  <c r="F205" i="15" s="1"/>
  <c r="E205" i="5"/>
  <c r="E205" i="15" s="1"/>
  <c r="D205" i="5"/>
  <c r="D205" i="15" s="1"/>
  <c r="C205" i="5"/>
  <c r="C205" i="15" s="1"/>
  <c r="B205" i="5"/>
  <c r="B205" i="15" s="1"/>
  <c r="S204" i="5"/>
  <c r="F204" i="5"/>
  <c r="F204" i="15" s="1"/>
  <c r="E204" i="5"/>
  <c r="E204" i="15" s="1"/>
  <c r="D204" i="5"/>
  <c r="D204" i="15" s="1"/>
  <c r="C204" i="5"/>
  <c r="C204" i="15" s="1"/>
  <c r="B204" i="5"/>
  <c r="B204" i="15" s="1"/>
  <c r="G203" i="5"/>
  <c r="F203" i="5"/>
  <c r="E203" i="5"/>
  <c r="E203" i="15" s="1"/>
  <c r="D203" i="5"/>
  <c r="D203" i="15" s="1"/>
  <c r="C203" i="5"/>
  <c r="C203" i="15" s="1"/>
  <c r="B203" i="5"/>
  <c r="B203" i="15" s="1"/>
  <c r="S202" i="5"/>
  <c r="P202" i="5"/>
  <c r="M202" i="5"/>
  <c r="F202" i="5"/>
  <c r="F202" i="15" s="1"/>
  <c r="E202" i="5"/>
  <c r="E202" i="15" s="1"/>
  <c r="D202" i="5"/>
  <c r="C202" i="5"/>
  <c r="C202" i="15" s="1"/>
  <c r="B202" i="5"/>
  <c r="B202" i="15" s="1"/>
  <c r="S201" i="5"/>
  <c r="P201" i="5"/>
  <c r="F201" i="5"/>
  <c r="E201" i="5"/>
  <c r="E201" i="15" s="1"/>
  <c r="D201" i="5"/>
  <c r="D201" i="15" s="1"/>
  <c r="C201" i="5"/>
  <c r="C201" i="15" s="1"/>
  <c r="B201" i="5"/>
  <c r="B201" i="15" s="1"/>
  <c r="S200" i="5"/>
  <c r="F200" i="5"/>
  <c r="F200" i="15" s="1"/>
  <c r="E200" i="5"/>
  <c r="E200" i="15" s="1"/>
  <c r="D200" i="5"/>
  <c r="D200" i="15" s="1"/>
  <c r="C200" i="5"/>
  <c r="C200" i="15" s="1"/>
  <c r="B200" i="5"/>
  <c r="B200" i="15" s="1"/>
  <c r="S199" i="5"/>
  <c r="P199" i="5"/>
  <c r="M199" i="5"/>
  <c r="F199" i="5"/>
  <c r="F199" i="15" s="1"/>
  <c r="E199" i="5"/>
  <c r="E199" i="15" s="1"/>
  <c r="D199" i="5"/>
  <c r="D199" i="15" s="1"/>
  <c r="C199" i="5"/>
  <c r="C199" i="15" s="1"/>
  <c r="B199" i="5"/>
  <c r="B199" i="15" s="1"/>
  <c r="S198" i="5"/>
  <c r="P198" i="5"/>
  <c r="M198" i="5"/>
  <c r="F198" i="5"/>
  <c r="F198" i="15" s="1"/>
  <c r="E198" i="5"/>
  <c r="E198" i="15" s="1"/>
  <c r="D198" i="5"/>
  <c r="D198" i="15" s="1"/>
  <c r="C198" i="5"/>
  <c r="C198" i="15" s="1"/>
  <c r="B198" i="5"/>
  <c r="B198" i="15" s="1"/>
  <c r="S197" i="5"/>
  <c r="P197" i="5"/>
  <c r="M197" i="5"/>
  <c r="F197" i="5"/>
  <c r="F197" i="15" s="1"/>
  <c r="E197" i="5"/>
  <c r="E197" i="15" s="1"/>
  <c r="D197" i="5"/>
  <c r="D197" i="15" s="1"/>
  <c r="C197" i="5"/>
  <c r="C197" i="15" s="1"/>
  <c r="B197" i="5"/>
  <c r="B197" i="15" s="1"/>
  <c r="S196" i="5"/>
  <c r="F196" i="5"/>
  <c r="F196" i="15" s="1"/>
  <c r="E196" i="5"/>
  <c r="E196" i="15" s="1"/>
  <c r="D196" i="5"/>
  <c r="D196" i="15" s="1"/>
  <c r="C196" i="5"/>
  <c r="C196" i="15" s="1"/>
  <c r="B196" i="5"/>
  <c r="B196" i="15" s="1"/>
  <c r="G195" i="5"/>
  <c r="F195" i="5"/>
  <c r="E195" i="5"/>
  <c r="E195" i="15" s="1"/>
  <c r="D195" i="5"/>
  <c r="D195" i="15" s="1"/>
  <c r="C195" i="5"/>
  <c r="C195" i="15" s="1"/>
  <c r="B195" i="5"/>
  <c r="B195" i="15" s="1"/>
  <c r="S194" i="5"/>
  <c r="T194" i="5" s="1"/>
  <c r="P194" i="5"/>
  <c r="M194" i="5"/>
  <c r="J194" i="5"/>
  <c r="G194" i="5"/>
  <c r="H194" i="5" s="1"/>
  <c r="F194" i="5"/>
  <c r="F194" i="15" s="1"/>
  <c r="E194" i="5"/>
  <c r="E194" i="15" s="1"/>
  <c r="D194" i="5"/>
  <c r="D194" i="15" s="1"/>
  <c r="C194" i="5"/>
  <c r="C194" i="15" s="1"/>
  <c r="B194" i="5"/>
  <c r="B194" i="15" s="1"/>
  <c r="S193" i="5"/>
  <c r="P193" i="5"/>
  <c r="M193" i="5"/>
  <c r="F193" i="5"/>
  <c r="F193" i="15" s="1"/>
  <c r="E193" i="5"/>
  <c r="E193" i="15" s="1"/>
  <c r="D193" i="5"/>
  <c r="C193" i="5"/>
  <c r="C193" i="15" s="1"/>
  <c r="B193" i="5"/>
  <c r="B193" i="15" s="1"/>
  <c r="F192" i="5"/>
  <c r="E192" i="5"/>
  <c r="E192" i="15" s="1"/>
  <c r="D192" i="5"/>
  <c r="C192" i="5"/>
  <c r="C192" i="15" s="1"/>
  <c r="B192" i="5"/>
  <c r="B192" i="15" s="1"/>
  <c r="M191" i="5"/>
  <c r="F191" i="5"/>
  <c r="F191" i="15" s="1"/>
  <c r="E191" i="5"/>
  <c r="E191" i="15" s="1"/>
  <c r="D191" i="5"/>
  <c r="D191" i="15" s="1"/>
  <c r="C191" i="5"/>
  <c r="C191" i="15" s="1"/>
  <c r="B191" i="5"/>
  <c r="B191" i="15" s="1"/>
  <c r="P190" i="5"/>
  <c r="F190" i="5"/>
  <c r="F190" i="15" s="1"/>
  <c r="E190" i="5"/>
  <c r="E190" i="15" s="1"/>
  <c r="D190" i="5"/>
  <c r="D190" i="15" s="1"/>
  <c r="C190" i="5"/>
  <c r="C190" i="15" s="1"/>
  <c r="B190" i="5"/>
  <c r="B190" i="15" s="1"/>
  <c r="F189" i="5"/>
  <c r="E189" i="5"/>
  <c r="E189" i="15" s="1"/>
  <c r="D189" i="5"/>
  <c r="C189" i="5"/>
  <c r="C189" i="15" s="1"/>
  <c r="B189" i="5"/>
  <c r="B189" i="15" s="1"/>
  <c r="S188" i="5"/>
  <c r="P188" i="5"/>
  <c r="M188" i="5"/>
  <c r="F188" i="5"/>
  <c r="F188" i="15" s="1"/>
  <c r="E188" i="5"/>
  <c r="E188" i="15" s="1"/>
  <c r="D188" i="5"/>
  <c r="D188" i="15" s="1"/>
  <c r="C188" i="5"/>
  <c r="C188" i="15" s="1"/>
  <c r="B188" i="5"/>
  <c r="B188" i="15" s="1"/>
  <c r="S187" i="5"/>
  <c r="P187" i="5"/>
  <c r="F187" i="5"/>
  <c r="F187" i="15" s="1"/>
  <c r="E187" i="5"/>
  <c r="E187" i="15" s="1"/>
  <c r="D187" i="5"/>
  <c r="D187" i="15" s="1"/>
  <c r="C187" i="5"/>
  <c r="C187" i="15" s="1"/>
  <c r="B187" i="5"/>
  <c r="B187" i="15" s="1"/>
  <c r="S186" i="5"/>
  <c r="P186" i="5"/>
  <c r="G186" i="5"/>
  <c r="F186" i="5"/>
  <c r="F186" i="15" s="1"/>
  <c r="E186" i="5"/>
  <c r="E186" i="15" s="1"/>
  <c r="D186" i="5"/>
  <c r="D186" i="15" s="1"/>
  <c r="C186" i="5"/>
  <c r="C186" i="15" s="1"/>
  <c r="B186" i="5"/>
  <c r="B186" i="15" s="1"/>
  <c r="S185" i="5"/>
  <c r="P185" i="5"/>
  <c r="M185" i="5"/>
  <c r="F185" i="5"/>
  <c r="F185" i="15" s="1"/>
  <c r="E185" i="5"/>
  <c r="E185" i="15" s="1"/>
  <c r="D185" i="5"/>
  <c r="D185" i="15" s="1"/>
  <c r="C185" i="5"/>
  <c r="C185" i="15" s="1"/>
  <c r="B185" i="5"/>
  <c r="B185" i="15" s="1"/>
  <c r="S184" i="5"/>
  <c r="P184" i="5"/>
  <c r="M184" i="5"/>
  <c r="F184" i="5"/>
  <c r="F184" i="15" s="1"/>
  <c r="E184" i="5"/>
  <c r="E184" i="15" s="1"/>
  <c r="D184" i="5"/>
  <c r="C184" i="5"/>
  <c r="C184" i="15" s="1"/>
  <c r="B184" i="5"/>
  <c r="B184" i="15" s="1"/>
  <c r="F183" i="5"/>
  <c r="E183" i="5"/>
  <c r="E183" i="15" s="1"/>
  <c r="D183" i="5"/>
  <c r="C183" i="5"/>
  <c r="C183" i="15" s="1"/>
  <c r="B183" i="5"/>
  <c r="B183" i="15" s="1"/>
  <c r="I182" i="5"/>
  <c r="H182" i="5"/>
  <c r="G182" i="5"/>
  <c r="F182" i="5"/>
  <c r="E182" i="5"/>
  <c r="E182" i="15" s="1"/>
  <c r="D182" i="5"/>
  <c r="D182" i="15" s="1"/>
  <c r="C182" i="5"/>
  <c r="C182" i="15" s="1"/>
  <c r="B182" i="5"/>
  <c r="B182" i="15" s="1"/>
  <c r="S181" i="5"/>
  <c r="P181" i="5"/>
  <c r="M181" i="5"/>
  <c r="N181" i="5" s="1"/>
  <c r="O181" i="5" s="1"/>
  <c r="H181" i="5"/>
  <c r="G181" i="5"/>
  <c r="F181" i="5"/>
  <c r="F181" i="15" s="1"/>
  <c r="E181" i="5"/>
  <c r="E181" i="15" s="1"/>
  <c r="D181" i="5"/>
  <c r="D181" i="15" s="1"/>
  <c r="C181" i="5"/>
  <c r="C181" i="15" s="1"/>
  <c r="B181" i="5"/>
  <c r="B181" i="15" s="1"/>
  <c r="S180" i="5"/>
  <c r="F180" i="5"/>
  <c r="F180" i="15" s="1"/>
  <c r="E180" i="5"/>
  <c r="E180" i="15" s="1"/>
  <c r="D180" i="5"/>
  <c r="D180" i="15" s="1"/>
  <c r="C180" i="5"/>
  <c r="C180" i="15" s="1"/>
  <c r="B180" i="5"/>
  <c r="B180" i="15" s="1"/>
  <c r="S179" i="5"/>
  <c r="G179" i="5"/>
  <c r="F179" i="5"/>
  <c r="E179" i="5"/>
  <c r="E179" i="15" s="1"/>
  <c r="D179" i="5"/>
  <c r="D179" i="15" s="1"/>
  <c r="C179" i="5"/>
  <c r="C179" i="15" s="1"/>
  <c r="B179" i="5"/>
  <c r="B179" i="15" s="1"/>
  <c r="S178" i="5"/>
  <c r="P178" i="5"/>
  <c r="M178" i="5"/>
  <c r="G178" i="5"/>
  <c r="F178" i="5"/>
  <c r="F178" i="15" s="1"/>
  <c r="E178" i="5"/>
  <c r="E178" i="15" s="1"/>
  <c r="D178" i="5"/>
  <c r="D178" i="15" s="1"/>
  <c r="C178" i="5"/>
  <c r="C178" i="15" s="1"/>
  <c r="B178" i="5"/>
  <c r="B178" i="15" s="1"/>
  <c r="S177" i="5"/>
  <c r="P177" i="5"/>
  <c r="M177" i="5"/>
  <c r="F177" i="5"/>
  <c r="F177" i="15" s="1"/>
  <c r="E177" i="5"/>
  <c r="E177" i="15" s="1"/>
  <c r="D177" i="5"/>
  <c r="D177" i="15" s="1"/>
  <c r="C177" i="5"/>
  <c r="C177" i="15" s="1"/>
  <c r="B177" i="5"/>
  <c r="B177" i="15" s="1"/>
  <c r="F176" i="5"/>
  <c r="E176" i="5"/>
  <c r="E176" i="15" s="1"/>
  <c r="D176" i="5"/>
  <c r="D176" i="15" s="1"/>
  <c r="C176" i="5"/>
  <c r="C176" i="15" s="1"/>
  <c r="B176" i="5"/>
  <c r="B176" i="15" s="1"/>
  <c r="M175" i="5"/>
  <c r="F175" i="5"/>
  <c r="E175" i="5"/>
  <c r="E175" i="15" s="1"/>
  <c r="D175" i="5"/>
  <c r="D175" i="15" s="1"/>
  <c r="C175" i="5"/>
  <c r="C175" i="15" s="1"/>
  <c r="B175" i="5"/>
  <c r="B175" i="15" s="1"/>
  <c r="F174" i="5"/>
  <c r="E174" i="5"/>
  <c r="E174" i="15" s="1"/>
  <c r="D174" i="5"/>
  <c r="D174" i="15" s="1"/>
  <c r="C174" i="5"/>
  <c r="C174" i="15" s="1"/>
  <c r="B174" i="5"/>
  <c r="B174" i="15" s="1"/>
  <c r="F173" i="5"/>
  <c r="E173" i="5"/>
  <c r="E173" i="15" s="1"/>
  <c r="D173" i="5"/>
  <c r="C173" i="5"/>
  <c r="C173" i="15" s="1"/>
  <c r="B173" i="5"/>
  <c r="B173" i="15" s="1"/>
  <c r="S172" i="5"/>
  <c r="P172" i="5"/>
  <c r="M172" i="5"/>
  <c r="F172" i="5"/>
  <c r="F172" i="15" s="1"/>
  <c r="E172" i="5"/>
  <c r="E172" i="15" s="1"/>
  <c r="D172" i="5"/>
  <c r="D172" i="15" s="1"/>
  <c r="C172" i="5"/>
  <c r="C172" i="15" s="1"/>
  <c r="B172" i="5"/>
  <c r="B172" i="15" s="1"/>
  <c r="S171" i="5"/>
  <c r="P171" i="5"/>
  <c r="F171" i="5"/>
  <c r="F171" i="15" s="1"/>
  <c r="E171" i="5"/>
  <c r="E171" i="15" s="1"/>
  <c r="D171" i="5"/>
  <c r="D171" i="15" s="1"/>
  <c r="C171" i="5"/>
  <c r="C171" i="15" s="1"/>
  <c r="B171" i="5"/>
  <c r="B171" i="15" s="1"/>
  <c r="S170" i="5"/>
  <c r="P170" i="5"/>
  <c r="F170" i="5"/>
  <c r="F170" i="15" s="1"/>
  <c r="E170" i="5"/>
  <c r="E170" i="15" s="1"/>
  <c r="D170" i="5"/>
  <c r="D170" i="15" s="1"/>
  <c r="C170" i="5"/>
  <c r="C170" i="15" s="1"/>
  <c r="B170" i="5"/>
  <c r="B170" i="15" s="1"/>
  <c r="S169" i="5"/>
  <c r="P169" i="5"/>
  <c r="Q169" i="5" s="1"/>
  <c r="M169" i="5"/>
  <c r="H169" i="5"/>
  <c r="G169" i="5"/>
  <c r="F169" i="5"/>
  <c r="F169" i="15" s="1"/>
  <c r="E169" i="5"/>
  <c r="E169" i="15" s="1"/>
  <c r="D169" i="5"/>
  <c r="D169" i="15" s="1"/>
  <c r="C169" i="5"/>
  <c r="C169" i="15" s="1"/>
  <c r="B169" i="5"/>
  <c r="B169" i="15" s="1"/>
  <c r="S168" i="5"/>
  <c r="P168" i="5"/>
  <c r="M168" i="5"/>
  <c r="F168" i="5"/>
  <c r="F168" i="15" s="1"/>
  <c r="E168" i="5"/>
  <c r="E168" i="15" s="1"/>
  <c r="D168" i="5"/>
  <c r="C168" i="5"/>
  <c r="C168" i="15" s="1"/>
  <c r="B168" i="5"/>
  <c r="B168" i="15" s="1"/>
  <c r="S167" i="5"/>
  <c r="F167" i="5"/>
  <c r="E167" i="5"/>
  <c r="E167" i="15" s="1"/>
  <c r="D167" i="5"/>
  <c r="C167" i="5"/>
  <c r="C167" i="15" s="1"/>
  <c r="B167" i="5"/>
  <c r="B167" i="15" s="1"/>
  <c r="W166" i="5"/>
  <c r="H166" i="5"/>
  <c r="V166" i="5" s="1"/>
  <c r="G166" i="5"/>
  <c r="F166" i="5"/>
  <c r="E166" i="5"/>
  <c r="E166" i="15" s="1"/>
  <c r="D166" i="5"/>
  <c r="D166" i="15" s="1"/>
  <c r="C166" i="5"/>
  <c r="C166" i="15" s="1"/>
  <c r="B166" i="5"/>
  <c r="B166" i="15" s="1"/>
  <c r="T165" i="5"/>
  <c r="S165" i="5"/>
  <c r="P165" i="5"/>
  <c r="Q165" i="5" s="1"/>
  <c r="R165" i="5" s="1"/>
  <c r="M165" i="5"/>
  <c r="N165" i="5" s="1"/>
  <c r="O165" i="5" s="1"/>
  <c r="H165" i="5"/>
  <c r="G165" i="5"/>
  <c r="F165" i="5"/>
  <c r="F165" i="15" s="1"/>
  <c r="E165" i="5"/>
  <c r="E165" i="15" s="1"/>
  <c r="D165" i="5"/>
  <c r="D165" i="15" s="1"/>
  <c r="C165" i="5"/>
  <c r="C165" i="15" s="1"/>
  <c r="B165" i="5"/>
  <c r="B165" i="15" s="1"/>
  <c r="S164" i="5"/>
  <c r="F164" i="5"/>
  <c r="F164" i="15" s="1"/>
  <c r="E164" i="5"/>
  <c r="E164" i="15" s="1"/>
  <c r="D164" i="5"/>
  <c r="C164" i="5"/>
  <c r="C164" i="15" s="1"/>
  <c r="B164" i="5"/>
  <c r="B164" i="15" s="1"/>
  <c r="G163" i="5"/>
  <c r="F163" i="5"/>
  <c r="E163" i="5"/>
  <c r="E163" i="15" s="1"/>
  <c r="D163" i="5"/>
  <c r="D163" i="15" s="1"/>
  <c r="C163" i="5"/>
  <c r="C163" i="15" s="1"/>
  <c r="B163" i="5"/>
  <c r="B163" i="15" s="1"/>
  <c r="S162" i="5"/>
  <c r="P162" i="5"/>
  <c r="M162" i="5"/>
  <c r="G162" i="5"/>
  <c r="F162" i="5"/>
  <c r="F162" i="15" s="1"/>
  <c r="E162" i="5"/>
  <c r="E162" i="15" s="1"/>
  <c r="D162" i="5"/>
  <c r="D162" i="15" s="1"/>
  <c r="C162" i="5"/>
  <c r="C162" i="15" s="1"/>
  <c r="B162" i="5"/>
  <c r="B162" i="15" s="1"/>
  <c r="S161" i="5"/>
  <c r="P161" i="5"/>
  <c r="M161" i="5"/>
  <c r="G161" i="5"/>
  <c r="F161" i="5"/>
  <c r="F161" i="15" s="1"/>
  <c r="E161" i="5"/>
  <c r="E161" i="15" s="1"/>
  <c r="D161" i="5"/>
  <c r="D161" i="15" s="1"/>
  <c r="C161" i="5"/>
  <c r="C161" i="15" s="1"/>
  <c r="B161" i="5"/>
  <c r="B161" i="15" s="1"/>
  <c r="F160" i="5"/>
  <c r="E160" i="5"/>
  <c r="E160" i="15" s="1"/>
  <c r="D160" i="5"/>
  <c r="C160" i="5"/>
  <c r="C160" i="15" s="1"/>
  <c r="B160" i="5"/>
  <c r="B160" i="15" s="1"/>
  <c r="M159" i="5"/>
  <c r="F159" i="5"/>
  <c r="E159" i="5"/>
  <c r="E159" i="15" s="1"/>
  <c r="D159" i="5"/>
  <c r="D159" i="15" s="1"/>
  <c r="C159" i="5"/>
  <c r="C159" i="15" s="1"/>
  <c r="B159" i="5"/>
  <c r="B159" i="15" s="1"/>
  <c r="F158" i="5"/>
  <c r="E158" i="5"/>
  <c r="E158" i="15" s="1"/>
  <c r="D158" i="5"/>
  <c r="C158" i="5"/>
  <c r="C158" i="15" s="1"/>
  <c r="B158" i="5"/>
  <c r="B158" i="15" s="1"/>
  <c r="F157" i="5"/>
  <c r="E157" i="5"/>
  <c r="E157" i="15" s="1"/>
  <c r="D157" i="5"/>
  <c r="C157" i="5"/>
  <c r="C157" i="15" s="1"/>
  <c r="B157" i="5"/>
  <c r="B157" i="15" s="1"/>
  <c r="S156" i="5"/>
  <c r="P156" i="5"/>
  <c r="M156" i="5"/>
  <c r="F156" i="5"/>
  <c r="F156" i="15" s="1"/>
  <c r="E156" i="5"/>
  <c r="E156" i="15" s="1"/>
  <c r="D156" i="5"/>
  <c r="D156" i="15" s="1"/>
  <c r="C156" i="5"/>
  <c r="C156" i="15" s="1"/>
  <c r="B156" i="5"/>
  <c r="B156" i="15" s="1"/>
  <c r="S155" i="5"/>
  <c r="P155" i="5"/>
  <c r="F155" i="5"/>
  <c r="F155" i="15" s="1"/>
  <c r="E155" i="5"/>
  <c r="E155" i="15" s="1"/>
  <c r="D155" i="5"/>
  <c r="D155" i="15" s="1"/>
  <c r="C155" i="5"/>
  <c r="C155" i="15" s="1"/>
  <c r="B155" i="5"/>
  <c r="B155" i="15" s="1"/>
  <c r="G154" i="5"/>
  <c r="F154" i="5"/>
  <c r="E154" i="5"/>
  <c r="E154" i="15" s="1"/>
  <c r="D154" i="5"/>
  <c r="D154" i="15" s="1"/>
  <c r="C154" i="5"/>
  <c r="C154" i="15" s="1"/>
  <c r="B154" i="5"/>
  <c r="B154" i="15" s="1"/>
  <c r="S153" i="5"/>
  <c r="P153" i="5"/>
  <c r="M153" i="5"/>
  <c r="F153" i="5"/>
  <c r="F153" i="15" s="1"/>
  <c r="E153" i="5"/>
  <c r="E153" i="15" s="1"/>
  <c r="D153" i="5"/>
  <c r="D153" i="15" s="1"/>
  <c r="C153" i="5"/>
  <c r="C153" i="15" s="1"/>
  <c r="B153" i="5"/>
  <c r="B153" i="15" s="1"/>
  <c r="S152" i="5"/>
  <c r="P152" i="5"/>
  <c r="M152" i="5"/>
  <c r="F152" i="5"/>
  <c r="F152" i="15" s="1"/>
  <c r="E152" i="5"/>
  <c r="E152" i="15" s="1"/>
  <c r="D152" i="5"/>
  <c r="C152" i="5"/>
  <c r="C152" i="15" s="1"/>
  <c r="B152" i="5"/>
  <c r="B152" i="15" s="1"/>
  <c r="S151" i="5"/>
  <c r="F151" i="5"/>
  <c r="E151" i="5"/>
  <c r="E151" i="15" s="1"/>
  <c r="D151" i="5"/>
  <c r="C151" i="5"/>
  <c r="C151" i="15" s="1"/>
  <c r="B151" i="5"/>
  <c r="B151" i="15" s="1"/>
  <c r="M150" i="5"/>
  <c r="G150" i="5"/>
  <c r="F150" i="5"/>
  <c r="E150" i="5"/>
  <c r="E150" i="15" s="1"/>
  <c r="D150" i="5"/>
  <c r="D150" i="15" s="1"/>
  <c r="C150" i="5"/>
  <c r="C150" i="15" s="1"/>
  <c r="B150" i="5"/>
  <c r="B150" i="15" s="1"/>
  <c r="T149" i="5"/>
  <c r="S149" i="5"/>
  <c r="R149" i="5"/>
  <c r="Q149" i="5"/>
  <c r="P149" i="5"/>
  <c r="M149" i="5"/>
  <c r="N149" i="5" s="1"/>
  <c r="O149" i="5" s="1"/>
  <c r="H149" i="5"/>
  <c r="G149" i="5"/>
  <c r="U149" i="5" s="1"/>
  <c r="F149" i="5"/>
  <c r="F149" i="15" s="1"/>
  <c r="E149" i="5"/>
  <c r="E149" i="15" s="1"/>
  <c r="D149" i="5"/>
  <c r="D149" i="15" s="1"/>
  <c r="C149" i="5"/>
  <c r="C149" i="15" s="1"/>
  <c r="B149" i="5"/>
  <c r="B149" i="15" s="1"/>
  <c r="S148" i="5"/>
  <c r="F148" i="5"/>
  <c r="E148" i="5"/>
  <c r="E148" i="15" s="1"/>
  <c r="D148" i="5"/>
  <c r="C148" i="5"/>
  <c r="C148" i="15" s="1"/>
  <c r="B148" i="5"/>
  <c r="B148" i="15" s="1"/>
  <c r="V147" i="5"/>
  <c r="W147" i="5" s="1"/>
  <c r="H147" i="5"/>
  <c r="G147" i="5"/>
  <c r="F147" i="5"/>
  <c r="E147" i="5"/>
  <c r="E147" i="15" s="1"/>
  <c r="D147" i="5"/>
  <c r="D147" i="15" s="1"/>
  <c r="C147" i="5"/>
  <c r="C147" i="15" s="1"/>
  <c r="B147" i="5"/>
  <c r="B147" i="15" s="1"/>
  <c r="S146" i="5"/>
  <c r="P146" i="5"/>
  <c r="M146" i="5"/>
  <c r="G146" i="5"/>
  <c r="F146" i="5"/>
  <c r="F146" i="15" s="1"/>
  <c r="E146" i="5"/>
  <c r="E146" i="15" s="1"/>
  <c r="D146" i="5"/>
  <c r="D146" i="15" s="1"/>
  <c r="C146" i="5"/>
  <c r="C146" i="15" s="1"/>
  <c r="B146" i="5"/>
  <c r="B146" i="15" s="1"/>
  <c r="S145" i="5"/>
  <c r="P145" i="5"/>
  <c r="M145" i="5"/>
  <c r="F145" i="5"/>
  <c r="F145" i="15" s="1"/>
  <c r="E145" i="5"/>
  <c r="E145" i="15" s="1"/>
  <c r="D145" i="5"/>
  <c r="D145" i="15" s="1"/>
  <c r="C145" i="5"/>
  <c r="C145" i="15" s="1"/>
  <c r="B145" i="5"/>
  <c r="B145" i="15" s="1"/>
  <c r="F144" i="5"/>
  <c r="E144" i="5"/>
  <c r="E144" i="15" s="1"/>
  <c r="D144" i="5"/>
  <c r="D144" i="15" s="1"/>
  <c r="C144" i="5"/>
  <c r="C144" i="15" s="1"/>
  <c r="B144" i="5"/>
  <c r="B144" i="15" s="1"/>
  <c r="P143" i="5"/>
  <c r="F143" i="5"/>
  <c r="E143" i="5"/>
  <c r="E143" i="15" s="1"/>
  <c r="D143" i="5"/>
  <c r="D143" i="15" s="1"/>
  <c r="C143" i="5"/>
  <c r="C143" i="15" s="1"/>
  <c r="B143" i="5"/>
  <c r="B143" i="15" s="1"/>
  <c r="S142" i="5"/>
  <c r="F142" i="5"/>
  <c r="E142" i="5"/>
  <c r="E142" i="15" s="1"/>
  <c r="D142" i="5"/>
  <c r="C142" i="5"/>
  <c r="C142" i="15" s="1"/>
  <c r="B142" i="5"/>
  <c r="B142" i="15" s="1"/>
  <c r="F141" i="5"/>
  <c r="E141" i="5"/>
  <c r="E141" i="15" s="1"/>
  <c r="D141" i="5"/>
  <c r="D141" i="15" s="1"/>
  <c r="C141" i="5"/>
  <c r="C141" i="15" s="1"/>
  <c r="B141" i="5"/>
  <c r="B141" i="15" s="1"/>
  <c r="S140" i="5"/>
  <c r="P140" i="5"/>
  <c r="M140" i="5"/>
  <c r="F140" i="5"/>
  <c r="F140" i="15" s="1"/>
  <c r="E140" i="5"/>
  <c r="E140" i="15" s="1"/>
  <c r="D140" i="5"/>
  <c r="D140" i="15" s="1"/>
  <c r="C140" i="5"/>
  <c r="C140" i="15" s="1"/>
  <c r="B140" i="5"/>
  <c r="B140" i="15" s="1"/>
  <c r="S139" i="5"/>
  <c r="P139" i="5"/>
  <c r="F139" i="5"/>
  <c r="F139" i="15" s="1"/>
  <c r="E139" i="5"/>
  <c r="E139" i="15" s="1"/>
  <c r="D139" i="5"/>
  <c r="D139" i="15" s="1"/>
  <c r="C139" i="5"/>
  <c r="C139" i="15" s="1"/>
  <c r="B139" i="5"/>
  <c r="B139" i="15" s="1"/>
  <c r="V138" i="5"/>
  <c r="W138" i="5" s="1"/>
  <c r="T138" i="5"/>
  <c r="S138" i="5"/>
  <c r="H138" i="5"/>
  <c r="G138" i="5"/>
  <c r="F138" i="5"/>
  <c r="E138" i="5"/>
  <c r="E138" i="15" s="1"/>
  <c r="D138" i="5"/>
  <c r="D138" i="15" s="1"/>
  <c r="C138" i="5"/>
  <c r="C138" i="15" s="1"/>
  <c r="B138" i="5"/>
  <c r="B138" i="15" s="1"/>
  <c r="S137" i="5"/>
  <c r="P137" i="5"/>
  <c r="M137" i="5"/>
  <c r="F137" i="5"/>
  <c r="F137" i="15" s="1"/>
  <c r="E137" i="5"/>
  <c r="E137" i="15" s="1"/>
  <c r="D137" i="5"/>
  <c r="C137" i="5"/>
  <c r="C137" i="15" s="1"/>
  <c r="B137" i="5"/>
  <c r="B137" i="15" s="1"/>
  <c r="S136" i="5"/>
  <c r="P136" i="5"/>
  <c r="M136" i="5"/>
  <c r="F136" i="5"/>
  <c r="F136" i="15" s="1"/>
  <c r="E136" i="5"/>
  <c r="E136" i="15" s="1"/>
  <c r="D136" i="5"/>
  <c r="C136" i="5"/>
  <c r="C136" i="15" s="1"/>
  <c r="B136" i="5"/>
  <c r="B136" i="15" s="1"/>
  <c r="I135" i="5"/>
  <c r="G135" i="5"/>
  <c r="H135" i="5" s="1"/>
  <c r="F135" i="5"/>
  <c r="E135" i="5"/>
  <c r="E135" i="15" s="1"/>
  <c r="D135" i="5"/>
  <c r="D135" i="15" s="1"/>
  <c r="C135" i="5"/>
  <c r="C135" i="15" s="1"/>
  <c r="B135" i="5"/>
  <c r="B135" i="15" s="1"/>
  <c r="H134" i="5"/>
  <c r="G134" i="5"/>
  <c r="F134" i="5"/>
  <c r="E134" i="5"/>
  <c r="E134" i="15" s="1"/>
  <c r="D134" i="5"/>
  <c r="D134" i="15" s="1"/>
  <c r="C134" i="5"/>
  <c r="C134" i="15" s="1"/>
  <c r="B134" i="5"/>
  <c r="B134" i="15" s="1"/>
  <c r="T133" i="5"/>
  <c r="S133" i="5"/>
  <c r="P133" i="5"/>
  <c r="M133" i="5"/>
  <c r="H133" i="5"/>
  <c r="G133" i="5"/>
  <c r="F133" i="5"/>
  <c r="F133" i="15" s="1"/>
  <c r="E133" i="5"/>
  <c r="E133" i="15" s="1"/>
  <c r="D133" i="5"/>
  <c r="D133" i="15" s="1"/>
  <c r="C133" i="5"/>
  <c r="C133" i="15" s="1"/>
  <c r="B133" i="5"/>
  <c r="B133" i="15" s="1"/>
  <c r="F132" i="5"/>
  <c r="E132" i="5"/>
  <c r="E132" i="15" s="1"/>
  <c r="D132" i="5"/>
  <c r="C132" i="5"/>
  <c r="C132" i="15" s="1"/>
  <c r="B132" i="5"/>
  <c r="B132" i="15" s="1"/>
  <c r="H131" i="5"/>
  <c r="G131" i="5"/>
  <c r="F131" i="5"/>
  <c r="E131" i="5"/>
  <c r="E131" i="15" s="1"/>
  <c r="D131" i="5"/>
  <c r="D131" i="15" s="1"/>
  <c r="C131" i="5"/>
  <c r="C131" i="15" s="1"/>
  <c r="B131" i="5"/>
  <c r="B131" i="15" s="1"/>
  <c r="S130" i="5"/>
  <c r="M130" i="5"/>
  <c r="G130" i="5"/>
  <c r="F130" i="5"/>
  <c r="F130" i="15" s="1"/>
  <c r="E130" i="5"/>
  <c r="E130" i="15" s="1"/>
  <c r="D130" i="5"/>
  <c r="D130" i="15" s="1"/>
  <c r="C130" i="5"/>
  <c r="C130" i="15" s="1"/>
  <c r="B130" i="5"/>
  <c r="B130" i="15" s="1"/>
  <c r="S129" i="5"/>
  <c r="P129" i="5"/>
  <c r="M129" i="5"/>
  <c r="F129" i="5"/>
  <c r="F129" i="15" s="1"/>
  <c r="E129" i="5"/>
  <c r="E129" i="15" s="1"/>
  <c r="D129" i="5"/>
  <c r="C129" i="5"/>
  <c r="C129" i="15" s="1"/>
  <c r="B129" i="5"/>
  <c r="B129" i="15" s="1"/>
  <c r="V128" i="5"/>
  <c r="W128" i="5" s="1"/>
  <c r="I128" i="5"/>
  <c r="H128" i="5"/>
  <c r="G128" i="5"/>
  <c r="F128" i="5"/>
  <c r="E128" i="5"/>
  <c r="E128" i="15" s="1"/>
  <c r="D128" i="5"/>
  <c r="D128" i="15" s="1"/>
  <c r="C128" i="5"/>
  <c r="C128" i="15" s="1"/>
  <c r="B128" i="5"/>
  <c r="B128" i="15" s="1"/>
  <c r="P127" i="5"/>
  <c r="F127" i="5"/>
  <c r="E127" i="5"/>
  <c r="E127" i="15" s="1"/>
  <c r="D127" i="5"/>
  <c r="D127" i="15" s="1"/>
  <c r="C127" i="5"/>
  <c r="C127" i="15" s="1"/>
  <c r="B127" i="5"/>
  <c r="B127" i="15" s="1"/>
  <c r="S126" i="5"/>
  <c r="P126" i="5"/>
  <c r="F126" i="5"/>
  <c r="E126" i="5"/>
  <c r="E126" i="15" s="1"/>
  <c r="D126" i="5"/>
  <c r="C126" i="5"/>
  <c r="C126" i="15" s="1"/>
  <c r="B126" i="5"/>
  <c r="B126" i="15" s="1"/>
  <c r="F125" i="5"/>
  <c r="P125" i="5" s="1"/>
  <c r="E125" i="5"/>
  <c r="E125" i="15" s="1"/>
  <c r="D125" i="5"/>
  <c r="D125" i="15" s="1"/>
  <c r="C125" i="5"/>
  <c r="C125" i="15" s="1"/>
  <c r="B125" i="5"/>
  <c r="B125" i="15" s="1"/>
  <c r="S124" i="5"/>
  <c r="P124" i="5"/>
  <c r="M124" i="5"/>
  <c r="F124" i="5"/>
  <c r="F124" i="15" s="1"/>
  <c r="E124" i="5"/>
  <c r="E124" i="15" s="1"/>
  <c r="D124" i="5"/>
  <c r="C124" i="5"/>
  <c r="C124" i="15" s="1"/>
  <c r="B124" i="5"/>
  <c r="B124" i="15" s="1"/>
  <c r="S123" i="5"/>
  <c r="P123" i="5"/>
  <c r="F123" i="5"/>
  <c r="F123" i="15" s="1"/>
  <c r="E123" i="5"/>
  <c r="E123" i="15" s="1"/>
  <c r="D123" i="5"/>
  <c r="D123" i="15" s="1"/>
  <c r="C123" i="5"/>
  <c r="C123" i="15" s="1"/>
  <c r="B123" i="5"/>
  <c r="B123" i="15" s="1"/>
  <c r="S122" i="5"/>
  <c r="P122" i="5"/>
  <c r="F122" i="5"/>
  <c r="E122" i="5"/>
  <c r="E122" i="15" s="1"/>
  <c r="D122" i="5"/>
  <c r="D122" i="15" s="1"/>
  <c r="C122" i="5"/>
  <c r="C122" i="15" s="1"/>
  <c r="B122" i="5"/>
  <c r="B122" i="15" s="1"/>
  <c r="S121" i="5"/>
  <c r="P121" i="5"/>
  <c r="M121" i="5"/>
  <c r="F121" i="5"/>
  <c r="F121" i="15" s="1"/>
  <c r="E121" i="5"/>
  <c r="E121" i="15" s="1"/>
  <c r="D121" i="5"/>
  <c r="D121" i="15" s="1"/>
  <c r="C121" i="5"/>
  <c r="C121" i="15" s="1"/>
  <c r="B121" i="5"/>
  <c r="B121" i="15" s="1"/>
  <c r="S120" i="5"/>
  <c r="P120" i="5"/>
  <c r="M120" i="5"/>
  <c r="F120" i="5"/>
  <c r="F120" i="15" s="1"/>
  <c r="E120" i="5"/>
  <c r="E120" i="15" s="1"/>
  <c r="D120" i="5"/>
  <c r="C120" i="5"/>
  <c r="C120" i="15" s="1"/>
  <c r="B120" i="5"/>
  <c r="B120" i="15" s="1"/>
  <c r="V119" i="5"/>
  <c r="W119" i="5" s="1"/>
  <c r="G119" i="5"/>
  <c r="H119" i="5" s="1"/>
  <c r="F119" i="5"/>
  <c r="E119" i="5"/>
  <c r="E119" i="15" s="1"/>
  <c r="D119" i="5"/>
  <c r="D119" i="15" s="1"/>
  <c r="C119" i="5"/>
  <c r="C119" i="15" s="1"/>
  <c r="B119" i="5"/>
  <c r="B119" i="15" s="1"/>
  <c r="S118" i="5"/>
  <c r="T118" i="5" s="1"/>
  <c r="M118" i="5"/>
  <c r="N118" i="5" s="1"/>
  <c r="H118" i="5"/>
  <c r="V118" i="5" s="1"/>
  <c r="W118" i="5" s="1"/>
  <c r="G118" i="5"/>
  <c r="F118" i="5"/>
  <c r="E118" i="5"/>
  <c r="E118" i="15" s="1"/>
  <c r="D118" i="5"/>
  <c r="D118" i="15" s="1"/>
  <c r="C118" i="5"/>
  <c r="C118" i="15" s="1"/>
  <c r="B118" i="5"/>
  <c r="B118" i="15" s="1"/>
  <c r="S117" i="5"/>
  <c r="Q117" i="5"/>
  <c r="P117" i="5"/>
  <c r="N117" i="5"/>
  <c r="O117" i="5" s="1"/>
  <c r="M117" i="5"/>
  <c r="H117" i="5"/>
  <c r="G117" i="5"/>
  <c r="F117" i="5"/>
  <c r="F117" i="15" s="1"/>
  <c r="E117" i="5"/>
  <c r="E117" i="15" s="1"/>
  <c r="D117" i="5"/>
  <c r="D117" i="15" s="1"/>
  <c r="C117" i="5"/>
  <c r="C117" i="15" s="1"/>
  <c r="B117" i="5"/>
  <c r="B117" i="15" s="1"/>
  <c r="F116" i="5"/>
  <c r="E116" i="5"/>
  <c r="E116" i="15" s="1"/>
  <c r="D116" i="5"/>
  <c r="C116" i="5"/>
  <c r="C116" i="15" s="1"/>
  <c r="B116" i="5"/>
  <c r="B116" i="15" s="1"/>
  <c r="J115" i="5"/>
  <c r="I115" i="5"/>
  <c r="H115" i="5"/>
  <c r="V115" i="5" s="1"/>
  <c r="W115" i="5" s="1"/>
  <c r="G115" i="5"/>
  <c r="F115" i="5"/>
  <c r="E115" i="5"/>
  <c r="E115" i="15" s="1"/>
  <c r="D115" i="5"/>
  <c r="D115" i="15" s="1"/>
  <c r="C115" i="5"/>
  <c r="C115" i="15" s="1"/>
  <c r="B115" i="5"/>
  <c r="B115" i="15" s="1"/>
  <c r="S114" i="5"/>
  <c r="P114" i="5"/>
  <c r="G114" i="5"/>
  <c r="F114" i="5"/>
  <c r="F114" i="15" s="1"/>
  <c r="E114" i="5"/>
  <c r="E114" i="15" s="1"/>
  <c r="D114" i="5"/>
  <c r="D114" i="15" s="1"/>
  <c r="C114" i="5"/>
  <c r="C114" i="15" s="1"/>
  <c r="B114" i="5"/>
  <c r="B114" i="15" s="1"/>
  <c r="S113" i="5"/>
  <c r="M113" i="5"/>
  <c r="G113" i="5"/>
  <c r="F113" i="5"/>
  <c r="F113" i="15" s="1"/>
  <c r="E113" i="5"/>
  <c r="E113" i="15" s="1"/>
  <c r="D113" i="5"/>
  <c r="D113" i="15" s="1"/>
  <c r="C113" i="5"/>
  <c r="C113" i="15" s="1"/>
  <c r="B113" i="5"/>
  <c r="B113" i="15" s="1"/>
  <c r="H112" i="5"/>
  <c r="G112" i="5"/>
  <c r="F112" i="5"/>
  <c r="E112" i="5"/>
  <c r="E112" i="15" s="1"/>
  <c r="D112" i="5"/>
  <c r="D112" i="15" s="1"/>
  <c r="C112" i="5"/>
  <c r="C112" i="15" s="1"/>
  <c r="B112" i="5"/>
  <c r="B112" i="15" s="1"/>
  <c r="P111" i="5"/>
  <c r="F111" i="5"/>
  <c r="E111" i="5"/>
  <c r="E111" i="15" s="1"/>
  <c r="D111" i="5"/>
  <c r="D111" i="15" s="1"/>
  <c r="C111" i="5"/>
  <c r="C111" i="15" s="1"/>
  <c r="B111" i="5"/>
  <c r="B111" i="15" s="1"/>
  <c r="S110" i="5"/>
  <c r="F110" i="5"/>
  <c r="E110" i="5"/>
  <c r="E110" i="15" s="1"/>
  <c r="D110" i="5"/>
  <c r="C110" i="5"/>
  <c r="C110" i="15" s="1"/>
  <c r="B110" i="5"/>
  <c r="B110" i="15" s="1"/>
  <c r="H109" i="5"/>
  <c r="G109" i="5"/>
  <c r="F109" i="5"/>
  <c r="E109" i="5"/>
  <c r="E109" i="15" s="1"/>
  <c r="D109" i="5"/>
  <c r="D109" i="15" s="1"/>
  <c r="C109" i="5"/>
  <c r="C109" i="15" s="1"/>
  <c r="B109" i="5"/>
  <c r="B109" i="15" s="1"/>
  <c r="S108" i="5"/>
  <c r="P108" i="5"/>
  <c r="M108" i="5"/>
  <c r="F108" i="5"/>
  <c r="F108" i="15" s="1"/>
  <c r="E108" i="5"/>
  <c r="E108" i="15" s="1"/>
  <c r="D108" i="5"/>
  <c r="C108" i="5"/>
  <c r="C108" i="15" s="1"/>
  <c r="B108" i="5"/>
  <c r="B108" i="15" s="1"/>
  <c r="S107" i="5"/>
  <c r="P107" i="5"/>
  <c r="F107" i="5"/>
  <c r="F107" i="15" s="1"/>
  <c r="E107" i="5"/>
  <c r="E107" i="15" s="1"/>
  <c r="D107" i="5"/>
  <c r="C107" i="5"/>
  <c r="C107" i="15" s="1"/>
  <c r="B107" i="5"/>
  <c r="B107" i="15" s="1"/>
  <c r="F106" i="5"/>
  <c r="E106" i="5"/>
  <c r="E106" i="15" s="1"/>
  <c r="D106" i="5"/>
  <c r="D106" i="15" s="1"/>
  <c r="C106" i="5"/>
  <c r="C106" i="15" s="1"/>
  <c r="B106" i="5"/>
  <c r="B106" i="15" s="1"/>
  <c r="S105" i="5"/>
  <c r="P105" i="5"/>
  <c r="M105" i="5"/>
  <c r="F105" i="5"/>
  <c r="F105" i="15" s="1"/>
  <c r="E105" i="5"/>
  <c r="E105" i="15" s="1"/>
  <c r="D105" i="5"/>
  <c r="D105" i="15" s="1"/>
  <c r="C105" i="5"/>
  <c r="C105" i="15" s="1"/>
  <c r="B105" i="5"/>
  <c r="B105" i="15" s="1"/>
  <c r="S104" i="5"/>
  <c r="P104" i="5"/>
  <c r="M104" i="5"/>
  <c r="F104" i="5"/>
  <c r="F104" i="15" s="1"/>
  <c r="E104" i="5"/>
  <c r="E104" i="15" s="1"/>
  <c r="D104" i="5"/>
  <c r="C104" i="5"/>
  <c r="C104" i="15" s="1"/>
  <c r="B104" i="5"/>
  <c r="B104" i="15" s="1"/>
  <c r="S103" i="5"/>
  <c r="G103" i="5"/>
  <c r="F103" i="5"/>
  <c r="E103" i="5"/>
  <c r="E103" i="15" s="1"/>
  <c r="D103" i="5"/>
  <c r="D103" i="15" s="1"/>
  <c r="C103" i="5"/>
  <c r="C103" i="15" s="1"/>
  <c r="B103" i="5"/>
  <c r="B103" i="15" s="1"/>
  <c r="M102" i="5"/>
  <c r="N102" i="5" s="1"/>
  <c r="O102" i="5" s="1"/>
  <c r="H102" i="5"/>
  <c r="G102" i="5"/>
  <c r="F102" i="5"/>
  <c r="F102" i="15" s="1"/>
  <c r="E102" i="5"/>
  <c r="E102" i="15" s="1"/>
  <c r="D102" i="5"/>
  <c r="D102" i="15" s="1"/>
  <c r="C102" i="5"/>
  <c r="C102" i="15" s="1"/>
  <c r="B102" i="5"/>
  <c r="B102" i="15" s="1"/>
  <c r="U101" i="5"/>
  <c r="S101" i="5"/>
  <c r="P101" i="5"/>
  <c r="Q101" i="5" s="1"/>
  <c r="R101" i="5" s="1"/>
  <c r="O101" i="5"/>
  <c r="N101" i="5"/>
  <c r="M101" i="5"/>
  <c r="H101" i="5"/>
  <c r="G101" i="5"/>
  <c r="T101" i="5" s="1"/>
  <c r="F101" i="5"/>
  <c r="F101" i="15" s="1"/>
  <c r="E101" i="5"/>
  <c r="E101" i="15" s="1"/>
  <c r="D101" i="5"/>
  <c r="D101" i="15" s="1"/>
  <c r="C101" i="5"/>
  <c r="C101" i="15" s="1"/>
  <c r="B101" i="5"/>
  <c r="B101" i="15" s="1"/>
  <c r="S100" i="5"/>
  <c r="M100" i="5"/>
  <c r="G100" i="5"/>
  <c r="F100" i="5"/>
  <c r="E100" i="5"/>
  <c r="E100" i="15" s="1"/>
  <c r="D100" i="5"/>
  <c r="D100" i="15" s="1"/>
  <c r="C100" i="5"/>
  <c r="C100" i="15" s="1"/>
  <c r="B100" i="5"/>
  <c r="B100" i="15" s="1"/>
  <c r="S99" i="5"/>
  <c r="M99" i="5"/>
  <c r="H99" i="5"/>
  <c r="G99" i="5"/>
  <c r="F99" i="5"/>
  <c r="E99" i="5"/>
  <c r="E99" i="15" s="1"/>
  <c r="D99" i="5"/>
  <c r="D99" i="15" s="1"/>
  <c r="C99" i="5"/>
  <c r="C99" i="15" s="1"/>
  <c r="B99" i="5"/>
  <c r="B99" i="15" s="1"/>
  <c r="S98" i="5"/>
  <c r="G98" i="5"/>
  <c r="F98" i="5"/>
  <c r="F98" i="15" s="1"/>
  <c r="E98" i="5"/>
  <c r="E98" i="15" s="1"/>
  <c r="D98" i="5"/>
  <c r="D98" i="15" s="1"/>
  <c r="C98" i="5"/>
  <c r="C98" i="15" s="1"/>
  <c r="B98" i="5"/>
  <c r="B98" i="15" s="1"/>
  <c r="P97" i="5"/>
  <c r="M97" i="5"/>
  <c r="F97" i="5"/>
  <c r="F97" i="15" s="1"/>
  <c r="E97" i="5"/>
  <c r="E97" i="15" s="1"/>
  <c r="D97" i="5"/>
  <c r="D97" i="15" s="1"/>
  <c r="C97" i="5"/>
  <c r="C97" i="15" s="1"/>
  <c r="B97" i="5"/>
  <c r="B97" i="15" s="1"/>
  <c r="F96" i="5"/>
  <c r="E96" i="5"/>
  <c r="E96" i="15" s="1"/>
  <c r="D96" i="5"/>
  <c r="C96" i="5"/>
  <c r="C96" i="15" s="1"/>
  <c r="B96" i="5"/>
  <c r="B96" i="15" s="1"/>
  <c r="F95" i="5"/>
  <c r="E95" i="5"/>
  <c r="E95" i="15" s="1"/>
  <c r="D95" i="5"/>
  <c r="D95" i="15" s="1"/>
  <c r="C95" i="5"/>
  <c r="C95" i="15" s="1"/>
  <c r="B95" i="5"/>
  <c r="B95" i="15" s="1"/>
  <c r="F94" i="5"/>
  <c r="E94" i="5"/>
  <c r="E94" i="15" s="1"/>
  <c r="D94" i="5"/>
  <c r="D94" i="15" s="1"/>
  <c r="C94" i="5"/>
  <c r="C94" i="15" s="1"/>
  <c r="B94" i="5"/>
  <c r="B94" i="15" s="1"/>
  <c r="F93" i="5"/>
  <c r="E93" i="5"/>
  <c r="E93" i="15" s="1"/>
  <c r="D93" i="5"/>
  <c r="D93" i="15" s="1"/>
  <c r="C93" i="5"/>
  <c r="C93" i="15" s="1"/>
  <c r="B93" i="5"/>
  <c r="B93" i="15" s="1"/>
  <c r="S92" i="5"/>
  <c r="P92" i="5"/>
  <c r="M92" i="5"/>
  <c r="F92" i="5"/>
  <c r="F92" i="15" s="1"/>
  <c r="E92" i="5"/>
  <c r="E92" i="15" s="1"/>
  <c r="D92" i="5"/>
  <c r="C92" i="5"/>
  <c r="C92" i="15" s="1"/>
  <c r="B92" i="5"/>
  <c r="B92" i="15" s="1"/>
  <c r="S91" i="5"/>
  <c r="P91" i="5"/>
  <c r="G91" i="5"/>
  <c r="F91" i="5"/>
  <c r="E91" i="5"/>
  <c r="E91" i="15" s="1"/>
  <c r="D91" i="5"/>
  <c r="D91" i="15" s="1"/>
  <c r="C91" i="5"/>
  <c r="C91" i="15" s="1"/>
  <c r="B91" i="5"/>
  <c r="B91" i="15" s="1"/>
  <c r="S90" i="5"/>
  <c r="P90" i="5"/>
  <c r="M90" i="5"/>
  <c r="F90" i="5"/>
  <c r="F90" i="15" s="1"/>
  <c r="E90" i="5"/>
  <c r="E90" i="15" s="1"/>
  <c r="D90" i="5"/>
  <c r="D90" i="15" s="1"/>
  <c r="C90" i="5"/>
  <c r="C90" i="15" s="1"/>
  <c r="B90" i="5"/>
  <c r="B90" i="15" s="1"/>
  <c r="T89" i="5"/>
  <c r="S89" i="5"/>
  <c r="P89" i="5"/>
  <c r="Q89" i="5" s="1"/>
  <c r="R89" i="5" s="1"/>
  <c r="M89" i="5"/>
  <c r="H89" i="5"/>
  <c r="G89" i="5"/>
  <c r="F89" i="5"/>
  <c r="F89" i="15" s="1"/>
  <c r="E89" i="5"/>
  <c r="E89" i="15" s="1"/>
  <c r="D89" i="5"/>
  <c r="D89" i="15" s="1"/>
  <c r="C89" i="5"/>
  <c r="C89" i="15" s="1"/>
  <c r="B89" i="5"/>
  <c r="B89" i="15" s="1"/>
  <c r="F88" i="5"/>
  <c r="E88" i="5"/>
  <c r="E88" i="15" s="1"/>
  <c r="D88" i="5"/>
  <c r="C88" i="5"/>
  <c r="C88" i="15" s="1"/>
  <c r="B88" i="5"/>
  <c r="B88" i="15" s="1"/>
  <c r="H87" i="5"/>
  <c r="G87" i="5"/>
  <c r="F87" i="5"/>
  <c r="E87" i="5"/>
  <c r="E87" i="15" s="1"/>
  <c r="D87" i="5"/>
  <c r="D87" i="15" s="1"/>
  <c r="C87" i="5"/>
  <c r="C87" i="15" s="1"/>
  <c r="B87" i="5"/>
  <c r="B87" i="15" s="1"/>
  <c r="S86" i="5"/>
  <c r="O86" i="5"/>
  <c r="M86" i="5"/>
  <c r="N86" i="5" s="1"/>
  <c r="H86" i="5"/>
  <c r="G86" i="5"/>
  <c r="F86" i="5"/>
  <c r="F86" i="15" s="1"/>
  <c r="E86" i="5"/>
  <c r="E86" i="15" s="1"/>
  <c r="D86" i="5"/>
  <c r="D86" i="15" s="1"/>
  <c r="C86" i="5"/>
  <c r="C86" i="15" s="1"/>
  <c r="B86" i="5"/>
  <c r="B86" i="15" s="1"/>
  <c r="N85" i="5"/>
  <c r="M85" i="5"/>
  <c r="J85" i="5"/>
  <c r="G85" i="5"/>
  <c r="H85" i="5" s="1"/>
  <c r="F85" i="5"/>
  <c r="E85" i="5"/>
  <c r="E85" i="15" s="1"/>
  <c r="D85" i="5"/>
  <c r="D85" i="15" s="1"/>
  <c r="C85" i="5"/>
  <c r="C85" i="15" s="1"/>
  <c r="B85" i="5"/>
  <c r="B85" i="15" s="1"/>
  <c r="F84" i="5"/>
  <c r="E84" i="5"/>
  <c r="E84" i="15" s="1"/>
  <c r="D84" i="5"/>
  <c r="C84" i="5"/>
  <c r="C84" i="15" s="1"/>
  <c r="B84" i="5"/>
  <c r="B84" i="15" s="1"/>
  <c r="F83" i="5"/>
  <c r="E83" i="5"/>
  <c r="E83" i="15" s="1"/>
  <c r="D83" i="5"/>
  <c r="D83" i="15" s="1"/>
  <c r="C83" i="5"/>
  <c r="C83" i="15" s="1"/>
  <c r="B83" i="5"/>
  <c r="B83" i="15" s="1"/>
  <c r="S82" i="5"/>
  <c r="P82" i="5"/>
  <c r="M82" i="5"/>
  <c r="F82" i="5"/>
  <c r="F82" i="15" s="1"/>
  <c r="E82" i="5"/>
  <c r="E82" i="15" s="1"/>
  <c r="D82" i="5"/>
  <c r="D82" i="15" s="1"/>
  <c r="C82" i="5"/>
  <c r="C82" i="15" s="1"/>
  <c r="B82" i="5"/>
  <c r="B82" i="15" s="1"/>
  <c r="V81" i="5"/>
  <c r="W81" i="5" s="1"/>
  <c r="S81" i="5"/>
  <c r="P81" i="5"/>
  <c r="G81" i="5"/>
  <c r="H81" i="5" s="1"/>
  <c r="F81" i="5"/>
  <c r="F81" i="15" s="1"/>
  <c r="E81" i="5"/>
  <c r="E81" i="15" s="1"/>
  <c r="D81" i="5"/>
  <c r="D81" i="15" s="1"/>
  <c r="C81" i="5"/>
  <c r="C81" i="15" s="1"/>
  <c r="B81" i="5"/>
  <c r="B81" i="15" s="1"/>
  <c r="F80" i="5"/>
  <c r="E80" i="5"/>
  <c r="E80" i="15" s="1"/>
  <c r="D80" i="5"/>
  <c r="D80" i="15" s="1"/>
  <c r="C80" i="5"/>
  <c r="C80" i="15" s="1"/>
  <c r="B80" i="5"/>
  <c r="B80" i="15" s="1"/>
  <c r="S79" i="5"/>
  <c r="P79" i="5"/>
  <c r="M79" i="5"/>
  <c r="F79" i="5"/>
  <c r="F79" i="15" s="1"/>
  <c r="E79" i="5"/>
  <c r="E79" i="15" s="1"/>
  <c r="D79" i="5"/>
  <c r="C79" i="5"/>
  <c r="C79" i="15" s="1"/>
  <c r="B79" i="5"/>
  <c r="B79" i="15" s="1"/>
  <c r="P78" i="5"/>
  <c r="F78" i="5"/>
  <c r="E78" i="5"/>
  <c r="E78" i="15" s="1"/>
  <c r="D78" i="5"/>
  <c r="C78" i="5"/>
  <c r="C78" i="15" s="1"/>
  <c r="B78" i="5"/>
  <c r="B78" i="15" s="1"/>
  <c r="S77" i="5"/>
  <c r="P77" i="5"/>
  <c r="H77" i="5"/>
  <c r="J77" i="5" s="1"/>
  <c r="G77" i="5"/>
  <c r="F77" i="5"/>
  <c r="F77" i="15" s="1"/>
  <c r="E77" i="5"/>
  <c r="E77" i="15" s="1"/>
  <c r="D77" i="5"/>
  <c r="D77" i="15" s="1"/>
  <c r="C77" i="5"/>
  <c r="C77" i="15" s="1"/>
  <c r="B77" i="5"/>
  <c r="B77" i="15" s="1"/>
  <c r="S76" i="5"/>
  <c r="P76" i="5"/>
  <c r="M76" i="5"/>
  <c r="G76" i="5"/>
  <c r="F76" i="5"/>
  <c r="F76" i="15" s="1"/>
  <c r="E76" i="5"/>
  <c r="E76" i="15" s="1"/>
  <c r="D76" i="5"/>
  <c r="D76" i="15" s="1"/>
  <c r="C76" i="5"/>
  <c r="C76" i="15" s="1"/>
  <c r="B76" i="5"/>
  <c r="B76" i="15" s="1"/>
  <c r="S75" i="5"/>
  <c r="T75" i="5" s="1"/>
  <c r="P75" i="5"/>
  <c r="M75" i="5"/>
  <c r="H75" i="5"/>
  <c r="V75" i="5" s="1"/>
  <c r="W75" i="5" s="1"/>
  <c r="G75" i="5"/>
  <c r="F75" i="5"/>
  <c r="F75" i="15" s="1"/>
  <c r="E75" i="5"/>
  <c r="E75" i="15" s="1"/>
  <c r="D75" i="5"/>
  <c r="D75" i="15" s="1"/>
  <c r="C75" i="5"/>
  <c r="C75" i="15" s="1"/>
  <c r="B75" i="5"/>
  <c r="B75" i="15" s="1"/>
  <c r="S74" i="5"/>
  <c r="G74" i="5"/>
  <c r="F74" i="5"/>
  <c r="E74" i="5"/>
  <c r="E74" i="15" s="1"/>
  <c r="D74" i="5"/>
  <c r="D74" i="15" s="1"/>
  <c r="C74" i="5"/>
  <c r="C74" i="15" s="1"/>
  <c r="B74" i="5"/>
  <c r="B74" i="15" s="1"/>
  <c r="G73" i="5"/>
  <c r="F73" i="5"/>
  <c r="F73" i="15" s="1"/>
  <c r="E73" i="5"/>
  <c r="E73" i="15" s="1"/>
  <c r="D73" i="5"/>
  <c r="D73" i="15" s="1"/>
  <c r="C73" i="5"/>
  <c r="C73" i="15" s="1"/>
  <c r="B73" i="5"/>
  <c r="B73" i="15" s="1"/>
  <c r="S72" i="5"/>
  <c r="M72" i="5"/>
  <c r="F72" i="5"/>
  <c r="F72" i="15" s="1"/>
  <c r="E72" i="5"/>
  <c r="E72" i="15" s="1"/>
  <c r="D72" i="5"/>
  <c r="D72" i="15" s="1"/>
  <c r="C72" i="5"/>
  <c r="C72" i="15" s="1"/>
  <c r="B72" i="5"/>
  <c r="B72" i="15" s="1"/>
  <c r="S71" i="5"/>
  <c r="M71" i="5"/>
  <c r="G71" i="5"/>
  <c r="F71" i="5"/>
  <c r="E71" i="5"/>
  <c r="E71" i="15" s="1"/>
  <c r="D71" i="5"/>
  <c r="D71" i="15" s="1"/>
  <c r="C71" i="5"/>
  <c r="C71" i="15" s="1"/>
  <c r="B71" i="5"/>
  <c r="B71" i="15" s="1"/>
  <c r="G70" i="5"/>
  <c r="F70" i="5"/>
  <c r="S70" i="5" s="1"/>
  <c r="E70" i="5"/>
  <c r="E70" i="15" s="1"/>
  <c r="D70" i="5"/>
  <c r="D70" i="15" s="1"/>
  <c r="C70" i="5"/>
  <c r="C70" i="15" s="1"/>
  <c r="B70" i="5"/>
  <c r="B70" i="15" s="1"/>
  <c r="P69" i="5"/>
  <c r="M69" i="5"/>
  <c r="G69" i="5"/>
  <c r="F69" i="5"/>
  <c r="E69" i="5"/>
  <c r="E69" i="15" s="1"/>
  <c r="D69" i="5"/>
  <c r="D69" i="15" s="1"/>
  <c r="C69" i="5"/>
  <c r="C69" i="15" s="1"/>
  <c r="B69" i="5"/>
  <c r="B69" i="15" s="1"/>
  <c r="S68" i="5"/>
  <c r="P68" i="5"/>
  <c r="M68" i="5"/>
  <c r="F68" i="5"/>
  <c r="F68" i="15" s="1"/>
  <c r="E68" i="5"/>
  <c r="E68" i="15" s="1"/>
  <c r="D68" i="5"/>
  <c r="C68" i="5"/>
  <c r="C68" i="15" s="1"/>
  <c r="B68" i="5"/>
  <c r="B68" i="15" s="1"/>
  <c r="G67" i="5"/>
  <c r="F67" i="5"/>
  <c r="E67" i="5"/>
  <c r="E67" i="15" s="1"/>
  <c r="D67" i="5"/>
  <c r="D67" i="15" s="1"/>
  <c r="C67" i="5"/>
  <c r="C67" i="15" s="1"/>
  <c r="B67" i="5"/>
  <c r="B67" i="15" s="1"/>
  <c r="F66" i="5"/>
  <c r="F66" i="15" s="1"/>
  <c r="E66" i="5"/>
  <c r="E66" i="15" s="1"/>
  <c r="D66" i="5"/>
  <c r="D66" i="15" s="1"/>
  <c r="C66" i="5"/>
  <c r="C66" i="15" s="1"/>
  <c r="B66" i="5"/>
  <c r="B66" i="15" s="1"/>
  <c r="T65" i="5"/>
  <c r="S65" i="5"/>
  <c r="P65" i="5"/>
  <c r="Q65" i="5" s="1"/>
  <c r="J65" i="5"/>
  <c r="G65" i="5"/>
  <c r="H65" i="5" s="1"/>
  <c r="V65" i="5" s="1"/>
  <c r="W65" i="5" s="1"/>
  <c r="F65" i="5"/>
  <c r="F65" i="15" s="1"/>
  <c r="E65" i="5"/>
  <c r="E65" i="15" s="1"/>
  <c r="D65" i="5"/>
  <c r="D65" i="15" s="1"/>
  <c r="C65" i="5"/>
  <c r="C65" i="15" s="1"/>
  <c r="B65" i="5"/>
  <c r="B65" i="15" s="1"/>
  <c r="F64" i="5"/>
  <c r="E64" i="5"/>
  <c r="E64" i="15" s="1"/>
  <c r="D64" i="5"/>
  <c r="C64" i="5"/>
  <c r="C64" i="15" s="1"/>
  <c r="B64" i="5"/>
  <c r="B64" i="15" s="1"/>
  <c r="S63" i="5"/>
  <c r="P63" i="5"/>
  <c r="M63" i="5"/>
  <c r="F63" i="5"/>
  <c r="F63" i="15" s="1"/>
  <c r="E63" i="5"/>
  <c r="E63" i="15" s="1"/>
  <c r="D63" i="5"/>
  <c r="C63" i="5"/>
  <c r="C63" i="15" s="1"/>
  <c r="B63" i="5"/>
  <c r="B63" i="15" s="1"/>
  <c r="S62" i="5"/>
  <c r="P62" i="5"/>
  <c r="F62" i="5"/>
  <c r="E62" i="5"/>
  <c r="E62" i="15" s="1"/>
  <c r="D62" i="5"/>
  <c r="C62" i="5"/>
  <c r="C62" i="15" s="1"/>
  <c r="B62" i="5"/>
  <c r="B62" i="15" s="1"/>
  <c r="S61" i="5"/>
  <c r="T61" i="5" s="1"/>
  <c r="U61" i="5" s="1"/>
  <c r="P61" i="5"/>
  <c r="H61" i="5"/>
  <c r="G61" i="5"/>
  <c r="F61" i="5"/>
  <c r="F61" i="15" s="1"/>
  <c r="E61" i="5"/>
  <c r="E61" i="15" s="1"/>
  <c r="D61" i="5"/>
  <c r="D61" i="15" s="1"/>
  <c r="C61" i="5"/>
  <c r="C61" i="15" s="1"/>
  <c r="B61" i="5"/>
  <c r="B61" i="15" s="1"/>
  <c r="S60" i="5"/>
  <c r="P60" i="5"/>
  <c r="M60" i="5"/>
  <c r="G60" i="5"/>
  <c r="F60" i="5"/>
  <c r="F60" i="15" s="1"/>
  <c r="E60" i="5"/>
  <c r="E60" i="15" s="1"/>
  <c r="D60" i="5"/>
  <c r="D60" i="15" s="1"/>
  <c r="C60" i="5"/>
  <c r="C60" i="15" s="1"/>
  <c r="B60" i="5"/>
  <c r="B60" i="15" s="1"/>
  <c r="S59" i="5"/>
  <c r="P59" i="5"/>
  <c r="M59" i="5"/>
  <c r="G59" i="5"/>
  <c r="F59" i="5"/>
  <c r="F59" i="15" s="1"/>
  <c r="E59" i="5"/>
  <c r="E59" i="15" s="1"/>
  <c r="D59" i="5"/>
  <c r="D59" i="15" s="1"/>
  <c r="C59" i="5"/>
  <c r="C59" i="15" s="1"/>
  <c r="B59" i="5"/>
  <c r="B59" i="15" s="1"/>
  <c r="G58" i="5"/>
  <c r="H58" i="5" s="1"/>
  <c r="F58" i="5"/>
  <c r="E58" i="5"/>
  <c r="E58" i="15" s="1"/>
  <c r="D58" i="5"/>
  <c r="D58" i="15" s="1"/>
  <c r="C58" i="5"/>
  <c r="C58" i="15" s="1"/>
  <c r="B58" i="5"/>
  <c r="B58" i="15" s="1"/>
  <c r="G57" i="5"/>
  <c r="F57" i="5"/>
  <c r="E57" i="5"/>
  <c r="E57" i="15" s="1"/>
  <c r="D57" i="5"/>
  <c r="D57" i="15" s="1"/>
  <c r="C57" i="5"/>
  <c r="C57" i="15" s="1"/>
  <c r="B57" i="5"/>
  <c r="B57" i="15" s="1"/>
  <c r="G56" i="5"/>
  <c r="H56" i="5" s="1"/>
  <c r="F56" i="5"/>
  <c r="E56" i="5"/>
  <c r="E56" i="15" s="1"/>
  <c r="D56" i="5"/>
  <c r="D56" i="15" s="1"/>
  <c r="C56" i="5"/>
  <c r="C56" i="15" s="1"/>
  <c r="B56" i="5"/>
  <c r="B56" i="15" s="1"/>
  <c r="G55" i="5"/>
  <c r="F55" i="5"/>
  <c r="E55" i="5"/>
  <c r="E55" i="15" s="1"/>
  <c r="D55" i="5"/>
  <c r="D55" i="15" s="1"/>
  <c r="C55" i="5"/>
  <c r="C55" i="15" s="1"/>
  <c r="B55" i="5"/>
  <c r="B55" i="15" s="1"/>
  <c r="G54" i="5"/>
  <c r="F54" i="5"/>
  <c r="E54" i="5"/>
  <c r="E54" i="15" s="1"/>
  <c r="D54" i="5"/>
  <c r="D54" i="15" s="1"/>
  <c r="C54" i="5"/>
  <c r="C54" i="15" s="1"/>
  <c r="B54" i="5"/>
  <c r="B54" i="15" s="1"/>
  <c r="P53" i="5"/>
  <c r="G53" i="5"/>
  <c r="F53" i="5"/>
  <c r="E53" i="5"/>
  <c r="E53" i="15" s="1"/>
  <c r="D53" i="5"/>
  <c r="D53" i="15" s="1"/>
  <c r="C53" i="5"/>
  <c r="C53" i="15" s="1"/>
  <c r="B53" i="5"/>
  <c r="B53" i="15" s="1"/>
  <c r="F52" i="5"/>
  <c r="E52" i="5"/>
  <c r="E52" i="15" s="1"/>
  <c r="D52" i="5"/>
  <c r="C52" i="5"/>
  <c r="C52" i="15" s="1"/>
  <c r="B52" i="5"/>
  <c r="B52" i="15" s="1"/>
  <c r="G51" i="5"/>
  <c r="F51" i="5"/>
  <c r="E51" i="5"/>
  <c r="E51" i="15" s="1"/>
  <c r="D51" i="5"/>
  <c r="D51" i="15" s="1"/>
  <c r="C51" i="5"/>
  <c r="C51" i="15" s="1"/>
  <c r="B51" i="5"/>
  <c r="B51" i="15" s="1"/>
  <c r="P50" i="5"/>
  <c r="F50" i="5"/>
  <c r="E50" i="5"/>
  <c r="E50" i="15" s="1"/>
  <c r="D50" i="5"/>
  <c r="C50" i="5"/>
  <c r="C50" i="15" s="1"/>
  <c r="B50" i="5"/>
  <c r="B50" i="15" s="1"/>
  <c r="S49" i="5"/>
  <c r="P49" i="5"/>
  <c r="F49" i="5"/>
  <c r="F49" i="15" s="1"/>
  <c r="E49" i="5"/>
  <c r="E49" i="15" s="1"/>
  <c r="D49" i="5"/>
  <c r="D49" i="15" s="1"/>
  <c r="C49" i="5"/>
  <c r="C49" i="15" s="1"/>
  <c r="B49" i="5"/>
  <c r="B49" i="15" s="1"/>
  <c r="P48" i="5"/>
  <c r="M48" i="5"/>
  <c r="F48" i="5"/>
  <c r="E48" i="5"/>
  <c r="E48" i="15" s="1"/>
  <c r="D48" i="5"/>
  <c r="C48" i="5"/>
  <c r="C48" i="15" s="1"/>
  <c r="B48" i="5"/>
  <c r="B48" i="15" s="1"/>
  <c r="S47" i="5"/>
  <c r="P47" i="5"/>
  <c r="M47" i="5"/>
  <c r="F47" i="5"/>
  <c r="F47" i="15" s="1"/>
  <c r="E47" i="5"/>
  <c r="E47" i="15" s="1"/>
  <c r="D47" i="5"/>
  <c r="C47" i="5"/>
  <c r="C47" i="15" s="1"/>
  <c r="B47" i="5"/>
  <c r="B47" i="15" s="1"/>
  <c r="P46" i="5"/>
  <c r="F46" i="5"/>
  <c r="E46" i="5"/>
  <c r="E46" i="15" s="1"/>
  <c r="D46" i="5"/>
  <c r="C46" i="5"/>
  <c r="C46" i="15" s="1"/>
  <c r="B46" i="5"/>
  <c r="B46" i="15" s="1"/>
  <c r="S45" i="5"/>
  <c r="P45" i="5"/>
  <c r="F45" i="5"/>
  <c r="F45" i="15" s="1"/>
  <c r="E45" i="5"/>
  <c r="E45" i="15" s="1"/>
  <c r="D45" i="5"/>
  <c r="D45" i="15" s="1"/>
  <c r="C45" i="5"/>
  <c r="C45" i="15" s="1"/>
  <c r="B45" i="5"/>
  <c r="B45" i="15" s="1"/>
  <c r="S44" i="5"/>
  <c r="P44" i="5"/>
  <c r="M44" i="5"/>
  <c r="G44" i="5"/>
  <c r="F44" i="5"/>
  <c r="F44" i="15" s="1"/>
  <c r="E44" i="5"/>
  <c r="E44" i="15" s="1"/>
  <c r="D44" i="5"/>
  <c r="D44" i="15" s="1"/>
  <c r="C44" i="5"/>
  <c r="C44" i="15" s="1"/>
  <c r="B44" i="5"/>
  <c r="B44" i="15" s="1"/>
  <c r="S43" i="5"/>
  <c r="P43" i="5"/>
  <c r="M43" i="5"/>
  <c r="G43" i="5"/>
  <c r="F43" i="5"/>
  <c r="F43" i="15" s="1"/>
  <c r="E43" i="5"/>
  <c r="E43" i="15" s="1"/>
  <c r="D43" i="5"/>
  <c r="D43" i="15" s="1"/>
  <c r="C43" i="5"/>
  <c r="C43" i="15" s="1"/>
  <c r="B43" i="5"/>
  <c r="B43" i="15" s="1"/>
  <c r="S42" i="5"/>
  <c r="M42" i="5"/>
  <c r="G42" i="5"/>
  <c r="F42" i="5"/>
  <c r="E42" i="5"/>
  <c r="E42" i="15" s="1"/>
  <c r="D42" i="5"/>
  <c r="D42" i="15" s="1"/>
  <c r="C42" i="5"/>
  <c r="C42" i="15" s="1"/>
  <c r="B42" i="5"/>
  <c r="B42" i="15" s="1"/>
  <c r="S41" i="5"/>
  <c r="P41" i="5"/>
  <c r="M41" i="5"/>
  <c r="G41" i="5"/>
  <c r="F41" i="5"/>
  <c r="F41" i="15" s="1"/>
  <c r="E41" i="5"/>
  <c r="E41" i="15" s="1"/>
  <c r="D41" i="5"/>
  <c r="D41" i="15" s="1"/>
  <c r="C41" i="5"/>
  <c r="C41" i="15" s="1"/>
  <c r="B41" i="5"/>
  <c r="B41" i="15" s="1"/>
  <c r="S40" i="5"/>
  <c r="M40" i="5"/>
  <c r="G40" i="5"/>
  <c r="F40" i="5"/>
  <c r="E40" i="5"/>
  <c r="E40" i="15" s="1"/>
  <c r="D40" i="5"/>
  <c r="D40" i="15" s="1"/>
  <c r="C40" i="5"/>
  <c r="C40" i="15" s="1"/>
  <c r="B40" i="5"/>
  <c r="B40" i="15" s="1"/>
  <c r="S39" i="5"/>
  <c r="M39" i="5"/>
  <c r="G39" i="5"/>
  <c r="F39" i="5"/>
  <c r="E39" i="5"/>
  <c r="E39" i="15" s="1"/>
  <c r="D39" i="5"/>
  <c r="D39" i="15" s="1"/>
  <c r="C39" i="5"/>
  <c r="C39" i="15" s="1"/>
  <c r="B39" i="5"/>
  <c r="B39" i="15" s="1"/>
  <c r="S38" i="5"/>
  <c r="M38" i="5"/>
  <c r="G38" i="5"/>
  <c r="F38" i="5"/>
  <c r="E38" i="5"/>
  <c r="E38" i="15" s="1"/>
  <c r="D38" i="5"/>
  <c r="D38" i="15" s="1"/>
  <c r="C38" i="5"/>
  <c r="C38" i="15" s="1"/>
  <c r="B38" i="5"/>
  <c r="B38" i="15" s="1"/>
  <c r="M37" i="5"/>
  <c r="G37" i="5"/>
  <c r="F37" i="5"/>
  <c r="E37" i="5"/>
  <c r="E37" i="15" s="1"/>
  <c r="D37" i="5"/>
  <c r="D37" i="15" s="1"/>
  <c r="C37" i="5"/>
  <c r="C37" i="15" s="1"/>
  <c r="B37" i="5"/>
  <c r="B37" i="15" s="1"/>
  <c r="S36" i="5"/>
  <c r="P36" i="5"/>
  <c r="M36" i="5"/>
  <c r="F36" i="5"/>
  <c r="F36" i="15" s="1"/>
  <c r="E36" i="5"/>
  <c r="E36" i="15" s="1"/>
  <c r="D36" i="5"/>
  <c r="C36" i="5"/>
  <c r="C36" i="15" s="1"/>
  <c r="B36" i="5"/>
  <c r="B36" i="15" s="1"/>
  <c r="G35" i="5"/>
  <c r="F35" i="5"/>
  <c r="E35" i="5"/>
  <c r="E35" i="15" s="1"/>
  <c r="D35" i="5"/>
  <c r="D35" i="15" s="1"/>
  <c r="C35" i="5"/>
  <c r="C35" i="15" s="1"/>
  <c r="B35" i="5"/>
  <c r="B35" i="15" s="1"/>
  <c r="S34" i="5"/>
  <c r="M34" i="5"/>
  <c r="F34" i="5"/>
  <c r="F34" i="15" s="1"/>
  <c r="E34" i="5"/>
  <c r="E34" i="15" s="1"/>
  <c r="D34" i="5"/>
  <c r="C34" i="5"/>
  <c r="C34" i="15" s="1"/>
  <c r="B34" i="5"/>
  <c r="B34" i="15" s="1"/>
  <c r="S33" i="5"/>
  <c r="P33" i="5"/>
  <c r="F33" i="5"/>
  <c r="F33" i="15" s="1"/>
  <c r="E33" i="5"/>
  <c r="E33" i="15" s="1"/>
  <c r="D33" i="5"/>
  <c r="D33" i="15" s="1"/>
  <c r="C33" i="5"/>
  <c r="C33" i="15" s="1"/>
  <c r="B33" i="5"/>
  <c r="B33" i="15" s="1"/>
  <c r="P32" i="5"/>
  <c r="F32" i="5"/>
  <c r="E32" i="5"/>
  <c r="E32" i="15" s="1"/>
  <c r="D32" i="5"/>
  <c r="C32" i="5"/>
  <c r="C32" i="15" s="1"/>
  <c r="B32" i="5"/>
  <c r="B32" i="15" s="1"/>
  <c r="S31" i="5"/>
  <c r="P31" i="5"/>
  <c r="M31" i="5"/>
  <c r="F31" i="5"/>
  <c r="F31" i="15" s="1"/>
  <c r="E31" i="5"/>
  <c r="E31" i="15" s="1"/>
  <c r="D31" i="5"/>
  <c r="C31" i="5"/>
  <c r="C31" i="15" s="1"/>
  <c r="B31" i="5"/>
  <c r="B31" i="15" s="1"/>
  <c r="S30" i="5"/>
  <c r="F30" i="5"/>
  <c r="E30" i="5"/>
  <c r="E30" i="15" s="1"/>
  <c r="D30" i="5"/>
  <c r="C30" i="5"/>
  <c r="C30" i="15" s="1"/>
  <c r="B30" i="5"/>
  <c r="B30" i="15" s="1"/>
  <c r="S29" i="5"/>
  <c r="P29" i="5"/>
  <c r="F29" i="5"/>
  <c r="F29" i="15" s="1"/>
  <c r="E29" i="5"/>
  <c r="E29" i="15" s="1"/>
  <c r="D29" i="5"/>
  <c r="D29" i="15" s="1"/>
  <c r="C29" i="5"/>
  <c r="C29" i="15" s="1"/>
  <c r="B29" i="5"/>
  <c r="B29" i="15" s="1"/>
  <c r="S28" i="5"/>
  <c r="P28" i="5"/>
  <c r="M28" i="5"/>
  <c r="F28" i="5"/>
  <c r="F28" i="15" s="1"/>
  <c r="E28" i="5"/>
  <c r="E28" i="15" s="1"/>
  <c r="D28" i="5"/>
  <c r="C28" i="5"/>
  <c r="C28" i="15" s="1"/>
  <c r="B28" i="5"/>
  <c r="B28" i="15" s="1"/>
  <c r="S27" i="5"/>
  <c r="P27" i="5"/>
  <c r="M27" i="5"/>
  <c r="G27" i="5"/>
  <c r="F27" i="5"/>
  <c r="F27" i="15" s="1"/>
  <c r="E27" i="5"/>
  <c r="E27" i="15" s="1"/>
  <c r="D27" i="5"/>
  <c r="D27" i="15" s="1"/>
  <c r="C27" i="5"/>
  <c r="C27" i="15" s="1"/>
  <c r="B27" i="5"/>
  <c r="B27" i="15" s="1"/>
  <c r="S26" i="5"/>
  <c r="F26" i="5"/>
  <c r="E26" i="5"/>
  <c r="E26" i="15" s="1"/>
  <c r="D26" i="5"/>
  <c r="C26" i="5"/>
  <c r="C26" i="15" s="1"/>
  <c r="B26" i="5"/>
  <c r="B26" i="15" s="1"/>
  <c r="M25" i="5"/>
  <c r="G25" i="5"/>
  <c r="F25" i="5"/>
  <c r="F25" i="15" s="1"/>
  <c r="E25" i="5"/>
  <c r="E25" i="15" s="1"/>
  <c r="D25" i="5"/>
  <c r="D25" i="15" s="1"/>
  <c r="C25" i="5"/>
  <c r="C25" i="15" s="1"/>
  <c r="B25" i="5"/>
  <c r="B25" i="15" s="1"/>
  <c r="F24" i="5"/>
  <c r="E24" i="5"/>
  <c r="E24" i="15" s="1"/>
  <c r="D24" i="5"/>
  <c r="C24" i="5"/>
  <c r="C24" i="15" s="1"/>
  <c r="B24" i="5"/>
  <c r="B24" i="15" s="1"/>
  <c r="S23" i="5"/>
  <c r="G23" i="5"/>
  <c r="F23" i="5"/>
  <c r="E23" i="5"/>
  <c r="E23" i="15" s="1"/>
  <c r="D23" i="5"/>
  <c r="D23" i="15" s="1"/>
  <c r="C23" i="5"/>
  <c r="C23" i="15" s="1"/>
  <c r="B23" i="5"/>
  <c r="B23" i="15" s="1"/>
  <c r="M22" i="5"/>
  <c r="G22" i="5"/>
  <c r="F22" i="5"/>
  <c r="E22" i="5"/>
  <c r="E22" i="15" s="1"/>
  <c r="D22" i="5"/>
  <c r="D22" i="15" s="1"/>
  <c r="C22" i="5"/>
  <c r="C22" i="15" s="1"/>
  <c r="B22" i="5"/>
  <c r="B22" i="15" s="1"/>
  <c r="G21" i="5"/>
  <c r="F21" i="5"/>
  <c r="E21" i="5"/>
  <c r="E21" i="15" s="1"/>
  <c r="D21" i="5"/>
  <c r="D21" i="15" s="1"/>
  <c r="C21" i="5"/>
  <c r="C21" i="15" s="1"/>
  <c r="B21" i="5"/>
  <c r="B21" i="15" s="1"/>
  <c r="S20" i="5"/>
  <c r="F20" i="5"/>
  <c r="E20" i="5"/>
  <c r="E20" i="15" s="1"/>
  <c r="D20" i="5"/>
  <c r="C20" i="5"/>
  <c r="C20" i="15" s="1"/>
  <c r="B20" i="5"/>
  <c r="B20" i="15" s="1"/>
  <c r="F19" i="5"/>
  <c r="E19" i="5"/>
  <c r="E19" i="15" s="1"/>
  <c r="D19" i="5"/>
  <c r="C19" i="5"/>
  <c r="C19" i="15" s="1"/>
  <c r="B19" i="5"/>
  <c r="B19" i="15" s="1"/>
  <c r="S18" i="5"/>
  <c r="F18" i="5"/>
  <c r="E18" i="5"/>
  <c r="E18" i="15" s="1"/>
  <c r="D18" i="5"/>
  <c r="C18" i="5"/>
  <c r="C18" i="15" s="1"/>
  <c r="B18" i="5"/>
  <c r="B18" i="15" s="1"/>
  <c r="S17" i="5"/>
  <c r="P17" i="5"/>
  <c r="F17" i="5"/>
  <c r="F17" i="15" s="1"/>
  <c r="E17" i="5"/>
  <c r="E17" i="15" s="1"/>
  <c r="D17" i="5"/>
  <c r="C17" i="5"/>
  <c r="C17" i="15" s="1"/>
  <c r="B17" i="5"/>
  <c r="B17" i="15" s="1"/>
  <c r="F16" i="5"/>
  <c r="E16" i="5"/>
  <c r="E16" i="15" s="1"/>
  <c r="D16" i="5"/>
  <c r="C16" i="5"/>
  <c r="C16" i="15" s="1"/>
  <c r="B16" i="5"/>
  <c r="B16" i="15" s="1"/>
  <c r="S15" i="5"/>
  <c r="P15" i="5"/>
  <c r="M15" i="5"/>
  <c r="F15" i="5"/>
  <c r="F15" i="15" s="1"/>
  <c r="E15" i="5"/>
  <c r="E15" i="15" s="1"/>
  <c r="D15" i="5"/>
  <c r="C15" i="5"/>
  <c r="C15" i="15" s="1"/>
  <c r="B15" i="5"/>
  <c r="B15" i="15" s="1"/>
  <c r="F14" i="5"/>
  <c r="E14" i="5"/>
  <c r="E14" i="15" s="1"/>
  <c r="D14" i="5"/>
  <c r="C14" i="5"/>
  <c r="C14" i="15" s="1"/>
  <c r="B14" i="5"/>
  <c r="B14" i="15" s="1"/>
  <c r="S13" i="5"/>
  <c r="P13" i="5"/>
  <c r="G13" i="5"/>
  <c r="F13" i="5"/>
  <c r="F13" i="15" s="1"/>
  <c r="E13" i="5"/>
  <c r="E13" i="15" s="1"/>
  <c r="D13" i="5"/>
  <c r="D13" i="15" s="1"/>
  <c r="C13" i="5"/>
  <c r="C13" i="15" s="1"/>
  <c r="B13" i="5"/>
  <c r="B13" i="15" s="1"/>
  <c r="S12" i="5"/>
  <c r="P12" i="5"/>
  <c r="M12" i="5"/>
  <c r="G12" i="5"/>
  <c r="F12" i="5"/>
  <c r="F12" i="15" s="1"/>
  <c r="E12" i="5"/>
  <c r="E12" i="15" s="1"/>
  <c r="D12" i="5"/>
  <c r="D12" i="15" s="1"/>
  <c r="C12" i="5"/>
  <c r="C12" i="15" s="1"/>
  <c r="B12" i="5"/>
  <c r="B12" i="15" s="1"/>
  <c r="S11" i="5"/>
  <c r="P11" i="5"/>
  <c r="M11" i="5"/>
  <c r="H11" i="5"/>
  <c r="G11" i="5"/>
  <c r="F11" i="5"/>
  <c r="F11" i="15" s="1"/>
  <c r="E11" i="5"/>
  <c r="E11" i="15" s="1"/>
  <c r="D11" i="5"/>
  <c r="D11" i="15" s="1"/>
  <c r="C11" i="5"/>
  <c r="C11" i="15" s="1"/>
  <c r="B11" i="5"/>
  <c r="B11" i="15" s="1"/>
  <c r="G10" i="5"/>
  <c r="F10" i="5"/>
  <c r="E10" i="5"/>
  <c r="E10" i="15" s="1"/>
  <c r="D10" i="5"/>
  <c r="D10" i="15" s="1"/>
  <c r="C10" i="5"/>
  <c r="C10" i="15" s="1"/>
  <c r="B10" i="5"/>
  <c r="B10" i="15" s="1"/>
  <c r="S9" i="5"/>
  <c r="M9" i="5"/>
  <c r="N9" i="5" s="1"/>
  <c r="H9" i="5"/>
  <c r="G9" i="5"/>
  <c r="F9" i="5"/>
  <c r="E9" i="5"/>
  <c r="E9" i="15" s="1"/>
  <c r="D9" i="5"/>
  <c r="D9" i="15" s="1"/>
  <c r="C9" i="5"/>
  <c r="C9" i="15" s="1"/>
  <c r="B9" i="5"/>
  <c r="B9" i="15" s="1"/>
  <c r="G8" i="5"/>
  <c r="F8" i="5"/>
  <c r="E8" i="5"/>
  <c r="E8" i="15" s="1"/>
  <c r="D8" i="5"/>
  <c r="D8" i="15" s="1"/>
  <c r="C8" i="5"/>
  <c r="C8" i="15" s="1"/>
  <c r="B8" i="5"/>
  <c r="B8" i="15" s="1"/>
  <c r="G7" i="5"/>
  <c r="F7" i="5"/>
  <c r="E7" i="5"/>
  <c r="E7" i="15" s="1"/>
  <c r="D7" i="5"/>
  <c r="D7" i="15" s="1"/>
  <c r="C7" i="5"/>
  <c r="C7" i="15" s="1"/>
  <c r="B7" i="5"/>
  <c r="B7" i="15" s="1"/>
  <c r="S6" i="5"/>
  <c r="G6" i="5"/>
  <c r="F6" i="5"/>
  <c r="E6" i="5"/>
  <c r="E6" i="15" s="1"/>
  <c r="D6" i="5"/>
  <c r="D6" i="15" s="1"/>
  <c r="C6" i="5"/>
  <c r="C6" i="15" s="1"/>
  <c r="B6" i="5"/>
  <c r="B6" i="15" s="1"/>
  <c r="P5" i="5"/>
  <c r="M5" i="5"/>
  <c r="G5" i="5"/>
  <c r="F5" i="5"/>
  <c r="E5" i="5"/>
  <c r="E5" i="15" s="1"/>
  <c r="D5" i="5"/>
  <c r="D5" i="15" s="1"/>
  <c r="C5" i="5"/>
  <c r="C5" i="15" s="1"/>
  <c r="B5" i="5"/>
  <c r="B5" i="15" s="1"/>
  <c r="S4" i="5"/>
  <c r="P4" i="5"/>
  <c r="M4" i="5"/>
  <c r="F4" i="5"/>
  <c r="F4" i="15" s="1"/>
  <c r="E4" i="5"/>
  <c r="E4" i="15" s="1"/>
  <c r="D4" i="5"/>
  <c r="C4" i="5"/>
  <c r="C4" i="15" s="1"/>
  <c r="B4" i="5"/>
  <c r="B4" i="15" s="1"/>
  <c r="G3" i="5"/>
  <c r="F3" i="5"/>
  <c r="E3" i="5"/>
  <c r="E3" i="15" s="1"/>
  <c r="D3" i="5"/>
  <c r="D3" i="15" s="1"/>
  <c r="C3" i="5"/>
  <c r="C3" i="15" s="1"/>
  <c r="B3" i="5"/>
  <c r="B3" i="15" s="1"/>
  <c r="S2" i="5"/>
  <c r="P2" i="5"/>
  <c r="M2" i="5"/>
  <c r="F2" i="5"/>
  <c r="F2" i="15" s="1"/>
  <c r="E2" i="5"/>
  <c r="E2" i="15" s="1"/>
  <c r="D2" i="5"/>
  <c r="C2" i="5"/>
  <c r="C2" i="15" s="1"/>
  <c r="B2" i="5"/>
  <c r="B2" i="15" s="1"/>
  <c r="Q337" i="4"/>
  <c r="P337" i="4"/>
  <c r="O337" i="4"/>
  <c r="R337" i="4" s="1"/>
  <c r="N337" i="4"/>
  <c r="M337" i="4"/>
  <c r="T337" i="4" s="1"/>
  <c r="I337" i="4"/>
  <c r="J337" i="4" s="1"/>
  <c r="K337" i="4" s="1"/>
  <c r="L337" i="4" s="1"/>
  <c r="O336" i="4"/>
  <c r="K336" i="4"/>
  <c r="J336" i="4"/>
  <c r="I336" i="4"/>
  <c r="N335" i="4"/>
  <c r="J335" i="4"/>
  <c r="K335" i="4" s="1"/>
  <c r="I335" i="4"/>
  <c r="O335" i="4" s="1"/>
  <c r="I334" i="4"/>
  <c r="T333" i="4"/>
  <c r="S333" i="4" s="1"/>
  <c r="N333" i="4"/>
  <c r="M333" i="4"/>
  <c r="Q333" i="4" s="1"/>
  <c r="L333" i="4"/>
  <c r="J333" i="4"/>
  <c r="K333" i="4" s="1"/>
  <c r="P333" i="4" s="1"/>
  <c r="I333" i="4"/>
  <c r="O333" i="4" s="1"/>
  <c r="R333" i="4" s="1"/>
  <c r="O332" i="4"/>
  <c r="K332" i="4"/>
  <c r="J332" i="4"/>
  <c r="I332" i="4"/>
  <c r="O331" i="4"/>
  <c r="I331" i="4"/>
  <c r="J331" i="4" s="1"/>
  <c r="K331" i="4" s="1"/>
  <c r="I330" i="4"/>
  <c r="I329" i="4"/>
  <c r="I328" i="4"/>
  <c r="O327" i="4"/>
  <c r="J327" i="4"/>
  <c r="K327" i="4" s="1"/>
  <c r="I327" i="4"/>
  <c r="P326" i="4"/>
  <c r="O326" i="4"/>
  <c r="N326" i="4"/>
  <c r="L326" i="4"/>
  <c r="M326" i="4" s="1"/>
  <c r="I326" i="4"/>
  <c r="J326" i="4" s="1"/>
  <c r="K326" i="4" s="1"/>
  <c r="I325" i="4"/>
  <c r="L324" i="4"/>
  <c r="I324" i="4"/>
  <c r="J324" i="4" s="1"/>
  <c r="K324" i="4" s="1"/>
  <c r="O323" i="4"/>
  <c r="J323" i="4"/>
  <c r="K323" i="4" s="1"/>
  <c r="I323" i="4"/>
  <c r="I322" i="4"/>
  <c r="R321" i="4"/>
  <c r="Q321" i="4"/>
  <c r="P321" i="4"/>
  <c r="O321" i="4"/>
  <c r="N321" i="4"/>
  <c r="M321" i="4"/>
  <c r="T321" i="4" s="1"/>
  <c r="S321" i="4" s="1"/>
  <c r="J321" i="4"/>
  <c r="K321" i="4" s="1"/>
  <c r="L321" i="4" s="1"/>
  <c r="I321" i="4"/>
  <c r="O320" i="4"/>
  <c r="J320" i="4"/>
  <c r="K320" i="4" s="1"/>
  <c r="I320" i="4"/>
  <c r="O319" i="4"/>
  <c r="I319" i="4"/>
  <c r="J319" i="4" s="1"/>
  <c r="K319" i="4" s="1"/>
  <c r="I318" i="4"/>
  <c r="N317" i="4"/>
  <c r="J317" i="4"/>
  <c r="K317" i="4" s="1"/>
  <c r="P317" i="4" s="1"/>
  <c r="I317" i="4"/>
  <c r="O317" i="4" s="1"/>
  <c r="I316" i="4"/>
  <c r="O316" i="4" s="1"/>
  <c r="O315" i="4"/>
  <c r="N315" i="4"/>
  <c r="I315" i="4"/>
  <c r="J315" i="4" s="1"/>
  <c r="K315" i="4" s="1"/>
  <c r="L315" i="4" s="1"/>
  <c r="I314" i="4"/>
  <c r="I313" i="4"/>
  <c r="O313" i="4" s="1"/>
  <c r="I312" i="4"/>
  <c r="O311" i="4"/>
  <c r="J311" i="4"/>
  <c r="K311" i="4" s="1"/>
  <c r="I311" i="4"/>
  <c r="I310" i="4"/>
  <c r="O309" i="4"/>
  <c r="N309" i="4"/>
  <c r="K309" i="4"/>
  <c r="I309" i="4"/>
  <c r="J309" i="4" s="1"/>
  <c r="N308" i="4"/>
  <c r="K308" i="4"/>
  <c r="P308" i="4" s="1"/>
  <c r="I308" i="4"/>
  <c r="J308" i="4" s="1"/>
  <c r="I307" i="4"/>
  <c r="O307" i="4" s="1"/>
  <c r="I306" i="4"/>
  <c r="P305" i="4"/>
  <c r="O305" i="4"/>
  <c r="J305" i="4"/>
  <c r="K305" i="4" s="1"/>
  <c r="L305" i="4" s="1"/>
  <c r="I305" i="4"/>
  <c r="O304" i="4"/>
  <c r="L304" i="4"/>
  <c r="J304" i="4"/>
  <c r="K304" i="4" s="1"/>
  <c r="I304" i="4"/>
  <c r="O303" i="4"/>
  <c r="I303" i="4"/>
  <c r="J303" i="4" s="1"/>
  <c r="K303" i="4" s="1"/>
  <c r="O302" i="4"/>
  <c r="I302" i="4"/>
  <c r="J302" i="4" s="1"/>
  <c r="K302" i="4" s="1"/>
  <c r="J301" i="4"/>
  <c r="K301" i="4" s="1"/>
  <c r="I301" i="4"/>
  <c r="O301" i="4" s="1"/>
  <c r="O300" i="4"/>
  <c r="J300" i="4"/>
  <c r="K300" i="4" s="1"/>
  <c r="I300" i="4"/>
  <c r="O299" i="4"/>
  <c r="N299" i="4"/>
  <c r="L299" i="4"/>
  <c r="M299" i="4" s="1"/>
  <c r="I299" i="4"/>
  <c r="J299" i="4" s="1"/>
  <c r="K299" i="4" s="1"/>
  <c r="P299" i="4" s="1"/>
  <c r="J298" i="4"/>
  <c r="K298" i="4" s="1"/>
  <c r="I298" i="4"/>
  <c r="O298" i="4" s="1"/>
  <c r="I297" i="4"/>
  <c r="O297" i="4" s="1"/>
  <c r="I296" i="4"/>
  <c r="J296" i="4" s="1"/>
  <c r="K296" i="4" s="1"/>
  <c r="O295" i="4"/>
  <c r="K295" i="4"/>
  <c r="J295" i="4"/>
  <c r="I295" i="4"/>
  <c r="I294" i="4"/>
  <c r="O293" i="4"/>
  <c r="N293" i="4"/>
  <c r="J293" i="4"/>
  <c r="K293" i="4" s="1"/>
  <c r="I293" i="4"/>
  <c r="K292" i="4"/>
  <c r="J292" i="4"/>
  <c r="I292" i="4"/>
  <c r="O292" i="4" s="1"/>
  <c r="O291" i="4"/>
  <c r="I291" i="4"/>
  <c r="J291" i="4" s="1"/>
  <c r="K291" i="4" s="1"/>
  <c r="I290" i="4"/>
  <c r="I289" i="4"/>
  <c r="O289" i="4" s="1"/>
  <c r="O288" i="4"/>
  <c r="J288" i="4"/>
  <c r="K288" i="4" s="1"/>
  <c r="I288" i="4"/>
  <c r="T287" i="4"/>
  <c r="P287" i="4"/>
  <c r="O287" i="4"/>
  <c r="N287" i="4"/>
  <c r="M287" i="4"/>
  <c r="Q287" i="4" s="1"/>
  <c r="K287" i="4"/>
  <c r="L287" i="4" s="1"/>
  <c r="J287" i="4"/>
  <c r="I287" i="4"/>
  <c r="M286" i="4"/>
  <c r="L286" i="4"/>
  <c r="J286" i="4"/>
  <c r="K286" i="4" s="1"/>
  <c r="I286" i="4"/>
  <c r="O286" i="4" s="1"/>
  <c r="L285" i="4"/>
  <c r="J285" i="4"/>
  <c r="K285" i="4" s="1"/>
  <c r="I285" i="4"/>
  <c r="O285" i="4" s="1"/>
  <c r="P284" i="4"/>
  <c r="O284" i="4"/>
  <c r="J284" i="4"/>
  <c r="K284" i="4" s="1"/>
  <c r="I284" i="4"/>
  <c r="O283" i="4"/>
  <c r="I283" i="4"/>
  <c r="J283" i="4" s="1"/>
  <c r="K283" i="4" s="1"/>
  <c r="I282" i="4"/>
  <c r="J281" i="4"/>
  <c r="K281" i="4" s="1"/>
  <c r="I281" i="4"/>
  <c r="O281" i="4" s="1"/>
  <c r="I280" i="4"/>
  <c r="O279" i="4"/>
  <c r="K279" i="4"/>
  <c r="J279" i="4"/>
  <c r="I279" i="4"/>
  <c r="O278" i="4"/>
  <c r="I278" i="4"/>
  <c r="J278" i="4" s="1"/>
  <c r="K278" i="4" s="1"/>
  <c r="N278" i="4" s="1"/>
  <c r="I277" i="4"/>
  <c r="O276" i="4"/>
  <c r="K276" i="4"/>
  <c r="I276" i="4"/>
  <c r="J276" i="4" s="1"/>
  <c r="I275" i="4"/>
  <c r="I274" i="4"/>
  <c r="P273" i="4"/>
  <c r="O273" i="4"/>
  <c r="N273" i="4"/>
  <c r="M273" i="4"/>
  <c r="J273" i="4"/>
  <c r="K273" i="4" s="1"/>
  <c r="L273" i="4" s="1"/>
  <c r="I273" i="4"/>
  <c r="O272" i="4"/>
  <c r="J272" i="4"/>
  <c r="K272" i="4" s="1"/>
  <c r="I272" i="4"/>
  <c r="J271" i="4"/>
  <c r="K271" i="4" s="1"/>
  <c r="I271" i="4"/>
  <c r="O271" i="4" s="1"/>
  <c r="I270" i="4"/>
  <c r="I269" i="4"/>
  <c r="O269" i="4" s="1"/>
  <c r="O268" i="4"/>
  <c r="J268" i="4"/>
  <c r="K268" i="4" s="1"/>
  <c r="I268" i="4"/>
  <c r="I267" i="4"/>
  <c r="O266" i="4"/>
  <c r="K266" i="4"/>
  <c r="J266" i="4"/>
  <c r="I266" i="4"/>
  <c r="O265" i="4"/>
  <c r="K265" i="4"/>
  <c r="J265" i="4"/>
  <c r="I265" i="4"/>
  <c r="O264" i="4"/>
  <c r="J264" i="4"/>
  <c r="K264" i="4" s="1"/>
  <c r="I264" i="4"/>
  <c r="O263" i="4"/>
  <c r="K263" i="4"/>
  <c r="J263" i="4"/>
  <c r="I263" i="4"/>
  <c r="O262" i="4"/>
  <c r="I262" i="4"/>
  <c r="J262" i="4" s="1"/>
  <c r="K262" i="4" s="1"/>
  <c r="I261" i="4"/>
  <c r="J261" i="4" s="1"/>
  <c r="K261" i="4" s="1"/>
  <c r="I260" i="4"/>
  <c r="I259" i="4"/>
  <c r="I258" i="4"/>
  <c r="O258" i="4" s="1"/>
  <c r="I257" i="4"/>
  <c r="O256" i="4"/>
  <c r="J256" i="4"/>
  <c r="K256" i="4" s="1"/>
  <c r="I256" i="4"/>
  <c r="I255" i="4"/>
  <c r="O255" i="4" s="1"/>
  <c r="O254" i="4"/>
  <c r="J254" i="4"/>
  <c r="K254" i="4" s="1"/>
  <c r="I254" i="4"/>
  <c r="I253" i="4"/>
  <c r="O252" i="4"/>
  <c r="J252" i="4"/>
  <c r="K252" i="4" s="1"/>
  <c r="I252" i="4"/>
  <c r="O251" i="4"/>
  <c r="N251" i="4"/>
  <c r="K251" i="4"/>
  <c r="I251" i="4"/>
  <c r="J251" i="4" s="1"/>
  <c r="O250" i="4"/>
  <c r="I250" i="4"/>
  <c r="J250" i="4" s="1"/>
  <c r="K250" i="4" s="1"/>
  <c r="I249" i="4"/>
  <c r="O248" i="4"/>
  <c r="L248" i="4"/>
  <c r="J248" i="4"/>
  <c r="K248" i="4" s="1"/>
  <c r="I248" i="4"/>
  <c r="O247" i="4"/>
  <c r="J247" i="4"/>
  <c r="K247" i="4" s="1"/>
  <c r="I247" i="4"/>
  <c r="O246" i="4"/>
  <c r="L246" i="4"/>
  <c r="M246" i="4" s="1"/>
  <c r="J246" i="4"/>
  <c r="K246" i="4" s="1"/>
  <c r="P246" i="4" s="1"/>
  <c r="I246" i="4"/>
  <c r="L245" i="4"/>
  <c r="I245" i="4"/>
  <c r="J245" i="4" s="1"/>
  <c r="K245" i="4" s="1"/>
  <c r="I244" i="4"/>
  <c r="O243" i="4"/>
  <c r="L243" i="4"/>
  <c r="M243" i="4" s="1"/>
  <c r="K243" i="4"/>
  <c r="P243" i="4" s="1"/>
  <c r="I243" i="4"/>
  <c r="J243" i="4" s="1"/>
  <c r="I242" i="4"/>
  <c r="I241" i="4"/>
  <c r="P240" i="4"/>
  <c r="O240" i="4"/>
  <c r="N240" i="4"/>
  <c r="M240" i="4"/>
  <c r="L240" i="4"/>
  <c r="J240" i="4"/>
  <c r="K240" i="4" s="1"/>
  <c r="I240" i="4"/>
  <c r="O239" i="4"/>
  <c r="I239" i="4"/>
  <c r="J239" i="4" s="1"/>
  <c r="K239" i="4" s="1"/>
  <c r="I238" i="4"/>
  <c r="I237" i="4"/>
  <c r="O237" i="4" s="1"/>
  <c r="O236" i="4"/>
  <c r="J236" i="4"/>
  <c r="K236" i="4" s="1"/>
  <c r="I236" i="4"/>
  <c r="L235" i="4"/>
  <c r="K235" i="4"/>
  <c r="I235" i="4"/>
  <c r="J235" i="4" s="1"/>
  <c r="O234" i="4"/>
  <c r="N234" i="4"/>
  <c r="J234" i="4"/>
  <c r="K234" i="4" s="1"/>
  <c r="I234" i="4"/>
  <c r="L233" i="4"/>
  <c r="I233" i="4"/>
  <c r="J233" i="4" s="1"/>
  <c r="K233" i="4" s="1"/>
  <c r="I232" i="4"/>
  <c r="O232" i="4" s="1"/>
  <c r="O231" i="4"/>
  <c r="J231" i="4"/>
  <c r="K231" i="4" s="1"/>
  <c r="I231" i="4"/>
  <c r="O230" i="4"/>
  <c r="N230" i="4"/>
  <c r="J230" i="4"/>
  <c r="K230" i="4" s="1"/>
  <c r="I230" i="4"/>
  <c r="I229" i="4"/>
  <c r="J229" i="4" s="1"/>
  <c r="K229" i="4" s="1"/>
  <c r="P229" i="4" s="1"/>
  <c r="I228" i="4"/>
  <c r="O227" i="4"/>
  <c r="K227" i="4"/>
  <c r="I227" i="4"/>
  <c r="J227" i="4" s="1"/>
  <c r="I226" i="4"/>
  <c r="I225" i="4"/>
  <c r="U224" i="4"/>
  <c r="T224" i="4"/>
  <c r="S224" i="4" s="1"/>
  <c r="R224" i="4"/>
  <c r="O224" i="4"/>
  <c r="L224" i="4"/>
  <c r="M224" i="4" s="1"/>
  <c r="Q224" i="4" s="1"/>
  <c r="K224" i="4"/>
  <c r="P224" i="4" s="1"/>
  <c r="J224" i="4"/>
  <c r="I224" i="4"/>
  <c r="O223" i="4"/>
  <c r="J223" i="4"/>
  <c r="K223" i="4" s="1"/>
  <c r="I223" i="4"/>
  <c r="O222" i="4"/>
  <c r="J222" i="4"/>
  <c r="K222" i="4" s="1"/>
  <c r="I222" i="4"/>
  <c r="I221" i="4"/>
  <c r="P220" i="4"/>
  <c r="O220" i="4"/>
  <c r="J220" i="4"/>
  <c r="K220" i="4" s="1"/>
  <c r="I220" i="4"/>
  <c r="O219" i="4"/>
  <c r="K219" i="4"/>
  <c r="I219" i="4"/>
  <c r="J219" i="4" s="1"/>
  <c r="O218" i="4"/>
  <c r="J218" i="4"/>
  <c r="K218" i="4" s="1"/>
  <c r="I218" i="4"/>
  <c r="O217" i="4"/>
  <c r="J217" i="4"/>
  <c r="K217" i="4" s="1"/>
  <c r="I217" i="4"/>
  <c r="O216" i="4"/>
  <c r="J216" i="4"/>
  <c r="K216" i="4" s="1"/>
  <c r="I216" i="4"/>
  <c r="P215" i="4"/>
  <c r="O215" i="4"/>
  <c r="J215" i="4"/>
  <c r="K215" i="4" s="1"/>
  <c r="I215" i="4"/>
  <c r="O214" i="4"/>
  <c r="J214" i="4"/>
  <c r="K214" i="4" s="1"/>
  <c r="N214" i="4" s="1"/>
  <c r="I214" i="4"/>
  <c r="O213" i="4"/>
  <c r="I213" i="4"/>
  <c r="J213" i="4" s="1"/>
  <c r="K213" i="4" s="1"/>
  <c r="P213" i="4" s="1"/>
  <c r="I212" i="4"/>
  <c r="J211" i="4"/>
  <c r="K211" i="4" s="1"/>
  <c r="I211" i="4"/>
  <c r="O211" i="4" s="1"/>
  <c r="I210" i="4"/>
  <c r="I209" i="4"/>
  <c r="J209" i="4" s="1"/>
  <c r="K209" i="4" s="1"/>
  <c r="O208" i="4"/>
  <c r="K208" i="4"/>
  <c r="J208" i="4"/>
  <c r="I208" i="4"/>
  <c r="O207" i="4"/>
  <c r="N207" i="4"/>
  <c r="I207" i="4"/>
  <c r="J207" i="4" s="1"/>
  <c r="K207" i="4" s="1"/>
  <c r="P207" i="4" s="1"/>
  <c r="I206" i="4"/>
  <c r="O205" i="4"/>
  <c r="K205" i="4"/>
  <c r="J205" i="4"/>
  <c r="I205" i="4"/>
  <c r="P204" i="4"/>
  <c r="O204" i="4"/>
  <c r="I204" i="4"/>
  <c r="J204" i="4" s="1"/>
  <c r="K204" i="4" s="1"/>
  <c r="I203" i="4"/>
  <c r="O202" i="4"/>
  <c r="K202" i="4"/>
  <c r="J202" i="4"/>
  <c r="I202" i="4"/>
  <c r="P201" i="4"/>
  <c r="O201" i="4"/>
  <c r="J201" i="4"/>
  <c r="K201" i="4" s="1"/>
  <c r="I201" i="4"/>
  <c r="O200" i="4"/>
  <c r="J200" i="4"/>
  <c r="K200" i="4" s="1"/>
  <c r="I200" i="4"/>
  <c r="I199" i="4"/>
  <c r="O198" i="4"/>
  <c r="J198" i="4"/>
  <c r="K198" i="4" s="1"/>
  <c r="I198" i="4"/>
  <c r="I197" i="4"/>
  <c r="I196" i="4"/>
  <c r="O195" i="4"/>
  <c r="I195" i="4"/>
  <c r="J195" i="4" s="1"/>
  <c r="K195" i="4" s="1"/>
  <c r="K194" i="4"/>
  <c r="J194" i="4"/>
  <c r="I194" i="4"/>
  <c r="O194" i="4" s="1"/>
  <c r="I193" i="4"/>
  <c r="J193" i="4" s="1"/>
  <c r="K193" i="4" s="1"/>
  <c r="P192" i="4"/>
  <c r="O192" i="4"/>
  <c r="J192" i="4"/>
  <c r="K192" i="4" s="1"/>
  <c r="I192" i="4"/>
  <c r="O191" i="4"/>
  <c r="N191" i="4"/>
  <c r="L191" i="4"/>
  <c r="M191" i="4" s="1"/>
  <c r="I191" i="4"/>
  <c r="J191" i="4" s="1"/>
  <c r="K191" i="4" s="1"/>
  <c r="P191" i="4" s="1"/>
  <c r="I190" i="4"/>
  <c r="O190" i="4" s="1"/>
  <c r="I189" i="4"/>
  <c r="O189" i="4" s="1"/>
  <c r="O188" i="4"/>
  <c r="K188" i="4"/>
  <c r="I188" i="4"/>
  <c r="J188" i="4" s="1"/>
  <c r="I187" i="4"/>
  <c r="O186" i="4"/>
  <c r="K186" i="4"/>
  <c r="I186" i="4"/>
  <c r="J186" i="4" s="1"/>
  <c r="N185" i="4"/>
  <c r="K185" i="4"/>
  <c r="J185" i="4"/>
  <c r="I185" i="4"/>
  <c r="O185" i="4" s="1"/>
  <c r="P184" i="4"/>
  <c r="O184" i="4"/>
  <c r="N184" i="4"/>
  <c r="M184" i="4"/>
  <c r="Q184" i="4" s="1"/>
  <c r="J184" i="4"/>
  <c r="K184" i="4" s="1"/>
  <c r="L184" i="4" s="1"/>
  <c r="I184" i="4"/>
  <c r="I183" i="4"/>
  <c r="I182" i="4"/>
  <c r="O182" i="4" s="1"/>
  <c r="O181" i="4"/>
  <c r="L181" i="4"/>
  <c r="I181" i="4"/>
  <c r="J181" i="4" s="1"/>
  <c r="K181" i="4" s="1"/>
  <c r="P180" i="4"/>
  <c r="O180" i="4"/>
  <c r="N180" i="4"/>
  <c r="K180" i="4"/>
  <c r="I180" i="4"/>
  <c r="J180" i="4" s="1"/>
  <c r="O179" i="4"/>
  <c r="L179" i="4"/>
  <c r="M179" i="4" s="1"/>
  <c r="K179" i="4"/>
  <c r="N179" i="4" s="1"/>
  <c r="J179" i="4"/>
  <c r="I179" i="4"/>
  <c r="I178" i="4"/>
  <c r="I177" i="4"/>
  <c r="O177" i="4" s="1"/>
  <c r="O176" i="4"/>
  <c r="L176" i="4"/>
  <c r="J176" i="4"/>
  <c r="K176" i="4" s="1"/>
  <c r="I176" i="4"/>
  <c r="P175" i="4"/>
  <c r="O175" i="4"/>
  <c r="I175" i="4"/>
  <c r="J175" i="4" s="1"/>
  <c r="K175" i="4" s="1"/>
  <c r="N175" i="4" s="1"/>
  <c r="I174" i="4"/>
  <c r="O174" i="4" s="1"/>
  <c r="O173" i="4"/>
  <c r="N173" i="4"/>
  <c r="J173" i="4"/>
  <c r="K173" i="4" s="1"/>
  <c r="I173" i="4"/>
  <c r="J172" i="4"/>
  <c r="K172" i="4" s="1"/>
  <c r="I172" i="4"/>
  <c r="O172" i="4" s="1"/>
  <c r="N171" i="4"/>
  <c r="I171" i="4"/>
  <c r="J171" i="4" s="1"/>
  <c r="K171" i="4" s="1"/>
  <c r="L171" i="4" s="1"/>
  <c r="M171" i="4" s="1"/>
  <c r="J170" i="4"/>
  <c r="K170" i="4" s="1"/>
  <c r="I170" i="4"/>
  <c r="O170" i="4" s="1"/>
  <c r="I169" i="4"/>
  <c r="J169" i="4" s="1"/>
  <c r="K169" i="4" s="1"/>
  <c r="K168" i="4"/>
  <c r="J168" i="4"/>
  <c r="I168" i="4"/>
  <c r="O168" i="4" s="1"/>
  <c r="P167" i="4"/>
  <c r="O167" i="4"/>
  <c r="J167" i="4"/>
  <c r="K167" i="4" s="1"/>
  <c r="I167" i="4"/>
  <c r="J166" i="4"/>
  <c r="K166" i="4" s="1"/>
  <c r="I166" i="4"/>
  <c r="O166" i="4" s="1"/>
  <c r="J165" i="4"/>
  <c r="K165" i="4" s="1"/>
  <c r="I165" i="4"/>
  <c r="O165" i="4" s="1"/>
  <c r="O164" i="4"/>
  <c r="L164" i="4"/>
  <c r="I164" i="4"/>
  <c r="J164" i="4" s="1"/>
  <c r="K164" i="4" s="1"/>
  <c r="P163" i="4"/>
  <c r="O163" i="4"/>
  <c r="I163" i="4"/>
  <c r="J163" i="4" s="1"/>
  <c r="K163" i="4" s="1"/>
  <c r="N162" i="4"/>
  <c r="K162" i="4"/>
  <c r="P162" i="4" s="1"/>
  <c r="J162" i="4"/>
  <c r="I162" i="4"/>
  <c r="O162" i="4" s="1"/>
  <c r="J161" i="4"/>
  <c r="K161" i="4" s="1"/>
  <c r="I161" i="4"/>
  <c r="O161" i="4" s="1"/>
  <c r="P160" i="4"/>
  <c r="O160" i="4"/>
  <c r="J160" i="4"/>
  <c r="K160" i="4" s="1"/>
  <c r="I160" i="4"/>
  <c r="J159" i="4"/>
  <c r="K159" i="4" s="1"/>
  <c r="I159" i="4"/>
  <c r="O159" i="4" s="1"/>
  <c r="N158" i="4"/>
  <c r="L158" i="4"/>
  <c r="M158" i="4" s="1"/>
  <c r="I158" i="4"/>
  <c r="J158" i="4" s="1"/>
  <c r="K158" i="4" s="1"/>
  <c r="P158" i="4" s="1"/>
  <c r="J157" i="4"/>
  <c r="K157" i="4" s="1"/>
  <c r="I157" i="4"/>
  <c r="O157" i="4" s="1"/>
  <c r="O156" i="4"/>
  <c r="J156" i="4"/>
  <c r="K156" i="4" s="1"/>
  <c r="I156" i="4"/>
  <c r="K155" i="4"/>
  <c r="I155" i="4"/>
  <c r="J155" i="4" s="1"/>
  <c r="P154" i="4"/>
  <c r="O154" i="4"/>
  <c r="N154" i="4"/>
  <c r="J154" i="4"/>
  <c r="K154" i="4" s="1"/>
  <c r="L154" i="4" s="1"/>
  <c r="I154" i="4"/>
  <c r="O153" i="4"/>
  <c r="I153" i="4"/>
  <c r="J153" i="4" s="1"/>
  <c r="K153" i="4" s="1"/>
  <c r="I152" i="4"/>
  <c r="J152" i="4" s="1"/>
  <c r="K152" i="4" s="1"/>
  <c r="O151" i="4"/>
  <c r="K151" i="4"/>
  <c r="J151" i="4"/>
  <c r="I151" i="4"/>
  <c r="O150" i="4"/>
  <c r="J150" i="4"/>
  <c r="K150" i="4" s="1"/>
  <c r="I150" i="4"/>
  <c r="P149" i="4"/>
  <c r="O149" i="4"/>
  <c r="K149" i="4"/>
  <c r="N149" i="4" s="1"/>
  <c r="J149" i="4"/>
  <c r="I149" i="4"/>
  <c r="L148" i="4"/>
  <c r="J148" i="4"/>
  <c r="K148" i="4" s="1"/>
  <c r="I148" i="4"/>
  <c r="O148" i="4" s="1"/>
  <c r="O147" i="4"/>
  <c r="I147" i="4"/>
  <c r="J147" i="4" s="1"/>
  <c r="K147" i="4" s="1"/>
  <c r="I146" i="4"/>
  <c r="O146" i="4" s="1"/>
  <c r="O145" i="4"/>
  <c r="K145" i="4"/>
  <c r="J145" i="4"/>
  <c r="I145" i="4"/>
  <c r="O144" i="4"/>
  <c r="J144" i="4"/>
  <c r="K144" i="4" s="1"/>
  <c r="I144" i="4"/>
  <c r="O143" i="4"/>
  <c r="N143" i="4"/>
  <c r="J143" i="4"/>
  <c r="K143" i="4" s="1"/>
  <c r="I143" i="4"/>
  <c r="K142" i="4"/>
  <c r="J142" i="4"/>
  <c r="I142" i="4"/>
  <c r="O142" i="4" s="1"/>
  <c r="O141" i="4"/>
  <c r="N141" i="4"/>
  <c r="L141" i="4"/>
  <c r="I141" i="4"/>
  <c r="J141" i="4" s="1"/>
  <c r="K141" i="4" s="1"/>
  <c r="P141" i="4" s="1"/>
  <c r="O140" i="4"/>
  <c r="J140" i="4"/>
  <c r="K140" i="4" s="1"/>
  <c r="I140" i="4"/>
  <c r="P139" i="4"/>
  <c r="O139" i="4"/>
  <c r="N139" i="4"/>
  <c r="K139" i="4"/>
  <c r="I139" i="4"/>
  <c r="J139" i="4" s="1"/>
  <c r="K138" i="4"/>
  <c r="J138" i="4"/>
  <c r="I138" i="4"/>
  <c r="O138" i="4" s="1"/>
  <c r="P137" i="4"/>
  <c r="O137" i="4"/>
  <c r="J137" i="4"/>
  <c r="K137" i="4" s="1"/>
  <c r="L137" i="4" s="1"/>
  <c r="I137" i="4"/>
  <c r="I136" i="4"/>
  <c r="O136" i="4" s="1"/>
  <c r="I135" i="4"/>
  <c r="J135" i="4" s="1"/>
  <c r="K135" i="4" s="1"/>
  <c r="O134" i="4"/>
  <c r="L134" i="4"/>
  <c r="J134" i="4"/>
  <c r="K134" i="4" s="1"/>
  <c r="I134" i="4"/>
  <c r="I133" i="4"/>
  <c r="J133" i="4" s="1"/>
  <c r="K133" i="4" s="1"/>
  <c r="P133" i="4" s="1"/>
  <c r="P132" i="4"/>
  <c r="O132" i="4"/>
  <c r="J132" i="4"/>
  <c r="K132" i="4" s="1"/>
  <c r="I132" i="4"/>
  <c r="I131" i="4"/>
  <c r="O131" i="4" s="1"/>
  <c r="I130" i="4"/>
  <c r="O130" i="4" s="1"/>
  <c r="I129" i="4"/>
  <c r="J129" i="4" s="1"/>
  <c r="K129" i="4" s="1"/>
  <c r="O128" i="4"/>
  <c r="K128" i="4"/>
  <c r="P128" i="4" s="1"/>
  <c r="J128" i="4"/>
  <c r="I128" i="4"/>
  <c r="J127" i="4"/>
  <c r="K127" i="4" s="1"/>
  <c r="I127" i="4"/>
  <c r="O127" i="4" s="1"/>
  <c r="O126" i="4"/>
  <c r="J126" i="4"/>
  <c r="K126" i="4" s="1"/>
  <c r="I126" i="4"/>
  <c r="J125" i="4"/>
  <c r="K125" i="4" s="1"/>
  <c r="I125" i="4"/>
  <c r="O125" i="4" s="1"/>
  <c r="N124" i="4"/>
  <c r="L124" i="4"/>
  <c r="I124" i="4"/>
  <c r="J124" i="4" s="1"/>
  <c r="K124" i="4" s="1"/>
  <c r="I123" i="4"/>
  <c r="I122" i="4"/>
  <c r="J122" i="4" s="1"/>
  <c r="K122" i="4" s="1"/>
  <c r="K121" i="4"/>
  <c r="J121" i="4"/>
  <c r="I121" i="4"/>
  <c r="O121" i="4" s="1"/>
  <c r="O120" i="4"/>
  <c r="J120" i="4"/>
  <c r="K120" i="4" s="1"/>
  <c r="L120" i="4" s="1"/>
  <c r="I120" i="4"/>
  <c r="J119" i="4"/>
  <c r="K119" i="4" s="1"/>
  <c r="I119" i="4"/>
  <c r="O119" i="4" s="1"/>
  <c r="I118" i="4"/>
  <c r="J118" i="4" s="1"/>
  <c r="K118" i="4" s="1"/>
  <c r="O117" i="4"/>
  <c r="I117" i="4"/>
  <c r="J117" i="4" s="1"/>
  <c r="K117" i="4" s="1"/>
  <c r="I116" i="4"/>
  <c r="N115" i="4"/>
  <c r="L115" i="4"/>
  <c r="M115" i="4" s="1"/>
  <c r="I115" i="4"/>
  <c r="J115" i="4" s="1"/>
  <c r="K115" i="4" s="1"/>
  <c r="P115" i="4" s="1"/>
  <c r="O114" i="4"/>
  <c r="J114" i="4"/>
  <c r="K114" i="4" s="1"/>
  <c r="I114" i="4"/>
  <c r="O113" i="4"/>
  <c r="J113" i="4"/>
  <c r="K113" i="4" s="1"/>
  <c r="I113" i="4"/>
  <c r="I112" i="4"/>
  <c r="K111" i="4"/>
  <c r="J111" i="4"/>
  <c r="I111" i="4"/>
  <c r="O111" i="4" s="1"/>
  <c r="O110" i="4"/>
  <c r="J110" i="4"/>
  <c r="K110" i="4" s="1"/>
  <c r="I110" i="4"/>
  <c r="P109" i="4"/>
  <c r="O109" i="4"/>
  <c r="N109" i="4"/>
  <c r="K109" i="4"/>
  <c r="J109" i="4"/>
  <c r="I109" i="4"/>
  <c r="I108" i="4"/>
  <c r="O108" i="4" s="1"/>
  <c r="O107" i="4"/>
  <c r="J107" i="4"/>
  <c r="K107" i="4" s="1"/>
  <c r="I107" i="4"/>
  <c r="J106" i="4"/>
  <c r="K106" i="4" s="1"/>
  <c r="I106" i="4"/>
  <c r="O106" i="4" s="1"/>
  <c r="I105" i="4"/>
  <c r="J105" i="4" s="1"/>
  <c r="K105" i="4" s="1"/>
  <c r="O104" i="4"/>
  <c r="K104" i="4"/>
  <c r="I104" i="4"/>
  <c r="J104" i="4" s="1"/>
  <c r="O103" i="4"/>
  <c r="K103" i="4"/>
  <c r="I103" i="4"/>
  <c r="J103" i="4" s="1"/>
  <c r="N102" i="4"/>
  <c r="I102" i="4"/>
  <c r="J102" i="4" s="1"/>
  <c r="K102" i="4" s="1"/>
  <c r="O101" i="4"/>
  <c r="I101" i="4"/>
  <c r="J101" i="4" s="1"/>
  <c r="K101" i="4" s="1"/>
  <c r="L100" i="4"/>
  <c r="J100" i="4"/>
  <c r="K100" i="4" s="1"/>
  <c r="I100" i="4"/>
  <c r="O100" i="4" s="1"/>
  <c r="P99" i="4"/>
  <c r="I99" i="4"/>
  <c r="J99" i="4" s="1"/>
  <c r="K99" i="4" s="1"/>
  <c r="N99" i="4" s="1"/>
  <c r="J98" i="4"/>
  <c r="K98" i="4" s="1"/>
  <c r="I98" i="4"/>
  <c r="O98" i="4" s="1"/>
  <c r="I97" i="4"/>
  <c r="I96" i="4"/>
  <c r="K95" i="4"/>
  <c r="J95" i="4"/>
  <c r="I95" i="4"/>
  <c r="O95" i="4" s="1"/>
  <c r="P94" i="4"/>
  <c r="O94" i="4"/>
  <c r="N94" i="4"/>
  <c r="M94" i="4"/>
  <c r="J94" i="4"/>
  <c r="K94" i="4" s="1"/>
  <c r="L94" i="4" s="1"/>
  <c r="I94" i="4"/>
  <c r="P93" i="4"/>
  <c r="O93" i="4"/>
  <c r="J93" i="4"/>
  <c r="K93" i="4" s="1"/>
  <c r="I93" i="4"/>
  <c r="I92" i="4"/>
  <c r="O91" i="4"/>
  <c r="K91" i="4"/>
  <c r="J91" i="4"/>
  <c r="I91" i="4"/>
  <c r="N90" i="4"/>
  <c r="L90" i="4"/>
  <c r="K90" i="4"/>
  <c r="J90" i="4"/>
  <c r="I90" i="4"/>
  <c r="O90" i="4" s="1"/>
  <c r="O89" i="4"/>
  <c r="I89" i="4"/>
  <c r="J89" i="4" s="1"/>
  <c r="K89" i="4" s="1"/>
  <c r="O88" i="4"/>
  <c r="I88" i="4"/>
  <c r="J88" i="4" s="1"/>
  <c r="K88" i="4" s="1"/>
  <c r="I87" i="4"/>
  <c r="K86" i="4"/>
  <c r="I86" i="4"/>
  <c r="J86" i="4" s="1"/>
  <c r="K85" i="4"/>
  <c r="I85" i="4"/>
  <c r="J85" i="4" s="1"/>
  <c r="O84" i="4"/>
  <c r="K84" i="4"/>
  <c r="I84" i="4"/>
  <c r="J84" i="4" s="1"/>
  <c r="P83" i="4"/>
  <c r="O83" i="4"/>
  <c r="L83" i="4"/>
  <c r="I83" i="4"/>
  <c r="J83" i="4" s="1"/>
  <c r="K83" i="4" s="1"/>
  <c r="N83" i="4" s="1"/>
  <c r="P82" i="4"/>
  <c r="J82" i="4"/>
  <c r="K82" i="4" s="1"/>
  <c r="I82" i="4"/>
  <c r="O82" i="4" s="1"/>
  <c r="J81" i="4"/>
  <c r="K81" i="4" s="1"/>
  <c r="I81" i="4"/>
  <c r="O81" i="4" s="1"/>
  <c r="N80" i="4"/>
  <c r="L80" i="4"/>
  <c r="M80" i="4" s="1"/>
  <c r="J80" i="4"/>
  <c r="K80" i="4" s="1"/>
  <c r="P80" i="4" s="1"/>
  <c r="I80" i="4"/>
  <c r="O80" i="4" s="1"/>
  <c r="I79" i="4"/>
  <c r="O79" i="4" s="1"/>
  <c r="P78" i="4"/>
  <c r="O78" i="4"/>
  <c r="M78" i="4"/>
  <c r="T78" i="4" s="1"/>
  <c r="J78" i="4"/>
  <c r="K78" i="4" s="1"/>
  <c r="L78" i="4" s="1"/>
  <c r="I78" i="4"/>
  <c r="O77" i="4"/>
  <c r="J77" i="4"/>
  <c r="K77" i="4" s="1"/>
  <c r="I77" i="4"/>
  <c r="I76" i="4"/>
  <c r="O76" i="4" s="1"/>
  <c r="O75" i="4"/>
  <c r="K75" i="4"/>
  <c r="L75" i="4" s="1"/>
  <c r="J75" i="4"/>
  <c r="I75" i="4"/>
  <c r="K74" i="4"/>
  <c r="P74" i="4" s="1"/>
  <c r="J74" i="4"/>
  <c r="I74" i="4"/>
  <c r="O74" i="4" s="1"/>
  <c r="O73" i="4"/>
  <c r="J73" i="4"/>
  <c r="K73" i="4" s="1"/>
  <c r="I73" i="4"/>
  <c r="O72" i="4"/>
  <c r="N72" i="4"/>
  <c r="K72" i="4"/>
  <c r="I72" i="4"/>
  <c r="J72" i="4" s="1"/>
  <c r="I71" i="4"/>
  <c r="O70" i="4"/>
  <c r="J70" i="4"/>
  <c r="K70" i="4" s="1"/>
  <c r="I70" i="4"/>
  <c r="O69" i="4"/>
  <c r="N69" i="4"/>
  <c r="K69" i="4"/>
  <c r="P69" i="4" s="1"/>
  <c r="I69" i="4"/>
  <c r="J69" i="4" s="1"/>
  <c r="J68" i="4"/>
  <c r="K68" i="4" s="1"/>
  <c r="I68" i="4"/>
  <c r="O68" i="4" s="1"/>
  <c r="I67" i="4"/>
  <c r="P66" i="4"/>
  <c r="O66" i="4"/>
  <c r="N66" i="4"/>
  <c r="K66" i="4"/>
  <c r="J66" i="4"/>
  <c r="I66" i="4"/>
  <c r="P65" i="4"/>
  <c r="J65" i="4"/>
  <c r="K65" i="4" s="1"/>
  <c r="I65" i="4"/>
  <c r="O65" i="4" s="1"/>
  <c r="I64" i="4"/>
  <c r="J63" i="4"/>
  <c r="K63" i="4" s="1"/>
  <c r="I63" i="4"/>
  <c r="O63" i="4" s="1"/>
  <c r="I62" i="4"/>
  <c r="O61" i="4"/>
  <c r="J61" i="4"/>
  <c r="K61" i="4" s="1"/>
  <c r="I61" i="4"/>
  <c r="N60" i="4"/>
  <c r="K60" i="4"/>
  <c r="P60" i="4" s="1"/>
  <c r="J60" i="4"/>
  <c r="I60" i="4"/>
  <c r="O60" i="4" s="1"/>
  <c r="J59" i="4"/>
  <c r="K59" i="4" s="1"/>
  <c r="P59" i="4" s="1"/>
  <c r="I59" i="4"/>
  <c r="O59" i="4" s="1"/>
  <c r="J58" i="4"/>
  <c r="K58" i="4" s="1"/>
  <c r="I58" i="4"/>
  <c r="O58" i="4" s="1"/>
  <c r="P57" i="4"/>
  <c r="O57" i="4"/>
  <c r="K57" i="4"/>
  <c r="J57" i="4"/>
  <c r="I57" i="4"/>
  <c r="O56" i="4"/>
  <c r="L56" i="4"/>
  <c r="I56" i="4"/>
  <c r="J56" i="4" s="1"/>
  <c r="K56" i="4" s="1"/>
  <c r="O55" i="4"/>
  <c r="I55" i="4"/>
  <c r="J55" i="4" s="1"/>
  <c r="K55" i="4" s="1"/>
  <c r="I54" i="4"/>
  <c r="I53" i="4"/>
  <c r="O52" i="4"/>
  <c r="I52" i="4"/>
  <c r="J52" i="4" s="1"/>
  <c r="K52" i="4" s="1"/>
  <c r="P51" i="4"/>
  <c r="O51" i="4"/>
  <c r="M51" i="4"/>
  <c r="T51" i="4" s="1"/>
  <c r="L51" i="4"/>
  <c r="I51" i="4"/>
  <c r="J51" i="4" s="1"/>
  <c r="K51" i="4" s="1"/>
  <c r="N51" i="4" s="1"/>
  <c r="J50" i="4"/>
  <c r="K50" i="4" s="1"/>
  <c r="I50" i="4"/>
  <c r="O50" i="4" s="1"/>
  <c r="O49" i="4"/>
  <c r="I49" i="4"/>
  <c r="J49" i="4" s="1"/>
  <c r="K49" i="4" s="1"/>
  <c r="O48" i="4"/>
  <c r="J48" i="4"/>
  <c r="K48" i="4" s="1"/>
  <c r="P48" i="4" s="1"/>
  <c r="I48" i="4"/>
  <c r="I47" i="4"/>
  <c r="O46" i="4"/>
  <c r="N46" i="4"/>
  <c r="J46" i="4"/>
  <c r="K46" i="4" s="1"/>
  <c r="I46" i="4"/>
  <c r="O45" i="4"/>
  <c r="K45" i="4"/>
  <c r="P45" i="4" s="1"/>
  <c r="J45" i="4"/>
  <c r="I45" i="4"/>
  <c r="J44" i="4"/>
  <c r="K44" i="4" s="1"/>
  <c r="I44" i="4"/>
  <c r="O44" i="4" s="1"/>
  <c r="O43" i="4"/>
  <c r="N43" i="4"/>
  <c r="K43" i="4"/>
  <c r="I43" i="4"/>
  <c r="J43" i="4" s="1"/>
  <c r="K42" i="4"/>
  <c r="P42" i="4" s="1"/>
  <c r="J42" i="4"/>
  <c r="I42" i="4"/>
  <c r="O42" i="4" s="1"/>
  <c r="J41" i="4"/>
  <c r="K41" i="4" s="1"/>
  <c r="I41" i="4"/>
  <c r="O41" i="4" s="1"/>
  <c r="P40" i="4"/>
  <c r="O40" i="4"/>
  <c r="N40" i="4"/>
  <c r="M40" i="4"/>
  <c r="I40" i="4"/>
  <c r="J40" i="4" s="1"/>
  <c r="K40" i="4" s="1"/>
  <c r="L40" i="4" s="1"/>
  <c r="J39" i="4"/>
  <c r="K39" i="4" s="1"/>
  <c r="I39" i="4"/>
  <c r="O39" i="4" s="1"/>
  <c r="K38" i="4"/>
  <c r="J38" i="4"/>
  <c r="I38" i="4"/>
  <c r="O38" i="4" s="1"/>
  <c r="O37" i="4"/>
  <c r="N37" i="4"/>
  <c r="I37" i="4"/>
  <c r="J37" i="4" s="1"/>
  <c r="K37" i="4" s="1"/>
  <c r="J36" i="4"/>
  <c r="K36" i="4" s="1"/>
  <c r="I36" i="4"/>
  <c r="O36" i="4" s="1"/>
  <c r="N35" i="4"/>
  <c r="L35" i="4"/>
  <c r="M35" i="4" s="1"/>
  <c r="I35" i="4"/>
  <c r="J35" i="4" s="1"/>
  <c r="K35" i="4" s="1"/>
  <c r="P35" i="4" s="1"/>
  <c r="O34" i="4"/>
  <c r="J34" i="4"/>
  <c r="K34" i="4" s="1"/>
  <c r="L34" i="4" s="1"/>
  <c r="I34" i="4"/>
  <c r="I33" i="4"/>
  <c r="O33" i="4" s="1"/>
  <c r="J32" i="4"/>
  <c r="K32" i="4" s="1"/>
  <c r="I32" i="4"/>
  <c r="O32" i="4" s="1"/>
  <c r="I31" i="4"/>
  <c r="O31" i="4" s="1"/>
  <c r="I30" i="4"/>
  <c r="O29" i="4"/>
  <c r="K29" i="4"/>
  <c r="J29" i="4"/>
  <c r="I29" i="4"/>
  <c r="J28" i="4"/>
  <c r="K28" i="4" s="1"/>
  <c r="L28" i="4" s="1"/>
  <c r="I28" i="4"/>
  <c r="O28" i="4" s="1"/>
  <c r="I27" i="4"/>
  <c r="O27" i="4" s="1"/>
  <c r="K26" i="4"/>
  <c r="J26" i="4"/>
  <c r="I26" i="4"/>
  <c r="O26" i="4" s="1"/>
  <c r="O25" i="4"/>
  <c r="J25" i="4"/>
  <c r="K25" i="4" s="1"/>
  <c r="P25" i="4" s="1"/>
  <c r="I25" i="4"/>
  <c r="O24" i="4"/>
  <c r="K24" i="4"/>
  <c r="L24" i="4" s="1"/>
  <c r="I24" i="4"/>
  <c r="J24" i="4" s="1"/>
  <c r="W23" i="4"/>
  <c r="O23" i="4"/>
  <c r="J23" i="4"/>
  <c r="K23" i="4" s="1"/>
  <c r="I23" i="4"/>
  <c r="W22" i="4"/>
  <c r="J22" i="4"/>
  <c r="K22" i="4" s="1"/>
  <c r="I22" i="4"/>
  <c r="O22" i="4" s="1"/>
  <c r="O21" i="4"/>
  <c r="N21" i="4"/>
  <c r="K21" i="4"/>
  <c r="I21" i="4"/>
  <c r="J21" i="4" s="1"/>
  <c r="K20" i="4"/>
  <c r="P20" i="4" s="1"/>
  <c r="J20" i="4"/>
  <c r="I20" i="4"/>
  <c r="O20" i="4" s="1"/>
  <c r="W19" i="4"/>
  <c r="O19" i="4"/>
  <c r="K19" i="4"/>
  <c r="J19" i="4"/>
  <c r="I19" i="4"/>
  <c r="P18" i="4"/>
  <c r="O18" i="4"/>
  <c r="N18" i="4"/>
  <c r="I18" i="4"/>
  <c r="J18" i="4" s="1"/>
  <c r="K18" i="4" s="1"/>
  <c r="I17" i="4"/>
  <c r="O17" i="4" s="1"/>
  <c r="K16" i="4"/>
  <c r="J16" i="4"/>
  <c r="I16" i="4"/>
  <c r="O16" i="4" s="1"/>
  <c r="O15" i="4"/>
  <c r="I15" i="4"/>
  <c r="J15" i="4" s="1"/>
  <c r="K15" i="4" s="1"/>
  <c r="L15" i="4" s="1"/>
  <c r="I14" i="4"/>
  <c r="O14" i="4" s="1"/>
  <c r="J13" i="4"/>
  <c r="K13" i="4" s="1"/>
  <c r="I13" i="4"/>
  <c r="O13" i="4" s="1"/>
  <c r="O12" i="4"/>
  <c r="J12" i="4"/>
  <c r="K12" i="4" s="1"/>
  <c r="L12" i="4" s="1"/>
  <c r="I12" i="4"/>
  <c r="I11" i="4"/>
  <c r="O11" i="4" s="1"/>
  <c r="K10" i="4"/>
  <c r="J10" i="4"/>
  <c r="I10" i="4"/>
  <c r="O10" i="4" s="1"/>
  <c r="J9" i="4"/>
  <c r="K9" i="4" s="1"/>
  <c r="I9" i="4"/>
  <c r="O9" i="4" s="1"/>
  <c r="I8" i="4"/>
  <c r="O8" i="4" s="1"/>
  <c r="O7" i="4"/>
  <c r="I7" i="4"/>
  <c r="J7" i="4" s="1"/>
  <c r="K7" i="4" s="1"/>
  <c r="J6" i="4"/>
  <c r="K6" i="4" s="1"/>
  <c r="I6" i="4"/>
  <c r="O6" i="4" s="1"/>
  <c r="O5" i="4"/>
  <c r="L5" i="4"/>
  <c r="M5" i="4" s="1"/>
  <c r="I5" i="4"/>
  <c r="J5" i="4" s="1"/>
  <c r="K5" i="4" s="1"/>
  <c r="P5" i="4" s="1"/>
  <c r="I4" i="4"/>
  <c r="O4" i="4" s="1"/>
  <c r="O3" i="4"/>
  <c r="K3" i="4"/>
  <c r="J3" i="4"/>
  <c r="I3" i="4"/>
  <c r="P2" i="4"/>
  <c r="O2" i="4"/>
  <c r="L2" i="4"/>
  <c r="I2" i="4"/>
  <c r="J2" i="4" s="1"/>
  <c r="K2" i="4" s="1"/>
  <c r="N2" i="4" s="1"/>
  <c r="N49" i="4" l="1"/>
  <c r="P49" i="4"/>
  <c r="M49" i="4"/>
  <c r="L49" i="4"/>
  <c r="P39" i="4"/>
  <c r="N39" i="4"/>
  <c r="L39" i="4"/>
  <c r="M39" i="4" s="1"/>
  <c r="T5" i="4"/>
  <c r="Q5" i="4"/>
  <c r="R5" i="4" s="1"/>
  <c r="N52" i="4"/>
  <c r="L52" i="4"/>
  <c r="M52" i="4" s="1"/>
  <c r="P52" i="4"/>
  <c r="P6" i="4"/>
  <c r="N6" i="4"/>
  <c r="L73" i="4"/>
  <c r="M73" i="4" s="1"/>
  <c r="P73" i="4"/>
  <c r="P77" i="4"/>
  <c r="L77" i="4"/>
  <c r="N77" i="4"/>
  <c r="M77" i="4"/>
  <c r="P85" i="4"/>
  <c r="N85" i="4"/>
  <c r="L85" i="4"/>
  <c r="M85" i="4" s="1"/>
  <c r="T115" i="4"/>
  <c r="Q115" i="4"/>
  <c r="P292" i="4"/>
  <c r="N292" i="4"/>
  <c r="M292" i="4"/>
  <c r="L292" i="4"/>
  <c r="P50" i="4"/>
  <c r="N50" i="4"/>
  <c r="N73" i="4"/>
  <c r="L105" i="4"/>
  <c r="M105" i="4" s="1"/>
  <c r="P105" i="4"/>
  <c r="N105" i="4"/>
  <c r="L122" i="4"/>
  <c r="M122" i="4" s="1"/>
  <c r="P122" i="4"/>
  <c r="N122" i="4"/>
  <c r="M195" i="4"/>
  <c r="L195" i="4"/>
  <c r="P195" i="4"/>
  <c r="N195" i="4"/>
  <c r="C55" i="16"/>
  <c r="C52" i="16"/>
  <c r="C54" i="16"/>
  <c r="C51" i="16"/>
  <c r="C50" i="16"/>
  <c r="C53" i="16"/>
  <c r="M188" i="4"/>
  <c r="N188" i="4"/>
  <c r="L188" i="4"/>
  <c r="P188" i="4"/>
  <c r="M28" i="4"/>
  <c r="M41" i="4"/>
  <c r="L41" i="4"/>
  <c r="P41" i="4"/>
  <c r="P44" i="4"/>
  <c r="N44" i="4"/>
  <c r="M44" i="4"/>
  <c r="L50" i="4"/>
  <c r="M50" i="4" s="1"/>
  <c r="J53" i="4"/>
  <c r="K53" i="4" s="1"/>
  <c r="O53" i="4"/>
  <c r="N81" i="4"/>
  <c r="P81" i="4"/>
  <c r="L81" i="4"/>
  <c r="M81" i="4" s="1"/>
  <c r="O116" i="4"/>
  <c r="J116" i="4"/>
  <c r="K116" i="4" s="1"/>
  <c r="J123" i="4"/>
  <c r="K123" i="4" s="1"/>
  <c r="O123" i="4"/>
  <c r="P152" i="4"/>
  <c r="N152" i="4"/>
  <c r="L152" i="4"/>
  <c r="M152" i="4" s="1"/>
  <c r="N5" i="5"/>
  <c r="O5" i="5" s="1"/>
  <c r="L161" i="4"/>
  <c r="P161" i="4"/>
  <c r="N161" i="4"/>
  <c r="M161" i="4"/>
  <c r="N3" i="4"/>
  <c r="P3" i="4"/>
  <c r="L3" i="4"/>
  <c r="M3" i="4" s="1"/>
  <c r="J17" i="4"/>
  <c r="K17" i="4" s="1"/>
  <c r="P34" i="4"/>
  <c r="P117" i="4"/>
  <c r="N117" i="4"/>
  <c r="L117" i="4"/>
  <c r="M117" i="4" s="1"/>
  <c r="P153" i="4"/>
  <c r="N153" i="4"/>
  <c r="M153" i="4"/>
  <c r="P157" i="4"/>
  <c r="N157" i="4"/>
  <c r="L157" i="4"/>
  <c r="M157" i="4" s="1"/>
  <c r="T179" i="4"/>
  <c r="Q179" i="4"/>
  <c r="H3" i="5"/>
  <c r="U3" i="5"/>
  <c r="P9" i="4"/>
  <c r="L9" i="4"/>
  <c r="M9" i="4" s="1"/>
  <c r="P28" i="4"/>
  <c r="L23" i="4"/>
  <c r="M23" i="4" s="1"/>
  <c r="P38" i="4"/>
  <c r="L38" i="4"/>
  <c r="M38" i="4" s="1"/>
  <c r="N63" i="4"/>
  <c r="P63" i="4"/>
  <c r="L63" i="4"/>
  <c r="M63" i="4" s="1"/>
  <c r="M70" i="4"/>
  <c r="P70" i="4"/>
  <c r="N70" i="4"/>
  <c r="O87" i="4"/>
  <c r="J87" i="4"/>
  <c r="K87" i="4" s="1"/>
  <c r="P91" i="4"/>
  <c r="L91" i="4"/>
  <c r="N91" i="4"/>
  <c r="M91" i="4"/>
  <c r="N95" i="4"/>
  <c r="L95" i="4"/>
  <c r="P95" i="4"/>
  <c r="M95" i="4"/>
  <c r="P106" i="4"/>
  <c r="N106" i="4"/>
  <c r="L106" i="4"/>
  <c r="M106" i="4" s="1"/>
  <c r="L153" i="4"/>
  <c r="M163" i="4"/>
  <c r="L163" i="4"/>
  <c r="N163" i="4"/>
  <c r="J197" i="4"/>
  <c r="K197" i="4" s="1"/>
  <c r="O197" i="4"/>
  <c r="O183" i="4"/>
  <c r="J183" i="4"/>
  <c r="K183" i="4" s="1"/>
  <c r="J4" i="4"/>
  <c r="K4" i="4" s="1"/>
  <c r="M12" i="4"/>
  <c r="M15" i="4"/>
  <c r="N23" i="4"/>
  <c r="T35" i="4"/>
  <c r="Q35" i="4"/>
  <c r="N38" i="4"/>
  <c r="L70" i="4"/>
  <c r="N82" i="4"/>
  <c r="M82" i="4"/>
  <c r="L82" i="4"/>
  <c r="O96" i="4"/>
  <c r="J96" i="4"/>
  <c r="K96" i="4" s="1"/>
  <c r="L129" i="4"/>
  <c r="N129" i="4"/>
  <c r="M129" i="4"/>
  <c r="P129" i="4"/>
  <c r="T158" i="4"/>
  <c r="Q158" i="4"/>
  <c r="P168" i="4"/>
  <c r="L168" i="4"/>
  <c r="M168" i="4" s="1"/>
  <c r="N168" i="4"/>
  <c r="T191" i="4"/>
  <c r="Q191" i="4"/>
  <c r="J244" i="4"/>
  <c r="K244" i="4" s="1"/>
  <c r="O244" i="4"/>
  <c r="L7" i="4"/>
  <c r="M7" i="4" s="1"/>
  <c r="J67" i="4"/>
  <c r="K67" i="4" s="1"/>
  <c r="O67" i="4"/>
  <c r="O92" i="4"/>
  <c r="J92" i="4"/>
  <c r="K92" i="4" s="1"/>
  <c r="N135" i="4"/>
  <c r="M135" i="4"/>
  <c r="L135" i="4"/>
  <c r="P169" i="4"/>
  <c r="N169" i="4"/>
  <c r="L169" i="4"/>
  <c r="M169" i="4" s="1"/>
  <c r="N216" i="4"/>
  <c r="L216" i="4"/>
  <c r="M216" i="4" s="1"/>
  <c r="P216" i="4"/>
  <c r="L239" i="4"/>
  <c r="M239" i="4" s="1"/>
  <c r="N239" i="4"/>
  <c r="P239" i="4"/>
  <c r="L59" i="4"/>
  <c r="M59" i="4" s="1"/>
  <c r="N59" i="4"/>
  <c r="O47" i="4"/>
  <c r="J47" i="4"/>
  <c r="K47" i="4" s="1"/>
  <c r="N15" i="4"/>
  <c r="U78" i="4"/>
  <c r="S78" i="4"/>
  <c r="N7" i="4"/>
  <c r="P23" i="4"/>
  <c r="P26" i="4"/>
  <c r="N26" i="4"/>
  <c r="L26" i="4"/>
  <c r="M26" i="4" s="1"/>
  <c r="P29" i="4"/>
  <c r="N29" i="4"/>
  <c r="L29" i="4"/>
  <c r="M29" i="4" s="1"/>
  <c r="O54" i="4"/>
  <c r="J54" i="4"/>
  <c r="K54" i="4" s="1"/>
  <c r="O64" i="4"/>
  <c r="J64" i="4"/>
  <c r="K64" i="4" s="1"/>
  <c r="O71" i="4"/>
  <c r="J71" i="4"/>
  <c r="K71" i="4" s="1"/>
  <c r="P88" i="4"/>
  <c r="N88" i="4"/>
  <c r="L88" i="4"/>
  <c r="M88" i="4" s="1"/>
  <c r="O97" i="4"/>
  <c r="J97" i="4"/>
  <c r="K97" i="4" s="1"/>
  <c r="M102" i="4"/>
  <c r="P102" i="4"/>
  <c r="L102" i="4"/>
  <c r="N111" i="4"/>
  <c r="L111" i="4"/>
  <c r="M111" i="4" s="1"/>
  <c r="P111" i="4"/>
  <c r="P135" i="4"/>
  <c r="N144" i="4"/>
  <c r="L144" i="4"/>
  <c r="P144" i="4"/>
  <c r="M144" i="4"/>
  <c r="R191" i="4"/>
  <c r="N302" i="4"/>
  <c r="P302" i="4"/>
  <c r="L302" i="4"/>
  <c r="M302" i="4" s="1"/>
  <c r="L44" i="4"/>
  <c r="P32" i="4"/>
  <c r="N32" i="4"/>
  <c r="L32" i="4"/>
  <c r="M32" i="4" s="1"/>
  <c r="P12" i="4"/>
  <c r="P15" i="4"/>
  <c r="L21" i="4"/>
  <c r="P21" i="4"/>
  <c r="O112" i="4"/>
  <c r="J112" i="4"/>
  <c r="K112" i="4" s="1"/>
  <c r="N119" i="4"/>
  <c r="L119" i="4"/>
  <c r="P119" i="4"/>
  <c r="M119" i="4"/>
  <c r="P125" i="4"/>
  <c r="N125" i="4"/>
  <c r="L125" i="4"/>
  <c r="M125" i="4" s="1"/>
  <c r="M140" i="4"/>
  <c r="P140" i="4"/>
  <c r="N140" i="4"/>
  <c r="L140" i="4"/>
  <c r="N159" i="4"/>
  <c r="L159" i="4"/>
  <c r="P159" i="4"/>
  <c r="M159" i="4"/>
  <c r="N288" i="4"/>
  <c r="P288" i="4"/>
  <c r="L288" i="4"/>
  <c r="M288" i="4" s="1"/>
  <c r="J14" i="4"/>
  <c r="K14" i="4" s="1"/>
  <c r="M34" i="4"/>
  <c r="L6" i="4"/>
  <c r="M6" i="4" s="1"/>
  <c r="N34" i="4"/>
  <c r="P7" i="4"/>
  <c r="M21" i="4"/>
  <c r="N93" i="4"/>
  <c r="M93" i="4"/>
  <c r="L93" i="4"/>
  <c r="P170" i="4"/>
  <c r="N170" i="4"/>
  <c r="M170" i="4"/>
  <c r="L170" i="4"/>
  <c r="L222" i="4"/>
  <c r="P222" i="4"/>
  <c r="N222" i="4"/>
  <c r="M222" i="4"/>
  <c r="L10" i="4"/>
  <c r="M10" i="4" s="1"/>
  <c r="P10" i="4"/>
  <c r="P55" i="4"/>
  <c r="P61" i="4"/>
  <c r="N61" i="4"/>
  <c r="L89" i="4"/>
  <c r="M89" i="4" s="1"/>
  <c r="N89" i="4"/>
  <c r="P89" i="4"/>
  <c r="N98" i="4"/>
  <c r="P98" i="4"/>
  <c r="L98" i="4"/>
  <c r="M98" i="4" s="1"/>
  <c r="P103" i="4"/>
  <c r="L103" i="4"/>
  <c r="M103" i="4" s="1"/>
  <c r="N113" i="4"/>
  <c r="P113" i="4"/>
  <c r="L113" i="4"/>
  <c r="M113" i="4" s="1"/>
  <c r="N211" i="4"/>
  <c r="P211" i="4"/>
  <c r="L211" i="4"/>
  <c r="M211" i="4"/>
  <c r="P101" i="4"/>
  <c r="N101" i="4"/>
  <c r="L101" i="4"/>
  <c r="M101" i="4" s="1"/>
  <c r="N9" i="4"/>
  <c r="L13" i="4"/>
  <c r="P13" i="4"/>
  <c r="M13" i="4"/>
  <c r="P58" i="4"/>
  <c r="N58" i="4"/>
  <c r="N103" i="4"/>
  <c r="L145" i="4"/>
  <c r="P145" i="4"/>
  <c r="N145" i="4"/>
  <c r="M145" i="4"/>
  <c r="T171" i="4"/>
  <c r="Q171" i="4"/>
  <c r="P200" i="4"/>
  <c r="M200" i="4"/>
  <c r="L200" i="4"/>
  <c r="N200" i="4"/>
  <c r="M133" i="4"/>
  <c r="L133" i="4"/>
  <c r="N133" i="4"/>
  <c r="L25" i="4"/>
  <c r="M25" i="4" s="1"/>
  <c r="N25" i="4"/>
  <c r="N28" i="4"/>
  <c r="N41" i="4"/>
  <c r="N12" i="4"/>
  <c r="P24" i="4"/>
  <c r="N24" i="4"/>
  <c r="M24" i="4"/>
  <c r="N68" i="4"/>
  <c r="P68" i="4"/>
  <c r="L68" i="4"/>
  <c r="M68" i="4" s="1"/>
  <c r="N5" i="4"/>
  <c r="J8" i="4"/>
  <c r="K8" i="4" s="1"/>
  <c r="N13" i="4"/>
  <c r="N16" i="4"/>
  <c r="P16" i="4"/>
  <c r="L16" i="4"/>
  <c r="M16" i="4" s="1"/>
  <c r="J27" i="4"/>
  <c r="K27" i="4" s="1"/>
  <c r="N55" i="4"/>
  <c r="L58" i="4"/>
  <c r="N65" i="4"/>
  <c r="M65" i="4"/>
  <c r="L65" i="4"/>
  <c r="R80" i="4"/>
  <c r="N132" i="4"/>
  <c r="M132" i="4"/>
  <c r="L132" i="4"/>
  <c r="P319" i="4"/>
  <c r="N319" i="4"/>
  <c r="M319" i="4"/>
  <c r="L319" i="4"/>
  <c r="C121" i="16"/>
  <c r="C119" i="16"/>
  <c r="C116" i="16"/>
  <c r="C118" i="16"/>
  <c r="C120" i="16"/>
  <c r="C117" i="16"/>
  <c r="O62" i="4"/>
  <c r="J62" i="4"/>
  <c r="K62" i="4" s="1"/>
  <c r="P86" i="4"/>
  <c r="N86" i="4"/>
  <c r="L86" i="4"/>
  <c r="M86" i="4" s="1"/>
  <c r="N10" i="4"/>
  <c r="J33" i="4"/>
  <c r="K33" i="4" s="1"/>
  <c r="M7" i="1" s="1"/>
  <c r="L61" i="4"/>
  <c r="M61" i="4" s="1"/>
  <c r="N19" i="4"/>
  <c r="M19" i="4"/>
  <c r="P19" i="4"/>
  <c r="L19" i="4"/>
  <c r="N22" i="4"/>
  <c r="P22" i="4"/>
  <c r="O30" i="4"/>
  <c r="J30" i="4"/>
  <c r="K30" i="4" s="1"/>
  <c r="P37" i="4"/>
  <c r="L37" i="4"/>
  <c r="T40" i="4"/>
  <c r="Q40" i="4"/>
  <c r="L43" i="4"/>
  <c r="P43" i="4"/>
  <c r="L46" i="4"/>
  <c r="P46" i="4"/>
  <c r="M58" i="4"/>
  <c r="N84" i="4"/>
  <c r="P84" i="4"/>
  <c r="L84" i="4"/>
  <c r="M84" i="4" s="1"/>
  <c r="P114" i="4"/>
  <c r="N114" i="4"/>
  <c r="M114" i="4"/>
  <c r="L114" i="4"/>
  <c r="J187" i="4"/>
  <c r="K187" i="4" s="1"/>
  <c r="O187" i="4"/>
  <c r="R40" i="4"/>
  <c r="L110" i="4"/>
  <c r="M110" i="4" s="1"/>
  <c r="P110" i="4"/>
  <c r="N110" i="4"/>
  <c r="N36" i="4"/>
  <c r="M36" i="4"/>
  <c r="P36" i="4"/>
  <c r="L36" i="4"/>
  <c r="L55" i="4"/>
  <c r="M55" i="4" s="1"/>
  <c r="J11" i="4"/>
  <c r="K11" i="4" s="1"/>
  <c r="L22" i="4"/>
  <c r="M22" i="4" s="1"/>
  <c r="M37" i="4"/>
  <c r="M43" i="4"/>
  <c r="M46" i="4"/>
  <c r="P56" i="4"/>
  <c r="N56" i="4"/>
  <c r="M56" i="4"/>
  <c r="Q80" i="4"/>
  <c r="T80" i="4"/>
  <c r="T94" i="4"/>
  <c r="Q94" i="4"/>
  <c r="R94" i="4" s="1"/>
  <c r="P104" i="4"/>
  <c r="N104" i="4"/>
  <c r="L104" i="4"/>
  <c r="M104" i="4" s="1"/>
  <c r="M109" i="4"/>
  <c r="P127" i="4"/>
  <c r="M127" i="4"/>
  <c r="N127" i="4"/>
  <c r="L127" i="4"/>
  <c r="P166" i="4"/>
  <c r="N166" i="4"/>
  <c r="M166" i="4"/>
  <c r="L166" i="4"/>
  <c r="P172" i="4"/>
  <c r="L172" i="4"/>
  <c r="M172" i="4" s="1"/>
  <c r="N172" i="4"/>
  <c r="O280" i="4"/>
  <c r="J280" i="4"/>
  <c r="K280" i="4" s="1"/>
  <c r="I58" i="5"/>
  <c r="V58" i="5"/>
  <c r="W58" i="5" s="1"/>
  <c r="J58" i="5"/>
  <c r="M124" i="4"/>
  <c r="P173" i="4"/>
  <c r="M173" i="4"/>
  <c r="L173" i="4"/>
  <c r="P234" i="4"/>
  <c r="L234" i="4"/>
  <c r="M234" i="4" s="1"/>
  <c r="J260" i="4"/>
  <c r="K260" i="4" s="1"/>
  <c r="O260" i="4"/>
  <c r="J267" i="4"/>
  <c r="K267" i="4" s="1"/>
  <c r="O267" i="4"/>
  <c r="S287" i="4"/>
  <c r="U287" i="4" s="1"/>
  <c r="N118" i="4"/>
  <c r="P126" i="4"/>
  <c r="L126" i="4"/>
  <c r="M126" i="4" s="1"/>
  <c r="O178" i="4"/>
  <c r="J178" i="4"/>
  <c r="K178" i="4" s="1"/>
  <c r="M219" i="4"/>
  <c r="P219" i="4"/>
  <c r="N219" i="4"/>
  <c r="L219" i="4"/>
  <c r="O228" i="4"/>
  <c r="J228" i="4"/>
  <c r="K228" i="4" s="1"/>
  <c r="N231" i="4"/>
  <c r="L231" i="4"/>
  <c r="M231" i="4" s="1"/>
  <c r="O238" i="4"/>
  <c r="J238" i="4"/>
  <c r="K238" i="4" s="1"/>
  <c r="N245" i="4"/>
  <c r="M245" i="4"/>
  <c r="M248" i="4"/>
  <c r="P248" i="4"/>
  <c r="L293" i="4"/>
  <c r="M293" i="4" s="1"/>
  <c r="P293" i="4"/>
  <c r="M323" i="4"/>
  <c r="P323" i="4"/>
  <c r="N323" i="4"/>
  <c r="L323" i="4"/>
  <c r="O329" i="4"/>
  <c r="J329" i="4"/>
  <c r="K329" i="4" s="1"/>
  <c r="C161" i="16"/>
  <c r="C158" i="16"/>
  <c r="C163" i="16"/>
  <c r="C159" i="16"/>
  <c r="C162" i="16"/>
  <c r="C160" i="16"/>
  <c r="L118" i="4"/>
  <c r="M118" i="4" s="1"/>
  <c r="M120" i="4"/>
  <c r="M150" i="4"/>
  <c r="L150" i="4"/>
  <c r="N194" i="4"/>
  <c r="M194" i="4"/>
  <c r="L194" i="4"/>
  <c r="J203" i="4"/>
  <c r="K203" i="4" s="1"/>
  <c r="O203" i="4"/>
  <c r="O206" i="4"/>
  <c r="J206" i="4"/>
  <c r="K206" i="4" s="1"/>
  <c r="O225" i="4"/>
  <c r="J225" i="4"/>
  <c r="K225" i="4" s="1"/>
  <c r="L252" i="4"/>
  <c r="M252" i="4" s="1"/>
  <c r="P252" i="4"/>
  <c r="N252" i="4"/>
  <c r="P256" i="4"/>
  <c r="N256" i="4"/>
  <c r="M272" i="4"/>
  <c r="P272" i="4"/>
  <c r="N272" i="4"/>
  <c r="L272" i="4"/>
  <c r="P320" i="4"/>
  <c r="N320" i="4"/>
  <c r="M320" i="4"/>
  <c r="F8" i="15"/>
  <c r="P8" i="5"/>
  <c r="S8" i="5"/>
  <c r="M8" i="5"/>
  <c r="D26" i="15"/>
  <c r="G26" i="5"/>
  <c r="O118" i="4"/>
  <c r="N120" i="4"/>
  <c r="O124" i="4"/>
  <c r="N126" i="4"/>
  <c r="L128" i="4"/>
  <c r="M128" i="4" s="1"/>
  <c r="J136" i="4"/>
  <c r="K136" i="4" s="1"/>
  <c r="N150" i="4"/>
  <c r="O152" i="4"/>
  <c r="P164" i="4"/>
  <c r="N164" i="4"/>
  <c r="M164" i="4"/>
  <c r="O171" i="4"/>
  <c r="N176" i="4"/>
  <c r="M176" i="4"/>
  <c r="P194" i="4"/>
  <c r="N217" i="4"/>
  <c r="M217" i="4"/>
  <c r="P231" i="4"/>
  <c r="O241" i="4"/>
  <c r="J241" i="4"/>
  <c r="K241" i="4" s="1"/>
  <c r="O245" i="4"/>
  <c r="N248" i="4"/>
  <c r="L256" i="4"/>
  <c r="M256" i="4" s="1"/>
  <c r="P264" i="4"/>
  <c r="N264" i="4"/>
  <c r="L264" i="4"/>
  <c r="M264" i="4" s="1"/>
  <c r="L268" i="4"/>
  <c r="M268" i="4" s="1"/>
  <c r="N268" i="4"/>
  <c r="P268" i="4"/>
  <c r="O277" i="4"/>
  <c r="J277" i="4"/>
  <c r="K277" i="4" s="1"/>
  <c r="P298" i="4"/>
  <c r="N298" i="4"/>
  <c r="L298" i="4"/>
  <c r="M298" i="4" s="1"/>
  <c r="P303" i="4"/>
  <c r="M303" i="4"/>
  <c r="L303" i="4"/>
  <c r="N303" i="4"/>
  <c r="J314" i="4"/>
  <c r="K314" i="4" s="1"/>
  <c r="O314" i="4"/>
  <c r="L320" i="4"/>
  <c r="O334" i="4"/>
  <c r="J334" i="4"/>
  <c r="K334" i="4" s="1"/>
  <c r="J56" i="5"/>
  <c r="I56" i="5"/>
  <c r="V56" i="5"/>
  <c r="W56" i="5" s="1"/>
  <c r="K56" i="5"/>
  <c r="F67" i="15"/>
  <c r="S67" i="5"/>
  <c r="P67" i="5"/>
  <c r="M67" i="5"/>
  <c r="B1171" i="16"/>
  <c r="B1168" i="16"/>
  <c r="B1166" i="16"/>
  <c r="B1170" i="16"/>
  <c r="B1169" i="16"/>
  <c r="B1167" i="16"/>
  <c r="O86" i="4"/>
  <c r="N100" i="4"/>
  <c r="M100" i="4"/>
  <c r="O105" i="4"/>
  <c r="P107" i="4"/>
  <c r="L107" i="4"/>
  <c r="M107" i="4" s="1"/>
  <c r="P118" i="4"/>
  <c r="O122" i="4"/>
  <c r="P124" i="4"/>
  <c r="P134" i="4"/>
  <c r="N134" i="4"/>
  <c r="N148" i="4"/>
  <c r="M148" i="4"/>
  <c r="P171" i="4"/>
  <c r="P181" i="4"/>
  <c r="N181" i="4"/>
  <c r="M181" i="4"/>
  <c r="L209" i="4"/>
  <c r="M209" i="4" s="1"/>
  <c r="P209" i="4"/>
  <c r="N209" i="4"/>
  <c r="O212" i="4"/>
  <c r="J212" i="4"/>
  <c r="K212" i="4" s="1"/>
  <c r="L217" i="4"/>
  <c r="P223" i="4"/>
  <c r="L223" i="4"/>
  <c r="M223" i="4"/>
  <c r="L229" i="4"/>
  <c r="P245" i="4"/>
  <c r="L281" i="4"/>
  <c r="P281" i="4"/>
  <c r="N281" i="4"/>
  <c r="M281" i="4"/>
  <c r="D14" i="15"/>
  <c r="G14" i="5"/>
  <c r="L20" i="4"/>
  <c r="L42" i="4"/>
  <c r="M42" i="4" s="1"/>
  <c r="L45" i="4"/>
  <c r="L48" i="4"/>
  <c r="M48" i="4" s="1"/>
  <c r="L57" i="4"/>
  <c r="M57" i="4" s="1"/>
  <c r="P72" i="4"/>
  <c r="P120" i="4"/>
  <c r="N128" i="4"/>
  <c r="P138" i="4"/>
  <c r="M138" i="4"/>
  <c r="N142" i="4"/>
  <c r="L142" i="4"/>
  <c r="M142" i="4" s="1"/>
  <c r="P150" i="4"/>
  <c r="P155" i="4"/>
  <c r="L155" i="4"/>
  <c r="M155" i="4" s="1"/>
  <c r="P186" i="4"/>
  <c r="N186" i="4"/>
  <c r="M186" i="4"/>
  <c r="L186" i="4"/>
  <c r="N192" i="4"/>
  <c r="L192" i="4"/>
  <c r="N198" i="4"/>
  <c r="M198" i="4"/>
  <c r="L198" i="4"/>
  <c r="M201" i="4"/>
  <c r="M220" i="4"/>
  <c r="L220" i="4"/>
  <c r="N223" i="4"/>
  <c r="M229" i="4"/>
  <c r="O242" i="4"/>
  <c r="J242" i="4"/>
  <c r="K242" i="4" s="1"/>
  <c r="O249" i="4"/>
  <c r="J249" i="4"/>
  <c r="K249" i="4" s="1"/>
  <c r="N261" i="4"/>
  <c r="P261" i="4"/>
  <c r="L261" i="4"/>
  <c r="M261" i="4" s="1"/>
  <c r="T299" i="4"/>
  <c r="Q299" i="4"/>
  <c r="R299" i="4" s="1"/>
  <c r="P331" i="4"/>
  <c r="N331" i="4"/>
  <c r="L331" i="4"/>
  <c r="M331" i="4" s="1"/>
  <c r="M20" i="4"/>
  <c r="M45" i="4"/>
  <c r="N57" i="4"/>
  <c r="L60" i="4"/>
  <c r="L66" i="4"/>
  <c r="M66" i="4" s="1"/>
  <c r="L69" i="4"/>
  <c r="M69" i="4" s="1"/>
  <c r="L72" i="4"/>
  <c r="M75" i="4"/>
  <c r="N78" i="4"/>
  <c r="M83" i="4"/>
  <c r="N107" i="4"/>
  <c r="L109" i="4"/>
  <c r="M134" i="4"/>
  <c r="L138" i="4"/>
  <c r="P148" i="4"/>
  <c r="N155" i="4"/>
  <c r="L162" i="4"/>
  <c r="M162" i="4" s="1"/>
  <c r="N167" i="4"/>
  <c r="L167" i="4"/>
  <c r="M167" i="4" s="1"/>
  <c r="J174" i="4"/>
  <c r="K174" i="4" s="1"/>
  <c r="P176" i="4"/>
  <c r="M192" i="4"/>
  <c r="L201" i="4"/>
  <c r="L204" i="4"/>
  <c r="M204" i="4" s="1"/>
  <c r="L207" i="4"/>
  <c r="M207" i="4" s="1"/>
  <c r="P217" i="4"/>
  <c r="N220" i="4"/>
  <c r="N229" i="4"/>
  <c r="J232" i="4"/>
  <c r="K232" i="4" s="1"/>
  <c r="M235" i="4"/>
  <c r="P235" i="4"/>
  <c r="N235" i="4"/>
  <c r="O253" i="4"/>
  <c r="J253" i="4"/>
  <c r="K253" i="4" s="1"/>
  <c r="O257" i="4"/>
  <c r="J257" i="4"/>
  <c r="K257" i="4" s="1"/>
  <c r="N286" i="4"/>
  <c r="P286" i="4"/>
  <c r="J294" i="4"/>
  <c r="K294" i="4" s="1"/>
  <c r="O294" i="4"/>
  <c r="N304" i="4"/>
  <c r="M304" i="4"/>
  <c r="P304" i="4"/>
  <c r="O325" i="4"/>
  <c r="J325" i="4"/>
  <c r="K325" i="4" s="1"/>
  <c r="G26" i="1" s="1"/>
  <c r="N20" i="4"/>
  <c r="N42" i="4"/>
  <c r="N45" i="4"/>
  <c r="N48" i="4"/>
  <c r="M60" i="4"/>
  <c r="M72" i="4"/>
  <c r="N75" i="4"/>
  <c r="R78" i="4"/>
  <c r="P90" i="4"/>
  <c r="M90" i="4"/>
  <c r="P100" i="4"/>
  <c r="N138" i="4"/>
  <c r="P142" i="4"/>
  <c r="N160" i="4"/>
  <c r="L160" i="4"/>
  <c r="M160" i="4" s="1"/>
  <c r="O169" i="4"/>
  <c r="P198" i="4"/>
  <c r="N201" i="4"/>
  <c r="N204" i="4"/>
  <c r="N215" i="4"/>
  <c r="L215" i="4"/>
  <c r="M215" i="4" s="1"/>
  <c r="O229" i="4"/>
  <c r="Q246" i="4"/>
  <c r="T246" i="4"/>
  <c r="T273" i="4"/>
  <c r="Q273" i="4"/>
  <c r="E61" i="16"/>
  <c r="E58" i="16"/>
  <c r="E60" i="16"/>
  <c r="E57" i="16"/>
  <c r="E56" i="16"/>
  <c r="E59" i="16"/>
  <c r="R246" i="4"/>
  <c r="N262" i="4"/>
  <c r="M262" i="4"/>
  <c r="P265" i="4"/>
  <c r="L265" i="4"/>
  <c r="M265" i="4" s="1"/>
  <c r="T286" i="4"/>
  <c r="Q286" i="4"/>
  <c r="O290" i="4"/>
  <c r="J290" i="4"/>
  <c r="K290" i="4" s="1"/>
  <c r="T326" i="4"/>
  <c r="Q326" i="4"/>
  <c r="R326" i="4" s="1"/>
  <c r="D17" i="15"/>
  <c r="G17" i="5"/>
  <c r="Q51" i="4"/>
  <c r="R51" i="4" s="1"/>
  <c r="P75" i="4"/>
  <c r="Q78" i="4"/>
  <c r="O102" i="4"/>
  <c r="R184" i="4"/>
  <c r="L213" i="4"/>
  <c r="P230" i="4"/>
  <c r="M230" i="4"/>
  <c r="L230" i="4"/>
  <c r="N233" i="4"/>
  <c r="M233" i="4"/>
  <c r="P254" i="4"/>
  <c r="L254" i="4"/>
  <c r="M254" i="4" s="1"/>
  <c r="N254" i="4"/>
  <c r="L262" i="4"/>
  <c r="N265" i="4"/>
  <c r="O270" i="4"/>
  <c r="J270" i="4"/>
  <c r="K270" i="4" s="1"/>
  <c r="N295" i="4"/>
  <c r="L295" i="4"/>
  <c r="M295" i="4" s="1"/>
  <c r="E517" i="16"/>
  <c r="E514" i="16"/>
  <c r="E513" i="16"/>
  <c r="E516" i="16"/>
  <c r="E515" i="16"/>
  <c r="E512" i="16"/>
  <c r="P121" i="4"/>
  <c r="N165" i="4"/>
  <c r="O199" i="4"/>
  <c r="J199" i="4"/>
  <c r="K199" i="4" s="1"/>
  <c r="M213" i="4"/>
  <c r="P218" i="4"/>
  <c r="L218" i="4"/>
  <c r="M218" i="4" s="1"/>
  <c r="O221" i="4"/>
  <c r="J221" i="4"/>
  <c r="K221" i="4" s="1"/>
  <c r="L236" i="4"/>
  <c r="M236" i="4" s="1"/>
  <c r="N236" i="4"/>
  <c r="P236" i="4"/>
  <c r="P250" i="4"/>
  <c r="N250" i="4"/>
  <c r="M250" i="4"/>
  <c r="L250" i="4"/>
  <c r="R273" i="4"/>
  <c r="P283" i="4"/>
  <c r="N283" i="4"/>
  <c r="L283" i="4"/>
  <c r="M283" i="4" s="1"/>
  <c r="N291" i="4"/>
  <c r="L291" i="4"/>
  <c r="M291" i="4" s="1"/>
  <c r="P291" i="4"/>
  <c r="N336" i="4"/>
  <c r="P336" i="4"/>
  <c r="L336" i="4"/>
  <c r="M336" i="4" s="1"/>
  <c r="J11" i="5"/>
  <c r="V11" i="5"/>
  <c r="W11" i="5" s="1"/>
  <c r="I11" i="5"/>
  <c r="F52" i="15"/>
  <c r="S52" i="5"/>
  <c r="P52" i="5"/>
  <c r="M52" i="5"/>
  <c r="O35" i="4"/>
  <c r="R35" i="4" s="1"/>
  <c r="S51" i="4"/>
  <c r="U51" i="4" s="1"/>
  <c r="L74" i="4"/>
  <c r="O85" i="4"/>
  <c r="L99" i="4"/>
  <c r="M99" i="4" s="1"/>
  <c r="O115" i="4"/>
  <c r="R115" i="4" s="1"/>
  <c r="L121" i="4"/>
  <c r="M121" i="4" s="1"/>
  <c r="J131" i="4"/>
  <c r="K131" i="4" s="1"/>
  <c r="L149" i="4"/>
  <c r="N151" i="4"/>
  <c r="P151" i="4"/>
  <c r="L151" i="4"/>
  <c r="M151" i="4" s="1"/>
  <c r="O158" i="4"/>
  <c r="R158" i="4" s="1"/>
  <c r="L165" i="4"/>
  <c r="M165" i="4" s="1"/>
  <c r="P179" i="4"/>
  <c r="T184" i="4"/>
  <c r="J190" i="4"/>
  <c r="K190" i="4" s="1"/>
  <c r="J196" i="4"/>
  <c r="K196" i="4" s="1"/>
  <c r="O196" i="4"/>
  <c r="N213" i="4"/>
  <c r="N218" i="4"/>
  <c r="O233" i="4"/>
  <c r="Q243" i="4"/>
  <c r="R243" i="4" s="1"/>
  <c r="T243" i="4"/>
  <c r="P262" i="4"/>
  <c r="P295" i="4"/>
  <c r="L332" i="4"/>
  <c r="M332" i="4" s="1"/>
  <c r="P332" i="4"/>
  <c r="N332" i="4"/>
  <c r="M74" i="4"/>
  <c r="J108" i="4"/>
  <c r="K108" i="4" s="1"/>
  <c r="N121" i="4"/>
  <c r="O129" i="4"/>
  <c r="M149" i="4"/>
  <c r="P165" i="4"/>
  <c r="L175" i="4"/>
  <c r="M175" i="4" s="1"/>
  <c r="L193" i="4"/>
  <c r="M193" i="4" s="1"/>
  <c r="P193" i="4"/>
  <c r="N193" i="4"/>
  <c r="N227" i="4"/>
  <c r="P227" i="4"/>
  <c r="L227" i="4"/>
  <c r="M227" i="4" s="1"/>
  <c r="P233" i="4"/>
  <c r="N247" i="4"/>
  <c r="P247" i="4"/>
  <c r="L247" i="4"/>
  <c r="M247" i="4" s="1"/>
  <c r="B366" i="16"/>
  <c r="B363" i="16"/>
  <c r="B365" i="16"/>
  <c r="B362" i="16"/>
  <c r="B367" i="16"/>
  <c r="B364" i="16"/>
  <c r="M2" i="4"/>
  <c r="L18" i="4"/>
  <c r="M18" i="4" s="1"/>
  <c r="J31" i="4"/>
  <c r="K31" i="4" s="1"/>
  <c r="N74" i="4"/>
  <c r="J79" i="4"/>
  <c r="K79" i="4" s="1"/>
  <c r="M137" i="4"/>
  <c r="P143" i="4"/>
  <c r="L143" i="4"/>
  <c r="M143" i="4" s="1"/>
  <c r="P147" i="4"/>
  <c r="N147" i="4"/>
  <c r="M147" i="4"/>
  <c r="P156" i="4"/>
  <c r="N156" i="4"/>
  <c r="L156" i="4"/>
  <c r="M156" i="4" s="1"/>
  <c r="O193" i="4"/>
  <c r="P202" i="4"/>
  <c r="N202" i="4"/>
  <c r="L202" i="4"/>
  <c r="M202" i="4" s="1"/>
  <c r="P205" i="4"/>
  <c r="L205" i="4"/>
  <c r="N205" i="4"/>
  <c r="M205" i="4"/>
  <c r="P208" i="4"/>
  <c r="M208" i="4"/>
  <c r="L208" i="4"/>
  <c r="Q240" i="4"/>
  <c r="R240" i="4" s="1"/>
  <c r="T240" i="4"/>
  <c r="J259" i="4"/>
  <c r="K259" i="4" s="1"/>
  <c r="O259" i="4"/>
  <c r="P271" i="4"/>
  <c r="N271" i="4"/>
  <c r="L271" i="4"/>
  <c r="M271" i="4" s="1"/>
  <c r="O275" i="4"/>
  <c r="J275" i="4"/>
  <c r="K275" i="4" s="1"/>
  <c r="N311" i="4"/>
  <c r="M311" i="4"/>
  <c r="P311" i="4"/>
  <c r="L311" i="4"/>
  <c r="O318" i="4"/>
  <c r="J318" i="4"/>
  <c r="K318" i="4" s="1"/>
  <c r="U321" i="4"/>
  <c r="G4" i="1"/>
  <c r="J76" i="4"/>
  <c r="K76" i="4" s="1"/>
  <c r="O99" i="4"/>
  <c r="O133" i="4"/>
  <c r="O135" i="4"/>
  <c r="N137" i="4"/>
  <c r="M139" i="4"/>
  <c r="L139" i="4"/>
  <c r="M141" i="4"/>
  <c r="L147" i="4"/>
  <c r="M154" i="4"/>
  <c r="M180" i="4"/>
  <c r="L180" i="4"/>
  <c r="P185" i="4"/>
  <c r="L185" i="4"/>
  <c r="M185" i="4" s="1"/>
  <c r="N208" i="4"/>
  <c r="P251" i="4"/>
  <c r="L251" i="4"/>
  <c r="M251" i="4" s="1"/>
  <c r="N263" i="4"/>
  <c r="P263" i="4"/>
  <c r="M263" i="4"/>
  <c r="L263" i="4"/>
  <c r="L284" i="4"/>
  <c r="M284" i="4" s="1"/>
  <c r="N284" i="4"/>
  <c r="R287" i="4"/>
  <c r="P296" i="4"/>
  <c r="L296" i="4"/>
  <c r="N296" i="4"/>
  <c r="M296" i="4"/>
  <c r="O306" i="4"/>
  <c r="J306" i="4"/>
  <c r="K306" i="4" s="1"/>
  <c r="G23" i="1" s="1"/>
  <c r="O322" i="4"/>
  <c r="J322" i="4"/>
  <c r="K322" i="4" s="1"/>
  <c r="B36" i="16"/>
  <c r="B33" i="16"/>
  <c r="B35" i="16"/>
  <c r="B34" i="16"/>
  <c r="B32" i="16"/>
  <c r="B37" i="16"/>
  <c r="T9" i="5"/>
  <c r="B76" i="16"/>
  <c r="B77" i="16"/>
  <c r="B74" i="16"/>
  <c r="B79" i="16"/>
  <c r="B78" i="16"/>
  <c r="B75" i="16"/>
  <c r="F24" i="15"/>
  <c r="P24" i="5"/>
  <c r="S24" i="5"/>
  <c r="M24" i="5"/>
  <c r="C177" i="16"/>
  <c r="C176" i="16"/>
  <c r="C179" i="16"/>
  <c r="C178" i="16"/>
  <c r="C181" i="16"/>
  <c r="C180" i="16"/>
  <c r="F50" i="15"/>
  <c r="S50" i="5"/>
  <c r="M50" i="5"/>
  <c r="L300" i="4"/>
  <c r="M300" i="4" s="1"/>
  <c r="N300" i="4"/>
  <c r="P309" i="4"/>
  <c r="L309" i="4"/>
  <c r="M309" i="4" s="1"/>
  <c r="N327" i="4"/>
  <c r="M327" i="4"/>
  <c r="L327" i="4"/>
  <c r="U333" i="4"/>
  <c r="D2" i="15"/>
  <c r="G2" i="5"/>
  <c r="F3" i="15"/>
  <c r="S3" i="5"/>
  <c r="T3" i="5" s="1"/>
  <c r="M3" i="5"/>
  <c r="N3" i="5" s="1"/>
  <c r="O3" i="5" s="1"/>
  <c r="C33" i="16"/>
  <c r="C37" i="16"/>
  <c r="C34" i="16"/>
  <c r="C36" i="16"/>
  <c r="C35" i="16"/>
  <c r="C32" i="16"/>
  <c r="H8" i="5"/>
  <c r="B52" i="16"/>
  <c r="B55" i="16"/>
  <c r="B51" i="16"/>
  <c r="B50" i="16"/>
  <c r="B54" i="16"/>
  <c r="B53" i="16"/>
  <c r="U11" i="5"/>
  <c r="O11" i="5"/>
  <c r="C97" i="16"/>
  <c r="C95" i="16"/>
  <c r="C92" i="16"/>
  <c r="C94" i="16"/>
  <c r="C93" i="16"/>
  <c r="C96" i="16"/>
  <c r="B160" i="16"/>
  <c r="B163" i="16"/>
  <c r="B159" i="16"/>
  <c r="B162" i="16"/>
  <c r="B161" i="16"/>
  <c r="B158" i="16"/>
  <c r="H39" i="5"/>
  <c r="N39" i="5" s="1"/>
  <c r="O39" i="5" s="1"/>
  <c r="H42" i="5"/>
  <c r="P300" i="4"/>
  <c r="P327" i="4"/>
  <c r="E37" i="16"/>
  <c r="E34" i="16"/>
  <c r="E33" i="16"/>
  <c r="E32" i="16"/>
  <c r="E36" i="16"/>
  <c r="E35" i="16"/>
  <c r="E94" i="16"/>
  <c r="E95" i="16"/>
  <c r="E92" i="16"/>
  <c r="E97" i="16"/>
  <c r="E93" i="16"/>
  <c r="E96" i="16"/>
  <c r="D19" i="15"/>
  <c r="G19" i="5"/>
  <c r="B132" i="16"/>
  <c r="B131" i="16"/>
  <c r="B128" i="16"/>
  <c r="B133" i="16"/>
  <c r="B130" i="16"/>
  <c r="B129" i="16"/>
  <c r="D28" i="15"/>
  <c r="G28" i="5"/>
  <c r="C309" i="16"/>
  <c r="C308" i="16"/>
  <c r="C312" i="16"/>
  <c r="C311" i="16"/>
  <c r="C310" i="16"/>
  <c r="C313" i="16"/>
  <c r="C322" i="16"/>
  <c r="C323" i="16"/>
  <c r="C320" i="16"/>
  <c r="C325" i="16"/>
  <c r="C321" i="16"/>
  <c r="C324" i="16"/>
  <c r="C335" i="16"/>
  <c r="C332" i="16"/>
  <c r="C337" i="16"/>
  <c r="C334" i="16"/>
  <c r="C333" i="16"/>
  <c r="C336" i="16"/>
  <c r="C346" i="16"/>
  <c r="C345" i="16"/>
  <c r="C344" i="16"/>
  <c r="C349" i="16"/>
  <c r="C348" i="16"/>
  <c r="C347" i="16"/>
  <c r="R179" i="4"/>
  <c r="J182" i="4"/>
  <c r="K182" i="4" s="1"/>
  <c r="M9" i="1" s="1"/>
  <c r="O235" i="4"/>
  <c r="J307" i="4"/>
  <c r="K307" i="4" s="1"/>
  <c r="J316" i="4"/>
  <c r="K316" i="4" s="1"/>
  <c r="O330" i="4"/>
  <c r="J330" i="4"/>
  <c r="K330" i="4" s="1"/>
  <c r="F7" i="15"/>
  <c r="P7" i="5"/>
  <c r="S7" i="5"/>
  <c r="T7" i="5" s="1"/>
  <c r="U7" i="5" s="1"/>
  <c r="N11" i="5"/>
  <c r="F14" i="15"/>
  <c r="M14" i="5"/>
  <c r="P14" i="5"/>
  <c r="E107" i="16"/>
  <c r="E104" i="16"/>
  <c r="E109" i="16"/>
  <c r="E106" i="16"/>
  <c r="E108" i="16"/>
  <c r="E105" i="16"/>
  <c r="E118" i="16"/>
  <c r="E119" i="16"/>
  <c r="E116" i="16"/>
  <c r="E121" i="16"/>
  <c r="E120" i="16"/>
  <c r="E117" i="16"/>
  <c r="C129" i="16"/>
  <c r="C132" i="16"/>
  <c r="C131" i="16"/>
  <c r="C128" i="16"/>
  <c r="C133" i="16"/>
  <c r="C130" i="16"/>
  <c r="B140" i="16"/>
  <c r="B144" i="16"/>
  <c r="B141" i="16"/>
  <c r="B143" i="16"/>
  <c r="B145" i="16"/>
  <c r="B142" i="16"/>
  <c r="H35" i="5"/>
  <c r="D286" i="16"/>
  <c r="D288" i="16"/>
  <c r="D289" i="16"/>
  <c r="D284" i="16"/>
  <c r="D287" i="16"/>
  <c r="D285" i="16"/>
  <c r="F119" i="15"/>
  <c r="P119" i="5"/>
  <c r="Q119" i="5" s="1"/>
  <c r="R119" i="5" s="1"/>
  <c r="M119" i="5"/>
  <c r="N119" i="5" s="1"/>
  <c r="S119" i="5"/>
  <c r="T119" i="5" s="1"/>
  <c r="N279" i="4"/>
  <c r="P279" i="4"/>
  <c r="H7" i="5"/>
  <c r="F10" i="15"/>
  <c r="P10" i="5"/>
  <c r="S10" i="5"/>
  <c r="B68" i="16"/>
  <c r="B71" i="16"/>
  <c r="B73" i="16"/>
  <c r="B70" i="16"/>
  <c r="B72" i="16"/>
  <c r="B69" i="16"/>
  <c r="F19" i="15"/>
  <c r="S19" i="5"/>
  <c r="M19" i="5"/>
  <c r="P19" i="5"/>
  <c r="F21" i="15"/>
  <c r="S21" i="5"/>
  <c r="P21" i="5"/>
  <c r="Q21" i="5" s="1"/>
  <c r="R21" i="5" s="1"/>
  <c r="M21" i="5"/>
  <c r="C145" i="16"/>
  <c r="C144" i="16"/>
  <c r="C141" i="16"/>
  <c r="C143" i="16"/>
  <c r="C140" i="16"/>
  <c r="C142" i="16"/>
  <c r="B156" i="16"/>
  <c r="B153" i="16"/>
  <c r="B152" i="16"/>
  <c r="B155" i="16"/>
  <c r="B157" i="16"/>
  <c r="B154" i="16"/>
  <c r="B172" i="16"/>
  <c r="B170" i="16"/>
  <c r="B173" i="16"/>
  <c r="B175" i="16"/>
  <c r="B171" i="16"/>
  <c r="B174" i="16"/>
  <c r="T39" i="5"/>
  <c r="U39" i="5" s="1"/>
  <c r="C1125" i="16"/>
  <c r="C1124" i="16"/>
  <c r="C1129" i="16"/>
  <c r="C1128" i="16"/>
  <c r="C1127" i="16"/>
  <c r="C1126" i="16"/>
  <c r="J237" i="4"/>
  <c r="K237" i="4" s="1"/>
  <c r="J255" i="4"/>
  <c r="K255" i="4" s="1"/>
  <c r="J258" i="4"/>
  <c r="K258" i="4" s="1"/>
  <c r="J269" i="4"/>
  <c r="K269" i="4" s="1"/>
  <c r="L279" i="4"/>
  <c r="M279" i="4" s="1"/>
  <c r="M305" i="4"/>
  <c r="O312" i="4"/>
  <c r="J312" i="4"/>
  <c r="K312" i="4" s="1"/>
  <c r="B44" i="16"/>
  <c r="B47" i="16"/>
  <c r="B46" i="16"/>
  <c r="B45" i="16"/>
  <c r="B49" i="16"/>
  <c r="B48" i="16"/>
  <c r="T11" i="5"/>
  <c r="E131" i="16"/>
  <c r="E128" i="16"/>
  <c r="E133" i="16"/>
  <c r="E130" i="16"/>
  <c r="E129" i="16"/>
  <c r="E132" i="16"/>
  <c r="C153" i="16"/>
  <c r="C156" i="16"/>
  <c r="C152" i="16"/>
  <c r="C155" i="16"/>
  <c r="C157" i="16"/>
  <c r="C154" i="16"/>
  <c r="C174" i="16"/>
  <c r="C173" i="16"/>
  <c r="C172" i="16"/>
  <c r="C175" i="16"/>
  <c r="C170" i="16"/>
  <c r="C171" i="16"/>
  <c r="H38" i="5"/>
  <c r="H41" i="5"/>
  <c r="N41" i="5" s="1"/>
  <c r="O41" i="5" s="1"/>
  <c r="H44" i="5"/>
  <c r="Q44" i="5"/>
  <c r="R44" i="5" s="1"/>
  <c r="F53" i="15"/>
  <c r="S53" i="5"/>
  <c r="T53" i="5" s="1"/>
  <c r="U53" i="5" s="1"/>
  <c r="M53" i="5"/>
  <c r="F55" i="15"/>
  <c r="P55" i="5"/>
  <c r="S55" i="5"/>
  <c r="M55" i="5"/>
  <c r="F57" i="15"/>
  <c r="S57" i="5"/>
  <c r="P57" i="5"/>
  <c r="M57" i="5"/>
  <c r="J130" i="4"/>
  <c r="K130" i="4" s="1"/>
  <c r="J177" i="4"/>
  <c r="K177" i="4" s="1"/>
  <c r="J189" i="4"/>
  <c r="K189" i="4" s="1"/>
  <c r="O209" i="4"/>
  <c r="O261" i="4"/>
  <c r="O274" i="4"/>
  <c r="J274" i="4"/>
  <c r="K274" i="4" s="1"/>
  <c r="O296" i="4"/>
  <c r="N305" i="4"/>
  <c r="P3" i="5"/>
  <c r="Q3" i="5" s="1"/>
  <c r="R3" i="5" s="1"/>
  <c r="C49" i="16"/>
  <c r="C46" i="16"/>
  <c r="C48" i="16"/>
  <c r="C45" i="16"/>
  <c r="C44" i="16"/>
  <c r="C47" i="16"/>
  <c r="H10" i="5"/>
  <c r="B67" i="16"/>
  <c r="B64" i="16"/>
  <c r="B62" i="16"/>
  <c r="B66" i="16"/>
  <c r="B65" i="16"/>
  <c r="B63" i="16"/>
  <c r="D73" i="16"/>
  <c r="D70" i="16"/>
  <c r="D68" i="16"/>
  <c r="D72" i="16"/>
  <c r="D71" i="16"/>
  <c r="D69" i="16"/>
  <c r="F23" i="15"/>
  <c r="P23" i="5"/>
  <c r="Q23" i="5" s="1"/>
  <c r="M23" i="5"/>
  <c r="G49" i="5"/>
  <c r="F51" i="15"/>
  <c r="S51" i="5"/>
  <c r="M51" i="5"/>
  <c r="C474" i="16"/>
  <c r="C471" i="16"/>
  <c r="C473" i="16"/>
  <c r="C470" i="16"/>
  <c r="C475" i="16"/>
  <c r="C472" i="16"/>
  <c r="P285" i="4"/>
  <c r="N285" i="4"/>
  <c r="M285" i="4"/>
  <c r="J310" i="4"/>
  <c r="K310" i="4" s="1"/>
  <c r="O310" i="4"/>
  <c r="J328" i="4"/>
  <c r="K328" i="4" s="1"/>
  <c r="O328" i="4"/>
  <c r="U337" i="4"/>
  <c r="F6" i="15"/>
  <c r="P6" i="5"/>
  <c r="M7" i="5"/>
  <c r="C65" i="16"/>
  <c r="C67" i="16"/>
  <c r="C64" i="16"/>
  <c r="C62" i="16"/>
  <c r="C66" i="16"/>
  <c r="C63" i="16"/>
  <c r="E70" i="16"/>
  <c r="E73" i="16"/>
  <c r="E72" i="16"/>
  <c r="E69" i="16"/>
  <c r="E68" i="16"/>
  <c r="E71" i="16"/>
  <c r="S14" i="5"/>
  <c r="C89" i="16"/>
  <c r="C86" i="16"/>
  <c r="C91" i="16"/>
  <c r="C88" i="16"/>
  <c r="C87" i="16"/>
  <c r="C90" i="16"/>
  <c r="E155" i="16"/>
  <c r="E153" i="16"/>
  <c r="E156" i="16"/>
  <c r="E152" i="16"/>
  <c r="E154" i="16"/>
  <c r="E157" i="16"/>
  <c r="N44" i="5"/>
  <c r="O44" i="5" s="1"/>
  <c r="B358" i="16"/>
  <c r="B360" i="16"/>
  <c r="B357" i="16"/>
  <c r="B361" i="16"/>
  <c r="B359" i="16"/>
  <c r="B356" i="16"/>
  <c r="V109" i="5"/>
  <c r="W109" i="5" s="1"/>
  <c r="J109" i="5"/>
  <c r="I109" i="5"/>
  <c r="M266" i="4"/>
  <c r="P276" i="4"/>
  <c r="N276" i="4"/>
  <c r="P301" i="4"/>
  <c r="N301" i="4"/>
  <c r="M301" i="4"/>
  <c r="M10" i="5"/>
  <c r="N10" i="5" s="1"/>
  <c r="O10" i="5" s="1"/>
  <c r="D16" i="15"/>
  <c r="G16" i="5"/>
  <c r="B100" i="16"/>
  <c r="B101" i="16"/>
  <c r="B98" i="16"/>
  <c r="B102" i="16"/>
  <c r="B99" i="16"/>
  <c r="B103" i="16"/>
  <c r="B113" i="16"/>
  <c r="B110" i="16"/>
  <c r="B115" i="16"/>
  <c r="B114" i="16"/>
  <c r="B112" i="16"/>
  <c r="B111" i="16"/>
  <c r="F64" i="15"/>
  <c r="S64" i="5"/>
  <c r="P64" i="5"/>
  <c r="M64" i="5"/>
  <c r="E391" i="16"/>
  <c r="E386" i="16"/>
  <c r="E388" i="16"/>
  <c r="E390" i="16"/>
  <c r="E389" i="16"/>
  <c r="E387" i="16"/>
  <c r="L266" i="4"/>
  <c r="L276" i="4"/>
  <c r="M276" i="4" s="1"/>
  <c r="L278" i="4"/>
  <c r="J289" i="4"/>
  <c r="K289" i="4" s="1"/>
  <c r="L301" i="4"/>
  <c r="L308" i="4"/>
  <c r="M308" i="4" s="1"/>
  <c r="L317" i="4"/>
  <c r="P335" i="4"/>
  <c r="L335" i="4"/>
  <c r="B17" i="16"/>
  <c r="B19" i="16"/>
  <c r="B16" i="16"/>
  <c r="B15" i="16"/>
  <c r="B14" i="16"/>
  <c r="B18" i="16"/>
  <c r="E22" i="16"/>
  <c r="E25" i="16"/>
  <c r="E21" i="16"/>
  <c r="E24" i="16"/>
  <c r="E23" i="16"/>
  <c r="E20" i="16"/>
  <c r="H6" i="5"/>
  <c r="T6" i="5" s="1"/>
  <c r="U6" i="5" s="1"/>
  <c r="F9" i="15"/>
  <c r="P9" i="5"/>
  <c r="Q9" i="5" s="1"/>
  <c r="E86" i="16"/>
  <c r="E89" i="16"/>
  <c r="E91" i="16"/>
  <c r="E88" i="16"/>
  <c r="E87" i="16"/>
  <c r="E90" i="16"/>
  <c r="B124" i="16"/>
  <c r="B125" i="16"/>
  <c r="B122" i="16"/>
  <c r="B123" i="16"/>
  <c r="B127" i="16"/>
  <c r="B126" i="16"/>
  <c r="T38" i="5"/>
  <c r="U38" i="5" s="1"/>
  <c r="F46" i="15"/>
  <c r="M46" i="5"/>
  <c r="S46" i="5"/>
  <c r="P51" i="5"/>
  <c r="J146" i="4"/>
  <c r="K146" i="4" s="1"/>
  <c r="G24" i="1" s="1"/>
  <c r="L214" i="4"/>
  <c r="M214" i="4" s="1"/>
  <c r="N224" i="4"/>
  <c r="N243" i="4"/>
  <c r="N246" i="4"/>
  <c r="N266" i="4"/>
  <c r="M278" i="4"/>
  <c r="M315" i="4"/>
  <c r="M317" i="4"/>
  <c r="P324" i="4"/>
  <c r="N324" i="4"/>
  <c r="M335" i="4"/>
  <c r="B41" i="16"/>
  <c r="B40" i="16"/>
  <c r="B39" i="16"/>
  <c r="B38" i="16"/>
  <c r="B43" i="16"/>
  <c r="B42" i="16"/>
  <c r="U9" i="5"/>
  <c r="O9" i="5"/>
  <c r="R9" i="5"/>
  <c r="H13" i="5"/>
  <c r="F16" i="15"/>
  <c r="S16" i="5"/>
  <c r="M16" i="5"/>
  <c r="D18" i="15"/>
  <c r="G18" i="5"/>
  <c r="D20" i="15"/>
  <c r="G20" i="5"/>
  <c r="B164" i="16"/>
  <c r="B166" i="16"/>
  <c r="B169" i="16"/>
  <c r="B165" i="16"/>
  <c r="B168" i="16"/>
  <c r="B167" i="16"/>
  <c r="H37" i="5"/>
  <c r="T44" i="5"/>
  <c r="U44" i="5" s="1"/>
  <c r="D48" i="15"/>
  <c r="G48" i="5"/>
  <c r="C338" i="16"/>
  <c r="C343" i="16"/>
  <c r="C340" i="16"/>
  <c r="C342" i="16"/>
  <c r="C339" i="16"/>
  <c r="C341" i="16"/>
  <c r="E359" i="16"/>
  <c r="E357" i="16"/>
  <c r="E356" i="16"/>
  <c r="E361" i="16"/>
  <c r="E360" i="16"/>
  <c r="E358" i="16"/>
  <c r="H5" i="5"/>
  <c r="V9" i="5"/>
  <c r="W9" i="5" s="1"/>
  <c r="J9" i="5"/>
  <c r="B60" i="16"/>
  <c r="B61" i="16"/>
  <c r="B58" i="16"/>
  <c r="B56" i="16"/>
  <c r="B59" i="16"/>
  <c r="B57" i="16"/>
  <c r="D15" i="15"/>
  <c r="G15" i="5"/>
  <c r="E102" i="16"/>
  <c r="E101" i="16"/>
  <c r="E98" i="16"/>
  <c r="E103" i="16"/>
  <c r="E100" i="16"/>
  <c r="E99" i="16"/>
  <c r="E110" i="16"/>
  <c r="E113" i="16"/>
  <c r="E115" i="16"/>
  <c r="E112" i="16"/>
  <c r="E114" i="16"/>
  <c r="E111" i="16"/>
  <c r="B138" i="16"/>
  <c r="B135" i="16"/>
  <c r="B137" i="16"/>
  <c r="B134" i="16"/>
  <c r="B139" i="16"/>
  <c r="B136" i="16"/>
  <c r="C169" i="16"/>
  <c r="C166" i="16"/>
  <c r="C165" i="16"/>
  <c r="C168" i="16"/>
  <c r="C167" i="16"/>
  <c r="C164" i="16"/>
  <c r="H40" i="5"/>
  <c r="H43" i="5"/>
  <c r="T43" i="5" s="1"/>
  <c r="U43" i="5" s="1"/>
  <c r="T59" i="5"/>
  <c r="U59" i="5" s="1"/>
  <c r="O155" i="4"/>
  <c r="O226" i="4"/>
  <c r="J226" i="4"/>
  <c r="K226" i="4" s="1"/>
  <c r="P266" i="4"/>
  <c r="P278" i="4"/>
  <c r="O282" i="4"/>
  <c r="J282" i="4"/>
  <c r="K282" i="4" s="1"/>
  <c r="O308" i="4"/>
  <c r="M324" i="4"/>
  <c r="E14" i="16"/>
  <c r="E19" i="16"/>
  <c r="E16" i="16"/>
  <c r="E18" i="16"/>
  <c r="E17" i="16"/>
  <c r="E15" i="16"/>
  <c r="I9" i="5"/>
  <c r="C57" i="16"/>
  <c r="C61" i="16"/>
  <c r="C58" i="16"/>
  <c r="C56" i="16"/>
  <c r="C60" i="16"/>
  <c r="C59" i="16"/>
  <c r="H12" i="5"/>
  <c r="T12" i="5" s="1"/>
  <c r="U12" i="5" s="1"/>
  <c r="E85" i="16"/>
  <c r="E82" i="16"/>
  <c r="E80" i="16"/>
  <c r="E84" i="16"/>
  <c r="E83" i="16"/>
  <c r="E81" i="16"/>
  <c r="P16" i="5"/>
  <c r="F18" i="15"/>
  <c r="P18" i="5"/>
  <c r="M18" i="5"/>
  <c r="F20" i="15"/>
  <c r="M20" i="5"/>
  <c r="E126" i="16"/>
  <c r="E125" i="16"/>
  <c r="E122" i="16"/>
  <c r="E127" i="16"/>
  <c r="E124" i="16"/>
  <c r="E123" i="16"/>
  <c r="B148" i="16"/>
  <c r="B150" i="16"/>
  <c r="B147" i="16"/>
  <c r="B149" i="16"/>
  <c r="B146" i="16"/>
  <c r="B151" i="16"/>
  <c r="D169" i="16"/>
  <c r="D166" i="16"/>
  <c r="D165" i="16"/>
  <c r="D168" i="16"/>
  <c r="D164" i="16"/>
  <c r="D167" i="16"/>
  <c r="N43" i="5"/>
  <c r="O43" i="5" s="1"/>
  <c r="O210" i="4"/>
  <c r="J210" i="4"/>
  <c r="K210" i="4" s="1"/>
  <c r="P214" i="4"/>
  <c r="R286" i="4"/>
  <c r="J313" i="4"/>
  <c r="K313" i="4" s="1"/>
  <c r="P315" i="4"/>
  <c r="O324" i="4"/>
  <c r="S337" i="4"/>
  <c r="F19" i="16"/>
  <c r="F18" i="16"/>
  <c r="F14" i="16"/>
  <c r="F17" i="16"/>
  <c r="F16" i="16"/>
  <c r="F15" i="16"/>
  <c r="M6" i="5"/>
  <c r="K9" i="5"/>
  <c r="T13" i="5"/>
  <c r="U13" i="5" s="1"/>
  <c r="P20" i="5"/>
  <c r="F22" i="15"/>
  <c r="P22" i="5"/>
  <c r="S22" i="5"/>
  <c r="D24" i="15"/>
  <c r="G24" i="5"/>
  <c r="C150" i="16"/>
  <c r="C147" i="16"/>
  <c r="C149" i="16"/>
  <c r="C146" i="16"/>
  <c r="C151" i="16"/>
  <c r="C148" i="16"/>
  <c r="F54" i="15"/>
  <c r="P54" i="5"/>
  <c r="S54" i="5"/>
  <c r="M54" i="5"/>
  <c r="F56" i="15"/>
  <c r="P56" i="5"/>
  <c r="Q56" i="5" s="1"/>
  <c r="R56" i="5" s="1"/>
  <c r="S56" i="5"/>
  <c r="T56" i="5" s="1"/>
  <c r="U56" i="5" s="1"/>
  <c r="M56" i="5"/>
  <c r="N56" i="5" s="1"/>
  <c r="O56" i="5" s="1"/>
  <c r="F58" i="15"/>
  <c r="P58" i="5"/>
  <c r="Q58" i="5" s="1"/>
  <c r="R58" i="5" s="1"/>
  <c r="S58" i="5"/>
  <c r="T58" i="5" s="1"/>
  <c r="M58" i="5"/>
  <c r="N58" i="5" s="1"/>
  <c r="O58" i="5" s="1"/>
  <c r="C354" i="16"/>
  <c r="C355" i="16"/>
  <c r="C352" i="16"/>
  <c r="C351" i="16"/>
  <c r="C350" i="16"/>
  <c r="C353" i="16"/>
  <c r="J61" i="5"/>
  <c r="V61" i="5"/>
  <c r="W61" i="5" s="1"/>
  <c r="I61" i="5"/>
  <c r="F391" i="16"/>
  <c r="F388" i="16"/>
  <c r="F390" i="16"/>
  <c r="F387" i="16"/>
  <c r="F389" i="16"/>
  <c r="F386" i="16"/>
  <c r="H67" i="5"/>
  <c r="P73" i="5"/>
  <c r="V77" i="5"/>
  <c r="W77" i="5" s="1"/>
  <c r="I81" i="5"/>
  <c r="E535" i="16"/>
  <c r="E534" i="16"/>
  <c r="E533" i="16"/>
  <c r="E532" i="16"/>
  <c r="E531" i="16"/>
  <c r="E530" i="16"/>
  <c r="C551" i="16"/>
  <c r="C548" i="16"/>
  <c r="C553" i="16"/>
  <c r="C550" i="16"/>
  <c r="C549" i="16"/>
  <c r="C552" i="16"/>
  <c r="F96" i="15"/>
  <c r="S96" i="5"/>
  <c r="P96" i="5"/>
  <c r="M96" i="5"/>
  <c r="B583" i="16"/>
  <c r="B580" i="16"/>
  <c r="B582" i="16"/>
  <c r="B579" i="16"/>
  <c r="B578" i="16"/>
  <c r="B581" i="16"/>
  <c r="H103" i="5"/>
  <c r="F106" i="15"/>
  <c r="M106" i="5"/>
  <c r="S106" i="5"/>
  <c r="E872" i="16"/>
  <c r="E877" i="16"/>
  <c r="E874" i="16"/>
  <c r="E875" i="16"/>
  <c r="E873" i="16"/>
  <c r="E876" i="16"/>
  <c r="O161" i="5"/>
  <c r="H161" i="5"/>
  <c r="I65" i="5"/>
  <c r="K65" i="5" s="1"/>
  <c r="M70" i="5"/>
  <c r="S73" i="5"/>
  <c r="B463" i="16"/>
  <c r="B462" i="16"/>
  <c r="B459" i="16"/>
  <c r="B461" i="16"/>
  <c r="B460" i="16"/>
  <c r="B458" i="16"/>
  <c r="D79" i="15"/>
  <c r="G79" i="5"/>
  <c r="E471" i="16"/>
  <c r="E473" i="16"/>
  <c r="E470" i="16"/>
  <c r="E475" i="16"/>
  <c r="E472" i="16"/>
  <c r="E474" i="16"/>
  <c r="J81" i="5"/>
  <c r="B527" i="16"/>
  <c r="B529" i="16"/>
  <c r="B526" i="16"/>
  <c r="B528" i="16"/>
  <c r="B525" i="16"/>
  <c r="B524" i="16"/>
  <c r="N99" i="5"/>
  <c r="O99" i="5" s="1"/>
  <c r="J99" i="5"/>
  <c r="I99" i="5"/>
  <c r="F143" i="15"/>
  <c r="S143" i="5"/>
  <c r="M143" i="5"/>
  <c r="B923" i="16"/>
  <c r="B922" i="16"/>
  <c r="B925" i="16"/>
  <c r="B921" i="16"/>
  <c r="B924" i="16"/>
  <c r="B920" i="16"/>
  <c r="J65" i="15"/>
  <c r="H383" i="16" s="1"/>
  <c r="I65" i="15"/>
  <c r="H382" i="16" s="1"/>
  <c r="C458" i="16"/>
  <c r="C463" i="16"/>
  <c r="C460" i="16"/>
  <c r="C462" i="16"/>
  <c r="C459" i="16"/>
  <c r="C461" i="16"/>
  <c r="E465" i="16"/>
  <c r="E467" i="16"/>
  <c r="E464" i="16"/>
  <c r="E469" i="16"/>
  <c r="E468" i="16"/>
  <c r="E466" i="16"/>
  <c r="F80" i="15"/>
  <c r="S80" i="5"/>
  <c r="C505" i="16"/>
  <c r="C502" i="16"/>
  <c r="C504" i="16"/>
  <c r="C501" i="16"/>
  <c r="C500" i="16"/>
  <c r="C503" i="16"/>
  <c r="E511" i="16"/>
  <c r="E510" i="16"/>
  <c r="E507" i="16"/>
  <c r="E509" i="16"/>
  <c r="E506" i="16"/>
  <c r="E508" i="16"/>
  <c r="J87" i="5"/>
  <c r="V87" i="5"/>
  <c r="W87" i="5" s="1"/>
  <c r="C528" i="16"/>
  <c r="C525" i="16"/>
  <c r="C524" i="16"/>
  <c r="C529" i="16"/>
  <c r="C527" i="16"/>
  <c r="C526" i="16"/>
  <c r="B601" i="16"/>
  <c r="B599" i="16"/>
  <c r="B596" i="16"/>
  <c r="B598" i="16"/>
  <c r="B600" i="16"/>
  <c r="B597" i="16"/>
  <c r="D622" i="16"/>
  <c r="D624" i="16"/>
  <c r="D620" i="16"/>
  <c r="D623" i="16"/>
  <c r="D621" i="16"/>
  <c r="D625" i="16"/>
  <c r="B651" i="16"/>
  <c r="B655" i="16"/>
  <c r="B650" i="16"/>
  <c r="B654" i="16"/>
  <c r="B653" i="16"/>
  <c r="B652" i="16"/>
  <c r="H130" i="5"/>
  <c r="N130" i="5"/>
  <c r="O130" i="5" s="1"/>
  <c r="Q161" i="5"/>
  <c r="R161" i="5" s="1"/>
  <c r="D192" i="15"/>
  <c r="G192" i="5"/>
  <c r="C1348" i="16"/>
  <c r="C1350" i="16"/>
  <c r="C1347" i="16"/>
  <c r="C1349" i="16"/>
  <c r="C1346" i="16"/>
  <c r="C1351" i="16"/>
  <c r="F228" i="15"/>
  <c r="S228" i="5"/>
  <c r="P228" i="5"/>
  <c r="M228" i="5"/>
  <c r="E1440" i="16"/>
  <c r="E1437" i="16"/>
  <c r="E1441" i="16"/>
  <c r="E1436" i="16"/>
  <c r="E1439" i="16"/>
  <c r="E1438" i="16"/>
  <c r="D30" i="15"/>
  <c r="G30" i="5"/>
  <c r="D31" i="15"/>
  <c r="G31" i="5"/>
  <c r="B440" i="16"/>
  <c r="B445" i="16"/>
  <c r="B442" i="16"/>
  <c r="B444" i="16"/>
  <c r="B443" i="16"/>
  <c r="B441" i="16"/>
  <c r="B457" i="16"/>
  <c r="B454" i="16"/>
  <c r="B456" i="16"/>
  <c r="B453" i="16"/>
  <c r="B452" i="16"/>
  <c r="B455" i="16"/>
  <c r="D78" i="15"/>
  <c r="G78" i="5"/>
  <c r="I87" i="5"/>
  <c r="F93" i="15"/>
  <c r="S93" i="5"/>
  <c r="P93" i="5"/>
  <c r="B564" i="16"/>
  <c r="B561" i="16"/>
  <c r="B563" i="16"/>
  <c r="B562" i="16"/>
  <c r="B560" i="16"/>
  <c r="B565" i="16"/>
  <c r="T103" i="5"/>
  <c r="U103" i="5" s="1"/>
  <c r="P106" i="5"/>
  <c r="B733" i="16"/>
  <c r="B729" i="16"/>
  <c r="B730" i="16"/>
  <c r="B728" i="16"/>
  <c r="B732" i="16"/>
  <c r="B731" i="16"/>
  <c r="T161" i="5"/>
  <c r="U161" i="5" s="1"/>
  <c r="F183" i="15"/>
  <c r="P183" i="5"/>
  <c r="M183" i="5"/>
  <c r="S183" i="5"/>
  <c r="F142" i="16"/>
  <c r="F143" i="16"/>
  <c r="F140" i="16"/>
  <c r="F145" i="16"/>
  <c r="F144" i="16"/>
  <c r="F141" i="16"/>
  <c r="F26" i="15"/>
  <c r="P26" i="5"/>
  <c r="E166" i="16"/>
  <c r="E169" i="16"/>
  <c r="E165" i="16"/>
  <c r="E168" i="16"/>
  <c r="E164" i="16"/>
  <c r="E167" i="16"/>
  <c r="E179" i="16"/>
  <c r="E178" i="16"/>
  <c r="E181" i="16"/>
  <c r="E177" i="16"/>
  <c r="E180" i="16"/>
  <c r="E176" i="16"/>
  <c r="C185" i="16"/>
  <c r="C182" i="16"/>
  <c r="C183" i="16"/>
  <c r="C186" i="16"/>
  <c r="C184" i="16"/>
  <c r="C187" i="16"/>
  <c r="C193" i="16"/>
  <c r="C190" i="16"/>
  <c r="C189" i="16"/>
  <c r="C192" i="16"/>
  <c r="C188" i="16"/>
  <c r="C191" i="16"/>
  <c r="B196" i="16"/>
  <c r="B199" i="16"/>
  <c r="B195" i="16"/>
  <c r="B198" i="16"/>
  <c r="B194" i="16"/>
  <c r="B197" i="16"/>
  <c r="B209" i="16"/>
  <c r="B208" i="16"/>
  <c r="B211" i="16"/>
  <c r="B207" i="16"/>
  <c r="B206" i="16"/>
  <c r="B210" i="16"/>
  <c r="B220" i="16"/>
  <c r="B219" i="16"/>
  <c r="B222" i="16"/>
  <c r="B218" i="16"/>
  <c r="B221" i="16"/>
  <c r="B223" i="16"/>
  <c r="B228" i="16"/>
  <c r="B229" i="16"/>
  <c r="B225" i="16"/>
  <c r="B224" i="16"/>
  <c r="B227" i="16"/>
  <c r="B226" i="16"/>
  <c r="B230" i="16"/>
  <c r="B233" i="16"/>
  <c r="B232" i="16"/>
  <c r="B235" i="16"/>
  <c r="B231" i="16"/>
  <c r="B234" i="16"/>
  <c r="B236" i="16"/>
  <c r="B238" i="16"/>
  <c r="B241" i="16"/>
  <c r="B237" i="16"/>
  <c r="B240" i="16"/>
  <c r="B239" i="16"/>
  <c r="B244" i="16"/>
  <c r="B246" i="16"/>
  <c r="B243" i="16"/>
  <c r="B247" i="16"/>
  <c r="B242" i="16"/>
  <c r="B245" i="16"/>
  <c r="B252" i="16"/>
  <c r="B248" i="16"/>
  <c r="B251" i="16"/>
  <c r="B250" i="16"/>
  <c r="B253" i="16"/>
  <c r="B249" i="16"/>
  <c r="B254" i="16"/>
  <c r="B256" i="16"/>
  <c r="B259" i="16"/>
  <c r="B255" i="16"/>
  <c r="B258" i="16"/>
  <c r="B257" i="16"/>
  <c r="Q61" i="5"/>
  <c r="M66" i="5"/>
  <c r="B437" i="16"/>
  <c r="B434" i="16"/>
  <c r="B439" i="16"/>
  <c r="B436" i="16"/>
  <c r="B435" i="16"/>
  <c r="B438" i="16"/>
  <c r="C442" i="16"/>
  <c r="C443" i="16"/>
  <c r="C445" i="16"/>
  <c r="C441" i="16"/>
  <c r="C440" i="16"/>
  <c r="C444" i="16"/>
  <c r="C450" i="16"/>
  <c r="C446" i="16"/>
  <c r="C451" i="16"/>
  <c r="C448" i="16"/>
  <c r="C447" i="16"/>
  <c r="C449" i="16"/>
  <c r="C454" i="16"/>
  <c r="C456" i="16"/>
  <c r="C453" i="16"/>
  <c r="C452" i="16"/>
  <c r="C457" i="16"/>
  <c r="C455" i="16"/>
  <c r="Q81" i="5"/>
  <c r="R81" i="5" s="1"/>
  <c r="B495" i="16"/>
  <c r="B499" i="16"/>
  <c r="B496" i="16"/>
  <c r="B498" i="16"/>
  <c r="B497" i="16"/>
  <c r="B494" i="16"/>
  <c r="K87" i="5"/>
  <c r="D151" i="15"/>
  <c r="G151" i="5"/>
  <c r="D157" i="15"/>
  <c r="G157" i="5"/>
  <c r="H21" i="5"/>
  <c r="H23" i="5"/>
  <c r="T23" i="5" s="1"/>
  <c r="U23" i="5" s="1"/>
  <c r="F30" i="15"/>
  <c r="M30" i="5"/>
  <c r="D32" i="15"/>
  <c r="G32" i="5"/>
  <c r="D193" i="16"/>
  <c r="D189" i="16"/>
  <c r="D192" i="16"/>
  <c r="D188" i="16"/>
  <c r="D191" i="16"/>
  <c r="D190" i="16"/>
  <c r="C217" i="16"/>
  <c r="C214" i="16"/>
  <c r="C212" i="16"/>
  <c r="C215" i="16"/>
  <c r="C216" i="16"/>
  <c r="C213" i="16"/>
  <c r="C225" i="16"/>
  <c r="C227" i="16"/>
  <c r="C229" i="16"/>
  <c r="C228" i="16"/>
  <c r="C224" i="16"/>
  <c r="C226" i="16"/>
  <c r="C241" i="16"/>
  <c r="C238" i="16"/>
  <c r="C240" i="16"/>
  <c r="C236" i="16"/>
  <c r="C239" i="16"/>
  <c r="C237" i="16"/>
  <c r="C246" i="16"/>
  <c r="C243" i="16"/>
  <c r="C244" i="16"/>
  <c r="C247" i="16"/>
  <c r="C242" i="16"/>
  <c r="C245" i="16"/>
  <c r="C249" i="16"/>
  <c r="C251" i="16"/>
  <c r="C248" i="16"/>
  <c r="C252" i="16"/>
  <c r="C250" i="16"/>
  <c r="C253" i="16"/>
  <c r="C257" i="16"/>
  <c r="C254" i="16"/>
  <c r="C259" i="16"/>
  <c r="C256" i="16"/>
  <c r="C255" i="16"/>
  <c r="C258" i="16"/>
  <c r="B260" i="16"/>
  <c r="B262" i="16"/>
  <c r="B264" i="16"/>
  <c r="B263" i="16"/>
  <c r="B265" i="16"/>
  <c r="B261" i="16"/>
  <c r="B268" i="16"/>
  <c r="B270" i="16"/>
  <c r="B267" i="16"/>
  <c r="B271" i="16"/>
  <c r="B266" i="16"/>
  <c r="B269" i="16"/>
  <c r="B432" i="16"/>
  <c r="B429" i="16"/>
  <c r="B431" i="16"/>
  <c r="B428" i="16"/>
  <c r="B433" i="16"/>
  <c r="B430" i="16"/>
  <c r="C434" i="16"/>
  <c r="C437" i="16"/>
  <c r="C439" i="16"/>
  <c r="C436" i="16"/>
  <c r="C435" i="16"/>
  <c r="C438" i="16"/>
  <c r="D451" i="16"/>
  <c r="D448" i="16"/>
  <c r="D450" i="16"/>
  <c r="D447" i="16"/>
  <c r="D449" i="16"/>
  <c r="D446" i="16"/>
  <c r="D457" i="16"/>
  <c r="D456" i="16"/>
  <c r="D453" i="16"/>
  <c r="D455" i="16"/>
  <c r="D454" i="16"/>
  <c r="D452" i="16"/>
  <c r="F78" i="15"/>
  <c r="M78" i="5"/>
  <c r="F85" i="15"/>
  <c r="S85" i="5"/>
  <c r="T85" i="5" s="1"/>
  <c r="V86" i="5"/>
  <c r="W86" i="5" s="1"/>
  <c r="I86" i="5"/>
  <c r="B575" i="16"/>
  <c r="B572" i="16"/>
  <c r="B577" i="16"/>
  <c r="B574" i="16"/>
  <c r="B573" i="16"/>
  <c r="B576" i="16"/>
  <c r="G105" i="5"/>
  <c r="C635" i="16"/>
  <c r="C637" i="16"/>
  <c r="C633" i="16"/>
  <c r="C632" i="16"/>
  <c r="C636" i="16"/>
  <c r="C634" i="16"/>
  <c r="E1018" i="16"/>
  <c r="E1021" i="16"/>
  <c r="E1017" i="16"/>
  <c r="E1020" i="16"/>
  <c r="E1019" i="16"/>
  <c r="E1016" i="16"/>
  <c r="D219" i="15"/>
  <c r="G219" i="5"/>
  <c r="H22" i="5"/>
  <c r="H25" i="5"/>
  <c r="H27" i="5"/>
  <c r="T27" i="5" s="1"/>
  <c r="U27" i="5" s="1"/>
  <c r="G29" i="5"/>
  <c r="E182" i="16"/>
  <c r="E187" i="16"/>
  <c r="E185" i="16"/>
  <c r="E184" i="16"/>
  <c r="E183" i="16"/>
  <c r="E186" i="16"/>
  <c r="E190" i="16"/>
  <c r="E189" i="16"/>
  <c r="E192" i="16"/>
  <c r="E188" i="16"/>
  <c r="E191" i="16"/>
  <c r="E193" i="16"/>
  <c r="D34" i="15"/>
  <c r="G34" i="5"/>
  <c r="D201" i="16"/>
  <c r="D202" i="16"/>
  <c r="D205" i="16"/>
  <c r="D200" i="16"/>
  <c r="D203" i="16"/>
  <c r="D204" i="16"/>
  <c r="D36" i="15"/>
  <c r="G36" i="5"/>
  <c r="D233" i="16"/>
  <c r="D235" i="16"/>
  <c r="D232" i="16"/>
  <c r="D231" i="16"/>
  <c r="D234" i="16"/>
  <c r="D230" i="16"/>
  <c r="D243" i="16"/>
  <c r="D244" i="16"/>
  <c r="D247" i="16"/>
  <c r="D246" i="16"/>
  <c r="D242" i="16"/>
  <c r="D245" i="16"/>
  <c r="D257" i="16"/>
  <c r="D259" i="16"/>
  <c r="D255" i="16"/>
  <c r="D258" i="16"/>
  <c r="D254" i="16"/>
  <c r="D256" i="16"/>
  <c r="C265" i="16"/>
  <c r="C262" i="16"/>
  <c r="C260" i="16"/>
  <c r="C263" i="16"/>
  <c r="C261" i="16"/>
  <c r="C264" i="16"/>
  <c r="C270" i="16"/>
  <c r="C267" i="16"/>
  <c r="C268" i="16"/>
  <c r="C271" i="16"/>
  <c r="C266" i="16"/>
  <c r="C269" i="16"/>
  <c r="C273" i="16"/>
  <c r="C275" i="16"/>
  <c r="C276" i="16"/>
  <c r="C274" i="16"/>
  <c r="C277" i="16"/>
  <c r="C272" i="16"/>
  <c r="U58" i="5"/>
  <c r="P66" i="5"/>
  <c r="B426" i="16"/>
  <c r="B425" i="16"/>
  <c r="B422" i="16"/>
  <c r="B427" i="16"/>
  <c r="B424" i="16"/>
  <c r="B423" i="16"/>
  <c r="C429" i="16"/>
  <c r="C431" i="16"/>
  <c r="C428" i="16"/>
  <c r="C433" i="16"/>
  <c r="C432" i="16"/>
  <c r="C430" i="16"/>
  <c r="D434" i="16"/>
  <c r="D439" i="16"/>
  <c r="D436" i="16"/>
  <c r="D438" i="16"/>
  <c r="D437" i="16"/>
  <c r="D435" i="16"/>
  <c r="E440" i="16"/>
  <c r="E445" i="16"/>
  <c r="E442" i="16"/>
  <c r="E444" i="16"/>
  <c r="E441" i="16"/>
  <c r="E443" i="16"/>
  <c r="E455" i="16"/>
  <c r="E457" i="16"/>
  <c r="E454" i="16"/>
  <c r="E456" i="16"/>
  <c r="E453" i="16"/>
  <c r="E452" i="16"/>
  <c r="M80" i="5"/>
  <c r="D84" i="15"/>
  <c r="G84" i="5"/>
  <c r="I85" i="5"/>
  <c r="V85" i="5"/>
  <c r="W85" i="5" s="1"/>
  <c r="K85" i="5"/>
  <c r="J86" i="5"/>
  <c r="U89" i="5"/>
  <c r="M93" i="5"/>
  <c r="E564" i="16"/>
  <c r="E561" i="16"/>
  <c r="E562" i="16"/>
  <c r="E560" i="16"/>
  <c r="E565" i="16"/>
  <c r="E563" i="16"/>
  <c r="D104" i="15"/>
  <c r="G104" i="5"/>
  <c r="B3" i="16"/>
  <c r="B5" i="16"/>
  <c r="B4" i="16"/>
  <c r="B7" i="16"/>
  <c r="B2" i="16"/>
  <c r="B6" i="16"/>
  <c r="Q11" i="5"/>
  <c r="R11" i="5" s="1"/>
  <c r="F32" i="15"/>
  <c r="S32" i="5"/>
  <c r="E198" i="16"/>
  <c r="E195" i="16"/>
  <c r="E199" i="16"/>
  <c r="E194" i="16"/>
  <c r="E196" i="16"/>
  <c r="E197" i="16"/>
  <c r="E203" i="16"/>
  <c r="E202" i="16"/>
  <c r="E205" i="16"/>
  <c r="E201" i="16"/>
  <c r="E204" i="16"/>
  <c r="E200" i="16"/>
  <c r="E206" i="16"/>
  <c r="E211" i="16"/>
  <c r="E209" i="16"/>
  <c r="E208" i="16"/>
  <c r="E210" i="16"/>
  <c r="E207" i="16"/>
  <c r="E214" i="16"/>
  <c r="E212" i="16"/>
  <c r="E215" i="16"/>
  <c r="E213" i="16"/>
  <c r="E216" i="16"/>
  <c r="E217" i="16"/>
  <c r="E222" i="16"/>
  <c r="E219" i="16"/>
  <c r="E218" i="16"/>
  <c r="E221" i="16"/>
  <c r="E220" i="16"/>
  <c r="E223" i="16"/>
  <c r="E227" i="16"/>
  <c r="E225" i="16"/>
  <c r="E228" i="16"/>
  <c r="E224" i="16"/>
  <c r="E226" i="16"/>
  <c r="E229" i="16"/>
  <c r="E251" i="16"/>
  <c r="E248" i="16"/>
  <c r="E252" i="16"/>
  <c r="E250" i="16"/>
  <c r="E253" i="16"/>
  <c r="E249" i="16"/>
  <c r="D265" i="16"/>
  <c r="D260" i="16"/>
  <c r="D263" i="16"/>
  <c r="D262" i="16"/>
  <c r="D261" i="16"/>
  <c r="D264" i="16"/>
  <c r="D46" i="15"/>
  <c r="G46" i="5"/>
  <c r="D47" i="15"/>
  <c r="G47" i="5"/>
  <c r="R65" i="5"/>
  <c r="B420" i="16"/>
  <c r="B417" i="16"/>
  <c r="B419" i="16"/>
  <c r="B418" i="16"/>
  <c r="B416" i="16"/>
  <c r="B421" i="16"/>
  <c r="P80" i="5"/>
  <c r="T81" i="5"/>
  <c r="E495" i="16"/>
  <c r="E498" i="16"/>
  <c r="E497" i="16"/>
  <c r="E494" i="16"/>
  <c r="E499" i="16"/>
  <c r="E496" i="16"/>
  <c r="J85" i="15"/>
  <c r="H503" i="16" s="1"/>
  <c r="I85" i="15"/>
  <c r="H502" i="16" s="1"/>
  <c r="B519" i="16"/>
  <c r="B523" i="16"/>
  <c r="B520" i="16"/>
  <c r="B522" i="16"/>
  <c r="B521" i="16"/>
  <c r="B518" i="16"/>
  <c r="V89" i="5"/>
  <c r="W89" i="5" s="1"/>
  <c r="J89" i="5"/>
  <c r="I89" i="5"/>
  <c r="F95" i="15"/>
  <c r="P95" i="5"/>
  <c r="M95" i="5"/>
  <c r="S95" i="5"/>
  <c r="D572" i="16"/>
  <c r="D577" i="16"/>
  <c r="D574" i="16"/>
  <c r="D573" i="16"/>
  <c r="D576" i="16"/>
  <c r="D575" i="16"/>
  <c r="V99" i="5"/>
  <c r="W99" i="5" s="1"/>
  <c r="V102" i="5"/>
  <c r="W102" i="5" s="1"/>
  <c r="J102" i="5"/>
  <c r="I102" i="5"/>
  <c r="B675" i="16"/>
  <c r="B676" i="16"/>
  <c r="B679" i="16"/>
  <c r="B678" i="16"/>
  <c r="B677" i="16"/>
  <c r="B674" i="16"/>
  <c r="D129" i="15"/>
  <c r="G129" i="5"/>
  <c r="V134" i="5"/>
  <c r="W134" i="5" s="1"/>
  <c r="I134" i="5"/>
  <c r="D160" i="15"/>
  <c r="G160" i="5"/>
  <c r="C1488" i="16"/>
  <c r="C1489" i="16"/>
  <c r="C1486" i="16"/>
  <c r="C1485" i="16"/>
  <c r="C1484" i="16"/>
  <c r="C1487" i="16"/>
  <c r="J297" i="4"/>
  <c r="K297" i="4" s="1"/>
  <c r="Q13" i="5"/>
  <c r="R13" i="5" s="1"/>
  <c r="M26" i="5"/>
  <c r="G33" i="5"/>
  <c r="F198" i="16"/>
  <c r="F195" i="16"/>
  <c r="F194" i="16"/>
  <c r="F197" i="16"/>
  <c r="F196" i="16"/>
  <c r="F199" i="16"/>
  <c r="F35" i="15"/>
  <c r="S35" i="5"/>
  <c r="T35" i="5" s="1"/>
  <c r="U35" i="5" s="1"/>
  <c r="M35" i="5"/>
  <c r="N35" i="5" s="1"/>
  <c r="O35" i="5" s="1"/>
  <c r="F206" i="16"/>
  <c r="F208" i="16"/>
  <c r="F211" i="16"/>
  <c r="F207" i="16"/>
  <c r="F209" i="16"/>
  <c r="F210" i="16"/>
  <c r="F37" i="15"/>
  <c r="S37" i="5"/>
  <c r="T37" i="5" s="1"/>
  <c r="U37" i="5" s="1"/>
  <c r="F38" i="15"/>
  <c r="P38" i="5"/>
  <c r="Q38" i="5" s="1"/>
  <c r="R38" i="5" s="1"/>
  <c r="F39" i="15"/>
  <c r="P39" i="5"/>
  <c r="Q39" i="5" s="1"/>
  <c r="R39" i="5" s="1"/>
  <c r="F40" i="15"/>
  <c r="P40" i="5"/>
  <c r="Q40" i="5" s="1"/>
  <c r="R40" i="5" s="1"/>
  <c r="F238" i="16"/>
  <c r="F240" i="16"/>
  <c r="F236" i="16"/>
  <c r="F239" i="16"/>
  <c r="F237" i="16"/>
  <c r="F241" i="16"/>
  <c r="F42" i="15"/>
  <c r="P42" i="5"/>
  <c r="Q42" i="5" s="1"/>
  <c r="R42" i="5" s="1"/>
  <c r="E262" i="16"/>
  <c r="E264" i="16"/>
  <c r="E260" i="16"/>
  <c r="E263" i="16"/>
  <c r="E261" i="16"/>
  <c r="E265" i="16"/>
  <c r="E275" i="16"/>
  <c r="E272" i="16"/>
  <c r="E274" i="16"/>
  <c r="E277" i="16"/>
  <c r="E273" i="16"/>
  <c r="E276" i="16"/>
  <c r="C281" i="16"/>
  <c r="C278" i="16"/>
  <c r="C283" i="16"/>
  <c r="C280" i="16"/>
  <c r="C279" i="16"/>
  <c r="C282" i="16"/>
  <c r="C289" i="16"/>
  <c r="C286" i="16"/>
  <c r="C288" i="16"/>
  <c r="C284" i="16"/>
  <c r="C287" i="16"/>
  <c r="C285" i="16"/>
  <c r="B292" i="16"/>
  <c r="B294" i="16"/>
  <c r="B293" i="16"/>
  <c r="B291" i="16"/>
  <c r="B295" i="16"/>
  <c r="B290" i="16"/>
  <c r="B304" i="16"/>
  <c r="B306" i="16"/>
  <c r="B303" i="16"/>
  <c r="B307" i="16"/>
  <c r="B302" i="16"/>
  <c r="B305" i="16"/>
  <c r="B318" i="16"/>
  <c r="B316" i="16"/>
  <c r="B315" i="16"/>
  <c r="B319" i="16"/>
  <c r="B314" i="16"/>
  <c r="B317" i="16"/>
  <c r="B321" i="16"/>
  <c r="B323" i="16"/>
  <c r="B325" i="16"/>
  <c r="B320" i="16"/>
  <c r="B324" i="16"/>
  <c r="B322" i="16"/>
  <c r="B329" i="16"/>
  <c r="B326" i="16"/>
  <c r="B331" i="16"/>
  <c r="B330" i="16"/>
  <c r="B328" i="16"/>
  <c r="B327" i="16"/>
  <c r="B335" i="16"/>
  <c r="B334" i="16"/>
  <c r="B333" i="16"/>
  <c r="B337" i="16"/>
  <c r="B332" i="16"/>
  <c r="B336" i="16"/>
  <c r="B341" i="16"/>
  <c r="B338" i="16"/>
  <c r="B343" i="16"/>
  <c r="B340" i="16"/>
  <c r="B339" i="16"/>
  <c r="B342" i="16"/>
  <c r="B349" i="16"/>
  <c r="B346" i="16"/>
  <c r="B348" i="16"/>
  <c r="B345" i="16"/>
  <c r="B344" i="16"/>
  <c r="B347" i="16"/>
  <c r="B355" i="16"/>
  <c r="B354" i="16"/>
  <c r="B350" i="16"/>
  <c r="B353" i="16"/>
  <c r="B352" i="16"/>
  <c r="B351" i="16"/>
  <c r="S66" i="5"/>
  <c r="B412" i="16"/>
  <c r="B414" i="16"/>
  <c r="B411" i="16"/>
  <c r="B413" i="16"/>
  <c r="B410" i="16"/>
  <c r="B415" i="16"/>
  <c r="C418" i="16"/>
  <c r="C417" i="16"/>
  <c r="C419" i="16"/>
  <c r="C416" i="16"/>
  <c r="C420" i="16"/>
  <c r="C421" i="16"/>
  <c r="D426" i="16"/>
  <c r="D423" i="16"/>
  <c r="D425" i="16"/>
  <c r="D422" i="16"/>
  <c r="D424" i="16"/>
  <c r="D427" i="16"/>
  <c r="F74" i="15"/>
  <c r="P74" i="5"/>
  <c r="M74" i="5"/>
  <c r="U75" i="5"/>
  <c r="H76" i="5"/>
  <c r="U81" i="5"/>
  <c r="F84" i="15"/>
  <c r="M84" i="5"/>
  <c r="N89" i="5"/>
  <c r="O89" i="5" s="1"/>
  <c r="E543" i="16"/>
  <c r="E545" i="16"/>
  <c r="E542" i="16"/>
  <c r="E546" i="16"/>
  <c r="E544" i="16"/>
  <c r="E547" i="16"/>
  <c r="J134" i="5"/>
  <c r="E821" i="16"/>
  <c r="E818" i="16"/>
  <c r="E819" i="16"/>
  <c r="E822" i="16"/>
  <c r="E820" i="16"/>
  <c r="E823" i="16"/>
  <c r="D142" i="15"/>
  <c r="G142" i="5"/>
  <c r="F433" i="16"/>
  <c r="F430" i="16"/>
  <c r="F432" i="16"/>
  <c r="F431" i="16"/>
  <c r="F429" i="16"/>
  <c r="F428" i="16"/>
  <c r="J75" i="5"/>
  <c r="I77" i="15"/>
  <c r="H454" i="16" s="1"/>
  <c r="D492" i="16"/>
  <c r="D489" i="16"/>
  <c r="D491" i="16"/>
  <c r="D488" i="16"/>
  <c r="D493" i="16"/>
  <c r="D490" i="16"/>
  <c r="D88" i="15"/>
  <c r="G88" i="5"/>
  <c r="C538" i="16"/>
  <c r="C540" i="16"/>
  <c r="C537" i="16"/>
  <c r="C541" i="16"/>
  <c r="C536" i="16"/>
  <c r="C539" i="16"/>
  <c r="C594" i="16"/>
  <c r="C591" i="16"/>
  <c r="C593" i="16"/>
  <c r="C595" i="16"/>
  <c r="C592" i="16"/>
  <c r="C590" i="16"/>
  <c r="G115" i="15"/>
  <c r="H680" i="16" s="1"/>
  <c r="B805" i="16"/>
  <c r="B802" i="16"/>
  <c r="B804" i="16"/>
  <c r="B801" i="16"/>
  <c r="B800" i="16"/>
  <c r="B803" i="16"/>
  <c r="F176" i="15"/>
  <c r="S176" i="5"/>
  <c r="P176" i="5"/>
  <c r="M176" i="5"/>
  <c r="E1908" i="16"/>
  <c r="E1905" i="16"/>
  <c r="E1907" i="16"/>
  <c r="E1904" i="16"/>
  <c r="E1909" i="16"/>
  <c r="E1906" i="16"/>
  <c r="E6" i="16"/>
  <c r="E3" i="16"/>
  <c r="E2" i="16"/>
  <c r="E5" i="16"/>
  <c r="E4" i="16"/>
  <c r="E7" i="16"/>
  <c r="D8" i="16"/>
  <c r="D13" i="16"/>
  <c r="D9" i="16"/>
  <c r="D12" i="16"/>
  <c r="D11" i="16"/>
  <c r="D10" i="16"/>
  <c r="C17" i="16"/>
  <c r="C14" i="16"/>
  <c r="C19" i="16"/>
  <c r="C15" i="16"/>
  <c r="C18" i="16"/>
  <c r="C16" i="16"/>
  <c r="G45" i="5"/>
  <c r="E278" i="16"/>
  <c r="E283" i="16"/>
  <c r="E280" i="16"/>
  <c r="E279" i="16"/>
  <c r="E282" i="16"/>
  <c r="E281" i="16"/>
  <c r="E287" i="16"/>
  <c r="E289" i="16"/>
  <c r="E285" i="16"/>
  <c r="E284" i="16"/>
  <c r="E288" i="16"/>
  <c r="E286" i="16"/>
  <c r="D50" i="15"/>
  <c r="G50" i="5"/>
  <c r="D298" i="16"/>
  <c r="D300" i="16"/>
  <c r="D297" i="16"/>
  <c r="D301" i="16"/>
  <c r="D296" i="16"/>
  <c r="D299" i="16"/>
  <c r="D52" i="15"/>
  <c r="G52" i="5"/>
  <c r="D329" i="16"/>
  <c r="D330" i="16"/>
  <c r="D328" i="16"/>
  <c r="D327" i="16"/>
  <c r="D331" i="16"/>
  <c r="D326" i="16"/>
  <c r="D340" i="16"/>
  <c r="D342" i="16"/>
  <c r="D339" i="16"/>
  <c r="D343" i="16"/>
  <c r="D338" i="16"/>
  <c r="D341" i="16"/>
  <c r="D352" i="16"/>
  <c r="D354" i="16"/>
  <c r="D351" i="16"/>
  <c r="D355" i="16"/>
  <c r="D353" i="16"/>
  <c r="D350" i="16"/>
  <c r="C360" i="16"/>
  <c r="C357" i="16"/>
  <c r="C359" i="16"/>
  <c r="C361" i="16"/>
  <c r="C358" i="16"/>
  <c r="C356" i="16"/>
  <c r="C362" i="16"/>
  <c r="C363" i="16"/>
  <c r="C365" i="16"/>
  <c r="C367" i="16"/>
  <c r="C366" i="16"/>
  <c r="C364" i="16"/>
  <c r="C370" i="16"/>
  <c r="C372" i="16"/>
  <c r="C369" i="16"/>
  <c r="C371" i="16"/>
  <c r="C368" i="16"/>
  <c r="C373" i="16"/>
  <c r="U65" i="5"/>
  <c r="B403" i="16"/>
  <c r="B400" i="16"/>
  <c r="B402" i="16"/>
  <c r="B399" i="16"/>
  <c r="B401" i="16"/>
  <c r="B398" i="16"/>
  <c r="C409" i="16"/>
  <c r="C406" i="16"/>
  <c r="C408" i="16"/>
  <c r="C407" i="16"/>
  <c r="C405" i="16"/>
  <c r="C404" i="16"/>
  <c r="E420" i="16"/>
  <c r="E417" i="16"/>
  <c r="E419" i="16"/>
  <c r="E418" i="16"/>
  <c r="E416" i="16"/>
  <c r="E421" i="16"/>
  <c r="H74" i="5"/>
  <c r="I75" i="5"/>
  <c r="I77" i="5"/>
  <c r="B487" i="16"/>
  <c r="B486" i="16"/>
  <c r="B483" i="16"/>
  <c r="B482" i="16"/>
  <c r="B485" i="16"/>
  <c r="B484" i="16"/>
  <c r="P85" i="5"/>
  <c r="Q85" i="5" s="1"/>
  <c r="R85" i="5" s="1"/>
  <c r="E519" i="16"/>
  <c r="E523" i="16"/>
  <c r="E520" i="16"/>
  <c r="E522" i="16"/>
  <c r="E521" i="16"/>
  <c r="E518" i="16"/>
  <c r="G97" i="5"/>
  <c r="V112" i="5"/>
  <c r="W112" i="5" s="1"/>
  <c r="J112" i="5"/>
  <c r="I115" i="15"/>
  <c r="H682" i="16" s="1"/>
  <c r="F131" i="15"/>
  <c r="P131" i="5"/>
  <c r="Q131" i="5" s="1"/>
  <c r="R131" i="5" s="1"/>
  <c r="M131" i="5"/>
  <c r="N131" i="5" s="1"/>
  <c r="S131" i="5"/>
  <c r="T131" i="5" s="1"/>
  <c r="F3" i="16"/>
  <c r="F5" i="16"/>
  <c r="F2" i="16"/>
  <c r="F4" i="16"/>
  <c r="F7" i="16"/>
  <c r="F6" i="16"/>
  <c r="E11" i="16"/>
  <c r="E8" i="16"/>
  <c r="E10" i="16"/>
  <c r="E9" i="16"/>
  <c r="E13" i="16"/>
  <c r="E12" i="16"/>
  <c r="D4" i="15"/>
  <c r="G4" i="5"/>
  <c r="C25" i="16"/>
  <c r="C24" i="16"/>
  <c r="C20" i="16"/>
  <c r="C23" i="16"/>
  <c r="C22" i="16"/>
  <c r="C21" i="16"/>
  <c r="B30" i="16"/>
  <c r="B27" i="16"/>
  <c r="B29" i="16"/>
  <c r="B28" i="16"/>
  <c r="B31" i="16"/>
  <c r="B26" i="16"/>
  <c r="R23" i="5"/>
  <c r="P25" i="5"/>
  <c r="Q25" i="5" s="1"/>
  <c r="R25" i="5" s="1"/>
  <c r="Q27" i="5"/>
  <c r="R27" i="5" s="1"/>
  <c r="P30" i="5"/>
  <c r="M32" i="5"/>
  <c r="F48" i="15"/>
  <c r="S48" i="5"/>
  <c r="E295" i="16"/>
  <c r="E292" i="16"/>
  <c r="E294" i="16"/>
  <c r="E293" i="16"/>
  <c r="E291" i="16"/>
  <c r="E290" i="16"/>
  <c r="E300" i="16"/>
  <c r="E297" i="16"/>
  <c r="E298" i="16"/>
  <c r="E301" i="16"/>
  <c r="E296" i="16"/>
  <c r="E299" i="16"/>
  <c r="E303" i="16"/>
  <c r="E302" i="16"/>
  <c r="E307" i="16"/>
  <c r="E306" i="16"/>
  <c r="E305" i="16"/>
  <c r="E304" i="16"/>
  <c r="E311" i="16"/>
  <c r="E312" i="16"/>
  <c r="E309" i="16"/>
  <c r="E310" i="16"/>
  <c r="E313" i="16"/>
  <c r="E308" i="16"/>
  <c r="E319" i="16"/>
  <c r="E317" i="16"/>
  <c r="E314" i="16"/>
  <c r="E315" i="16"/>
  <c r="E318" i="16"/>
  <c r="E316" i="16"/>
  <c r="E320" i="16"/>
  <c r="E322" i="16"/>
  <c r="E325" i="16"/>
  <c r="E324" i="16"/>
  <c r="E323" i="16"/>
  <c r="E321" i="16"/>
  <c r="E349" i="16"/>
  <c r="E346" i="16"/>
  <c r="E348" i="16"/>
  <c r="E344" i="16"/>
  <c r="E347" i="16"/>
  <c r="E345" i="16"/>
  <c r="D360" i="16"/>
  <c r="D357" i="16"/>
  <c r="D359" i="16"/>
  <c r="D356" i="16"/>
  <c r="D361" i="16"/>
  <c r="D358" i="16"/>
  <c r="D62" i="15"/>
  <c r="G62" i="5"/>
  <c r="D63" i="15"/>
  <c r="G63" i="5"/>
  <c r="E415" i="16"/>
  <c r="E411" i="16"/>
  <c r="E413" i="16"/>
  <c r="E410" i="16"/>
  <c r="E412" i="16"/>
  <c r="E414" i="16"/>
  <c r="F71" i="15"/>
  <c r="P71" i="5"/>
  <c r="G72" i="5"/>
  <c r="H73" i="5"/>
  <c r="S78" i="5"/>
  <c r="F83" i="15"/>
  <c r="S83" i="5"/>
  <c r="P83" i="5"/>
  <c r="M83" i="5"/>
  <c r="P84" i="5"/>
  <c r="T86" i="5"/>
  <c r="U86" i="5" s="1"/>
  <c r="F88" i="15"/>
  <c r="P88" i="5"/>
  <c r="M88" i="5"/>
  <c r="S88" i="5"/>
  <c r="D556" i="16"/>
  <c r="D558" i="16"/>
  <c r="D555" i="16"/>
  <c r="D557" i="16"/>
  <c r="D559" i="16"/>
  <c r="D554" i="16"/>
  <c r="I112" i="5"/>
  <c r="C1340" i="16"/>
  <c r="C1344" i="16"/>
  <c r="C1341" i="16"/>
  <c r="C1343" i="16"/>
  <c r="C1342" i="16"/>
  <c r="C1345" i="16"/>
  <c r="E371" i="16"/>
  <c r="E368" i="16"/>
  <c r="E373" i="16"/>
  <c r="E372" i="16"/>
  <c r="E370" i="16"/>
  <c r="E369" i="16"/>
  <c r="C378" i="16"/>
  <c r="C377" i="16"/>
  <c r="C374" i="16"/>
  <c r="C379" i="16"/>
  <c r="C376" i="16"/>
  <c r="C375" i="16"/>
  <c r="C380" i="16"/>
  <c r="C382" i="16"/>
  <c r="C384" i="16"/>
  <c r="C383" i="16"/>
  <c r="C381" i="16"/>
  <c r="C385" i="16"/>
  <c r="B391" i="16"/>
  <c r="B390" i="16"/>
  <c r="B389" i="16"/>
  <c r="B388" i="16"/>
  <c r="B387" i="16"/>
  <c r="B386" i="16"/>
  <c r="D68" i="15"/>
  <c r="G68" i="5"/>
  <c r="F70" i="15"/>
  <c r="P70" i="5"/>
  <c r="Q70" i="5" s="1"/>
  <c r="R70" i="5" s="1"/>
  <c r="H71" i="5"/>
  <c r="N75" i="5"/>
  <c r="O75" i="5" s="1"/>
  <c r="C480" i="16"/>
  <c r="C477" i="16"/>
  <c r="C476" i="16"/>
  <c r="C479" i="16"/>
  <c r="C481" i="16"/>
  <c r="C478" i="16"/>
  <c r="G83" i="5"/>
  <c r="B517" i="16"/>
  <c r="B516" i="16"/>
  <c r="B513" i="16"/>
  <c r="B515" i="16"/>
  <c r="B514" i="16"/>
  <c r="B512" i="16"/>
  <c r="J131" i="5"/>
  <c r="K131" i="5" s="1"/>
  <c r="I131" i="5"/>
  <c r="J133" i="5"/>
  <c r="I133" i="5"/>
  <c r="K133" i="5" s="1"/>
  <c r="V133" i="5"/>
  <c r="W133" i="5" s="1"/>
  <c r="F158" i="15"/>
  <c r="M158" i="5"/>
  <c r="S158" i="5"/>
  <c r="P158" i="5"/>
  <c r="S25" i="5"/>
  <c r="T25" i="5" s="1"/>
  <c r="U25" i="5" s="1"/>
  <c r="N38" i="5"/>
  <c r="O38" i="5" s="1"/>
  <c r="H51" i="5"/>
  <c r="H53" i="5"/>
  <c r="Q53" i="5" s="1"/>
  <c r="R53" i="5" s="1"/>
  <c r="H55" i="5"/>
  <c r="F62" i="15"/>
  <c r="M62" i="5"/>
  <c r="D64" i="15"/>
  <c r="G64" i="5"/>
  <c r="D383" i="16"/>
  <c r="D385" i="16"/>
  <c r="D384" i="16"/>
  <c r="D382" i="16"/>
  <c r="D381" i="16"/>
  <c r="D380" i="16"/>
  <c r="D397" i="16"/>
  <c r="D394" i="16"/>
  <c r="D396" i="16"/>
  <c r="D393" i="16"/>
  <c r="D395" i="16"/>
  <c r="D392" i="16"/>
  <c r="E399" i="16"/>
  <c r="E403" i="16"/>
  <c r="E400" i="16"/>
  <c r="E402" i="16"/>
  <c r="E398" i="16"/>
  <c r="E401" i="16"/>
  <c r="F69" i="15"/>
  <c r="S69" i="5"/>
  <c r="Q77" i="5"/>
  <c r="R77" i="5" s="1"/>
  <c r="D476" i="16"/>
  <c r="D480" i="16"/>
  <c r="D477" i="16"/>
  <c r="D479" i="16"/>
  <c r="D481" i="16"/>
  <c r="D478" i="16"/>
  <c r="E487" i="16"/>
  <c r="E485" i="16"/>
  <c r="E482" i="16"/>
  <c r="E486" i="16"/>
  <c r="E484" i="16"/>
  <c r="E483" i="16"/>
  <c r="S84" i="5"/>
  <c r="B535" i="16"/>
  <c r="B532" i="16"/>
  <c r="B533" i="16"/>
  <c r="B531" i="16"/>
  <c r="B534" i="16"/>
  <c r="B530" i="16"/>
  <c r="H91" i="5"/>
  <c r="H100" i="5"/>
  <c r="T100" i="5" s="1"/>
  <c r="U100" i="5" s="1"/>
  <c r="D608" i="16"/>
  <c r="D611" i="16"/>
  <c r="D613" i="16"/>
  <c r="D612" i="16"/>
  <c r="D610" i="16"/>
  <c r="D609" i="16"/>
  <c r="C627" i="16"/>
  <c r="C631" i="16"/>
  <c r="C630" i="16"/>
  <c r="C629" i="16"/>
  <c r="C628" i="16"/>
  <c r="C626" i="16"/>
  <c r="B673" i="16"/>
  <c r="B670" i="16"/>
  <c r="B669" i="16"/>
  <c r="B672" i="16"/>
  <c r="B668" i="16"/>
  <c r="B671" i="16"/>
  <c r="V131" i="5"/>
  <c r="W131" i="5" s="1"/>
  <c r="N133" i="5"/>
  <c r="D137" i="15"/>
  <c r="G137" i="5"/>
  <c r="C981" i="16"/>
  <c r="C985" i="16"/>
  <c r="C982" i="16"/>
  <c r="C984" i="16"/>
  <c r="C980" i="16"/>
  <c r="C983" i="16"/>
  <c r="B1064" i="16"/>
  <c r="B1069" i="16"/>
  <c r="B1067" i="16"/>
  <c r="B1066" i="16"/>
  <c r="B1065" i="16"/>
  <c r="B1068" i="16"/>
  <c r="H220" i="5"/>
  <c r="Q220" i="5"/>
  <c r="R220" i="5" s="1"/>
  <c r="F5" i="15"/>
  <c r="S5" i="5"/>
  <c r="T5" i="5" s="1"/>
  <c r="U5" i="5" s="1"/>
  <c r="E30" i="16"/>
  <c r="E31" i="16"/>
  <c r="E28" i="16"/>
  <c r="E27" i="16"/>
  <c r="E29" i="16"/>
  <c r="E26" i="16"/>
  <c r="D41" i="16"/>
  <c r="D43" i="16"/>
  <c r="D40" i="16"/>
  <c r="D42" i="16"/>
  <c r="D39" i="16"/>
  <c r="D38" i="16"/>
  <c r="D54" i="16"/>
  <c r="D51" i="16"/>
  <c r="D50" i="16"/>
  <c r="D55" i="16"/>
  <c r="D53" i="16"/>
  <c r="D52" i="16"/>
  <c r="D65" i="16"/>
  <c r="D62" i="16"/>
  <c r="D67" i="16"/>
  <c r="D66" i="16"/>
  <c r="D64" i="16"/>
  <c r="D63" i="16"/>
  <c r="C73" i="16"/>
  <c r="C71" i="16"/>
  <c r="C68" i="16"/>
  <c r="C70" i="16"/>
  <c r="C72" i="16"/>
  <c r="C69" i="16"/>
  <c r="C77" i="16"/>
  <c r="C74" i="16"/>
  <c r="C79" i="16"/>
  <c r="C76" i="16"/>
  <c r="C78" i="16"/>
  <c r="C75" i="16"/>
  <c r="C81" i="16"/>
  <c r="C83" i="16"/>
  <c r="C80" i="16"/>
  <c r="C85" i="16"/>
  <c r="C82" i="16"/>
  <c r="C84" i="16"/>
  <c r="P34" i="5"/>
  <c r="P35" i="5"/>
  <c r="Q35" i="5" s="1"/>
  <c r="R35" i="5" s="1"/>
  <c r="P37" i="5"/>
  <c r="Q37" i="5" s="1"/>
  <c r="R37" i="5" s="1"/>
  <c r="H54" i="5"/>
  <c r="H57" i="5"/>
  <c r="H59" i="5"/>
  <c r="H60" i="5"/>
  <c r="R61" i="5"/>
  <c r="E375" i="16"/>
  <c r="E374" i="16"/>
  <c r="E376" i="16"/>
  <c r="E378" i="16"/>
  <c r="E377" i="16"/>
  <c r="E379" i="16"/>
  <c r="E383" i="16"/>
  <c r="E380" i="16"/>
  <c r="E385" i="16"/>
  <c r="E382" i="16"/>
  <c r="E381" i="16"/>
  <c r="E384" i="16"/>
  <c r="E394" i="16"/>
  <c r="E393" i="16"/>
  <c r="E395" i="16"/>
  <c r="E392" i="16"/>
  <c r="E397" i="16"/>
  <c r="E396" i="16"/>
  <c r="F400" i="16"/>
  <c r="F402" i="16"/>
  <c r="F399" i="16"/>
  <c r="F398" i="16"/>
  <c r="F403" i="16"/>
  <c r="F401" i="16"/>
  <c r="H69" i="5"/>
  <c r="H70" i="5"/>
  <c r="T70" i="5" s="1"/>
  <c r="U70" i="5" s="1"/>
  <c r="M73" i="5"/>
  <c r="N73" i="5" s="1"/>
  <c r="O73" i="5" s="1"/>
  <c r="Q75" i="5"/>
  <c r="R75" i="5" s="1"/>
  <c r="T77" i="5"/>
  <c r="U77" i="5" s="1"/>
  <c r="E479" i="16"/>
  <c r="E476" i="16"/>
  <c r="E481" i="16"/>
  <c r="E478" i="16"/>
  <c r="E480" i="16"/>
  <c r="E477" i="16"/>
  <c r="G94" i="5"/>
  <c r="D96" i="15"/>
  <c r="G96" i="5"/>
  <c r="D116" i="15"/>
  <c r="G116" i="5"/>
  <c r="C747" i="16"/>
  <c r="C751" i="16"/>
  <c r="C748" i="16"/>
  <c r="C749" i="16"/>
  <c r="C746" i="16"/>
  <c r="C750" i="16"/>
  <c r="E760" i="16"/>
  <c r="E763" i="16"/>
  <c r="E762" i="16"/>
  <c r="E759" i="16"/>
  <c r="E761" i="16"/>
  <c r="E758" i="16"/>
  <c r="D474" i="16"/>
  <c r="D473" i="16"/>
  <c r="D470" i="16"/>
  <c r="D472" i="16"/>
  <c r="D471" i="16"/>
  <c r="D475" i="16"/>
  <c r="E492" i="16"/>
  <c r="E491" i="16"/>
  <c r="E488" i="16"/>
  <c r="E493" i="16"/>
  <c r="E490" i="16"/>
  <c r="E489" i="16"/>
  <c r="F510" i="16"/>
  <c r="F507" i="16"/>
  <c r="F509" i="16"/>
  <c r="F506" i="16"/>
  <c r="F511" i="16"/>
  <c r="F508" i="16"/>
  <c r="C514" i="16"/>
  <c r="C516" i="16"/>
  <c r="C513" i="16"/>
  <c r="C515" i="16"/>
  <c r="C512" i="16"/>
  <c r="C517" i="16"/>
  <c r="D548" i="16"/>
  <c r="D553" i="16"/>
  <c r="D550" i="16"/>
  <c r="D552" i="16"/>
  <c r="D551" i="16"/>
  <c r="D549" i="16"/>
  <c r="B559" i="16"/>
  <c r="B556" i="16"/>
  <c r="B558" i="16"/>
  <c r="B557" i="16"/>
  <c r="B555" i="16"/>
  <c r="B554" i="16"/>
  <c r="M98" i="5"/>
  <c r="F603" i="16"/>
  <c r="F605" i="16"/>
  <c r="F602" i="16"/>
  <c r="F607" i="16"/>
  <c r="F604" i="16"/>
  <c r="F606" i="16"/>
  <c r="E608" i="16"/>
  <c r="E611" i="16"/>
  <c r="E613" i="16"/>
  <c r="E610" i="16"/>
  <c r="E609" i="16"/>
  <c r="E612" i="16"/>
  <c r="D630" i="16"/>
  <c r="D627" i="16"/>
  <c r="D626" i="16"/>
  <c r="D629" i="16"/>
  <c r="D628" i="16"/>
  <c r="D631" i="16"/>
  <c r="D107" i="15"/>
  <c r="G107" i="5"/>
  <c r="D108" i="15"/>
  <c r="G108" i="5"/>
  <c r="C648" i="16"/>
  <c r="C644" i="16"/>
  <c r="C647" i="16"/>
  <c r="C645" i="16"/>
  <c r="C649" i="16"/>
  <c r="C646" i="16"/>
  <c r="C651" i="16"/>
  <c r="C652" i="16"/>
  <c r="C655" i="16"/>
  <c r="C654" i="16"/>
  <c r="C653" i="16"/>
  <c r="C650" i="16"/>
  <c r="C672" i="16"/>
  <c r="C673" i="16"/>
  <c r="C669" i="16"/>
  <c r="C671" i="16"/>
  <c r="C670" i="16"/>
  <c r="C668" i="16"/>
  <c r="E688" i="16"/>
  <c r="E687" i="16"/>
  <c r="E690" i="16"/>
  <c r="E686" i="16"/>
  <c r="E691" i="16"/>
  <c r="E689" i="16"/>
  <c r="F118" i="15"/>
  <c r="P118" i="5"/>
  <c r="Q118" i="5" s="1"/>
  <c r="J119" i="5"/>
  <c r="T130" i="5"/>
  <c r="U130" i="5" s="1"/>
  <c r="B798" i="16"/>
  <c r="B799" i="16"/>
  <c r="B796" i="16"/>
  <c r="B795" i="16"/>
  <c r="B797" i="16"/>
  <c r="B794" i="16"/>
  <c r="C803" i="16"/>
  <c r="C805" i="16"/>
  <c r="C802" i="16"/>
  <c r="C804" i="16"/>
  <c r="C801" i="16"/>
  <c r="C800" i="16"/>
  <c r="D136" i="15"/>
  <c r="G136" i="5"/>
  <c r="F138" i="15"/>
  <c r="M138" i="5"/>
  <c r="N138" i="5" s="1"/>
  <c r="B862" i="16"/>
  <c r="B865" i="16"/>
  <c r="B861" i="16"/>
  <c r="B864" i="16"/>
  <c r="B860" i="16"/>
  <c r="B863" i="16"/>
  <c r="F147" i="15"/>
  <c r="P147" i="5"/>
  <c r="Q147" i="5" s="1"/>
  <c r="M147" i="5"/>
  <c r="N147" i="5" s="1"/>
  <c r="O147" i="5" s="1"/>
  <c r="C923" i="16"/>
  <c r="C920" i="16"/>
  <c r="C925" i="16"/>
  <c r="C922" i="16"/>
  <c r="C921" i="16"/>
  <c r="C924" i="16"/>
  <c r="E928" i="16"/>
  <c r="E930" i="16"/>
  <c r="E927" i="16"/>
  <c r="E926" i="16"/>
  <c r="E929" i="16"/>
  <c r="E931" i="16"/>
  <c r="E936" i="16"/>
  <c r="E933" i="16"/>
  <c r="E935" i="16"/>
  <c r="E934" i="16"/>
  <c r="E937" i="16"/>
  <c r="E932" i="16"/>
  <c r="B965" i="16"/>
  <c r="B964" i="16"/>
  <c r="B963" i="16"/>
  <c r="B967" i="16"/>
  <c r="B962" i="16"/>
  <c r="B966" i="16"/>
  <c r="E970" i="16"/>
  <c r="E973" i="16"/>
  <c r="E972" i="16"/>
  <c r="E969" i="16"/>
  <c r="E968" i="16"/>
  <c r="E971" i="16"/>
  <c r="F174" i="15"/>
  <c r="M174" i="5"/>
  <c r="S174" i="5"/>
  <c r="B1056" i="16"/>
  <c r="B1053" i="16"/>
  <c r="B1055" i="16"/>
  <c r="B1054" i="16"/>
  <c r="B1057" i="16"/>
  <c r="B1052" i="16"/>
  <c r="C1085" i="16"/>
  <c r="C1082" i="16"/>
  <c r="C1084" i="16"/>
  <c r="C1083" i="16"/>
  <c r="C1086" i="16"/>
  <c r="C1087" i="16"/>
  <c r="E1114" i="16"/>
  <c r="E1113" i="16"/>
  <c r="E1117" i="16"/>
  <c r="E1116" i="16"/>
  <c r="E1112" i="16"/>
  <c r="E1115" i="16"/>
  <c r="B1152" i="16"/>
  <c r="B1149" i="16"/>
  <c r="B1148" i="16"/>
  <c r="B1153" i="16"/>
  <c r="B1151" i="16"/>
  <c r="B1150" i="16"/>
  <c r="I194" i="5"/>
  <c r="V194" i="5"/>
  <c r="W194" i="5" s="1"/>
  <c r="C1169" i="16"/>
  <c r="C1171" i="16"/>
  <c r="C1168" i="16"/>
  <c r="C1170" i="16"/>
  <c r="C1166" i="16"/>
  <c r="C1167" i="16"/>
  <c r="D1236" i="16"/>
  <c r="D1233" i="16"/>
  <c r="D1235" i="16"/>
  <c r="D1232" i="16"/>
  <c r="D1234" i="16"/>
  <c r="D1237" i="16"/>
  <c r="D516" i="16"/>
  <c r="D517" i="16"/>
  <c r="D514" i="16"/>
  <c r="D513" i="16"/>
  <c r="D515" i="16"/>
  <c r="D512" i="16"/>
  <c r="E551" i="16"/>
  <c r="E548" i="16"/>
  <c r="E553" i="16"/>
  <c r="E550" i="16"/>
  <c r="E552" i="16"/>
  <c r="E549" i="16"/>
  <c r="C554" i="16"/>
  <c r="C559" i="16"/>
  <c r="C556" i="16"/>
  <c r="C557" i="16"/>
  <c r="C555" i="16"/>
  <c r="C558" i="16"/>
  <c r="J101" i="5"/>
  <c r="I101" i="5"/>
  <c r="V101" i="5"/>
  <c r="W101" i="5" s="1"/>
  <c r="F103" i="15"/>
  <c r="P103" i="5"/>
  <c r="Q103" i="5" s="1"/>
  <c r="R103" i="5" s="1"/>
  <c r="M103" i="5"/>
  <c r="N103" i="5" s="1"/>
  <c r="O103" i="5" s="1"/>
  <c r="E627" i="16"/>
  <c r="E630" i="16"/>
  <c r="E626" i="16"/>
  <c r="E629" i="16"/>
  <c r="E631" i="16"/>
  <c r="E628" i="16"/>
  <c r="E632" i="16"/>
  <c r="E637" i="16"/>
  <c r="E633" i="16"/>
  <c r="E636" i="16"/>
  <c r="E635" i="16"/>
  <c r="E634" i="16"/>
  <c r="E640" i="16"/>
  <c r="E641" i="16"/>
  <c r="E643" i="16"/>
  <c r="E642" i="16"/>
  <c r="E638" i="16"/>
  <c r="E639" i="16"/>
  <c r="D646" i="16"/>
  <c r="D648" i="16"/>
  <c r="D644" i="16"/>
  <c r="D647" i="16"/>
  <c r="D645" i="16"/>
  <c r="D649" i="16"/>
  <c r="D110" i="15"/>
  <c r="G110" i="5"/>
  <c r="D662" i="16"/>
  <c r="D664" i="16"/>
  <c r="D665" i="16"/>
  <c r="D663" i="16"/>
  <c r="D667" i="16"/>
  <c r="D666" i="16"/>
  <c r="D670" i="16"/>
  <c r="D672" i="16"/>
  <c r="D668" i="16"/>
  <c r="D671" i="16"/>
  <c r="D669" i="16"/>
  <c r="D673" i="16"/>
  <c r="E680" i="16"/>
  <c r="E685" i="16"/>
  <c r="E683" i="16"/>
  <c r="E682" i="16"/>
  <c r="E684" i="16"/>
  <c r="E681" i="16"/>
  <c r="F116" i="15"/>
  <c r="P116" i="5"/>
  <c r="U118" i="5"/>
  <c r="R118" i="5"/>
  <c r="I119" i="5"/>
  <c r="B782" i="16"/>
  <c r="B787" i="16"/>
  <c r="B784" i="16"/>
  <c r="B786" i="16"/>
  <c r="B783" i="16"/>
  <c r="B785" i="16"/>
  <c r="C793" i="16"/>
  <c r="C790" i="16"/>
  <c r="C792" i="16"/>
  <c r="C789" i="16"/>
  <c r="C788" i="16"/>
  <c r="C791" i="16"/>
  <c r="C795" i="16"/>
  <c r="C799" i="16"/>
  <c r="C796" i="16"/>
  <c r="C798" i="16"/>
  <c r="C797" i="16"/>
  <c r="C794" i="16"/>
  <c r="D803" i="16"/>
  <c r="D805" i="16"/>
  <c r="D802" i="16"/>
  <c r="D804" i="16"/>
  <c r="D801" i="16"/>
  <c r="D800" i="16"/>
  <c r="O138" i="5"/>
  <c r="C864" i="16"/>
  <c r="C861" i="16"/>
  <c r="C862" i="16"/>
  <c r="C865" i="16"/>
  <c r="C860" i="16"/>
  <c r="C863" i="16"/>
  <c r="R147" i="5"/>
  <c r="B918" i="16"/>
  <c r="B919" i="16"/>
  <c r="B915" i="16"/>
  <c r="B914" i="16"/>
  <c r="B917" i="16"/>
  <c r="B916" i="16"/>
  <c r="F157" i="15"/>
  <c r="S157" i="5"/>
  <c r="P157" i="5"/>
  <c r="M157" i="5"/>
  <c r="F163" i="15"/>
  <c r="P163" i="5"/>
  <c r="M163" i="5"/>
  <c r="D168" i="15"/>
  <c r="G168" i="5"/>
  <c r="T169" i="5"/>
  <c r="U169" i="5" s="1"/>
  <c r="R169" i="5"/>
  <c r="C1029" i="16"/>
  <c r="C1033" i="16"/>
  <c r="C1032" i="16"/>
  <c r="C1028" i="16"/>
  <c r="C1031" i="16"/>
  <c r="C1030" i="16"/>
  <c r="H178" i="5"/>
  <c r="R178" i="5"/>
  <c r="C1077" i="16"/>
  <c r="C1076" i="16"/>
  <c r="C1078" i="16"/>
  <c r="C1081" i="16"/>
  <c r="C1080" i="16"/>
  <c r="C1079" i="16"/>
  <c r="B1109" i="16"/>
  <c r="B1106" i="16"/>
  <c r="B1110" i="16"/>
  <c r="B1108" i="16"/>
  <c r="B1111" i="16"/>
  <c r="B1107" i="16"/>
  <c r="I194" i="15"/>
  <c r="H1156" i="16" s="1"/>
  <c r="H203" i="5"/>
  <c r="H221" i="5"/>
  <c r="C1364" i="16"/>
  <c r="C1369" i="16"/>
  <c r="C1366" i="16"/>
  <c r="C1368" i="16"/>
  <c r="C1367" i="16"/>
  <c r="C1365" i="16"/>
  <c r="E648" i="16"/>
  <c r="E645" i="16"/>
  <c r="E644" i="16"/>
  <c r="E647" i="16"/>
  <c r="E646" i="16"/>
  <c r="E649" i="16"/>
  <c r="E653" i="16"/>
  <c r="E655" i="16"/>
  <c r="E651" i="16"/>
  <c r="E654" i="16"/>
  <c r="E650" i="16"/>
  <c r="E652" i="16"/>
  <c r="E656" i="16"/>
  <c r="E661" i="16"/>
  <c r="E658" i="16"/>
  <c r="E660" i="16"/>
  <c r="E659" i="16"/>
  <c r="E657" i="16"/>
  <c r="E664" i="16"/>
  <c r="E662" i="16"/>
  <c r="E665" i="16"/>
  <c r="E663" i="16"/>
  <c r="E667" i="16"/>
  <c r="E666" i="16"/>
  <c r="E672" i="16"/>
  <c r="E669" i="16"/>
  <c r="E673" i="16"/>
  <c r="E668" i="16"/>
  <c r="E671" i="16"/>
  <c r="E670" i="16"/>
  <c r="F115" i="15"/>
  <c r="P115" i="5"/>
  <c r="Q115" i="5" s="1"/>
  <c r="M115" i="5"/>
  <c r="N115" i="5" s="1"/>
  <c r="J117" i="5"/>
  <c r="I117" i="5"/>
  <c r="V117" i="5"/>
  <c r="W117" i="5" s="1"/>
  <c r="B781" i="16"/>
  <c r="B778" i="16"/>
  <c r="B780" i="16"/>
  <c r="B777" i="16"/>
  <c r="B779" i="16"/>
  <c r="B776" i="16"/>
  <c r="C787" i="16"/>
  <c r="C786" i="16"/>
  <c r="C783" i="16"/>
  <c r="C785" i="16"/>
  <c r="C784" i="16"/>
  <c r="C782" i="16"/>
  <c r="E800" i="16"/>
  <c r="E805" i="16"/>
  <c r="E802" i="16"/>
  <c r="E804" i="16"/>
  <c r="E801" i="16"/>
  <c r="E803" i="16"/>
  <c r="I138" i="5"/>
  <c r="D865" i="16"/>
  <c r="D861" i="16"/>
  <c r="D864" i="16"/>
  <c r="D860" i="16"/>
  <c r="D863" i="16"/>
  <c r="D862" i="16"/>
  <c r="C915" i="16"/>
  <c r="C917" i="16"/>
  <c r="C914" i="16"/>
  <c r="C919" i="16"/>
  <c r="C918" i="16"/>
  <c r="C916" i="16"/>
  <c r="E920" i="16"/>
  <c r="E925" i="16"/>
  <c r="E922" i="16"/>
  <c r="E923" i="16"/>
  <c r="E921" i="16"/>
  <c r="E924" i="16"/>
  <c r="U163" i="5"/>
  <c r="V169" i="5"/>
  <c r="W169" i="5" s="1"/>
  <c r="D173" i="15"/>
  <c r="G173" i="5"/>
  <c r="D1053" i="16"/>
  <c r="D1055" i="16"/>
  <c r="D1057" i="16"/>
  <c r="D1056" i="16"/>
  <c r="D1054" i="16"/>
  <c r="D1052" i="16"/>
  <c r="C1109" i="16"/>
  <c r="C1106" i="16"/>
  <c r="C1108" i="16"/>
  <c r="C1110" i="16"/>
  <c r="C1111" i="16"/>
  <c r="C1107" i="16"/>
  <c r="D193" i="15"/>
  <c r="G193" i="5"/>
  <c r="F226" i="15"/>
  <c r="P226" i="5"/>
  <c r="M226" i="5"/>
  <c r="S226" i="5"/>
  <c r="D33" i="16"/>
  <c r="D37" i="16"/>
  <c r="D34" i="16"/>
  <c r="D36" i="16"/>
  <c r="D35" i="16"/>
  <c r="D32" i="16"/>
  <c r="E54" i="16"/>
  <c r="E55" i="16"/>
  <c r="E52" i="16"/>
  <c r="E51" i="16"/>
  <c r="E50" i="16"/>
  <c r="E53" i="16"/>
  <c r="F70" i="16"/>
  <c r="F73" i="16"/>
  <c r="F72" i="16"/>
  <c r="F69" i="16"/>
  <c r="F71" i="16"/>
  <c r="F68" i="16"/>
  <c r="B92" i="16"/>
  <c r="B95" i="16"/>
  <c r="B97" i="16"/>
  <c r="B94" i="16"/>
  <c r="B93" i="16"/>
  <c r="B96" i="16"/>
  <c r="C113" i="16"/>
  <c r="C110" i="16"/>
  <c r="C115" i="16"/>
  <c r="C112" i="16"/>
  <c r="C114" i="16"/>
  <c r="C111" i="16"/>
  <c r="D129" i="16"/>
  <c r="D131" i="16"/>
  <c r="D128" i="16"/>
  <c r="D133" i="16"/>
  <c r="D132" i="16"/>
  <c r="D130" i="16"/>
  <c r="E150" i="16"/>
  <c r="E149" i="16"/>
  <c r="E146" i="16"/>
  <c r="E151" i="16"/>
  <c r="E148" i="16"/>
  <c r="E147" i="16"/>
  <c r="F166" i="16"/>
  <c r="F169" i="16"/>
  <c r="F165" i="16"/>
  <c r="F168" i="16"/>
  <c r="F164" i="16"/>
  <c r="F167" i="16"/>
  <c r="B188" i="16"/>
  <c r="B189" i="16"/>
  <c r="B192" i="16"/>
  <c r="B191" i="16"/>
  <c r="B193" i="16"/>
  <c r="B190" i="16"/>
  <c r="C209" i="16"/>
  <c r="C206" i="16"/>
  <c r="C208" i="16"/>
  <c r="C211" i="16"/>
  <c r="C207" i="16"/>
  <c r="C210" i="16"/>
  <c r="D225" i="16"/>
  <c r="D228" i="16"/>
  <c r="D224" i="16"/>
  <c r="D227" i="16"/>
  <c r="D229" i="16"/>
  <c r="D226" i="16"/>
  <c r="E246" i="16"/>
  <c r="E243" i="16"/>
  <c r="E244" i="16"/>
  <c r="E247" i="16"/>
  <c r="E245" i="16"/>
  <c r="E242" i="16"/>
  <c r="F262" i="16"/>
  <c r="F264" i="16"/>
  <c r="F263" i="16"/>
  <c r="F261" i="16"/>
  <c r="F265" i="16"/>
  <c r="F260" i="16"/>
  <c r="B284" i="16"/>
  <c r="B289" i="16"/>
  <c r="B286" i="16"/>
  <c r="B288" i="16"/>
  <c r="B287" i="16"/>
  <c r="B285" i="16"/>
  <c r="C306" i="16"/>
  <c r="C303" i="16"/>
  <c r="C307" i="16"/>
  <c r="C302" i="16"/>
  <c r="C305" i="16"/>
  <c r="C304" i="16"/>
  <c r="D323" i="16"/>
  <c r="D320" i="16"/>
  <c r="D325" i="16"/>
  <c r="D321" i="16"/>
  <c r="D324" i="16"/>
  <c r="D322" i="16"/>
  <c r="E343" i="16"/>
  <c r="E339" i="16"/>
  <c r="E338" i="16"/>
  <c r="E342" i="16"/>
  <c r="E341" i="16"/>
  <c r="E340" i="16"/>
  <c r="F360" i="16"/>
  <c r="F359" i="16"/>
  <c r="F358" i="16"/>
  <c r="F357" i="16"/>
  <c r="F356" i="16"/>
  <c r="F361" i="16"/>
  <c r="B383" i="16"/>
  <c r="B380" i="16"/>
  <c r="B385" i="16"/>
  <c r="B382" i="16"/>
  <c r="B384" i="16"/>
  <c r="B381" i="16"/>
  <c r="C402" i="16"/>
  <c r="C400" i="16"/>
  <c r="C399" i="16"/>
  <c r="C401" i="16"/>
  <c r="C398" i="16"/>
  <c r="C403" i="16"/>
  <c r="D420" i="16"/>
  <c r="D416" i="16"/>
  <c r="D421" i="16"/>
  <c r="D419" i="16"/>
  <c r="D418" i="16"/>
  <c r="D417" i="16"/>
  <c r="P72" i="5"/>
  <c r="E439" i="16"/>
  <c r="E437" i="16"/>
  <c r="E436" i="16"/>
  <c r="E435" i="16"/>
  <c r="E434" i="16"/>
  <c r="E438" i="16"/>
  <c r="F454" i="16"/>
  <c r="F456" i="16"/>
  <c r="F453" i="16"/>
  <c r="F455" i="16"/>
  <c r="F452" i="16"/>
  <c r="F457" i="16"/>
  <c r="G80" i="5"/>
  <c r="B479" i="16"/>
  <c r="B480" i="16"/>
  <c r="B477" i="16"/>
  <c r="B476" i="16"/>
  <c r="B481" i="16"/>
  <c r="B478" i="16"/>
  <c r="C498" i="16"/>
  <c r="C499" i="16"/>
  <c r="C496" i="16"/>
  <c r="C495" i="16"/>
  <c r="C497" i="16"/>
  <c r="C494" i="16"/>
  <c r="O85" i="5"/>
  <c r="F87" i="15"/>
  <c r="P87" i="5"/>
  <c r="Q87" i="5" s="1"/>
  <c r="R87" i="5" s="1"/>
  <c r="C522" i="16"/>
  <c r="C519" i="16"/>
  <c r="C521" i="16"/>
  <c r="C518" i="16"/>
  <c r="C523" i="16"/>
  <c r="C520" i="16"/>
  <c r="G93" i="5"/>
  <c r="E559" i="16"/>
  <c r="E556" i="16"/>
  <c r="E558" i="16"/>
  <c r="E555" i="16"/>
  <c r="E554" i="16"/>
  <c r="E557" i="16"/>
  <c r="C562" i="16"/>
  <c r="C564" i="16"/>
  <c r="C561" i="16"/>
  <c r="C563" i="16"/>
  <c r="C560" i="16"/>
  <c r="C565" i="16"/>
  <c r="S97" i="5"/>
  <c r="P98" i="5"/>
  <c r="G106" i="5"/>
  <c r="F109" i="15"/>
  <c r="S109" i="5"/>
  <c r="T109" i="5" s="1"/>
  <c r="U109" i="5" s="1"/>
  <c r="M109" i="5"/>
  <c r="N109" i="5" s="1"/>
  <c r="F110" i="15"/>
  <c r="M110" i="5"/>
  <c r="F111" i="15"/>
  <c r="S111" i="5"/>
  <c r="F112" i="15"/>
  <c r="S112" i="5"/>
  <c r="T112" i="5" s="1"/>
  <c r="P112" i="5"/>
  <c r="Q112" i="5" s="1"/>
  <c r="R112" i="5" s="1"/>
  <c r="F669" i="16"/>
  <c r="F672" i="16"/>
  <c r="F668" i="16"/>
  <c r="F671" i="16"/>
  <c r="F670" i="16"/>
  <c r="F673" i="16"/>
  <c r="F675" i="16"/>
  <c r="F677" i="16"/>
  <c r="F679" i="16"/>
  <c r="F678" i="16"/>
  <c r="F674" i="16"/>
  <c r="F676" i="16"/>
  <c r="O115" i="5"/>
  <c r="M116" i="5"/>
  <c r="K117" i="5"/>
  <c r="I118" i="5"/>
  <c r="O119" i="5"/>
  <c r="B774" i="16"/>
  <c r="B775" i="16"/>
  <c r="B772" i="16"/>
  <c r="B771" i="16"/>
  <c r="B773" i="16"/>
  <c r="B770" i="16"/>
  <c r="D132" i="15"/>
  <c r="G132" i="5"/>
  <c r="F135" i="15"/>
  <c r="P135" i="5"/>
  <c r="Q135" i="5" s="1"/>
  <c r="R135" i="5" s="1"/>
  <c r="M135" i="5"/>
  <c r="N135" i="5" s="1"/>
  <c r="J138" i="5"/>
  <c r="E864" i="16"/>
  <c r="E861" i="16"/>
  <c r="E865" i="16"/>
  <c r="E860" i="16"/>
  <c r="E863" i="16"/>
  <c r="E862" i="16"/>
  <c r="H146" i="5"/>
  <c r="I147" i="5"/>
  <c r="K147" i="5" s="1"/>
  <c r="D915" i="16"/>
  <c r="D914" i="16"/>
  <c r="D918" i="16"/>
  <c r="D917" i="16"/>
  <c r="D916" i="16"/>
  <c r="D919" i="16"/>
  <c r="B960" i="16"/>
  <c r="B961" i="16"/>
  <c r="B956" i="16"/>
  <c r="B959" i="16"/>
  <c r="B958" i="16"/>
  <c r="B957" i="16"/>
  <c r="H163" i="5"/>
  <c r="B992" i="16"/>
  <c r="B995" i="16"/>
  <c r="B994" i="16"/>
  <c r="B997" i="16"/>
  <c r="B993" i="16"/>
  <c r="B996" i="16"/>
  <c r="I169" i="5"/>
  <c r="E1031" i="16"/>
  <c r="E1029" i="16"/>
  <c r="E1032" i="16"/>
  <c r="E1028" i="16"/>
  <c r="E1033" i="16"/>
  <c r="E1030" i="16"/>
  <c r="P174" i="5"/>
  <c r="F182" i="15"/>
  <c r="S182" i="5"/>
  <c r="T182" i="5" s="1"/>
  <c r="P182" i="5"/>
  <c r="Q182" i="5" s="1"/>
  <c r="R182" i="5" s="1"/>
  <c r="M182" i="5"/>
  <c r="N182" i="5" s="1"/>
  <c r="O182" i="5" s="1"/>
  <c r="D1109" i="16"/>
  <c r="D1106" i="16"/>
  <c r="D1108" i="16"/>
  <c r="D1111" i="16"/>
  <c r="D1107" i="16"/>
  <c r="D1110" i="16"/>
  <c r="C1133" i="16"/>
  <c r="C1130" i="16"/>
  <c r="C1132" i="16"/>
  <c r="C1134" i="16"/>
  <c r="C1135" i="16"/>
  <c r="C1131" i="16"/>
  <c r="C1193" i="16"/>
  <c r="C1194" i="16"/>
  <c r="C1191" i="16"/>
  <c r="C1190" i="16"/>
  <c r="C1192" i="16"/>
  <c r="C1195" i="16"/>
  <c r="G207" i="5"/>
  <c r="H224" i="5"/>
  <c r="C1475" i="16"/>
  <c r="C1472" i="16"/>
  <c r="C1477" i="16"/>
  <c r="C1474" i="16"/>
  <c r="C1473" i="16"/>
  <c r="C1476" i="16"/>
  <c r="F94" i="15"/>
  <c r="M94" i="5"/>
  <c r="O109" i="5"/>
  <c r="O112" i="5"/>
  <c r="H113" i="5"/>
  <c r="H114" i="5"/>
  <c r="J118" i="5"/>
  <c r="B766" i="16"/>
  <c r="B769" i="16"/>
  <c r="B768" i="16"/>
  <c r="B765" i="16"/>
  <c r="B767" i="16"/>
  <c r="B764" i="16"/>
  <c r="E784" i="16"/>
  <c r="E785" i="16"/>
  <c r="E782" i="16"/>
  <c r="E787" i="16"/>
  <c r="E786" i="16"/>
  <c r="E783" i="16"/>
  <c r="F134" i="15"/>
  <c r="P134" i="5"/>
  <c r="Q134" i="5" s="1"/>
  <c r="R134" i="5" s="1"/>
  <c r="J135" i="5"/>
  <c r="P138" i="5"/>
  <c r="Q138" i="5" s="1"/>
  <c r="R138" i="5" s="1"/>
  <c r="D859" i="16"/>
  <c r="D854" i="16"/>
  <c r="D857" i="16"/>
  <c r="D856" i="16"/>
  <c r="D858" i="16"/>
  <c r="D855" i="16"/>
  <c r="J147" i="5"/>
  <c r="B902" i="16"/>
  <c r="B904" i="16"/>
  <c r="B907" i="16"/>
  <c r="B903" i="16"/>
  <c r="B906" i="16"/>
  <c r="B905" i="16"/>
  <c r="D911" i="16"/>
  <c r="D910" i="16"/>
  <c r="D913" i="16"/>
  <c r="D909" i="16"/>
  <c r="D908" i="16"/>
  <c r="D912" i="16"/>
  <c r="E917" i="16"/>
  <c r="E914" i="16"/>
  <c r="E919" i="16"/>
  <c r="E915" i="16"/>
  <c r="E918" i="16"/>
  <c r="E916" i="16"/>
  <c r="C957" i="16"/>
  <c r="C961" i="16"/>
  <c r="C958" i="16"/>
  <c r="C960" i="16"/>
  <c r="C959" i="16"/>
  <c r="C956" i="16"/>
  <c r="C997" i="16"/>
  <c r="C994" i="16"/>
  <c r="C992" i="16"/>
  <c r="C995" i="16"/>
  <c r="C993" i="16"/>
  <c r="C996" i="16"/>
  <c r="J169" i="5"/>
  <c r="E1026" i="16"/>
  <c r="E1023" i="16"/>
  <c r="E1022" i="16"/>
  <c r="E1025" i="16"/>
  <c r="E1024" i="16"/>
  <c r="E1027" i="16"/>
  <c r="F173" i="15"/>
  <c r="S173" i="5"/>
  <c r="P173" i="5"/>
  <c r="M173" i="5"/>
  <c r="B1072" i="16"/>
  <c r="B1071" i="16"/>
  <c r="B1075" i="16"/>
  <c r="B1074" i="16"/>
  <c r="B1073" i="16"/>
  <c r="B1070" i="16"/>
  <c r="U182" i="5"/>
  <c r="E1106" i="16"/>
  <c r="E1111" i="16"/>
  <c r="E1109" i="16"/>
  <c r="E1107" i="16"/>
  <c r="E1110" i="16"/>
  <c r="E1108" i="16"/>
  <c r="N194" i="5"/>
  <c r="C1217" i="16"/>
  <c r="C1214" i="16"/>
  <c r="C1219" i="16"/>
  <c r="C1216" i="16"/>
  <c r="C1218" i="16"/>
  <c r="C1215" i="16"/>
  <c r="D1324" i="16"/>
  <c r="D1323" i="16"/>
  <c r="D1327" i="16"/>
  <c r="D1322" i="16"/>
  <c r="D1326" i="16"/>
  <c r="D1325" i="16"/>
  <c r="F229" i="15"/>
  <c r="M229" i="5"/>
  <c r="S229" i="5"/>
  <c r="P229" i="5"/>
  <c r="B1523" i="16"/>
  <c r="B1521" i="16"/>
  <c r="B1524" i="16"/>
  <c r="B1522" i="16"/>
  <c r="B1520" i="16"/>
  <c r="B1525" i="16"/>
  <c r="C769" i="16"/>
  <c r="C767" i="16"/>
  <c r="C766" i="16"/>
  <c r="C765" i="16"/>
  <c r="C768" i="16"/>
  <c r="C764" i="16"/>
  <c r="E776" i="16"/>
  <c r="E781" i="16"/>
  <c r="E778" i="16"/>
  <c r="E779" i="16"/>
  <c r="E780" i="16"/>
  <c r="E777" i="16"/>
  <c r="F132" i="15"/>
  <c r="P132" i="5"/>
  <c r="U133" i="5"/>
  <c r="H135" i="15"/>
  <c r="H801" i="16" s="1"/>
  <c r="G135" i="15"/>
  <c r="H800" i="16" s="1"/>
  <c r="E856" i="16"/>
  <c r="E858" i="16"/>
  <c r="E854" i="16"/>
  <c r="E857" i="16"/>
  <c r="E859" i="16"/>
  <c r="E855" i="16"/>
  <c r="G145" i="5"/>
  <c r="F154" i="15"/>
  <c r="M154" i="5"/>
  <c r="N154" i="5" s="1"/>
  <c r="O154" i="5" s="1"/>
  <c r="D957" i="16"/>
  <c r="D961" i="16"/>
  <c r="D958" i="16"/>
  <c r="D960" i="16"/>
  <c r="D959" i="16"/>
  <c r="D956" i="16"/>
  <c r="H162" i="5"/>
  <c r="U162" i="5"/>
  <c r="D167" i="15"/>
  <c r="G167" i="5"/>
  <c r="N169" i="5"/>
  <c r="O169" i="5" s="1"/>
  <c r="B1016" i="16"/>
  <c r="B1021" i="16"/>
  <c r="B1019" i="16"/>
  <c r="B1018" i="16"/>
  <c r="B1017" i="16"/>
  <c r="B1020" i="16"/>
  <c r="G177" i="5"/>
  <c r="C1074" i="16"/>
  <c r="C1071" i="16"/>
  <c r="C1075" i="16"/>
  <c r="C1070" i="16"/>
  <c r="C1073" i="16"/>
  <c r="C1072" i="16"/>
  <c r="V182" i="5"/>
  <c r="W182" i="5" s="1"/>
  <c r="J182" i="5"/>
  <c r="Q194" i="5"/>
  <c r="F217" i="15"/>
  <c r="M217" i="5"/>
  <c r="S217" i="5"/>
  <c r="P217" i="5"/>
  <c r="D1314" i="16"/>
  <c r="D1313" i="16"/>
  <c r="D1312" i="16"/>
  <c r="D1315" i="16"/>
  <c r="D1311" i="16"/>
  <c r="D1310" i="16"/>
  <c r="F261" i="15"/>
  <c r="M261" i="5"/>
  <c r="S261" i="5"/>
  <c r="P261" i="5"/>
  <c r="B1603" i="16"/>
  <c r="B1599" i="16"/>
  <c r="B1602" i="16"/>
  <c r="B1601" i="16"/>
  <c r="B1600" i="16"/>
  <c r="B1598" i="16"/>
  <c r="D312" i="15"/>
  <c r="G312" i="5"/>
  <c r="B846" i="16"/>
  <c r="B844" i="16"/>
  <c r="B847" i="16"/>
  <c r="B843" i="16"/>
  <c r="B842" i="16"/>
  <c r="B845" i="16"/>
  <c r="F144" i="15"/>
  <c r="S144" i="5"/>
  <c r="P144" i="5"/>
  <c r="B897" i="16"/>
  <c r="B900" i="16"/>
  <c r="B896" i="16"/>
  <c r="B899" i="16"/>
  <c r="B901" i="16"/>
  <c r="B898" i="16"/>
  <c r="D152" i="15"/>
  <c r="G152" i="5"/>
  <c r="D1050" i="16"/>
  <c r="D1048" i="16"/>
  <c r="D1047" i="16"/>
  <c r="D1051" i="16"/>
  <c r="D1046" i="16"/>
  <c r="D1049" i="16"/>
  <c r="Q178" i="5"/>
  <c r="J181" i="5"/>
  <c r="K181" i="5" s="1"/>
  <c r="I181" i="5"/>
  <c r="V181" i="5"/>
  <c r="W181" i="5" s="1"/>
  <c r="H182" i="15"/>
  <c r="H1083" i="16" s="1"/>
  <c r="G182" i="15"/>
  <c r="H1082" i="16" s="1"/>
  <c r="D1101" i="16"/>
  <c r="D1102" i="16"/>
  <c r="D1105" i="16"/>
  <c r="D1100" i="16"/>
  <c r="D1104" i="16"/>
  <c r="D1103" i="16"/>
  <c r="H186" i="5"/>
  <c r="C1241" i="16"/>
  <c r="C1242" i="16"/>
  <c r="C1239" i="16"/>
  <c r="C1238" i="16"/>
  <c r="C1240" i="16"/>
  <c r="C1243" i="16"/>
  <c r="D235" i="15"/>
  <c r="G235" i="5"/>
  <c r="H251" i="5"/>
  <c r="D290" i="15"/>
  <c r="G290" i="5"/>
  <c r="B20" i="16"/>
  <c r="B22" i="16"/>
  <c r="B25" i="16"/>
  <c r="B24" i="16"/>
  <c r="B23" i="16"/>
  <c r="B21" i="16"/>
  <c r="C41" i="16"/>
  <c r="C43" i="16"/>
  <c r="C40" i="16"/>
  <c r="C42" i="16"/>
  <c r="C39" i="16"/>
  <c r="C38" i="16"/>
  <c r="D57" i="16"/>
  <c r="D56" i="16"/>
  <c r="D61" i="16"/>
  <c r="D60" i="16"/>
  <c r="D59" i="16"/>
  <c r="D58" i="16"/>
  <c r="E78" i="16"/>
  <c r="E79" i="16"/>
  <c r="E76" i="16"/>
  <c r="E75" i="16"/>
  <c r="E74" i="16"/>
  <c r="E77" i="16"/>
  <c r="F94" i="16"/>
  <c r="F97" i="16"/>
  <c r="F95" i="16"/>
  <c r="F93" i="16"/>
  <c r="F92" i="16"/>
  <c r="F96" i="16"/>
  <c r="B116" i="16"/>
  <c r="B119" i="16"/>
  <c r="B121" i="16"/>
  <c r="B120" i="16"/>
  <c r="B118" i="16"/>
  <c r="B117" i="16"/>
  <c r="C137" i="16"/>
  <c r="C138" i="16"/>
  <c r="C135" i="16"/>
  <c r="C134" i="16"/>
  <c r="C136" i="16"/>
  <c r="C139" i="16"/>
  <c r="D153" i="16"/>
  <c r="D156" i="16"/>
  <c r="D152" i="16"/>
  <c r="D155" i="16"/>
  <c r="D154" i="16"/>
  <c r="D157" i="16"/>
  <c r="E174" i="16"/>
  <c r="E171" i="16"/>
  <c r="E172" i="16"/>
  <c r="E175" i="16"/>
  <c r="E173" i="16"/>
  <c r="E170" i="16"/>
  <c r="F190" i="16"/>
  <c r="F192" i="16"/>
  <c r="F188" i="16"/>
  <c r="F191" i="16"/>
  <c r="F193" i="16"/>
  <c r="F189" i="16"/>
  <c r="B212" i="16"/>
  <c r="B215" i="16"/>
  <c r="B214" i="16"/>
  <c r="B217" i="16"/>
  <c r="B216" i="16"/>
  <c r="B213" i="16"/>
  <c r="C233" i="16"/>
  <c r="C230" i="16"/>
  <c r="C235" i="16"/>
  <c r="C232" i="16"/>
  <c r="C234" i="16"/>
  <c r="C231" i="16"/>
  <c r="D249" i="16"/>
  <c r="D251" i="16"/>
  <c r="D248" i="16"/>
  <c r="D252" i="16"/>
  <c r="D253" i="16"/>
  <c r="D250" i="16"/>
  <c r="E270" i="16"/>
  <c r="E267" i="16"/>
  <c r="E271" i="16"/>
  <c r="E266" i="16"/>
  <c r="E269" i="16"/>
  <c r="E268" i="16"/>
  <c r="F289" i="16"/>
  <c r="F286" i="16"/>
  <c r="F284" i="16"/>
  <c r="F288" i="16"/>
  <c r="F287" i="16"/>
  <c r="F285" i="16"/>
  <c r="B312" i="16"/>
  <c r="B309" i="16"/>
  <c r="B311" i="16"/>
  <c r="B310" i="16"/>
  <c r="B313" i="16"/>
  <c r="B308" i="16"/>
  <c r="C330" i="16"/>
  <c r="C326" i="16"/>
  <c r="C328" i="16"/>
  <c r="C329" i="16"/>
  <c r="C327" i="16"/>
  <c r="C331" i="16"/>
  <c r="D349" i="16"/>
  <c r="D348" i="16"/>
  <c r="D344" i="16"/>
  <c r="D347" i="16"/>
  <c r="D346" i="16"/>
  <c r="D345" i="16"/>
  <c r="E367" i="16"/>
  <c r="E366" i="16"/>
  <c r="E363" i="16"/>
  <c r="E365" i="16"/>
  <c r="E364" i="16"/>
  <c r="E362" i="16"/>
  <c r="F383" i="16"/>
  <c r="F380" i="16"/>
  <c r="F385" i="16"/>
  <c r="F382" i="16"/>
  <c r="F381" i="16"/>
  <c r="F384" i="16"/>
  <c r="B409" i="16"/>
  <c r="B405" i="16"/>
  <c r="B407" i="16"/>
  <c r="B406" i="16"/>
  <c r="B404" i="16"/>
  <c r="B408" i="16"/>
  <c r="C426" i="16"/>
  <c r="C423" i="16"/>
  <c r="C425" i="16"/>
  <c r="C424" i="16"/>
  <c r="C427" i="16"/>
  <c r="C422" i="16"/>
  <c r="D443" i="16"/>
  <c r="D440" i="16"/>
  <c r="D445" i="16"/>
  <c r="D442" i="16"/>
  <c r="D441" i="16"/>
  <c r="D444" i="16"/>
  <c r="E463" i="16"/>
  <c r="E462" i="16"/>
  <c r="E459" i="16"/>
  <c r="E461" i="16"/>
  <c r="E458" i="16"/>
  <c r="E460" i="16"/>
  <c r="F481" i="16"/>
  <c r="F480" i="16"/>
  <c r="F477" i="16"/>
  <c r="F476" i="16"/>
  <c r="F479" i="16"/>
  <c r="F478" i="16"/>
  <c r="B503" i="16"/>
  <c r="B505" i="16"/>
  <c r="B502" i="16"/>
  <c r="B504" i="16"/>
  <c r="B501" i="16"/>
  <c r="B500" i="16"/>
  <c r="D524" i="16"/>
  <c r="D529" i="16"/>
  <c r="D526" i="16"/>
  <c r="D528" i="16"/>
  <c r="D525" i="16"/>
  <c r="D527" i="16"/>
  <c r="E567" i="16"/>
  <c r="E569" i="16"/>
  <c r="E566" i="16"/>
  <c r="E568" i="16"/>
  <c r="E571" i="16"/>
  <c r="E570" i="16"/>
  <c r="C575" i="16"/>
  <c r="C572" i="16"/>
  <c r="C577" i="16"/>
  <c r="C573" i="16"/>
  <c r="C576" i="16"/>
  <c r="C574" i="16"/>
  <c r="T99" i="5"/>
  <c r="U99" i="5" s="1"/>
  <c r="P110" i="5"/>
  <c r="M111" i="5"/>
  <c r="P113" i="5"/>
  <c r="M114" i="5"/>
  <c r="K115" i="5"/>
  <c r="S116" i="5"/>
  <c r="O118" i="5"/>
  <c r="U119" i="5"/>
  <c r="B750" i="16"/>
  <c r="B747" i="16"/>
  <c r="B749" i="16"/>
  <c r="B748" i="16"/>
  <c r="B751" i="16"/>
  <c r="B746" i="16"/>
  <c r="D763" i="16"/>
  <c r="D762" i="16"/>
  <c r="D759" i="16"/>
  <c r="D761" i="16"/>
  <c r="D760" i="16"/>
  <c r="D758" i="16"/>
  <c r="E768" i="16"/>
  <c r="E769" i="16"/>
  <c r="E766" i="16"/>
  <c r="E765" i="16"/>
  <c r="E767" i="16"/>
  <c r="E764" i="16"/>
  <c r="F774" i="16"/>
  <c r="F771" i="16"/>
  <c r="F773" i="16"/>
  <c r="F770" i="16"/>
  <c r="F772" i="16"/>
  <c r="F775" i="16"/>
  <c r="U131" i="5"/>
  <c r="O131" i="5"/>
  <c r="M132" i="5"/>
  <c r="O135" i="5"/>
  <c r="U138" i="5"/>
  <c r="C843" i="16"/>
  <c r="C845" i="16"/>
  <c r="C844" i="16"/>
  <c r="C847" i="16"/>
  <c r="C846" i="16"/>
  <c r="C842" i="16"/>
  <c r="G144" i="5"/>
  <c r="S147" i="5"/>
  <c r="T147" i="5" s="1"/>
  <c r="U147" i="5" s="1"/>
  <c r="C899" i="16"/>
  <c r="C896" i="16"/>
  <c r="C901" i="16"/>
  <c r="C897" i="16"/>
  <c r="C900" i="16"/>
  <c r="C898" i="16"/>
  <c r="G153" i="5"/>
  <c r="H154" i="5"/>
  <c r="S163" i="5"/>
  <c r="T163" i="5" s="1"/>
  <c r="C989" i="16"/>
  <c r="C991" i="16"/>
  <c r="C988" i="16"/>
  <c r="C990" i="16"/>
  <c r="C987" i="16"/>
  <c r="C986" i="16"/>
  <c r="F167" i="15"/>
  <c r="P167" i="5"/>
  <c r="M167" i="5"/>
  <c r="E1050" i="16"/>
  <c r="E1047" i="16"/>
  <c r="E1049" i="16"/>
  <c r="E1051" i="16"/>
  <c r="E1048" i="16"/>
  <c r="E1046" i="16"/>
  <c r="E1074" i="16"/>
  <c r="E1071" i="16"/>
  <c r="E1073" i="16"/>
  <c r="E1070" i="16"/>
  <c r="E1072" i="16"/>
  <c r="E1075" i="16"/>
  <c r="K182" i="5"/>
  <c r="G222" i="5"/>
  <c r="D232" i="15"/>
  <c r="G232" i="5"/>
  <c r="C6" i="16"/>
  <c r="C3" i="16"/>
  <c r="C5" i="16"/>
  <c r="C4" i="16"/>
  <c r="C7" i="16"/>
  <c r="C2" i="16"/>
  <c r="D25" i="16"/>
  <c r="D22" i="16"/>
  <c r="D24" i="16"/>
  <c r="D21" i="16"/>
  <c r="D20" i="16"/>
  <c r="D23" i="16"/>
  <c r="E38" i="16"/>
  <c r="E43" i="16"/>
  <c r="E40" i="16"/>
  <c r="E39" i="16"/>
  <c r="E42" i="16"/>
  <c r="E41" i="16"/>
  <c r="F61" i="16"/>
  <c r="F58" i="16"/>
  <c r="F60" i="16"/>
  <c r="F57" i="16"/>
  <c r="F56" i="16"/>
  <c r="F59" i="16"/>
  <c r="M13" i="5"/>
  <c r="N13" i="5" s="1"/>
  <c r="O13" i="5" s="1"/>
  <c r="B84" i="16"/>
  <c r="B83" i="16"/>
  <c r="B80" i="16"/>
  <c r="B85" i="16"/>
  <c r="B82" i="16"/>
  <c r="B81" i="16"/>
  <c r="C101" i="16"/>
  <c r="C98" i="16"/>
  <c r="C103" i="16"/>
  <c r="C100" i="16"/>
  <c r="C99" i="16"/>
  <c r="C102" i="16"/>
  <c r="D121" i="16"/>
  <c r="D119" i="16"/>
  <c r="D116" i="16"/>
  <c r="D118" i="16"/>
  <c r="D120" i="16"/>
  <c r="D117" i="16"/>
  <c r="E134" i="16"/>
  <c r="E137" i="16"/>
  <c r="E139" i="16"/>
  <c r="E136" i="16"/>
  <c r="E138" i="16"/>
  <c r="E135" i="16"/>
  <c r="F153" i="16"/>
  <c r="F156" i="16"/>
  <c r="F152" i="16"/>
  <c r="F155" i="16"/>
  <c r="F154" i="16"/>
  <c r="F157" i="16"/>
  <c r="M29" i="5"/>
  <c r="B180" i="16"/>
  <c r="B176" i="16"/>
  <c r="B179" i="16"/>
  <c r="B181" i="16"/>
  <c r="B178" i="16"/>
  <c r="B177" i="16"/>
  <c r="C198" i="16"/>
  <c r="C196" i="16"/>
  <c r="C199" i="16"/>
  <c r="C195" i="16"/>
  <c r="C194" i="16"/>
  <c r="C197" i="16"/>
  <c r="D217" i="16"/>
  <c r="D212" i="16"/>
  <c r="D215" i="16"/>
  <c r="D214" i="16"/>
  <c r="D213" i="16"/>
  <c r="D216" i="16"/>
  <c r="E230" i="16"/>
  <c r="E235" i="16"/>
  <c r="E232" i="16"/>
  <c r="E233" i="16"/>
  <c r="E231" i="16"/>
  <c r="E234" i="16"/>
  <c r="F248" i="16"/>
  <c r="F252" i="16"/>
  <c r="F251" i="16"/>
  <c r="F250" i="16"/>
  <c r="F253" i="16"/>
  <c r="F249" i="16"/>
  <c r="M45" i="5"/>
  <c r="B276" i="16"/>
  <c r="B275" i="16"/>
  <c r="B274" i="16"/>
  <c r="B277" i="16"/>
  <c r="B273" i="16"/>
  <c r="B272" i="16"/>
  <c r="C290" i="16"/>
  <c r="C295" i="16"/>
  <c r="C291" i="16"/>
  <c r="C293" i="16"/>
  <c r="C292" i="16"/>
  <c r="C294" i="16"/>
  <c r="D312" i="16"/>
  <c r="D311" i="16"/>
  <c r="D310" i="16"/>
  <c r="D309" i="16"/>
  <c r="D313" i="16"/>
  <c r="D308" i="16"/>
  <c r="E327" i="16"/>
  <c r="E329" i="16"/>
  <c r="E326" i="16"/>
  <c r="E331" i="16"/>
  <c r="E328" i="16"/>
  <c r="E330" i="16"/>
  <c r="F346" i="16"/>
  <c r="F348" i="16"/>
  <c r="F345" i="16"/>
  <c r="F344" i="16"/>
  <c r="F349" i="16"/>
  <c r="F347" i="16"/>
  <c r="M61" i="5"/>
  <c r="N61" i="5" s="1"/>
  <c r="O61" i="5" s="1"/>
  <c r="B372" i="16"/>
  <c r="B368" i="16"/>
  <c r="B373" i="16"/>
  <c r="B371" i="16"/>
  <c r="B370" i="16"/>
  <c r="B369" i="16"/>
  <c r="C386" i="16"/>
  <c r="C389" i="16"/>
  <c r="C391" i="16"/>
  <c r="C388" i="16"/>
  <c r="C387" i="16"/>
  <c r="C390" i="16"/>
  <c r="D406" i="16"/>
  <c r="D408" i="16"/>
  <c r="D405" i="16"/>
  <c r="D404" i="16"/>
  <c r="D409" i="16"/>
  <c r="D407" i="16"/>
  <c r="E423" i="16"/>
  <c r="E425" i="16"/>
  <c r="E422" i="16"/>
  <c r="E427" i="16"/>
  <c r="E426" i="16"/>
  <c r="E424" i="16"/>
  <c r="F445" i="16"/>
  <c r="F442" i="16"/>
  <c r="F444" i="16"/>
  <c r="F441" i="16"/>
  <c r="F440" i="16"/>
  <c r="F443" i="16"/>
  <c r="M77" i="5"/>
  <c r="N77" i="5" s="1"/>
  <c r="O77" i="5" s="1"/>
  <c r="B469" i="16"/>
  <c r="B466" i="16"/>
  <c r="B468" i="16"/>
  <c r="B465" i="16"/>
  <c r="B467" i="16"/>
  <c r="B464" i="16"/>
  <c r="C482" i="16"/>
  <c r="C486" i="16"/>
  <c r="C483" i="16"/>
  <c r="C485" i="16"/>
  <c r="C487" i="16"/>
  <c r="C484" i="16"/>
  <c r="D500" i="16"/>
  <c r="D504" i="16"/>
  <c r="D501" i="16"/>
  <c r="D503" i="16"/>
  <c r="D505" i="16"/>
  <c r="D502" i="16"/>
  <c r="U85" i="5"/>
  <c r="P86" i="5"/>
  <c r="Q86" i="5" s="1"/>
  <c r="R86" i="5" s="1"/>
  <c r="M87" i="5"/>
  <c r="N87" i="5" s="1"/>
  <c r="O87" i="5" s="1"/>
  <c r="C530" i="16"/>
  <c r="C532" i="16"/>
  <c r="C531" i="16"/>
  <c r="C535" i="16"/>
  <c r="C534" i="16"/>
  <c r="C533" i="16"/>
  <c r="E575" i="16"/>
  <c r="E572" i="16"/>
  <c r="E577" i="16"/>
  <c r="E574" i="16"/>
  <c r="E576" i="16"/>
  <c r="E573" i="16"/>
  <c r="C578" i="16"/>
  <c r="C583" i="16"/>
  <c r="C580" i="16"/>
  <c r="C579" i="16"/>
  <c r="C582" i="16"/>
  <c r="C581" i="16"/>
  <c r="B588" i="16"/>
  <c r="B585" i="16"/>
  <c r="B584" i="16"/>
  <c r="B589" i="16"/>
  <c r="B587" i="16"/>
  <c r="B586" i="16"/>
  <c r="P102" i="5"/>
  <c r="Q102" i="5" s="1"/>
  <c r="R102" i="5" s="1"/>
  <c r="P109" i="5"/>
  <c r="Q109" i="5" s="1"/>
  <c r="R109" i="5" s="1"/>
  <c r="M112" i="5"/>
  <c r="N112" i="5" s="1"/>
  <c r="R115" i="5"/>
  <c r="R117" i="5"/>
  <c r="B726" i="16"/>
  <c r="B724" i="16"/>
  <c r="B723" i="16"/>
  <c r="B725" i="16"/>
  <c r="B722" i="16"/>
  <c r="B727" i="16"/>
  <c r="C730" i="16"/>
  <c r="C732" i="16"/>
  <c r="C729" i="16"/>
  <c r="C733" i="16"/>
  <c r="C728" i="16"/>
  <c r="C731" i="16"/>
  <c r="D124" i="15"/>
  <c r="G124" i="5"/>
  <c r="C745" i="16"/>
  <c r="C742" i="16"/>
  <c r="C744" i="16"/>
  <c r="C741" i="16"/>
  <c r="C743" i="16"/>
  <c r="C740" i="16"/>
  <c r="D126" i="15"/>
  <c r="G126" i="5"/>
  <c r="E752" i="16"/>
  <c r="E756" i="16"/>
  <c r="E753" i="16"/>
  <c r="E755" i="16"/>
  <c r="E754" i="16"/>
  <c r="E757" i="16"/>
  <c r="F128" i="15"/>
  <c r="S128" i="5"/>
  <c r="T128" i="5" s="1"/>
  <c r="U128" i="5" s="1"/>
  <c r="P128" i="5"/>
  <c r="Q128" i="5" s="1"/>
  <c r="R128" i="5" s="1"/>
  <c r="S135" i="5"/>
  <c r="T135" i="5" s="1"/>
  <c r="C840" i="16"/>
  <c r="C837" i="16"/>
  <c r="C836" i="16"/>
  <c r="C839" i="16"/>
  <c r="C838" i="16"/>
  <c r="C841" i="16"/>
  <c r="C888" i="16"/>
  <c r="C885" i="16"/>
  <c r="C886" i="16"/>
  <c r="C889" i="16"/>
  <c r="C884" i="16"/>
  <c r="C887" i="16"/>
  <c r="C891" i="16"/>
  <c r="C893" i="16"/>
  <c r="C894" i="16"/>
  <c r="C890" i="16"/>
  <c r="C892" i="16"/>
  <c r="C895" i="16"/>
  <c r="E896" i="16"/>
  <c r="E901" i="16"/>
  <c r="E898" i="16"/>
  <c r="E897" i="16"/>
  <c r="E900" i="16"/>
  <c r="E899" i="16"/>
  <c r="P154" i="5"/>
  <c r="Q154" i="5" s="1"/>
  <c r="R154" i="5" s="1"/>
  <c r="E952" i="16"/>
  <c r="E954" i="16"/>
  <c r="E951" i="16"/>
  <c r="E955" i="16"/>
  <c r="E950" i="16"/>
  <c r="E953" i="16"/>
  <c r="N161" i="5"/>
  <c r="B1013" i="16"/>
  <c r="B1012" i="16"/>
  <c r="B1015" i="16"/>
  <c r="B1014" i="16"/>
  <c r="B1010" i="16"/>
  <c r="B1011" i="16"/>
  <c r="G176" i="5"/>
  <c r="D184" i="15"/>
  <c r="G184" i="5"/>
  <c r="G185" i="5"/>
  <c r="D189" i="15"/>
  <c r="G189" i="5"/>
  <c r="E1146" i="16"/>
  <c r="E1143" i="16"/>
  <c r="E1145" i="16"/>
  <c r="E1142" i="16"/>
  <c r="E1147" i="16"/>
  <c r="E1144" i="16"/>
  <c r="D238" i="15"/>
  <c r="G238" i="5"/>
  <c r="D304" i="15"/>
  <c r="G304" i="5"/>
  <c r="D389" i="16"/>
  <c r="D386" i="16"/>
  <c r="D391" i="16"/>
  <c r="D388" i="16"/>
  <c r="D387" i="16"/>
  <c r="D390" i="16"/>
  <c r="E407" i="16"/>
  <c r="E408" i="16"/>
  <c r="E405" i="16"/>
  <c r="E406" i="16"/>
  <c r="E404" i="16"/>
  <c r="E409" i="16"/>
  <c r="F425" i="16"/>
  <c r="F422" i="16"/>
  <c r="F427" i="16"/>
  <c r="F424" i="16"/>
  <c r="F426" i="16"/>
  <c r="F423" i="16"/>
  <c r="B449" i="16"/>
  <c r="B446" i="16"/>
  <c r="B451" i="16"/>
  <c r="B448" i="16"/>
  <c r="B450" i="16"/>
  <c r="B447" i="16"/>
  <c r="C466" i="16"/>
  <c r="C468" i="16"/>
  <c r="C465" i="16"/>
  <c r="C467" i="16"/>
  <c r="C464" i="16"/>
  <c r="C469" i="16"/>
  <c r="D484" i="16"/>
  <c r="D486" i="16"/>
  <c r="D483" i="16"/>
  <c r="D485" i="16"/>
  <c r="D482" i="16"/>
  <c r="D487" i="16"/>
  <c r="E503" i="16"/>
  <c r="E504" i="16"/>
  <c r="E501" i="16"/>
  <c r="E500" i="16"/>
  <c r="E505" i="16"/>
  <c r="E502" i="16"/>
  <c r="D532" i="16"/>
  <c r="D534" i="16"/>
  <c r="D533" i="16"/>
  <c r="D531" i="16"/>
  <c r="D535" i="16"/>
  <c r="D530" i="16"/>
  <c r="B540" i="16"/>
  <c r="B537" i="16"/>
  <c r="B538" i="16"/>
  <c r="B541" i="16"/>
  <c r="B536" i="16"/>
  <c r="B539" i="16"/>
  <c r="P94" i="5"/>
  <c r="F577" i="16"/>
  <c r="F574" i="16"/>
  <c r="F576" i="16"/>
  <c r="F573" i="16"/>
  <c r="F572" i="16"/>
  <c r="F575" i="16"/>
  <c r="B591" i="16"/>
  <c r="B593" i="16"/>
  <c r="B590" i="16"/>
  <c r="B594" i="16"/>
  <c r="B592" i="16"/>
  <c r="B595" i="16"/>
  <c r="S102" i="5"/>
  <c r="T102" i="5" s="1"/>
  <c r="U102" i="5" s="1"/>
  <c r="S115" i="5"/>
  <c r="T115" i="5" s="1"/>
  <c r="U115" i="5" s="1"/>
  <c r="B715" i="16"/>
  <c r="B713" i="16"/>
  <c r="B712" i="16"/>
  <c r="B711" i="16"/>
  <c r="B714" i="16"/>
  <c r="B710" i="16"/>
  <c r="C721" i="16"/>
  <c r="C718" i="16"/>
  <c r="C720" i="16"/>
  <c r="C716" i="16"/>
  <c r="C719" i="16"/>
  <c r="C717" i="16"/>
  <c r="C726" i="16"/>
  <c r="C723" i="16"/>
  <c r="C725" i="16"/>
  <c r="C724" i="16"/>
  <c r="C727" i="16"/>
  <c r="C722" i="16"/>
  <c r="E736" i="16"/>
  <c r="E737" i="16"/>
  <c r="E734" i="16"/>
  <c r="E739" i="16"/>
  <c r="E738" i="16"/>
  <c r="E735" i="16"/>
  <c r="D744" i="16"/>
  <c r="D741" i="16"/>
  <c r="D743" i="16"/>
  <c r="D740" i="16"/>
  <c r="D742" i="16"/>
  <c r="D745" i="16"/>
  <c r="F127" i="15"/>
  <c r="S127" i="5"/>
  <c r="O128" i="5"/>
  <c r="O133" i="5"/>
  <c r="M134" i="5"/>
  <c r="N134" i="5" s="1"/>
  <c r="B826" i="16"/>
  <c r="B829" i="16"/>
  <c r="B825" i="16"/>
  <c r="B828" i="16"/>
  <c r="B824" i="16"/>
  <c r="B827" i="16"/>
  <c r="D840" i="16"/>
  <c r="D836" i="16"/>
  <c r="D839" i="16"/>
  <c r="D838" i="16"/>
  <c r="D841" i="16"/>
  <c r="D837" i="16"/>
  <c r="F142" i="15"/>
  <c r="M142" i="5"/>
  <c r="B878" i="16"/>
  <c r="B883" i="16"/>
  <c r="B879" i="16"/>
  <c r="B882" i="16"/>
  <c r="B881" i="16"/>
  <c r="B880" i="16"/>
  <c r="F151" i="15"/>
  <c r="P151" i="5"/>
  <c r="M151" i="5"/>
  <c r="S154" i="5"/>
  <c r="T154" i="5" s="1"/>
  <c r="F160" i="15"/>
  <c r="S160" i="5"/>
  <c r="P160" i="5"/>
  <c r="B976" i="16"/>
  <c r="B978" i="16"/>
  <c r="B975" i="16"/>
  <c r="B974" i="16"/>
  <c r="B979" i="16"/>
  <c r="B977" i="16"/>
  <c r="F166" i="15"/>
  <c r="S166" i="5"/>
  <c r="T166" i="5" s="1"/>
  <c r="P166" i="5"/>
  <c r="Q166" i="5" s="1"/>
  <c r="M166" i="5"/>
  <c r="N166" i="5" s="1"/>
  <c r="O166" i="5" s="1"/>
  <c r="C1013" i="16"/>
  <c r="C1010" i="16"/>
  <c r="C1015" i="16"/>
  <c r="C1011" i="16"/>
  <c r="C1014" i="16"/>
  <c r="C1012" i="16"/>
  <c r="T186" i="5"/>
  <c r="E1127" i="16"/>
  <c r="E1129" i="16"/>
  <c r="E1125" i="16"/>
  <c r="E1124" i="16"/>
  <c r="E1128" i="16"/>
  <c r="E1126" i="16"/>
  <c r="F192" i="15"/>
  <c r="S192" i="5"/>
  <c r="P192" i="5"/>
  <c r="M192" i="5"/>
  <c r="E1165" i="16"/>
  <c r="E1162" i="16"/>
  <c r="E1164" i="16"/>
  <c r="E1160" i="16"/>
  <c r="E1163" i="16"/>
  <c r="E1161" i="16"/>
  <c r="D1188" i="16"/>
  <c r="D1185" i="16"/>
  <c r="D1187" i="16"/>
  <c r="D1184" i="16"/>
  <c r="D1186" i="16"/>
  <c r="D1189" i="16"/>
  <c r="E1301" i="16"/>
  <c r="E1298" i="16"/>
  <c r="E1303" i="16"/>
  <c r="E1299" i="16"/>
  <c r="E1302" i="16"/>
  <c r="E1300" i="16"/>
  <c r="D223" i="15"/>
  <c r="G223" i="5"/>
  <c r="Q114" i="5"/>
  <c r="R114" i="5" s="1"/>
  <c r="T117" i="5"/>
  <c r="U117" i="5" s="1"/>
  <c r="B705" i="16"/>
  <c r="B707" i="16"/>
  <c r="B708" i="16"/>
  <c r="B704" i="16"/>
  <c r="B709" i="16"/>
  <c r="B706" i="16"/>
  <c r="D718" i="16"/>
  <c r="D720" i="16"/>
  <c r="D721" i="16"/>
  <c r="D716" i="16"/>
  <c r="D719" i="16"/>
  <c r="D717" i="16"/>
  <c r="D723" i="16"/>
  <c r="D727" i="16"/>
  <c r="D724" i="16"/>
  <c r="D722" i="16"/>
  <c r="D726" i="16"/>
  <c r="D725" i="16"/>
  <c r="E732" i="16"/>
  <c r="E729" i="16"/>
  <c r="E733" i="16"/>
  <c r="E728" i="16"/>
  <c r="E731" i="16"/>
  <c r="E730" i="16"/>
  <c r="E744" i="16"/>
  <c r="E743" i="16"/>
  <c r="E740" i="16"/>
  <c r="E742" i="16"/>
  <c r="E741" i="16"/>
  <c r="E745" i="16"/>
  <c r="F126" i="15"/>
  <c r="M126" i="5"/>
  <c r="S132" i="5"/>
  <c r="O134" i="5"/>
  <c r="U135" i="5"/>
  <c r="C827" i="16"/>
  <c r="C824" i="16"/>
  <c r="C829" i="16"/>
  <c r="C826" i="16"/>
  <c r="C825" i="16"/>
  <c r="C828" i="16"/>
  <c r="E832" i="16"/>
  <c r="E834" i="16"/>
  <c r="E833" i="16"/>
  <c r="E835" i="16"/>
  <c r="E831" i="16"/>
  <c r="E830" i="16"/>
  <c r="E840" i="16"/>
  <c r="E837" i="16"/>
  <c r="E836" i="16"/>
  <c r="E839" i="16"/>
  <c r="E838" i="16"/>
  <c r="E841" i="16"/>
  <c r="M144" i="5"/>
  <c r="T146" i="5"/>
  <c r="U146" i="5" s="1"/>
  <c r="C883" i="16"/>
  <c r="C880" i="16"/>
  <c r="C879" i="16"/>
  <c r="C882" i="16"/>
  <c r="C878" i="16"/>
  <c r="C881" i="16"/>
  <c r="B942" i="16"/>
  <c r="B943" i="16"/>
  <c r="B939" i="16"/>
  <c r="B938" i="16"/>
  <c r="B941" i="16"/>
  <c r="B940" i="16"/>
  <c r="Q162" i="5"/>
  <c r="R162" i="5" s="1"/>
  <c r="C979" i="16"/>
  <c r="C976" i="16"/>
  <c r="C978" i="16"/>
  <c r="C975" i="16"/>
  <c r="C974" i="16"/>
  <c r="C977" i="16"/>
  <c r="U166" i="5"/>
  <c r="R166" i="5"/>
  <c r="D1013" i="16"/>
  <c r="D1010" i="16"/>
  <c r="D1015" i="16"/>
  <c r="D1011" i="16"/>
  <c r="D1014" i="16"/>
  <c r="D1012" i="16"/>
  <c r="E1066" i="16"/>
  <c r="E1065" i="16"/>
  <c r="E1067" i="16"/>
  <c r="E1069" i="16"/>
  <c r="E1068" i="16"/>
  <c r="E1064" i="16"/>
  <c r="B1088" i="16"/>
  <c r="B1093" i="16"/>
  <c r="B1091" i="16"/>
  <c r="B1090" i="16"/>
  <c r="B1089" i="16"/>
  <c r="B1092" i="16"/>
  <c r="U186" i="5"/>
  <c r="F189" i="15"/>
  <c r="S189" i="5"/>
  <c r="P189" i="5"/>
  <c r="M189" i="5"/>
  <c r="F195" i="15"/>
  <c r="S195" i="5"/>
  <c r="T195" i="5" s="1"/>
  <c r="P195" i="5"/>
  <c r="M195" i="5"/>
  <c r="T220" i="5"/>
  <c r="U220" i="5" s="1"/>
  <c r="F225" i="15"/>
  <c r="P225" i="5"/>
  <c r="Q225" i="5" s="1"/>
  <c r="S225" i="5"/>
  <c r="T225" i="5" s="1"/>
  <c r="M225" i="5"/>
  <c r="N225" i="5" s="1"/>
  <c r="D236" i="15"/>
  <c r="G236" i="5"/>
  <c r="R257" i="5"/>
  <c r="O257" i="5"/>
  <c r="H257" i="5"/>
  <c r="D293" i="15"/>
  <c r="G293" i="5"/>
  <c r="F486" i="16"/>
  <c r="F483" i="16"/>
  <c r="F485" i="16"/>
  <c r="F482" i="16"/>
  <c r="F484" i="16"/>
  <c r="F487" i="16"/>
  <c r="B511" i="16"/>
  <c r="B508" i="16"/>
  <c r="B510" i="16"/>
  <c r="B507" i="16"/>
  <c r="B506" i="16"/>
  <c r="B509" i="16"/>
  <c r="F534" i="16"/>
  <c r="F531" i="16"/>
  <c r="F532" i="16"/>
  <c r="F535" i="16"/>
  <c r="F530" i="16"/>
  <c r="F533" i="16"/>
  <c r="D540" i="16"/>
  <c r="D537" i="16"/>
  <c r="D539" i="16"/>
  <c r="D541" i="16"/>
  <c r="D536" i="16"/>
  <c r="D538" i="16"/>
  <c r="B543" i="16"/>
  <c r="B545" i="16"/>
  <c r="B542" i="16"/>
  <c r="B547" i="16"/>
  <c r="B546" i="16"/>
  <c r="B544" i="16"/>
  <c r="F582" i="16"/>
  <c r="F579" i="16"/>
  <c r="F578" i="16"/>
  <c r="F583" i="16"/>
  <c r="F581" i="16"/>
  <c r="F580" i="16"/>
  <c r="E588" i="16"/>
  <c r="E585" i="16"/>
  <c r="E584" i="16"/>
  <c r="E587" i="16"/>
  <c r="E586" i="16"/>
  <c r="E589" i="16"/>
  <c r="D593" i="16"/>
  <c r="D590" i="16"/>
  <c r="D595" i="16"/>
  <c r="D594" i="16"/>
  <c r="D592" i="16"/>
  <c r="D591" i="16"/>
  <c r="C599" i="16"/>
  <c r="C596" i="16"/>
  <c r="C601" i="16"/>
  <c r="C600" i="16"/>
  <c r="C598" i="16"/>
  <c r="C597" i="16"/>
  <c r="B605" i="16"/>
  <c r="B602" i="16"/>
  <c r="B607" i="16"/>
  <c r="B604" i="16"/>
  <c r="B603" i="16"/>
  <c r="B606" i="16"/>
  <c r="U112" i="5"/>
  <c r="T114" i="5"/>
  <c r="U114" i="5" s="1"/>
  <c r="B699" i="16"/>
  <c r="B702" i="16"/>
  <c r="B701" i="16"/>
  <c r="B700" i="16"/>
  <c r="B698" i="16"/>
  <c r="B703" i="16"/>
  <c r="C707" i="16"/>
  <c r="C704" i="16"/>
  <c r="C705" i="16"/>
  <c r="C708" i="16"/>
  <c r="C709" i="16"/>
  <c r="C706" i="16"/>
  <c r="D120" i="15"/>
  <c r="G120" i="5"/>
  <c r="E724" i="16"/>
  <c r="E726" i="16"/>
  <c r="E723" i="16"/>
  <c r="E727" i="16"/>
  <c r="E722" i="16"/>
  <c r="E725" i="16"/>
  <c r="F125" i="15"/>
  <c r="S125" i="5"/>
  <c r="M125" i="5"/>
  <c r="H128" i="15"/>
  <c r="H759" i="16" s="1"/>
  <c r="G128" i="15"/>
  <c r="H758" i="16" s="1"/>
  <c r="Q133" i="5"/>
  <c r="R133" i="5" s="1"/>
  <c r="S134" i="5"/>
  <c r="T134" i="5" s="1"/>
  <c r="U134" i="5" s="1"/>
  <c r="V135" i="5"/>
  <c r="W135" i="5" s="1"/>
  <c r="B822" i="16"/>
  <c r="B819" i="16"/>
  <c r="B818" i="16"/>
  <c r="B821" i="16"/>
  <c r="B823" i="16"/>
  <c r="B820" i="16"/>
  <c r="F141" i="15"/>
  <c r="S141" i="5"/>
  <c r="P141" i="5"/>
  <c r="M141" i="5"/>
  <c r="B876" i="16"/>
  <c r="B872" i="16"/>
  <c r="B875" i="16"/>
  <c r="B874" i="16"/>
  <c r="B877" i="16"/>
  <c r="B873" i="16"/>
  <c r="D148" i="15"/>
  <c r="G148" i="5"/>
  <c r="F150" i="15"/>
  <c r="S150" i="5"/>
  <c r="P150" i="5"/>
  <c r="U154" i="5"/>
  <c r="C939" i="16"/>
  <c r="C941" i="16"/>
  <c r="C938" i="16"/>
  <c r="C943" i="16"/>
  <c r="C942" i="16"/>
  <c r="C940" i="16"/>
  <c r="T162" i="5"/>
  <c r="D164" i="15"/>
  <c r="G164" i="5"/>
  <c r="U165" i="5"/>
  <c r="E1010" i="16"/>
  <c r="E1015" i="16"/>
  <c r="E1011" i="16"/>
  <c r="E1014" i="16"/>
  <c r="E1013" i="16"/>
  <c r="E1012" i="16"/>
  <c r="F175" i="15"/>
  <c r="S175" i="5"/>
  <c r="P175" i="5"/>
  <c r="B1061" i="16"/>
  <c r="B1063" i="16"/>
  <c r="B1059" i="16"/>
  <c r="B1062" i="16"/>
  <c r="B1060" i="16"/>
  <c r="B1058" i="16"/>
  <c r="F179" i="15"/>
  <c r="P179" i="5"/>
  <c r="M179" i="5"/>
  <c r="Q181" i="5"/>
  <c r="R181" i="5" s="1"/>
  <c r="C1093" i="16"/>
  <c r="C1090" i="16"/>
  <c r="C1092" i="16"/>
  <c r="C1088" i="16"/>
  <c r="C1091" i="16"/>
  <c r="C1089" i="16"/>
  <c r="E1122" i="16"/>
  <c r="E1119" i="16"/>
  <c r="E1121" i="16"/>
  <c r="E1123" i="16"/>
  <c r="E1120" i="16"/>
  <c r="E1118" i="16"/>
  <c r="U195" i="5"/>
  <c r="C1361" i="16"/>
  <c r="C1359" i="16"/>
  <c r="C1358" i="16"/>
  <c r="C1362" i="16"/>
  <c r="C1363" i="16"/>
  <c r="C1360" i="16"/>
  <c r="D233" i="15"/>
  <c r="G233" i="5"/>
  <c r="B9" i="16"/>
  <c r="B11" i="16"/>
  <c r="B8" i="16"/>
  <c r="B10" i="16"/>
  <c r="B13" i="16"/>
  <c r="B12" i="16"/>
  <c r="C31" i="16"/>
  <c r="C28" i="16"/>
  <c r="C27" i="16"/>
  <c r="C29" i="16"/>
  <c r="C26" i="16"/>
  <c r="C30" i="16"/>
  <c r="D49" i="16"/>
  <c r="D46" i="16"/>
  <c r="D48" i="16"/>
  <c r="D45" i="16"/>
  <c r="D44" i="16"/>
  <c r="D47" i="16"/>
  <c r="E62" i="16"/>
  <c r="E67" i="16"/>
  <c r="E64" i="16"/>
  <c r="E66" i="16"/>
  <c r="E63" i="16"/>
  <c r="E65" i="16"/>
  <c r="F85" i="16"/>
  <c r="F82" i="16"/>
  <c r="F80" i="16"/>
  <c r="F84" i="16"/>
  <c r="F83" i="16"/>
  <c r="F81" i="16"/>
  <c r="M17" i="5"/>
  <c r="B108" i="16"/>
  <c r="B107" i="16"/>
  <c r="B104" i="16"/>
  <c r="B106" i="16"/>
  <c r="B105" i="16"/>
  <c r="B109" i="16"/>
  <c r="C125" i="16"/>
  <c r="C122" i="16"/>
  <c r="C123" i="16"/>
  <c r="C127" i="16"/>
  <c r="C126" i="16"/>
  <c r="C124" i="16"/>
  <c r="D145" i="16"/>
  <c r="D143" i="16"/>
  <c r="D140" i="16"/>
  <c r="D144" i="16"/>
  <c r="D142" i="16"/>
  <c r="D141" i="16"/>
  <c r="E158" i="16"/>
  <c r="E163" i="16"/>
  <c r="E159" i="16"/>
  <c r="E162" i="16"/>
  <c r="E161" i="16"/>
  <c r="E160" i="16"/>
  <c r="F179" i="16"/>
  <c r="F178" i="16"/>
  <c r="F181" i="16"/>
  <c r="F177" i="16"/>
  <c r="F180" i="16"/>
  <c r="F176" i="16"/>
  <c r="M33" i="5"/>
  <c r="B204" i="16"/>
  <c r="B202" i="16"/>
  <c r="B205" i="16"/>
  <c r="B201" i="16"/>
  <c r="B203" i="16"/>
  <c r="B200" i="16"/>
  <c r="C222" i="16"/>
  <c r="C218" i="16"/>
  <c r="C221" i="16"/>
  <c r="C220" i="16"/>
  <c r="C219" i="16"/>
  <c r="C223" i="16"/>
  <c r="D241" i="16"/>
  <c r="D240" i="16"/>
  <c r="D236" i="16"/>
  <c r="D239" i="16"/>
  <c r="D238" i="16"/>
  <c r="D237" i="16"/>
  <c r="E254" i="16"/>
  <c r="E259" i="16"/>
  <c r="E256" i="16"/>
  <c r="E255" i="16"/>
  <c r="E258" i="16"/>
  <c r="E257" i="16"/>
  <c r="F272" i="16"/>
  <c r="F274" i="16"/>
  <c r="F275" i="16"/>
  <c r="F277" i="16"/>
  <c r="F273" i="16"/>
  <c r="F276" i="16"/>
  <c r="M49" i="5"/>
  <c r="B301" i="16"/>
  <c r="B298" i="16"/>
  <c r="B297" i="16"/>
  <c r="B300" i="16"/>
  <c r="B296" i="16"/>
  <c r="B299" i="16"/>
  <c r="C314" i="16"/>
  <c r="C318" i="16"/>
  <c r="C315" i="16"/>
  <c r="C316" i="16"/>
  <c r="C319" i="16"/>
  <c r="C317" i="16"/>
  <c r="D332" i="16"/>
  <c r="D337" i="16"/>
  <c r="D334" i="16"/>
  <c r="D333" i="16"/>
  <c r="D336" i="16"/>
  <c r="D335" i="16"/>
  <c r="E351" i="16"/>
  <c r="E354" i="16"/>
  <c r="E353" i="16"/>
  <c r="E355" i="16"/>
  <c r="E352" i="16"/>
  <c r="E350" i="16"/>
  <c r="F371" i="16"/>
  <c r="F368" i="16"/>
  <c r="F373" i="16"/>
  <c r="F370" i="16"/>
  <c r="F372" i="16"/>
  <c r="F369" i="16"/>
  <c r="M65" i="5"/>
  <c r="N65" i="5" s="1"/>
  <c r="O65" i="5" s="1"/>
  <c r="G66" i="5"/>
  <c r="B395" i="16"/>
  <c r="B392" i="16"/>
  <c r="B397" i="16"/>
  <c r="B394" i="16"/>
  <c r="B393" i="16"/>
  <c r="B396" i="16"/>
  <c r="C410" i="16"/>
  <c r="C414" i="16"/>
  <c r="C411" i="16"/>
  <c r="C413" i="16"/>
  <c r="C412" i="16"/>
  <c r="C415" i="16"/>
  <c r="D431" i="16"/>
  <c r="D428" i="16"/>
  <c r="D433" i="16"/>
  <c r="D430" i="16"/>
  <c r="D432" i="16"/>
  <c r="D429" i="16"/>
  <c r="E447" i="16"/>
  <c r="E448" i="16"/>
  <c r="E450" i="16"/>
  <c r="E451" i="16"/>
  <c r="E449" i="16"/>
  <c r="E446" i="16"/>
  <c r="F468" i="16"/>
  <c r="F467" i="16"/>
  <c r="F464" i="16"/>
  <c r="F469" i="16"/>
  <c r="F466" i="16"/>
  <c r="F465" i="16"/>
  <c r="M81" i="5"/>
  <c r="N81" i="5" s="1"/>
  <c r="O81" i="5" s="1"/>
  <c r="G82" i="5"/>
  <c r="B490" i="16"/>
  <c r="B493" i="16"/>
  <c r="B492" i="16"/>
  <c r="B489" i="16"/>
  <c r="B491" i="16"/>
  <c r="B488" i="16"/>
  <c r="C506" i="16"/>
  <c r="C508" i="16"/>
  <c r="C511" i="16"/>
  <c r="C510" i="16"/>
  <c r="C507" i="16"/>
  <c r="C509" i="16"/>
  <c r="S87" i="5"/>
  <c r="T87" i="5" s="1"/>
  <c r="U87" i="5" s="1"/>
  <c r="G90" i="5"/>
  <c r="E537" i="16"/>
  <c r="E541" i="16"/>
  <c r="E536" i="16"/>
  <c r="E540" i="16"/>
  <c r="E539" i="16"/>
  <c r="E538" i="16"/>
  <c r="S94" i="5"/>
  <c r="H98" i="5"/>
  <c r="T98" i="5" s="1"/>
  <c r="U98" i="5" s="1"/>
  <c r="F99" i="15"/>
  <c r="P99" i="5"/>
  <c r="Q99" i="5" s="1"/>
  <c r="R99" i="5" s="1"/>
  <c r="E591" i="16"/>
  <c r="E593" i="16"/>
  <c r="E590" i="16"/>
  <c r="E592" i="16"/>
  <c r="E595" i="16"/>
  <c r="E594" i="16"/>
  <c r="D598" i="16"/>
  <c r="D599" i="16"/>
  <c r="D596" i="16"/>
  <c r="D601" i="16"/>
  <c r="D600" i="16"/>
  <c r="D597" i="16"/>
  <c r="C603" i="16"/>
  <c r="C605" i="16"/>
  <c r="C602" i="16"/>
  <c r="C607" i="16"/>
  <c r="C604" i="16"/>
  <c r="C606" i="16"/>
  <c r="B609" i="16"/>
  <c r="B612" i="16"/>
  <c r="B611" i="16"/>
  <c r="B608" i="16"/>
  <c r="B613" i="16"/>
  <c r="B610" i="16"/>
  <c r="B617" i="16"/>
  <c r="B619" i="16"/>
  <c r="B618" i="16"/>
  <c r="B615" i="16"/>
  <c r="B614" i="16"/>
  <c r="B616" i="16"/>
  <c r="B689" i="16"/>
  <c r="B691" i="16"/>
  <c r="B687" i="16"/>
  <c r="B690" i="16"/>
  <c r="B688" i="16"/>
  <c r="B686" i="16"/>
  <c r="C696" i="16"/>
  <c r="C694" i="16"/>
  <c r="C697" i="16"/>
  <c r="C693" i="16"/>
  <c r="C695" i="16"/>
  <c r="C692" i="16"/>
  <c r="C699" i="16"/>
  <c r="C698" i="16"/>
  <c r="C701" i="16"/>
  <c r="C703" i="16"/>
  <c r="C702" i="16"/>
  <c r="C700" i="16"/>
  <c r="D704" i="16"/>
  <c r="D708" i="16"/>
  <c r="D707" i="16"/>
  <c r="D705" i="16"/>
  <c r="D709" i="16"/>
  <c r="D706" i="16"/>
  <c r="F122" i="15"/>
  <c r="M122" i="5"/>
  <c r="G125" i="5"/>
  <c r="J128" i="5"/>
  <c r="C819" i="16"/>
  <c r="C821" i="16"/>
  <c r="C822" i="16"/>
  <c r="C818" i="16"/>
  <c r="C820" i="16"/>
  <c r="C823" i="16"/>
  <c r="E824" i="16"/>
  <c r="E829" i="16"/>
  <c r="E826" i="16"/>
  <c r="E825" i="16"/>
  <c r="E828" i="16"/>
  <c r="E827" i="16"/>
  <c r="G141" i="5"/>
  <c r="P142" i="5"/>
  <c r="E880" i="16"/>
  <c r="E882" i="16"/>
  <c r="E883" i="16"/>
  <c r="E879" i="16"/>
  <c r="E878" i="16"/>
  <c r="E881" i="16"/>
  <c r="D158" i="15"/>
  <c r="G158" i="5"/>
  <c r="F159" i="15"/>
  <c r="S159" i="5"/>
  <c r="P159" i="5"/>
  <c r="B968" i="16"/>
  <c r="B972" i="16"/>
  <c r="B971" i="16"/>
  <c r="B970" i="16"/>
  <c r="B969" i="16"/>
  <c r="B973" i="16"/>
  <c r="E978" i="16"/>
  <c r="E979" i="16"/>
  <c r="E976" i="16"/>
  <c r="E975" i="16"/>
  <c r="E974" i="16"/>
  <c r="E977" i="16"/>
  <c r="J165" i="5"/>
  <c r="I165" i="5"/>
  <c r="V165" i="5"/>
  <c r="W165" i="5" s="1"/>
  <c r="I166" i="5"/>
  <c r="C1037" i="16"/>
  <c r="C1034" i="16"/>
  <c r="C1036" i="16"/>
  <c r="C1039" i="16"/>
  <c r="C1035" i="16"/>
  <c r="C1038" i="16"/>
  <c r="D183" i="15"/>
  <c r="G183" i="5"/>
  <c r="B1112" i="16"/>
  <c r="B1117" i="16"/>
  <c r="B1113" i="16"/>
  <c r="B1116" i="16"/>
  <c r="B1115" i="16"/>
  <c r="B1114" i="16"/>
  <c r="H195" i="5"/>
  <c r="G199" i="5"/>
  <c r="T216" i="5"/>
  <c r="U216" i="5" s="1"/>
  <c r="H216" i="5"/>
  <c r="C9" i="16"/>
  <c r="C11" i="16"/>
  <c r="C13" i="16"/>
  <c r="C10" i="16"/>
  <c r="C8" i="16"/>
  <c r="C12" i="16"/>
  <c r="D31" i="16"/>
  <c r="D28" i="16"/>
  <c r="D30" i="16"/>
  <c r="D29" i="16"/>
  <c r="D27" i="16"/>
  <c r="D26" i="16"/>
  <c r="E46" i="16"/>
  <c r="E49" i="16"/>
  <c r="E45" i="16"/>
  <c r="E44" i="16"/>
  <c r="E48" i="16"/>
  <c r="E47" i="16"/>
  <c r="F62" i="16"/>
  <c r="F67" i="16"/>
  <c r="F64" i="16"/>
  <c r="F66" i="16"/>
  <c r="F63" i="16"/>
  <c r="F65" i="16"/>
  <c r="B89" i="16"/>
  <c r="B86" i="16"/>
  <c r="B91" i="16"/>
  <c r="B88" i="16"/>
  <c r="B87" i="16"/>
  <c r="B90" i="16"/>
  <c r="C105" i="16"/>
  <c r="C107" i="16"/>
  <c r="C104" i="16"/>
  <c r="C109" i="16"/>
  <c r="C106" i="16"/>
  <c r="C108" i="16"/>
  <c r="D125" i="16"/>
  <c r="D122" i="16"/>
  <c r="D127" i="16"/>
  <c r="D126" i="16"/>
  <c r="D124" i="16"/>
  <c r="D123" i="16"/>
  <c r="E142" i="16"/>
  <c r="E143" i="16"/>
  <c r="E140" i="16"/>
  <c r="E145" i="16"/>
  <c r="E144" i="16"/>
  <c r="E141" i="16"/>
  <c r="F158" i="16"/>
  <c r="F159" i="16"/>
  <c r="F162" i="16"/>
  <c r="F160" i="16"/>
  <c r="F163" i="16"/>
  <c r="F161" i="16"/>
  <c r="B183" i="16"/>
  <c r="B186" i="16"/>
  <c r="B182" i="16"/>
  <c r="B185" i="16"/>
  <c r="B184" i="16"/>
  <c r="B187" i="16"/>
  <c r="C201" i="16"/>
  <c r="C202" i="16"/>
  <c r="C205" i="16"/>
  <c r="C204" i="16"/>
  <c r="C200" i="16"/>
  <c r="C203" i="16"/>
  <c r="D222" i="16"/>
  <c r="D218" i="16"/>
  <c r="D221" i="16"/>
  <c r="D220" i="16"/>
  <c r="D223" i="16"/>
  <c r="D219" i="16"/>
  <c r="E238" i="16"/>
  <c r="E240" i="16"/>
  <c r="E236" i="16"/>
  <c r="E239" i="16"/>
  <c r="E241" i="16"/>
  <c r="E237" i="16"/>
  <c r="F254" i="16"/>
  <c r="F256" i="16"/>
  <c r="F259" i="16"/>
  <c r="F255" i="16"/>
  <c r="F258" i="16"/>
  <c r="F257" i="16"/>
  <c r="B278" i="16"/>
  <c r="B280" i="16"/>
  <c r="B283" i="16"/>
  <c r="B279" i="16"/>
  <c r="B282" i="16"/>
  <c r="B281" i="16"/>
  <c r="C298" i="16"/>
  <c r="C301" i="16"/>
  <c r="C300" i="16"/>
  <c r="C297" i="16"/>
  <c r="C296" i="16"/>
  <c r="C299" i="16"/>
  <c r="D315" i="16"/>
  <c r="D317" i="16"/>
  <c r="D316" i="16"/>
  <c r="D319" i="16"/>
  <c r="D314" i="16"/>
  <c r="D318" i="16"/>
  <c r="E335" i="16"/>
  <c r="E337" i="16"/>
  <c r="E334" i="16"/>
  <c r="E336" i="16"/>
  <c r="E333" i="16"/>
  <c r="E332" i="16"/>
  <c r="F354" i="16"/>
  <c r="F351" i="16"/>
  <c r="F353" i="16"/>
  <c r="F350" i="16"/>
  <c r="F355" i="16"/>
  <c r="F352" i="16"/>
  <c r="B375" i="16"/>
  <c r="B377" i="16"/>
  <c r="B374" i="16"/>
  <c r="B378" i="16"/>
  <c r="B376" i="16"/>
  <c r="B379" i="16"/>
  <c r="C394" i="16"/>
  <c r="C392" i="16"/>
  <c r="C397" i="16"/>
  <c r="C396" i="16"/>
  <c r="C395" i="16"/>
  <c r="C393" i="16"/>
  <c r="D414" i="16"/>
  <c r="D411" i="16"/>
  <c r="D413" i="16"/>
  <c r="D412" i="16"/>
  <c r="D410" i="16"/>
  <c r="D415" i="16"/>
  <c r="E431" i="16"/>
  <c r="E428" i="16"/>
  <c r="E433" i="16"/>
  <c r="E430" i="16"/>
  <c r="E432" i="16"/>
  <c r="E429" i="16"/>
  <c r="F451" i="16"/>
  <c r="F450" i="16"/>
  <c r="F447" i="16"/>
  <c r="F449" i="16"/>
  <c r="F448" i="16"/>
  <c r="F446" i="16"/>
  <c r="B474" i="16"/>
  <c r="B471" i="16"/>
  <c r="B473" i="16"/>
  <c r="B470" i="16"/>
  <c r="B475" i="16"/>
  <c r="B472" i="16"/>
  <c r="C490" i="16"/>
  <c r="C493" i="16"/>
  <c r="C492" i="16"/>
  <c r="C489" i="16"/>
  <c r="C491" i="16"/>
  <c r="C488" i="16"/>
  <c r="D508" i="16"/>
  <c r="D511" i="16"/>
  <c r="D510" i="16"/>
  <c r="D507" i="16"/>
  <c r="D509" i="16"/>
  <c r="D506" i="16"/>
  <c r="F91" i="15"/>
  <c r="M91" i="5"/>
  <c r="N91" i="5" s="1"/>
  <c r="O91" i="5" s="1"/>
  <c r="D92" i="15"/>
  <c r="G92" i="5"/>
  <c r="F100" i="15"/>
  <c r="P100" i="5"/>
  <c r="C611" i="16"/>
  <c r="C608" i="16"/>
  <c r="C613" i="16"/>
  <c r="C610" i="16"/>
  <c r="C609" i="16"/>
  <c r="C612" i="16"/>
  <c r="C619" i="16"/>
  <c r="C614" i="16"/>
  <c r="C617" i="16"/>
  <c r="C616" i="16"/>
  <c r="C615" i="16"/>
  <c r="C618" i="16"/>
  <c r="C621" i="16"/>
  <c r="C620" i="16"/>
  <c r="C623" i="16"/>
  <c r="C624" i="16"/>
  <c r="C622" i="16"/>
  <c r="C625" i="16"/>
  <c r="B627" i="16"/>
  <c r="B628" i="16"/>
  <c r="B630" i="16"/>
  <c r="B626" i="16"/>
  <c r="B629" i="16"/>
  <c r="B631" i="16"/>
  <c r="B633" i="16"/>
  <c r="B635" i="16"/>
  <c r="B634" i="16"/>
  <c r="B637" i="16"/>
  <c r="B636" i="16"/>
  <c r="B632" i="16"/>
  <c r="B681" i="16"/>
  <c r="B683" i="16"/>
  <c r="B682" i="16"/>
  <c r="B680" i="16"/>
  <c r="B685" i="16"/>
  <c r="B684" i="16"/>
  <c r="C691" i="16"/>
  <c r="C688" i="16"/>
  <c r="C687" i="16"/>
  <c r="C690" i="16"/>
  <c r="C686" i="16"/>
  <c r="C689" i="16"/>
  <c r="E704" i="16"/>
  <c r="E709" i="16"/>
  <c r="E705" i="16"/>
  <c r="E708" i="16"/>
  <c r="E707" i="16"/>
  <c r="E706" i="16"/>
  <c r="G121" i="5"/>
  <c r="G122" i="5"/>
  <c r="M127" i="5"/>
  <c r="M128" i="5"/>
  <c r="N128" i="5" s="1"/>
  <c r="P130" i="5"/>
  <c r="Q130" i="5" s="1"/>
  <c r="R130" i="5" s="1"/>
  <c r="B806" i="16"/>
  <c r="B809" i="16"/>
  <c r="B808" i="16"/>
  <c r="B810" i="16"/>
  <c r="B807" i="16"/>
  <c r="B811" i="16"/>
  <c r="C816" i="16"/>
  <c r="C812" i="16"/>
  <c r="C815" i="16"/>
  <c r="C814" i="16"/>
  <c r="C817" i="16"/>
  <c r="C813" i="16"/>
  <c r="D819" i="16"/>
  <c r="D822" i="16"/>
  <c r="D818" i="16"/>
  <c r="D821" i="16"/>
  <c r="D820" i="16"/>
  <c r="D823" i="16"/>
  <c r="B870" i="16"/>
  <c r="B868" i="16"/>
  <c r="B871" i="16"/>
  <c r="B867" i="16"/>
  <c r="B866" i="16"/>
  <c r="B869" i="16"/>
  <c r="F148" i="15"/>
  <c r="P148" i="5"/>
  <c r="M148" i="5"/>
  <c r="J149" i="5"/>
  <c r="I149" i="5"/>
  <c r="V149" i="5"/>
  <c r="W149" i="5" s="1"/>
  <c r="H150" i="5"/>
  <c r="C936" i="16"/>
  <c r="C933" i="16"/>
  <c r="C934" i="16"/>
  <c r="C937" i="16"/>
  <c r="C932" i="16"/>
  <c r="C935" i="16"/>
  <c r="M160" i="5"/>
  <c r="K165" i="5"/>
  <c r="J166" i="5"/>
  <c r="D1005" i="16"/>
  <c r="D1008" i="16"/>
  <c r="D1004" i="16"/>
  <c r="D1007" i="16"/>
  <c r="D1006" i="16"/>
  <c r="D1009" i="16"/>
  <c r="G170" i="5"/>
  <c r="H179" i="5"/>
  <c r="T181" i="5"/>
  <c r="U181" i="5" s="1"/>
  <c r="D1211" i="16"/>
  <c r="D1208" i="16"/>
  <c r="D1213" i="16"/>
  <c r="D1212" i="16"/>
  <c r="D1210" i="16"/>
  <c r="D1209" i="16"/>
  <c r="B1248" i="16"/>
  <c r="B1245" i="16"/>
  <c r="B1247" i="16"/>
  <c r="B1244" i="16"/>
  <c r="B1249" i="16"/>
  <c r="B1246" i="16"/>
  <c r="D239" i="15"/>
  <c r="G239" i="5"/>
  <c r="C1372" i="16"/>
  <c r="C1371" i="16"/>
  <c r="C1370" i="16"/>
  <c r="C1375" i="16"/>
  <c r="C1374" i="16"/>
  <c r="C1373" i="16"/>
  <c r="D242" i="15"/>
  <c r="G242" i="5"/>
  <c r="B1495" i="16"/>
  <c r="B1492" i="16"/>
  <c r="B1490" i="16"/>
  <c r="B1491" i="16"/>
  <c r="B1494" i="16"/>
  <c r="B1493" i="16"/>
  <c r="D1501" i="16"/>
  <c r="D1498" i="16"/>
  <c r="D1500" i="16"/>
  <c r="D1497" i="16"/>
  <c r="D1496" i="16"/>
  <c r="D1499" i="16"/>
  <c r="C1561" i="16"/>
  <c r="C1557" i="16"/>
  <c r="C1560" i="16"/>
  <c r="C1556" i="16"/>
  <c r="C1559" i="16"/>
  <c r="C1558" i="16"/>
  <c r="G263" i="15"/>
  <c r="H1568" i="16" s="1"/>
  <c r="F270" i="15"/>
  <c r="P270" i="5"/>
  <c r="M270" i="5"/>
  <c r="D277" i="15"/>
  <c r="G277" i="5"/>
  <c r="G282" i="15"/>
  <c r="H1682" i="16" s="1"/>
  <c r="C1713" i="16"/>
  <c r="C1717" i="16"/>
  <c r="C1712" i="16"/>
  <c r="C1716" i="16"/>
  <c r="C1715" i="16"/>
  <c r="C1714" i="16"/>
  <c r="J288" i="5"/>
  <c r="I288" i="5"/>
  <c r="V288" i="5"/>
  <c r="W288" i="5" s="1"/>
  <c r="T288" i="5"/>
  <c r="T295" i="5"/>
  <c r="H300" i="5"/>
  <c r="Q300" i="5" s="1"/>
  <c r="R300" i="5" s="1"/>
  <c r="E1188" i="16"/>
  <c r="E1185" i="16"/>
  <c r="E1184" i="16"/>
  <c r="E1187" i="16"/>
  <c r="E1189" i="16"/>
  <c r="E1186" i="16"/>
  <c r="E1208" i="16"/>
  <c r="E1213" i="16"/>
  <c r="E1210" i="16"/>
  <c r="E1212" i="16"/>
  <c r="E1211" i="16"/>
  <c r="E1209" i="16"/>
  <c r="E1236" i="16"/>
  <c r="E1233" i="16"/>
  <c r="E1235" i="16"/>
  <c r="E1232" i="16"/>
  <c r="E1237" i="16"/>
  <c r="E1234" i="16"/>
  <c r="F218" i="15"/>
  <c r="S218" i="5"/>
  <c r="E1305" i="16"/>
  <c r="E1307" i="16"/>
  <c r="E1304" i="16"/>
  <c r="E1309" i="16"/>
  <c r="E1308" i="16"/>
  <c r="E1306" i="16"/>
  <c r="E1313" i="16"/>
  <c r="E1310" i="16"/>
  <c r="E1314" i="16"/>
  <c r="E1315" i="16"/>
  <c r="E1311" i="16"/>
  <c r="E1312" i="16"/>
  <c r="E1325" i="16"/>
  <c r="E1322" i="16"/>
  <c r="E1323" i="16"/>
  <c r="E1327" i="16"/>
  <c r="E1324" i="16"/>
  <c r="E1326" i="16"/>
  <c r="E1329" i="16"/>
  <c r="E1332" i="16"/>
  <c r="E1331" i="16"/>
  <c r="E1328" i="16"/>
  <c r="E1330" i="16"/>
  <c r="E1333" i="16"/>
  <c r="D1348" i="16"/>
  <c r="D1350" i="16"/>
  <c r="D1347" i="16"/>
  <c r="D1349" i="16"/>
  <c r="D1346" i="16"/>
  <c r="D1351" i="16"/>
  <c r="D227" i="15"/>
  <c r="G227" i="5"/>
  <c r="D1359" i="16"/>
  <c r="D1362" i="16"/>
  <c r="D1358" i="16"/>
  <c r="D1361" i="16"/>
  <c r="D1363" i="16"/>
  <c r="D1360" i="16"/>
  <c r="D1364" i="16"/>
  <c r="D1369" i="16"/>
  <c r="D1367" i="16"/>
  <c r="D1366" i="16"/>
  <c r="D1368" i="16"/>
  <c r="D1365" i="16"/>
  <c r="D1377" i="16"/>
  <c r="D1379" i="16"/>
  <c r="D1378" i="16"/>
  <c r="D1376" i="16"/>
  <c r="D1381" i="16"/>
  <c r="D1380" i="16"/>
  <c r="B1383" i="16"/>
  <c r="B1386" i="16"/>
  <c r="B1385" i="16"/>
  <c r="B1382" i="16"/>
  <c r="B1387" i="16"/>
  <c r="B1384" i="16"/>
  <c r="B1392" i="16"/>
  <c r="B1389" i="16"/>
  <c r="B1390" i="16"/>
  <c r="B1393" i="16"/>
  <c r="B1388" i="16"/>
  <c r="B1391" i="16"/>
  <c r="B1400" i="16"/>
  <c r="B1401" i="16"/>
  <c r="B1404" i="16"/>
  <c r="B1405" i="16"/>
  <c r="B1403" i="16"/>
  <c r="B1402" i="16"/>
  <c r="B1409" i="16"/>
  <c r="B1411" i="16"/>
  <c r="B1407" i="16"/>
  <c r="B1406" i="16"/>
  <c r="B1408" i="16"/>
  <c r="B1410" i="16"/>
  <c r="B1412" i="16"/>
  <c r="B1415" i="16"/>
  <c r="B1414" i="16"/>
  <c r="B1413" i="16"/>
  <c r="B1417" i="16"/>
  <c r="B1416" i="16"/>
  <c r="B1423" i="16"/>
  <c r="B1420" i="16"/>
  <c r="B1422" i="16"/>
  <c r="B1418" i="16"/>
  <c r="B1421" i="16"/>
  <c r="B1419" i="16"/>
  <c r="B1429" i="16"/>
  <c r="B1426" i="16"/>
  <c r="B1428" i="16"/>
  <c r="B1427" i="16"/>
  <c r="B1425" i="16"/>
  <c r="B1424" i="16"/>
  <c r="C1435" i="16"/>
  <c r="C1434" i="16"/>
  <c r="C1430" i="16"/>
  <c r="C1433" i="16"/>
  <c r="C1432" i="16"/>
  <c r="C1431" i="16"/>
  <c r="C1440" i="16"/>
  <c r="C1437" i="16"/>
  <c r="C1438" i="16"/>
  <c r="C1441" i="16"/>
  <c r="C1439" i="16"/>
  <c r="C1436" i="16"/>
  <c r="E1445" i="16"/>
  <c r="E1446" i="16"/>
  <c r="E1443" i="16"/>
  <c r="E1447" i="16"/>
  <c r="E1444" i="16"/>
  <c r="E1442" i="16"/>
  <c r="H244" i="5"/>
  <c r="C1491" i="16"/>
  <c r="C1495" i="16"/>
  <c r="C1492" i="16"/>
  <c r="C1490" i="16"/>
  <c r="C1494" i="16"/>
  <c r="C1493" i="16"/>
  <c r="E1496" i="16"/>
  <c r="E1501" i="16"/>
  <c r="E1498" i="16"/>
  <c r="E1500" i="16"/>
  <c r="E1499" i="16"/>
  <c r="E1497" i="16"/>
  <c r="H252" i="5"/>
  <c r="C1531" i="16"/>
  <c r="C1528" i="16"/>
  <c r="C1527" i="16"/>
  <c r="C1530" i="16"/>
  <c r="C1526" i="16"/>
  <c r="C1529" i="16"/>
  <c r="D261" i="15"/>
  <c r="G261" i="5"/>
  <c r="I263" i="15"/>
  <c r="H1570" i="16" s="1"/>
  <c r="F266" i="15"/>
  <c r="S266" i="5"/>
  <c r="P266" i="5"/>
  <c r="C1633" i="16"/>
  <c r="C1632" i="16"/>
  <c r="C1629" i="16"/>
  <c r="C1631" i="16"/>
  <c r="C1630" i="16"/>
  <c r="C1628" i="16"/>
  <c r="E1654" i="16"/>
  <c r="E1653" i="16"/>
  <c r="E1657" i="16"/>
  <c r="E1652" i="16"/>
  <c r="E1656" i="16"/>
  <c r="E1655" i="16"/>
  <c r="J282" i="15"/>
  <c r="H1685" i="16" s="1"/>
  <c r="I282" i="15"/>
  <c r="H1684" i="16" s="1"/>
  <c r="K288" i="5"/>
  <c r="B1734" i="16"/>
  <c r="B1733" i="16"/>
  <c r="B1730" i="16"/>
  <c r="B1735" i="16"/>
  <c r="B1732" i="16"/>
  <c r="B1731" i="16"/>
  <c r="B1750" i="16"/>
  <c r="B1749" i="16"/>
  <c r="B1753" i="16"/>
  <c r="B1752" i="16"/>
  <c r="B1748" i="16"/>
  <c r="B1751" i="16"/>
  <c r="B1815" i="16"/>
  <c r="B1818" i="16"/>
  <c r="B1817" i="16"/>
  <c r="B1814" i="16"/>
  <c r="B1819" i="16"/>
  <c r="B1816" i="16"/>
  <c r="F1188" i="16"/>
  <c r="F1185" i="16"/>
  <c r="F1187" i="16"/>
  <c r="F1189" i="16"/>
  <c r="F1186" i="16"/>
  <c r="F1184" i="16"/>
  <c r="B1194" i="16"/>
  <c r="B1191" i="16"/>
  <c r="B1193" i="16"/>
  <c r="B1190" i="16"/>
  <c r="B1195" i="16"/>
  <c r="B1192" i="16"/>
  <c r="F203" i="15"/>
  <c r="S203" i="5"/>
  <c r="T203" i="5" s="1"/>
  <c r="U203" i="5" s="1"/>
  <c r="B1217" i="16"/>
  <c r="B1214" i="16"/>
  <c r="B1219" i="16"/>
  <c r="B1218" i="16"/>
  <c r="B1216" i="16"/>
  <c r="B1215" i="16"/>
  <c r="F1236" i="16"/>
  <c r="F1233" i="16"/>
  <c r="F1235" i="16"/>
  <c r="F1232" i="16"/>
  <c r="F1237" i="16"/>
  <c r="F1234" i="16"/>
  <c r="B1242" i="16"/>
  <c r="B1239" i="16"/>
  <c r="B1241" i="16"/>
  <c r="B1238" i="16"/>
  <c r="B1240" i="16"/>
  <c r="B1243" i="16"/>
  <c r="F219" i="15"/>
  <c r="S219" i="5"/>
  <c r="P219" i="5"/>
  <c r="F1313" i="16"/>
  <c r="F1310" i="16"/>
  <c r="F1312" i="16"/>
  <c r="F1315" i="16"/>
  <c r="F1311" i="16"/>
  <c r="F1314" i="16"/>
  <c r="F1321" i="16"/>
  <c r="F1318" i="16"/>
  <c r="F1317" i="16"/>
  <c r="F1320" i="16"/>
  <c r="F1319" i="16"/>
  <c r="F1316" i="16"/>
  <c r="F222" i="15"/>
  <c r="P222" i="5"/>
  <c r="M222" i="5"/>
  <c r="F1329" i="16"/>
  <c r="F1332" i="16"/>
  <c r="F1331" i="16"/>
  <c r="F1330" i="16"/>
  <c r="F1333" i="16"/>
  <c r="F1328" i="16"/>
  <c r="E1345" i="16"/>
  <c r="E1344" i="16"/>
  <c r="E1341" i="16"/>
  <c r="E1342" i="16"/>
  <c r="E1340" i="16"/>
  <c r="E1343" i="16"/>
  <c r="E1350" i="16"/>
  <c r="E1347" i="16"/>
  <c r="E1348" i="16"/>
  <c r="E1346" i="16"/>
  <c r="E1351" i="16"/>
  <c r="E1349" i="16"/>
  <c r="E1369" i="16"/>
  <c r="E1366" i="16"/>
  <c r="E1365" i="16"/>
  <c r="E1364" i="16"/>
  <c r="E1368" i="16"/>
  <c r="E1367" i="16"/>
  <c r="E1374" i="16"/>
  <c r="E1372" i="16"/>
  <c r="E1375" i="16"/>
  <c r="E1370" i="16"/>
  <c r="E1373" i="16"/>
  <c r="E1371" i="16"/>
  <c r="E1376" i="16"/>
  <c r="E1380" i="16"/>
  <c r="E1379" i="16"/>
  <c r="E1381" i="16"/>
  <c r="E1378" i="16"/>
  <c r="E1377" i="16"/>
  <c r="C1387" i="16"/>
  <c r="C1386" i="16"/>
  <c r="C1383" i="16"/>
  <c r="C1385" i="16"/>
  <c r="C1382" i="16"/>
  <c r="C1384" i="16"/>
  <c r="C1389" i="16"/>
  <c r="C1390" i="16"/>
  <c r="C1393" i="16"/>
  <c r="C1392" i="16"/>
  <c r="C1388" i="16"/>
  <c r="C1391" i="16"/>
  <c r="C1403" i="16"/>
  <c r="C1404" i="16"/>
  <c r="C1400" i="16"/>
  <c r="C1401" i="16"/>
  <c r="C1402" i="16"/>
  <c r="C1405" i="16"/>
  <c r="C1411" i="16"/>
  <c r="C1409" i="16"/>
  <c r="C1406" i="16"/>
  <c r="C1407" i="16"/>
  <c r="C1410" i="16"/>
  <c r="C1408" i="16"/>
  <c r="C1427" i="16"/>
  <c r="C1426" i="16"/>
  <c r="C1425" i="16"/>
  <c r="C1428" i="16"/>
  <c r="C1424" i="16"/>
  <c r="C1429" i="16"/>
  <c r="F242" i="15"/>
  <c r="P242" i="5"/>
  <c r="M242" i="5"/>
  <c r="B1489" i="16"/>
  <c r="B1486" i="16"/>
  <c r="B1484" i="16"/>
  <c r="B1488" i="16"/>
  <c r="B1487" i="16"/>
  <c r="B1485" i="16"/>
  <c r="F251" i="15"/>
  <c r="S251" i="5"/>
  <c r="T251" i="5" s="1"/>
  <c r="U251" i="5" s="1"/>
  <c r="P251" i="5"/>
  <c r="Q251" i="5" s="1"/>
  <c r="R251" i="5" s="1"/>
  <c r="N252" i="5"/>
  <c r="O252" i="5" s="1"/>
  <c r="F257" i="15"/>
  <c r="S257" i="5"/>
  <c r="T257" i="5" s="1"/>
  <c r="U257" i="5" s="1"/>
  <c r="P257" i="5"/>
  <c r="Q257" i="5" s="1"/>
  <c r="M257" i="5"/>
  <c r="N257" i="5" s="1"/>
  <c r="E1558" i="16"/>
  <c r="E1560" i="16"/>
  <c r="E1561" i="16"/>
  <c r="E1557" i="16"/>
  <c r="E1559" i="16"/>
  <c r="E1556" i="16"/>
  <c r="K263" i="5"/>
  <c r="B1582" i="16"/>
  <c r="B1585" i="16"/>
  <c r="B1581" i="16"/>
  <c r="B1580" i="16"/>
  <c r="B1583" i="16"/>
  <c r="B1584" i="16"/>
  <c r="H270" i="5"/>
  <c r="F277" i="15"/>
  <c r="M277" i="5"/>
  <c r="K282" i="5"/>
  <c r="C1734" i="16"/>
  <c r="C1733" i="16"/>
  <c r="C1732" i="16"/>
  <c r="C1730" i="16"/>
  <c r="C1735" i="16"/>
  <c r="C1731" i="16"/>
  <c r="C1753" i="16"/>
  <c r="C1750" i="16"/>
  <c r="C1749" i="16"/>
  <c r="C1752" i="16"/>
  <c r="C1751" i="16"/>
  <c r="C1748" i="16"/>
  <c r="C1769" i="16"/>
  <c r="C1766" i="16"/>
  <c r="C1768" i="16"/>
  <c r="C1767" i="16"/>
  <c r="C1771" i="16"/>
  <c r="C1770" i="16"/>
  <c r="C1807" i="16"/>
  <c r="C1804" i="16"/>
  <c r="C1806" i="16"/>
  <c r="C1802" i="16"/>
  <c r="C1805" i="16"/>
  <c r="C1803" i="16"/>
  <c r="C1815" i="16"/>
  <c r="C1814" i="16"/>
  <c r="C1817" i="16"/>
  <c r="C1819" i="16"/>
  <c r="C1818" i="16"/>
  <c r="C1816" i="16"/>
  <c r="C1855" i="16"/>
  <c r="C1852" i="16"/>
  <c r="C1854" i="16"/>
  <c r="C1853" i="16"/>
  <c r="C1851" i="16"/>
  <c r="C1850" i="16"/>
  <c r="C1863" i="16"/>
  <c r="C1865" i="16"/>
  <c r="C1862" i="16"/>
  <c r="C1866" i="16"/>
  <c r="C1867" i="16"/>
  <c r="C1864" i="16"/>
  <c r="C1967" i="16"/>
  <c r="C1964" i="16"/>
  <c r="C1969" i="16"/>
  <c r="C1966" i="16"/>
  <c r="C1968" i="16"/>
  <c r="C1965" i="16"/>
  <c r="E994" i="16"/>
  <c r="E993" i="16"/>
  <c r="E996" i="16"/>
  <c r="E992" i="16"/>
  <c r="E997" i="16"/>
  <c r="E995" i="16"/>
  <c r="F1010" i="16"/>
  <c r="F1015" i="16"/>
  <c r="F1011" i="16"/>
  <c r="F1014" i="16"/>
  <c r="F1013" i="16"/>
  <c r="F1012" i="16"/>
  <c r="B1037" i="16"/>
  <c r="B1036" i="16"/>
  <c r="B1035" i="16"/>
  <c r="B1038" i="16"/>
  <c r="B1034" i="16"/>
  <c r="B1039" i="16"/>
  <c r="C1053" i="16"/>
  <c r="C1052" i="16"/>
  <c r="C1056" i="16"/>
  <c r="C1055" i="16"/>
  <c r="C1054" i="16"/>
  <c r="C1057" i="16"/>
  <c r="D1074" i="16"/>
  <c r="D1075" i="16"/>
  <c r="D1070" i="16"/>
  <c r="D1073" i="16"/>
  <c r="D1072" i="16"/>
  <c r="D1071" i="16"/>
  <c r="E1090" i="16"/>
  <c r="E1089" i="16"/>
  <c r="E1092" i="16"/>
  <c r="E1088" i="16"/>
  <c r="E1093" i="16"/>
  <c r="E1091" i="16"/>
  <c r="F1106" i="16"/>
  <c r="F1111" i="16"/>
  <c r="F1109" i="16"/>
  <c r="F1108" i="16"/>
  <c r="F1107" i="16"/>
  <c r="F1110" i="16"/>
  <c r="B1133" i="16"/>
  <c r="B1130" i="16"/>
  <c r="B1134" i="16"/>
  <c r="B1132" i="16"/>
  <c r="B1135" i="16"/>
  <c r="B1131" i="16"/>
  <c r="S190" i="5"/>
  <c r="C1149" i="16"/>
  <c r="C1151" i="16"/>
  <c r="C1148" i="16"/>
  <c r="C1153" i="16"/>
  <c r="C1152" i="16"/>
  <c r="C1150" i="16"/>
  <c r="O194" i="5"/>
  <c r="D1171" i="16"/>
  <c r="D1168" i="16"/>
  <c r="D1170" i="16"/>
  <c r="D1167" i="16"/>
  <c r="D1169" i="16"/>
  <c r="D1166" i="16"/>
  <c r="D1194" i="16"/>
  <c r="D1191" i="16"/>
  <c r="D1195" i="16"/>
  <c r="D1193" i="16"/>
  <c r="D1190" i="16"/>
  <c r="D1192" i="16"/>
  <c r="D1219" i="16"/>
  <c r="D1216" i="16"/>
  <c r="D1215" i="16"/>
  <c r="D1214" i="16"/>
  <c r="D1218" i="16"/>
  <c r="D1217" i="16"/>
  <c r="D1242" i="16"/>
  <c r="D1239" i="16"/>
  <c r="D1241" i="16"/>
  <c r="D1238" i="16"/>
  <c r="D1243" i="16"/>
  <c r="D1240" i="16"/>
  <c r="C1249" i="16"/>
  <c r="C1248" i="16"/>
  <c r="C1245" i="16"/>
  <c r="C1247" i="16"/>
  <c r="C1244" i="16"/>
  <c r="C1246" i="16"/>
  <c r="B1254" i="16"/>
  <c r="B1251" i="16"/>
  <c r="B1250" i="16"/>
  <c r="B1255" i="16"/>
  <c r="B1252" i="16"/>
  <c r="B1253" i="16"/>
  <c r="M223" i="5"/>
  <c r="U225" i="5"/>
  <c r="R225" i="5"/>
  <c r="G226" i="5"/>
  <c r="G228" i="5"/>
  <c r="G229" i="5"/>
  <c r="G231" i="5"/>
  <c r="E1384" i="16"/>
  <c r="E1383" i="16"/>
  <c r="E1386" i="16"/>
  <c r="E1382" i="16"/>
  <c r="E1387" i="16"/>
  <c r="E1385" i="16"/>
  <c r="E1397" i="16"/>
  <c r="E1396" i="16"/>
  <c r="E1394" i="16"/>
  <c r="E1399" i="16"/>
  <c r="E1398" i="16"/>
  <c r="E1395" i="16"/>
  <c r="E1400" i="16"/>
  <c r="E1403" i="16"/>
  <c r="E1402" i="16"/>
  <c r="E1401" i="16"/>
  <c r="E1405" i="16"/>
  <c r="E1404" i="16"/>
  <c r="E1408" i="16"/>
  <c r="E1411" i="16"/>
  <c r="E1407" i="16"/>
  <c r="E1410" i="16"/>
  <c r="E1406" i="16"/>
  <c r="E1409" i="16"/>
  <c r="E1420" i="16"/>
  <c r="E1418" i="16"/>
  <c r="E1421" i="16"/>
  <c r="E1419" i="16"/>
  <c r="E1423" i="16"/>
  <c r="E1422" i="16"/>
  <c r="E1424" i="16"/>
  <c r="E1428" i="16"/>
  <c r="E1426" i="16"/>
  <c r="E1425" i="16"/>
  <c r="E1429" i="16"/>
  <c r="E1427" i="16"/>
  <c r="F241" i="15"/>
  <c r="S241" i="5"/>
  <c r="P241" i="5"/>
  <c r="Q241" i="5" s="1"/>
  <c r="R241" i="5" s="1"/>
  <c r="M241" i="5"/>
  <c r="N241" i="5" s="1"/>
  <c r="O241" i="5" s="1"/>
  <c r="B1480" i="16"/>
  <c r="B1483" i="16"/>
  <c r="B1482" i="16"/>
  <c r="B1478" i="16"/>
  <c r="B1481" i="16"/>
  <c r="B1479" i="16"/>
  <c r="F250" i="15"/>
  <c r="S250" i="5"/>
  <c r="P250" i="5"/>
  <c r="C1523" i="16"/>
  <c r="C1520" i="16"/>
  <c r="C1521" i="16"/>
  <c r="C1524" i="16"/>
  <c r="C1525" i="16"/>
  <c r="C1522" i="16"/>
  <c r="C1601" i="16"/>
  <c r="C1603" i="16"/>
  <c r="C1599" i="16"/>
  <c r="C1602" i="16"/>
  <c r="C1598" i="16"/>
  <c r="C1600" i="16"/>
  <c r="H269" i="5"/>
  <c r="S270" i="5"/>
  <c r="F273" i="15"/>
  <c r="S273" i="5"/>
  <c r="P273" i="5"/>
  <c r="M273" i="5"/>
  <c r="D1650" i="16"/>
  <c r="D1647" i="16"/>
  <c r="D1649" i="16"/>
  <c r="D1648" i="16"/>
  <c r="D1651" i="16"/>
  <c r="D1646" i="16"/>
  <c r="C1673" i="16"/>
  <c r="C1670" i="16"/>
  <c r="C1671" i="16"/>
  <c r="C1674" i="16"/>
  <c r="C1672" i="16"/>
  <c r="C1675" i="16"/>
  <c r="E1750" i="16"/>
  <c r="E1752" i="16"/>
  <c r="E1749" i="16"/>
  <c r="E1753" i="16"/>
  <c r="E1748" i="16"/>
  <c r="E1751" i="16"/>
  <c r="E1817" i="16"/>
  <c r="E1819" i="16"/>
  <c r="E1816" i="16"/>
  <c r="E1814" i="16"/>
  <c r="E1818" i="16"/>
  <c r="E1815" i="16"/>
  <c r="E1865" i="16"/>
  <c r="E1862" i="16"/>
  <c r="E1867" i="16"/>
  <c r="E1863" i="16"/>
  <c r="E1866" i="16"/>
  <c r="E1864" i="16"/>
  <c r="F319" i="15"/>
  <c r="M319" i="5"/>
  <c r="S319" i="5"/>
  <c r="P319" i="5"/>
  <c r="B1303" i="16"/>
  <c r="B1302" i="16"/>
  <c r="B1301" i="16"/>
  <c r="B1300" i="16"/>
  <c r="B1299" i="16"/>
  <c r="B1298" i="16"/>
  <c r="E1190" i="16"/>
  <c r="E1191" i="16"/>
  <c r="E1193" i="16"/>
  <c r="E1192" i="16"/>
  <c r="E1194" i="16"/>
  <c r="E1195" i="16"/>
  <c r="E1214" i="16"/>
  <c r="E1219" i="16"/>
  <c r="E1216" i="16"/>
  <c r="E1218" i="16"/>
  <c r="E1217" i="16"/>
  <c r="E1215" i="16"/>
  <c r="E1238" i="16"/>
  <c r="E1242" i="16"/>
  <c r="E1239" i="16"/>
  <c r="E1241" i="16"/>
  <c r="E1243" i="16"/>
  <c r="E1240" i="16"/>
  <c r="C1251" i="16"/>
  <c r="C1253" i="16"/>
  <c r="C1255" i="16"/>
  <c r="C1252" i="16"/>
  <c r="C1250" i="16"/>
  <c r="C1254" i="16"/>
  <c r="B1257" i="16"/>
  <c r="B1260" i="16"/>
  <c r="B1261" i="16"/>
  <c r="B1258" i="16"/>
  <c r="B1259" i="16"/>
  <c r="B1256" i="16"/>
  <c r="N220" i="5"/>
  <c r="O220" i="5" s="1"/>
  <c r="F232" i="15"/>
  <c r="M232" i="5"/>
  <c r="F233" i="15"/>
  <c r="M233" i="5"/>
  <c r="F234" i="15"/>
  <c r="S234" i="5"/>
  <c r="F235" i="15"/>
  <c r="S235" i="5"/>
  <c r="P235" i="5"/>
  <c r="F1417" i="16"/>
  <c r="F1414" i="16"/>
  <c r="F1413" i="16"/>
  <c r="F1416" i="16"/>
  <c r="F1412" i="16"/>
  <c r="F1415" i="16"/>
  <c r="F238" i="15"/>
  <c r="P238" i="5"/>
  <c r="M238" i="5"/>
  <c r="F1428" i="16"/>
  <c r="F1425" i="16"/>
  <c r="F1429" i="16"/>
  <c r="F1424" i="16"/>
  <c r="F1426" i="16"/>
  <c r="F1427" i="16"/>
  <c r="C1483" i="16"/>
  <c r="C1480" i="16"/>
  <c r="C1482" i="16"/>
  <c r="C1478" i="16"/>
  <c r="C1481" i="16"/>
  <c r="C1479" i="16"/>
  <c r="D255" i="15"/>
  <c r="G255" i="5"/>
  <c r="D1552" i="16"/>
  <c r="D1550" i="16"/>
  <c r="D1553" i="16"/>
  <c r="D1554" i="16"/>
  <c r="D1555" i="16"/>
  <c r="D1551" i="16"/>
  <c r="M266" i="5"/>
  <c r="D1673" i="16"/>
  <c r="D1670" i="16"/>
  <c r="D1674" i="16"/>
  <c r="D1672" i="16"/>
  <c r="D1675" i="16"/>
  <c r="D1671" i="16"/>
  <c r="B1710" i="16"/>
  <c r="B1707" i="16"/>
  <c r="B1706" i="16"/>
  <c r="B1709" i="16"/>
  <c r="B1708" i="16"/>
  <c r="B1711" i="16"/>
  <c r="Q288" i="5"/>
  <c r="R288" i="5" s="1"/>
  <c r="F296" i="15"/>
  <c r="P296" i="5"/>
  <c r="S296" i="5"/>
  <c r="M296" i="5"/>
  <c r="T300" i="5"/>
  <c r="U300" i="5" s="1"/>
  <c r="F302" i="15"/>
  <c r="S302" i="5"/>
  <c r="P302" i="5"/>
  <c r="M302" i="5"/>
  <c r="F1854" i="16"/>
  <c r="F1853" i="16"/>
  <c r="F1851" i="16"/>
  <c r="F1850" i="16"/>
  <c r="F1855" i="16"/>
  <c r="F1852" i="16"/>
  <c r="H319" i="5"/>
  <c r="E960" i="16"/>
  <c r="E957" i="16"/>
  <c r="E959" i="16"/>
  <c r="E956" i="16"/>
  <c r="E958" i="16"/>
  <c r="E961" i="16"/>
  <c r="F978" i="16"/>
  <c r="F979" i="16"/>
  <c r="F976" i="16"/>
  <c r="F975" i="16"/>
  <c r="F974" i="16"/>
  <c r="F977" i="16"/>
  <c r="B1000" i="16"/>
  <c r="B998" i="16"/>
  <c r="B1001" i="16"/>
  <c r="B999" i="16"/>
  <c r="B1003" i="16"/>
  <c r="B1002" i="16"/>
  <c r="C1021" i="16"/>
  <c r="C1018" i="16"/>
  <c r="C1019" i="16"/>
  <c r="C1017" i="16"/>
  <c r="C1016" i="16"/>
  <c r="C1020" i="16"/>
  <c r="D1037" i="16"/>
  <c r="D1034" i="16"/>
  <c r="D1036" i="16"/>
  <c r="D1039" i="16"/>
  <c r="D1035" i="16"/>
  <c r="D1038" i="16"/>
  <c r="E1055" i="16"/>
  <c r="E1057" i="16"/>
  <c r="E1054" i="16"/>
  <c r="E1056" i="16"/>
  <c r="E1053" i="16"/>
  <c r="E1052" i="16"/>
  <c r="F1074" i="16"/>
  <c r="F1071" i="16"/>
  <c r="F1070" i="16"/>
  <c r="F1075" i="16"/>
  <c r="F1073" i="16"/>
  <c r="F1072" i="16"/>
  <c r="B1096" i="16"/>
  <c r="B1098" i="16"/>
  <c r="B1094" i="16"/>
  <c r="B1097" i="16"/>
  <c r="B1095" i="16"/>
  <c r="B1099" i="16"/>
  <c r="C1117" i="16"/>
  <c r="C1114" i="16"/>
  <c r="C1116" i="16"/>
  <c r="C1113" i="16"/>
  <c r="C1112" i="16"/>
  <c r="C1115" i="16"/>
  <c r="D1133" i="16"/>
  <c r="D1130" i="16"/>
  <c r="D1135" i="16"/>
  <c r="D1134" i="16"/>
  <c r="D1132" i="16"/>
  <c r="D1131" i="16"/>
  <c r="P191" i="5"/>
  <c r="E1151" i="16"/>
  <c r="E1148" i="16"/>
  <c r="E1153" i="16"/>
  <c r="E1149" i="16"/>
  <c r="E1152" i="16"/>
  <c r="E1150" i="16"/>
  <c r="F1168" i="16"/>
  <c r="F1170" i="16"/>
  <c r="F1171" i="16"/>
  <c r="F1169" i="16"/>
  <c r="F1167" i="16"/>
  <c r="F1166" i="16"/>
  <c r="B1177" i="16"/>
  <c r="B1174" i="16"/>
  <c r="B1176" i="16"/>
  <c r="B1173" i="16"/>
  <c r="B1172" i="16"/>
  <c r="B1175" i="16"/>
  <c r="F1193" i="16"/>
  <c r="F1190" i="16"/>
  <c r="F1195" i="16"/>
  <c r="F1194" i="16"/>
  <c r="F1192" i="16"/>
  <c r="F1191" i="16"/>
  <c r="B1200" i="16"/>
  <c r="B1197" i="16"/>
  <c r="B1196" i="16"/>
  <c r="B1201" i="16"/>
  <c r="B1198" i="16"/>
  <c r="B1199" i="16"/>
  <c r="F1219" i="16"/>
  <c r="F1216" i="16"/>
  <c r="F1218" i="16"/>
  <c r="F1215" i="16"/>
  <c r="F1214" i="16"/>
  <c r="F1217" i="16"/>
  <c r="B1220" i="16"/>
  <c r="B1225" i="16"/>
  <c r="B1222" i="16"/>
  <c r="B1221" i="16"/>
  <c r="B1223" i="16"/>
  <c r="B1224" i="16"/>
  <c r="F1242" i="16"/>
  <c r="F1239" i="16"/>
  <c r="F1238" i="16"/>
  <c r="F1243" i="16"/>
  <c r="F1240" i="16"/>
  <c r="F1241" i="16"/>
  <c r="E1246" i="16"/>
  <c r="E1245" i="16"/>
  <c r="E1247" i="16"/>
  <c r="E1249" i="16"/>
  <c r="E1248" i="16"/>
  <c r="E1244" i="16"/>
  <c r="D1254" i="16"/>
  <c r="D1253" i="16"/>
  <c r="D1250" i="16"/>
  <c r="D1255" i="16"/>
  <c r="D1252" i="16"/>
  <c r="D1251" i="16"/>
  <c r="C1257" i="16"/>
  <c r="C1260" i="16"/>
  <c r="C1259" i="16"/>
  <c r="C1256" i="16"/>
  <c r="C1261" i="16"/>
  <c r="C1258" i="16"/>
  <c r="M218" i="5"/>
  <c r="P223" i="5"/>
  <c r="I225" i="5"/>
  <c r="H237" i="5"/>
  <c r="U237" i="5"/>
  <c r="I240" i="5"/>
  <c r="K240" i="5" s="1"/>
  <c r="V240" i="5"/>
  <c r="W240" i="5" s="1"/>
  <c r="H241" i="5"/>
  <c r="D1480" i="16"/>
  <c r="D1483" i="16"/>
  <c r="D1478" i="16"/>
  <c r="D1481" i="16"/>
  <c r="D1479" i="16"/>
  <c r="D1482" i="16"/>
  <c r="F249" i="15"/>
  <c r="M249" i="5"/>
  <c r="M251" i="5"/>
  <c r="N251" i="5" s="1"/>
  <c r="O251" i="5" s="1"/>
  <c r="T253" i="5"/>
  <c r="U253" i="5" s="1"/>
  <c r="J256" i="5"/>
  <c r="I256" i="5"/>
  <c r="V256" i="5"/>
  <c r="W256" i="5" s="1"/>
  <c r="E1598" i="16"/>
  <c r="E1603" i="16"/>
  <c r="E1600" i="16"/>
  <c r="E1599" i="16"/>
  <c r="E1602" i="16"/>
  <c r="E1601" i="16"/>
  <c r="H273" i="5"/>
  <c r="B1667" i="16"/>
  <c r="B1668" i="16"/>
  <c r="B1666" i="16"/>
  <c r="B1664" i="16"/>
  <c r="B1669" i="16"/>
  <c r="B1665" i="16"/>
  <c r="E1670" i="16"/>
  <c r="E1674" i="16"/>
  <c r="E1675" i="16"/>
  <c r="E1671" i="16"/>
  <c r="E1673" i="16"/>
  <c r="E1672" i="16"/>
  <c r="H310" i="5"/>
  <c r="O310" i="5"/>
  <c r="C1999" i="16"/>
  <c r="C1996" i="16"/>
  <c r="C1998" i="16"/>
  <c r="C1994" i="16"/>
  <c r="C1997" i="16"/>
  <c r="C1995" i="16"/>
  <c r="B697" i="16"/>
  <c r="B694" i="16"/>
  <c r="B693" i="16"/>
  <c r="B696" i="16"/>
  <c r="B695" i="16"/>
  <c r="B692" i="16"/>
  <c r="C713" i="16"/>
  <c r="C715" i="16"/>
  <c r="C712" i="16"/>
  <c r="C711" i="16"/>
  <c r="C714" i="16"/>
  <c r="C710" i="16"/>
  <c r="D731" i="16"/>
  <c r="D732" i="16"/>
  <c r="D729" i="16"/>
  <c r="D733" i="16"/>
  <c r="D728" i="16"/>
  <c r="D730" i="16"/>
  <c r="E750" i="16"/>
  <c r="E747" i="16"/>
  <c r="E749" i="16"/>
  <c r="E746" i="16"/>
  <c r="E748" i="16"/>
  <c r="E751" i="16"/>
  <c r="F768" i="16"/>
  <c r="F765" i="16"/>
  <c r="F767" i="16"/>
  <c r="F764" i="16"/>
  <c r="F766" i="16"/>
  <c r="F769" i="16"/>
  <c r="B790" i="16"/>
  <c r="B793" i="16"/>
  <c r="B792" i="16"/>
  <c r="B789" i="16"/>
  <c r="B788" i="16"/>
  <c r="B791" i="16"/>
  <c r="C811" i="16"/>
  <c r="C809" i="16"/>
  <c r="C806" i="16"/>
  <c r="C808" i="16"/>
  <c r="C810" i="16"/>
  <c r="C807" i="16"/>
  <c r="D827" i="16"/>
  <c r="D829" i="16"/>
  <c r="D825" i="16"/>
  <c r="D828" i="16"/>
  <c r="D824" i="16"/>
  <c r="D826" i="16"/>
  <c r="E845" i="16"/>
  <c r="E842" i="16"/>
  <c r="E847" i="16"/>
  <c r="E843" i="16"/>
  <c r="E846" i="16"/>
  <c r="E844" i="16"/>
  <c r="F864" i="16"/>
  <c r="F861" i="16"/>
  <c r="F860" i="16"/>
  <c r="F863" i="16"/>
  <c r="F865" i="16"/>
  <c r="F862" i="16"/>
  <c r="B886" i="16"/>
  <c r="B889" i="16"/>
  <c r="B885" i="16"/>
  <c r="B888" i="16"/>
  <c r="B887" i="16"/>
  <c r="B884" i="16"/>
  <c r="C907" i="16"/>
  <c r="C904" i="16"/>
  <c r="C903" i="16"/>
  <c r="C906" i="16"/>
  <c r="C902" i="16"/>
  <c r="C905" i="16"/>
  <c r="D923" i="16"/>
  <c r="D922" i="16"/>
  <c r="D925" i="16"/>
  <c r="D921" i="16"/>
  <c r="D924" i="16"/>
  <c r="D920" i="16"/>
  <c r="E941" i="16"/>
  <c r="E938" i="16"/>
  <c r="E943" i="16"/>
  <c r="E940" i="16"/>
  <c r="E942" i="16"/>
  <c r="E939" i="16"/>
  <c r="F960" i="16"/>
  <c r="F959" i="16"/>
  <c r="F958" i="16"/>
  <c r="F957" i="16"/>
  <c r="F956" i="16"/>
  <c r="F961" i="16"/>
  <c r="B984" i="16"/>
  <c r="B981" i="16"/>
  <c r="B980" i="16"/>
  <c r="B985" i="16"/>
  <c r="B983" i="16"/>
  <c r="B982" i="16"/>
  <c r="C1002" i="16"/>
  <c r="C998" i="16"/>
  <c r="C1001" i="16"/>
  <c r="C1000" i="16"/>
  <c r="C1003" i="16"/>
  <c r="C999" i="16"/>
  <c r="D1021" i="16"/>
  <c r="D1018" i="16"/>
  <c r="D1019" i="16"/>
  <c r="D1017" i="16"/>
  <c r="D1020" i="16"/>
  <c r="D1016" i="16"/>
  <c r="E1034" i="16"/>
  <c r="E1039" i="16"/>
  <c r="E1036" i="16"/>
  <c r="E1035" i="16"/>
  <c r="E1038" i="16"/>
  <c r="E1037" i="16"/>
  <c r="F1055" i="16"/>
  <c r="F1054" i="16"/>
  <c r="F1057" i="16"/>
  <c r="F1053" i="16"/>
  <c r="F1056" i="16"/>
  <c r="F1052" i="16"/>
  <c r="G180" i="5"/>
  <c r="B1080" i="16"/>
  <c r="B1077" i="16"/>
  <c r="B1079" i="16"/>
  <c r="B1078" i="16"/>
  <c r="B1081" i="16"/>
  <c r="B1076" i="16"/>
  <c r="C1098" i="16"/>
  <c r="C1094" i="16"/>
  <c r="C1097" i="16"/>
  <c r="C1096" i="16"/>
  <c r="C1095" i="16"/>
  <c r="C1099" i="16"/>
  <c r="D1117" i="16"/>
  <c r="D1114" i="16"/>
  <c r="D1113" i="16"/>
  <c r="D1112" i="16"/>
  <c r="D1115" i="16"/>
  <c r="D1116" i="16"/>
  <c r="E1130" i="16"/>
  <c r="E1135" i="16"/>
  <c r="E1133" i="16"/>
  <c r="E1131" i="16"/>
  <c r="E1134" i="16"/>
  <c r="E1132" i="16"/>
  <c r="F1151" i="16"/>
  <c r="F1148" i="16"/>
  <c r="F1150" i="16"/>
  <c r="F1149" i="16"/>
  <c r="F1153" i="16"/>
  <c r="F1152" i="16"/>
  <c r="R194" i="5"/>
  <c r="G196" i="5"/>
  <c r="C1177" i="16"/>
  <c r="C1174" i="16"/>
  <c r="C1173" i="16"/>
  <c r="C1176" i="16"/>
  <c r="C1175" i="16"/>
  <c r="C1172" i="16"/>
  <c r="G200" i="5"/>
  <c r="C1201" i="16"/>
  <c r="C1197" i="16"/>
  <c r="C1199" i="16"/>
  <c r="C1198" i="16"/>
  <c r="C1200" i="16"/>
  <c r="C1196" i="16"/>
  <c r="G204" i="5"/>
  <c r="C1225" i="16"/>
  <c r="C1222" i="16"/>
  <c r="C1224" i="16"/>
  <c r="C1221" i="16"/>
  <c r="C1223" i="16"/>
  <c r="C1220" i="16"/>
  <c r="G208" i="5"/>
  <c r="F209" i="15"/>
  <c r="P209" i="5"/>
  <c r="Q209" i="5" s="1"/>
  <c r="R209" i="5" s="1"/>
  <c r="E1254" i="16"/>
  <c r="E1253" i="16"/>
  <c r="E1250" i="16"/>
  <c r="E1255" i="16"/>
  <c r="E1252" i="16"/>
  <c r="E1251" i="16"/>
  <c r="D211" i="15"/>
  <c r="G211" i="5"/>
  <c r="C1265" i="16"/>
  <c r="C1263" i="16"/>
  <c r="C1266" i="16"/>
  <c r="C1262" i="16"/>
  <c r="C1264" i="16"/>
  <c r="C1267" i="16"/>
  <c r="B1271" i="16"/>
  <c r="B1268" i="16"/>
  <c r="B1270" i="16"/>
  <c r="B1273" i="16"/>
  <c r="B1272" i="16"/>
  <c r="B1269" i="16"/>
  <c r="M219" i="5"/>
  <c r="M221" i="5"/>
  <c r="N221" i="5" s="1"/>
  <c r="O221" i="5" s="1"/>
  <c r="J225" i="5"/>
  <c r="M239" i="5"/>
  <c r="J240" i="5"/>
  <c r="S242" i="5"/>
  <c r="B1471" i="16"/>
  <c r="B1468" i="16"/>
  <c r="B1470" i="16"/>
  <c r="B1466" i="16"/>
  <c r="B1469" i="16"/>
  <c r="B1467" i="16"/>
  <c r="E1480" i="16"/>
  <c r="E1483" i="16"/>
  <c r="E1478" i="16"/>
  <c r="E1481" i="16"/>
  <c r="E1482" i="16"/>
  <c r="E1479" i="16"/>
  <c r="B1515" i="16"/>
  <c r="B1518" i="16"/>
  <c r="B1514" i="16"/>
  <c r="B1517" i="16"/>
  <c r="B1519" i="16"/>
  <c r="B1516" i="16"/>
  <c r="K256" i="5"/>
  <c r="F1600" i="16"/>
  <c r="F1599" i="16"/>
  <c r="F1602" i="16"/>
  <c r="F1601" i="16"/>
  <c r="F1603" i="16"/>
  <c r="F1598" i="16"/>
  <c r="B1621" i="16"/>
  <c r="B1617" i="16"/>
  <c r="B1620" i="16"/>
  <c r="B1616" i="16"/>
  <c r="B1619" i="16"/>
  <c r="B1618" i="16"/>
  <c r="G276" i="5"/>
  <c r="F280" i="15"/>
  <c r="S280" i="5"/>
  <c r="P280" i="5"/>
  <c r="M280" i="5"/>
  <c r="D1690" i="16"/>
  <c r="D1688" i="16"/>
  <c r="D1691" i="16"/>
  <c r="D1689" i="16"/>
  <c r="D1693" i="16"/>
  <c r="D1692" i="16"/>
  <c r="H296" i="5"/>
  <c r="H302" i="5"/>
  <c r="C1911" i="16"/>
  <c r="C1913" i="16"/>
  <c r="C1910" i="16"/>
  <c r="C1915" i="16"/>
  <c r="C1914" i="16"/>
  <c r="C1912" i="16"/>
  <c r="F1130" i="16"/>
  <c r="F1135" i="16"/>
  <c r="F1132" i="16"/>
  <c r="F1133" i="16"/>
  <c r="F1131" i="16"/>
  <c r="F1134" i="16"/>
  <c r="B1157" i="16"/>
  <c r="B1154" i="16"/>
  <c r="B1159" i="16"/>
  <c r="B1156" i="16"/>
  <c r="B1155" i="16"/>
  <c r="B1158" i="16"/>
  <c r="D1177" i="16"/>
  <c r="D1174" i="16"/>
  <c r="D1176" i="16"/>
  <c r="D1175" i="16"/>
  <c r="D1173" i="16"/>
  <c r="D1172" i="16"/>
  <c r="D1199" i="16"/>
  <c r="D1196" i="16"/>
  <c r="D1201" i="16"/>
  <c r="D1200" i="16"/>
  <c r="D1198" i="16"/>
  <c r="D1197" i="16"/>
  <c r="M203" i="5"/>
  <c r="N203" i="5" s="1"/>
  <c r="O203" i="5" s="1"/>
  <c r="D1225" i="16"/>
  <c r="D1222" i="16"/>
  <c r="D1224" i="16"/>
  <c r="D1221" i="16"/>
  <c r="D1220" i="16"/>
  <c r="D1223" i="16"/>
  <c r="M207" i="5"/>
  <c r="F210" i="15"/>
  <c r="P210" i="5"/>
  <c r="M210" i="5"/>
  <c r="D1265" i="16"/>
  <c r="D1262" i="16"/>
  <c r="D1263" i="16"/>
  <c r="D1266" i="16"/>
  <c r="D1264" i="16"/>
  <c r="D1267" i="16"/>
  <c r="C1268" i="16"/>
  <c r="C1273" i="16"/>
  <c r="C1269" i="16"/>
  <c r="C1272" i="16"/>
  <c r="C1271" i="16"/>
  <c r="C1270" i="16"/>
  <c r="B1279" i="16"/>
  <c r="B1277" i="16"/>
  <c r="B1276" i="16"/>
  <c r="B1275" i="16"/>
  <c r="B1278" i="16"/>
  <c r="B1274" i="16"/>
  <c r="E1472" i="16"/>
  <c r="E1477" i="16"/>
  <c r="E1474" i="16"/>
  <c r="E1473" i="16"/>
  <c r="E1476" i="16"/>
  <c r="E1475" i="16"/>
  <c r="F248" i="15"/>
  <c r="P248" i="5"/>
  <c r="M248" i="5"/>
  <c r="T252" i="5"/>
  <c r="U252" i="5" s="1"/>
  <c r="D259" i="15"/>
  <c r="G259" i="5"/>
  <c r="G260" i="5"/>
  <c r="C1577" i="16"/>
  <c r="C1575" i="16"/>
  <c r="C1578" i="16"/>
  <c r="C1574" i="16"/>
  <c r="C1579" i="16"/>
  <c r="C1576" i="16"/>
  <c r="N269" i="5"/>
  <c r="O269" i="5" s="1"/>
  <c r="C1617" i="16"/>
  <c r="C1620" i="16"/>
  <c r="C1616" i="16"/>
  <c r="C1619" i="16"/>
  <c r="C1618" i="16"/>
  <c r="C1621" i="16"/>
  <c r="G280" i="5"/>
  <c r="E1688" i="16"/>
  <c r="E1691" i="16"/>
  <c r="E1690" i="16"/>
  <c r="E1689" i="16"/>
  <c r="E1693" i="16"/>
  <c r="E1692" i="16"/>
  <c r="E1710" i="16"/>
  <c r="E1708" i="16"/>
  <c r="E1711" i="16"/>
  <c r="E1709" i="16"/>
  <c r="E1707" i="16"/>
  <c r="E1706" i="16"/>
  <c r="C1729" i="16"/>
  <c r="C1726" i="16"/>
  <c r="C1725" i="16"/>
  <c r="C1728" i="16"/>
  <c r="C1724" i="16"/>
  <c r="C1727" i="16"/>
  <c r="D1747" i="16"/>
  <c r="D1745" i="16"/>
  <c r="D1744" i="16"/>
  <c r="D1746" i="16"/>
  <c r="D1743" i="16"/>
  <c r="D1742" i="16"/>
  <c r="E1844" i="16"/>
  <c r="E1849" i="16"/>
  <c r="E1846" i="16"/>
  <c r="E1848" i="16"/>
  <c r="E1847" i="16"/>
  <c r="E1845" i="16"/>
  <c r="N310" i="5"/>
  <c r="B1871" i="16"/>
  <c r="B1868" i="16"/>
  <c r="B1870" i="16"/>
  <c r="B1872" i="16"/>
  <c r="B1869" i="16"/>
  <c r="B1873" i="16"/>
  <c r="D320" i="15"/>
  <c r="G320" i="5"/>
  <c r="E616" i="16"/>
  <c r="E617" i="16"/>
  <c r="E614" i="16"/>
  <c r="E619" i="16"/>
  <c r="E615" i="16"/>
  <c r="E618" i="16"/>
  <c r="F635" i="16"/>
  <c r="F637" i="16"/>
  <c r="F633" i="16"/>
  <c r="F636" i="16"/>
  <c r="F632" i="16"/>
  <c r="F634" i="16"/>
  <c r="B657" i="16"/>
  <c r="B659" i="16"/>
  <c r="B658" i="16"/>
  <c r="B661" i="16"/>
  <c r="B660" i="16"/>
  <c r="B656" i="16"/>
  <c r="C675" i="16"/>
  <c r="C676" i="16"/>
  <c r="C679" i="16"/>
  <c r="C678" i="16"/>
  <c r="C677" i="16"/>
  <c r="C674" i="16"/>
  <c r="D694" i="16"/>
  <c r="D696" i="16"/>
  <c r="D697" i="16"/>
  <c r="D693" i="16"/>
  <c r="D692" i="16"/>
  <c r="D695" i="16"/>
  <c r="E715" i="16"/>
  <c r="E712" i="16"/>
  <c r="E711" i="16"/>
  <c r="E714" i="16"/>
  <c r="E710" i="16"/>
  <c r="E713" i="16"/>
  <c r="F728" i="16"/>
  <c r="F729" i="16"/>
  <c r="F731" i="16"/>
  <c r="F733" i="16"/>
  <c r="F732" i="16"/>
  <c r="F730" i="16"/>
  <c r="B756" i="16"/>
  <c r="B753" i="16"/>
  <c r="B755" i="16"/>
  <c r="B754" i="16"/>
  <c r="B752" i="16"/>
  <c r="B757" i="16"/>
  <c r="C771" i="16"/>
  <c r="C774" i="16"/>
  <c r="C775" i="16"/>
  <c r="C773" i="16"/>
  <c r="C772" i="16"/>
  <c r="C770" i="16"/>
  <c r="D793" i="16"/>
  <c r="D790" i="16"/>
  <c r="D792" i="16"/>
  <c r="D789" i="16"/>
  <c r="D791" i="16"/>
  <c r="D788" i="16"/>
  <c r="E808" i="16"/>
  <c r="E811" i="16"/>
  <c r="E810" i="16"/>
  <c r="E807" i="16"/>
  <c r="E809" i="16"/>
  <c r="E806" i="16"/>
  <c r="F824" i="16"/>
  <c r="F829" i="16"/>
  <c r="F825" i="16"/>
  <c r="F828" i="16"/>
  <c r="F827" i="16"/>
  <c r="F826" i="16"/>
  <c r="B851" i="16"/>
  <c r="B850" i="16"/>
  <c r="B853" i="16"/>
  <c r="B849" i="16"/>
  <c r="B848" i="16"/>
  <c r="B852" i="16"/>
  <c r="C867" i="16"/>
  <c r="C869" i="16"/>
  <c r="C868" i="16"/>
  <c r="C871" i="16"/>
  <c r="C870" i="16"/>
  <c r="C866" i="16"/>
  <c r="D886" i="16"/>
  <c r="D889" i="16"/>
  <c r="D885" i="16"/>
  <c r="D888" i="16"/>
  <c r="D884" i="16"/>
  <c r="D887" i="16"/>
  <c r="E904" i="16"/>
  <c r="E906" i="16"/>
  <c r="E907" i="16"/>
  <c r="E903" i="16"/>
  <c r="E902" i="16"/>
  <c r="E905" i="16"/>
  <c r="F920" i="16"/>
  <c r="F922" i="16"/>
  <c r="F925" i="16"/>
  <c r="F921" i="16"/>
  <c r="F924" i="16"/>
  <c r="F923" i="16"/>
  <c r="B947" i="16"/>
  <c r="B946" i="16"/>
  <c r="B949" i="16"/>
  <c r="B945" i="16"/>
  <c r="B944" i="16"/>
  <c r="B948" i="16"/>
  <c r="C965" i="16"/>
  <c r="C967" i="16"/>
  <c r="C964" i="16"/>
  <c r="C966" i="16"/>
  <c r="C963" i="16"/>
  <c r="C962" i="16"/>
  <c r="D981" i="16"/>
  <c r="D984" i="16"/>
  <c r="D980" i="16"/>
  <c r="D985" i="16"/>
  <c r="D983" i="16"/>
  <c r="D982" i="16"/>
  <c r="E1002" i="16"/>
  <c r="E999" i="16"/>
  <c r="E998" i="16"/>
  <c r="E1001" i="16"/>
  <c r="E1000" i="16"/>
  <c r="E1003" i="16"/>
  <c r="F1018" i="16"/>
  <c r="F1020" i="16"/>
  <c r="F1019" i="16"/>
  <c r="F1017" i="16"/>
  <c r="F1016" i="16"/>
  <c r="F1021" i="16"/>
  <c r="G174" i="5"/>
  <c r="B1040" i="16"/>
  <c r="B1045" i="16"/>
  <c r="B1044" i="16"/>
  <c r="B1042" i="16"/>
  <c r="B1043" i="16"/>
  <c r="B1041" i="16"/>
  <c r="C1061" i="16"/>
  <c r="C1058" i="16"/>
  <c r="C1060" i="16"/>
  <c r="C1063" i="16"/>
  <c r="C1059" i="16"/>
  <c r="C1062" i="16"/>
  <c r="D1077" i="16"/>
  <c r="D1078" i="16"/>
  <c r="D1080" i="16"/>
  <c r="D1081" i="16"/>
  <c r="D1079" i="16"/>
  <c r="D1076" i="16"/>
  <c r="E1098" i="16"/>
  <c r="E1095" i="16"/>
  <c r="E1097" i="16"/>
  <c r="E1094" i="16"/>
  <c r="E1096" i="16"/>
  <c r="E1099" i="16"/>
  <c r="F1114" i="16"/>
  <c r="F1113" i="16"/>
  <c r="F1117" i="16"/>
  <c r="F1116" i="16"/>
  <c r="F1115" i="16"/>
  <c r="F1112" i="16"/>
  <c r="G190" i="5"/>
  <c r="B1136" i="16"/>
  <c r="B1141" i="16"/>
  <c r="B1138" i="16"/>
  <c r="B1140" i="16"/>
  <c r="B1139" i="16"/>
  <c r="B1137" i="16"/>
  <c r="S191" i="5"/>
  <c r="C1157" i="16"/>
  <c r="C1154" i="16"/>
  <c r="C1156" i="16"/>
  <c r="C1159" i="16"/>
  <c r="C1158" i="16"/>
  <c r="C1155" i="16"/>
  <c r="E1174" i="16"/>
  <c r="E1176" i="16"/>
  <c r="E1173" i="16"/>
  <c r="E1177" i="16"/>
  <c r="E1175" i="16"/>
  <c r="E1172" i="16"/>
  <c r="E1198" i="16"/>
  <c r="E1199" i="16"/>
  <c r="E1196" i="16"/>
  <c r="E1201" i="16"/>
  <c r="E1200" i="16"/>
  <c r="E1197" i="16"/>
  <c r="E1222" i="16"/>
  <c r="E1225" i="16"/>
  <c r="E1221" i="16"/>
  <c r="E1220" i="16"/>
  <c r="E1224" i="16"/>
  <c r="E1223" i="16"/>
  <c r="H209" i="5"/>
  <c r="G210" i="5"/>
  <c r="D1268" i="16"/>
  <c r="D1271" i="16"/>
  <c r="D1273" i="16"/>
  <c r="D1269" i="16"/>
  <c r="D1272" i="16"/>
  <c r="D1270" i="16"/>
  <c r="C1276" i="16"/>
  <c r="C1277" i="16"/>
  <c r="C1274" i="16"/>
  <c r="C1279" i="16"/>
  <c r="C1275" i="16"/>
  <c r="C1278" i="16"/>
  <c r="P218" i="5"/>
  <c r="S223" i="5"/>
  <c r="P239" i="5"/>
  <c r="B1465" i="16"/>
  <c r="B1462" i="16"/>
  <c r="B1461" i="16"/>
  <c r="B1464" i="16"/>
  <c r="B1463" i="16"/>
  <c r="B1460" i="16"/>
  <c r="G248" i="5"/>
  <c r="M250" i="5"/>
  <c r="B1508" i="16"/>
  <c r="B1511" i="16"/>
  <c r="B1513" i="16"/>
  <c r="B1512" i="16"/>
  <c r="B1509" i="16"/>
  <c r="B1510" i="16"/>
  <c r="D1518" i="16"/>
  <c r="D1514" i="16"/>
  <c r="D1517" i="16"/>
  <c r="D1515" i="16"/>
  <c r="D1519" i="16"/>
  <c r="D1516" i="16"/>
  <c r="B1572" i="16"/>
  <c r="B1569" i="16"/>
  <c r="B1568" i="16"/>
  <c r="B1571" i="16"/>
  <c r="B1573" i="16"/>
  <c r="B1570" i="16"/>
  <c r="D1575" i="16"/>
  <c r="D1578" i="16"/>
  <c r="D1574" i="16"/>
  <c r="D1579" i="16"/>
  <c r="D1577" i="16"/>
  <c r="D1576" i="16"/>
  <c r="D271" i="15"/>
  <c r="G271" i="5"/>
  <c r="J272" i="5"/>
  <c r="I272" i="5"/>
  <c r="V272" i="5"/>
  <c r="W272" i="5" s="1"/>
  <c r="T272" i="5"/>
  <c r="U272" i="5" s="1"/>
  <c r="E1667" i="16"/>
  <c r="E1664" i="16"/>
  <c r="E1666" i="16"/>
  <c r="E1669" i="16"/>
  <c r="E1668" i="16"/>
  <c r="E1665" i="16"/>
  <c r="F283" i="15"/>
  <c r="S283" i="5"/>
  <c r="P283" i="5"/>
  <c r="M283" i="5"/>
  <c r="F286" i="15"/>
  <c r="P286" i="5"/>
  <c r="M286" i="5"/>
  <c r="C1871" i="16"/>
  <c r="C1868" i="16"/>
  <c r="C1873" i="16"/>
  <c r="C1870" i="16"/>
  <c r="C1869" i="16"/>
  <c r="C1872" i="16"/>
  <c r="J316" i="5"/>
  <c r="K316" i="5" s="1"/>
  <c r="I316" i="5"/>
  <c r="V316" i="5"/>
  <c r="W316" i="5" s="1"/>
  <c r="E1913" i="16"/>
  <c r="E1910" i="16"/>
  <c r="E1915" i="16"/>
  <c r="E1912" i="16"/>
  <c r="E1914" i="16"/>
  <c r="E1911" i="16"/>
  <c r="G325" i="15"/>
  <c r="H1940" i="16" s="1"/>
  <c r="D580" i="16"/>
  <c r="D582" i="16"/>
  <c r="D579" i="16"/>
  <c r="D578" i="16"/>
  <c r="D583" i="16"/>
  <c r="D581" i="16"/>
  <c r="E600" i="16"/>
  <c r="E596" i="16"/>
  <c r="E601" i="16"/>
  <c r="E598" i="16"/>
  <c r="E599" i="16"/>
  <c r="E597" i="16"/>
  <c r="F619" i="16"/>
  <c r="F617" i="16"/>
  <c r="F614" i="16"/>
  <c r="F616" i="16"/>
  <c r="F618" i="16"/>
  <c r="F615" i="16"/>
  <c r="B641" i="16"/>
  <c r="B643" i="16"/>
  <c r="B638" i="16"/>
  <c r="B640" i="16"/>
  <c r="B639" i="16"/>
  <c r="B642" i="16"/>
  <c r="C659" i="16"/>
  <c r="C656" i="16"/>
  <c r="C658" i="16"/>
  <c r="C661" i="16"/>
  <c r="C657" i="16"/>
  <c r="C660" i="16"/>
  <c r="D678" i="16"/>
  <c r="D676" i="16"/>
  <c r="D679" i="16"/>
  <c r="D677" i="16"/>
  <c r="D675" i="16"/>
  <c r="D674" i="16"/>
  <c r="E696" i="16"/>
  <c r="E693" i="16"/>
  <c r="E694" i="16"/>
  <c r="E697" i="16"/>
  <c r="E692" i="16"/>
  <c r="E695" i="16"/>
  <c r="F712" i="16"/>
  <c r="F714" i="16"/>
  <c r="F711" i="16"/>
  <c r="F715" i="16"/>
  <c r="F710" i="16"/>
  <c r="F713" i="16"/>
  <c r="G123" i="5"/>
  <c r="B734" i="16"/>
  <c r="B738" i="16"/>
  <c r="B735" i="16"/>
  <c r="B737" i="16"/>
  <c r="B739" i="16"/>
  <c r="B736" i="16"/>
  <c r="C755" i="16"/>
  <c r="C757" i="16"/>
  <c r="C754" i="16"/>
  <c r="C752" i="16"/>
  <c r="C753" i="16"/>
  <c r="C756" i="16"/>
  <c r="D771" i="16"/>
  <c r="D774" i="16"/>
  <c r="D773" i="16"/>
  <c r="D772" i="16"/>
  <c r="D770" i="16"/>
  <c r="D775" i="16"/>
  <c r="E792" i="16"/>
  <c r="E793" i="16"/>
  <c r="E790" i="16"/>
  <c r="E791" i="16"/>
  <c r="E788" i="16"/>
  <c r="E789" i="16"/>
  <c r="F808" i="16"/>
  <c r="F811" i="16"/>
  <c r="F810" i="16"/>
  <c r="F807" i="16"/>
  <c r="F809" i="16"/>
  <c r="F806" i="16"/>
  <c r="G139" i="5"/>
  <c r="B830" i="16"/>
  <c r="B833" i="16"/>
  <c r="B832" i="16"/>
  <c r="B835" i="16"/>
  <c r="B831" i="16"/>
  <c r="B834" i="16"/>
  <c r="C851" i="16"/>
  <c r="C848" i="16"/>
  <c r="C853" i="16"/>
  <c r="C850" i="16"/>
  <c r="C849" i="16"/>
  <c r="C852" i="16"/>
  <c r="D867" i="16"/>
  <c r="D868" i="16"/>
  <c r="D871" i="16"/>
  <c r="D870" i="16"/>
  <c r="D866" i="16"/>
  <c r="D869" i="16"/>
  <c r="E888" i="16"/>
  <c r="E885" i="16"/>
  <c r="E886" i="16"/>
  <c r="E889" i="16"/>
  <c r="E884" i="16"/>
  <c r="E887" i="16"/>
  <c r="F904" i="16"/>
  <c r="F907" i="16"/>
  <c r="F903" i="16"/>
  <c r="F906" i="16"/>
  <c r="F902" i="16"/>
  <c r="F905" i="16"/>
  <c r="G155" i="5"/>
  <c r="B926" i="16"/>
  <c r="B931" i="16"/>
  <c r="B927" i="16"/>
  <c r="B930" i="16"/>
  <c r="B929" i="16"/>
  <c r="B928" i="16"/>
  <c r="C947" i="16"/>
  <c r="C944" i="16"/>
  <c r="C949" i="16"/>
  <c r="C946" i="16"/>
  <c r="C945" i="16"/>
  <c r="C948" i="16"/>
  <c r="D965" i="16"/>
  <c r="D967" i="16"/>
  <c r="D964" i="16"/>
  <c r="D963" i="16"/>
  <c r="D962" i="16"/>
  <c r="D966" i="16"/>
  <c r="E985" i="16"/>
  <c r="E982" i="16"/>
  <c r="E984" i="16"/>
  <c r="E981" i="16"/>
  <c r="E980" i="16"/>
  <c r="E983" i="16"/>
  <c r="F1002" i="16"/>
  <c r="F1001" i="16"/>
  <c r="F1003" i="16"/>
  <c r="F1000" i="16"/>
  <c r="F999" i="16"/>
  <c r="F998" i="16"/>
  <c r="M170" i="5"/>
  <c r="G171" i="5"/>
  <c r="B1024" i="16"/>
  <c r="B1026" i="16"/>
  <c r="B1022" i="16"/>
  <c r="B1027" i="16"/>
  <c r="B1025" i="16"/>
  <c r="B1023" i="16"/>
  <c r="C1045" i="16"/>
  <c r="C1042" i="16"/>
  <c r="C1044" i="16"/>
  <c r="C1040" i="16"/>
  <c r="C1043" i="16"/>
  <c r="C1041" i="16"/>
  <c r="D1061" i="16"/>
  <c r="D1058" i="16"/>
  <c r="D1063" i="16"/>
  <c r="D1059" i="16"/>
  <c r="D1062" i="16"/>
  <c r="D1060" i="16"/>
  <c r="E1079" i="16"/>
  <c r="E1081" i="16"/>
  <c r="E1078" i="16"/>
  <c r="E1077" i="16"/>
  <c r="E1076" i="16"/>
  <c r="E1080" i="16"/>
  <c r="F1098" i="16"/>
  <c r="F1095" i="16"/>
  <c r="F1097" i="16"/>
  <c r="F1096" i="16"/>
  <c r="F1094" i="16"/>
  <c r="F1099" i="16"/>
  <c r="M186" i="5"/>
  <c r="N186" i="5" s="1"/>
  <c r="O186" i="5" s="1"/>
  <c r="G187" i="5"/>
  <c r="B1120" i="16"/>
  <c r="B1118" i="16"/>
  <c r="B1121" i="16"/>
  <c r="B1119" i="16"/>
  <c r="B1123" i="16"/>
  <c r="B1122" i="16"/>
  <c r="C1141" i="16"/>
  <c r="C1138" i="16"/>
  <c r="C1140" i="16"/>
  <c r="C1139" i="16"/>
  <c r="C1137" i="16"/>
  <c r="C1136" i="16"/>
  <c r="D1157" i="16"/>
  <c r="D1154" i="16"/>
  <c r="D1159" i="16"/>
  <c r="D1158" i="16"/>
  <c r="D1156" i="16"/>
  <c r="D1155" i="16"/>
  <c r="U194" i="5"/>
  <c r="F1176" i="16"/>
  <c r="F1173" i="16"/>
  <c r="F1177" i="16"/>
  <c r="F1175" i="16"/>
  <c r="F1174" i="16"/>
  <c r="F1172" i="16"/>
  <c r="B1183" i="16"/>
  <c r="B1180" i="16"/>
  <c r="B1182" i="16"/>
  <c r="B1181" i="16"/>
  <c r="B1179" i="16"/>
  <c r="B1178" i="16"/>
  <c r="F201" i="15"/>
  <c r="M201" i="5"/>
  <c r="B1205" i="16"/>
  <c r="B1202" i="16"/>
  <c r="B1204" i="16"/>
  <c r="B1207" i="16"/>
  <c r="B1206" i="16"/>
  <c r="B1203" i="16"/>
  <c r="F1225" i="16"/>
  <c r="F1222" i="16"/>
  <c r="F1224" i="16"/>
  <c r="F1223" i="16"/>
  <c r="F1221" i="16"/>
  <c r="F1220" i="16"/>
  <c r="B1231" i="16"/>
  <c r="B1228" i="16"/>
  <c r="B1230" i="16"/>
  <c r="B1227" i="16"/>
  <c r="B1229" i="16"/>
  <c r="B1226" i="16"/>
  <c r="P207" i="5"/>
  <c r="F212" i="15"/>
  <c r="S212" i="5"/>
  <c r="E1273" i="16"/>
  <c r="E1271" i="16"/>
  <c r="E1268" i="16"/>
  <c r="E1269" i="16"/>
  <c r="E1272" i="16"/>
  <c r="E1270" i="16"/>
  <c r="D214" i="15"/>
  <c r="G214" i="5"/>
  <c r="P221" i="5"/>
  <c r="Q221" i="5" s="1"/>
  <c r="R221" i="5" s="1"/>
  <c r="S222" i="5"/>
  <c r="O225" i="5"/>
  <c r="P232" i="5"/>
  <c r="P233" i="5"/>
  <c r="M234" i="5"/>
  <c r="M235" i="5"/>
  <c r="M237" i="5"/>
  <c r="N237" i="5" s="1"/>
  <c r="O237" i="5" s="1"/>
  <c r="C1464" i="16"/>
  <c r="C1465" i="16"/>
  <c r="C1462" i="16"/>
  <c r="C1461" i="16"/>
  <c r="C1460" i="16"/>
  <c r="C1463" i="16"/>
  <c r="E1469" i="16"/>
  <c r="E1468" i="16"/>
  <c r="E1470" i="16"/>
  <c r="E1467" i="16"/>
  <c r="E1466" i="16"/>
  <c r="E1471" i="16"/>
  <c r="P249" i="5"/>
  <c r="E1517" i="16"/>
  <c r="E1514" i="16"/>
  <c r="E1516" i="16"/>
  <c r="E1515" i="16"/>
  <c r="E1519" i="16"/>
  <c r="E1518" i="16"/>
  <c r="B1539" i="16"/>
  <c r="B1541" i="16"/>
  <c r="B1543" i="16"/>
  <c r="B1542" i="16"/>
  <c r="B1540" i="16"/>
  <c r="B1538" i="16"/>
  <c r="E1574" i="16"/>
  <c r="E1575" i="16"/>
  <c r="E1578" i="16"/>
  <c r="E1577" i="16"/>
  <c r="E1579" i="16"/>
  <c r="E1576" i="16"/>
  <c r="D1596" i="16"/>
  <c r="D1592" i="16"/>
  <c r="D1595" i="16"/>
  <c r="D1594" i="16"/>
  <c r="D1597" i="16"/>
  <c r="D1593" i="16"/>
  <c r="Q269" i="5"/>
  <c r="R269" i="5" s="1"/>
  <c r="K272" i="5"/>
  <c r="G283" i="5"/>
  <c r="U295" i="5"/>
  <c r="H295" i="5"/>
  <c r="N295" i="5" s="1"/>
  <c r="O295" i="5" s="1"/>
  <c r="B1774" i="16"/>
  <c r="B1777" i="16"/>
  <c r="B1773" i="16"/>
  <c r="B1772" i="16"/>
  <c r="B1776" i="16"/>
  <c r="B1775" i="16"/>
  <c r="H327" i="5"/>
  <c r="C546" i="16"/>
  <c r="C545" i="16"/>
  <c r="C547" i="16"/>
  <c r="C542" i="16"/>
  <c r="C544" i="16"/>
  <c r="C543" i="16"/>
  <c r="D564" i="16"/>
  <c r="D561" i="16"/>
  <c r="D563" i="16"/>
  <c r="D562" i="16"/>
  <c r="D560" i="16"/>
  <c r="D565" i="16"/>
  <c r="E583" i="16"/>
  <c r="E580" i="16"/>
  <c r="E582" i="16"/>
  <c r="E578" i="16"/>
  <c r="E581" i="16"/>
  <c r="E579" i="16"/>
  <c r="F599" i="16"/>
  <c r="F601" i="16"/>
  <c r="F598" i="16"/>
  <c r="F596" i="16"/>
  <c r="F600" i="16"/>
  <c r="F597" i="16"/>
  <c r="B625" i="16"/>
  <c r="B624" i="16"/>
  <c r="B620" i="16"/>
  <c r="B622" i="16"/>
  <c r="B621" i="16"/>
  <c r="B623" i="16"/>
  <c r="C643" i="16"/>
  <c r="C640" i="16"/>
  <c r="C641" i="16"/>
  <c r="C639" i="16"/>
  <c r="C638" i="16"/>
  <c r="C642" i="16"/>
  <c r="D656" i="16"/>
  <c r="D659" i="16"/>
  <c r="D658" i="16"/>
  <c r="D661" i="16"/>
  <c r="D657" i="16"/>
  <c r="D660" i="16"/>
  <c r="E677" i="16"/>
  <c r="E676" i="16"/>
  <c r="E679" i="16"/>
  <c r="E675" i="16"/>
  <c r="E678" i="16"/>
  <c r="E674" i="16"/>
  <c r="F693" i="16"/>
  <c r="F697" i="16"/>
  <c r="F692" i="16"/>
  <c r="F695" i="16"/>
  <c r="F694" i="16"/>
  <c r="F696" i="16"/>
  <c r="B718" i="16"/>
  <c r="B716" i="16"/>
  <c r="B721" i="16"/>
  <c r="B720" i="16"/>
  <c r="B719" i="16"/>
  <c r="B717" i="16"/>
  <c r="C739" i="16"/>
  <c r="C738" i="16"/>
  <c r="C735" i="16"/>
  <c r="C734" i="16"/>
  <c r="C737" i="16"/>
  <c r="C736" i="16"/>
  <c r="D755" i="16"/>
  <c r="D756" i="16"/>
  <c r="D753" i="16"/>
  <c r="D752" i="16"/>
  <c r="D754" i="16"/>
  <c r="D757" i="16"/>
  <c r="E775" i="16"/>
  <c r="E772" i="16"/>
  <c r="E773" i="16"/>
  <c r="E770" i="16"/>
  <c r="E771" i="16"/>
  <c r="E774" i="16"/>
  <c r="F792" i="16"/>
  <c r="F793" i="16"/>
  <c r="F790" i="16"/>
  <c r="F789" i="16"/>
  <c r="F791" i="16"/>
  <c r="F788" i="16"/>
  <c r="B814" i="16"/>
  <c r="B812" i="16"/>
  <c r="B815" i="16"/>
  <c r="B817" i="16"/>
  <c r="B813" i="16"/>
  <c r="B816" i="16"/>
  <c r="C835" i="16"/>
  <c r="C832" i="16"/>
  <c r="C830" i="16"/>
  <c r="C833" i="16"/>
  <c r="C831" i="16"/>
  <c r="C834" i="16"/>
  <c r="D851" i="16"/>
  <c r="D850" i="16"/>
  <c r="D853" i="16"/>
  <c r="D849" i="16"/>
  <c r="D852" i="16"/>
  <c r="D848" i="16"/>
  <c r="E869" i="16"/>
  <c r="E866" i="16"/>
  <c r="E868" i="16"/>
  <c r="E871" i="16"/>
  <c r="E867" i="16"/>
  <c r="E870" i="16"/>
  <c r="F888" i="16"/>
  <c r="F886" i="16"/>
  <c r="F889" i="16"/>
  <c r="F885" i="16"/>
  <c r="F884" i="16"/>
  <c r="F887" i="16"/>
  <c r="B910" i="16"/>
  <c r="B908" i="16"/>
  <c r="B911" i="16"/>
  <c r="B913" i="16"/>
  <c r="B909" i="16"/>
  <c r="B912" i="16"/>
  <c r="C931" i="16"/>
  <c r="C928" i="16"/>
  <c r="C930" i="16"/>
  <c r="C926" i="16"/>
  <c r="C929" i="16"/>
  <c r="C927" i="16"/>
  <c r="D947" i="16"/>
  <c r="D946" i="16"/>
  <c r="D945" i="16"/>
  <c r="D949" i="16"/>
  <c r="D948" i="16"/>
  <c r="D944" i="16"/>
  <c r="E962" i="16"/>
  <c r="E966" i="16"/>
  <c r="E963" i="16"/>
  <c r="E965" i="16"/>
  <c r="E964" i="16"/>
  <c r="E967" i="16"/>
  <c r="F985" i="16"/>
  <c r="F982" i="16"/>
  <c r="F981" i="16"/>
  <c r="F980" i="16"/>
  <c r="F984" i="16"/>
  <c r="F983" i="16"/>
  <c r="B1008" i="16"/>
  <c r="B1005" i="16"/>
  <c r="B1004" i="16"/>
  <c r="B1009" i="16"/>
  <c r="B1007" i="16"/>
  <c r="B1006" i="16"/>
  <c r="C1026" i="16"/>
  <c r="C1022" i="16"/>
  <c r="C1025" i="16"/>
  <c r="C1027" i="16"/>
  <c r="C1024" i="16"/>
  <c r="C1023" i="16"/>
  <c r="D1045" i="16"/>
  <c r="D1042" i="16"/>
  <c r="D1040" i="16"/>
  <c r="D1043" i="16"/>
  <c r="D1044" i="16"/>
  <c r="D1041" i="16"/>
  <c r="E1058" i="16"/>
  <c r="E1063" i="16"/>
  <c r="E1059" i="16"/>
  <c r="E1062" i="16"/>
  <c r="E1061" i="16"/>
  <c r="E1060" i="16"/>
  <c r="F1079" i="16"/>
  <c r="F1078" i="16"/>
  <c r="F1081" i="16"/>
  <c r="F1077" i="16"/>
  <c r="F1076" i="16"/>
  <c r="F1080" i="16"/>
  <c r="B1104" i="16"/>
  <c r="B1101" i="16"/>
  <c r="B1102" i="16"/>
  <c r="B1105" i="16"/>
  <c r="B1100" i="16"/>
  <c r="B1103" i="16"/>
  <c r="C1122" i="16"/>
  <c r="C1121" i="16"/>
  <c r="C1120" i="16"/>
  <c r="C1119" i="16"/>
  <c r="C1123" i="16"/>
  <c r="C1118" i="16"/>
  <c r="D1141" i="16"/>
  <c r="D1138" i="16"/>
  <c r="D1137" i="16"/>
  <c r="D1136" i="16"/>
  <c r="D1140" i="16"/>
  <c r="D1139" i="16"/>
  <c r="E1158" i="16"/>
  <c r="E1154" i="16"/>
  <c r="E1159" i="16"/>
  <c r="E1156" i="16"/>
  <c r="E1157" i="16"/>
  <c r="E1155" i="16"/>
  <c r="G197" i="5"/>
  <c r="C1180" i="16"/>
  <c r="C1182" i="16"/>
  <c r="C1179" i="16"/>
  <c r="C1183" i="16"/>
  <c r="C1181" i="16"/>
  <c r="C1178" i="16"/>
  <c r="G201" i="5"/>
  <c r="C1205" i="16"/>
  <c r="C1202" i="16"/>
  <c r="C1207" i="16"/>
  <c r="C1206" i="16"/>
  <c r="C1204" i="16"/>
  <c r="C1203" i="16"/>
  <c r="P203" i="5"/>
  <c r="Q203" i="5" s="1"/>
  <c r="R203" i="5" s="1"/>
  <c r="G205" i="5"/>
  <c r="G212" i="5"/>
  <c r="F213" i="15"/>
  <c r="M213" i="5"/>
  <c r="E1277" i="16"/>
  <c r="E1274" i="16"/>
  <c r="E1276" i="16"/>
  <c r="E1279" i="16"/>
  <c r="E1275" i="16"/>
  <c r="E1278" i="16"/>
  <c r="D1284" i="16"/>
  <c r="D1283" i="16"/>
  <c r="D1280" i="16"/>
  <c r="D1285" i="16"/>
  <c r="D1281" i="16"/>
  <c r="D1282" i="16"/>
  <c r="B1287" i="16"/>
  <c r="B1290" i="16"/>
  <c r="B1289" i="16"/>
  <c r="B1288" i="16"/>
  <c r="B1291" i="16"/>
  <c r="B1286" i="16"/>
  <c r="D1461" i="16"/>
  <c r="D1462" i="16"/>
  <c r="D1460" i="16"/>
  <c r="D1465" i="16"/>
  <c r="D1464" i="16"/>
  <c r="D1463" i="16"/>
  <c r="H247" i="5"/>
  <c r="T247" i="5" s="1"/>
  <c r="U247" i="5" s="1"/>
  <c r="F254" i="15"/>
  <c r="P254" i="5"/>
  <c r="Q254" i="5" s="1"/>
  <c r="M254" i="5"/>
  <c r="N254" i="5" s="1"/>
  <c r="Q256" i="5"/>
  <c r="R256" i="5" s="1"/>
  <c r="C1539" i="16"/>
  <c r="C1540" i="16"/>
  <c r="C1541" i="16"/>
  <c r="C1542" i="16"/>
  <c r="C1538" i="16"/>
  <c r="C1543" i="16"/>
  <c r="F264" i="15"/>
  <c r="S264" i="5"/>
  <c r="T264" i="5" s="1"/>
  <c r="P264" i="5"/>
  <c r="Q264" i="5" s="1"/>
  <c r="M264" i="5"/>
  <c r="N264" i="5" s="1"/>
  <c r="O264" i="5" s="1"/>
  <c r="E1597" i="16"/>
  <c r="E1592" i="16"/>
  <c r="E1595" i="16"/>
  <c r="E1594" i="16"/>
  <c r="E1596" i="16"/>
  <c r="E1593" i="16"/>
  <c r="T269" i="5"/>
  <c r="U269" i="5" s="1"/>
  <c r="B1638" i="16"/>
  <c r="B1635" i="16"/>
  <c r="B1639" i="16"/>
  <c r="B1634" i="16"/>
  <c r="B1637" i="16"/>
  <c r="B1636" i="16"/>
  <c r="H286" i="5"/>
  <c r="F289" i="15"/>
  <c r="S289" i="5"/>
  <c r="T289" i="5" s="1"/>
  <c r="P289" i="5"/>
  <c r="Q289" i="5" s="1"/>
  <c r="R289" i="5" s="1"/>
  <c r="M289" i="5"/>
  <c r="N289" i="5" s="1"/>
  <c r="O289" i="5" s="1"/>
  <c r="G292" i="5"/>
  <c r="C1777" i="16"/>
  <c r="C1774" i="16"/>
  <c r="C1772" i="16"/>
  <c r="C1773" i="16"/>
  <c r="C1776" i="16"/>
  <c r="C1775" i="16"/>
  <c r="K325" i="5"/>
  <c r="D835" i="16"/>
  <c r="D833" i="16"/>
  <c r="D832" i="16"/>
  <c r="D831" i="16"/>
  <c r="D834" i="16"/>
  <c r="D830" i="16"/>
  <c r="E848" i="16"/>
  <c r="E853" i="16"/>
  <c r="E850" i="16"/>
  <c r="E851" i="16"/>
  <c r="E849" i="16"/>
  <c r="E852" i="16"/>
  <c r="F868" i="16"/>
  <c r="F871" i="16"/>
  <c r="F867" i="16"/>
  <c r="F870" i="16"/>
  <c r="F866" i="16"/>
  <c r="F869" i="16"/>
  <c r="B894" i="16"/>
  <c r="B890" i="16"/>
  <c r="B893" i="16"/>
  <c r="B892" i="16"/>
  <c r="B895" i="16"/>
  <c r="B891" i="16"/>
  <c r="C912" i="16"/>
  <c r="C909" i="16"/>
  <c r="C908" i="16"/>
  <c r="C911" i="16"/>
  <c r="C910" i="16"/>
  <c r="C913" i="16"/>
  <c r="D931" i="16"/>
  <c r="D930" i="16"/>
  <c r="D926" i="16"/>
  <c r="D929" i="16"/>
  <c r="D928" i="16"/>
  <c r="D927" i="16"/>
  <c r="E944" i="16"/>
  <c r="E949" i="16"/>
  <c r="E946" i="16"/>
  <c r="E948" i="16"/>
  <c r="E947" i="16"/>
  <c r="E945" i="16"/>
  <c r="F962" i="16"/>
  <c r="F965" i="16"/>
  <c r="F964" i="16"/>
  <c r="F963" i="16"/>
  <c r="F967" i="16"/>
  <c r="F966" i="16"/>
  <c r="M164" i="5"/>
  <c r="B991" i="16"/>
  <c r="B986" i="16"/>
  <c r="B990" i="16"/>
  <c r="B989" i="16"/>
  <c r="B988" i="16"/>
  <c r="B987" i="16"/>
  <c r="C1005" i="16"/>
  <c r="C1008" i="16"/>
  <c r="C1004" i="16"/>
  <c r="C1007" i="16"/>
  <c r="C1009" i="16"/>
  <c r="C1006" i="16"/>
  <c r="D1026" i="16"/>
  <c r="D1022" i="16"/>
  <c r="D1025" i="16"/>
  <c r="D1024" i="16"/>
  <c r="D1027" i="16"/>
  <c r="D1023" i="16"/>
  <c r="E1042" i="16"/>
  <c r="E1040" i="16"/>
  <c r="E1043" i="16"/>
  <c r="E1045" i="16"/>
  <c r="E1044" i="16"/>
  <c r="E1041" i="16"/>
  <c r="F1058" i="16"/>
  <c r="F1063" i="16"/>
  <c r="F1059" i="16"/>
  <c r="F1062" i="16"/>
  <c r="F1061" i="16"/>
  <c r="F1060" i="16"/>
  <c r="M180" i="5"/>
  <c r="B1085" i="16"/>
  <c r="B1083" i="16"/>
  <c r="B1082" i="16"/>
  <c r="B1086" i="16"/>
  <c r="B1084" i="16"/>
  <c r="B1087" i="16"/>
  <c r="C1101" i="16"/>
  <c r="C1100" i="16"/>
  <c r="C1102" i="16"/>
  <c r="C1105" i="16"/>
  <c r="C1104" i="16"/>
  <c r="C1103" i="16"/>
  <c r="D1122" i="16"/>
  <c r="D1121" i="16"/>
  <c r="D1120" i="16"/>
  <c r="D1119" i="16"/>
  <c r="D1123" i="16"/>
  <c r="D1118" i="16"/>
  <c r="E1138" i="16"/>
  <c r="E1137" i="16"/>
  <c r="E1141" i="16"/>
  <c r="E1136" i="16"/>
  <c r="E1140" i="16"/>
  <c r="E1139" i="16"/>
  <c r="F1154" i="16"/>
  <c r="F1159" i="16"/>
  <c r="F1156" i="16"/>
  <c r="F1158" i="16"/>
  <c r="F1157" i="16"/>
  <c r="F1155" i="16"/>
  <c r="M196" i="5"/>
  <c r="D1182" i="16"/>
  <c r="D1179" i="16"/>
  <c r="D1183" i="16"/>
  <c r="D1181" i="16"/>
  <c r="D1180" i="16"/>
  <c r="D1178" i="16"/>
  <c r="M200" i="5"/>
  <c r="D202" i="15"/>
  <c r="G202" i="5"/>
  <c r="M204" i="5"/>
  <c r="D1231" i="16"/>
  <c r="D1228" i="16"/>
  <c r="D1230" i="16"/>
  <c r="D1229" i="16"/>
  <c r="D1226" i="16"/>
  <c r="D1227" i="16"/>
  <c r="G213" i="5"/>
  <c r="E1281" i="16"/>
  <c r="E1283" i="16"/>
  <c r="E1280" i="16"/>
  <c r="E1285" i="16"/>
  <c r="E1282" i="16"/>
  <c r="E1284" i="16"/>
  <c r="C1289" i="16"/>
  <c r="C1286" i="16"/>
  <c r="C1290" i="16"/>
  <c r="C1291" i="16"/>
  <c r="C1287" i="16"/>
  <c r="C1288" i="16"/>
  <c r="B1295" i="16"/>
  <c r="B1297" i="16"/>
  <c r="B1293" i="16"/>
  <c r="B1296" i="16"/>
  <c r="B1294" i="16"/>
  <c r="B1292" i="16"/>
  <c r="S221" i="5"/>
  <c r="T221" i="5" s="1"/>
  <c r="U221" i="5" s="1"/>
  <c r="S232" i="5"/>
  <c r="S239" i="5"/>
  <c r="E1464" i="16"/>
  <c r="E1461" i="16"/>
  <c r="E1462" i="16"/>
  <c r="E1465" i="16"/>
  <c r="E1460" i="16"/>
  <c r="E1463" i="16"/>
  <c r="B1507" i="16"/>
  <c r="B1502" i="16"/>
  <c r="B1505" i="16"/>
  <c r="B1504" i="16"/>
  <c r="B1503" i="16"/>
  <c r="B1506" i="16"/>
  <c r="U254" i="5"/>
  <c r="R254" i="5"/>
  <c r="O254" i="5"/>
  <c r="D258" i="15"/>
  <c r="G258" i="5"/>
  <c r="E1569" i="16"/>
  <c r="E1571" i="16"/>
  <c r="E1573" i="16"/>
  <c r="E1568" i="16"/>
  <c r="E1572" i="16"/>
  <c r="E1570" i="16"/>
  <c r="R264" i="5"/>
  <c r="H264" i="5"/>
  <c r="F267" i="15"/>
  <c r="S267" i="5"/>
  <c r="T267" i="5" s="1"/>
  <c r="U267" i="5" s="1"/>
  <c r="P267" i="5"/>
  <c r="Q267" i="5" s="1"/>
  <c r="R267" i="5" s="1"/>
  <c r="M267" i="5"/>
  <c r="B1615" i="16"/>
  <c r="B1612" i="16"/>
  <c r="B1610" i="16"/>
  <c r="B1613" i="16"/>
  <c r="B1611" i="16"/>
  <c r="B1614" i="16"/>
  <c r="C1639" i="16"/>
  <c r="C1638" i="16"/>
  <c r="C1635" i="16"/>
  <c r="C1634" i="16"/>
  <c r="C1637" i="16"/>
  <c r="C1636" i="16"/>
  <c r="S286" i="5"/>
  <c r="T286" i="5" s="1"/>
  <c r="U286" i="5" s="1"/>
  <c r="U289" i="5"/>
  <c r="D297" i="15"/>
  <c r="G297" i="5"/>
  <c r="D1812" i="16"/>
  <c r="D1809" i="16"/>
  <c r="D1808" i="16"/>
  <c r="D1811" i="16"/>
  <c r="D1810" i="16"/>
  <c r="D1813" i="16"/>
  <c r="I309" i="5"/>
  <c r="F1138" i="16"/>
  <c r="F1140" i="16"/>
  <c r="F1137" i="16"/>
  <c r="F1141" i="16"/>
  <c r="F1136" i="16"/>
  <c r="F1139" i="16"/>
  <c r="B1163" i="16"/>
  <c r="B1160" i="16"/>
  <c r="B1165" i="16"/>
  <c r="B1164" i="16"/>
  <c r="B1162" i="16"/>
  <c r="B1161" i="16"/>
  <c r="E1182" i="16"/>
  <c r="E1179" i="16"/>
  <c r="E1181" i="16"/>
  <c r="E1180" i="16"/>
  <c r="E1178" i="16"/>
  <c r="E1183" i="16"/>
  <c r="E1206" i="16"/>
  <c r="E1205" i="16"/>
  <c r="E1202" i="16"/>
  <c r="E1204" i="16"/>
  <c r="E1207" i="16"/>
  <c r="E1203" i="16"/>
  <c r="E1230" i="16"/>
  <c r="E1228" i="16"/>
  <c r="E1227" i="16"/>
  <c r="E1229" i="16"/>
  <c r="E1226" i="16"/>
  <c r="E1231" i="16"/>
  <c r="S207" i="5"/>
  <c r="D1289" i="16"/>
  <c r="D1286" i="16"/>
  <c r="D1288" i="16"/>
  <c r="D1291" i="16"/>
  <c r="D1287" i="16"/>
  <c r="D1290" i="16"/>
  <c r="C1292" i="16"/>
  <c r="C1295" i="16"/>
  <c r="C1297" i="16"/>
  <c r="C1293" i="16"/>
  <c r="C1296" i="16"/>
  <c r="C1294" i="16"/>
  <c r="S233" i="5"/>
  <c r="P234" i="5"/>
  <c r="P237" i="5"/>
  <c r="Q237" i="5" s="1"/>
  <c r="R237" i="5" s="1"/>
  <c r="S238" i="5"/>
  <c r="D1458" i="16"/>
  <c r="D1455" i="16"/>
  <c r="D1457" i="16"/>
  <c r="D1456" i="16"/>
  <c r="D1454" i="16"/>
  <c r="D1459" i="16"/>
  <c r="F245" i="15"/>
  <c r="M245" i="5"/>
  <c r="S248" i="5"/>
  <c r="S249" i="5"/>
  <c r="C1507" i="16"/>
  <c r="C1504" i="16"/>
  <c r="C1505" i="16"/>
  <c r="C1502" i="16"/>
  <c r="C1506" i="16"/>
  <c r="C1503" i="16"/>
  <c r="J254" i="5"/>
  <c r="E1541" i="16"/>
  <c r="E1540" i="16"/>
  <c r="E1543" i="16"/>
  <c r="E1539" i="16"/>
  <c r="E1538" i="16"/>
  <c r="E1542" i="16"/>
  <c r="D274" i="15"/>
  <c r="G274" i="5"/>
  <c r="H279" i="15"/>
  <c r="H1665" i="16" s="1"/>
  <c r="G279" i="15"/>
  <c r="H1664" i="16" s="1"/>
  <c r="F282" i="15"/>
  <c r="S282" i="5"/>
  <c r="T282" i="5" s="1"/>
  <c r="P282" i="5"/>
  <c r="Q282" i="5" s="1"/>
  <c r="R282" i="5" s="1"/>
  <c r="V289" i="5"/>
  <c r="W289" i="5" s="1"/>
  <c r="K289" i="5"/>
  <c r="J289" i="5"/>
  <c r="E1774" i="16"/>
  <c r="E1772" i="16"/>
  <c r="E1775" i="16"/>
  <c r="E1773" i="16"/>
  <c r="E1777" i="16"/>
  <c r="E1776" i="16"/>
  <c r="E1812" i="16"/>
  <c r="E1809" i="16"/>
  <c r="E1811" i="16"/>
  <c r="E1813" i="16"/>
  <c r="E1808" i="16"/>
  <c r="E1810" i="16"/>
  <c r="I309" i="15"/>
  <c r="H1846" i="16" s="1"/>
  <c r="E1860" i="16"/>
  <c r="E1857" i="16"/>
  <c r="E1859" i="16"/>
  <c r="E1861" i="16"/>
  <c r="E1856" i="16"/>
  <c r="E1858" i="16"/>
  <c r="B1991" i="16"/>
  <c r="B1988" i="16"/>
  <c r="B1990" i="16"/>
  <c r="B1993" i="16"/>
  <c r="B1992" i="16"/>
  <c r="B1989" i="16"/>
  <c r="E527" i="16"/>
  <c r="E526" i="16"/>
  <c r="E529" i="16"/>
  <c r="E528" i="16"/>
  <c r="E525" i="16"/>
  <c r="E524" i="16"/>
  <c r="F545" i="16"/>
  <c r="F542" i="16"/>
  <c r="F547" i="16"/>
  <c r="F544" i="16"/>
  <c r="F546" i="16"/>
  <c r="F543" i="16"/>
  <c r="G95" i="5"/>
  <c r="B567" i="16"/>
  <c r="B569" i="16"/>
  <c r="B566" i="16"/>
  <c r="B568" i="16"/>
  <c r="B571" i="16"/>
  <c r="B570" i="16"/>
  <c r="C586" i="16"/>
  <c r="C588" i="16"/>
  <c r="C585" i="16"/>
  <c r="C589" i="16"/>
  <c r="C587" i="16"/>
  <c r="C584" i="16"/>
  <c r="D606" i="16"/>
  <c r="D605" i="16"/>
  <c r="D602" i="16"/>
  <c r="D607" i="16"/>
  <c r="D604" i="16"/>
  <c r="D603" i="16"/>
  <c r="E624" i="16"/>
  <c r="E620" i="16"/>
  <c r="E623" i="16"/>
  <c r="E622" i="16"/>
  <c r="E621" i="16"/>
  <c r="E625" i="16"/>
  <c r="F643" i="16"/>
  <c r="F640" i="16"/>
  <c r="F639" i="16"/>
  <c r="F642" i="16"/>
  <c r="F641" i="16"/>
  <c r="F638" i="16"/>
  <c r="G111" i="5"/>
  <c r="B665" i="16"/>
  <c r="B667" i="16"/>
  <c r="B662" i="16"/>
  <c r="B664" i="16"/>
  <c r="B663" i="16"/>
  <c r="B666" i="16"/>
  <c r="C683" i="16"/>
  <c r="C680" i="16"/>
  <c r="C684" i="16"/>
  <c r="C685" i="16"/>
  <c r="C682" i="16"/>
  <c r="C681" i="16"/>
  <c r="D702" i="16"/>
  <c r="D700" i="16"/>
  <c r="D703" i="16"/>
  <c r="D701" i="16"/>
  <c r="D699" i="16"/>
  <c r="D698" i="16"/>
  <c r="E717" i="16"/>
  <c r="E716" i="16"/>
  <c r="E719" i="16"/>
  <c r="E721" i="16"/>
  <c r="E720" i="16"/>
  <c r="E718" i="16"/>
  <c r="F736" i="16"/>
  <c r="F737" i="16"/>
  <c r="F734" i="16"/>
  <c r="F738" i="16"/>
  <c r="F739" i="16"/>
  <c r="F735" i="16"/>
  <c r="G127" i="5"/>
  <c r="B758" i="16"/>
  <c r="B762" i="16"/>
  <c r="B759" i="16"/>
  <c r="B761" i="16"/>
  <c r="B760" i="16"/>
  <c r="B763" i="16"/>
  <c r="C779" i="16"/>
  <c r="C780" i="16"/>
  <c r="C777" i="16"/>
  <c r="C778" i="16"/>
  <c r="C781" i="16"/>
  <c r="C776" i="16"/>
  <c r="D795" i="16"/>
  <c r="D799" i="16"/>
  <c r="D796" i="16"/>
  <c r="D798" i="16"/>
  <c r="D797" i="16"/>
  <c r="D794" i="16"/>
  <c r="E816" i="16"/>
  <c r="E813" i="16"/>
  <c r="E815" i="16"/>
  <c r="E817" i="16"/>
  <c r="E814" i="16"/>
  <c r="E812" i="16"/>
  <c r="F832" i="16"/>
  <c r="F835" i="16"/>
  <c r="F831" i="16"/>
  <c r="F834" i="16"/>
  <c r="F830" i="16"/>
  <c r="F833" i="16"/>
  <c r="G143" i="5"/>
  <c r="B854" i="16"/>
  <c r="B858" i="16"/>
  <c r="B857" i="16"/>
  <c r="B856" i="16"/>
  <c r="B859" i="16"/>
  <c r="B855" i="16"/>
  <c r="C875" i="16"/>
  <c r="C872" i="16"/>
  <c r="C877" i="16"/>
  <c r="C876" i="16"/>
  <c r="C874" i="16"/>
  <c r="C873" i="16"/>
  <c r="D891" i="16"/>
  <c r="D893" i="16"/>
  <c r="D892" i="16"/>
  <c r="D895" i="16"/>
  <c r="D894" i="16"/>
  <c r="D890" i="16"/>
  <c r="E912" i="16"/>
  <c r="E909" i="16"/>
  <c r="E911" i="16"/>
  <c r="E910" i="16"/>
  <c r="E913" i="16"/>
  <c r="E908" i="16"/>
  <c r="F928" i="16"/>
  <c r="F930" i="16"/>
  <c r="F926" i="16"/>
  <c r="F929" i="16"/>
  <c r="F931" i="16"/>
  <c r="F927" i="16"/>
  <c r="G159" i="5"/>
  <c r="B950" i="16"/>
  <c r="B951" i="16"/>
  <c r="B955" i="16"/>
  <c r="B954" i="16"/>
  <c r="B953" i="16"/>
  <c r="B952" i="16"/>
  <c r="C973" i="16"/>
  <c r="C970" i="16"/>
  <c r="C972" i="16"/>
  <c r="C969" i="16"/>
  <c r="C968" i="16"/>
  <c r="C971" i="16"/>
  <c r="D989" i="16"/>
  <c r="D991" i="16"/>
  <c r="D988" i="16"/>
  <c r="D990" i="16"/>
  <c r="D987" i="16"/>
  <c r="D986" i="16"/>
  <c r="E1007" i="16"/>
  <c r="E1008" i="16"/>
  <c r="E1004" i="16"/>
  <c r="E1006" i="16"/>
  <c r="E1009" i="16"/>
  <c r="E1005" i="16"/>
  <c r="F1026" i="16"/>
  <c r="F1023" i="16"/>
  <c r="F1022" i="16"/>
  <c r="F1025" i="16"/>
  <c r="F1024" i="16"/>
  <c r="F1027" i="16"/>
  <c r="G175" i="5"/>
  <c r="B1048" i="16"/>
  <c r="B1047" i="16"/>
  <c r="B1051" i="16"/>
  <c r="B1050" i="16"/>
  <c r="B1046" i="16"/>
  <c r="B1049" i="16"/>
  <c r="C1069" i="16"/>
  <c r="C1066" i="16"/>
  <c r="C1068" i="16"/>
  <c r="C1067" i="16"/>
  <c r="C1065" i="16"/>
  <c r="C1064" i="16"/>
  <c r="D1085" i="16"/>
  <c r="D1082" i="16"/>
  <c r="D1086" i="16"/>
  <c r="D1084" i="16"/>
  <c r="D1083" i="16"/>
  <c r="D1087" i="16"/>
  <c r="E1103" i="16"/>
  <c r="E1105" i="16"/>
  <c r="E1101" i="16"/>
  <c r="E1100" i="16"/>
  <c r="E1104" i="16"/>
  <c r="E1102" i="16"/>
  <c r="F1122" i="16"/>
  <c r="F1119" i="16"/>
  <c r="F1121" i="16"/>
  <c r="F1120" i="16"/>
  <c r="F1123" i="16"/>
  <c r="F1118" i="16"/>
  <c r="M190" i="5"/>
  <c r="G191" i="5"/>
  <c r="B1144" i="16"/>
  <c r="B1146" i="16"/>
  <c r="B1143" i="16"/>
  <c r="B1147" i="16"/>
  <c r="B1145" i="16"/>
  <c r="B1142" i="16"/>
  <c r="C1161" i="16"/>
  <c r="C1160" i="16"/>
  <c r="C1165" i="16"/>
  <c r="C1162" i="16"/>
  <c r="C1164" i="16"/>
  <c r="C1163" i="16"/>
  <c r="F1182" i="16"/>
  <c r="F1179" i="16"/>
  <c r="F1181" i="16"/>
  <c r="F1178" i="16"/>
  <c r="F1180" i="16"/>
  <c r="F1183" i="16"/>
  <c r="B1188" i="16"/>
  <c r="B1185" i="16"/>
  <c r="B1189" i="16"/>
  <c r="B1187" i="16"/>
  <c r="B1186" i="16"/>
  <c r="B1184" i="16"/>
  <c r="F1205" i="16"/>
  <c r="F1202" i="16"/>
  <c r="F1207" i="16"/>
  <c r="F1206" i="16"/>
  <c r="F1204" i="16"/>
  <c r="F1203" i="16"/>
  <c r="P204" i="5"/>
  <c r="F1230" i="16"/>
  <c r="F1227" i="16"/>
  <c r="F1229" i="16"/>
  <c r="F1226" i="16"/>
  <c r="F1228" i="16"/>
  <c r="F1231" i="16"/>
  <c r="B1237" i="16"/>
  <c r="B1234" i="16"/>
  <c r="B1235" i="16"/>
  <c r="B1236" i="16"/>
  <c r="B1233" i="16"/>
  <c r="B1232" i="16"/>
  <c r="G215" i="5"/>
  <c r="E1289" i="16"/>
  <c r="E1286" i="16"/>
  <c r="E1288" i="16"/>
  <c r="E1291" i="16"/>
  <c r="E1287" i="16"/>
  <c r="E1290" i="16"/>
  <c r="D217" i="15"/>
  <c r="G217" i="5"/>
  <c r="C1300" i="16"/>
  <c r="C1301" i="16"/>
  <c r="C1298" i="16"/>
  <c r="C1302" i="16"/>
  <c r="C1303" i="16"/>
  <c r="C1299" i="16"/>
  <c r="B1311" i="16"/>
  <c r="B1314" i="16"/>
  <c r="B1313" i="16"/>
  <c r="B1312" i="16"/>
  <c r="B1315" i="16"/>
  <c r="B1310" i="16"/>
  <c r="B1319" i="16"/>
  <c r="B1320" i="16"/>
  <c r="B1317" i="16"/>
  <c r="B1318" i="16"/>
  <c r="B1321" i="16"/>
  <c r="B1316" i="16"/>
  <c r="B1327" i="16"/>
  <c r="B1326" i="16"/>
  <c r="B1323" i="16"/>
  <c r="B1325" i="16"/>
  <c r="B1322" i="16"/>
  <c r="B1324" i="16"/>
  <c r="B1332" i="16"/>
  <c r="B1329" i="16"/>
  <c r="B1331" i="16"/>
  <c r="B1328" i="16"/>
  <c r="B1333" i="16"/>
  <c r="B1330" i="16"/>
  <c r="B1445" i="16"/>
  <c r="B1442" i="16"/>
  <c r="B1447" i="16"/>
  <c r="B1446" i="16"/>
  <c r="B1444" i="16"/>
  <c r="B1443" i="16"/>
  <c r="D243" i="15"/>
  <c r="G243" i="5"/>
  <c r="E1456" i="16"/>
  <c r="E1458" i="16"/>
  <c r="E1455" i="16"/>
  <c r="E1457" i="16"/>
  <c r="E1454" i="16"/>
  <c r="E1459" i="16"/>
  <c r="G245" i="5"/>
  <c r="D1504" i="16"/>
  <c r="D1503" i="16"/>
  <c r="D1502" i="16"/>
  <c r="D1507" i="16"/>
  <c r="D1506" i="16"/>
  <c r="D1505" i="16"/>
  <c r="H253" i="5"/>
  <c r="I254" i="5"/>
  <c r="E1566" i="16"/>
  <c r="E1563" i="16"/>
  <c r="E1564" i="16"/>
  <c r="E1567" i="16"/>
  <c r="E1565" i="16"/>
  <c r="E1562" i="16"/>
  <c r="U263" i="5"/>
  <c r="H267" i="5"/>
  <c r="Q272" i="5"/>
  <c r="R272" i="5" s="1"/>
  <c r="E1638" i="16"/>
  <c r="E1634" i="16"/>
  <c r="E1637" i="16"/>
  <c r="E1635" i="16"/>
  <c r="E1639" i="16"/>
  <c r="E1636" i="16"/>
  <c r="B1656" i="16"/>
  <c r="B1653" i="16"/>
  <c r="B1657" i="16"/>
  <c r="B1654" i="16"/>
  <c r="B1652" i="16"/>
  <c r="B1655" i="16"/>
  <c r="J279" i="5"/>
  <c r="B1679" i="16"/>
  <c r="B1676" i="16"/>
  <c r="B1681" i="16"/>
  <c r="B1677" i="16"/>
  <c r="B1680" i="16"/>
  <c r="B1678" i="16"/>
  <c r="U282" i="5"/>
  <c r="H285" i="5"/>
  <c r="I289" i="5"/>
  <c r="F303" i="15"/>
  <c r="M303" i="5"/>
  <c r="S303" i="5"/>
  <c r="P303" i="5"/>
  <c r="K309" i="5"/>
  <c r="F311" i="15"/>
  <c r="S311" i="5"/>
  <c r="P311" i="5"/>
  <c r="M311" i="5"/>
  <c r="H318" i="5"/>
  <c r="E1961" i="16"/>
  <c r="E1958" i="16"/>
  <c r="E1963" i="16"/>
  <c r="E1959" i="16"/>
  <c r="E1962" i="16"/>
  <c r="E1960" i="16"/>
  <c r="F529" i="16"/>
  <c r="F528" i="16"/>
  <c r="F525" i="16"/>
  <c r="F524" i="16"/>
  <c r="F527" i="16"/>
  <c r="F526" i="16"/>
  <c r="B551" i="16"/>
  <c r="B548" i="16"/>
  <c r="B553" i="16"/>
  <c r="B550" i="16"/>
  <c r="B552" i="16"/>
  <c r="B549" i="16"/>
  <c r="C570" i="16"/>
  <c r="C567" i="16"/>
  <c r="C569" i="16"/>
  <c r="C566" i="16"/>
  <c r="C571" i="16"/>
  <c r="C568" i="16"/>
  <c r="D588" i="16"/>
  <c r="D585" i="16"/>
  <c r="D587" i="16"/>
  <c r="D584" i="16"/>
  <c r="D589" i="16"/>
  <c r="D586" i="16"/>
  <c r="E607" i="16"/>
  <c r="E604" i="16"/>
  <c r="E606" i="16"/>
  <c r="E605" i="16"/>
  <c r="E603" i="16"/>
  <c r="E602" i="16"/>
  <c r="F621" i="16"/>
  <c r="F624" i="16"/>
  <c r="F620" i="16"/>
  <c r="F623" i="16"/>
  <c r="F622" i="16"/>
  <c r="F625" i="16"/>
  <c r="M107" i="5"/>
  <c r="B649" i="16"/>
  <c r="B644" i="16"/>
  <c r="B647" i="16"/>
  <c r="B648" i="16"/>
  <c r="B646" i="16"/>
  <c r="B645" i="16"/>
  <c r="C667" i="16"/>
  <c r="C664" i="16"/>
  <c r="C666" i="16"/>
  <c r="C662" i="16"/>
  <c r="C665" i="16"/>
  <c r="C663" i="16"/>
  <c r="D680" i="16"/>
  <c r="D683" i="16"/>
  <c r="D682" i="16"/>
  <c r="D685" i="16"/>
  <c r="D684" i="16"/>
  <c r="D681" i="16"/>
  <c r="E701" i="16"/>
  <c r="E700" i="16"/>
  <c r="E703" i="16"/>
  <c r="E702" i="16"/>
  <c r="E699" i="16"/>
  <c r="E698" i="16"/>
  <c r="F720" i="16"/>
  <c r="F721" i="16"/>
  <c r="F719" i="16"/>
  <c r="F718" i="16"/>
  <c r="F717" i="16"/>
  <c r="F716" i="16"/>
  <c r="M123" i="5"/>
  <c r="B742" i="16"/>
  <c r="B744" i="16"/>
  <c r="B741" i="16"/>
  <c r="B745" i="16"/>
  <c r="B743" i="16"/>
  <c r="B740" i="16"/>
  <c r="C763" i="16"/>
  <c r="C760" i="16"/>
  <c r="C761" i="16"/>
  <c r="C759" i="16"/>
  <c r="C762" i="16"/>
  <c r="C758" i="16"/>
  <c r="D779" i="16"/>
  <c r="D780" i="16"/>
  <c r="D777" i="16"/>
  <c r="D781" i="16"/>
  <c r="D778" i="16"/>
  <c r="D776" i="16"/>
  <c r="E799" i="16"/>
  <c r="E796" i="16"/>
  <c r="E798" i="16"/>
  <c r="E795" i="16"/>
  <c r="E797" i="16"/>
  <c r="E794" i="16"/>
  <c r="F816" i="16"/>
  <c r="F814" i="16"/>
  <c r="F817" i="16"/>
  <c r="F813" i="16"/>
  <c r="F812" i="16"/>
  <c r="F815" i="16"/>
  <c r="M139" i="5"/>
  <c r="G140" i="5"/>
  <c r="B838" i="16"/>
  <c r="B840" i="16"/>
  <c r="B836" i="16"/>
  <c r="B839" i="16"/>
  <c r="B841" i="16"/>
  <c r="B837" i="16"/>
  <c r="C859" i="16"/>
  <c r="C856" i="16"/>
  <c r="C858" i="16"/>
  <c r="C854" i="16"/>
  <c r="C857" i="16"/>
  <c r="C855" i="16"/>
  <c r="D875" i="16"/>
  <c r="D872" i="16"/>
  <c r="D874" i="16"/>
  <c r="D877" i="16"/>
  <c r="D876" i="16"/>
  <c r="D873" i="16"/>
  <c r="E893" i="16"/>
  <c r="E890" i="16"/>
  <c r="E892" i="16"/>
  <c r="E895" i="16"/>
  <c r="E891" i="16"/>
  <c r="E894" i="16"/>
  <c r="F912" i="16"/>
  <c r="F910" i="16"/>
  <c r="F913" i="16"/>
  <c r="F909" i="16"/>
  <c r="F911" i="16"/>
  <c r="F908" i="16"/>
  <c r="M155" i="5"/>
  <c r="G156" i="5"/>
  <c r="B934" i="16"/>
  <c r="B933" i="16"/>
  <c r="B937" i="16"/>
  <c r="B936" i="16"/>
  <c r="B932" i="16"/>
  <c r="B935" i="16"/>
  <c r="C955" i="16"/>
  <c r="C952" i="16"/>
  <c r="C954" i="16"/>
  <c r="C951" i="16"/>
  <c r="C950" i="16"/>
  <c r="C953" i="16"/>
  <c r="D973" i="16"/>
  <c r="D970" i="16"/>
  <c r="D969" i="16"/>
  <c r="D968" i="16"/>
  <c r="D972" i="16"/>
  <c r="D971" i="16"/>
  <c r="P164" i="5"/>
  <c r="E986" i="16"/>
  <c r="E991" i="16"/>
  <c r="E988" i="16"/>
  <c r="E990" i="16"/>
  <c r="E987" i="16"/>
  <c r="E989" i="16"/>
  <c r="F1007" i="16"/>
  <c r="F1008" i="16"/>
  <c r="F1004" i="16"/>
  <c r="F1006" i="16"/>
  <c r="F1009" i="16"/>
  <c r="F1005" i="16"/>
  <c r="M171" i="5"/>
  <c r="G172" i="5"/>
  <c r="B1032" i="16"/>
  <c r="B1029" i="16"/>
  <c r="B1030" i="16"/>
  <c r="B1033" i="16"/>
  <c r="B1028" i="16"/>
  <c r="B1031" i="16"/>
  <c r="C1050" i="16"/>
  <c r="C1048" i="16"/>
  <c r="C1047" i="16"/>
  <c r="C1051" i="16"/>
  <c r="C1046" i="16"/>
  <c r="C1049" i="16"/>
  <c r="D1069" i="16"/>
  <c r="D1066" i="16"/>
  <c r="D1067" i="16"/>
  <c r="D1065" i="16"/>
  <c r="D1068" i="16"/>
  <c r="D1064" i="16"/>
  <c r="P180" i="5"/>
  <c r="E1082" i="16"/>
  <c r="E1087" i="16"/>
  <c r="E1086" i="16"/>
  <c r="E1085" i="16"/>
  <c r="E1084" i="16"/>
  <c r="E1083" i="16"/>
  <c r="F1103" i="16"/>
  <c r="F1105" i="16"/>
  <c r="F1101" i="16"/>
  <c r="F1104" i="16"/>
  <c r="F1102" i="16"/>
  <c r="F1100" i="16"/>
  <c r="M187" i="5"/>
  <c r="G188" i="5"/>
  <c r="B1128" i="16"/>
  <c r="B1125" i="16"/>
  <c r="B1126" i="16"/>
  <c r="B1129" i="16"/>
  <c r="B1127" i="16"/>
  <c r="B1124" i="16"/>
  <c r="C1146" i="16"/>
  <c r="C1143" i="16"/>
  <c r="C1144" i="16"/>
  <c r="C1142" i="16"/>
  <c r="C1147" i="16"/>
  <c r="C1145" i="16"/>
  <c r="D1165" i="16"/>
  <c r="D1162" i="16"/>
  <c r="D1160" i="16"/>
  <c r="D1164" i="16"/>
  <c r="D1163" i="16"/>
  <c r="D1161" i="16"/>
  <c r="P196" i="5"/>
  <c r="G198" i="5"/>
  <c r="C1185" i="16"/>
  <c r="C1188" i="16"/>
  <c r="C1187" i="16"/>
  <c r="C1186" i="16"/>
  <c r="C1184" i="16"/>
  <c r="C1189" i="16"/>
  <c r="P200" i="5"/>
  <c r="C1209" i="16"/>
  <c r="C1211" i="16"/>
  <c r="C1208" i="16"/>
  <c r="C1210" i="16"/>
  <c r="C1213" i="16"/>
  <c r="C1212" i="16"/>
  <c r="M205" i="5"/>
  <c r="G206" i="5"/>
  <c r="C1233" i="16"/>
  <c r="C1234" i="16"/>
  <c r="C1236" i="16"/>
  <c r="C1235" i="16"/>
  <c r="C1232" i="16"/>
  <c r="C1237" i="16"/>
  <c r="F216" i="15"/>
  <c r="M216" i="5"/>
  <c r="N216" i="5" s="1"/>
  <c r="O216" i="5" s="1"/>
  <c r="E1297" i="16"/>
  <c r="E1295" i="16"/>
  <c r="E1292" i="16"/>
  <c r="E1293" i="16"/>
  <c r="E1294" i="16"/>
  <c r="E1296" i="16"/>
  <c r="C1308" i="16"/>
  <c r="C1307" i="16"/>
  <c r="C1304" i="16"/>
  <c r="C1306" i="16"/>
  <c r="C1309" i="16"/>
  <c r="C1305" i="16"/>
  <c r="C1314" i="16"/>
  <c r="C1311" i="16"/>
  <c r="C1313" i="16"/>
  <c r="C1310" i="16"/>
  <c r="C1312" i="16"/>
  <c r="C1315" i="16"/>
  <c r="C1332" i="16"/>
  <c r="C1329" i="16"/>
  <c r="C1333" i="16"/>
  <c r="C1328" i="16"/>
  <c r="C1330" i="16"/>
  <c r="C1331" i="16"/>
  <c r="C1338" i="16"/>
  <c r="C1335" i="16"/>
  <c r="C1337" i="16"/>
  <c r="C1339" i="16"/>
  <c r="C1334" i="16"/>
  <c r="C1336" i="16"/>
  <c r="B1343" i="16"/>
  <c r="B1344" i="16"/>
  <c r="B1340" i="16"/>
  <c r="B1342" i="16"/>
  <c r="B1345" i="16"/>
  <c r="B1341" i="16"/>
  <c r="B1351" i="16"/>
  <c r="B1350" i="16"/>
  <c r="B1347" i="16"/>
  <c r="B1348" i="16"/>
  <c r="B1349" i="16"/>
  <c r="B1346" i="16"/>
  <c r="B1356" i="16"/>
  <c r="B1353" i="16"/>
  <c r="B1354" i="16"/>
  <c r="B1352" i="16"/>
  <c r="B1357" i="16"/>
  <c r="B1355" i="16"/>
  <c r="B1367" i="16"/>
  <c r="B1366" i="16"/>
  <c r="B1369" i="16"/>
  <c r="B1365" i="16"/>
  <c r="B1368" i="16"/>
  <c r="B1364" i="16"/>
  <c r="B1375" i="16"/>
  <c r="B1373" i="16"/>
  <c r="B1372" i="16"/>
  <c r="B1370" i="16"/>
  <c r="B1374" i="16"/>
  <c r="B1371" i="16"/>
  <c r="S237" i="5"/>
  <c r="T237" i="5" s="1"/>
  <c r="T240" i="5"/>
  <c r="U240" i="5" s="1"/>
  <c r="C1443" i="16"/>
  <c r="C1445" i="16"/>
  <c r="C1444" i="16"/>
  <c r="C1447" i="16"/>
  <c r="C1446" i="16"/>
  <c r="C1442" i="16"/>
  <c r="F244" i="15"/>
  <c r="S244" i="5"/>
  <c r="T244" i="5" s="1"/>
  <c r="U244" i="5" s="1"/>
  <c r="C1499" i="16"/>
  <c r="C1496" i="16"/>
  <c r="C1501" i="16"/>
  <c r="C1498" i="16"/>
  <c r="C1500" i="16"/>
  <c r="C1497" i="16"/>
  <c r="C1536" i="16"/>
  <c r="C1534" i="16"/>
  <c r="C1537" i="16"/>
  <c r="C1535" i="16"/>
  <c r="C1533" i="16"/>
  <c r="C1532" i="16"/>
  <c r="B1558" i="16"/>
  <c r="B1561" i="16"/>
  <c r="B1557" i="16"/>
  <c r="B1560" i="16"/>
  <c r="B1559" i="16"/>
  <c r="B1556" i="16"/>
  <c r="U264" i="5"/>
  <c r="E1614" i="16"/>
  <c r="E1613" i="16"/>
  <c r="E1612" i="16"/>
  <c r="E1610" i="16"/>
  <c r="E1615" i="16"/>
  <c r="E1611" i="16"/>
  <c r="C1657" i="16"/>
  <c r="C1656" i="16"/>
  <c r="C1653" i="16"/>
  <c r="C1654" i="16"/>
  <c r="C1652" i="16"/>
  <c r="C1655" i="16"/>
  <c r="K279" i="5"/>
  <c r="B1696" i="16"/>
  <c r="B1699" i="16"/>
  <c r="B1695" i="16"/>
  <c r="B1698" i="16"/>
  <c r="B1694" i="16"/>
  <c r="B1697" i="16"/>
  <c r="B1713" i="16"/>
  <c r="B1717" i="16"/>
  <c r="B1712" i="16"/>
  <c r="B1716" i="16"/>
  <c r="B1715" i="16"/>
  <c r="B1714" i="16"/>
  <c r="U288" i="5"/>
  <c r="Q295" i="5"/>
  <c r="R295" i="5" s="1"/>
  <c r="G303" i="5"/>
  <c r="U308" i="5"/>
  <c r="H308" i="5"/>
  <c r="Q308" i="5" s="1"/>
  <c r="R308" i="5" s="1"/>
  <c r="H311" i="5"/>
  <c r="B1863" i="16"/>
  <c r="B1862" i="16"/>
  <c r="B1864" i="16"/>
  <c r="B1867" i="16"/>
  <c r="B1866" i="16"/>
  <c r="B1865" i="16"/>
  <c r="F318" i="15"/>
  <c r="S318" i="5"/>
  <c r="D1908" i="16"/>
  <c r="D1905" i="16"/>
  <c r="D1909" i="16"/>
  <c r="D1904" i="16"/>
  <c r="D1907" i="16"/>
  <c r="D1906" i="16"/>
  <c r="B1911" i="16"/>
  <c r="B1914" i="16"/>
  <c r="B1910" i="16"/>
  <c r="B1915" i="16"/>
  <c r="B1913" i="16"/>
  <c r="B1912" i="16"/>
  <c r="F1950" i="16"/>
  <c r="F1951" i="16"/>
  <c r="F1946" i="16"/>
  <c r="F1948" i="16"/>
  <c r="F1947" i="16"/>
  <c r="F1949" i="16"/>
  <c r="B1959" i="16"/>
  <c r="B1960" i="16"/>
  <c r="B1958" i="16"/>
  <c r="B1963" i="16"/>
  <c r="B1962" i="16"/>
  <c r="B1961" i="16"/>
  <c r="C2004" i="16"/>
  <c r="C2001" i="16"/>
  <c r="C2002" i="16"/>
  <c r="C2005" i="16"/>
  <c r="C2000" i="16"/>
  <c r="C2003" i="16"/>
  <c r="J326" i="5"/>
  <c r="I326" i="5"/>
  <c r="C1959" i="16"/>
  <c r="C1961" i="16"/>
  <c r="C1958" i="16"/>
  <c r="C1963" i="16"/>
  <c r="C1962" i="16"/>
  <c r="C1960" i="16"/>
  <c r="D2004" i="16"/>
  <c r="D2001" i="16"/>
  <c r="D2002" i="16"/>
  <c r="D2005" i="16"/>
  <c r="D2000" i="16"/>
  <c r="D2003" i="16"/>
  <c r="F1833" i="16"/>
  <c r="F1832" i="16"/>
  <c r="F1836" i="16"/>
  <c r="F1835" i="16"/>
  <c r="F1837" i="16"/>
  <c r="F1834" i="16"/>
  <c r="I325" i="15"/>
  <c r="H1942" i="16" s="1"/>
  <c r="F1953" i="16"/>
  <c r="F1956" i="16"/>
  <c r="F1957" i="16"/>
  <c r="F1955" i="16"/>
  <c r="F1954" i="16"/>
  <c r="F1952" i="16"/>
  <c r="D1961" i="16"/>
  <c r="D1960" i="16"/>
  <c r="D1963" i="16"/>
  <c r="D1962" i="16"/>
  <c r="D1959" i="16"/>
  <c r="D1958" i="16"/>
  <c r="B1967" i="16"/>
  <c r="B1964" i="16"/>
  <c r="B1965" i="16"/>
  <c r="B1968" i="16"/>
  <c r="B1969" i="16"/>
  <c r="B1966" i="16"/>
  <c r="C1697" i="16"/>
  <c r="C1699" i="16"/>
  <c r="C1695" i="16"/>
  <c r="C1698" i="16"/>
  <c r="C1696" i="16"/>
  <c r="C1694" i="16"/>
  <c r="D1715" i="16"/>
  <c r="D1713" i="16"/>
  <c r="D1716" i="16"/>
  <c r="D1717" i="16"/>
  <c r="D1712" i="16"/>
  <c r="D1714" i="16"/>
  <c r="E1734" i="16"/>
  <c r="E1731" i="16"/>
  <c r="E1733" i="16"/>
  <c r="E1732" i="16"/>
  <c r="E1735" i="16"/>
  <c r="E1730" i="16"/>
  <c r="F1752" i="16"/>
  <c r="F1749" i="16"/>
  <c r="F1753" i="16"/>
  <c r="F1748" i="16"/>
  <c r="F1751" i="16"/>
  <c r="F1750" i="16"/>
  <c r="B1758" i="16"/>
  <c r="B1756" i="16"/>
  <c r="B1759" i="16"/>
  <c r="B1757" i="16"/>
  <c r="B1755" i="16"/>
  <c r="B1754" i="16"/>
  <c r="F1776" i="16"/>
  <c r="F1775" i="16"/>
  <c r="F1773" i="16"/>
  <c r="F1777" i="16"/>
  <c r="F1774" i="16"/>
  <c r="F1772" i="16"/>
  <c r="B1782" i="16"/>
  <c r="B1781" i="16"/>
  <c r="B1783" i="16"/>
  <c r="B1780" i="16"/>
  <c r="B1779" i="16"/>
  <c r="B1778" i="16"/>
  <c r="D1820" i="16"/>
  <c r="D1825" i="16"/>
  <c r="D1821" i="16"/>
  <c r="D1824" i="16"/>
  <c r="D1822" i="16"/>
  <c r="D1823" i="16"/>
  <c r="B1831" i="16"/>
  <c r="B1828" i="16"/>
  <c r="B1827" i="16"/>
  <c r="B1826" i="16"/>
  <c r="B1830" i="16"/>
  <c r="B1829" i="16"/>
  <c r="N309" i="5"/>
  <c r="F312" i="15"/>
  <c r="P312" i="5"/>
  <c r="D1868" i="16"/>
  <c r="D1873" i="16"/>
  <c r="D1871" i="16"/>
  <c r="D1872" i="16"/>
  <c r="D1870" i="16"/>
  <c r="D1869" i="16"/>
  <c r="B1879" i="16"/>
  <c r="B1876" i="16"/>
  <c r="B1875" i="16"/>
  <c r="B1877" i="16"/>
  <c r="B1878" i="16"/>
  <c r="B1874" i="16"/>
  <c r="R316" i="5"/>
  <c r="D1916" i="16"/>
  <c r="D1921" i="16"/>
  <c r="D1917" i="16"/>
  <c r="D1920" i="16"/>
  <c r="D1919" i="16"/>
  <c r="D1918" i="16"/>
  <c r="B1927" i="16"/>
  <c r="B1924" i="16"/>
  <c r="B1926" i="16"/>
  <c r="B1922" i="16"/>
  <c r="B1923" i="16"/>
  <c r="B1925" i="16"/>
  <c r="N325" i="5"/>
  <c r="F328" i="15"/>
  <c r="P328" i="5"/>
  <c r="D1964" i="16"/>
  <c r="D1969" i="16"/>
  <c r="D1968" i="16"/>
  <c r="D1965" i="16"/>
  <c r="D1966" i="16"/>
  <c r="D1967" i="16"/>
  <c r="B1975" i="16"/>
  <c r="B1972" i="16"/>
  <c r="B1973" i="16"/>
  <c r="B1971" i="16"/>
  <c r="B1970" i="16"/>
  <c r="B1974" i="16"/>
  <c r="T330" i="5"/>
  <c r="U330" i="5" s="1"/>
  <c r="B1983" i="16"/>
  <c r="B1986" i="16"/>
  <c r="B1985" i="16"/>
  <c r="B1987" i="16"/>
  <c r="B1984" i="16"/>
  <c r="B1982" i="16"/>
  <c r="D1996" i="16"/>
  <c r="D1999" i="16"/>
  <c r="D1998" i="16"/>
  <c r="D1994" i="16"/>
  <c r="D1997" i="16"/>
  <c r="D1995" i="16"/>
  <c r="G335" i="5"/>
  <c r="F247" i="15"/>
  <c r="E1520" i="16"/>
  <c r="E1525" i="16"/>
  <c r="E1521" i="16"/>
  <c r="E1524" i="16"/>
  <c r="E1523" i="16"/>
  <c r="E1522" i="16"/>
  <c r="F1541" i="16"/>
  <c r="F1540" i="16"/>
  <c r="F1543" i="16"/>
  <c r="F1539" i="16"/>
  <c r="F1538" i="16"/>
  <c r="F1542" i="16"/>
  <c r="M260" i="5"/>
  <c r="B1564" i="16"/>
  <c r="B1567" i="16"/>
  <c r="B1563" i="16"/>
  <c r="B1562" i="16"/>
  <c r="B1566" i="16"/>
  <c r="B1565" i="16"/>
  <c r="C1585" i="16"/>
  <c r="C1582" i="16"/>
  <c r="C1584" i="16"/>
  <c r="C1581" i="16"/>
  <c r="C1580" i="16"/>
  <c r="C1583" i="16"/>
  <c r="D1603" i="16"/>
  <c r="D1600" i="16"/>
  <c r="D1599" i="16"/>
  <c r="D1602" i="16"/>
  <c r="D1598" i="16"/>
  <c r="D1601" i="16"/>
  <c r="E1620" i="16"/>
  <c r="E1617" i="16"/>
  <c r="E1616" i="16"/>
  <c r="E1619" i="16"/>
  <c r="E1618" i="16"/>
  <c r="E1621" i="16"/>
  <c r="F1634" i="16"/>
  <c r="F1638" i="16"/>
  <c r="F1637" i="16"/>
  <c r="F1635" i="16"/>
  <c r="F1636" i="16"/>
  <c r="F1639" i="16"/>
  <c r="M276" i="5"/>
  <c r="B1659" i="16"/>
  <c r="B1663" i="16"/>
  <c r="B1658" i="16"/>
  <c r="B1662" i="16"/>
  <c r="B1661" i="16"/>
  <c r="B1660" i="16"/>
  <c r="C1681" i="16"/>
  <c r="C1676" i="16"/>
  <c r="C1677" i="16"/>
  <c r="C1680" i="16"/>
  <c r="C1679" i="16"/>
  <c r="C1678" i="16"/>
  <c r="D1695" i="16"/>
  <c r="D1698" i="16"/>
  <c r="D1694" i="16"/>
  <c r="D1696" i="16"/>
  <c r="D1697" i="16"/>
  <c r="D1699" i="16"/>
  <c r="E1715" i="16"/>
  <c r="E1713" i="16"/>
  <c r="E1716" i="16"/>
  <c r="E1712" i="16"/>
  <c r="E1717" i="16"/>
  <c r="E1714" i="16"/>
  <c r="F1732" i="16"/>
  <c r="F1731" i="16"/>
  <c r="F1730" i="16"/>
  <c r="F1735" i="16"/>
  <c r="F1734" i="16"/>
  <c r="F1733" i="16"/>
  <c r="C1758" i="16"/>
  <c r="C1756" i="16"/>
  <c r="C1759" i="16"/>
  <c r="C1757" i="16"/>
  <c r="C1755" i="16"/>
  <c r="C1754" i="16"/>
  <c r="C1782" i="16"/>
  <c r="C1781" i="16"/>
  <c r="C1780" i="16"/>
  <c r="C1783" i="16"/>
  <c r="C1779" i="16"/>
  <c r="C1778" i="16"/>
  <c r="E1820" i="16"/>
  <c r="E1825" i="16"/>
  <c r="E1824" i="16"/>
  <c r="E1822" i="16"/>
  <c r="E1821" i="16"/>
  <c r="E1823" i="16"/>
  <c r="C1831" i="16"/>
  <c r="C1828" i="16"/>
  <c r="C1830" i="16"/>
  <c r="C1829" i="16"/>
  <c r="C1826" i="16"/>
  <c r="C1827" i="16"/>
  <c r="E1868" i="16"/>
  <c r="E1873" i="16"/>
  <c r="E1870" i="16"/>
  <c r="E1872" i="16"/>
  <c r="E1871" i="16"/>
  <c r="E1869" i="16"/>
  <c r="C1879" i="16"/>
  <c r="C1876" i="16"/>
  <c r="C1878" i="16"/>
  <c r="C1877" i="16"/>
  <c r="C1875" i="16"/>
  <c r="C1874" i="16"/>
  <c r="E1916" i="16"/>
  <c r="E1921" i="16"/>
  <c r="E1918" i="16"/>
  <c r="E1920" i="16"/>
  <c r="E1917" i="16"/>
  <c r="E1919" i="16"/>
  <c r="C1927" i="16"/>
  <c r="C1924" i="16"/>
  <c r="C1926" i="16"/>
  <c r="C1925" i="16"/>
  <c r="C1922" i="16"/>
  <c r="C1923" i="16"/>
  <c r="O326" i="5"/>
  <c r="G328" i="5"/>
  <c r="E1964" i="16"/>
  <c r="E1969" i="16"/>
  <c r="E1966" i="16"/>
  <c r="E1965" i="16"/>
  <c r="E1968" i="16"/>
  <c r="E1967" i="16"/>
  <c r="C1975" i="16"/>
  <c r="C1972" i="16"/>
  <c r="C1974" i="16"/>
  <c r="C1973" i="16"/>
  <c r="C1971" i="16"/>
  <c r="C1970" i="16"/>
  <c r="B1980" i="16"/>
  <c r="B1978" i="16"/>
  <c r="B1981" i="16"/>
  <c r="B1977" i="16"/>
  <c r="B1976" i="16"/>
  <c r="B1979" i="16"/>
  <c r="C1983" i="16"/>
  <c r="C1985" i="16"/>
  <c r="C1982" i="16"/>
  <c r="C1986" i="16"/>
  <c r="C1984" i="16"/>
  <c r="C1987" i="16"/>
  <c r="E1996" i="16"/>
  <c r="E1998" i="16"/>
  <c r="E1995" i="16"/>
  <c r="E1994" i="16"/>
  <c r="E1997" i="16"/>
  <c r="E1999" i="16"/>
  <c r="R240" i="5"/>
  <c r="B1450" i="16"/>
  <c r="B1449" i="16"/>
  <c r="B1452" i="16"/>
  <c r="B1448" i="16"/>
  <c r="B1451" i="16"/>
  <c r="B1453" i="16"/>
  <c r="C1467" i="16"/>
  <c r="C1471" i="16"/>
  <c r="C1468" i="16"/>
  <c r="C1470" i="16"/>
  <c r="C1466" i="16"/>
  <c r="C1469" i="16"/>
  <c r="D1489" i="16"/>
  <c r="D1486" i="16"/>
  <c r="D1485" i="16"/>
  <c r="D1488" i="16"/>
  <c r="D1484" i="16"/>
  <c r="D1487" i="16"/>
  <c r="E1504" i="16"/>
  <c r="E1507" i="16"/>
  <c r="E1503" i="16"/>
  <c r="E1506" i="16"/>
  <c r="E1502" i="16"/>
  <c r="E1505" i="16"/>
  <c r="F1525" i="16"/>
  <c r="F1524" i="16"/>
  <c r="F1520" i="16"/>
  <c r="F1521" i="16"/>
  <c r="F1523" i="16"/>
  <c r="F1522" i="16"/>
  <c r="B1547" i="16"/>
  <c r="B1544" i="16"/>
  <c r="B1546" i="16"/>
  <c r="B1548" i="16"/>
  <c r="B1545" i="16"/>
  <c r="B1549" i="16"/>
  <c r="C1566" i="16"/>
  <c r="C1564" i="16"/>
  <c r="C1567" i="16"/>
  <c r="C1565" i="16"/>
  <c r="C1563" i="16"/>
  <c r="C1562" i="16"/>
  <c r="O263" i="5"/>
  <c r="D1583" i="16"/>
  <c r="D1585" i="16"/>
  <c r="D1581" i="16"/>
  <c r="D1584" i="16"/>
  <c r="D1580" i="16"/>
  <c r="D1582" i="16"/>
  <c r="F1620" i="16"/>
  <c r="F1617" i="16"/>
  <c r="F1616" i="16"/>
  <c r="F1619" i="16"/>
  <c r="F1618" i="16"/>
  <c r="F1621" i="16"/>
  <c r="B1642" i="16"/>
  <c r="B1641" i="16"/>
  <c r="B1644" i="16"/>
  <c r="B1645" i="16"/>
  <c r="B1643" i="16"/>
  <c r="B1640" i="16"/>
  <c r="C1660" i="16"/>
  <c r="C1663" i="16"/>
  <c r="C1658" i="16"/>
  <c r="C1662" i="16"/>
  <c r="C1661" i="16"/>
  <c r="C1659" i="16"/>
  <c r="O279" i="5"/>
  <c r="D1681" i="16"/>
  <c r="D1680" i="16"/>
  <c r="D1676" i="16"/>
  <c r="D1679" i="16"/>
  <c r="D1678" i="16"/>
  <c r="D1677" i="16"/>
  <c r="E1694" i="16"/>
  <c r="E1698" i="16"/>
  <c r="E1697" i="16"/>
  <c r="E1696" i="16"/>
  <c r="E1695" i="16"/>
  <c r="E1699" i="16"/>
  <c r="F1712" i="16"/>
  <c r="F1716" i="16"/>
  <c r="F1713" i="16"/>
  <c r="F1715" i="16"/>
  <c r="F1714" i="16"/>
  <c r="F1717" i="16"/>
  <c r="B1736" i="16"/>
  <c r="B1739" i="16"/>
  <c r="B1741" i="16"/>
  <c r="B1737" i="16"/>
  <c r="B1738" i="16"/>
  <c r="B1740" i="16"/>
  <c r="D1755" i="16"/>
  <c r="D1759" i="16"/>
  <c r="D1757" i="16"/>
  <c r="D1756" i="16"/>
  <c r="D1758" i="16"/>
  <c r="D1754" i="16"/>
  <c r="D1779" i="16"/>
  <c r="D1782" i="16"/>
  <c r="D1781" i="16"/>
  <c r="D1780" i="16"/>
  <c r="D1778" i="16"/>
  <c r="D1783" i="16"/>
  <c r="B1786" i="16"/>
  <c r="B1785" i="16"/>
  <c r="B1789" i="16"/>
  <c r="B1784" i="16"/>
  <c r="B1788" i="16"/>
  <c r="B1787" i="16"/>
  <c r="F305" i="15"/>
  <c r="S305" i="5"/>
  <c r="D1828" i="16"/>
  <c r="D1831" i="16"/>
  <c r="D1826" i="16"/>
  <c r="D1830" i="16"/>
  <c r="D1829" i="16"/>
  <c r="D1827" i="16"/>
  <c r="B1836" i="16"/>
  <c r="B1837" i="16"/>
  <c r="B1833" i="16"/>
  <c r="B1832" i="16"/>
  <c r="B1835" i="16"/>
  <c r="B1834" i="16"/>
  <c r="P310" i="5"/>
  <c r="Q310" i="5" s="1"/>
  <c r="R310" i="5" s="1"/>
  <c r="F1873" i="16"/>
  <c r="F1870" i="16"/>
  <c r="F1872" i="16"/>
  <c r="F1869" i="16"/>
  <c r="F1868" i="16"/>
  <c r="F1871" i="16"/>
  <c r="B1884" i="16"/>
  <c r="B1883" i="16"/>
  <c r="B1882" i="16"/>
  <c r="B1885" i="16"/>
  <c r="B1881" i="16"/>
  <c r="B1880" i="16"/>
  <c r="M318" i="5"/>
  <c r="N318" i="5" s="1"/>
  <c r="O318" i="5" s="1"/>
  <c r="F321" i="15"/>
  <c r="S321" i="5"/>
  <c r="D1924" i="16"/>
  <c r="D1922" i="16"/>
  <c r="D1925" i="16"/>
  <c r="D1923" i="16"/>
  <c r="D1927" i="16"/>
  <c r="D1926" i="16"/>
  <c r="B1932" i="16"/>
  <c r="B1930" i="16"/>
  <c r="B1929" i="16"/>
  <c r="B1933" i="16"/>
  <c r="B1931" i="16"/>
  <c r="B1928" i="16"/>
  <c r="P326" i="5"/>
  <c r="Q326" i="5" s="1"/>
  <c r="R326" i="5" s="1"/>
  <c r="F1969" i="16"/>
  <c r="F1966" i="16"/>
  <c r="F1968" i="16"/>
  <c r="F1964" i="16"/>
  <c r="F1965" i="16"/>
  <c r="F1967" i="16"/>
  <c r="C1980" i="16"/>
  <c r="C1977" i="16"/>
  <c r="C1981" i="16"/>
  <c r="C1976" i="16"/>
  <c r="C1978" i="16"/>
  <c r="C1979" i="16"/>
  <c r="D1985" i="16"/>
  <c r="D1986" i="16"/>
  <c r="D1983" i="16"/>
  <c r="D1987" i="16"/>
  <c r="D1984" i="16"/>
  <c r="D1982" i="16"/>
  <c r="E1988" i="16"/>
  <c r="E1993" i="16"/>
  <c r="E1990" i="16"/>
  <c r="E1989" i="16"/>
  <c r="E1992" i="16"/>
  <c r="E1991" i="16"/>
  <c r="F334" i="15"/>
  <c r="S334" i="5"/>
  <c r="P334" i="5"/>
  <c r="B1335" i="16"/>
  <c r="B1337" i="16"/>
  <c r="B1334" i="16"/>
  <c r="B1338" i="16"/>
  <c r="B1336" i="16"/>
  <c r="B1339" i="16"/>
  <c r="C1356" i="16"/>
  <c r="C1353" i="16"/>
  <c r="C1355" i="16"/>
  <c r="C1352" i="16"/>
  <c r="C1354" i="16"/>
  <c r="C1357" i="16"/>
  <c r="D1372" i="16"/>
  <c r="D1371" i="16"/>
  <c r="D1374" i="16"/>
  <c r="D1370" i="16"/>
  <c r="D1375" i="16"/>
  <c r="D1373" i="16"/>
  <c r="E1392" i="16"/>
  <c r="E1391" i="16"/>
  <c r="E1393" i="16"/>
  <c r="E1389" i="16"/>
  <c r="E1388" i="16"/>
  <c r="E1390" i="16"/>
  <c r="F1408" i="16"/>
  <c r="F1407" i="16"/>
  <c r="F1410" i="16"/>
  <c r="F1409" i="16"/>
  <c r="F1406" i="16"/>
  <c r="F1411" i="16"/>
  <c r="B1430" i="16"/>
  <c r="B1433" i="16"/>
  <c r="B1434" i="16"/>
  <c r="B1432" i="16"/>
  <c r="B1431" i="16"/>
  <c r="B1435" i="16"/>
  <c r="C1451" i="16"/>
  <c r="C1448" i="16"/>
  <c r="C1450" i="16"/>
  <c r="C1449" i="16"/>
  <c r="C1453" i="16"/>
  <c r="C1452" i="16"/>
  <c r="D1469" i="16"/>
  <c r="D1470" i="16"/>
  <c r="D1468" i="16"/>
  <c r="D1466" i="16"/>
  <c r="D1471" i="16"/>
  <c r="D1467" i="16"/>
  <c r="E1488" i="16"/>
  <c r="E1485" i="16"/>
  <c r="E1489" i="16"/>
  <c r="E1486" i="16"/>
  <c r="E1484" i="16"/>
  <c r="E1487" i="16"/>
  <c r="F1504" i="16"/>
  <c r="F1507" i="16"/>
  <c r="F1506" i="16"/>
  <c r="F1505" i="16"/>
  <c r="F1502" i="16"/>
  <c r="F1503" i="16"/>
  <c r="B1531" i="16"/>
  <c r="B1527" i="16"/>
  <c r="B1528" i="16"/>
  <c r="B1529" i="16"/>
  <c r="B1526" i="16"/>
  <c r="B1530" i="16"/>
  <c r="C1547" i="16"/>
  <c r="C1544" i="16"/>
  <c r="C1546" i="16"/>
  <c r="C1549" i="16"/>
  <c r="C1548" i="16"/>
  <c r="C1545" i="16"/>
  <c r="D1566" i="16"/>
  <c r="D1563" i="16"/>
  <c r="D1564" i="16"/>
  <c r="D1567" i="16"/>
  <c r="D1565" i="16"/>
  <c r="D1562" i="16"/>
  <c r="E1582" i="16"/>
  <c r="E1583" i="16"/>
  <c r="E1580" i="16"/>
  <c r="E1585" i="16"/>
  <c r="E1581" i="16"/>
  <c r="E1584" i="16"/>
  <c r="B1626" i="16"/>
  <c r="B1624" i="16"/>
  <c r="B1627" i="16"/>
  <c r="B1623" i="16"/>
  <c r="B1625" i="16"/>
  <c r="B1622" i="16"/>
  <c r="C1641" i="16"/>
  <c r="C1644" i="16"/>
  <c r="C1642" i="16"/>
  <c r="C1645" i="16"/>
  <c r="C1643" i="16"/>
  <c r="C1640" i="16"/>
  <c r="D1660" i="16"/>
  <c r="D1658" i="16"/>
  <c r="D1662" i="16"/>
  <c r="D1661" i="16"/>
  <c r="D1663" i="16"/>
  <c r="D1659" i="16"/>
  <c r="E1678" i="16"/>
  <c r="E1681" i="16"/>
  <c r="E1677" i="16"/>
  <c r="E1676" i="16"/>
  <c r="E1680" i="16"/>
  <c r="E1679" i="16"/>
  <c r="F1698" i="16"/>
  <c r="F1695" i="16"/>
  <c r="F1694" i="16"/>
  <c r="F1696" i="16"/>
  <c r="F1697" i="16"/>
  <c r="F1699" i="16"/>
  <c r="G287" i="5"/>
  <c r="B1718" i="16"/>
  <c r="B1723" i="16"/>
  <c r="B1721" i="16"/>
  <c r="B1722" i="16"/>
  <c r="B1720" i="16"/>
  <c r="B1719" i="16"/>
  <c r="C1737" i="16"/>
  <c r="C1736" i="16"/>
  <c r="C1739" i="16"/>
  <c r="C1741" i="16"/>
  <c r="C1740" i="16"/>
  <c r="C1738" i="16"/>
  <c r="E1758" i="16"/>
  <c r="E1755" i="16"/>
  <c r="E1757" i="16"/>
  <c r="E1759" i="16"/>
  <c r="E1756" i="16"/>
  <c r="E1754" i="16"/>
  <c r="C1785" i="16"/>
  <c r="C1786" i="16"/>
  <c r="C1789" i="16"/>
  <c r="C1788" i="16"/>
  <c r="C1787" i="16"/>
  <c r="C1784" i="16"/>
  <c r="G305" i="5"/>
  <c r="E1828" i="16"/>
  <c r="E1827" i="16"/>
  <c r="E1831" i="16"/>
  <c r="E1826" i="16"/>
  <c r="E1830" i="16"/>
  <c r="E1829" i="16"/>
  <c r="C1836" i="16"/>
  <c r="C1832" i="16"/>
  <c r="C1835" i="16"/>
  <c r="C1834" i="16"/>
  <c r="C1833" i="16"/>
  <c r="C1837" i="16"/>
  <c r="G313" i="5"/>
  <c r="C1884" i="16"/>
  <c r="C1881" i="16"/>
  <c r="C1883" i="16"/>
  <c r="C1882" i="16"/>
  <c r="C1885" i="16"/>
  <c r="C1880" i="16"/>
  <c r="U316" i="5"/>
  <c r="G321" i="5"/>
  <c r="E1924" i="16"/>
  <c r="E1926" i="16"/>
  <c r="E1923" i="16"/>
  <c r="E1925" i="16"/>
  <c r="E1927" i="16"/>
  <c r="E1922" i="16"/>
  <c r="C1932" i="16"/>
  <c r="C1929" i="16"/>
  <c r="C1930" i="16"/>
  <c r="C1933" i="16"/>
  <c r="C1931" i="16"/>
  <c r="C1928" i="16"/>
  <c r="G329" i="5"/>
  <c r="D1980" i="16"/>
  <c r="D1977" i="16"/>
  <c r="D1981" i="16"/>
  <c r="D1976" i="16"/>
  <c r="D1979" i="16"/>
  <c r="D1978" i="16"/>
  <c r="G334" i="5"/>
  <c r="F1583" i="16"/>
  <c r="F1580" i="16"/>
  <c r="F1585" i="16"/>
  <c r="F1581" i="16"/>
  <c r="F1584" i="16"/>
  <c r="F1582" i="16"/>
  <c r="B1609" i="16"/>
  <c r="B1606" i="16"/>
  <c r="B1607" i="16"/>
  <c r="B1605" i="16"/>
  <c r="B1604" i="16"/>
  <c r="B1608" i="16"/>
  <c r="C1625" i="16"/>
  <c r="C1626" i="16"/>
  <c r="C1623" i="16"/>
  <c r="C1624" i="16"/>
  <c r="C1627" i="16"/>
  <c r="C1622" i="16"/>
  <c r="D1644" i="16"/>
  <c r="D1641" i="16"/>
  <c r="D1642" i="16"/>
  <c r="D1645" i="16"/>
  <c r="D1643" i="16"/>
  <c r="D1640" i="16"/>
  <c r="E1662" i="16"/>
  <c r="E1661" i="16"/>
  <c r="E1660" i="16"/>
  <c r="E1663" i="16"/>
  <c r="E1659" i="16"/>
  <c r="E1658" i="16"/>
  <c r="F1681" i="16"/>
  <c r="F1678" i="16"/>
  <c r="F1677" i="16"/>
  <c r="F1676" i="16"/>
  <c r="F1680" i="16"/>
  <c r="F1679" i="16"/>
  <c r="G284" i="5"/>
  <c r="B1702" i="16"/>
  <c r="B1705" i="16"/>
  <c r="B1703" i="16"/>
  <c r="B1701" i="16"/>
  <c r="B1704" i="16"/>
  <c r="B1700" i="16"/>
  <c r="C1721" i="16"/>
  <c r="C1718" i="16"/>
  <c r="C1720" i="16"/>
  <c r="C1723" i="16"/>
  <c r="C1722" i="16"/>
  <c r="C1719" i="16"/>
  <c r="D1739" i="16"/>
  <c r="D1741" i="16"/>
  <c r="D1737" i="16"/>
  <c r="D1736" i="16"/>
  <c r="D1738" i="16"/>
  <c r="D1740" i="16"/>
  <c r="P292" i="5"/>
  <c r="F1755" i="16"/>
  <c r="F1756" i="16"/>
  <c r="F1759" i="16"/>
  <c r="F1758" i="16"/>
  <c r="F1757" i="16"/>
  <c r="F1754" i="16"/>
  <c r="B1765" i="16"/>
  <c r="B1761" i="16"/>
  <c r="B1760" i="16"/>
  <c r="B1764" i="16"/>
  <c r="B1763" i="16"/>
  <c r="B1762" i="16"/>
  <c r="D1787" i="16"/>
  <c r="D1785" i="16"/>
  <c r="D1789" i="16"/>
  <c r="D1784" i="16"/>
  <c r="D1788" i="16"/>
  <c r="D1786" i="16"/>
  <c r="B1790" i="16"/>
  <c r="B1792" i="16"/>
  <c r="B1795" i="16"/>
  <c r="B1794" i="16"/>
  <c r="B1793" i="16"/>
  <c r="B1791" i="16"/>
  <c r="F306" i="15"/>
  <c r="M306" i="5"/>
  <c r="D307" i="15"/>
  <c r="G307" i="5"/>
  <c r="T309" i="5"/>
  <c r="U309" i="5" s="1"/>
  <c r="D1884" i="16"/>
  <c r="D1881" i="16"/>
  <c r="D1883" i="16"/>
  <c r="D1882" i="16"/>
  <c r="D1885" i="16"/>
  <c r="D1880" i="16"/>
  <c r="B1887" i="16"/>
  <c r="B1888" i="16"/>
  <c r="B1890" i="16"/>
  <c r="B1889" i="16"/>
  <c r="B1891" i="16"/>
  <c r="B1886" i="16"/>
  <c r="F322" i="15"/>
  <c r="M322" i="5"/>
  <c r="D323" i="15"/>
  <c r="G323" i="5"/>
  <c r="T325" i="5"/>
  <c r="U325" i="5" s="1"/>
  <c r="M327" i="5"/>
  <c r="E1980" i="16"/>
  <c r="E1977" i="16"/>
  <c r="E1979" i="16"/>
  <c r="E1976" i="16"/>
  <c r="E1981" i="16"/>
  <c r="E1978" i="16"/>
  <c r="F332" i="15"/>
  <c r="M332" i="5"/>
  <c r="E1259" i="16"/>
  <c r="E1256" i="16"/>
  <c r="E1261" i="16"/>
  <c r="E1258" i="16"/>
  <c r="E1260" i="16"/>
  <c r="E1257" i="16"/>
  <c r="F1277" i="16"/>
  <c r="F1276" i="16"/>
  <c r="F1279" i="16"/>
  <c r="F1275" i="16"/>
  <c r="F1278" i="16"/>
  <c r="F1274" i="16"/>
  <c r="C1316" i="16"/>
  <c r="C1320" i="16"/>
  <c r="C1317" i="16"/>
  <c r="C1318" i="16"/>
  <c r="C1319" i="16"/>
  <c r="C1321" i="16"/>
  <c r="D1338" i="16"/>
  <c r="D1335" i="16"/>
  <c r="D1337" i="16"/>
  <c r="D1336" i="16"/>
  <c r="D1339" i="16"/>
  <c r="D1334" i="16"/>
  <c r="E1353" i="16"/>
  <c r="E1356" i="16"/>
  <c r="E1352" i="16"/>
  <c r="E1357" i="16"/>
  <c r="E1355" i="16"/>
  <c r="E1354" i="16"/>
  <c r="F1372" i="16"/>
  <c r="F1375" i="16"/>
  <c r="F1374" i="16"/>
  <c r="F1370" i="16"/>
  <c r="F1373" i="16"/>
  <c r="F1371" i="16"/>
  <c r="B1397" i="16"/>
  <c r="B1399" i="16"/>
  <c r="B1395" i="16"/>
  <c r="B1394" i="16"/>
  <c r="B1398" i="16"/>
  <c r="B1396" i="16"/>
  <c r="C1417" i="16"/>
  <c r="C1415" i="16"/>
  <c r="C1414" i="16"/>
  <c r="C1413" i="16"/>
  <c r="C1416" i="16"/>
  <c r="C1412" i="16"/>
  <c r="D1434" i="16"/>
  <c r="D1431" i="16"/>
  <c r="D1433" i="16"/>
  <c r="D1432" i="16"/>
  <c r="D1430" i="16"/>
  <c r="D1435" i="16"/>
  <c r="E1448" i="16"/>
  <c r="E1453" i="16"/>
  <c r="E1452" i="16"/>
  <c r="E1449" i="16"/>
  <c r="E1451" i="16"/>
  <c r="E1450" i="16"/>
  <c r="F1470" i="16"/>
  <c r="F1467" i="16"/>
  <c r="F1469" i="16"/>
  <c r="F1468" i="16"/>
  <c r="F1466" i="16"/>
  <c r="F1471" i="16"/>
  <c r="G249" i="5"/>
  <c r="C1512" i="16"/>
  <c r="C1508" i="16"/>
  <c r="C1511" i="16"/>
  <c r="C1510" i="16"/>
  <c r="C1513" i="16"/>
  <c r="C1509" i="16"/>
  <c r="D1528" i="16"/>
  <c r="D1531" i="16"/>
  <c r="D1527" i="16"/>
  <c r="D1530" i="16"/>
  <c r="D1526" i="16"/>
  <c r="D1529" i="16"/>
  <c r="E1544" i="16"/>
  <c r="E1549" i="16"/>
  <c r="E1547" i="16"/>
  <c r="E1546" i="16"/>
  <c r="E1548" i="16"/>
  <c r="E1545" i="16"/>
  <c r="F1566" i="16"/>
  <c r="F1563" i="16"/>
  <c r="F1564" i="16"/>
  <c r="F1567" i="16"/>
  <c r="F1565" i="16"/>
  <c r="F1562" i="16"/>
  <c r="R263" i="5"/>
  <c r="G265" i="5"/>
  <c r="B1589" i="16"/>
  <c r="B1591" i="16"/>
  <c r="B1590" i="16"/>
  <c r="B1588" i="16"/>
  <c r="B1587" i="16"/>
  <c r="B1586" i="16"/>
  <c r="H268" i="5"/>
  <c r="T268" i="5" s="1"/>
  <c r="U268" i="5" s="1"/>
  <c r="C1609" i="16"/>
  <c r="C1606" i="16"/>
  <c r="C1605" i="16"/>
  <c r="C1604" i="16"/>
  <c r="C1608" i="16"/>
  <c r="C1607" i="16"/>
  <c r="D1626" i="16"/>
  <c r="D1623" i="16"/>
  <c r="D1624" i="16"/>
  <c r="D1627" i="16"/>
  <c r="D1622" i="16"/>
  <c r="D1625" i="16"/>
  <c r="E1642" i="16"/>
  <c r="E1645" i="16"/>
  <c r="E1641" i="16"/>
  <c r="E1640" i="16"/>
  <c r="E1643" i="16"/>
  <c r="E1644" i="16"/>
  <c r="F1661" i="16"/>
  <c r="F1658" i="16"/>
  <c r="F1663" i="16"/>
  <c r="F1662" i="16"/>
  <c r="F1660" i="16"/>
  <c r="F1659" i="16"/>
  <c r="R279" i="5"/>
  <c r="G281" i="5"/>
  <c r="B1685" i="16"/>
  <c r="B1686" i="16"/>
  <c r="B1682" i="16"/>
  <c r="B1684" i="16"/>
  <c r="B1683" i="16"/>
  <c r="B1687" i="16"/>
  <c r="C1705" i="16"/>
  <c r="C1704" i="16"/>
  <c r="C1702" i="16"/>
  <c r="C1701" i="16"/>
  <c r="C1703" i="16"/>
  <c r="C1700" i="16"/>
  <c r="D1723" i="16"/>
  <c r="D1721" i="16"/>
  <c r="D1720" i="16"/>
  <c r="D1719" i="16"/>
  <c r="D1722" i="16"/>
  <c r="D1718" i="16"/>
  <c r="E1739" i="16"/>
  <c r="E1737" i="16"/>
  <c r="E1736" i="16"/>
  <c r="E1740" i="16"/>
  <c r="E1741" i="16"/>
  <c r="E1738" i="16"/>
  <c r="G294" i="5"/>
  <c r="C1761" i="16"/>
  <c r="C1762" i="16"/>
  <c r="C1765" i="16"/>
  <c r="C1764" i="16"/>
  <c r="C1763" i="16"/>
  <c r="C1760" i="16"/>
  <c r="M297" i="5"/>
  <c r="E1787" i="16"/>
  <c r="E1785" i="16"/>
  <c r="E1788" i="16"/>
  <c r="E1789" i="16"/>
  <c r="E1784" i="16"/>
  <c r="E1786" i="16"/>
  <c r="C1793" i="16"/>
  <c r="C1790" i="16"/>
  <c r="C1795" i="16"/>
  <c r="C1794" i="16"/>
  <c r="C1792" i="16"/>
  <c r="C1791" i="16"/>
  <c r="G306" i="5"/>
  <c r="E1836" i="16"/>
  <c r="E1833" i="16"/>
  <c r="E1835" i="16"/>
  <c r="E1832" i="16"/>
  <c r="E1837" i="16"/>
  <c r="E1834" i="16"/>
  <c r="S310" i="5"/>
  <c r="T310" i="5" s="1"/>
  <c r="U310" i="5" s="1"/>
  <c r="M313" i="5"/>
  <c r="E1884" i="16"/>
  <c r="E1881" i="16"/>
  <c r="E1883" i="16"/>
  <c r="E1882" i="16"/>
  <c r="E1880" i="16"/>
  <c r="E1885" i="16"/>
  <c r="C1887" i="16"/>
  <c r="C1889" i="16"/>
  <c r="C1886" i="16"/>
  <c r="C1891" i="16"/>
  <c r="C1890" i="16"/>
  <c r="C1888" i="16"/>
  <c r="P318" i="5"/>
  <c r="G322" i="5"/>
  <c r="E1932" i="16"/>
  <c r="E1929" i="16"/>
  <c r="E1931" i="16"/>
  <c r="E1933" i="16"/>
  <c r="E1930" i="16"/>
  <c r="E1928" i="16"/>
  <c r="S326" i="5"/>
  <c r="T326" i="5" s="1"/>
  <c r="M329" i="5"/>
  <c r="F331" i="15"/>
  <c r="P331" i="5"/>
  <c r="G332" i="5"/>
  <c r="F1259" i="16"/>
  <c r="F1256" i="16"/>
  <c r="F1261" i="16"/>
  <c r="F1258" i="16"/>
  <c r="F1257" i="16"/>
  <c r="F1260" i="16"/>
  <c r="B1285" i="16"/>
  <c r="B1281" i="16"/>
  <c r="B1284" i="16"/>
  <c r="B1283" i="16"/>
  <c r="B1280" i="16"/>
  <c r="B1282" i="16"/>
  <c r="D1316" i="16"/>
  <c r="D1321" i="16"/>
  <c r="D1317" i="16"/>
  <c r="D1320" i="16"/>
  <c r="D1319" i="16"/>
  <c r="D1318" i="16"/>
  <c r="E1337" i="16"/>
  <c r="E1338" i="16"/>
  <c r="E1335" i="16"/>
  <c r="E1334" i="16"/>
  <c r="E1336" i="16"/>
  <c r="E1339" i="16"/>
  <c r="F1353" i="16"/>
  <c r="F1356" i="16"/>
  <c r="F1352" i="16"/>
  <c r="F1357" i="16"/>
  <c r="F1355" i="16"/>
  <c r="F1354" i="16"/>
  <c r="G230" i="5"/>
  <c r="B1376" i="16"/>
  <c r="B1379" i="16"/>
  <c r="B1381" i="16"/>
  <c r="B1380" i="16"/>
  <c r="B1378" i="16"/>
  <c r="B1377" i="16"/>
  <c r="C1395" i="16"/>
  <c r="C1397" i="16"/>
  <c r="C1399" i="16"/>
  <c r="C1394" i="16"/>
  <c r="C1398" i="16"/>
  <c r="C1396" i="16"/>
  <c r="D1417" i="16"/>
  <c r="D1414" i="16"/>
  <c r="D1413" i="16"/>
  <c r="D1412" i="16"/>
  <c r="D1416" i="16"/>
  <c r="D1415" i="16"/>
  <c r="E1432" i="16"/>
  <c r="E1434" i="16"/>
  <c r="E1431" i="16"/>
  <c r="E1433" i="16"/>
  <c r="E1430" i="16"/>
  <c r="E1435" i="16"/>
  <c r="F1452" i="16"/>
  <c r="F1449" i="16"/>
  <c r="F1453" i="16"/>
  <c r="F1451" i="16"/>
  <c r="F1450" i="16"/>
  <c r="F1448" i="16"/>
  <c r="G246" i="5"/>
  <c r="B1477" i="16"/>
  <c r="B1474" i="16"/>
  <c r="B1476" i="16"/>
  <c r="B1475" i="16"/>
  <c r="B1473" i="16"/>
  <c r="B1472" i="16"/>
  <c r="D1512" i="16"/>
  <c r="D1508" i="16"/>
  <c r="D1511" i="16"/>
  <c r="D1510" i="16"/>
  <c r="D1513" i="16"/>
  <c r="D1509" i="16"/>
  <c r="E1528" i="16"/>
  <c r="E1531" i="16"/>
  <c r="E1527" i="16"/>
  <c r="E1530" i="16"/>
  <c r="E1526" i="16"/>
  <c r="E1529" i="16"/>
  <c r="F1549" i="16"/>
  <c r="F1544" i="16"/>
  <c r="F1547" i="16"/>
  <c r="F1546" i="16"/>
  <c r="F1545" i="16"/>
  <c r="F1548" i="16"/>
  <c r="G262" i="5"/>
  <c r="C1589" i="16"/>
  <c r="C1586" i="16"/>
  <c r="C1588" i="16"/>
  <c r="C1591" i="16"/>
  <c r="C1587" i="16"/>
  <c r="C1590" i="16"/>
  <c r="D1609" i="16"/>
  <c r="D1606" i="16"/>
  <c r="D1605" i="16"/>
  <c r="D1608" i="16"/>
  <c r="D1607" i="16"/>
  <c r="D1604" i="16"/>
  <c r="E1622" i="16"/>
  <c r="E1623" i="16"/>
  <c r="E1627" i="16"/>
  <c r="E1626" i="16"/>
  <c r="E1625" i="16"/>
  <c r="E1624" i="16"/>
  <c r="F1642" i="16"/>
  <c r="F1645" i="16"/>
  <c r="F1641" i="16"/>
  <c r="F1640" i="16"/>
  <c r="F1644" i="16"/>
  <c r="F1643" i="16"/>
  <c r="G278" i="5"/>
  <c r="S279" i="5"/>
  <c r="T279" i="5" s="1"/>
  <c r="U279" i="5" s="1"/>
  <c r="C1687" i="16"/>
  <c r="C1685" i="16"/>
  <c r="C1686" i="16"/>
  <c r="C1682" i="16"/>
  <c r="C1684" i="16"/>
  <c r="C1683" i="16"/>
  <c r="D1704" i="16"/>
  <c r="D1701" i="16"/>
  <c r="D1702" i="16"/>
  <c r="D1705" i="16"/>
  <c r="D1703" i="16"/>
  <c r="D1700" i="16"/>
  <c r="E1718" i="16"/>
  <c r="E1723" i="16"/>
  <c r="E1719" i="16"/>
  <c r="E1721" i="16"/>
  <c r="E1720" i="16"/>
  <c r="E1722" i="16"/>
  <c r="F1736" i="16"/>
  <c r="F1739" i="16"/>
  <c r="F1737" i="16"/>
  <c r="F1740" i="16"/>
  <c r="F1741" i="16"/>
  <c r="F1738" i="16"/>
  <c r="M293" i="5"/>
  <c r="H298" i="5"/>
  <c r="Q298" i="5" s="1"/>
  <c r="R298" i="5" s="1"/>
  <c r="F299" i="15"/>
  <c r="P299" i="5"/>
  <c r="D1795" i="16"/>
  <c r="D1793" i="16"/>
  <c r="D1792" i="16"/>
  <c r="D1790" i="16"/>
  <c r="D1791" i="16"/>
  <c r="D1794" i="16"/>
  <c r="B1796" i="16"/>
  <c r="B1799" i="16"/>
  <c r="B1798" i="16"/>
  <c r="B1797" i="16"/>
  <c r="B1801" i="16"/>
  <c r="B1800" i="16"/>
  <c r="B1847" i="16"/>
  <c r="B1844" i="16"/>
  <c r="B1845" i="16"/>
  <c r="B1846" i="16"/>
  <c r="B1849" i="16"/>
  <c r="B1848" i="16"/>
  <c r="M312" i="5"/>
  <c r="H314" i="5"/>
  <c r="F315" i="15"/>
  <c r="P315" i="5"/>
  <c r="D1889" i="16"/>
  <c r="D1891" i="16"/>
  <c r="D1888" i="16"/>
  <c r="D1890" i="16"/>
  <c r="D1887" i="16"/>
  <c r="D1886" i="16"/>
  <c r="B1895" i="16"/>
  <c r="B1892" i="16"/>
  <c r="B1896" i="16"/>
  <c r="B1894" i="16"/>
  <c r="B1897" i="16"/>
  <c r="B1893" i="16"/>
  <c r="F1929" i="16"/>
  <c r="F1930" i="16"/>
  <c r="F1933" i="16"/>
  <c r="F1928" i="16"/>
  <c r="F1932" i="16"/>
  <c r="F1931" i="16"/>
  <c r="B1943" i="16"/>
  <c r="B1940" i="16"/>
  <c r="B1942" i="16"/>
  <c r="B1945" i="16"/>
  <c r="B1941" i="16"/>
  <c r="B1944" i="16"/>
  <c r="M328" i="5"/>
  <c r="H330" i="5"/>
  <c r="G331" i="5"/>
  <c r="M334" i="5"/>
  <c r="B1263" i="16"/>
  <c r="B1266" i="16"/>
  <c r="B1265" i="16"/>
  <c r="B1264" i="16"/>
  <c r="B1262" i="16"/>
  <c r="B1267" i="16"/>
  <c r="C1284" i="16"/>
  <c r="C1283" i="16"/>
  <c r="C1280" i="16"/>
  <c r="C1285" i="16"/>
  <c r="C1281" i="16"/>
  <c r="C1282" i="16"/>
  <c r="D1300" i="16"/>
  <c r="D1301" i="16"/>
  <c r="D1303" i="16"/>
  <c r="D1299" i="16"/>
  <c r="D1302" i="16"/>
  <c r="D1298" i="16"/>
  <c r="E1321" i="16"/>
  <c r="E1319" i="16"/>
  <c r="E1316" i="16"/>
  <c r="E1318" i="16"/>
  <c r="E1317" i="16"/>
  <c r="E1320" i="16"/>
  <c r="F1337" i="16"/>
  <c r="F1336" i="16"/>
  <c r="F1339" i="16"/>
  <c r="F1335" i="16"/>
  <c r="F1334" i="16"/>
  <c r="F1338" i="16"/>
  <c r="B1359" i="16"/>
  <c r="B1363" i="16"/>
  <c r="B1358" i="16"/>
  <c r="B1362" i="16"/>
  <c r="B1361" i="16"/>
  <c r="B1360" i="16"/>
  <c r="C1379" i="16"/>
  <c r="C1380" i="16"/>
  <c r="C1376" i="16"/>
  <c r="C1378" i="16"/>
  <c r="C1381" i="16"/>
  <c r="C1377" i="16"/>
  <c r="D1394" i="16"/>
  <c r="D1396" i="16"/>
  <c r="D1395" i="16"/>
  <c r="D1399" i="16"/>
  <c r="D1398" i="16"/>
  <c r="D1397" i="16"/>
  <c r="E1416" i="16"/>
  <c r="E1417" i="16"/>
  <c r="E1414" i="16"/>
  <c r="E1413" i="16"/>
  <c r="E1412" i="16"/>
  <c r="E1415" i="16"/>
  <c r="F1434" i="16"/>
  <c r="F1431" i="16"/>
  <c r="F1433" i="16"/>
  <c r="F1432" i="16"/>
  <c r="F1430" i="16"/>
  <c r="F1435" i="16"/>
  <c r="B1459" i="16"/>
  <c r="B1454" i="16"/>
  <c r="B1455" i="16"/>
  <c r="B1458" i="16"/>
  <c r="B1457" i="16"/>
  <c r="B1456" i="16"/>
  <c r="D1495" i="16"/>
  <c r="D1492" i="16"/>
  <c r="D1494" i="16"/>
  <c r="D1491" i="16"/>
  <c r="D1490" i="16"/>
  <c r="D1493" i="16"/>
  <c r="E1512" i="16"/>
  <c r="E1509" i="16"/>
  <c r="E1511" i="16"/>
  <c r="E1513" i="16"/>
  <c r="E1508" i="16"/>
  <c r="E1510" i="16"/>
  <c r="F1527" i="16"/>
  <c r="F1530" i="16"/>
  <c r="F1526" i="16"/>
  <c r="F1529" i="16"/>
  <c r="F1528" i="16"/>
  <c r="F1531" i="16"/>
  <c r="M258" i="5"/>
  <c r="B1555" i="16"/>
  <c r="B1551" i="16"/>
  <c r="B1554" i="16"/>
  <c r="B1553" i="16"/>
  <c r="B1552" i="16"/>
  <c r="B1550" i="16"/>
  <c r="S260" i="5"/>
  <c r="C1569" i="16"/>
  <c r="C1572" i="16"/>
  <c r="C1568" i="16"/>
  <c r="C1571" i="16"/>
  <c r="C1570" i="16"/>
  <c r="C1573" i="16"/>
  <c r="D1589" i="16"/>
  <c r="D1586" i="16"/>
  <c r="D1588" i="16"/>
  <c r="D1587" i="16"/>
  <c r="D1591" i="16"/>
  <c r="D1590" i="16"/>
  <c r="E1606" i="16"/>
  <c r="E1609" i="16"/>
  <c r="E1605" i="16"/>
  <c r="E1608" i="16"/>
  <c r="E1607" i="16"/>
  <c r="E1604" i="16"/>
  <c r="F1627" i="16"/>
  <c r="F1623" i="16"/>
  <c r="F1626" i="16"/>
  <c r="F1622" i="16"/>
  <c r="F1625" i="16"/>
  <c r="F1624" i="16"/>
  <c r="M274" i="5"/>
  <c r="G275" i="5"/>
  <c r="B1650" i="16"/>
  <c r="B1647" i="16"/>
  <c r="B1646" i="16"/>
  <c r="B1649" i="16"/>
  <c r="B1651" i="16"/>
  <c r="B1648" i="16"/>
  <c r="S276" i="5"/>
  <c r="C1665" i="16"/>
  <c r="C1667" i="16"/>
  <c r="C1668" i="16"/>
  <c r="C1666" i="16"/>
  <c r="C1664" i="16"/>
  <c r="C1669" i="16"/>
  <c r="D1687" i="16"/>
  <c r="D1684" i="16"/>
  <c r="D1686" i="16"/>
  <c r="D1682" i="16"/>
  <c r="D1685" i="16"/>
  <c r="D1683" i="16"/>
  <c r="E1702" i="16"/>
  <c r="E1704" i="16"/>
  <c r="E1701" i="16"/>
  <c r="E1705" i="16"/>
  <c r="E1703" i="16"/>
  <c r="E1700" i="16"/>
  <c r="F1720" i="16"/>
  <c r="F1719" i="16"/>
  <c r="F1722" i="16"/>
  <c r="F1723" i="16"/>
  <c r="F1721" i="16"/>
  <c r="F1718" i="16"/>
  <c r="M290" i="5"/>
  <c r="G291" i="5"/>
  <c r="B1742" i="16"/>
  <c r="B1743" i="16"/>
  <c r="B1746" i="16"/>
  <c r="B1745" i="16"/>
  <c r="B1744" i="16"/>
  <c r="B1747" i="16"/>
  <c r="S292" i="5"/>
  <c r="E1763" i="16"/>
  <c r="E1762" i="16"/>
  <c r="E1765" i="16"/>
  <c r="E1761" i="16"/>
  <c r="E1760" i="16"/>
  <c r="E1764" i="16"/>
  <c r="G299" i="5"/>
  <c r="E1790" i="16"/>
  <c r="E1795" i="16"/>
  <c r="E1793" i="16"/>
  <c r="E1794" i="16"/>
  <c r="E1792" i="16"/>
  <c r="E1791" i="16"/>
  <c r="C1799" i="16"/>
  <c r="C1801" i="16"/>
  <c r="C1797" i="16"/>
  <c r="C1798" i="16"/>
  <c r="C1796" i="16"/>
  <c r="C1800" i="16"/>
  <c r="E1841" i="16"/>
  <c r="E1838" i="16"/>
  <c r="E1843" i="16"/>
  <c r="E1842" i="16"/>
  <c r="E1840" i="16"/>
  <c r="E1839" i="16"/>
  <c r="C1847" i="16"/>
  <c r="C1844" i="16"/>
  <c r="C1849" i="16"/>
  <c r="C1846" i="16"/>
  <c r="C1845" i="16"/>
  <c r="C1848" i="16"/>
  <c r="G315" i="5"/>
  <c r="E1889" i="16"/>
  <c r="E1886" i="16"/>
  <c r="E1891" i="16"/>
  <c r="E1887" i="16"/>
  <c r="E1888" i="16"/>
  <c r="E1890" i="16"/>
  <c r="C1895" i="16"/>
  <c r="C1892" i="16"/>
  <c r="C1897" i="16"/>
  <c r="C1894" i="16"/>
  <c r="C1896" i="16"/>
  <c r="C1893" i="16"/>
  <c r="E1937" i="16"/>
  <c r="E1934" i="16"/>
  <c r="E1939" i="16"/>
  <c r="E1938" i="16"/>
  <c r="E1936" i="16"/>
  <c r="E1935" i="16"/>
  <c r="C1943" i="16"/>
  <c r="C1940" i="16"/>
  <c r="C1945" i="16"/>
  <c r="C1942" i="16"/>
  <c r="C1944" i="16"/>
  <c r="C1941" i="16"/>
  <c r="U326" i="5"/>
  <c r="P327" i="5"/>
  <c r="D2012" i="16"/>
  <c r="D2017" i="16"/>
  <c r="D2016" i="16"/>
  <c r="D2015" i="16"/>
  <c r="D2014" i="16"/>
  <c r="D2013" i="16"/>
  <c r="B1440" i="16"/>
  <c r="B1437" i="16"/>
  <c r="B1438" i="16"/>
  <c r="B1436" i="16"/>
  <c r="B1441" i="16"/>
  <c r="B1439" i="16"/>
  <c r="C1459" i="16"/>
  <c r="C1456" i="16"/>
  <c r="C1454" i="16"/>
  <c r="C1457" i="16"/>
  <c r="C1455" i="16"/>
  <c r="C1458" i="16"/>
  <c r="D1474" i="16"/>
  <c r="D1473" i="16"/>
  <c r="D1476" i="16"/>
  <c r="D1472" i="16"/>
  <c r="D1477" i="16"/>
  <c r="D1475" i="16"/>
  <c r="E1493" i="16"/>
  <c r="E1495" i="16"/>
  <c r="E1492" i="16"/>
  <c r="E1490" i="16"/>
  <c r="E1494" i="16"/>
  <c r="E1491" i="16"/>
  <c r="F1509" i="16"/>
  <c r="F1510" i="16"/>
  <c r="F1508" i="16"/>
  <c r="F1513" i="16"/>
  <c r="F1512" i="16"/>
  <c r="F1511" i="16"/>
  <c r="M255" i="5"/>
  <c r="B1534" i="16"/>
  <c r="B1537" i="16"/>
  <c r="B1533" i="16"/>
  <c r="B1536" i="16"/>
  <c r="B1535" i="16"/>
  <c r="B1532" i="16"/>
  <c r="C1555" i="16"/>
  <c r="C1552" i="16"/>
  <c r="C1554" i="16"/>
  <c r="C1550" i="16"/>
  <c r="C1553" i="16"/>
  <c r="C1551" i="16"/>
  <c r="D1572" i="16"/>
  <c r="D1569" i="16"/>
  <c r="D1571" i="16"/>
  <c r="D1570" i="16"/>
  <c r="D1568" i="16"/>
  <c r="D1573" i="16"/>
  <c r="E1590" i="16"/>
  <c r="E1586" i="16"/>
  <c r="E1589" i="16"/>
  <c r="E1588" i="16"/>
  <c r="E1591" i="16"/>
  <c r="E1587" i="16"/>
  <c r="F1606" i="16"/>
  <c r="F1609" i="16"/>
  <c r="F1605" i="16"/>
  <c r="F1608" i="16"/>
  <c r="F1607" i="16"/>
  <c r="F1604" i="16"/>
  <c r="M271" i="5"/>
  <c r="B1632" i="16"/>
  <c r="B1629" i="16"/>
  <c r="B1631" i="16"/>
  <c r="B1630" i="16"/>
  <c r="B1628" i="16"/>
  <c r="B1633" i="16"/>
  <c r="C1649" i="16"/>
  <c r="C1650" i="16"/>
  <c r="C1647" i="16"/>
  <c r="C1646" i="16"/>
  <c r="C1651" i="16"/>
  <c r="C1648" i="16"/>
  <c r="D1667" i="16"/>
  <c r="D1664" i="16"/>
  <c r="D1666" i="16"/>
  <c r="D1668" i="16"/>
  <c r="D1669" i="16"/>
  <c r="D1665" i="16"/>
  <c r="E1686" i="16"/>
  <c r="E1687" i="16"/>
  <c r="E1684" i="16"/>
  <c r="E1685" i="16"/>
  <c r="E1683" i="16"/>
  <c r="E1682" i="16"/>
  <c r="F1701" i="16"/>
  <c r="F1702" i="16"/>
  <c r="F1705" i="16"/>
  <c r="F1704" i="16"/>
  <c r="F1700" i="16"/>
  <c r="F1703" i="16"/>
  <c r="M287" i="5"/>
  <c r="B1726" i="16"/>
  <c r="B1729" i="16"/>
  <c r="B1725" i="16"/>
  <c r="B1728" i="16"/>
  <c r="B1724" i="16"/>
  <c r="B1727" i="16"/>
  <c r="C1745" i="16"/>
  <c r="C1742" i="16"/>
  <c r="C1746" i="16"/>
  <c r="C1744" i="16"/>
  <c r="C1743" i="16"/>
  <c r="C1747" i="16"/>
  <c r="P293" i="5"/>
  <c r="F1760" i="16"/>
  <c r="F1765" i="16"/>
  <c r="F1761" i="16"/>
  <c r="F1764" i="16"/>
  <c r="F1763" i="16"/>
  <c r="F1762" i="16"/>
  <c r="B1766" i="16"/>
  <c r="B1769" i="16"/>
  <c r="B1770" i="16"/>
  <c r="B1767" i="16"/>
  <c r="B1771" i="16"/>
  <c r="B1768" i="16"/>
  <c r="P297" i="5"/>
  <c r="F300" i="15"/>
  <c r="M300" i="5"/>
  <c r="N300" i="5" s="1"/>
  <c r="O300" i="5" s="1"/>
  <c r="D301" i="15"/>
  <c r="G301" i="5"/>
  <c r="M305" i="5"/>
  <c r="F308" i="15"/>
  <c r="S308" i="5"/>
  <c r="T308" i="5" s="1"/>
  <c r="D1844" i="16"/>
  <c r="D1849" i="16"/>
  <c r="D1845" i="16"/>
  <c r="D1847" i="16"/>
  <c r="D1846" i="16"/>
  <c r="D1848" i="16"/>
  <c r="B1855" i="16"/>
  <c r="B1852" i="16"/>
  <c r="B1850" i="16"/>
  <c r="B1851" i="16"/>
  <c r="B1854" i="16"/>
  <c r="B1853" i="16"/>
  <c r="P313" i="5"/>
  <c r="F316" i="15"/>
  <c r="M316" i="5"/>
  <c r="N316" i="5" s="1"/>
  <c r="O316" i="5" s="1"/>
  <c r="D317" i="15"/>
  <c r="G317" i="5"/>
  <c r="M321" i="5"/>
  <c r="F324" i="15"/>
  <c r="S324" i="5"/>
  <c r="T324" i="5" s="1"/>
  <c r="D1940" i="16"/>
  <c r="D1945" i="16"/>
  <c r="D1943" i="16"/>
  <c r="D1942" i="16"/>
  <c r="D1944" i="16"/>
  <c r="D1941" i="16"/>
  <c r="B1951" i="16"/>
  <c r="B1948" i="16"/>
  <c r="B1947" i="16"/>
  <c r="B1946" i="16"/>
  <c r="B1949" i="16"/>
  <c r="B1950" i="16"/>
  <c r="V326" i="5"/>
  <c r="W326" i="5" s="1"/>
  <c r="P329" i="5"/>
  <c r="P332" i="5"/>
  <c r="B2007" i="16"/>
  <c r="B2011" i="16"/>
  <c r="B2006" i="16"/>
  <c r="B2010" i="16"/>
  <c r="B2009" i="16"/>
  <c r="B2008" i="16"/>
  <c r="E2012" i="16"/>
  <c r="E2017" i="16"/>
  <c r="E2014" i="16"/>
  <c r="E2016" i="16"/>
  <c r="E2015" i="16"/>
  <c r="E2013" i="16"/>
  <c r="C1903" i="16"/>
  <c r="C1900" i="16"/>
  <c r="C1902" i="16"/>
  <c r="C1901" i="16"/>
  <c r="C1898" i="16"/>
  <c r="C1899" i="16"/>
  <c r="U324" i="5"/>
  <c r="E1940" i="16"/>
  <c r="E1945" i="16"/>
  <c r="E1942" i="16"/>
  <c r="E1944" i="16"/>
  <c r="E1943" i="16"/>
  <c r="E1941" i="16"/>
  <c r="C1951" i="16"/>
  <c r="C1948" i="16"/>
  <c r="C1950" i="16"/>
  <c r="C1946" i="16"/>
  <c r="C1947" i="16"/>
  <c r="C1949" i="16"/>
  <c r="F337" i="15"/>
  <c r="S337" i="5"/>
  <c r="P337" i="5"/>
  <c r="M337" i="5"/>
  <c r="E1166" i="16"/>
  <c r="E1171" i="16"/>
  <c r="E1168" i="16"/>
  <c r="E1167" i="16"/>
  <c r="E1170" i="16"/>
  <c r="E1169" i="16"/>
  <c r="B1211" i="16"/>
  <c r="B1208" i="16"/>
  <c r="B1213" i="16"/>
  <c r="B1210" i="16"/>
  <c r="B1212" i="16"/>
  <c r="B1209" i="16"/>
  <c r="C1231" i="16"/>
  <c r="C1228" i="16"/>
  <c r="C1227" i="16"/>
  <c r="C1230" i="16"/>
  <c r="C1229" i="16"/>
  <c r="C1226" i="16"/>
  <c r="D1248" i="16"/>
  <c r="D1245" i="16"/>
  <c r="D1244" i="16"/>
  <c r="D1249" i="16"/>
  <c r="D1246" i="16"/>
  <c r="D1247" i="16"/>
  <c r="E1262" i="16"/>
  <c r="E1263" i="16"/>
  <c r="E1266" i="16"/>
  <c r="E1264" i="16"/>
  <c r="E1267" i="16"/>
  <c r="E1265" i="16"/>
  <c r="F1281" i="16"/>
  <c r="F1284" i="16"/>
  <c r="F1280" i="16"/>
  <c r="F1283" i="16"/>
  <c r="F1282" i="16"/>
  <c r="F1285" i="16"/>
  <c r="G218" i="5"/>
  <c r="B1306" i="16"/>
  <c r="B1309" i="16"/>
  <c r="B1305" i="16"/>
  <c r="B1304" i="16"/>
  <c r="B1308" i="16"/>
  <c r="B1307" i="16"/>
  <c r="C1324" i="16"/>
  <c r="C1326" i="16"/>
  <c r="C1323" i="16"/>
  <c r="C1327" i="16"/>
  <c r="C1322" i="16"/>
  <c r="C1325" i="16"/>
  <c r="D1340" i="16"/>
  <c r="D1344" i="16"/>
  <c r="D1341" i="16"/>
  <c r="D1343" i="16"/>
  <c r="D1342" i="16"/>
  <c r="D1345" i="16"/>
  <c r="E1361" i="16"/>
  <c r="E1359" i="16"/>
  <c r="E1362" i="16"/>
  <c r="E1358" i="16"/>
  <c r="E1363" i="16"/>
  <c r="E1360" i="16"/>
  <c r="F1380" i="16"/>
  <c r="F1377" i="16"/>
  <c r="F1379" i="16"/>
  <c r="F1381" i="16"/>
  <c r="F1376" i="16"/>
  <c r="F1378" i="16"/>
  <c r="G234" i="5"/>
  <c r="C1419" i="16"/>
  <c r="C1423" i="16"/>
  <c r="C1420" i="16"/>
  <c r="C1422" i="16"/>
  <c r="C1418" i="16"/>
  <c r="C1421" i="16"/>
  <c r="D1437" i="16"/>
  <c r="D1440" i="16"/>
  <c r="D1441" i="16"/>
  <c r="D1439" i="16"/>
  <c r="D1438" i="16"/>
  <c r="D1436" i="16"/>
  <c r="G250" i="5"/>
  <c r="B1501" i="16"/>
  <c r="B1498" i="16"/>
  <c r="B1496" i="16"/>
  <c r="B1500" i="16"/>
  <c r="B1499" i="16"/>
  <c r="B1497" i="16"/>
  <c r="C1515" i="16"/>
  <c r="C1518" i="16"/>
  <c r="C1514" i="16"/>
  <c r="C1517" i="16"/>
  <c r="C1519" i="16"/>
  <c r="C1516" i="16"/>
  <c r="D1536" i="16"/>
  <c r="D1534" i="16"/>
  <c r="D1537" i="16"/>
  <c r="D1533" i="16"/>
  <c r="D1535" i="16"/>
  <c r="D1532" i="16"/>
  <c r="P258" i="5"/>
  <c r="E1552" i="16"/>
  <c r="E1550" i="16"/>
  <c r="E1553" i="16"/>
  <c r="E1554" i="16"/>
  <c r="E1551" i="16"/>
  <c r="E1555" i="16"/>
  <c r="F1570" i="16"/>
  <c r="F1573" i="16"/>
  <c r="F1568" i="16"/>
  <c r="F1572" i="16"/>
  <c r="F1569" i="16"/>
  <c r="F1571" i="16"/>
  <c r="M265" i="5"/>
  <c r="G266" i="5"/>
  <c r="B1595" i="16"/>
  <c r="B1592" i="16"/>
  <c r="B1596" i="16"/>
  <c r="B1594" i="16"/>
  <c r="B1597" i="16"/>
  <c r="B1593" i="16"/>
  <c r="C1612" i="16"/>
  <c r="C1610" i="16"/>
  <c r="C1613" i="16"/>
  <c r="C1611" i="16"/>
  <c r="C1615" i="16"/>
  <c r="C1614" i="16"/>
  <c r="D1631" i="16"/>
  <c r="D1630" i="16"/>
  <c r="D1633" i="16"/>
  <c r="D1632" i="16"/>
  <c r="D1629" i="16"/>
  <c r="D1628" i="16"/>
  <c r="P274" i="5"/>
  <c r="E1646" i="16"/>
  <c r="E1650" i="16"/>
  <c r="E1649" i="16"/>
  <c r="E1648" i="16"/>
  <c r="E1651" i="16"/>
  <c r="E1647" i="16"/>
  <c r="F1664" i="16"/>
  <c r="F1667" i="16"/>
  <c r="F1669" i="16"/>
  <c r="F1666" i="16"/>
  <c r="F1665" i="16"/>
  <c r="F1668" i="16"/>
  <c r="M281" i="5"/>
  <c r="B1693" i="16"/>
  <c r="B1690" i="16"/>
  <c r="B1692" i="16"/>
  <c r="B1691" i="16"/>
  <c r="B1689" i="16"/>
  <c r="B1688" i="16"/>
  <c r="C1710" i="16"/>
  <c r="C1707" i="16"/>
  <c r="C1709" i="16"/>
  <c r="C1708" i="16"/>
  <c r="C1711" i="16"/>
  <c r="C1706" i="16"/>
  <c r="D1726" i="16"/>
  <c r="D1729" i="16"/>
  <c r="D1728" i="16"/>
  <c r="D1724" i="16"/>
  <c r="D1727" i="16"/>
  <c r="D1725" i="16"/>
  <c r="P290" i="5"/>
  <c r="E1742" i="16"/>
  <c r="E1747" i="16"/>
  <c r="E1745" i="16"/>
  <c r="E1744" i="16"/>
  <c r="E1743" i="16"/>
  <c r="E1746" i="16"/>
  <c r="D1771" i="16"/>
  <c r="D1769" i="16"/>
  <c r="D1768" i="16"/>
  <c r="D1766" i="16"/>
  <c r="D1770" i="16"/>
  <c r="D1767" i="16"/>
  <c r="D1804" i="16"/>
  <c r="D1805" i="16"/>
  <c r="D1803" i="16"/>
  <c r="D1802" i="16"/>
  <c r="D1807" i="16"/>
  <c r="D1806" i="16"/>
  <c r="B1812" i="16"/>
  <c r="B1810" i="16"/>
  <c r="B1809" i="16"/>
  <c r="B1813" i="16"/>
  <c r="B1808" i="16"/>
  <c r="B1811" i="16"/>
  <c r="P306" i="5"/>
  <c r="F309" i="15"/>
  <c r="P309" i="5"/>
  <c r="Q309" i="5" s="1"/>
  <c r="R309" i="5" s="1"/>
  <c r="D1852" i="16"/>
  <c r="D1853" i="16"/>
  <c r="D1851" i="16"/>
  <c r="D1850" i="16"/>
  <c r="D1855" i="16"/>
  <c r="D1854" i="16"/>
  <c r="B1860" i="16"/>
  <c r="B1858" i="16"/>
  <c r="B1857" i="16"/>
  <c r="B1856" i="16"/>
  <c r="B1861" i="16"/>
  <c r="B1859" i="16"/>
  <c r="D1900" i="16"/>
  <c r="D1903" i="16"/>
  <c r="D1902" i="16"/>
  <c r="D1898" i="16"/>
  <c r="D1901" i="16"/>
  <c r="D1899" i="16"/>
  <c r="B1908" i="16"/>
  <c r="B1909" i="16"/>
  <c r="B1904" i="16"/>
  <c r="B1907" i="16"/>
  <c r="B1906" i="16"/>
  <c r="B1905" i="16"/>
  <c r="P322" i="5"/>
  <c r="H324" i="5"/>
  <c r="Q324" i="5" s="1"/>
  <c r="R324" i="5" s="1"/>
  <c r="F325" i="15"/>
  <c r="P325" i="5"/>
  <c r="Q325" i="5" s="1"/>
  <c r="R325" i="5" s="1"/>
  <c r="D1948" i="16"/>
  <c r="D1947" i="16"/>
  <c r="D1951" i="16"/>
  <c r="D1950" i="16"/>
  <c r="D1946" i="16"/>
  <c r="D1949" i="16"/>
  <c r="B1956" i="16"/>
  <c r="B1952" i="16"/>
  <c r="B1955" i="16"/>
  <c r="B1957" i="16"/>
  <c r="B1954" i="16"/>
  <c r="B1953" i="16"/>
  <c r="S327" i="5"/>
  <c r="M331" i="5"/>
  <c r="G337" i="5"/>
  <c r="E1536" i="16"/>
  <c r="E1533" i="16"/>
  <c r="E1534" i="16"/>
  <c r="E1537" i="16"/>
  <c r="E1532" i="16"/>
  <c r="E1535" i="16"/>
  <c r="F1550" i="16"/>
  <c r="F1553" i="16"/>
  <c r="F1554" i="16"/>
  <c r="F1552" i="16"/>
  <c r="F1551" i="16"/>
  <c r="F1555" i="16"/>
  <c r="B1578" i="16"/>
  <c r="B1575" i="16"/>
  <c r="B1574" i="16"/>
  <c r="B1577" i="16"/>
  <c r="B1576" i="16"/>
  <c r="B1579" i="16"/>
  <c r="C1593" i="16"/>
  <c r="C1592" i="16"/>
  <c r="C1596" i="16"/>
  <c r="C1595" i="16"/>
  <c r="C1594" i="16"/>
  <c r="C1597" i="16"/>
  <c r="D1610" i="16"/>
  <c r="D1613" i="16"/>
  <c r="D1612" i="16"/>
  <c r="D1615" i="16"/>
  <c r="D1614" i="16"/>
  <c r="D1611" i="16"/>
  <c r="E1630" i="16"/>
  <c r="E1633" i="16"/>
  <c r="E1632" i="16"/>
  <c r="E1631" i="16"/>
  <c r="E1628" i="16"/>
  <c r="E1629" i="16"/>
  <c r="F1647" i="16"/>
  <c r="F1649" i="16"/>
  <c r="F1648" i="16"/>
  <c r="F1651" i="16"/>
  <c r="F1650" i="16"/>
  <c r="F1646" i="16"/>
  <c r="B1673" i="16"/>
  <c r="B1670" i="16"/>
  <c r="B1671" i="16"/>
  <c r="B1672" i="16"/>
  <c r="B1675" i="16"/>
  <c r="B1674" i="16"/>
  <c r="C1689" i="16"/>
  <c r="C1693" i="16"/>
  <c r="C1690" i="16"/>
  <c r="C1688" i="16"/>
  <c r="C1691" i="16"/>
  <c r="C1692" i="16"/>
  <c r="D1707" i="16"/>
  <c r="D1709" i="16"/>
  <c r="D1710" i="16"/>
  <c r="D1708" i="16"/>
  <c r="D1706" i="16"/>
  <c r="D1711" i="16"/>
  <c r="E1726" i="16"/>
  <c r="E1729" i="16"/>
  <c r="E1728" i="16"/>
  <c r="E1724" i="16"/>
  <c r="E1727" i="16"/>
  <c r="E1725" i="16"/>
  <c r="F1744" i="16"/>
  <c r="F1742" i="16"/>
  <c r="F1745" i="16"/>
  <c r="F1743" i="16"/>
  <c r="F1747" i="16"/>
  <c r="F1746" i="16"/>
  <c r="S293" i="5"/>
  <c r="E1766" i="16"/>
  <c r="E1771" i="16"/>
  <c r="E1768" i="16"/>
  <c r="E1769" i="16"/>
  <c r="E1770" i="16"/>
  <c r="E1767" i="16"/>
  <c r="S297" i="5"/>
  <c r="E1804" i="16"/>
  <c r="E1803" i="16"/>
  <c r="E1807" i="16"/>
  <c r="E1802" i="16"/>
  <c r="E1806" i="16"/>
  <c r="E1805" i="16"/>
  <c r="C1812" i="16"/>
  <c r="C1813" i="16"/>
  <c r="C1809" i="16"/>
  <c r="C1808" i="16"/>
  <c r="C1810" i="16"/>
  <c r="C1811" i="16"/>
  <c r="P305" i="5"/>
  <c r="O309" i="5"/>
  <c r="E1852" i="16"/>
  <c r="E1854" i="16"/>
  <c r="E1851" i="16"/>
  <c r="E1850" i="16"/>
  <c r="E1855" i="16"/>
  <c r="E1853" i="16"/>
  <c r="S313" i="5"/>
  <c r="E1900" i="16"/>
  <c r="E1902" i="16"/>
  <c r="E1899" i="16"/>
  <c r="E1901" i="16"/>
  <c r="E1903" i="16"/>
  <c r="E1898" i="16"/>
  <c r="C1908" i="16"/>
  <c r="C1905" i="16"/>
  <c r="C1904" i="16"/>
  <c r="C1909" i="16"/>
  <c r="C1907" i="16"/>
  <c r="C1906" i="16"/>
  <c r="P321" i="5"/>
  <c r="O325" i="5"/>
  <c r="E1948" i="16"/>
  <c r="E1950" i="16"/>
  <c r="E1947" i="16"/>
  <c r="E1951" i="16"/>
  <c r="E1946" i="16"/>
  <c r="E1949" i="16"/>
  <c r="S329" i="5"/>
  <c r="S332" i="5"/>
  <c r="B2004" i="16"/>
  <c r="B2003" i="16"/>
  <c r="B2001" i="16"/>
  <c r="B2002" i="16"/>
  <c r="B2000" i="16"/>
  <c r="B2005" i="16"/>
  <c r="E2004" i="16"/>
  <c r="E2001" i="16"/>
  <c r="E2003" i="16"/>
  <c r="E2002" i="16"/>
  <c r="E2005" i="16"/>
  <c r="E2000" i="16"/>
  <c r="E1985" i="16"/>
  <c r="E1982" i="16"/>
  <c r="E1987" i="16"/>
  <c r="E1984" i="16"/>
  <c r="E1983" i="16"/>
  <c r="E1986" i="16"/>
  <c r="C2007" i="16"/>
  <c r="C2009" i="16"/>
  <c r="C2006" i="16"/>
  <c r="C2011" i="16"/>
  <c r="C2010" i="16"/>
  <c r="C2008" i="16"/>
  <c r="C1991" i="16"/>
  <c r="C1988" i="16"/>
  <c r="C1993" i="16"/>
  <c r="C1990" i="16"/>
  <c r="C1989" i="16"/>
  <c r="C1992" i="16"/>
  <c r="D2009" i="16"/>
  <c r="D2011" i="16"/>
  <c r="D2007" i="16"/>
  <c r="D2006" i="16"/>
  <c r="D2010" i="16"/>
  <c r="D2008" i="16"/>
  <c r="F335" i="15"/>
  <c r="D1988" i="16"/>
  <c r="D1993" i="16"/>
  <c r="D1989" i="16"/>
  <c r="D1991" i="16"/>
  <c r="D1990" i="16"/>
  <c r="D1992" i="16"/>
  <c r="E2009" i="16"/>
  <c r="E2006" i="16"/>
  <c r="E2011" i="16"/>
  <c r="E2007" i="16"/>
  <c r="E2010" i="16"/>
  <c r="E2008" i="16"/>
  <c r="E1796" i="16"/>
  <c r="E1801" i="16"/>
  <c r="E1798" i="16"/>
  <c r="E1797" i="16"/>
  <c r="E1800" i="16"/>
  <c r="E1799" i="16"/>
  <c r="F1817" i="16"/>
  <c r="F1814" i="16"/>
  <c r="F1816" i="16"/>
  <c r="F1819" i="16"/>
  <c r="F1818" i="16"/>
  <c r="F1815" i="16"/>
  <c r="B1839" i="16"/>
  <c r="B1842" i="16"/>
  <c r="B1841" i="16"/>
  <c r="B1838" i="16"/>
  <c r="B1843" i="16"/>
  <c r="B1840" i="16"/>
  <c r="C1860" i="16"/>
  <c r="C1857" i="16"/>
  <c r="C1858" i="16"/>
  <c r="C1856" i="16"/>
  <c r="C1861" i="16"/>
  <c r="C1859" i="16"/>
  <c r="D1876" i="16"/>
  <c r="D1879" i="16"/>
  <c r="D1878" i="16"/>
  <c r="D1875" i="16"/>
  <c r="D1874" i="16"/>
  <c r="D1877" i="16"/>
  <c r="E1892" i="16"/>
  <c r="E1897" i="16"/>
  <c r="E1894" i="16"/>
  <c r="E1893" i="16"/>
  <c r="E1896" i="16"/>
  <c r="E1895" i="16"/>
  <c r="F1913" i="16"/>
  <c r="F1910" i="16"/>
  <c r="F1912" i="16"/>
  <c r="F1915" i="16"/>
  <c r="F1914" i="16"/>
  <c r="F1911" i="16"/>
  <c r="B1935" i="16"/>
  <c r="B1939" i="16"/>
  <c r="B1934" i="16"/>
  <c r="B1938" i="16"/>
  <c r="B1937" i="16"/>
  <c r="B1936" i="16"/>
  <c r="C1956" i="16"/>
  <c r="C1953" i="16"/>
  <c r="C1955" i="16"/>
  <c r="C1952" i="16"/>
  <c r="C1954" i="16"/>
  <c r="C1957" i="16"/>
  <c r="D1972" i="16"/>
  <c r="D1973" i="16"/>
  <c r="D1970" i="16"/>
  <c r="D1971" i="16"/>
  <c r="D1975" i="16"/>
  <c r="D1974" i="16"/>
  <c r="F2009" i="16"/>
  <c r="F2006" i="16"/>
  <c r="F2007" i="16"/>
  <c r="F2010" i="16"/>
  <c r="F2011" i="16"/>
  <c r="F2008" i="16"/>
  <c r="D1763" i="16"/>
  <c r="D1762" i="16"/>
  <c r="D1765" i="16"/>
  <c r="D1761" i="16"/>
  <c r="D1760" i="16"/>
  <c r="D1764" i="16"/>
  <c r="E1782" i="16"/>
  <c r="E1779" i="16"/>
  <c r="E1778" i="16"/>
  <c r="E1781" i="16"/>
  <c r="E1780" i="16"/>
  <c r="E1783" i="16"/>
  <c r="F1801" i="16"/>
  <c r="F1798" i="16"/>
  <c r="F1797" i="16"/>
  <c r="F1800" i="16"/>
  <c r="F1796" i="16"/>
  <c r="F1799" i="16"/>
  <c r="B1823" i="16"/>
  <c r="B1820" i="16"/>
  <c r="B1825" i="16"/>
  <c r="B1821" i="16"/>
  <c r="B1822" i="16"/>
  <c r="B1824" i="16"/>
  <c r="C1839" i="16"/>
  <c r="C1841" i="16"/>
  <c r="C1838" i="16"/>
  <c r="C1840" i="16"/>
  <c r="C1842" i="16"/>
  <c r="C1843" i="16"/>
  <c r="D1860" i="16"/>
  <c r="D1857" i="16"/>
  <c r="D1858" i="16"/>
  <c r="D1856" i="16"/>
  <c r="D1859" i="16"/>
  <c r="D1861" i="16"/>
  <c r="E1876" i="16"/>
  <c r="E1878" i="16"/>
  <c r="E1875" i="16"/>
  <c r="E1874" i="16"/>
  <c r="E1877" i="16"/>
  <c r="E1879" i="16"/>
  <c r="F1897" i="16"/>
  <c r="F1894" i="16"/>
  <c r="F1892" i="16"/>
  <c r="F1893" i="16"/>
  <c r="F1896" i="16"/>
  <c r="F1895" i="16"/>
  <c r="B1919" i="16"/>
  <c r="B1916" i="16"/>
  <c r="B1921" i="16"/>
  <c r="B1917" i="16"/>
  <c r="B1920" i="16"/>
  <c r="B1918" i="16"/>
  <c r="C1935" i="16"/>
  <c r="C1937" i="16"/>
  <c r="C1934" i="16"/>
  <c r="C1938" i="16"/>
  <c r="C1939" i="16"/>
  <c r="C1936" i="16"/>
  <c r="D1956" i="16"/>
  <c r="D1953" i="16"/>
  <c r="D1955" i="16"/>
  <c r="D1952" i="16"/>
  <c r="D1954" i="16"/>
  <c r="D1957" i="16"/>
  <c r="E1972" i="16"/>
  <c r="E1974" i="16"/>
  <c r="E1971" i="16"/>
  <c r="E1970" i="16"/>
  <c r="E1973" i="16"/>
  <c r="E1975" i="16"/>
  <c r="F1993" i="16"/>
  <c r="F1990" i="16"/>
  <c r="F1989" i="16"/>
  <c r="F1991" i="16"/>
  <c r="F1988" i="16"/>
  <c r="F1992" i="16"/>
  <c r="G336" i="5"/>
  <c r="B2015" i="16"/>
  <c r="B2012" i="16"/>
  <c r="B2017" i="16"/>
  <c r="B2016" i="16"/>
  <c r="B2014" i="16"/>
  <c r="B2013" i="16"/>
  <c r="F1778" i="16"/>
  <c r="F1781" i="16"/>
  <c r="F1780" i="16"/>
  <c r="F1782" i="16"/>
  <c r="F1779" i="16"/>
  <c r="F1783" i="16"/>
  <c r="B1807" i="16"/>
  <c r="B1804" i="16"/>
  <c r="B1803" i="16"/>
  <c r="B1802" i="16"/>
  <c r="B1806" i="16"/>
  <c r="B1805" i="16"/>
  <c r="C1823" i="16"/>
  <c r="C1820" i="16"/>
  <c r="C1822" i="16"/>
  <c r="C1825" i="16"/>
  <c r="C1821" i="16"/>
  <c r="C1824" i="16"/>
  <c r="D1841" i="16"/>
  <c r="D1840" i="16"/>
  <c r="D1838" i="16"/>
  <c r="D1843" i="16"/>
  <c r="D1842" i="16"/>
  <c r="D1839" i="16"/>
  <c r="F1878" i="16"/>
  <c r="F1879" i="16"/>
  <c r="F1874" i="16"/>
  <c r="F1877" i="16"/>
  <c r="F1876" i="16"/>
  <c r="F1875" i="16"/>
  <c r="B1903" i="16"/>
  <c r="B1900" i="16"/>
  <c r="B1901" i="16"/>
  <c r="B1899" i="16"/>
  <c r="B1902" i="16"/>
  <c r="B1898" i="16"/>
  <c r="C1919" i="16"/>
  <c r="C1916" i="16"/>
  <c r="C1921" i="16"/>
  <c r="C1918" i="16"/>
  <c r="C1917" i="16"/>
  <c r="C1920" i="16"/>
  <c r="D1937" i="16"/>
  <c r="D1935" i="16"/>
  <c r="D1938" i="16"/>
  <c r="D1939" i="16"/>
  <c r="D1936" i="16"/>
  <c r="D1934" i="16"/>
  <c r="E1956" i="16"/>
  <c r="E1953" i="16"/>
  <c r="E1955" i="16"/>
  <c r="E1952" i="16"/>
  <c r="E1957" i="16"/>
  <c r="E1954" i="16"/>
  <c r="F1974" i="16"/>
  <c r="F1972" i="16"/>
  <c r="F1971" i="16"/>
  <c r="F1970" i="16"/>
  <c r="F1973" i="16"/>
  <c r="F1975" i="16"/>
  <c r="G333" i="5"/>
  <c r="B1999" i="16"/>
  <c r="B1996" i="16"/>
  <c r="B1998" i="16"/>
  <c r="B1994" i="16"/>
  <c r="B1997" i="16"/>
  <c r="B1995" i="16"/>
  <c r="C2015" i="16"/>
  <c r="C2012" i="16"/>
  <c r="C2017" i="16"/>
  <c r="C2014" i="16"/>
  <c r="C2016" i="16"/>
  <c r="C2013" i="16"/>
  <c r="Q66" i="4" l="1"/>
  <c r="R66" i="4" s="1"/>
  <c r="T66" i="4"/>
  <c r="T288" i="4"/>
  <c r="Q288" i="4"/>
  <c r="Q3" i="4"/>
  <c r="R3" i="4" s="1"/>
  <c r="T3" i="4"/>
  <c r="T251" i="4"/>
  <c r="Q251" i="4"/>
  <c r="R251" i="4" s="1"/>
  <c r="T73" i="4"/>
  <c r="Q73" i="4"/>
  <c r="R73" i="4" s="1"/>
  <c r="Q152" i="5"/>
  <c r="R152" i="5" s="1"/>
  <c r="K147" i="15"/>
  <c r="H876" i="16" s="1"/>
  <c r="L65" i="15"/>
  <c r="H385" i="16" s="1"/>
  <c r="K65" i="15"/>
  <c r="H384" i="16" s="1"/>
  <c r="Q247" i="4"/>
  <c r="T247" i="4"/>
  <c r="T165" i="4"/>
  <c r="Q165" i="4"/>
  <c r="T142" i="4"/>
  <c r="Q142" i="4"/>
  <c r="T256" i="4"/>
  <c r="Q256" i="4"/>
  <c r="R219" i="4"/>
  <c r="Q22" i="4"/>
  <c r="T22" i="4"/>
  <c r="T103" i="4"/>
  <c r="Q103" i="4"/>
  <c r="R103" i="4" s="1"/>
  <c r="K133" i="15"/>
  <c r="H792" i="16" s="1"/>
  <c r="T308" i="4"/>
  <c r="Q308" i="4"/>
  <c r="T265" i="4"/>
  <c r="Q265" i="4"/>
  <c r="R265" i="4" s="1"/>
  <c r="Q215" i="4"/>
  <c r="R215" i="4" s="1"/>
  <c r="T215" i="4"/>
  <c r="T84" i="4"/>
  <c r="Q84" i="4"/>
  <c r="T25" i="4"/>
  <c r="Q25" i="4"/>
  <c r="R25" i="4" s="1"/>
  <c r="K240" i="15"/>
  <c r="H1434" i="16" s="1"/>
  <c r="T309" i="4"/>
  <c r="Q309" i="4"/>
  <c r="T185" i="4"/>
  <c r="Q185" i="4"/>
  <c r="T143" i="4"/>
  <c r="Q143" i="4"/>
  <c r="R143" i="4" s="1"/>
  <c r="Q151" i="4"/>
  <c r="T151" i="4"/>
  <c r="T162" i="4"/>
  <c r="Q162" i="4"/>
  <c r="R162" i="4" s="1"/>
  <c r="Q128" i="4"/>
  <c r="R128" i="4" s="1"/>
  <c r="T128" i="4"/>
  <c r="T55" i="4"/>
  <c r="Q55" i="4"/>
  <c r="R84" i="4"/>
  <c r="Q98" i="4"/>
  <c r="T98" i="4"/>
  <c r="Q59" i="4"/>
  <c r="R59" i="4" s="1"/>
  <c r="T59" i="4"/>
  <c r="Q50" i="4"/>
  <c r="R50" i="4" s="1"/>
  <c r="T50" i="4"/>
  <c r="T332" i="4"/>
  <c r="Q332" i="4"/>
  <c r="Q331" i="4"/>
  <c r="R331" i="4" s="1"/>
  <c r="T331" i="4"/>
  <c r="T293" i="4"/>
  <c r="Q293" i="4"/>
  <c r="Q104" i="4"/>
  <c r="R104" i="4" s="1"/>
  <c r="T104" i="4"/>
  <c r="R98" i="4"/>
  <c r="R111" i="4"/>
  <c r="T7" i="4"/>
  <c r="Q7" i="4"/>
  <c r="T157" i="4"/>
  <c r="Q157" i="4"/>
  <c r="R157" i="4" s="1"/>
  <c r="T52" i="4"/>
  <c r="Q52" i="4"/>
  <c r="R52" i="4" s="1"/>
  <c r="L131" i="15"/>
  <c r="H781" i="16" s="1"/>
  <c r="K131" i="15"/>
  <c r="H780" i="16" s="1"/>
  <c r="Q227" i="4"/>
  <c r="R227" i="4" s="1"/>
  <c r="T227" i="4"/>
  <c r="T111" i="4"/>
  <c r="Q111" i="4"/>
  <c r="T276" i="4"/>
  <c r="Q276" i="4"/>
  <c r="R276" i="4" s="1"/>
  <c r="Q300" i="4"/>
  <c r="R300" i="4" s="1"/>
  <c r="T300" i="4"/>
  <c r="T336" i="4"/>
  <c r="Q336" i="4"/>
  <c r="R336" i="4" s="1"/>
  <c r="Q236" i="4"/>
  <c r="R236" i="4" s="1"/>
  <c r="T236" i="4"/>
  <c r="T295" i="4"/>
  <c r="Q295" i="4"/>
  <c r="T298" i="4"/>
  <c r="Q298" i="4"/>
  <c r="R231" i="4"/>
  <c r="T118" i="4"/>
  <c r="Q118" i="4"/>
  <c r="R118" i="4" s="1"/>
  <c r="Q61" i="4"/>
  <c r="R61" i="4" s="1"/>
  <c r="T61" i="4"/>
  <c r="T239" i="4"/>
  <c r="Q239" i="4"/>
  <c r="Q101" i="4"/>
  <c r="T101" i="4"/>
  <c r="Q32" i="4"/>
  <c r="T32" i="4"/>
  <c r="Q106" i="4"/>
  <c r="T106" i="4"/>
  <c r="Q152" i="4"/>
  <c r="T152" i="4"/>
  <c r="L316" i="15"/>
  <c r="H1891" i="16" s="1"/>
  <c r="K316" i="15"/>
  <c r="H1890" i="16" s="1"/>
  <c r="T121" i="4"/>
  <c r="Q121" i="4"/>
  <c r="R121" i="4" s="1"/>
  <c r="T57" i="4"/>
  <c r="Q57" i="4"/>
  <c r="R57" i="4" s="1"/>
  <c r="R298" i="4"/>
  <c r="T68" i="4"/>
  <c r="Q68" i="4"/>
  <c r="R68" i="4" s="1"/>
  <c r="T89" i="4"/>
  <c r="Q89" i="4"/>
  <c r="R89" i="4" s="1"/>
  <c r="Q216" i="4"/>
  <c r="R216" i="4" s="1"/>
  <c r="T216" i="4"/>
  <c r="Q85" i="4"/>
  <c r="T85" i="4"/>
  <c r="Q39" i="4"/>
  <c r="T39" i="4"/>
  <c r="K181" i="15"/>
  <c r="H1080" i="16" s="1"/>
  <c r="Q202" i="4"/>
  <c r="T202" i="4"/>
  <c r="T18" i="4"/>
  <c r="Q18" i="4"/>
  <c r="R18" i="4" s="1"/>
  <c r="T218" i="4"/>
  <c r="Q218" i="4"/>
  <c r="R218" i="4" s="1"/>
  <c r="T261" i="4"/>
  <c r="Q261" i="4"/>
  <c r="Q48" i="4"/>
  <c r="R48" i="4" s="1"/>
  <c r="T48" i="4"/>
  <c r="Q252" i="4"/>
  <c r="R252" i="4" s="1"/>
  <c r="T252" i="4"/>
  <c r="T172" i="4"/>
  <c r="Q172" i="4"/>
  <c r="T86" i="4"/>
  <c r="Q86" i="4"/>
  <c r="R86" i="4" s="1"/>
  <c r="R32" i="4"/>
  <c r="T279" i="4"/>
  <c r="Q279" i="4"/>
  <c r="T193" i="4"/>
  <c r="Q193" i="4"/>
  <c r="T99" i="4"/>
  <c r="Q99" i="4"/>
  <c r="Q291" i="4"/>
  <c r="R291" i="4" s="1"/>
  <c r="T291" i="4"/>
  <c r="R172" i="4"/>
  <c r="T110" i="4"/>
  <c r="Q110" i="4"/>
  <c r="R110" i="4" s="1"/>
  <c r="R7" i="4"/>
  <c r="T125" i="4"/>
  <c r="Q125" i="4"/>
  <c r="T169" i="4"/>
  <c r="Q169" i="4"/>
  <c r="Q168" i="4"/>
  <c r="T168" i="4"/>
  <c r="T38" i="4"/>
  <c r="Q38" i="4"/>
  <c r="R38" i="4" s="1"/>
  <c r="Q117" i="4"/>
  <c r="R117" i="4" s="1"/>
  <c r="T117" i="4"/>
  <c r="R327" i="4"/>
  <c r="T284" i="4"/>
  <c r="Q284" i="4"/>
  <c r="R284" i="4" s="1"/>
  <c r="R202" i="4"/>
  <c r="T175" i="4"/>
  <c r="Q175" i="4"/>
  <c r="R175" i="4" s="1"/>
  <c r="T207" i="4"/>
  <c r="Q207" i="4"/>
  <c r="R207" i="4" s="1"/>
  <c r="T42" i="4"/>
  <c r="Q42" i="4"/>
  <c r="R42" i="4" s="1"/>
  <c r="T231" i="4"/>
  <c r="Q231" i="4"/>
  <c r="R55" i="4"/>
  <c r="T302" i="4"/>
  <c r="Q302" i="4"/>
  <c r="R302" i="4" s="1"/>
  <c r="R95" i="4"/>
  <c r="T122" i="4"/>
  <c r="Q122" i="4"/>
  <c r="R165" i="4"/>
  <c r="T283" i="4"/>
  <c r="Q283" i="4"/>
  <c r="T204" i="4"/>
  <c r="Q204" i="4"/>
  <c r="R204" i="4" s="1"/>
  <c r="Q6" i="4"/>
  <c r="R6" i="4" s="1"/>
  <c r="T6" i="4"/>
  <c r="R125" i="4"/>
  <c r="T88" i="4"/>
  <c r="Q88" i="4"/>
  <c r="Q23" i="4"/>
  <c r="R23" i="4" s="1"/>
  <c r="T23" i="4"/>
  <c r="T156" i="4"/>
  <c r="Q156" i="4"/>
  <c r="T268" i="4"/>
  <c r="Q268" i="4"/>
  <c r="R268" i="4" s="1"/>
  <c r="T234" i="4"/>
  <c r="Q234" i="4"/>
  <c r="R234" i="4" s="1"/>
  <c r="T10" i="4"/>
  <c r="Q10" i="4"/>
  <c r="R10" i="4" s="1"/>
  <c r="R34" i="4"/>
  <c r="Q69" i="4"/>
  <c r="R69" i="4" s="1"/>
  <c r="T69" i="4"/>
  <c r="T155" i="4"/>
  <c r="Q155" i="4"/>
  <c r="Q264" i="4"/>
  <c r="T264" i="4"/>
  <c r="T113" i="4"/>
  <c r="Q113" i="4"/>
  <c r="R113" i="4" s="1"/>
  <c r="T9" i="4"/>
  <c r="Q9" i="4"/>
  <c r="T81" i="4"/>
  <c r="Q81" i="4"/>
  <c r="R81" i="4" s="1"/>
  <c r="Q105" i="4"/>
  <c r="T105" i="4"/>
  <c r="P67" i="4"/>
  <c r="L67" i="4"/>
  <c r="N67" i="4"/>
  <c r="M67" i="4"/>
  <c r="V314" i="5"/>
  <c r="W314" i="5" s="1"/>
  <c r="N314" i="5"/>
  <c r="O314" i="5" s="1"/>
  <c r="J314" i="5"/>
  <c r="I314" i="5"/>
  <c r="F1830" i="16"/>
  <c r="F1828" i="16"/>
  <c r="F1831" i="16"/>
  <c r="F1826" i="16"/>
  <c r="F1829" i="16"/>
  <c r="F1827" i="16"/>
  <c r="F1921" i="16"/>
  <c r="F1918" i="16"/>
  <c r="F1917" i="16"/>
  <c r="F1920" i="16"/>
  <c r="F1916" i="16"/>
  <c r="F1919" i="16"/>
  <c r="F1865" i="16"/>
  <c r="F1862" i="16"/>
  <c r="F1866" i="16"/>
  <c r="F1867" i="16"/>
  <c r="F1863" i="16"/>
  <c r="F1864" i="16"/>
  <c r="G326" i="15"/>
  <c r="H1946" i="16" s="1"/>
  <c r="T318" i="5"/>
  <c r="U318" i="5" s="1"/>
  <c r="H303" i="5"/>
  <c r="H198" i="5"/>
  <c r="I285" i="5"/>
  <c r="V285" i="5"/>
  <c r="W285" i="5" s="1"/>
  <c r="J285" i="5"/>
  <c r="K285" i="5" s="1"/>
  <c r="D1452" i="16"/>
  <c r="D1449" i="16"/>
  <c r="D1453" i="16"/>
  <c r="D1448" i="16"/>
  <c r="D1451" i="16"/>
  <c r="D1450" i="16"/>
  <c r="J289" i="15"/>
  <c r="H1727" i="16" s="1"/>
  <c r="I289" i="15"/>
  <c r="H1726" i="16" s="1"/>
  <c r="J286" i="5"/>
  <c r="I286" i="5"/>
  <c r="V286" i="5"/>
  <c r="W286" i="5" s="1"/>
  <c r="F1265" i="16"/>
  <c r="F1266" i="16"/>
  <c r="F1262" i="16"/>
  <c r="F1264" i="16"/>
  <c r="F1267" i="16"/>
  <c r="F1263" i="16"/>
  <c r="J209" i="5"/>
  <c r="I209" i="5"/>
  <c r="V209" i="5"/>
  <c r="W209" i="5" s="1"/>
  <c r="H190" i="5"/>
  <c r="V296" i="5"/>
  <c r="W296" i="5" s="1"/>
  <c r="J296" i="5"/>
  <c r="I296" i="5"/>
  <c r="K296" i="5" s="1"/>
  <c r="I225" i="15"/>
  <c r="H1342" i="16" s="1"/>
  <c r="D1260" i="16"/>
  <c r="D1257" i="16"/>
  <c r="D1259" i="16"/>
  <c r="D1256" i="16"/>
  <c r="D1261" i="16"/>
  <c r="D1258" i="16"/>
  <c r="H204" i="5"/>
  <c r="V237" i="5"/>
  <c r="W237" i="5" s="1"/>
  <c r="J237" i="5"/>
  <c r="I237" i="5"/>
  <c r="K237" i="5" s="1"/>
  <c r="Q302" i="5"/>
  <c r="R302" i="5" s="1"/>
  <c r="F1533" i="16"/>
  <c r="F1534" i="16"/>
  <c r="F1537" i="16"/>
  <c r="F1536" i="16"/>
  <c r="F1532" i="16"/>
  <c r="F1535" i="16"/>
  <c r="Q270" i="5"/>
  <c r="R270" i="5" s="1"/>
  <c r="D545" i="16"/>
  <c r="D542" i="16"/>
  <c r="D547" i="16"/>
  <c r="D546" i="16"/>
  <c r="D544" i="16"/>
  <c r="D543" i="16"/>
  <c r="Q199" i="5"/>
  <c r="R199" i="5" s="1"/>
  <c r="H199" i="5"/>
  <c r="T164" i="5"/>
  <c r="U164" i="5" s="1"/>
  <c r="H164" i="5"/>
  <c r="F1165" i="16"/>
  <c r="F1162" i="16"/>
  <c r="F1164" i="16"/>
  <c r="F1161" i="16"/>
  <c r="F1163" i="16"/>
  <c r="F1160" i="16"/>
  <c r="D1332" i="16"/>
  <c r="D1331" i="16"/>
  <c r="D1330" i="16"/>
  <c r="D1329" i="16"/>
  <c r="D1333" i="16"/>
  <c r="D1328" i="16"/>
  <c r="F843" i="16"/>
  <c r="F846" i="16"/>
  <c r="F842" i="16"/>
  <c r="F845" i="16"/>
  <c r="F847" i="16"/>
  <c r="F844" i="16"/>
  <c r="T198" i="5"/>
  <c r="U198" i="5" s="1"/>
  <c r="H290" i="5"/>
  <c r="I162" i="5"/>
  <c r="V162" i="5"/>
  <c r="W162" i="5" s="1"/>
  <c r="J162" i="5"/>
  <c r="F1369" i="16"/>
  <c r="F1365" i="16"/>
  <c r="F1368" i="16"/>
  <c r="F1364" i="16"/>
  <c r="F1367" i="16"/>
  <c r="F1366" i="16"/>
  <c r="F645" i="16"/>
  <c r="F648" i="16"/>
  <c r="F647" i="16"/>
  <c r="F646" i="16"/>
  <c r="F644" i="16"/>
  <c r="F649" i="16"/>
  <c r="H93" i="5"/>
  <c r="J194" i="15"/>
  <c r="H1157" i="16" s="1"/>
  <c r="D632" i="16"/>
  <c r="D634" i="16"/>
  <c r="D633" i="16"/>
  <c r="D636" i="16"/>
  <c r="D637" i="16"/>
  <c r="D635" i="16"/>
  <c r="H64" i="5"/>
  <c r="H115" i="15"/>
  <c r="H681" i="16" s="1"/>
  <c r="D523" i="16"/>
  <c r="D520" i="16"/>
  <c r="D519" i="16"/>
  <c r="D522" i="16"/>
  <c r="D521" i="16"/>
  <c r="D518" i="16"/>
  <c r="H134" i="15"/>
  <c r="H795" i="16" s="1"/>
  <c r="G134" i="15"/>
  <c r="H794" i="16" s="1"/>
  <c r="D468" i="16"/>
  <c r="D465" i="16"/>
  <c r="D467" i="16"/>
  <c r="D464" i="16"/>
  <c r="D469" i="16"/>
  <c r="D466" i="16"/>
  <c r="G61" i="15"/>
  <c r="H356" i="16" s="1"/>
  <c r="T22" i="5"/>
  <c r="U22" i="5" s="1"/>
  <c r="D101" i="16"/>
  <c r="D98" i="16"/>
  <c r="D103" i="16"/>
  <c r="D100" i="16"/>
  <c r="D99" i="16"/>
  <c r="D102" i="16"/>
  <c r="F309" i="16"/>
  <c r="F311" i="16"/>
  <c r="F308" i="16"/>
  <c r="F310" i="16"/>
  <c r="F313" i="16"/>
  <c r="F312" i="16"/>
  <c r="P269" i="4"/>
  <c r="L269" i="4"/>
  <c r="M269" i="4" s="1"/>
  <c r="N269" i="4"/>
  <c r="G18" i="1"/>
  <c r="T21" i="5"/>
  <c r="U21" i="5" s="1"/>
  <c r="Q7" i="5"/>
  <c r="R7" i="5" s="1"/>
  <c r="D105" i="16"/>
  <c r="D107" i="16"/>
  <c r="D104" i="16"/>
  <c r="D109" i="16"/>
  <c r="D106" i="16"/>
  <c r="D108" i="16"/>
  <c r="T52" i="5"/>
  <c r="U52" i="5" s="1"/>
  <c r="T83" i="4"/>
  <c r="Q83" i="4"/>
  <c r="R83" i="4" s="1"/>
  <c r="S299" i="4"/>
  <c r="U299" i="4" s="1"/>
  <c r="Q181" i="4"/>
  <c r="R181" i="4" s="1"/>
  <c r="T181" i="4"/>
  <c r="T100" i="4"/>
  <c r="Q100" i="4"/>
  <c r="R100" i="4" s="1"/>
  <c r="Q219" i="4"/>
  <c r="T219" i="4"/>
  <c r="N260" i="4"/>
  <c r="P260" i="4"/>
  <c r="L260" i="4"/>
  <c r="M260" i="4" s="1"/>
  <c r="T127" i="4"/>
  <c r="Q127" i="4"/>
  <c r="R127" i="4" s="1"/>
  <c r="T46" i="4"/>
  <c r="Q46" i="4"/>
  <c r="R46" i="4" s="1"/>
  <c r="L30" i="4"/>
  <c r="M30" i="4" s="1"/>
  <c r="P30" i="4"/>
  <c r="N30" i="4"/>
  <c r="G8" i="1"/>
  <c r="S171" i="4"/>
  <c r="U171" i="4" s="1"/>
  <c r="T129" i="4"/>
  <c r="Q129" i="4"/>
  <c r="T70" i="4"/>
  <c r="Q70" i="4"/>
  <c r="R70" i="4" s="1"/>
  <c r="V3" i="5"/>
  <c r="W3" i="5" s="1"/>
  <c r="J3" i="5"/>
  <c r="I3" i="5"/>
  <c r="T188" i="4"/>
  <c r="Q188" i="4"/>
  <c r="R188" i="4" s="1"/>
  <c r="S5" i="4"/>
  <c r="U5" i="4"/>
  <c r="H243" i="5"/>
  <c r="Q243" i="5" s="1"/>
  <c r="R243" i="5" s="1"/>
  <c r="H332" i="5"/>
  <c r="N332" i="5"/>
  <c r="O332" i="5" s="1"/>
  <c r="J326" i="15"/>
  <c r="H1949" i="16" s="1"/>
  <c r="I326" i="15"/>
  <c r="H1948" i="16" s="1"/>
  <c r="F1902" i="16"/>
  <c r="F1900" i="16"/>
  <c r="F1899" i="16"/>
  <c r="F1898" i="16"/>
  <c r="F1901" i="16"/>
  <c r="F1903" i="16"/>
  <c r="K279" i="15"/>
  <c r="H1668" i="16" s="1"/>
  <c r="N206" i="5"/>
  <c r="O206" i="5" s="1"/>
  <c r="H206" i="5"/>
  <c r="Q196" i="5"/>
  <c r="R196" i="5" s="1"/>
  <c r="V318" i="5"/>
  <c r="W318" i="5" s="1"/>
  <c r="J318" i="5"/>
  <c r="I318" i="5"/>
  <c r="V253" i="5"/>
  <c r="W253" i="5" s="1"/>
  <c r="I253" i="5"/>
  <c r="K253" i="5" s="1"/>
  <c r="J253" i="5"/>
  <c r="N253" i="5"/>
  <c r="O253" i="5" s="1"/>
  <c r="K289" i="15"/>
  <c r="H1728" i="16" s="1"/>
  <c r="F1597" i="16"/>
  <c r="F1594" i="16"/>
  <c r="F1592" i="16"/>
  <c r="F1595" i="16"/>
  <c r="F1596" i="16"/>
  <c r="F1593" i="16"/>
  <c r="H201" i="5"/>
  <c r="G225" i="15"/>
  <c r="H1340" i="16" s="1"/>
  <c r="T302" i="5"/>
  <c r="U302" i="5" s="1"/>
  <c r="H255" i="5"/>
  <c r="F1397" i="16"/>
  <c r="F1394" i="16"/>
  <c r="F1396" i="16"/>
  <c r="F1399" i="16"/>
  <c r="F1395" i="16"/>
  <c r="F1398" i="16"/>
  <c r="F1305" i="16"/>
  <c r="F1307" i="16"/>
  <c r="F1304" i="16"/>
  <c r="F1309" i="16"/>
  <c r="F1308" i="16"/>
  <c r="F1306" i="16"/>
  <c r="F1614" i="16"/>
  <c r="F1611" i="16"/>
  <c r="F1613" i="16"/>
  <c r="F1612" i="16"/>
  <c r="F1615" i="16"/>
  <c r="F1610" i="16"/>
  <c r="I128" i="15"/>
  <c r="H760" i="16" s="1"/>
  <c r="Q268" i="5"/>
  <c r="R268" i="5" s="1"/>
  <c r="D976" i="16"/>
  <c r="D975" i="16"/>
  <c r="D974" i="16"/>
  <c r="D979" i="16"/>
  <c r="D978" i="16"/>
  <c r="D977" i="16"/>
  <c r="F752" i="16"/>
  <c r="F756" i="16"/>
  <c r="F753" i="16"/>
  <c r="F755" i="16"/>
  <c r="F754" i="16"/>
  <c r="F757" i="16"/>
  <c r="D1731" i="16"/>
  <c r="D1733" i="16"/>
  <c r="D1732" i="16"/>
  <c r="D1730" i="16"/>
  <c r="D1735" i="16"/>
  <c r="D1734" i="16"/>
  <c r="Q217" i="5"/>
  <c r="R217" i="5" s="1"/>
  <c r="I135" i="15"/>
  <c r="H802" i="16" s="1"/>
  <c r="I118" i="15"/>
  <c r="H700" i="16" s="1"/>
  <c r="H106" i="5"/>
  <c r="I178" i="5"/>
  <c r="V178" i="5"/>
  <c r="W178" i="5" s="1"/>
  <c r="N178" i="5"/>
  <c r="O178" i="5" s="1"/>
  <c r="J178" i="5"/>
  <c r="Q157" i="5"/>
  <c r="T199" i="5"/>
  <c r="U199" i="5" s="1"/>
  <c r="F822" i="16"/>
  <c r="F818" i="16"/>
  <c r="F821" i="16"/>
  <c r="F820" i="16"/>
  <c r="F823" i="16"/>
  <c r="F819" i="16"/>
  <c r="I119" i="15"/>
  <c r="H706" i="16" s="1"/>
  <c r="D377" i="16"/>
  <c r="D374" i="16"/>
  <c r="D379" i="16"/>
  <c r="D376" i="16"/>
  <c r="D378" i="16"/>
  <c r="D375" i="16"/>
  <c r="J71" i="5"/>
  <c r="I71" i="5"/>
  <c r="V71" i="5"/>
  <c r="W71" i="5" s="1"/>
  <c r="N71" i="5"/>
  <c r="O71" i="5" s="1"/>
  <c r="H52" i="5"/>
  <c r="F246" i="16"/>
  <c r="F244" i="16"/>
  <c r="F247" i="16"/>
  <c r="F243" i="16"/>
  <c r="F242" i="16"/>
  <c r="F245" i="16"/>
  <c r="K134" i="5"/>
  <c r="G85" i="15"/>
  <c r="H500" i="16" s="1"/>
  <c r="H29" i="5"/>
  <c r="I21" i="5"/>
  <c r="V21" i="5"/>
  <c r="W21" i="5" s="1"/>
  <c r="K21" i="5"/>
  <c r="J21" i="5"/>
  <c r="K61" i="5"/>
  <c r="F326" i="16"/>
  <c r="F331" i="16"/>
  <c r="F328" i="16"/>
  <c r="F329" i="16"/>
  <c r="F327" i="16"/>
  <c r="F330" i="16"/>
  <c r="Q22" i="5"/>
  <c r="R22" i="5" s="1"/>
  <c r="N313" i="4"/>
  <c r="L313" i="4"/>
  <c r="M313" i="4" s="1"/>
  <c r="P313" i="4"/>
  <c r="H48" i="5"/>
  <c r="Q48" i="5"/>
  <c r="R48" i="5" s="1"/>
  <c r="F270" i="16"/>
  <c r="F271" i="16"/>
  <c r="F267" i="16"/>
  <c r="F266" i="16"/>
  <c r="F269" i="16"/>
  <c r="F268" i="16"/>
  <c r="N51" i="5"/>
  <c r="O51" i="5" s="1"/>
  <c r="R261" i="4"/>
  <c r="N258" i="4"/>
  <c r="P258" i="4"/>
  <c r="L258" i="4"/>
  <c r="M258" i="4"/>
  <c r="F118" i="16"/>
  <c r="F119" i="16"/>
  <c r="F116" i="16"/>
  <c r="F121" i="16"/>
  <c r="F120" i="16"/>
  <c r="F117" i="16"/>
  <c r="J7" i="5"/>
  <c r="V7" i="5"/>
  <c r="W7" i="5" s="1"/>
  <c r="I7" i="5"/>
  <c r="J35" i="5"/>
  <c r="K35" i="5" s="1"/>
  <c r="I35" i="5"/>
  <c r="V35" i="5"/>
  <c r="W35" i="5" s="1"/>
  <c r="F36" i="16"/>
  <c r="F33" i="16"/>
  <c r="F34" i="16"/>
  <c r="F32" i="16"/>
  <c r="F37" i="16"/>
  <c r="F35" i="16"/>
  <c r="R309" i="4"/>
  <c r="T139" i="4"/>
  <c r="Q139" i="4"/>
  <c r="R139" i="4" s="1"/>
  <c r="Q205" i="4"/>
  <c r="R205" i="4" s="1"/>
  <c r="T205" i="4"/>
  <c r="F306" i="16"/>
  <c r="F302" i="16"/>
  <c r="F305" i="16"/>
  <c r="F304" i="16"/>
  <c r="F307" i="16"/>
  <c r="F303" i="16"/>
  <c r="Q230" i="4"/>
  <c r="T230" i="4"/>
  <c r="U326" i="4"/>
  <c r="S326" i="4"/>
  <c r="Q72" i="4"/>
  <c r="R72" i="4" s="1"/>
  <c r="T72" i="4"/>
  <c r="T192" i="4"/>
  <c r="Q192" i="4"/>
  <c r="R192" i="4" s="1"/>
  <c r="T198" i="4"/>
  <c r="Q198" i="4"/>
  <c r="R198" i="4" s="1"/>
  <c r="T138" i="4"/>
  <c r="Q138" i="4"/>
  <c r="T281" i="4"/>
  <c r="Q281" i="4"/>
  <c r="G56" i="15"/>
  <c r="H326" i="16" s="1"/>
  <c r="P277" i="4"/>
  <c r="N277" i="4"/>
  <c r="M277" i="4"/>
  <c r="L277" i="4"/>
  <c r="R124" i="4"/>
  <c r="L225" i="4"/>
  <c r="M225" i="4" s="1"/>
  <c r="P225" i="4"/>
  <c r="N225" i="4"/>
  <c r="P178" i="4"/>
  <c r="N178" i="4"/>
  <c r="M178" i="4"/>
  <c r="L178" i="4"/>
  <c r="G58" i="15"/>
  <c r="H338" i="16" s="1"/>
  <c r="T43" i="4"/>
  <c r="Q43" i="4"/>
  <c r="R43" i="4" s="1"/>
  <c r="Q132" i="4"/>
  <c r="R132" i="4" s="1"/>
  <c r="T132" i="4"/>
  <c r="Q15" i="4"/>
  <c r="R15" i="4" s="1"/>
  <c r="T15" i="4"/>
  <c r="S115" i="4"/>
  <c r="U115" i="4"/>
  <c r="F1728" i="16"/>
  <c r="F1726" i="16"/>
  <c r="F1729" i="16"/>
  <c r="F1724" i="16"/>
  <c r="F1727" i="16"/>
  <c r="F1725" i="16"/>
  <c r="D1544" i="16"/>
  <c r="D1547" i="16"/>
  <c r="D1549" i="16"/>
  <c r="D1548" i="16"/>
  <c r="D1546" i="16"/>
  <c r="D1545" i="16"/>
  <c r="H230" i="5"/>
  <c r="U230" i="5"/>
  <c r="T230" i="5"/>
  <c r="H281" i="5"/>
  <c r="F1985" i="16"/>
  <c r="F1982" i="16"/>
  <c r="F1984" i="16"/>
  <c r="F1983" i="16"/>
  <c r="F1987" i="16"/>
  <c r="F1986" i="16"/>
  <c r="H334" i="5"/>
  <c r="N311" i="5"/>
  <c r="O311" i="5" s="1"/>
  <c r="J254" i="15"/>
  <c r="H1517" i="16" s="1"/>
  <c r="I254" i="15"/>
  <c r="H1516" i="16" s="1"/>
  <c r="N164" i="5"/>
  <c r="O164" i="5" s="1"/>
  <c r="F1577" i="16"/>
  <c r="F1578" i="16"/>
  <c r="F1574" i="16"/>
  <c r="F1575" i="16"/>
  <c r="F1579" i="16"/>
  <c r="F1576" i="16"/>
  <c r="F1253" i="16"/>
  <c r="F1250" i="16"/>
  <c r="F1255" i="16"/>
  <c r="F1252" i="16"/>
  <c r="F1251" i="16"/>
  <c r="F1254" i="16"/>
  <c r="J310" i="5"/>
  <c r="I310" i="5"/>
  <c r="V310" i="5"/>
  <c r="W310" i="5" s="1"/>
  <c r="F1806" i="16"/>
  <c r="F1805" i="16"/>
  <c r="F1807" i="16"/>
  <c r="F1802" i="16"/>
  <c r="F1804" i="16"/>
  <c r="F1803" i="16"/>
  <c r="D1520" i="16"/>
  <c r="D1521" i="16"/>
  <c r="D1524" i="16"/>
  <c r="D1523" i="16"/>
  <c r="D1525" i="16"/>
  <c r="D1522" i="16"/>
  <c r="T241" i="5"/>
  <c r="U241" i="5" s="1"/>
  <c r="F1327" i="16"/>
  <c r="F1322" i="16"/>
  <c r="F1326" i="16"/>
  <c r="F1325" i="16"/>
  <c r="F1324" i="16"/>
  <c r="F1323" i="16"/>
  <c r="H239" i="5"/>
  <c r="Q239" i="5" s="1"/>
  <c r="R239" i="5" s="1"/>
  <c r="F537" i="16"/>
  <c r="F539" i="16"/>
  <c r="F536" i="16"/>
  <c r="F540" i="16"/>
  <c r="F541" i="16"/>
  <c r="F538" i="16"/>
  <c r="K195" i="5"/>
  <c r="J195" i="5"/>
  <c r="I195" i="5"/>
  <c r="V195" i="5"/>
  <c r="W195" i="5" s="1"/>
  <c r="H125" i="5"/>
  <c r="Q125" i="5" s="1"/>
  <c r="R125" i="5" s="1"/>
  <c r="H233" i="5"/>
  <c r="H236" i="5"/>
  <c r="K182" i="15"/>
  <c r="H1086" i="16" s="1"/>
  <c r="L182" i="15"/>
  <c r="H1087" i="16" s="1"/>
  <c r="J251" i="5"/>
  <c r="V251" i="5"/>
  <c r="W251" i="5" s="1"/>
  <c r="I251" i="5"/>
  <c r="K251" i="5" s="1"/>
  <c r="I186" i="5"/>
  <c r="V186" i="5"/>
  <c r="W186" i="5" s="1"/>
  <c r="J186" i="5"/>
  <c r="K135" i="5"/>
  <c r="J163" i="5"/>
  <c r="I163" i="5"/>
  <c r="V163" i="5"/>
  <c r="W163" i="5" s="1"/>
  <c r="I146" i="5"/>
  <c r="V146" i="5"/>
  <c r="W146" i="5" s="1"/>
  <c r="Q146" i="5"/>
  <c r="R146" i="5" s="1"/>
  <c r="K146" i="5"/>
  <c r="J146" i="5"/>
  <c r="Q98" i="5"/>
  <c r="R98" i="5" s="1"/>
  <c r="T157" i="5"/>
  <c r="U157" i="5" s="1"/>
  <c r="F611" i="16"/>
  <c r="F613" i="16"/>
  <c r="F610" i="16"/>
  <c r="F609" i="16"/>
  <c r="F608" i="16"/>
  <c r="F612" i="16"/>
  <c r="H136" i="5"/>
  <c r="N136" i="5" s="1"/>
  <c r="O136" i="5" s="1"/>
  <c r="K119" i="5"/>
  <c r="J115" i="15"/>
  <c r="H683" i="16" s="1"/>
  <c r="D306" i="16"/>
  <c r="D303" i="16"/>
  <c r="D305" i="16"/>
  <c r="D307" i="16"/>
  <c r="D302" i="16"/>
  <c r="D304" i="16"/>
  <c r="Q190" i="5"/>
  <c r="R190" i="5" s="1"/>
  <c r="H84" i="5"/>
  <c r="K27" i="5"/>
  <c r="J27" i="5"/>
  <c r="I27" i="5"/>
  <c r="N27" i="5"/>
  <c r="O27" i="5" s="1"/>
  <c r="V27" i="5"/>
  <c r="W27" i="5" s="1"/>
  <c r="R157" i="5"/>
  <c r="H157" i="5"/>
  <c r="N157" i="5" s="1"/>
  <c r="O157" i="5" s="1"/>
  <c r="H192" i="5"/>
  <c r="N54" i="5"/>
  <c r="O54" i="5" s="1"/>
  <c r="F126" i="16"/>
  <c r="F125" i="16"/>
  <c r="F122" i="16"/>
  <c r="F127" i="16"/>
  <c r="F124" i="16"/>
  <c r="F123" i="16"/>
  <c r="K43" i="5"/>
  <c r="J43" i="5"/>
  <c r="I43" i="5"/>
  <c r="V43" i="5"/>
  <c r="W43" i="5" s="1"/>
  <c r="I5" i="5"/>
  <c r="K5" i="5"/>
  <c r="J5" i="5"/>
  <c r="V5" i="5"/>
  <c r="W5" i="5" s="1"/>
  <c r="D281" i="16"/>
  <c r="D283" i="16"/>
  <c r="D279" i="16"/>
  <c r="D282" i="16"/>
  <c r="D278" i="16"/>
  <c r="D280" i="16"/>
  <c r="T317" i="4"/>
  <c r="Q317" i="4"/>
  <c r="R317" i="4" s="1"/>
  <c r="P328" i="4"/>
  <c r="L328" i="4"/>
  <c r="N328" i="4"/>
  <c r="M328" i="4"/>
  <c r="T51" i="5"/>
  <c r="U51" i="5" s="1"/>
  <c r="L255" i="4"/>
  <c r="P255" i="4"/>
  <c r="M255" i="4"/>
  <c r="N255" i="4"/>
  <c r="P330" i="4"/>
  <c r="N330" i="4"/>
  <c r="L330" i="4"/>
  <c r="M330" i="4"/>
  <c r="K42" i="5"/>
  <c r="I42" i="5"/>
  <c r="V42" i="5"/>
  <c r="W42" i="5" s="1"/>
  <c r="J42" i="5"/>
  <c r="Q149" i="4"/>
  <c r="R149" i="4" s="1"/>
  <c r="T149" i="4"/>
  <c r="G11" i="15"/>
  <c r="H56" i="16" s="1"/>
  <c r="H11" i="15"/>
  <c r="H57" i="16" s="1"/>
  <c r="R283" i="4"/>
  <c r="R230" i="4"/>
  <c r="N290" i="4"/>
  <c r="P290" i="4"/>
  <c r="M290" i="4"/>
  <c r="L290" i="4"/>
  <c r="R169" i="4"/>
  <c r="L257" i="4"/>
  <c r="M257" i="4" s="1"/>
  <c r="P257" i="4"/>
  <c r="N257" i="4"/>
  <c r="Q75" i="4"/>
  <c r="R75" i="4" s="1"/>
  <c r="T75" i="4"/>
  <c r="R138" i="4"/>
  <c r="J56" i="15"/>
  <c r="H329" i="16" s="1"/>
  <c r="I56" i="15"/>
  <c r="H328" i="16" s="1"/>
  <c r="T217" i="4"/>
  <c r="Q217" i="4"/>
  <c r="Q248" i="4"/>
  <c r="R248" i="4" s="1"/>
  <c r="T248" i="4"/>
  <c r="K58" i="5"/>
  <c r="Q109" i="4"/>
  <c r="R109" i="4" s="1"/>
  <c r="T109" i="4"/>
  <c r="Q37" i="4"/>
  <c r="R37" i="4" s="1"/>
  <c r="T37" i="4"/>
  <c r="M8" i="4"/>
  <c r="L8" i="4"/>
  <c r="P8" i="4"/>
  <c r="N8" i="4"/>
  <c r="M10" i="1"/>
  <c r="T145" i="4"/>
  <c r="Q145" i="4"/>
  <c r="R145" i="4" s="1"/>
  <c r="R101" i="4"/>
  <c r="Q222" i="4"/>
  <c r="R222" i="4" s="1"/>
  <c r="T222" i="4"/>
  <c r="T159" i="4"/>
  <c r="Q159" i="4"/>
  <c r="Q29" i="4"/>
  <c r="R29" i="4" s="1"/>
  <c r="T29" i="4"/>
  <c r="T12" i="4"/>
  <c r="Q12" i="4"/>
  <c r="R12" i="4" s="1"/>
  <c r="R106" i="4"/>
  <c r="T63" i="4"/>
  <c r="Q63" i="4"/>
  <c r="R63" i="4" s="1"/>
  <c r="U92" i="5"/>
  <c r="H92" i="5"/>
  <c r="F30" i="16"/>
  <c r="F27" i="16"/>
  <c r="F29" i="16"/>
  <c r="F28" i="16"/>
  <c r="F26" i="16"/>
  <c r="F31" i="16"/>
  <c r="N294" i="4"/>
  <c r="P294" i="4"/>
  <c r="L294" i="4"/>
  <c r="M294" i="4" s="1"/>
  <c r="R293" i="4"/>
  <c r="N312" i="5"/>
  <c r="O312" i="5" s="1"/>
  <c r="Q306" i="5"/>
  <c r="F2017" i="16"/>
  <c r="F2014" i="16"/>
  <c r="F2016" i="16"/>
  <c r="F2015" i="16"/>
  <c r="F2013" i="16"/>
  <c r="F2012" i="16"/>
  <c r="Q332" i="5"/>
  <c r="R332" i="5" s="1"/>
  <c r="F1937" i="16"/>
  <c r="F1934" i="16"/>
  <c r="F1938" i="16"/>
  <c r="F1939" i="16"/>
  <c r="F1936" i="16"/>
  <c r="F1935" i="16"/>
  <c r="H331" i="5"/>
  <c r="H246" i="5"/>
  <c r="T246" i="5" s="1"/>
  <c r="U246" i="5" s="1"/>
  <c r="F1977" i="16"/>
  <c r="F1981" i="16"/>
  <c r="F1976" i="16"/>
  <c r="F1979" i="16"/>
  <c r="F1980" i="16"/>
  <c r="F1978" i="16"/>
  <c r="H265" i="5"/>
  <c r="N265" i="5" s="1"/>
  <c r="O265" i="5" s="1"/>
  <c r="F1961" i="16"/>
  <c r="F1958" i="16"/>
  <c r="F1963" i="16"/>
  <c r="F1959" i="16"/>
  <c r="F1962" i="16"/>
  <c r="F1960" i="16"/>
  <c r="F1458" i="16"/>
  <c r="F1455" i="16"/>
  <c r="F1457" i="16"/>
  <c r="F1456" i="16"/>
  <c r="F1454" i="16"/>
  <c r="F1459" i="16"/>
  <c r="Q164" i="5"/>
  <c r="R164" i="5" s="1"/>
  <c r="Q311" i="5"/>
  <c r="R311" i="5" s="1"/>
  <c r="J309" i="15"/>
  <c r="H1847" i="16" s="1"/>
  <c r="K254" i="5"/>
  <c r="J264" i="5"/>
  <c r="I264" i="5"/>
  <c r="V264" i="5"/>
  <c r="W264" i="5" s="1"/>
  <c r="H213" i="5"/>
  <c r="K325" i="15"/>
  <c r="H1944" i="16" s="1"/>
  <c r="T314" i="5"/>
  <c r="U314" i="5" s="1"/>
  <c r="O283" i="5"/>
  <c r="H283" i="5"/>
  <c r="F1482" i="16"/>
  <c r="F1479" i="16"/>
  <c r="F1481" i="16"/>
  <c r="F1483" i="16"/>
  <c r="F1480" i="16"/>
  <c r="F1478" i="16"/>
  <c r="F1486" i="16"/>
  <c r="F1485" i="16"/>
  <c r="F1488" i="16"/>
  <c r="F1484" i="16"/>
  <c r="F1489" i="16"/>
  <c r="F1487" i="16"/>
  <c r="K319" i="5"/>
  <c r="V319" i="5"/>
  <c r="W319" i="5" s="1"/>
  <c r="J319" i="5"/>
  <c r="I319" i="5"/>
  <c r="Q253" i="5"/>
  <c r="R253" i="5" s="1"/>
  <c r="F1388" i="16"/>
  <c r="F1393" i="16"/>
  <c r="F1389" i="16"/>
  <c r="F1392" i="16"/>
  <c r="F1391" i="16"/>
  <c r="F1390" i="16"/>
  <c r="N273" i="5"/>
  <c r="O273" i="5" s="1"/>
  <c r="F1437" i="16"/>
  <c r="F1440" i="16"/>
  <c r="F1441" i="16"/>
  <c r="F1436" i="16"/>
  <c r="F1439" i="16"/>
  <c r="F1438" i="16"/>
  <c r="O227" i="5"/>
  <c r="N227" i="5"/>
  <c r="H227" i="5"/>
  <c r="G288" i="15"/>
  <c r="H1718" i="16" s="1"/>
  <c r="H263" i="15"/>
  <c r="H1569" i="16" s="1"/>
  <c r="D1426" i="16"/>
  <c r="D1425" i="16"/>
  <c r="D1429" i="16"/>
  <c r="D1424" i="16"/>
  <c r="D1427" i="16"/>
  <c r="D1428" i="16"/>
  <c r="H141" i="5"/>
  <c r="D1390" i="16"/>
  <c r="D1393" i="16"/>
  <c r="D1392" i="16"/>
  <c r="D1388" i="16"/>
  <c r="D1391" i="16"/>
  <c r="D1389" i="16"/>
  <c r="D1406" i="16"/>
  <c r="D1407" i="16"/>
  <c r="D1410" i="16"/>
  <c r="D1411" i="16"/>
  <c r="D1409" i="16"/>
  <c r="D1408" i="16"/>
  <c r="N29" i="5"/>
  <c r="O29" i="5" s="1"/>
  <c r="F994" i="16"/>
  <c r="F997" i="16"/>
  <c r="F993" i="16"/>
  <c r="F996" i="16"/>
  <c r="F992" i="16"/>
  <c r="F995" i="16"/>
  <c r="Q144" i="5"/>
  <c r="R144" i="5" s="1"/>
  <c r="F1031" i="16"/>
  <c r="F1029" i="16"/>
  <c r="F1032" i="16"/>
  <c r="F1028" i="16"/>
  <c r="F1033" i="16"/>
  <c r="F1030" i="16"/>
  <c r="F1082" i="16"/>
  <c r="F1087" i="16"/>
  <c r="F1086" i="16"/>
  <c r="F1084" i="16"/>
  <c r="F1083" i="16"/>
  <c r="F1085" i="16"/>
  <c r="N285" i="5"/>
  <c r="O285" i="5" s="1"/>
  <c r="F936" i="16"/>
  <c r="F934" i="16"/>
  <c r="F937" i="16"/>
  <c r="F933" i="16"/>
  <c r="F932" i="16"/>
  <c r="F935" i="16"/>
  <c r="F691" i="16"/>
  <c r="F686" i="16"/>
  <c r="F689" i="16"/>
  <c r="F690" i="16"/>
  <c r="F688" i="16"/>
  <c r="F687" i="16"/>
  <c r="D811" i="16"/>
  <c r="D808" i="16"/>
  <c r="D810" i="16"/>
  <c r="D807" i="16"/>
  <c r="D809" i="16"/>
  <c r="D806" i="16"/>
  <c r="N98" i="5"/>
  <c r="O98" i="5" s="1"/>
  <c r="V60" i="5"/>
  <c r="W60" i="5" s="1"/>
  <c r="K60" i="5"/>
  <c r="Q60" i="5"/>
  <c r="R60" i="5" s="1"/>
  <c r="J60" i="5"/>
  <c r="N60" i="5"/>
  <c r="O60" i="5" s="1"/>
  <c r="I60" i="5"/>
  <c r="F363" i="16"/>
  <c r="F365" i="16"/>
  <c r="F362" i="16"/>
  <c r="F366" i="16"/>
  <c r="F364" i="16"/>
  <c r="F367" i="16"/>
  <c r="F521" i="16"/>
  <c r="F522" i="16"/>
  <c r="F519" i="16"/>
  <c r="F518" i="16"/>
  <c r="F523" i="16"/>
  <c r="F520" i="16"/>
  <c r="I112" i="15"/>
  <c r="H664" i="16" s="1"/>
  <c r="M297" i="4"/>
  <c r="L297" i="4"/>
  <c r="P297" i="4"/>
  <c r="N297" i="4"/>
  <c r="H129" i="5"/>
  <c r="T104" i="5"/>
  <c r="U104" i="5" s="1"/>
  <c r="Q104" i="5"/>
  <c r="R104" i="5" s="1"/>
  <c r="H104" i="5"/>
  <c r="D495" i="16"/>
  <c r="D498" i="16"/>
  <c r="D497" i="16"/>
  <c r="D494" i="16"/>
  <c r="D499" i="16"/>
  <c r="D496" i="16"/>
  <c r="H34" i="5"/>
  <c r="N34" i="5" s="1"/>
  <c r="O34" i="5" s="1"/>
  <c r="V25" i="5"/>
  <c r="W25" i="5" s="1"/>
  <c r="J25" i="5"/>
  <c r="I25" i="5"/>
  <c r="F462" i="16"/>
  <c r="F459" i="16"/>
  <c r="F461" i="16"/>
  <c r="F458" i="16"/>
  <c r="F463" i="16"/>
  <c r="F460" i="16"/>
  <c r="D934" i="16"/>
  <c r="D937" i="16"/>
  <c r="D933" i="16"/>
  <c r="D936" i="16"/>
  <c r="D932" i="16"/>
  <c r="D935" i="16"/>
  <c r="Q183" i="5"/>
  <c r="R183" i="5" s="1"/>
  <c r="D1146" i="16"/>
  <c r="D1143" i="16"/>
  <c r="D1145" i="16"/>
  <c r="D1144" i="16"/>
  <c r="D1142" i="16"/>
  <c r="D1147" i="16"/>
  <c r="G81" i="15"/>
  <c r="H476" i="16" s="1"/>
  <c r="I61" i="15"/>
  <c r="H358" i="16" s="1"/>
  <c r="T54" i="5"/>
  <c r="U54" i="5" s="1"/>
  <c r="O15" i="5"/>
  <c r="N15" i="5"/>
  <c r="T15" i="5"/>
  <c r="U15" i="5" s="1"/>
  <c r="H15" i="5"/>
  <c r="F86" i="16"/>
  <c r="F91" i="16"/>
  <c r="F88" i="16"/>
  <c r="F90" i="16"/>
  <c r="F89" i="16"/>
  <c r="F87" i="16"/>
  <c r="T315" i="4"/>
  <c r="Q315" i="4"/>
  <c r="R315" i="4" s="1"/>
  <c r="N64" i="5"/>
  <c r="O64" i="5" s="1"/>
  <c r="F297" i="16"/>
  <c r="F299" i="16"/>
  <c r="F298" i="16"/>
  <c r="F301" i="16"/>
  <c r="F296" i="16"/>
  <c r="F300" i="16"/>
  <c r="P189" i="4"/>
  <c r="L189" i="4"/>
  <c r="M189" i="4" s="1"/>
  <c r="N189" i="4"/>
  <c r="V44" i="5"/>
  <c r="W44" i="5" s="1"/>
  <c r="K44" i="5"/>
  <c r="I44" i="5"/>
  <c r="J44" i="5"/>
  <c r="P237" i="4"/>
  <c r="N237" i="4"/>
  <c r="L237" i="4"/>
  <c r="M237" i="4" s="1"/>
  <c r="F134" i="16"/>
  <c r="F137" i="16"/>
  <c r="F139" i="16"/>
  <c r="F136" i="16"/>
  <c r="F135" i="16"/>
  <c r="F138" i="16"/>
  <c r="M275" i="4"/>
  <c r="L275" i="4"/>
  <c r="P275" i="4"/>
  <c r="N275" i="4"/>
  <c r="R247" i="4"/>
  <c r="R129" i="4"/>
  <c r="S243" i="4"/>
  <c r="U243" i="4" s="1"/>
  <c r="R151" i="4"/>
  <c r="T213" i="4"/>
  <c r="Q213" i="4"/>
  <c r="R213" i="4" s="1"/>
  <c r="T60" i="4"/>
  <c r="Q60" i="4"/>
  <c r="R60" i="4" s="1"/>
  <c r="R281" i="4"/>
  <c r="T245" i="4"/>
  <c r="Q245" i="4"/>
  <c r="R22" i="4"/>
  <c r="L62" i="4"/>
  <c r="M62" i="4" s="1"/>
  <c r="N62" i="4"/>
  <c r="P62" i="4"/>
  <c r="T21" i="4"/>
  <c r="Q21" i="4"/>
  <c r="R21" i="4" s="1"/>
  <c r="R159" i="4"/>
  <c r="P112" i="4"/>
  <c r="N112" i="4"/>
  <c r="M112" i="4"/>
  <c r="L112" i="4"/>
  <c r="N47" i="4"/>
  <c r="P47" i="4"/>
  <c r="M47" i="4"/>
  <c r="L47" i="4"/>
  <c r="P4" i="4"/>
  <c r="M6" i="1"/>
  <c r="N4" i="4"/>
  <c r="L4" i="4"/>
  <c r="M4" i="4" s="1"/>
  <c r="B5" i="1"/>
  <c r="C5" i="1" s="1"/>
  <c r="T95" i="4"/>
  <c r="Q95" i="4"/>
  <c r="F1881" i="16"/>
  <c r="F1883" i="16"/>
  <c r="F1882" i="16"/>
  <c r="F1884" i="16"/>
  <c r="F1880" i="16"/>
  <c r="F1885" i="16"/>
  <c r="Q219" i="5"/>
  <c r="R219" i="5" s="1"/>
  <c r="H222" i="5"/>
  <c r="N222" i="5" s="1"/>
  <c r="O222" i="5" s="1"/>
  <c r="F214" i="16"/>
  <c r="F212" i="16"/>
  <c r="F215" i="16"/>
  <c r="F217" i="16"/>
  <c r="F213" i="16"/>
  <c r="F216" i="16"/>
  <c r="H79" i="5"/>
  <c r="F102" i="16"/>
  <c r="F103" i="16"/>
  <c r="F100" i="16"/>
  <c r="F101" i="16"/>
  <c r="F99" i="16"/>
  <c r="F98" i="16"/>
  <c r="N333" i="5"/>
  <c r="O333" i="5" s="1"/>
  <c r="H333" i="5"/>
  <c r="F2001" i="16"/>
  <c r="F2002" i="16"/>
  <c r="F2005" i="16"/>
  <c r="F2000" i="16"/>
  <c r="F2004" i="16"/>
  <c r="F2003" i="16"/>
  <c r="H315" i="5"/>
  <c r="N315" i="5" s="1"/>
  <c r="O315" i="5" s="1"/>
  <c r="V330" i="5"/>
  <c r="W330" i="5" s="1"/>
  <c r="N330" i="5"/>
  <c r="O330" i="5" s="1"/>
  <c r="J330" i="5"/>
  <c r="I330" i="5"/>
  <c r="K330" i="5" s="1"/>
  <c r="Q330" i="5"/>
  <c r="R330" i="5" s="1"/>
  <c r="O306" i="5"/>
  <c r="H306" i="5"/>
  <c r="R306" i="5"/>
  <c r="H287" i="5"/>
  <c r="Q287" i="5"/>
  <c r="R287" i="5" s="1"/>
  <c r="H188" i="5"/>
  <c r="Q188" i="5"/>
  <c r="R188" i="5" s="1"/>
  <c r="N188" i="5"/>
  <c r="O188" i="5" s="1"/>
  <c r="T311" i="5"/>
  <c r="U311" i="5" s="1"/>
  <c r="T238" i="5"/>
  <c r="G309" i="15"/>
  <c r="H1844" i="16" s="1"/>
  <c r="L272" i="15"/>
  <c r="H1627" i="16" s="1"/>
  <c r="K272" i="15"/>
  <c r="H1626" i="16" s="1"/>
  <c r="H123" i="5"/>
  <c r="T123" i="5"/>
  <c r="U123" i="5" s="1"/>
  <c r="R123" i="5"/>
  <c r="Q123" i="5"/>
  <c r="H320" i="5"/>
  <c r="T320" i="5"/>
  <c r="U320" i="5" s="1"/>
  <c r="Q320" i="5"/>
  <c r="R320" i="5" s="1"/>
  <c r="N296" i="5"/>
  <c r="O296" i="5" s="1"/>
  <c r="Q273" i="5"/>
  <c r="R273" i="5" s="1"/>
  <c r="F1501" i="16"/>
  <c r="F1500" i="16"/>
  <c r="F1497" i="16"/>
  <c r="F1499" i="16"/>
  <c r="F1496" i="16"/>
  <c r="F1498" i="16"/>
  <c r="V244" i="5"/>
  <c r="W244" i="5" s="1"/>
  <c r="I244" i="5"/>
  <c r="J244" i="5"/>
  <c r="D1356" i="16"/>
  <c r="D1353" i="16"/>
  <c r="D1355" i="16"/>
  <c r="D1352" i="16"/>
  <c r="D1357" i="16"/>
  <c r="D1354" i="16"/>
  <c r="F1301" i="16"/>
  <c r="F1298" i="16"/>
  <c r="F1300" i="16"/>
  <c r="F1303" i="16"/>
  <c r="F1299" i="16"/>
  <c r="F1302" i="16"/>
  <c r="J288" i="15"/>
  <c r="H1721" i="16" s="1"/>
  <c r="I288" i="15"/>
  <c r="H1720" i="16" s="1"/>
  <c r="F726" i="16"/>
  <c r="F723" i="16"/>
  <c r="F724" i="16"/>
  <c r="F727" i="16"/>
  <c r="F722" i="16"/>
  <c r="F725" i="16"/>
  <c r="H82" i="5"/>
  <c r="T82" i="5" s="1"/>
  <c r="U82" i="5" s="1"/>
  <c r="H66" i="5"/>
  <c r="N49" i="5"/>
  <c r="O49" i="5" s="1"/>
  <c r="N125" i="5"/>
  <c r="O125" i="5" s="1"/>
  <c r="Q230" i="5"/>
  <c r="R230" i="5" s="1"/>
  <c r="F1127" i="16"/>
  <c r="F1124" i="16"/>
  <c r="F1129" i="16"/>
  <c r="F1125" i="16"/>
  <c r="F1126" i="16"/>
  <c r="F1128" i="16"/>
  <c r="N192" i="5"/>
  <c r="O192" i="5" s="1"/>
  <c r="F952" i="16"/>
  <c r="F951" i="16"/>
  <c r="F955" i="16"/>
  <c r="F950" i="16"/>
  <c r="F954" i="16"/>
  <c r="F953" i="16"/>
  <c r="R124" i="5"/>
  <c r="H124" i="5"/>
  <c r="Q124" i="5"/>
  <c r="U144" i="5"/>
  <c r="H144" i="5"/>
  <c r="T144" i="5"/>
  <c r="F1297" i="16"/>
  <c r="F1295" i="16"/>
  <c r="F1292" i="16"/>
  <c r="F1293" i="16"/>
  <c r="F1296" i="16"/>
  <c r="F1294" i="16"/>
  <c r="H177" i="5"/>
  <c r="F799" i="16"/>
  <c r="F796" i="16"/>
  <c r="F798" i="16"/>
  <c r="F795" i="16"/>
  <c r="F797" i="16"/>
  <c r="F794" i="16"/>
  <c r="I114" i="5"/>
  <c r="V114" i="5"/>
  <c r="W114" i="5" s="1"/>
  <c r="K114" i="5"/>
  <c r="J114" i="5"/>
  <c r="Q285" i="5"/>
  <c r="R285" i="5" s="1"/>
  <c r="Q281" i="5"/>
  <c r="R281" i="5" s="1"/>
  <c r="T184" i="5"/>
  <c r="F699" i="16"/>
  <c r="F701" i="16"/>
  <c r="F700" i="16"/>
  <c r="F703" i="16"/>
  <c r="F702" i="16"/>
  <c r="F698" i="16"/>
  <c r="J59" i="5"/>
  <c r="V59" i="5"/>
  <c r="W59" i="5" s="1"/>
  <c r="I59" i="5"/>
  <c r="V91" i="5"/>
  <c r="W91" i="5" s="1"/>
  <c r="J91" i="5"/>
  <c r="I91" i="5"/>
  <c r="T91" i="5"/>
  <c r="U91" i="5" s="1"/>
  <c r="Q91" i="5"/>
  <c r="R91" i="5" s="1"/>
  <c r="F414" i="16"/>
  <c r="F410" i="16"/>
  <c r="F415" i="16"/>
  <c r="F412" i="16"/>
  <c r="F413" i="16"/>
  <c r="F411" i="16"/>
  <c r="H77" i="15"/>
  <c r="H453" i="16" s="1"/>
  <c r="G77" i="15"/>
  <c r="H452" i="16" s="1"/>
  <c r="H142" i="5"/>
  <c r="N142" i="5" s="1"/>
  <c r="O142" i="5" s="1"/>
  <c r="D768" i="16"/>
  <c r="D765" i="16"/>
  <c r="D767" i="16"/>
  <c r="D766" i="16"/>
  <c r="D764" i="16"/>
  <c r="D769" i="16"/>
  <c r="D614" i="16"/>
  <c r="D617" i="16"/>
  <c r="D619" i="16"/>
  <c r="D616" i="16"/>
  <c r="D615" i="16"/>
  <c r="D618" i="16"/>
  <c r="Q66" i="5"/>
  <c r="R66" i="5" s="1"/>
  <c r="D196" i="16"/>
  <c r="D199" i="16"/>
  <c r="D195" i="16"/>
  <c r="D198" i="16"/>
  <c r="D197" i="16"/>
  <c r="D194" i="16"/>
  <c r="I22" i="5"/>
  <c r="K22" i="5" s="1"/>
  <c r="V22" i="5"/>
  <c r="W22" i="5" s="1"/>
  <c r="J22" i="5"/>
  <c r="H105" i="5"/>
  <c r="N105" i="5"/>
  <c r="O105" i="5" s="1"/>
  <c r="H32" i="5"/>
  <c r="U32" i="5"/>
  <c r="H151" i="5"/>
  <c r="F1090" i="16"/>
  <c r="F1089" i="16"/>
  <c r="F1093" i="16"/>
  <c r="F1092" i="16"/>
  <c r="F1088" i="16"/>
  <c r="F1091" i="16"/>
  <c r="Q96" i="5"/>
  <c r="R96" i="5" s="1"/>
  <c r="K81" i="5"/>
  <c r="Q54" i="5"/>
  <c r="R54" i="5" s="1"/>
  <c r="N210" i="4"/>
  <c r="P210" i="4"/>
  <c r="L210" i="4"/>
  <c r="M210" i="4" s="1"/>
  <c r="D81" i="16"/>
  <c r="D85" i="16"/>
  <c r="D82" i="16"/>
  <c r="D80" i="16"/>
  <c r="D84" i="16"/>
  <c r="D83" i="16"/>
  <c r="Q82" i="5"/>
  <c r="R82" i="5" s="1"/>
  <c r="J13" i="5"/>
  <c r="I13" i="5"/>
  <c r="K13" i="5" s="1"/>
  <c r="V13" i="5"/>
  <c r="W13" i="5" s="1"/>
  <c r="N25" i="5"/>
  <c r="O25" i="5" s="1"/>
  <c r="Q64" i="5"/>
  <c r="R64" i="5" s="1"/>
  <c r="Q266" i="4"/>
  <c r="R266" i="4" s="1"/>
  <c r="T266" i="4"/>
  <c r="P310" i="4"/>
  <c r="N310" i="4"/>
  <c r="L310" i="4"/>
  <c r="M310" i="4" s="1"/>
  <c r="H49" i="5"/>
  <c r="U49" i="5"/>
  <c r="T49" i="5"/>
  <c r="Q49" i="5"/>
  <c r="R49" i="5" s="1"/>
  <c r="L177" i="4"/>
  <c r="M177" i="4" s="1"/>
  <c r="N177" i="4"/>
  <c r="P177" i="4"/>
  <c r="R279" i="4"/>
  <c r="M316" i="4"/>
  <c r="L316" i="4"/>
  <c r="N316" i="4"/>
  <c r="P316" i="4"/>
  <c r="N22" i="5"/>
  <c r="O22" i="5" s="1"/>
  <c r="T137" i="4"/>
  <c r="Q137" i="4"/>
  <c r="R137" i="4" s="1"/>
  <c r="J11" i="15"/>
  <c r="H59" i="16" s="1"/>
  <c r="I11" i="15"/>
  <c r="H58" i="16" s="1"/>
  <c r="N199" i="4"/>
  <c r="P199" i="4"/>
  <c r="L199" i="4"/>
  <c r="M199" i="4"/>
  <c r="Q160" i="4"/>
  <c r="R160" i="4" s="1"/>
  <c r="T160" i="4"/>
  <c r="P253" i="4"/>
  <c r="L253" i="4"/>
  <c r="N253" i="4"/>
  <c r="M253" i="4"/>
  <c r="P174" i="4"/>
  <c r="N174" i="4"/>
  <c r="L174" i="4"/>
  <c r="M174" i="4" s="1"/>
  <c r="T148" i="4"/>
  <c r="Q148" i="4"/>
  <c r="R148" i="4" s="1"/>
  <c r="N334" i="4"/>
  <c r="L334" i="4"/>
  <c r="M334" i="4" s="1"/>
  <c r="P334" i="4"/>
  <c r="G27" i="1"/>
  <c r="P206" i="4"/>
  <c r="L206" i="4"/>
  <c r="N206" i="4"/>
  <c r="M206" i="4"/>
  <c r="T126" i="4"/>
  <c r="Q126" i="4"/>
  <c r="R126" i="4" s="1"/>
  <c r="P280" i="4"/>
  <c r="L280" i="4"/>
  <c r="N280" i="4"/>
  <c r="M280" i="4"/>
  <c r="T211" i="4"/>
  <c r="Q211" i="4"/>
  <c r="R211" i="4" s="1"/>
  <c r="T102" i="4"/>
  <c r="Q102" i="4"/>
  <c r="P96" i="4"/>
  <c r="N96" i="4"/>
  <c r="M96" i="4"/>
  <c r="L96" i="4"/>
  <c r="G17" i="1"/>
  <c r="N183" i="4"/>
  <c r="P183" i="4"/>
  <c r="L183" i="4"/>
  <c r="M183" i="4" s="1"/>
  <c r="S179" i="4"/>
  <c r="U179" i="4"/>
  <c r="P53" i="4"/>
  <c r="N53" i="4"/>
  <c r="M53" i="4"/>
  <c r="L53" i="4"/>
  <c r="N306" i="5"/>
  <c r="N239" i="5"/>
  <c r="O239" i="5" s="1"/>
  <c r="F1905" i="16"/>
  <c r="F1904" i="16"/>
  <c r="F1908" i="16"/>
  <c r="F1909" i="16"/>
  <c r="F1907" i="16"/>
  <c r="F1906" i="16"/>
  <c r="L165" i="15"/>
  <c r="H985" i="16" s="1"/>
  <c r="K165" i="15"/>
  <c r="H984" i="16" s="1"/>
  <c r="F683" i="16"/>
  <c r="F685" i="16"/>
  <c r="F680" i="16"/>
  <c r="F682" i="16"/>
  <c r="F684" i="16"/>
  <c r="F681" i="16"/>
  <c r="F970" i="16"/>
  <c r="F973" i="16"/>
  <c r="F969" i="16"/>
  <c r="F968" i="16"/>
  <c r="F972" i="16"/>
  <c r="F971" i="16"/>
  <c r="I51" i="5"/>
  <c r="V51" i="5"/>
  <c r="W51" i="5" s="1"/>
  <c r="K51" i="5"/>
  <c r="J51" i="5"/>
  <c r="H19" i="5"/>
  <c r="Q296" i="4"/>
  <c r="T296" i="4"/>
  <c r="Q147" i="4"/>
  <c r="R147" i="4" s="1"/>
  <c r="T147" i="4"/>
  <c r="Q120" i="4"/>
  <c r="R120" i="4" s="1"/>
  <c r="T120" i="4"/>
  <c r="M54" i="4"/>
  <c r="N54" i="4"/>
  <c r="L54" i="4"/>
  <c r="P54" i="4"/>
  <c r="F1945" i="16"/>
  <c r="F1942" i="16"/>
  <c r="F1943" i="16"/>
  <c r="F1940" i="16"/>
  <c r="F1944" i="16"/>
  <c r="F1941" i="16"/>
  <c r="H317" i="5"/>
  <c r="N187" i="5"/>
  <c r="O187" i="5" s="1"/>
  <c r="U172" i="5"/>
  <c r="R172" i="5"/>
  <c r="Q172" i="5"/>
  <c r="N172" i="5"/>
  <c r="O172" i="5" s="1"/>
  <c r="H172" i="5"/>
  <c r="F1857" i="16"/>
  <c r="F1861" i="16"/>
  <c r="F1856" i="16"/>
  <c r="F1858" i="16"/>
  <c r="F1860" i="16"/>
  <c r="F1859" i="16"/>
  <c r="H95" i="5"/>
  <c r="F1684" i="16"/>
  <c r="F1687" i="16"/>
  <c r="F1683" i="16"/>
  <c r="F1685" i="16"/>
  <c r="F1682" i="16"/>
  <c r="F1686" i="16"/>
  <c r="T222" i="5"/>
  <c r="U222" i="5" s="1"/>
  <c r="N201" i="5"/>
  <c r="O201" i="5" s="1"/>
  <c r="H139" i="5"/>
  <c r="T139" i="5"/>
  <c r="U139" i="5" s="1"/>
  <c r="D1913" i="16"/>
  <c r="D1912" i="16"/>
  <c r="D1915" i="16"/>
  <c r="D1910" i="16"/>
  <c r="D1914" i="16"/>
  <c r="D1911" i="16"/>
  <c r="V273" i="5"/>
  <c r="W273" i="5" s="1"/>
  <c r="K273" i="5"/>
  <c r="J273" i="5"/>
  <c r="I273" i="5"/>
  <c r="T296" i="5"/>
  <c r="U296" i="5" s="1"/>
  <c r="F1386" i="16"/>
  <c r="F1382" i="16"/>
  <c r="F1385" i="16"/>
  <c r="F1383" i="16"/>
  <c r="F1387" i="16"/>
  <c r="F1384" i="16"/>
  <c r="T285" i="5"/>
  <c r="U285" i="5" s="1"/>
  <c r="T273" i="5"/>
  <c r="U273" i="5" s="1"/>
  <c r="F1213" i="16"/>
  <c r="F1210" i="16"/>
  <c r="F1209" i="16"/>
  <c r="F1208" i="16"/>
  <c r="F1212" i="16"/>
  <c r="F1211" i="16"/>
  <c r="K288" i="15"/>
  <c r="H1722" i="16" s="1"/>
  <c r="Q213" i="5"/>
  <c r="R213" i="5" s="1"/>
  <c r="I179" i="5"/>
  <c r="V179" i="5"/>
  <c r="W179" i="5" s="1"/>
  <c r="J179" i="5"/>
  <c r="T315" i="5"/>
  <c r="U315" i="5" s="1"/>
  <c r="G166" i="15"/>
  <c r="H986" i="16" s="1"/>
  <c r="K166" i="5"/>
  <c r="N141" i="5"/>
  <c r="O141" i="5" s="1"/>
  <c r="T125" i="5"/>
  <c r="U125" i="5" s="1"/>
  <c r="Q192" i="5"/>
  <c r="R192" i="5" s="1"/>
  <c r="H189" i="5"/>
  <c r="N189" i="5" s="1"/>
  <c r="O189" i="5" s="1"/>
  <c r="F760" i="16"/>
  <c r="F762" i="16"/>
  <c r="F759" i="16"/>
  <c r="F761" i="16"/>
  <c r="F758" i="16"/>
  <c r="F763" i="16"/>
  <c r="D739" i="16"/>
  <c r="D738" i="16"/>
  <c r="D735" i="16"/>
  <c r="D737" i="16"/>
  <c r="D736" i="16"/>
  <c r="D734" i="16"/>
  <c r="F856" i="16"/>
  <c r="F854" i="16"/>
  <c r="F857" i="16"/>
  <c r="F859" i="16"/>
  <c r="F855" i="16"/>
  <c r="F858" i="16"/>
  <c r="N215" i="5"/>
  <c r="O215" i="5" s="1"/>
  <c r="J113" i="5"/>
  <c r="I113" i="5"/>
  <c r="V113" i="5"/>
  <c r="W113" i="5" s="1"/>
  <c r="T113" i="5"/>
  <c r="U113" i="5" s="1"/>
  <c r="I224" i="5"/>
  <c r="K224" i="5" s="1"/>
  <c r="V224" i="5"/>
  <c r="W224" i="5" s="1"/>
  <c r="J224" i="5"/>
  <c r="H138" i="15"/>
  <c r="H819" i="16" s="1"/>
  <c r="G138" i="15"/>
  <c r="H818" i="16" s="1"/>
  <c r="V57" i="5"/>
  <c r="W57" i="5" s="1"/>
  <c r="J57" i="5"/>
  <c r="K57" i="5"/>
  <c r="I57" i="5"/>
  <c r="F25" i="16"/>
  <c r="F22" i="16"/>
  <c r="F24" i="16"/>
  <c r="F23" i="16"/>
  <c r="F21" i="16"/>
  <c r="F20" i="16"/>
  <c r="H68" i="5"/>
  <c r="Q186" i="5"/>
  <c r="R186" i="5" s="1"/>
  <c r="Q84" i="5"/>
  <c r="R84" i="5" s="1"/>
  <c r="H97" i="5"/>
  <c r="T97" i="5" s="1"/>
  <c r="U97" i="5" s="1"/>
  <c r="G75" i="15"/>
  <c r="H440" i="16" s="1"/>
  <c r="H75" i="15"/>
  <c r="H441" i="16" s="1"/>
  <c r="D843" i="16"/>
  <c r="D847" i="16"/>
  <c r="D846" i="16"/>
  <c r="D842" i="16"/>
  <c r="D845" i="16"/>
  <c r="D844" i="16"/>
  <c r="N84" i="5"/>
  <c r="O84" i="5" s="1"/>
  <c r="T95" i="5"/>
  <c r="U95" i="5" s="1"/>
  <c r="H47" i="5"/>
  <c r="U47" i="5"/>
  <c r="T47" i="5"/>
  <c r="H219" i="5"/>
  <c r="T219" i="5" s="1"/>
  <c r="U219" i="5" s="1"/>
  <c r="D185" i="16"/>
  <c r="D186" i="16"/>
  <c r="D182" i="16"/>
  <c r="D187" i="16"/>
  <c r="D183" i="16"/>
  <c r="D184" i="16"/>
  <c r="D899" i="16"/>
  <c r="D897" i="16"/>
  <c r="D900" i="16"/>
  <c r="D896" i="16"/>
  <c r="D898" i="16"/>
  <c r="D901" i="16"/>
  <c r="F473" i="16"/>
  <c r="F474" i="16"/>
  <c r="F471" i="16"/>
  <c r="F470" i="16"/>
  <c r="F475" i="16"/>
  <c r="F472" i="16"/>
  <c r="F317" i="16"/>
  <c r="F314" i="16"/>
  <c r="F319" i="16"/>
  <c r="F316" i="16"/>
  <c r="F315" i="16"/>
  <c r="F318" i="16"/>
  <c r="K9" i="15"/>
  <c r="H48" i="16" s="1"/>
  <c r="T324" i="4"/>
  <c r="Q324" i="4"/>
  <c r="Q278" i="4"/>
  <c r="T278" i="4"/>
  <c r="T64" i="5"/>
  <c r="U64" i="5" s="1"/>
  <c r="H109" i="15"/>
  <c r="H645" i="16" s="1"/>
  <c r="G109" i="15"/>
  <c r="H644" i="16" s="1"/>
  <c r="Q285" i="4"/>
  <c r="T285" i="4"/>
  <c r="I10" i="5"/>
  <c r="K10" i="5" s="1"/>
  <c r="V10" i="5"/>
  <c r="W10" i="5" s="1"/>
  <c r="J10" i="5"/>
  <c r="N130" i="4"/>
  <c r="P130" i="4"/>
  <c r="L130" i="4"/>
  <c r="M130" i="4" s="1"/>
  <c r="F109" i="16"/>
  <c r="F106" i="16"/>
  <c r="F108" i="16"/>
  <c r="F107" i="16"/>
  <c r="F105" i="16"/>
  <c r="F104" i="16"/>
  <c r="M307" i="4"/>
  <c r="N307" i="4"/>
  <c r="L307" i="4"/>
  <c r="P307" i="4"/>
  <c r="Q32" i="5"/>
  <c r="R32" i="5" s="1"/>
  <c r="J39" i="5"/>
  <c r="K39" i="5"/>
  <c r="I39" i="5"/>
  <c r="V39" i="5"/>
  <c r="W39" i="5" s="1"/>
  <c r="R185" i="4"/>
  <c r="R99" i="4"/>
  <c r="Q271" i="4"/>
  <c r="T271" i="4"/>
  <c r="N79" i="4"/>
  <c r="G15" i="1"/>
  <c r="P79" i="4"/>
  <c r="L79" i="4"/>
  <c r="M79" i="4" s="1"/>
  <c r="N108" i="4"/>
  <c r="L108" i="4"/>
  <c r="M108" i="4" s="1"/>
  <c r="G19" i="1"/>
  <c r="P108" i="4"/>
  <c r="K11" i="5"/>
  <c r="S286" i="4"/>
  <c r="U286" i="4" s="1"/>
  <c r="T167" i="4"/>
  <c r="Q167" i="4"/>
  <c r="R167" i="4" s="1"/>
  <c r="N249" i="4"/>
  <c r="P249" i="4"/>
  <c r="L249" i="4"/>
  <c r="M249" i="4" s="1"/>
  <c r="T176" i="4"/>
  <c r="Q176" i="4"/>
  <c r="R176" i="4" s="1"/>
  <c r="T71" i="5"/>
  <c r="U71" i="5" s="1"/>
  <c r="P238" i="4"/>
  <c r="N238" i="4"/>
  <c r="M238" i="4"/>
  <c r="L238" i="4"/>
  <c r="P11" i="4"/>
  <c r="N11" i="4"/>
  <c r="L11" i="4"/>
  <c r="M11" i="4"/>
  <c r="G5" i="1"/>
  <c r="T58" i="4"/>
  <c r="Q58" i="4"/>
  <c r="R58" i="4" s="1"/>
  <c r="N97" i="4"/>
  <c r="P97" i="4"/>
  <c r="L97" i="4"/>
  <c r="M97" i="4"/>
  <c r="Q26" i="4"/>
  <c r="R26" i="4" s="1"/>
  <c r="T26" i="4"/>
  <c r="N244" i="4"/>
  <c r="P244" i="4"/>
  <c r="L244" i="4"/>
  <c r="M244" i="4" s="1"/>
  <c r="P17" i="4"/>
  <c r="N17" i="4"/>
  <c r="L17" i="4"/>
  <c r="M17" i="4" s="1"/>
  <c r="G6" i="1"/>
  <c r="H210" i="5"/>
  <c r="Q210" i="5" s="1"/>
  <c r="R210" i="5" s="1"/>
  <c r="D79" i="16"/>
  <c r="D76" i="16"/>
  <c r="D74" i="16"/>
  <c r="D78" i="16"/>
  <c r="D77" i="16"/>
  <c r="D75" i="16"/>
  <c r="T320" i="4"/>
  <c r="Q320" i="4"/>
  <c r="R320" i="4" s="1"/>
  <c r="H337" i="5"/>
  <c r="N255" i="5"/>
  <c r="O255" i="5" s="1"/>
  <c r="F1784" i="16"/>
  <c r="F1785" i="16"/>
  <c r="F1788" i="16"/>
  <c r="F1789" i="16"/>
  <c r="F1787" i="16"/>
  <c r="F1786" i="16"/>
  <c r="N331" i="5"/>
  <c r="O331" i="5" s="1"/>
  <c r="I324" i="5"/>
  <c r="V324" i="5"/>
  <c r="W324" i="5" s="1"/>
  <c r="J324" i="5"/>
  <c r="K324" i="5" s="1"/>
  <c r="N324" i="5"/>
  <c r="O324" i="5" s="1"/>
  <c r="D1892" i="16"/>
  <c r="D1897" i="16"/>
  <c r="D1896" i="16"/>
  <c r="D1895" i="16"/>
  <c r="D1893" i="16"/>
  <c r="D1894" i="16"/>
  <c r="V298" i="5"/>
  <c r="W298" i="5" s="1"/>
  <c r="N298" i="5"/>
  <c r="O298" i="5" s="1"/>
  <c r="J298" i="5"/>
  <c r="I298" i="5"/>
  <c r="K298" i="5" s="1"/>
  <c r="H321" i="5"/>
  <c r="Q321" i="5" s="1"/>
  <c r="R321" i="5" s="1"/>
  <c r="R156" i="5"/>
  <c r="Q156" i="5"/>
  <c r="H156" i="5"/>
  <c r="R140" i="5"/>
  <c r="H140" i="5"/>
  <c r="Q140" i="5"/>
  <c r="O140" i="5"/>
  <c r="N140" i="5"/>
  <c r="N123" i="5"/>
  <c r="O123" i="5" s="1"/>
  <c r="K309" i="15"/>
  <c r="H1848" i="16" s="1"/>
  <c r="K267" i="5"/>
  <c r="J267" i="5"/>
  <c r="I267" i="5"/>
  <c r="V267" i="5"/>
  <c r="W267" i="5" s="1"/>
  <c r="H217" i="5"/>
  <c r="N217" i="5" s="1"/>
  <c r="O217" i="5" s="1"/>
  <c r="H111" i="5"/>
  <c r="N111" i="5" s="1"/>
  <c r="O111" i="5" s="1"/>
  <c r="Q111" i="5"/>
  <c r="R111" i="5" s="1"/>
  <c r="N213" i="5"/>
  <c r="O213" i="5" s="1"/>
  <c r="F1199" i="16"/>
  <c r="F1196" i="16"/>
  <c r="F1201" i="16"/>
  <c r="F1198" i="16"/>
  <c r="F1200" i="16"/>
  <c r="F1197" i="16"/>
  <c r="H187" i="5"/>
  <c r="T187" i="5" s="1"/>
  <c r="U187" i="5" s="1"/>
  <c r="Q187" i="5"/>
  <c r="R187" i="5" s="1"/>
  <c r="H171" i="5"/>
  <c r="T171" i="5" s="1"/>
  <c r="U171" i="5" s="1"/>
  <c r="H155" i="5"/>
  <c r="T155" i="5" s="1"/>
  <c r="U155" i="5" s="1"/>
  <c r="H325" i="15"/>
  <c r="H1941" i="16" s="1"/>
  <c r="Q296" i="5"/>
  <c r="R296" i="5" s="1"/>
  <c r="F1418" i="16"/>
  <c r="F1421" i="16"/>
  <c r="F1420" i="16"/>
  <c r="F1419" i="16"/>
  <c r="F1423" i="16"/>
  <c r="F1422" i="16"/>
  <c r="F1630" i="16"/>
  <c r="F1633" i="16"/>
  <c r="F1629" i="16"/>
  <c r="F1632" i="16"/>
  <c r="F1631" i="16"/>
  <c r="F1628" i="16"/>
  <c r="L263" i="15"/>
  <c r="H1573" i="16" s="1"/>
  <c r="K263" i="15"/>
  <c r="H1572" i="16" s="1"/>
  <c r="T172" i="5"/>
  <c r="H90" i="5"/>
  <c r="Q141" i="5"/>
  <c r="R141" i="5" s="1"/>
  <c r="F744" i="16"/>
  <c r="F743" i="16"/>
  <c r="F740" i="16"/>
  <c r="F742" i="16"/>
  <c r="F741" i="16"/>
  <c r="F745" i="16"/>
  <c r="T192" i="5"/>
  <c r="U192" i="5" s="1"/>
  <c r="N151" i="5"/>
  <c r="O151" i="5" s="1"/>
  <c r="H304" i="5"/>
  <c r="T304" i="5"/>
  <c r="Q304" i="5"/>
  <c r="U304" i="5"/>
  <c r="R304" i="5"/>
  <c r="D1125" i="16"/>
  <c r="D1127" i="16"/>
  <c r="D1129" i="16"/>
  <c r="D1124" i="16"/>
  <c r="D1128" i="16"/>
  <c r="D1126" i="16"/>
  <c r="N246" i="5"/>
  <c r="O246" i="5" s="1"/>
  <c r="F784" i="16"/>
  <c r="F787" i="16"/>
  <c r="F786" i="16"/>
  <c r="F783" i="16"/>
  <c r="F785" i="16"/>
  <c r="F782" i="16"/>
  <c r="N224" i="5"/>
  <c r="O224" i="5" s="1"/>
  <c r="H118" i="15"/>
  <c r="H699" i="16" s="1"/>
  <c r="G118" i="15"/>
  <c r="H698" i="16" s="1"/>
  <c r="K118" i="5"/>
  <c r="H80" i="5"/>
  <c r="N80" i="5" s="1"/>
  <c r="O80" i="5" s="1"/>
  <c r="K138" i="5"/>
  <c r="H110" i="5"/>
  <c r="T110" i="5" s="1"/>
  <c r="U110" i="5" s="1"/>
  <c r="H101" i="15"/>
  <c r="H597" i="16" s="1"/>
  <c r="G101" i="15"/>
  <c r="H596" i="16" s="1"/>
  <c r="K101" i="5"/>
  <c r="F1034" i="16"/>
  <c r="F1039" i="16"/>
  <c r="F1036" i="16"/>
  <c r="F1038" i="16"/>
  <c r="F1037" i="16"/>
  <c r="F1035" i="16"/>
  <c r="H116" i="5"/>
  <c r="I70" i="5"/>
  <c r="V70" i="5"/>
  <c r="W70" i="5" s="1"/>
  <c r="K70" i="5"/>
  <c r="J70" i="5"/>
  <c r="I54" i="5"/>
  <c r="K54" i="5" s="1"/>
  <c r="V54" i="5"/>
  <c r="W54" i="5" s="1"/>
  <c r="J54" i="5"/>
  <c r="T158" i="5"/>
  <c r="D403" i="16"/>
  <c r="D401" i="16"/>
  <c r="D400" i="16"/>
  <c r="D399" i="16"/>
  <c r="D398" i="16"/>
  <c r="D402" i="16"/>
  <c r="N162" i="5"/>
  <c r="O162" i="5" s="1"/>
  <c r="H63" i="5"/>
  <c r="T63" i="5"/>
  <c r="U63" i="5" s="1"/>
  <c r="N63" i="5"/>
  <c r="O63" i="5" s="1"/>
  <c r="K74" i="5"/>
  <c r="I74" i="5"/>
  <c r="V74" i="5"/>
  <c r="W74" i="5" s="1"/>
  <c r="J74" i="5"/>
  <c r="F497" i="16"/>
  <c r="F498" i="16"/>
  <c r="F495" i="16"/>
  <c r="F494" i="16"/>
  <c r="F496" i="16"/>
  <c r="F499" i="16"/>
  <c r="N95" i="5"/>
  <c r="O95" i="5" s="1"/>
  <c r="D273" i="16"/>
  <c r="D275" i="16"/>
  <c r="D277" i="16"/>
  <c r="D276" i="16"/>
  <c r="D274" i="16"/>
  <c r="D272" i="16"/>
  <c r="D1308" i="16"/>
  <c r="D1309" i="16"/>
  <c r="D1305" i="16"/>
  <c r="D1307" i="16"/>
  <c r="D1306" i="16"/>
  <c r="D1304" i="16"/>
  <c r="N113" i="5"/>
  <c r="O113" i="5" s="1"/>
  <c r="Q93" i="5"/>
  <c r="R93" i="5" s="1"/>
  <c r="Q236" i="5"/>
  <c r="R236" i="5" s="1"/>
  <c r="T106" i="5"/>
  <c r="U106" i="5" s="1"/>
  <c r="F569" i="16"/>
  <c r="F566" i="16"/>
  <c r="F571" i="16"/>
  <c r="F568" i="16"/>
  <c r="F567" i="16"/>
  <c r="F570" i="16"/>
  <c r="Q73" i="5"/>
  <c r="R73" i="5" s="1"/>
  <c r="Q43" i="5"/>
  <c r="R43" i="5" s="1"/>
  <c r="N6" i="5"/>
  <c r="O6" i="5" s="1"/>
  <c r="J40" i="5"/>
  <c r="I40" i="5"/>
  <c r="K40" i="5" s="1"/>
  <c r="V40" i="5"/>
  <c r="W40" i="5" s="1"/>
  <c r="I37" i="5"/>
  <c r="K37" i="5"/>
  <c r="J37" i="5"/>
  <c r="V37" i="5"/>
  <c r="W37" i="5" s="1"/>
  <c r="F46" i="16"/>
  <c r="F49" i="16"/>
  <c r="F48" i="16"/>
  <c r="F45" i="16"/>
  <c r="F44" i="16"/>
  <c r="F47" i="16"/>
  <c r="F377" i="16"/>
  <c r="F379" i="16"/>
  <c r="F378" i="16"/>
  <c r="F376" i="16"/>
  <c r="F375" i="16"/>
  <c r="F374" i="16"/>
  <c r="K109" i="5"/>
  <c r="N23" i="5"/>
  <c r="O23" i="5" s="1"/>
  <c r="N57" i="5"/>
  <c r="O57" i="5" s="1"/>
  <c r="H28" i="5"/>
  <c r="T28" i="5"/>
  <c r="U28" i="5" s="1"/>
  <c r="N322" i="4"/>
  <c r="M322" i="4"/>
  <c r="L322" i="4"/>
  <c r="P322" i="4"/>
  <c r="L76" i="4"/>
  <c r="P76" i="4"/>
  <c r="M76" i="4"/>
  <c r="N76" i="4"/>
  <c r="N131" i="4"/>
  <c r="P131" i="4"/>
  <c r="L131" i="4"/>
  <c r="M131" i="4" s="1"/>
  <c r="S273" i="4"/>
  <c r="U273" i="4"/>
  <c r="R142" i="4"/>
  <c r="G14" i="1"/>
  <c r="N42" i="5"/>
  <c r="O42" i="5" s="1"/>
  <c r="G10" i="1"/>
  <c r="M5" i="1"/>
  <c r="Q44" i="4"/>
  <c r="R44" i="4" s="1"/>
  <c r="T44" i="4"/>
  <c r="V327" i="5"/>
  <c r="W327" i="5" s="1"/>
  <c r="J327" i="5"/>
  <c r="I327" i="5"/>
  <c r="I316" i="15"/>
  <c r="H1888" i="16" s="1"/>
  <c r="N302" i="5"/>
  <c r="O302" i="5" s="1"/>
  <c r="N270" i="5"/>
  <c r="O270" i="5" s="1"/>
  <c r="H223" i="5"/>
  <c r="I181" i="15"/>
  <c r="H1078" i="16" s="1"/>
  <c r="L85" i="15"/>
  <c r="H505" i="16" s="1"/>
  <c r="K85" i="15"/>
  <c r="H504" i="16" s="1"/>
  <c r="R324" i="4"/>
  <c r="Q52" i="5"/>
  <c r="R52" i="5" s="1"/>
  <c r="K56" i="15"/>
  <c r="H330" i="16" s="1"/>
  <c r="L56" i="15"/>
  <c r="H331" i="16" s="1"/>
  <c r="T93" i="4"/>
  <c r="Q93" i="4"/>
  <c r="R93" i="4" s="1"/>
  <c r="Q119" i="4"/>
  <c r="R119" i="4" s="1"/>
  <c r="T119" i="4"/>
  <c r="F1841" i="16"/>
  <c r="F1838" i="16"/>
  <c r="F1840" i="16"/>
  <c r="F1843" i="16"/>
  <c r="F1842" i="16"/>
  <c r="F1839" i="16"/>
  <c r="Q334" i="5"/>
  <c r="R334" i="5" s="1"/>
  <c r="F1476" i="16"/>
  <c r="F1473" i="16"/>
  <c r="F1477" i="16"/>
  <c r="F1472" i="16"/>
  <c r="F1475" i="16"/>
  <c r="F1474" i="16"/>
  <c r="N139" i="5"/>
  <c r="O139" i="5" s="1"/>
  <c r="Q303" i="5"/>
  <c r="R303" i="5" s="1"/>
  <c r="D1292" i="16"/>
  <c r="D1297" i="16"/>
  <c r="D1293" i="16"/>
  <c r="D1296" i="16"/>
  <c r="D1295" i="16"/>
  <c r="D1294" i="16"/>
  <c r="H127" i="5"/>
  <c r="Q127" i="5" s="1"/>
  <c r="R127" i="5" s="1"/>
  <c r="F1273" i="16"/>
  <c r="F1269" i="16"/>
  <c r="F1272" i="16"/>
  <c r="F1268" i="16"/>
  <c r="F1271" i="16"/>
  <c r="F1270" i="16"/>
  <c r="H214" i="5"/>
  <c r="Q214" i="5" s="1"/>
  <c r="R214" i="5" s="1"/>
  <c r="N214" i="5"/>
  <c r="O214" i="5" s="1"/>
  <c r="N170" i="5"/>
  <c r="O170" i="5" s="1"/>
  <c r="H248" i="5"/>
  <c r="N248" i="5" s="1"/>
  <c r="O248" i="5" s="1"/>
  <c r="H200" i="5"/>
  <c r="N317" i="5"/>
  <c r="O317" i="5" s="1"/>
  <c r="F1768" i="16"/>
  <c r="F1769" i="16"/>
  <c r="F1771" i="16"/>
  <c r="F1766" i="16"/>
  <c r="F1770" i="16"/>
  <c r="F1767" i="16"/>
  <c r="T270" i="5"/>
  <c r="U270" i="5" s="1"/>
  <c r="J252" i="5"/>
  <c r="I252" i="5"/>
  <c r="V252" i="5"/>
  <c r="W252" i="5" s="1"/>
  <c r="Q252" i="5"/>
  <c r="R252" i="5" s="1"/>
  <c r="H170" i="5"/>
  <c r="T170" i="5"/>
  <c r="U170" i="5" s="1"/>
  <c r="G165" i="15"/>
  <c r="H980" i="16" s="1"/>
  <c r="H165" i="15"/>
  <c r="H981" i="16" s="1"/>
  <c r="F944" i="16"/>
  <c r="F947" i="16"/>
  <c r="F946" i="16"/>
  <c r="F945" i="16"/>
  <c r="F949" i="16"/>
  <c r="F948" i="16"/>
  <c r="T141" i="5"/>
  <c r="U141" i="5" s="1"/>
  <c r="T156" i="5"/>
  <c r="U156" i="5" s="1"/>
  <c r="K128" i="5"/>
  <c r="F1146" i="16"/>
  <c r="F1143" i="16"/>
  <c r="F1142" i="16"/>
  <c r="F1147" i="16"/>
  <c r="F1145" i="16"/>
  <c r="F1144" i="16"/>
  <c r="Q151" i="5"/>
  <c r="R151" i="5" s="1"/>
  <c r="D1817" i="16"/>
  <c r="D1816" i="16"/>
  <c r="D1815" i="16"/>
  <c r="D1814" i="16"/>
  <c r="D1819" i="16"/>
  <c r="D1818" i="16"/>
  <c r="H185" i="5"/>
  <c r="H235" i="5"/>
  <c r="T235" i="5" s="1"/>
  <c r="U235" i="5" s="1"/>
  <c r="T209" i="5"/>
  <c r="U209" i="5" s="1"/>
  <c r="T213" i="5"/>
  <c r="U213" i="5" s="1"/>
  <c r="K117" i="15"/>
  <c r="H696" i="16" s="1"/>
  <c r="D654" i="16"/>
  <c r="D651" i="16"/>
  <c r="D650" i="16"/>
  <c r="D653" i="16"/>
  <c r="D652" i="16"/>
  <c r="D655" i="16"/>
  <c r="I101" i="15"/>
  <c r="H598" i="16" s="1"/>
  <c r="Q170" i="5"/>
  <c r="R170" i="5" s="1"/>
  <c r="D686" i="16"/>
  <c r="D688" i="16"/>
  <c r="D691" i="16"/>
  <c r="D690" i="16"/>
  <c r="D689" i="16"/>
  <c r="D687" i="16"/>
  <c r="N158" i="5"/>
  <c r="O158" i="5" s="1"/>
  <c r="D369" i="16"/>
  <c r="D371" i="16"/>
  <c r="D368" i="16"/>
  <c r="D372" i="16"/>
  <c r="D370" i="16"/>
  <c r="D373" i="16"/>
  <c r="H45" i="5"/>
  <c r="U45" i="5"/>
  <c r="T45" i="5"/>
  <c r="F1050" i="16"/>
  <c r="F1047" i="16"/>
  <c r="F1051" i="16"/>
  <c r="F1046" i="16"/>
  <c r="F1049" i="16"/>
  <c r="F1048" i="16"/>
  <c r="Q95" i="5"/>
  <c r="R95" i="5" s="1"/>
  <c r="H46" i="5"/>
  <c r="F174" i="16"/>
  <c r="F172" i="16"/>
  <c r="F175" i="16"/>
  <c r="F171" i="16"/>
  <c r="F170" i="16"/>
  <c r="F173" i="16"/>
  <c r="K87" i="15"/>
  <c r="H516" i="16" s="1"/>
  <c r="T93" i="5"/>
  <c r="U93" i="5" s="1"/>
  <c r="I87" i="15"/>
  <c r="H514" i="16" s="1"/>
  <c r="N82" i="5"/>
  <c r="O82" i="5" s="1"/>
  <c r="N106" i="5"/>
  <c r="O106" i="5" s="1"/>
  <c r="V67" i="5"/>
  <c r="W67" i="5" s="1"/>
  <c r="J67" i="5"/>
  <c r="I67" i="5"/>
  <c r="V12" i="5"/>
  <c r="W12" i="5" s="1"/>
  <c r="K12" i="5"/>
  <c r="I12" i="5"/>
  <c r="Q12" i="5"/>
  <c r="R12" i="5" s="1"/>
  <c r="J12" i="5"/>
  <c r="R308" i="4"/>
  <c r="V6" i="5"/>
  <c r="W6" i="5" s="1"/>
  <c r="K6" i="5"/>
  <c r="J6" i="5"/>
  <c r="I6" i="5"/>
  <c r="H16" i="5"/>
  <c r="Q16" i="5" s="1"/>
  <c r="R16" i="5" s="1"/>
  <c r="J109" i="15"/>
  <c r="H647" i="16" s="1"/>
  <c r="I109" i="15"/>
  <c r="H646" i="16" s="1"/>
  <c r="R285" i="4"/>
  <c r="Q57" i="5"/>
  <c r="R57" i="5" s="1"/>
  <c r="V41" i="5"/>
  <c r="W41" i="5" s="1"/>
  <c r="J41" i="5"/>
  <c r="I41" i="5"/>
  <c r="T41" i="5"/>
  <c r="U41" i="5" s="1"/>
  <c r="D161" i="16"/>
  <c r="D159" i="16"/>
  <c r="D162" i="16"/>
  <c r="D158" i="16"/>
  <c r="D163" i="16"/>
  <c r="D160" i="16"/>
  <c r="T180" i="4"/>
  <c r="Q180" i="4"/>
  <c r="R180" i="4" s="1"/>
  <c r="R271" i="4"/>
  <c r="Q74" i="4"/>
  <c r="R74" i="4" s="1"/>
  <c r="T74" i="4"/>
  <c r="Q250" i="4"/>
  <c r="R250" i="4" s="1"/>
  <c r="T250" i="4"/>
  <c r="P270" i="4"/>
  <c r="L270" i="4"/>
  <c r="N270" i="4"/>
  <c r="M270" i="4"/>
  <c r="P242" i="4"/>
  <c r="N242" i="4"/>
  <c r="L242" i="4"/>
  <c r="M242" i="4" s="1"/>
  <c r="Q186" i="4"/>
  <c r="R186" i="4" s="1"/>
  <c r="T186" i="4"/>
  <c r="T223" i="4"/>
  <c r="Q223" i="4"/>
  <c r="R223" i="4" s="1"/>
  <c r="R134" i="4"/>
  <c r="R171" i="4"/>
  <c r="T40" i="5"/>
  <c r="U40" i="5" s="1"/>
  <c r="T272" i="4"/>
  <c r="Q272" i="4"/>
  <c r="R272" i="4" s="1"/>
  <c r="P203" i="4"/>
  <c r="N203" i="4"/>
  <c r="L203" i="4"/>
  <c r="M203" i="4" s="1"/>
  <c r="M4" i="1"/>
  <c r="N187" i="4"/>
  <c r="P187" i="4"/>
  <c r="M187" i="4"/>
  <c r="L187" i="4"/>
  <c r="Q19" i="4"/>
  <c r="R19" i="4" s="1"/>
  <c r="T19" i="4"/>
  <c r="T65" i="4"/>
  <c r="Q65" i="4"/>
  <c r="R65" i="4" s="1"/>
  <c r="T170" i="4"/>
  <c r="Q170" i="4"/>
  <c r="R170" i="4" s="1"/>
  <c r="S191" i="4"/>
  <c r="U191" i="4" s="1"/>
  <c r="Q82" i="4"/>
  <c r="R82" i="4" s="1"/>
  <c r="T82" i="4"/>
  <c r="T91" i="4"/>
  <c r="Q91" i="4"/>
  <c r="R91" i="4" s="1"/>
  <c r="T77" i="4"/>
  <c r="Q77" i="4"/>
  <c r="R77" i="4" s="1"/>
  <c r="R39" i="4"/>
  <c r="H174" i="5"/>
  <c r="H147" i="15"/>
  <c r="H873" i="16" s="1"/>
  <c r="G147" i="15"/>
  <c r="H872" i="16" s="1"/>
  <c r="I131" i="15"/>
  <c r="H778" i="16" s="1"/>
  <c r="D137" i="16"/>
  <c r="D134" i="16"/>
  <c r="D138" i="16"/>
  <c r="D136" i="16"/>
  <c r="D135" i="16"/>
  <c r="D139" i="16"/>
  <c r="L241" i="4"/>
  <c r="M241" i="4" s="1"/>
  <c r="P241" i="4"/>
  <c r="N241" i="4"/>
  <c r="I58" i="15"/>
  <c r="H340" i="16" s="1"/>
  <c r="N287" i="5"/>
  <c r="O287" i="5" s="1"/>
  <c r="F1889" i="16"/>
  <c r="F1886" i="16"/>
  <c r="F1887" i="16"/>
  <c r="F1888" i="16"/>
  <c r="F1891" i="16"/>
  <c r="F1890" i="16"/>
  <c r="T334" i="5"/>
  <c r="U334" i="5" s="1"/>
  <c r="H335" i="5"/>
  <c r="T303" i="5"/>
  <c r="U303" i="5" s="1"/>
  <c r="J279" i="15"/>
  <c r="H1667" i="16" s="1"/>
  <c r="I279" i="15"/>
  <c r="H1666" i="16" s="1"/>
  <c r="H245" i="5"/>
  <c r="U245" i="5"/>
  <c r="T245" i="5"/>
  <c r="H143" i="5"/>
  <c r="H274" i="5"/>
  <c r="H212" i="5"/>
  <c r="T212" i="5" s="1"/>
  <c r="U212" i="5" s="1"/>
  <c r="H197" i="5"/>
  <c r="D1276" i="16"/>
  <c r="D1277" i="16"/>
  <c r="D1274" i="16"/>
  <c r="D1279" i="16"/>
  <c r="D1275" i="16"/>
  <c r="D1278" i="16"/>
  <c r="G272" i="15"/>
  <c r="H1622" i="16" s="1"/>
  <c r="F1247" i="16"/>
  <c r="F1244" i="16"/>
  <c r="F1249" i="16"/>
  <c r="F1246" i="16"/>
  <c r="F1245" i="16"/>
  <c r="F1248" i="16"/>
  <c r="H231" i="5"/>
  <c r="V150" i="5"/>
  <c r="W150" i="5" s="1"/>
  <c r="K150" i="5"/>
  <c r="J150" i="5"/>
  <c r="I150" i="5"/>
  <c r="I165" i="15"/>
  <c r="H982" i="16" s="1"/>
  <c r="H158" i="5"/>
  <c r="U158" i="5"/>
  <c r="F1042" i="16"/>
  <c r="F1040" i="16"/>
  <c r="F1043" i="16"/>
  <c r="F1041" i="16"/>
  <c r="F1045" i="16"/>
  <c r="F1044" i="16"/>
  <c r="F840" i="16"/>
  <c r="F836" i="16"/>
  <c r="F839" i="16"/>
  <c r="F838" i="16"/>
  <c r="F841" i="16"/>
  <c r="F837" i="16"/>
  <c r="F1345" i="16"/>
  <c r="F1341" i="16"/>
  <c r="F1340" i="16"/>
  <c r="F1344" i="16"/>
  <c r="F1343" i="16"/>
  <c r="F1342" i="16"/>
  <c r="N126" i="5"/>
  <c r="O126" i="5" s="1"/>
  <c r="F896" i="16"/>
  <c r="F900" i="16"/>
  <c r="F899" i="16"/>
  <c r="F898" i="16"/>
  <c r="F901" i="16"/>
  <c r="F897" i="16"/>
  <c r="T290" i="5"/>
  <c r="U290" i="5" s="1"/>
  <c r="H184" i="5"/>
  <c r="Q184" i="5" s="1"/>
  <c r="R184" i="5" s="1"/>
  <c r="U184" i="5"/>
  <c r="D1403" i="16"/>
  <c r="D1400" i="16"/>
  <c r="D1404" i="16"/>
  <c r="D1402" i="16"/>
  <c r="D1401" i="16"/>
  <c r="D1405" i="16"/>
  <c r="N198" i="5"/>
  <c r="O198" i="5" s="1"/>
  <c r="F915" i="16"/>
  <c r="F918" i="16"/>
  <c r="F914" i="16"/>
  <c r="F917" i="16"/>
  <c r="F916" i="16"/>
  <c r="F919" i="16"/>
  <c r="N116" i="5"/>
  <c r="O116" i="5" s="1"/>
  <c r="F513" i="16"/>
  <c r="F516" i="16"/>
  <c r="F515" i="16"/>
  <c r="F512" i="16"/>
  <c r="F517" i="16"/>
  <c r="F514" i="16"/>
  <c r="N156" i="5"/>
  <c r="O156" i="5" s="1"/>
  <c r="N100" i="5"/>
  <c r="O100" i="5" s="1"/>
  <c r="F938" i="16"/>
  <c r="F942" i="16"/>
  <c r="F941" i="16"/>
  <c r="F940" i="16"/>
  <c r="F943" i="16"/>
  <c r="F939" i="16"/>
  <c r="H83" i="5"/>
  <c r="Q83" i="5" s="1"/>
  <c r="R83" i="5" s="1"/>
  <c r="G112" i="15"/>
  <c r="H662" i="16" s="1"/>
  <c r="K112" i="5"/>
  <c r="H62" i="5"/>
  <c r="N62" i="5" s="1"/>
  <c r="O62" i="5" s="1"/>
  <c r="N146" i="5"/>
  <c r="O146" i="5" s="1"/>
  <c r="J77" i="15"/>
  <c r="H455" i="16" s="1"/>
  <c r="F202" i="16"/>
  <c r="F205" i="16"/>
  <c r="F201" i="16"/>
  <c r="F204" i="16"/>
  <c r="F203" i="16"/>
  <c r="F200" i="16"/>
  <c r="F561" i="16"/>
  <c r="F563" i="16"/>
  <c r="F560" i="16"/>
  <c r="F562" i="16"/>
  <c r="F565" i="16"/>
  <c r="F564" i="16"/>
  <c r="D267" i="16"/>
  <c r="D268" i="16"/>
  <c r="D271" i="16"/>
  <c r="D270" i="16"/>
  <c r="D266" i="16"/>
  <c r="D269" i="16"/>
  <c r="N66" i="5"/>
  <c r="O66" i="5" s="1"/>
  <c r="F553" i="16"/>
  <c r="F550" i="16"/>
  <c r="F552" i="16"/>
  <c r="F551" i="16"/>
  <c r="F549" i="16"/>
  <c r="F548" i="16"/>
  <c r="J81" i="15"/>
  <c r="H479" i="16" s="1"/>
  <c r="I81" i="15"/>
  <c r="H478" i="16" s="1"/>
  <c r="T73" i="5"/>
  <c r="U73" i="5" s="1"/>
  <c r="F627" i="16"/>
  <c r="F629" i="16"/>
  <c r="F630" i="16"/>
  <c r="F626" i="16"/>
  <c r="F631" i="16"/>
  <c r="F628" i="16"/>
  <c r="N40" i="5"/>
  <c r="O40" i="5" s="1"/>
  <c r="N282" i="4"/>
  <c r="P282" i="4"/>
  <c r="L282" i="4"/>
  <c r="M282" i="4" s="1"/>
  <c r="N37" i="5"/>
  <c r="O37" i="5" s="1"/>
  <c r="N59" i="5"/>
  <c r="O59" i="5" s="1"/>
  <c r="D89" i="16"/>
  <c r="D91" i="16"/>
  <c r="D88" i="16"/>
  <c r="D87" i="16"/>
  <c r="D86" i="16"/>
  <c r="D90" i="16"/>
  <c r="F131" i="16"/>
  <c r="F128" i="16"/>
  <c r="F133" i="16"/>
  <c r="F130" i="16"/>
  <c r="F129" i="16"/>
  <c r="F132" i="16"/>
  <c r="T57" i="5"/>
  <c r="U57" i="5" s="1"/>
  <c r="N182" i="4"/>
  <c r="P182" i="4"/>
  <c r="L182" i="4"/>
  <c r="M182" i="4" s="1"/>
  <c r="Q29" i="5"/>
  <c r="R29" i="5" s="1"/>
  <c r="F11" i="16"/>
  <c r="F13" i="16"/>
  <c r="F10" i="16"/>
  <c r="F9" i="16"/>
  <c r="F8" i="16"/>
  <c r="F12" i="16"/>
  <c r="F294" i="16"/>
  <c r="F291" i="16"/>
  <c r="F293" i="16"/>
  <c r="F292" i="16"/>
  <c r="F295" i="16"/>
  <c r="F290" i="16"/>
  <c r="N31" i="4"/>
  <c r="P31" i="4"/>
  <c r="M31" i="4"/>
  <c r="L31" i="4"/>
  <c r="U246" i="4"/>
  <c r="S246" i="4"/>
  <c r="Q235" i="4"/>
  <c r="R235" i="4" s="1"/>
  <c r="T235" i="4"/>
  <c r="P314" i="4"/>
  <c r="N314" i="4"/>
  <c r="L314" i="4"/>
  <c r="M314" i="4" s="1"/>
  <c r="Q164" i="4"/>
  <c r="R164" i="4" s="1"/>
  <c r="T164" i="4"/>
  <c r="R26" i="5"/>
  <c r="H26" i="5"/>
  <c r="N26" i="5" s="1"/>
  <c r="O26" i="5" s="1"/>
  <c r="L329" i="4"/>
  <c r="M329" i="4" s="1"/>
  <c r="P329" i="4"/>
  <c r="N329" i="4"/>
  <c r="U94" i="4"/>
  <c r="S94" i="4"/>
  <c r="Q144" i="4"/>
  <c r="T144" i="4"/>
  <c r="N144" i="5"/>
  <c r="O144" i="5" s="1"/>
  <c r="H88" i="5"/>
  <c r="T88" i="5" s="1"/>
  <c r="U88" i="5" s="1"/>
  <c r="N274" i="4"/>
  <c r="P274" i="4"/>
  <c r="L274" i="4"/>
  <c r="M274" i="4" s="1"/>
  <c r="T141" i="4"/>
  <c r="Q141" i="4"/>
  <c r="R141" i="4" s="1"/>
  <c r="T201" i="4"/>
  <c r="Q201" i="4"/>
  <c r="R201" i="4" s="1"/>
  <c r="T327" i="5"/>
  <c r="U327" i="5" s="1"/>
  <c r="H329" i="5"/>
  <c r="N329" i="5" s="1"/>
  <c r="O329" i="5" s="1"/>
  <c r="F1998" i="16"/>
  <c r="F1994" i="16"/>
  <c r="F1997" i="16"/>
  <c r="F1999" i="16"/>
  <c r="F1996" i="16"/>
  <c r="F1995" i="16"/>
  <c r="T333" i="5"/>
  <c r="U333" i="5" s="1"/>
  <c r="V311" i="5"/>
  <c r="W311" i="5" s="1"/>
  <c r="J311" i="5"/>
  <c r="I311" i="5"/>
  <c r="F1289" i="16"/>
  <c r="F1288" i="16"/>
  <c r="F1291" i="16"/>
  <c r="F1287" i="16"/>
  <c r="F1290" i="16"/>
  <c r="F1286" i="16"/>
  <c r="Q200" i="5"/>
  <c r="R200" i="5" s="1"/>
  <c r="N303" i="5"/>
  <c r="O303" i="5" s="1"/>
  <c r="H159" i="5"/>
  <c r="N159" i="5"/>
  <c r="O159" i="5" s="1"/>
  <c r="D1636" i="16"/>
  <c r="D1635" i="16"/>
  <c r="D1638" i="16"/>
  <c r="D1634" i="16"/>
  <c r="D1637" i="16"/>
  <c r="D1639" i="16"/>
  <c r="H205" i="5"/>
  <c r="N205" i="5" s="1"/>
  <c r="O205" i="5" s="1"/>
  <c r="Q205" i="5"/>
  <c r="R205" i="5" s="1"/>
  <c r="N286" i="5"/>
  <c r="O286" i="5" s="1"/>
  <c r="J272" i="15"/>
  <c r="H1625" i="16" s="1"/>
  <c r="I272" i="15"/>
  <c r="H1624" i="16" s="1"/>
  <c r="T280" i="5"/>
  <c r="U280" i="5" s="1"/>
  <c r="L256" i="15"/>
  <c r="H1531" i="16" s="1"/>
  <c r="K256" i="15"/>
  <c r="H1530" i="16" s="1"/>
  <c r="H208" i="5"/>
  <c r="Q208" i="5" s="1"/>
  <c r="R208" i="5" s="1"/>
  <c r="F1494" i="16"/>
  <c r="F1491" i="16"/>
  <c r="F1495" i="16"/>
  <c r="F1493" i="16"/>
  <c r="F1492" i="16"/>
  <c r="F1490" i="16"/>
  <c r="H229" i="5"/>
  <c r="H242" i="5"/>
  <c r="N243" i="5"/>
  <c r="O243" i="5" s="1"/>
  <c r="D939" i="16"/>
  <c r="D938" i="16"/>
  <c r="D942" i="16"/>
  <c r="D941" i="16"/>
  <c r="D940" i="16"/>
  <c r="D943" i="16"/>
  <c r="F750" i="16"/>
  <c r="F747" i="16"/>
  <c r="F749" i="16"/>
  <c r="F746" i="16"/>
  <c r="F748" i="16"/>
  <c r="F751" i="16"/>
  <c r="U238" i="5"/>
  <c r="H238" i="5"/>
  <c r="Q238" i="5" s="1"/>
  <c r="R238" i="5" s="1"/>
  <c r="D1098" i="16"/>
  <c r="D1094" i="16"/>
  <c r="D1097" i="16"/>
  <c r="D1096" i="16"/>
  <c r="D1095" i="16"/>
  <c r="D1099" i="16"/>
  <c r="Q215" i="5"/>
  <c r="R215" i="5" s="1"/>
  <c r="F1560" i="16"/>
  <c r="F1557" i="16"/>
  <c r="F1556" i="16"/>
  <c r="F1559" i="16"/>
  <c r="F1561" i="16"/>
  <c r="F1558" i="16"/>
  <c r="H145" i="5"/>
  <c r="T145" i="5" s="1"/>
  <c r="U145" i="5" s="1"/>
  <c r="Q145" i="5"/>
  <c r="R145" i="5" s="1"/>
  <c r="N209" i="5"/>
  <c r="O209" i="5" s="1"/>
  <c r="J147" i="15"/>
  <c r="H875" i="16" s="1"/>
  <c r="I147" i="15"/>
  <c r="H874" i="16" s="1"/>
  <c r="T224" i="5"/>
  <c r="U224" i="5" s="1"/>
  <c r="J138" i="15"/>
  <c r="H821" i="16" s="1"/>
  <c r="I138" i="15"/>
  <c r="H820" i="16" s="1"/>
  <c r="F667" i="16"/>
  <c r="F665" i="16"/>
  <c r="F662" i="16"/>
  <c r="F666" i="16"/>
  <c r="F664" i="16"/>
  <c r="F663" i="16"/>
  <c r="G194" i="15"/>
  <c r="H1154" i="16" s="1"/>
  <c r="K194" i="5"/>
  <c r="F872" i="16"/>
  <c r="F875" i="16"/>
  <c r="F874" i="16"/>
  <c r="F877" i="16"/>
  <c r="F873" i="16"/>
  <c r="F876" i="16"/>
  <c r="H96" i="5"/>
  <c r="I69" i="5"/>
  <c r="K69" i="5" s="1"/>
  <c r="V69" i="5"/>
  <c r="W69" i="5" s="1"/>
  <c r="N69" i="5"/>
  <c r="O69" i="5" s="1"/>
  <c r="J69" i="5"/>
  <c r="Q34" i="5"/>
  <c r="R34" i="5" s="1"/>
  <c r="H137" i="5"/>
  <c r="T137" i="5" s="1"/>
  <c r="U137" i="5" s="1"/>
  <c r="J55" i="5"/>
  <c r="I55" i="5"/>
  <c r="V55" i="5"/>
  <c r="W55" i="5" s="1"/>
  <c r="F489" i="16"/>
  <c r="F491" i="16"/>
  <c r="F488" i="16"/>
  <c r="F493" i="16"/>
  <c r="F492" i="16"/>
  <c r="F490" i="16"/>
  <c r="D366" i="16"/>
  <c r="D362" i="16"/>
  <c r="D365" i="16"/>
  <c r="D364" i="16"/>
  <c r="D363" i="16"/>
  <c r="D367" i="16"/>
  <c r="H50" i="5"/>
  <c r="Q136" i="5"/>
  <c r="R136" i="5" s="1"/>
  <c r="J75" i="15"/>
  <c r="H443" i="16" s="1"/>
  <c r="I75" i="15"/>
  <c r="H442" i="16" s="1"/>
  <c r="V76" i="5"/>
  <c r="W76" i="5" s="1"/>
  <c r="N76" i="5"/>
  <c r="O76" i="5" s="1"/>
  <c r="J76" i="5"/>
  <c r="I76" i="5"/>
  <c r="T76" i="5"/>
  <c r="U76" i="5" s="1"/>
  <c r="Q76" i="5"/>
  <c r="R76" i="5" s="1"/>
  <c r="F230" i="16"/>
  <c r="F232" i="16"/>
  <c r="F235" i="16"/>
  <c r="F231" i="16"/>
  <c r="F234" i="16"/>
  <c r="F233" i="16"/>
  <c r="H89" i="15"/>
  <c r="H525" i="16" s="1"/>
  <c r="G89" i="15"/>
  <c r="H524" i="16" s="1"/>
  <c r="T32" i="5"/>
  <c r="Q26" i="5"/>
  <c r="N90" i="5"/>
  <c r="O90" i="5" s="1"/>
  <c r="T228" i="5"/>
  <c r="N70" i="5"/>
  <c r="O70" i="5" s="1"/>
  <c r="J103" i="5"/>
  <c r="V103" i="5"/>
  <c r="W103" i="5" s="1"/>
  <c r="I103" i="5"/>
  <c r="K103" i="5" s="1"/>
  <c r="T34" i="5"/>
  <c r="U34" i="5" s="1"/>
  <c r="L289" i="4"/>
  <c r="M289" i="4" s="1"/>
  <c r="P289" i="4"/>
  <c r="N289" i="4"/>
  <c r="T74" i="5"/>
  <c r="U74" i="5" s="1"/>
  <c r="F334" i="16"/>
  <c r="F336" i="16"/>
  <c r="F333" i="16"/>
  <c r="F337" i="16"/>
  <c r="F332" i="16"/>
  <c r="F335" i="16"/>
  <c r="H2" i="5"/>
  <c r="T60" i="5"/>
  <c r="U60" i="5" s="1"/>
  <c r="Q263" i="4"/>
  <c r="R263" i="4" s="1"/>
  <c r="T263" i="4"/>
  <c r="P259" i="4"/>
  <c r="N259" i="4"/>
  <c r="L259" i="4"/>
  <c r="M259" i="4" s="1"/>
  <c r="R193" i="4"/>
  <c r="P196" i="4"/>
  <c r="M196" i="4"/>
  <c r="L196" i="4"/>
  <c r="N196" i="4"/>
  <c r="R102" i="4"/>
  <c r="T262" i="4"/>
  <c r="Q262" i="4"/>
  <c r="R262" i="4" s="1"/>
  <c r="P325" i="4"/>
  <c r="N325" i="4"/>
  <c r="M325" i="4"/>
  <c r="L325" i="4"/>
  <c r="M232" i="4"/>
  <c r="P232" i="4"/>
  <c r="N232" i="4"/>
  <c r="L232" i="4"/>
  <c r="T45" i="4"/>
  <c r="Q45" i="4"/>
  <c r="R45" i="4" s="1"/>
  <c r="R264" i="4"/>
  <c r="D149" i="16"/>
  <c r="D146" i="16"/>
  <c r="D151" i="16"/>
  <c r="D148" i="16"/>
  <c r="D150" i="16"/>
  <c r="D147" i="16"/>
  <c r="T194" i="4"/>
  <c r="Q194" i="4"/>
  <c r="R194" i="4" s="1"/>
  <c r="T173" i="4"/>
  <c r="Q173" i="4"/>
  <c r="G13" i="1"/>
  <c r="T133" i="4"/>
  <c r="Q133" i="4"/>
  <c r="R133" i="4" s="1"/>
  <c r="G12" i="1"/>
  <c r="Q34" i="4"/>
  <c r="T34" i="4"/>
  <c r="Q140" i="4"/>
  <c r="R140" i="4" s="1"/>
  <c r="T140" i="4"/>
  <c r="R144" i="4"/>
  <c r="R239" i="4"/>
  <c r="T135" i="4"/>
  <c r="Q135" i="4"/>
  <c r="R135" i="4" s="1"/>
  <c r="N197" i="4"/>
  <c r="M197" i="4"/>
  <c r="P197" i="4"/>
  <c r="L197" i="4"/>
  <c r="P123" i="4"/>
  <c r="N123" i="4"/>
  <c r="L123" i="4"/>
  <c r="M123" i="4" s="1"/>
  <c r="G21" i="1"/>
  <c r="H250" i="5"/>
  <c r="T250" i="5" s="1"/>
  <c r="U250" i="5" s="1"/>
  <c r="F1926" i="16"/>
  <c r="F1925" i="16"/>
  <c r="F1927" i="16"/>
  <c r="F1923" i="16"/>
  <c r="F1922" i="16"/>
  <c r="F1924" i="16"/>
  <c r="D1865" i="16"/>
  <c r="D1866" i="16"/>
  <c r="D1863" i="16"/>
  <c r="D1867" i="16"/>
  <c r="D1862" i="16"/>
  <c r="D1864" i="16"/>
  <c r="D172" i="16"/>
  <c r="D175" i="16"/>
  <c r="D171" i="16"/>
  <c r="D174" i="16"/>
  <c r="D170" i="16"/>
  <c r="D173" i="16"/>
  <c r="T46" i="5"/>
  <c r="U46" i="5" s="1"/>
  <c r="T311" i="4"/>
  <c r="Q311" i="4"/>
  <c r="R311" i="4" s="1"/>
  <c r="T209" i="4"/>
  <c r="Q209" i="4"/>
  <c r="R209" i="4" s="1"/>
  <c r="F1849" i="16"/>
  <c r="F1846" i="16"/>
  <c r="F1848" i="16"/>
  <c r="F1844" i="16"/>
  <c r="F1845" i="16"/>
  <c r="F1847" i="16"/>
  <c r="Q322" i="5"/>
  <c r="R322" i="5" s="1"/>
  <c r="Q333" i="5"/>
  <c r="R333" i="5" s="1"/>
  <c r="H301" i="5"/>
  <c r="H294" i="5"/>
  <c r="N294" i="5" s="1"/>
  <c r="O294" i="5" s="1"/>
  <c r="N327" i="5"/>
  <c r="O327" i="5" s="1"/>
  <c r="T332" i="5"/>
  <c r="U332" i="5" s="1"/>
  <c r="D1801" i="16"/>
  <c r="D1798" i="16"/>
  <c r="D1799" i="16"/>
  <c r="D1797" i="16"/>
  <c r="D1796" i="16"/>
  <c r="D1800" i="16"/>
  <c r="Q293" i="5"/>
  <c r="Q327" i="5"/>
  <c r="R327" i="5" s="1"/>
  <c r="H262" i="5"/>
  <c r="T262" i="5" s="1"/>
  <c r="U262" i="5" s="1"/>
  <c r="N262" i="5"/>
  <c r="O262" i="5" s="1"/>
  <c r="H328" i="5"/>
  <c r="T328" i="5" s="1"/>
  <c r="U328" i="5" s="1"/>
  <c r="N276" i="5"/>
  <c r="K326" i="5"/>
  <c r="N335" i="5"/>
  <c r="O335" i="5" s="1"/>
  <c r="F1809" i="16"/>
  <c r="F1808" i="16"/>
  <c r="F1812" i="16"/>
  <c r="F1811" i="16"/>
  <c r="F1813" i="16"/>
  <c r="F1810" i="16"/>
  <c r="H191" i="5"/>
  <c r="Q191" i="5" s="1"/>
  <c r="R191" i="5" s="1"/>
  <c r="H175" i="5"/>
  <c r="Q175" i="5" s="1"/>
  <c r="R175" i="5" s="1"/>
  <c r="N204" i="5"/>
  <c r="O204" i="5" s="1"/>
  <c r="Q286" i="5"/>
  <c r="R286" i="5" s="1"/>
  <c r="H271" i="5"/>
  <c r="F1675" i="16"/>
  <c r="F1673" i="16"/>
  <c r="F1671" i="16"/>
  <c r="F1670" i="16"/>
  <c r="F1672" i="16"/>
  <c r="F1674" i="16"/>
  <c r="Q244" i="5"/>
  <c r="R244" i="5" s="1"/>
  <c r="N244" i="5"/>
  <c r="O244" i="5" s="1"/>
  <c r="I269" i="5"/>
  <c r="K269" i="5" s="1"/>
  <c r="V269" i="5"/>
  <c r="W269" i="5" s="1"/>
  <c r="J269" i="5"/>
  <c r="U228" i="5"/>
  <c r="H228" i="5"/>
  <c r="T190" i="5"/>
  <c r="U190" i="5" s="1"/>
  <c r="F1588" i="16"/>
  <c r="F1591" i="16"/>
  <c r="F1587" i="16"/>
  <c r="F1589" i="16"/>
  <c r="F1586" i="16"/>
  <c r="F1590" i="16"/>
  <c r="D1446" i="16"/>
  <c r="D1443" i="16"/>
  <c r="D1445" i="16"/>
  <c r="D1444" i="16"/>
  <c r="D1447" i="16"/>
  <c r="D1442" i="16"/>
  <c r="G149" i="15"/>
  <c r="H884" i="16" s="1"/>
  <c r="K149" i="5"/>
  <c r="T122" i="5"/>
  <c r="U122" i="5" s="1"/>
  <c r="H122" i="5"/>
  <c r="Q122" i="5" s="1"/>
  <c r="R122" i="5" s="1"/>
  <c r="V216" i="5"/>
  <c r="W216" i="5" s="1"/>
  <c r="I216" i="5"/>
  <c r="K216" i="5" s="1"/>
  <c r="J216" i="5"/>
  <c r="H183" i="5"/>
  <c r="Q212" i="5"/>
  <c r="R212" i="5" s="1"/>
  <c r="Q150" i="5"/>
  <c r="R150" i="5" s="1"/>
  <c r="N212" i="5"/>
  <c r="O212" i="5" s="1"/>
  <c r="F986" i="16"/>
  <c r="F988" i="16"/>
  <c r="F991" i="16"/>
  <c r="F990" i="16"/>
  <c r="F989" i="16"/>
  <c r="F987" i="16"/>
  <c r="D1423" i="16"/>
  <c r="D1420" i="16"/>
  <c r="D1422" i="16"/>
  <c r="D1418" i="16"/>
  <c r="D1419" i="16"/>
  <c r="D1421" i="16"/>
  <c r="H176" i="5"/>
  <c r="N176" i="5" s="1"/>
  <c r="O176" i="5" s="1"/>
  <c r="T178" i="5"/>
  <c r="U178" i="5" s="1"/>
  <c r="H152" i="5"/>
  <c r="Q224" i="5"/>
  <c r="R224" i="5" s="1"/>
  <c r="I169" i="15"/>
  <c r="H1006" i="16" s="1"/>
  <c r="N94" i="5"/>
  <c r="O94" i="5" s="1"/>
  <c r="T111" i="5"/>
  <c r="U111" i="5" s="1"/>
  <c r="F1347" i="16"/>
  <c r="F1346" i="16"/>
  <c r="F1350" i="16"/>
  <c r="F1349" i="16"/>
  <c r="F1351" i="16"/>
  <c r="F1348" i="16"/>
  <c r="V221" i="5"/>
  <c r="W221" i="5" s="1"/>
  <c r="J221" i="5"/>
  <c r="I221" i="5"/>
  <c r="T236" i="5"/>
  <c r="U236" i="5" s="1"/>
  <c r="D569" i="16"/>
  <c r="D566" i="16"/>
  <c r="D571" i="16"/>
  <c r="D568" i="16"/>
  <c r="D567" i="16"/>
  <c r="D570" i="16"/>
  <c r="J220" i="5"/>
  <c r="I220" i="5"/>
  <c r="K220" i="5" s="1"/>
  <c r="V220" i="5"/>
  <c r="W220" i="5" s="1"/>
  <c r="D812" i="16"/>
  <c r="D815" i="16"/>
  <c r="D814" i="16"/>
  <c r="D817" i="16"/>
  <c r="D813" i="16"/>
  <c r="D816" i="16"/>
  <c r="T48" i="5"/>
  <c r="U48" i="5" s="1"/>
  <c r="D295" i="16"/>
  <c r="D292" i="16"/>
  <c r="D293" i="16"/>
  <c r="D291" i="16"/>
  <c r="D294" i="16"/>
  <c r="D290" i="16"/>
  <c r="K75" i="5"/>
  <c r="Q216" i="5"/>
  <c r="R216" i="5" s="1"/>
  <c r="J89" i="15"/>
  <c r="H527" i="16" s="1"/>
  <c r="I89" i="15"/>
  <c r="H526" i="16" s="1"/>
  <c r="F182" i="16"/>
  <c r="F185" i="16"/>
  <c r="F184" i="16"/>
  <c r="F187" i="16"/>
  <c r="F186" i="16"/>
  <c r="F183" i="16"/>
  <c r="F150" i="16"/>
  <c r="F149" i="16"/>
  <c r="F146" i="16"/>
  <c r="F151" i="16"/>
  <c r="F148" i="16"/>
  <c r="F147" i="16"/>
  <c r="G87" i="15"/>
  <c r="H512" i="16" s="1"/>
  <c r="F1361" i="16"/>
  <c r="F1359" i="16"/>
  <c r="F1362" i="16"/>
  <c r="F1358" i="16"/>
  <c r="F1363" i="16"/>
  <c r="F1360" i="16"/>
  <c r="N143" i="5"/>
  <c r="O143" i="5" s="1"/>
  <c r="N68" i="5"/>
  <c r="O68" i="5" s="1"/>
  <c r="R278" i="4"/>
  <c r="Q41" i="5"/>
  <c r="R41" i="5" s="1"/>
  <c r="Q68" i="5"/>
  <c r="R68" i="5" s="1"/>
  <c r="N55" i="5"/>
  <c r="O55" i="5" s="1"/>
  <c r="T42" i="5"/>
  <c r="U42" i="5" s="1"/>
  <c r="F707" i="16"/>
  <c r="F709" i="16"/>
  <c r="F704" i="16"/>
  <c r="F706" i="16"/>
  <c r="F705" i="16"/>
  <c r="F708" i="16"/>
  <c r="D6" i="16"/>
  <c r="D5" i="16"/>
  <c r="D4" i="16"/>
  <c r="D3" i="16"/>
  <c r="D7" i="16"/>
  <c r="D2" i="16"/>
  <c r="T29" i="5"/>
  <c r="U29" i="5" s="1"/>
  <c r="Q2" i="4"/>
  <c r="R2" i="4" s="1"/>
  <c r="T2" i="4"/>
  <c r="R332" i="4"/>
  <c r="P190" i="4"/>
  <c r="N190" i="4"/>
  <c r="L190" i="4"/>
  <c r="M190" i="4" s="1"/>
  <c r="R85" i="4"/>
  <c r="T229" i="4"/>
  <c r="Q229" i="4"/>
  <c r="R229" i="4" s="1"/>
  <c r="R256" i="4"/>
  <c r="N228" i="4"/>
  <c r="P228" i="4"/>
  <c r="M228" i="4"/>
  <c r="L228" i="4"/>
  <c r="Q5" i="5"/>
  <c r="R5" i="5" s="1"/>
  <c r="R173" i="4"/>
  <c r="S80" i="4"/>
  <c r="U80" i="4"/>
  <c r="N14" i="4"/>
  <c r="P14" i="4"/>
  <c r="L14" i="4"/>
  <c r="M14" i="4" s="1"/>
  <c r="R88" i="4"/>
  <c r="T153" i="4"/>
  <c r="Q153" i="4"/>
  <c r="R153" i="4" s="1"/>
  <c r="N116" i="4"/>
  <c r="M116" i="4"/>
  <c r="P116" i="4"/>
  <c r="L116" i="4"/>
  <c r="V302" i="5"/>
  <c r="W302" i="5" s="1"/>
  <c r="J302" i="5"/>
  <c r="I302" i="5"/>
  <c r="H291" i="5"/>
  <c r="Q291" i="5" s="1"/>
  <c r="R291" i="5" s="1"/>
  <c r="H305" i="5"/>
  <c r="N305" i="5" s="1"/>
  <c r="O305" i="5" s="1"/>
  <c r="N301" i="5"/>
  <c r="O301" i="5" s="1"/>
  <c r="Q204" i="5"/>
  <c r="R204" i="5" s="1"/>
  <c r="N190" i="5"/>
  <c r="O190" i="5" s="1"/>
  <c r="T248" i="5"/>
  <c r="U248" i="5" s="1"/>
  <c r="H297" i="5"/>
  <c r="N297" i="5" s="1"/>
  <c r="O297" i="5" s="1"/>
  <c r="H202" i="5"/>
  <c r="Q202" i="5" s="1"/>
  <c r="R202" i="5" s="1"/>
  <c r="H292" i="5"/>
  <c r="F1708" i="16"/>
  <c r="F1709" i="16"/>
  <c r="F1707" i="16"/>
  <c r="F1706" i="16"/>
  <c r="F1710" i="16"/>
  <c r="F1711" i="16"/>
  <c r="D1620" i="16"/>
  <c r="D1616" i="16"/>
  <c r="D1619" i="16"/>
  <c r="D1618" i="16"/>
  <c r="D1617" i="16"/>
  <c r="D1621" i="16"/>
  <c r="O276" i="5"/>
  <c r="H276" i="5"/>
  <c r="V241" i="5"/>
  <c r="W241" i="5" s="1"/>
  <c r="K241" i="5"/>
  <c r="J241" i="5"/>
  <c r="I241" i="5"/>
  <c r="H226" i="5"/>
  <c r="T226" i="5" s="1"/>
  <c r="U226" i="5" s="1"/>
  <c r="I149" i="15"/>
  <c r="H886" i="16" s="1"/>
  <c r="H121" i="5"/>
  <c r="T121" i="5" s="1"/>
  <c r="U121" i="5" s="1"/>
  <c r="D1093" i="16"/>
  <c r="D1090" i="16"/>
  <c r="D1089" i="16"/>
  <c r="D1092" i="16"/>
  <c r="D1091" i="16"/>
  <c r="D1088" i="16"/>
  <c r="T210" i="5"/>
  <c r="U210" i="5" s="1"/>
  <c r="T150" i="5"/>
  <c r="U150" i="5" s="1"/>
  <c r="T306" i="5"/>
  <c r="U306" i="5" s="1"/>
  <c r="Q227" i="5"/>
  <c r="R227" i="5" s="1"/>
  <c r="I154" i="5"/>
  <c r="V154" i="5"/>
  <c r="W154" i="5" s="1"/>
  <c r="J154" i="5"/>
  <c r="T116" i="5"/>
  <c r="U116" i="5" s="1"/>
  <c r="D907" i="16"/>
  <c r="D904" i="16"/>
  <c r="D903" i="16"/>
  <c r="D906" i="16"/>
  <c r="D902" i="16"/>
  <c r="D905" i="16"/>
  <c r="J182" i="15"/>
  <c r="H1085" i="16" s="1"/>
  <c r="I182" i="15"/>
  <c r="H1084" i="16" s="1"/>
  <c r="F558" i="16"/>
  <c r="F555" i="16"/>
  <c r="F557" i="16"/>
  <c r="F556" i="16"/>
  <c r="F554" i="16"/>
  <c r="F559" i="16"/>
  <c r="G169" i="15"/>
  <c r="H1004" i="16" s="1"/>
  <c r="F659" i="16"/>
  <c r="F661" i="16"/>
  <c r="F657" i="16"/>
  <c r="F660" i="16"/>
  <c r="F658" i="16"/>
  <c r="F656" i="16"/>
  <c r="T201" i="5"/>
  <c r="U201" i="5" s="1"/>
  <c r="H173" i="5"/>
  <c r="Q173" i="5" s="1"/>
  <c r="R173" i="5" s="1"/>
  <c r="G117" i="15"/>
  <c r="H692" i="16" s="1"/>
  <c r="J203" i="5"/>
  <c r="I203" i="5"/>
  <c r="V203" i="5"/>
  <c r="W203" i="5" s="1"/>
  <c r="H168" i="5"/>
  <c r="H94" i="5"/>
  <c r="T84" i="5"/>
  <c r="U84" i="5" s="1"/>
  <c r="K77" i="5"/>
  <c r="F278" i="16"/>
  <c r="F280" i="16"/>
  <c r="F282" i="16"/>
  <c r="F279" i="16"/>
  <c r="F283" i="16"/>
  <c r="F281" i="16"/>
  <c r="F225" i="16"/>
  <c r="F228" i="16"/>
  <c r="F224" i="16"/>
  <c r="F227" i="16"/>
  <c r="F226" i="16"/>
  <c r="F229" i="16"/>
  <c r="Q171" i="5"/>
  <c r="R171" i="5" s="1"/>
  <c r="H102" i="15"/>
  <c r="H603" i="16" s="1"/>
  <c r="G102" i="15"/>
  <c r="H602" i="16" s="1"/>
  <c r="K89" i="5"/>
  <c r="N93" i="5"/>
  <c r="O93" i="5" s="1"/>
  <c r="H36" i="5"/>
  <c r="H78" i="5"/>
  <c r="Q59" i="5"/>
  <c r="R59" i="5" s="1"/>
  <c r="I130" i="5"/>
  <c r="K130" i="5" s="1"/>
  <c r="V130" i="5"/>
  <c r="W130" i="5" s="1"/>
  <c r="J130" i="5"/>
  <c r="T143" i="5"/>
  <c r="U143" i="5" s="1"/>
  <c r="G65" i="15"/>
  <c r="H380" i="16" s="1"/>
  <c r="T214" i="4"/>
  <c r="Q214" i="4"/>
  <c r="R214" i="4" s="1"/>
  <c r="T55" i="5"/>
  <c r="U55" i="5" s="1"/>
  <c r="I38" i="5"/>
  <c r="J38" i="5"/>
  <c r="V38" i="5"/>
  <c r="W38" i="5" s="1"/>
  <c r="N12" i="5"/>
  <c r="O12" i="5" s="1"/>
  <c r="T154" i="4"/>
  <c r="Q154" i="4"/>
  <c r="R154" i="4" s="1"/>
  <c r="N318" i="4"/>
  <c r="L318" i="4"/>
  <c r="M318" i="4" s="1"/>
  <c r="P318" i="4"/>
  <c r="G25" i="1"/>
  <c r="U240" i="4"/>
  <c r="S240" i="4"/>
  <c r="S184" i="4"/>
  <c r="U184" i="4" s="1"/>
  <c r="T20" i="4"/>
  <c r="Q20" i="4"/>
  <c r="R20" i="4" s="1"/>
  <c r="N212" i="4"/>
  <c r="M212" i="4"/>
  <c r="P212" i="4"/>
  <c r="L212" i="4"/>
  <c r="R122" i="4"/>
  <c r="N67" i="5"/>
  <c r="O67" i="5" s="1"/>
  <c r="Q303" i="4"/>
  <c r="T303" i="4"/>
  <c r="R152" i="4"/>
  <c r="N8" i="5"/>
  <c r="O8" i="5" s="1"/>
  <c r="Q166" i="4"/>
  <c r="R166" i="4" s="1"/>
  <c r="T166" i="4"/>
  <c r="N33" i="4"/>
  <c r="P33" i="4"/>
  <c r="L33" i="4"/>
  <c r="M33" i="4" s="1"/>
  <c r="T24" i="4"/>
  <c r="Q24" i="4"/>
  <c r="Q13" i="4"/>
  <c r="R13" i="4" s="1"/>
  <c r="T13" i="4"/>
  <c r="P71" i="4"/>
  <c r="N71" i="4"/>
  <c r="M71" i="4"/>
  <c r="L71" i="4"/>
  <c r="L92" i="4"/>
  <c r="M92" i="4" s="1"/>
  <c r="P92" i="4"/>
  <c r="N92" i="4"/>
  <c r="R168" i="4"/>
  <c r="P87" i="4"/>
  <c r="M87" i="4"/>
  <c r="N87" i="4"/>
  <c r="L87" i="4"/>
  <c r="G16" i="1"/>
  <c r="T161" i="4"/>
  <c r="Q161" i="4"/>
  <c r="R161" i="4" s="1"/>
  <c r="Q41" i="4"/>
  <c r="R41" i="4" s="1"/>
  <c r="T41" i="4"/>
  <c r="T195" i="4"/>
  <c r="Q195" i="4"/>
  <c r="R195" i="4" s="1"/>
  <c r="T292" i="4"/>
  <c r="Q292" i="4"/>
  <c r="R292" i="4" s="1"/>
  <c r="H33" i="5"/>
  <c r="N33" i="5" s="1"/>
  <c r="O33" i="5" s="1"/>
  <c r="U33" i="5"/>
  <c r="T33" i="5"/>
  <c r="H336" i="5"/>
  <c r="T336" i="5" s="1"/>
  <c r="U336" i="5" s="1"/>
  <c r="T329" i="5"/>
  <c r="U329" i="5" s="1"/>
  <c r="Q290" i="5"/>
  <c r="R290" i="5" s="1"/>
  <c r="F1795" i="16"/>
  <c r="F1792" i="16"/>
  <c r="F1791" i="16"/>
  <c r="F1793" i="16"/>
  <c r="F1790" i="16"/>
  <c r="F1794" i="16"/>
  <c r="H275" i="5"/>
  <c r="N275" i="5" s="1"/>
  <c r="O275" i="5" s="1"/>
  <c r="J268" i="5"/>
  <c r="I268" i="5"/>
  <c r="V268" i="5"/>
  <c r="W268" i="5" s="1"/>
  <c r="H323" i="5"/>
  <c r="N323" i="5" s="1"/>
  <c r="O323" i="5" s="1"/>
  <c r="H284" i="5"/>
  <c r="N284" i="5" s="1"/>
  <c r="O284" i="5" s="1"/>
  <c r="F1825" i="16"/>
  <c r="F1822" i="16"/>
  <c r="F1821" i="16"/>
  <c r="F1820" i="16"/>
  <c r="F1824" i="16"/>
  <c r="F1823" i="16"/>
  <c r="J325" i="15"/>
  <c r="H1943" i="16" s="1"/>
  <c r="H289" i="15"/>
  <c r="H1725" i="16" s="1"/>
  <c r="G289" i="15"/>
  <c r="H1724" i="16" s="1"/>
  <c r="N245" i="5"/>
  <c r="O245" i="5" s="1"/>
  <c r="D1772" i="16"/>
  <c r="D1775" i="16"/>
  <c r="D1773" i="16"/>
  <c r="D1777" i="16"/>
  <c r="D1774" i="16"/>
  <c r="D1776" i="16"/>
  <c r="H258" i="5"/>
  <c r="R258" i="5"/>
  <c r="O258" i="5"/>
  <c r="T258" i="5"/>
  <c r="U258" i="5" s="1"/>
  <c r="D1205" i="16"/>
  <c r="D1202" i="16"/>
  <c r="D1207" i="16"/>
  <c r="D1204" i="16"/>
  <c r="D1206" i="16"/>
  <c r="D1203" i="16"/>
  <c r="F1517" i="16"/>
  <c r="F1514" i="16"/>
  <c r="F1516" i="16"/>
  <c r="F1519" i="16"/>
  <c r="F1515" i="16"/>
  <c r="F1518" i="16"/>
  <c r="N283" i="5"/>
  <c r="T281" i="5"/>
  <c r="U281" i="5" s="1"/>
  <c r="K225" i="5"/>
  <c r="Q319" i="5"/>
  <c r="R319" i="5" s="1"/>
  <c r="L282" i="15"/>
  <c r="H1687" i="16" s="1"/>
  <c r="K282" i="15"/>
  <c r="H1686" i="16" s="1"/>
  <c r="Q242" i="5"/>
  <c r="R242" i="5" s="1"/>
  <c r="J263" i="15"/>
  <c r="H1571" i="16" s="1"/>
  <c r="H282" i="15"/>
  <c r="H1683" i="16" s="1"/>
  <c r="Q100" i="5"/>
  <c r="R100" i="5" s="1"/>
  <c r="F585" i="16"/>
  <c r="F587" i="16"/>
  <c r="F584" i="16"/>
  <c r="F589" i="16"/>
  <c r="F588" i="16"/>
  <c r="F586" i="16"/>
  <c r="N197" i="5"/>
  <c r="O197" i="5" s="1"/>
  <c r="F893" i="16"/>
  <c r="F892" i="16"/>
  <c r="F895" i="16"/>
  <c r="F891" i="16"/>
  <c r="F894" i="16"/>
  <c r="F890" i="16"/>
  <c r="R293" i="5"/>
  <c r="H293" i="5"/>
  <c r="N293" i="5" s="1"/>
  <c r="O293" i="5" s="1"/>
  <c r="T202" i="5"/>
  <c r="U202" i="5" s="1"/>
  <c r="Q284" i="5"/>
  <c r="R284" i="5" s="1"/>
  <c r="T204" i="5"/>
  <c r="U204" i="5" s="1"/>
  <c r="H126" i="5"/>
  <c r="Q246" i="5"/>
  <c r="R246" i="5" s="1"/>
  <c r="H153" i="5"/>
  <c r="L115" i="15"/>
  <c r="H685" i="16" s="1"/>
  <c r="K115" i="15"/>
  <c r="H684" i="16" s="1"/>
  <c r="T140" i="5"/>
  <c r="U140" i="5" s="1"/>
  <c r="H167" i="5"/>
  <c r="T167" i="5" s="1"/>
  <c r="U167" i="5" s="1"/>
  <c r="Q90" i="5"/>
  <c r="R90" i="5" s="1"/>
  <c r="H207" i="5"/>
  <c r="F800" i="16"/>
  <c r="F805" i="16"/>
  <c r="F802" i="16"/>
  <c r="F804" i="16"/>
  <c r="F801" i="16"/>
  <c r="F803" i="16"/>
  <c r="N110" i="5"/>
  <c r="O110" i="5" s="1"/>
  <c r="H193" i="5"/>
  <c r="N193" i="5" s="1"/>
  <c r="O193" i="5" s="1"/>
  <c r="D1029" i="16"/>
  <c r="D1033" i="16"/>
  <c r="D1031" i="16"/>
  <c r="D1028" i="16"/>
  <c r="D1032" i="16"/>
  <c r="D1030" i="16"/>
  <c r="J117" i="15"/>
  <c r="H695" i="16" s="1"/>
  <c r="I117" i="15"/>
  <c r="H694" i="16" s="1"/>
  <c r="D998" i="16"/>
  <c r="D1001" i="16"/>
  <c r="D1000" i="16"/>
  <c r="D1003" i="16"/>
  <c r="D999" i="16"/>
  <c r="D1002" i="16"/>
  <c r="T92" i="5"/>
  <c r="T69" i="5"/>
  <c r="U69" i="5" s="1"/>
  <c r="G133" i="15"/>
  <c r="H788" i="16" s="1"/>
  <c r="V73" i="5"/>
  <c r="W73" i="5" s="1"/>
  <c r="J73" i="5"/>
  <c r="I73" i="5"/>
  <c r="K73" i="5" s="1"/>
  <c r="N32" i="5"/>
  <c r="O32" i="5" s="1"/>
  <c r="I134" i="15"/>
  <c r="H796" i="16" s="1"/>
  <c r="N74" i="5"/>
  <c r="O74" i="5" s="1"/>
  <c r="H160" i="5"/>
  <c r="Q160" i="5" s="1"/>
  <c r="R160" i="5" s="1"/>
  <c r="J102" i="15"/>
  <c r="H605" i="16" s="1"/>
  <c r="I102" i="15"/>
  <c r="H604" i="16" s="1"/>
  <c r="Q80" i="5"/>
  <c r="R80" i="5" s="1"/>
  <c r="D209" i="16"/>
  <c r="D208" i="16"/>
  <c r="D211" i="16"/>
  <c r="D207" i="16"/>
  <c r="D210" i="16"/>
  <c r="D206" i="16"/>
  <c r="G86" i="15"/>
  <c r="H506" i="16" s="1"/>
  <c r="K86" i="5"/>
  <c r="T68" i="5"/>
  <c r="U68" i="5" s="1"/>
  <c r="J23" i="5"/>
  <c r="K23" i="5" s="1"/>
  <c r="V23" i="5"/>
  <c r="W23" i="5" s="1"/>
  <c r="I23" i="5"/>
  <c r="D460" i="16"/>
  <c r="D462" i="16"/>
  <c r="D459" i="16"/>
  <c r="D461" i="16"/>
  <c r="D458" i="16"/>
  <c r="D463" i="16"/>
  <c r="N31" i="5"/>
  <c r="O31" i="5" s="1"/>
  <c r="H31" i="5"/>
  <c r="Q126" i="5"/>
  <c r="R126" i="5" s="1"/>
  <c r="F848" i="16"/>
  <c r="F850" i="16"/>
  <c r="F853" i="16"/>
  <c r="F849" i="16"/>
  <c r="F852" i="16"/>
  <c r="F851" i="16"/>
  <c r="Q47" i="5"/>
  <c r="R47" i="5" s="1"/>
  <c r="F110" i="16"/>
  <c r="F113" i="16"/>
  <c r="F115" i="16"/>
  <c r="F112" i="16"/>
  <c r="F114" i="16"/>
  <c r="F111" i="16"/>
  <c r="P226" i="4"/>
  <c r="N226" i="4"/>
  <c r="M226" i="4"/>
  <c r="L226" i="4"/>
  <c r="M146" i="4"/>
  <c r="L146" i="4"/>
  <c r="N146" i="4"/>
  <c r="P146" i="4"/>
  <c r="Q55" i="5"/>
  <c r="R55" i="5" s="1"/>
  <c r="P312" i="4"/>
  <c r="L312" i="4"/>
  <c r="N312" i="4"/>
  <c r="M312" i="4"/>
  <c r="T10" i="5"/>
  <c r="U10" i="5" s="1"/>
  <c r="N14" i="5"/>
  <c r="O14" i="5" s="1"/>
  <c r="T254" i="4"/>
  <c r="Q254" i="4"/>
  <c r="R254" i="4" s="1"/>
  <c r="T304" i="4"/>
  <c r="Q304" i="4"/>
  <c r="R304" i="4" s="1"/>
  <c r="R217" i="4"/>
  <c r="Q134" i="4"/>
  <c r="T134" i="4"/>
  <c r="Q67" i="5"/>
  <c r="R67" i="5" s="1"/>
  <c r="R303" i="4"/>
  <c r="T8" i="5"/>
  <c r="U8" i="5" s="1"/>
  <c r="Q150" i="4"/>
  <c r="R150" i="4" s="1"/>
  <c r="T150" i="4"/>
  <c r="Q36" i="4"/>
  <c r="R36" i="4" s="1"/>
  <c r="T36" i="4"/>
  <c r="Q114" i="4"/>
  <c r="R114" i="4" s="1"/>
  <c r="T114" i="4"/>
  <c r="S40" i="4"/>
  <c r="U40" i="4"/>
  <c r="Q319" i="4"/>
  <c r="R319" i="4" s="1"/>
  <c r="T319" i="4"/>
  <c r="Q200" i="4"/>
  <c r="T200" i="4"/>
  <c r="S35" i="4"/>
  <c r="U35" i="4" s="1"/>
  <c r="T163" i="4"/>
  <c r="Q163" i="4"/>
  <c r="R163" i="4" s="1"/>
  <c r="T28" i="4"/>
  <c r="Q28" i="4"/>
  <c r="R28" i="4" s="1"/>
  <c r="G11" i="1"/>
  <c r="T49" i="4"/>
  <c r="Q49" i="4"/>
  <c r="R49" i="4" s="1"/>
  <c r="T243" i="5"/>
  <c r="U243" i="5" s="1"/>
  <c r="H211" i="5"/>
  <c r="Q211" i="5" s="1"/>
  <c r="R211" i="5" s="1"/>
  <c r="J100" i="5"/>
  <c r="V100" i="5"/>
  <c r="W100" i="5" s="1"/>
  <c r="I100" i="5"/>
  <c r="K100" i="5" s="1"/>
  <c r="F776" i="16"/>
  <c r="F780" i="16"/>
  <c r="F777" i="16"/>
  <c r="F779" i="16"/>
  <c r="F778" i="16"/>
  <c r="F781" i="16"/>
  <c r="H18" i="5"/>
  <c r="T301" i="4"/>
  <c r="Q301" i="4"/>
  <c r="R301" i="4" s="1"/>
  <c r="T208" i="4"/>
  <c r="Q208" i="4"/>
  <c r="R208" i="4" s="1"/>
  <c r="R105" i="4"/>
  <c r="Q274" i="5"/>
  <c r="R274" i="5" s="1"/>
  <c r="T293" i="5"/>
  <c r="U293" i="5" s="1"/>
  <c r="N290" i="5"/>
  <c r="O290" i="5" s="1"/>
  <c r="Q297" i="5"/>
  <c r="R297" i="5" s="1"/>
  <c r="H299" i="5"/>
  <c r="Q299" i="5" s="1"/>
  <c r="R299" i="5" s="1"/>
  <c r="O299" i="5"/>
  <c r="N299" i="5"/>
  <c r="N258" i="5"/>
  <c r="H322" i="5"/>
  <c r="T322" i="5"/>
  <c r="U322" i="5" s="1"/>
  <c r="H249" i="5"/>
  <c r="R249" i="5"/>
  <c r="D1932" i="16"/>
  <c r="D1929" i="16"/>
  <c r="D1930" i="16"/>
  <c r="D1933" i="16"/>
  <c r="D1931" i="16"/>
  <c r="D1928" i="16"/>
  <c r="H307" i="5"/>
  <c r="F1461" i="16"/>
  <c r="F1464" i="16"/>
  <c r="F1465" i="16"/>
  <c r="F1462" i="16"/>
  <c r="F1460" i="16"/>
  <c r="F1463" i="16"/>
  <c r="D1540" i="16"/>
  <c r="D1543" i="16"/>
  <c r="D1541" i="16"/>
  <c r="D1539" i="16"/>
  <c r="D1538" i="16"/>
  <c r="D1542" i="16"/>
  <c r="T239" i="5"/>
  <c r="U239" i="5" s="1"/>
  <c r="N200" i="5"/>
  <c r="O200" i="5" s="1"/>
  <c r="J247" i="5"/>
  <c r="I247" i="5"/>
  <c r="Q247" i="5"/>
  <c r="R247" i="5" s="1"/>
  <c r="N247" i="5"/>
  <c r="O247" i="5" s="1"/>
  <c r="V247" i="5"/>
  <c r="W247" i="5" s="1"/>
  <c r="Q283" i="5"/>
  <c r="R283" i="5" s="1"/>
  <c r="N268" i="5"/>
  <c r="O268" i="5" s="1"/>
  <c r="H280" i="5"/>
  <c r="Q280" i="5" s="1"/>
  <c r="R280" i="5" s="1"/>
  <c r="H260" i="5"/>
  <c r="N260" i="5" s="1"/>
  <c r="O260" i="5" s="1"/>
  <c r="T242" i="5"/>
  <c r="U242" i="5" s="1"/>
  <c r="Q317" i="5"/>
  <c r="R317" i="5" s="1"/>
  <c r="G256" i="15"/>
  <c r="H1526" i="16" s="1"/>
  <c r="G240" i="15"/>
  <c r="H1430" i="16" s="1"/>
  <c r="T319" i="5"/>
  <c r="U319" i="5" s="1"/>
  <c r="T294" i="5"/>
  <c r="U294" i="5" s="1"/>
  <c r="N277" i="5"/>
  <c r="F1446" i="16"/>
  <c r="F1443" i="16"/>
  <c r="F1445" i="16"/>
  <c r="F1447" i="16"/>
  <c r="F1444" i="16"/>
  <c r="F1442" i="16"/>
  <c r="H261" i="5"/>
  <c r="T261" i="5" s="1"/>
  <c r="U261" i="5" s="1"/>
  <c r="J300" i="5"/>
  <c r="I300" i="5"/>
  <c r="V300" i="5"/>
  <c r="W300" i="5" s="1"/>
  <c r="O277" i="5"/>
  <c r="H277" i="5"/>
  <c r="T277" i="5" s="1"/>
  <c r="U277" i="5" s="1"/>
  <c r="F593" i="16"/>
  <c r="F590" i="16"/>
  <c r="F595" i="16"/>
  <c r="F592" i="16"/>
  <c r="F594" i="16"/>
  <c r="F591" i="16"/>
  <c r="N179" i="5"/>
  <c r="O179" i="5" s="1"/>
  <c r="U148" i="5"/>
  <c r="T148" i="5"/>
  <c r="H148" i="5"/>
  <c r="Q120" i="5"/>
  <c r="R120" i="5" s="1"/>
  <c r="H120" i="5"/>
  <c r="T120" i="5" s="1"/>
  <c r="U120" i="5" s="1"/>
  <c r="D1749" i="16"/>
  <c r="D1752" i="16"/>
  <c r="D1753" i="16"/>
  <c r="D1748" i="16"/>
  <c r="D1751" i="16"/>
  <c r="D1750" i="16"/>
  <c r="N195" i="5"/>
  <c r="O195" i="5" s="1"/>
  <c r="T255" i="5"/>
  <c r="U255" i="5" s="1"/>
  <c r="N202" i="5"/>
  <c r="O202" i="5" s="1"/>
  <c r="D747" i="16"/>
  <c r="D750" i="16"/>
  <c r="D749" i="16"/>
  <c r="D746" i="16"/>
  <c r="D748" i="16"/>
  <c r="D751" i="16"/>
  <c r="H232" i="5"/>
  <c r="T232" i="5" s="1"/>
  <c r="U232" i="5" s="1"/>
  <c r="N132" i="5"/>
  <c r="O132" i="5" s="1"/>
  <c r="N114" i="5"/>
  <c r="O114" i="5" s="1"/>
  <c r="Q314" i="5"/>
  <c r="R314" i="5" s="1"/>
  <c r="D997" i="16"/>
  <c r="D995" i="16"/>
  <c r="D994" i="16"/>
  <c r="D993" i="16"/>
  <c r="D992" i="16"/>
  <c r="D996" i="16"/>
  <c r="Q229" i="5"/>
  <c r="R229" i="5" s="1"/>
  <c r="T205" i="5"/>
  <c r="U205" i="5" s="1"/>
  <c r="H132" i="5"/>
  <c r="Q132" i="5" s="1"/>
  <c r="R132" i="5" s="1"/>
  <c r="F651" i="16"/>
  <c r="F653" i="16"/>
  <c r="F654" i="16"/>
  <c r="F650" i="16"/>
  <c r="F655" i="16"/>
  <c r="F652" i="16"/>
  <c r="D1149" i="16"/>
  <c r="D1151" i="16"/>
  <c r="D1153" i="16"/>
  <c r="D1148" i="16"/>
  <c r="D1152" i="16"/>
  <c r="D1150" i="16"/>
  <c r="K169" i="5"/>
  <c r="T179" i="5"/>
  <c r="U179" i="5" s="1"/>
  <c r="N163" i="5"/>
  <c r="O163" i="5" s="1"/>
  <c r="H108" i="5"/>
  <c r="N108" i="5" s="1"/>
  <c r="O108" i="5" s="1"/>
  <c r="F408" i="16"/>
  <c r="F405" i="16"/>
  <c r="F407" i="16"/>
  <c r="F404" i="16"/>
  <c r="F406" i="16"/>
  <c r="F409" i="16"/>
  <c r="J133" i="15"/>
  <c r="H791" i="16" s="1"/>
  <c r="I133" i="15"/>
  <c r="H790" i="16" s="1"/>
  <c r="H72" i="5"/>
  <c r="Q72" i="5" s="1"/>
  <c r="R72" i="5" s="1"/>
  <c r="N72" i="5"/>
  <c r="O72" i="5" s="1"/>
  <c r="H4" i="5"/>
  <c r="T4" i="5" s="1"/>
  <c r="U4" i="5" s="1"/>
  <c r="K102" i="5"/>
  <c r="Q74" i="5"/>
  <c r="R74" i="5" s="1"/>
  <c r="F222" i="16"/>
  <c r="F218" i="16"/>
  <c r="F221" i="16"/>
  <c r="F223" i="16"/>
  <c r="F220" i="16"/>
  <c r="F219" i="16"/>
  <c r="D955" i="16"/>
  <c r="D951" i="16"/>
  <c r="D954" i="16"/>
  <c r="D950" i="16"/>
  <c r="D953" i="16"/>
  <c r="D952" i="16"/>
  <c r="Q139" i="5"/>
  <c r="R139" i="5" s="1"/>
  <c r="Q63" i="5"/>
  <c r="R63" i="5" s="1"/>
  <c r="D177" i="16"/>
  <c r="D176" i="16"/>
  <c r="D179" i="16"/>
  <c r="D178" i="16"/>
  <c r="D181" i="16"/>
  <c r="D180" i="16"/>
  <c r="N124" i="5"/>
  <c r="O124" i="5" s="1"/>
  <c r="G99" i="15"/>
  <c r="H584" i="16" s="1"/>
  <c r="K99" i="5"/>
  <c r="F343" i="16"/>
  <c r="F340" i="16"/>
  <c r="F339" i="16"/>
  <c r="F338" i="16"/>
  <c r="F342" i="16"/>
  <c r="F341" i="16"/>
  <c r="N18" i="5"/>
  <c r="O18" i="5" s="1"/>
  <c r="H20" i="5"/>
  <c r="T20" i="5" s="1"/>
  <c r="U20" i="5" s="1"/>
  <c r="T62" i="5"/>
  <c r="U62" i="5" s="1"/>
  <c r="N7" i="5"/>
  <c r="O7" i="5" s="1"/>
  <c r="F323" i="16"/>
  <c r="F320" i="16"/>
  <c r="F324" i="16"/>
  <c r="F322" i="16"/>
  <c r="F321" i="16"/>
  <c r="F325" i="16"/>
  <c r="Q10" i="5"/>
  <c r="R10" i="5" s="1"/>
  <c r="F78" i="16"/>
  <c r="F79" i="16"/>
  <c r="F76" i="16"/>
  <c r="F75" i="16"/>
  <c r="F77" i="16"/>
  <c r="F74" i="16"/>
  <c r="Q327" i="4"/>
  <c r="T327" i="4"/>
  <c r="N306" i="4"/>
  <c r="L306" i="4"/>
  <c r="M306" i="4" s="1"/>
  <c r="P306" i="4"/>
  <c r="R156" i="4"/>
  <c r="H17" i="5"/>
  <c r="T17" i="5" s="1"/>
  <c r="U17" i="5" s="1"/>
  <c r="T90" i="4"/>
  <c r="Q90" i="4"/>
  <c r="R90" i="4" s="1"/>
  <c r="Q220" i="4"/>
  <c r="R220" i="4" s="1"/>
  <c r="T220" i="4"/>
  <c r="Q69" i="5"/>
  <c r="R69" i="5" s="1"/>
  <c r="T107" i="4"/>
  <c r="Q107" i="4"/>
  <c r="R107" i="4" s="1"/>
  <c r="T67" i="5"/>
  <c r="U67" i="5" s="1"/>
  <c r="Q8" i="5"/>
  <c r="R8" i="5" s="1"/>
  <c r="Q323" i="4"/>
  <c r="R323" i="4" s="1"/>
  <c r="T323" i="4"/>
  <c r="T56" i="4"/>
  <c r="Q56" i="4"/>
  <c r="G20" i="1"/>
  <c r="G9" i="1"/>
  <c r="L27" i="4"/>
  <c r="M27" i="4" s="1"/>
  <c r="P27" i="4"/>
  <c r="N27" i="4"/>
  <c r="R24" i="4"/>
  <c r="R200" i="4"/>
  <c r="R288" i="4"/>
  <c r="P64" i="4"/>
  <c r="N64" i="4"/>
  <c r="L64" i="4"/>
  <c r="M64" i="4" s="1"/>
  <c r="G7" i="1"/>
  <c r="S158" i="4"/>
  <c r="U158" i="4"/>
  <c r="R9" i="4"/>
  <c r="F1691" i="16"/>
  <c r="F1690" i="16"/>
  <c r="F1689" i="16"/>
  <c r="F1693" i="16"/>
  <c r="F1692" i="16"/>
  <c r="F1688" i="16"/>
  <c r="F1400" i="16"/>
  <c r="F1405" i="16"/>
  <c r="F1403" i="16"/>
  <c r="F1401" i="16"/>
  <c r="F1404" i="16"/>
  <c r="F1402" i="16"/>
  <c r="J270" i="5"/>
  <c r="V270" i="5"/>
  <c r="W270" i="5" s="1"/>
  <c r="I270" i="5"/>
  <c r="T94" i="5"/>
  <c r="U94" i="5" s="1"/>
  <c r="F1066" i="16"/>
  <c r="F1065" i="16"/>
  <c r="F1069" i="16"/>
  <c r="F1068" i="16"/>
  <c r="F1064" i="16"/>
  <c r="F1067" i="16"/>
  <c r="H107" i="5"/>
  <c r="T107" i="5" s="1"/>
  <c r="U107" i="5" s="1"/>
  <c r="Q107" i="5"/>
  <c r="R107" i="5" s="1"/>
  <c r="F417" i="16"/>
  <c r="F419" i="16"/>
  <c r="F416" i="16"/>
  <c r="F420" i="16"/>
  <c r="F418" i="16"/>
  <c r="F421" i="16"/>
  <c r="F505" i="16"/>
  <c r="F504" i="16"/>
  <c r="F501" i="16"/>
  <c r="F500" i="16"/>
  <c r="F503" i="16"/>
  <c r="F502" i="16"/>
  <c r="Q335" i="4"/>
  <c r="R335" i="4" s="1"/>
  <c r="T335" i="4"/>
  <c r="R56" i="4"/>
  <c r="H278" i="5"/>
  <c r="H218" i="5"/>
  <c r="N218" i="5" s="1"/>
  <c r="O218" i="5" s="1"/>
  <c r="Q258" i="5"/>
  <c r="H234" i="5"/>
  <c r="N234" i="5" s="1"/>
  <c r="O234" i="5" s="1"/>
  <c r="N274" i="5"/>
  <c r="O274" i="5" s="1"/>
  <c r="N281" i="5"/>
  <c r="O281" i="5" s="1"/>
  <c r="H266" i="5"/>
  <c r="Q315" i="5"/>
  <c r="R315" i="5" s="1"/>
  <c r="Q318" i="5"/>
  <c r="R318" i="5" s="1"/>
  <c r="D1836" i="16"/>
  <c r="D1833" i="16"/>
  <c r="D1832" i="16"/>
  <c r="D1835" i="16"/>
  <c r="D1837" i="16"/>
  <c r="D1834" i="16"/>
  <c r="H313" i="5"/>
  <c r="Q313" i="5" s="1"/>
  <c r="R313" i="5" s="1"/>
  <c r="I308" i="5"/>
  <c r="K308" i="5" s="1"/>
  <c r="V308" i="5"/>
  <c r="W308" i="5" s="1"/>
  <c r="J308" i="5"/>
  <c r="N308" i="5"/>
  <c r="O308" i="5" s="1"/>
  <c r="G254" i="15"/>
  <c r="H1514" i="16" s="1"/>
  <c r="H215" i="5"/>
  <c r="N267" i="5"/>
  <c r="O267" i="5" s="1"/>
  <c r="I295" i="5"/>
  <c r="K295" i="5" s="1"/>
  <c r="V295" i="5"/>
  <c r="W295" i="5" s="1"/>
  <c r="J295" i="5"/>
  <c r="Q249" i="5"/>
  <c r="H316" i="15"/>
  <c r="H1887" i="16" s="1"/>
  <c r="G316" i="15"/>
  <c r="H1886" i="16" s="1"/>
  <c r="T283" i="5"/>
  <c r="U283" i="5" s="1"/>
  <c r="H259" i="5"/>
  <c r="N259" i="5"/>
  <c r="O259" i="5" s="1"/>
  <c r="Q259" i="5"/>
  <c r="R259" i="5" s="1"/>
  <c r="T317" i="5"/>
  <c r="U317" i="5" s="1"/>
  <c r="I240" i="15"/>
  <c r="H1432" i="16" s="1"/>
  <c r="J240" i="15"/>
  <c r="H1433" i="16" s="1"/>
  <c r="H196" i="5"/>
  <c r="H180" i="5"/>
  <c r="Q180" i="5" s="1"/>
  <c r="R180" i="5" s="1"/>
  <c r="I256" i="15"/>
  <c r="H1528" i="16" s="1"/>
  <c r="N307" i="5"/>
  <c r="O307" i="5" s="1"/>
  <c r="N319" i="5"/>
  <c r="O319" i="5" s="1"/>
  <c r="N223" i="5"/>
  <c r="O223" i="5" s="1"/>
  <c r="F1653" i="16"/>
  <c r="F1656" i="16"/>
  <c r="F1655" i="16"/>
  <c r="F1657" i="16"/>
  <c r="F1652" i="16"/>
  <c r="F1654" i="16"/>
  <c r="T275" i="5"/>
  <c r="U275" i="5" s="1"/>
  <c r="D1561" i="16"/>
  <c r="D1557" i="16"/>
  <c r="D1560" i="16"/>
  <c r="D1556" i="16"/>
  <c r="D1559" i="16"/>
  <c r="D1558" i="16"/>
  <c r="T298" i="5"/>
  <c r="U298" i="5" s="1"/>
  <c r="D1653" i="16"/>
  <c r="D1657" i="16"/>
  <c r="D1652" i="16"/>
  <c r="D1656" i="16"/>
  <c r="D1654" i="16"/>
  <c r="D1655" i="16"/>
  <c r="J166" i="15"/>
  <c r="H989" i="16" s="1"/>
  <c r="I166" i="15"/>
  <c r="H988" i="16" s="1"/>
  <c r="F880" i="16"/>
  <c r="F882" i="16"/>
  <c r="F878" i="16"/>
  <c r="F881" i="16"/>
  <c r="F883" i="16"/>
  <c r="F879" i="16"/>
  <c r="I98" i="5"/>
  <c r="V98" i="5"/>
  <c r="W98" i="5" s="1"/>
  <c r="J98" i="5"/>
  <c r="K98" i="5" s="1"/>
  <c r="Q179" i="5"/>
  <c r="R179" i="5" s="1"/>
  <c r="D883" i="16"/>
  <c r="D879" i="16"/>
  <c r="D882" i="16"/>
  <c r="D878" i="16"/>
  <c r="D881" i="16"/>
  <c r="D880" i="16"/>
  <c r="D715" i="16"/>
  <c r="D710" i="16"/>
  <c r="D712" i="16"/>
  <c r="D711" i="16"/>
  <c r="D714" i="16"/>
  <c r="D713" i="16"/>
  <c r="V257" i="5"/>
  <c r="W257" i="5" s="1"/>
  <c r="J257" i="5"/>
  <c r="I257" i="5"/>
  <c r="Q195" i="5"/>
  <c r="R195" i="5" s="1"/>
  <c r="N230" i="5"/>
  <c r="O230" i="5" s="1"/>
  <c r="D1386" i="16"/>
  <c r="D1383" i="16"/>
  <c r="D1382" i="16"/>
  <c r="D1385" i="16"/>
  <c r="D1384" i="16"/>
  <c r="D1387" i="16"/>
  <c r="Q113" i="5"/>
  <c r="R113" i="5" s="1"/>
  <c r="G181" i="15"/>
  <c r="H1076" i="16" s="1"/>
  <c r="H181" i="15"/>
  <c r="H1077" i="16" s="1"/>
  <c r="H312" i="5"/>
  <c r="T229" i="5"/>
  <c r="U229" i="5" s="1"/>
  <c r="D787" i="16"/>
  <c r="D786" i="16"/>
  <c r="D783" i="16"/>
  <c r="D785" i="16"/>
  <c r="D784" i="16"/>
  <c r="D782" i="16"/>
  <c r="N150" i="5"/>
  <c r="O150" i="5" s="1"/>
  <c r="Q307" i="5"/>
  <c r="R307" i="5" s="1"/>
  <c r="Q163" i="5"/>
  <c r="R163" i="5" s="1"/>
  <c r="G119" i="15"/>
  <c r="H704" i="16" s="1"/>
  <c r="H119" i="15"/>
  <c r="H705" i="16" s="1"/>
  <c r="D638" i="16"/>
  <c r="D640" i="16"/>
  <c r="D639" i="16"/>
  <c r="D643" i="16"/>
  <c r="D642" i="16"/>
  <c r="D641" i="16"/>
  <c r="I53" i="5"/>
  <c r="J53" i="5"/>
  <c r="V53" i="5"/>
  <c r="W53" i="5" s="1"/>
  <c r="G131" i="15"/>
  <c r="H776" i="16" s="1"/>
  <c r="Q71" i="5"/>
  <c r="R71" i="5" s="1"/>
  <c r="D14" i="16"/>
  <c r="D16" i="16"/>
  <c r="D19" i="16"/>
  <c r="D18" i="16"/>
  <c r="D17" i="16"/>
  <c r="D15" i="16"/>
  <c r="F437" i="16"/>
  <c r="F434" i="16"/>
  <c r="F439" i="16"/>
  <c r="F436" i="16"/>
  <c r="F438" i="16"/>
  <c r="F435" i="16"/>
  <c r="I86" i="15"/>
  <c r="H508" i="16" s="1"/>
  <c r="Q106" i="5"/>
  <c r="R106" i="5" s="1"/>
  <c r="H30" i="5"/>
  <c r="Q30" i="5" s="1"/>
  <c r="R30" i="5" s="1"/>
  <c r="I99" i="15"/>
  <c r="H586" i="16" s="1"/>
  <c r="J161" i="5"/>
  <c r="I161" i="5"/>
  <c r="K161" i="5" s="1"/>
  <c r="V161" i="5"/>
  <c r="W161" i="5" s="1"/>
  <c r="H24" i="5"/>
  <c r="Q24" i="5" s="1"/>
  <c r="R24" i="5" s="1"/>
  <c r="Q18" i="5"/>
  <c r="R18" i="5" s="1"/>
  <c r="H9" i="15"/>
  <c r="H45" i="16" s="1"/>
  <c r="G9" i="15"/>
  <c r="H44" i="16" s="1"/>
  <c r="R155" i="4"/>
  <c r="J9" i="15"/>
  <c r="H47" i="16" s="1"/>
  <c r="I9" i="15"/>
  <c r="H46" i="16" s="1"/>
  <c r="D113" i="16"/>
  <c r="D110" i="16"/>
  <c r="D115" i="16"/>
  <c r="D112" i="16"/>
  <c r="D114" i="16"/>
  <c r="D111" i="16"/>
  <c r="Q51" i="5"/>
  <c r="R51" i="5" s="1"/>
  <c r="Q6" i="5"/>
  <c r="R6" i="5" s="1"/>
  <c r="R296" i="4"/>
  <c r="N53" i="5"/>
  <c r="O53" i="5" s="1"/>
  <c r="T305" i="4"/>
  <c r="Q305" i="4"/>
  <c r="R305" i="4" s="1"/>
  <c r="N21" i="5"/>
  <c r="O21" i="5" s="1"/>
  <c r="F54" i="16"/>
  <c r="F55" i="16"/>
  <c r="F52" i="16"/>
  <c r="F51" i="16"/>
  <c r="F50" i="16"/>
  <c r="F53" i="16"/>
  <c r="J8" i="5"/>
  <c r="I8" i="5"/>
  <c r="K8" i="5" s="1"/>
  <c r="V8" i="5"/>
  <c r="W8" i="5" s="1"/>
  <c r="R295" i="4"/>
  <c r="N52" i="5"/>
  <c r="O52" i="5" s="1"/>
  <c r="P221" i="4"/>
  <c r="N221" i="4"/>
  <c r="L221" i="4"/>
  <c r="M221" i="4" s="1"/>
  <c r="T233" i="4"/>
  <c r="Q233" i="4"/>
  <c r="R233" i="4" s="1"/>
  <c r="D97" i="16"/>
  <c r="D95" i="16"/>
  <c r="D92" i="16"/>
  <c r="D94" i="16"/>
  <c r="D93" i="16"/>
  <c r="D96" i="16"/>
  <c r="H14" i="5"/>
  <c r="T14" i="5" s="1"/>
  <c r="U14" i="5" s="1"/>
  <c r="F397" i="16"/>
  <c r="F396" i="16"/>
  <c r="F395" i="16"/>
  <c r="F394" i="16"/>
  <c r="F393" i="16"/>
  <c r="F392" i="16"/>
  <c r="R245" i="4"/>
  <c r="P136" i="4"/>
  <c r="N136" i="4"/>
  <c r="M136" i="4"/>
  <c r="L136" i="4"/>
  <c r="F38" i="16"/>
  <c r="F42" i="16"/>
  <c r="F39" i="16"/>
  <c r="F40" i="16"/>
  <c r="F43" i="16"/>
  <c r="F41" i="16"/>
  <c r="P267" i="4"/>
  <c r="N267" i="4"/>
  <c r="M267" i="4"/>
  <c r="L267" i="4"/>
  <c r="T124" i="4"/>
  <c r="Q124" i="4"/>
  <c r="M8" i="1"/>
  <c r="T16" i="4"/>
  <c r="Q16" i="4"/>
  <c r="R16" i="4" s="1"/>
  <c r="G22" i="1"/>
  <c r="Q14" i="4" l="1"/>
  <c r="T14" i="4"/>
  <c r="K10" i="15"/>
  <c r="H54" i="16" s="1"/>
  <c r="T334" i="4"/>
  <c r="Q334" i="4"/>
  <c r="R334" i="4" s="1"/>
  <c r="L237" i="15"/>
  <c r="H1417" i="16" s="1"/>
  <c r="K237" i="15"/>
  <c r="H1416" i="16" s="1"/>
  <c r="T244" i="4"/>
  <c r="Q244" i="4"/>
  <c r="T108" i="4"/>
  <c r="Q108" i="4"/>
  <c r="R108" i="4" s="1"/>
  <c r="K330" i="15"/>
  <c r="H1974" i="16" s="1"/>
  <c r="T221" i="4"/>
  <c r="Q221" i="4"/>
  <c r="L308" i="15"/>
  <c r="H1843" i="16" s="1"/>
  <c r="K308" i="15"/>
  <c r="H1842" i="16" s="1"/>
  <c r="T182" i="4"/>
  <c r="Q182" i="4"/>
  <c r="R241" i="4"/>
  <c r="R244" i="4"/>
  <c r="K224" i="15"/>
  <c r="H1338" i="16" s="1"/>
  <c r="Q310" i="4"/>
  <c r="R310" i="4" s="1"/>
  <c r="T310" i="4"/>
  <c r="L23" i="15"/>
  <c r="H133" i="16" s="1"/>
  <c r="K23" i="15"/>
  <c r="H132" i="16" s="1"/>
  <c r="T241" i="4"/>
  <c r="Q241" i="4"/>
  <c r="T79" i="4"/>
  <c r="Q79" i="4"/>
  <c r="T210" i="4"/>
  <c r="Q210" i="4"/>
  <c r="R210" i="4" s="1"/>
  <c r="T257" i="4"/>
  <c r="Q257" i="4"/>
  <c r="R257" i="4" s="1"/>
  <c r="Q269" i="4"/>
  <c r="T269" i="4"/>
  <c r="K285" i="15"/>
  <c r="H1704" i="16" s="1"/>
  <c r="R221" i="4"/>
  <c r="L73" i="15"/>
  <c r="H433" i="16" s="1"/>
  <c r="K73" i="15"/>
  <c r="H432" i="16" s="1"/>
  <c r="T282" i="4"/>
  <c r="Q282" i="4"/>
  <c r="R282" i="4" s="1"/>
  <c r="T174" i="4"/>
  <c r="Q174" i="4"/>
  <c r="L253" i="15"/>
  <c r="H1513" i="16" s="1"/>
  <c r="K253" i="15"/>
  <c r="H1512" i="16" s="1"/>
  <c r="K130" i="15"/>
  <c r="H774" i="16" s="1"/>
  <c r="L130" i="15"/>
  <c r="H775" i="16" s="1"/>
  <c r="Q123" i="4"/>
  <c r="R123" i="4" s="1"/>
  <c r="T123" i="4"/>
  <c r="T259" i="4"/>
  <c r="Q259" i="4"/>
  <c r="T289" i="4"/>
  <c r="Q289" i="4"/>
  <c r="K69" i="15"/>
  <c r="H408" i="16" s="1"/>
  <c r="T329" i="4"/>
  <c r="Q329" i="4"/>
  <c r="R329" i="4" s="1"/>
  <c r="T294" i="4"/>
  <c r="Q294" i="4"/>
  <c r="R294" i="4" s="1"/>
  <c r="K35" i="15"/>
  <c r="H204" i="16" s="1"/>
  <c r="T27" i="4"/>
  <c r="Q27" i="4"/>
  <c r="T318" i="4"/>
  <c r="Q318" i="4"/>
  <c r="R318" i="4" s="1"/>
  <c r="L22" i="15"/>
  <c r="H127" i="16" s="1"/>
  <c r="K22" i="15"/>
  <c r="H126" i="16" s="1"/>
  <c r="Q4" i="4"/>
  <c r="T4" i="4"/>
  <c r="Q189" i="4"/>
  <c r="T189" i="4"/>
  <c r="T33" i="4"/>
  <c r="Q33" i="4"/>
  <c r="Q203" i="4"/>
  <c r="R203" i="4" s="1"/>
  <c r="T203" i="4"/>
  <c r="Q92" i="4"/>
  <c r="R92" i="4" s="1"/>
  <c r="T92" i="4"/>
  <c r="K216" i="15"/>
  <c r="H1290" i="16" s="1"/>
  <c r="R259" i="4"/>
  <c r="K103" i="15"/>
  <c r="H612" i="16" s="1"/>
  <c r="T62" i="4"/>
  <c r="Q62" i="4"/>
  <c r="R62" i="4" s="1"/>
  <c r="T30" i="4"/>
  <c r="Q30" i="4"/>
  <c r="R30" i="4" s="1"/>
  <c r="K161" i="15"/>
  <c r="H960" i="16" s="1"/>
  <c r="K8" i="15"/>
  <c r="H42" i="16" s="1"/>
  <c r="L324" i="15"/>
  <c r="H1939" i="16" s="1"/>
  <c r="K324" i="15"/>
  <c r="H1938" i="16" s="1"/>
  <c r="T249" i="4"/>
  <c r="Q249" i="4"/>
  <c r="Q183" i="4"/>
  <c r="T183" i="4"/>
  <c r="Q306" i="4"/>
  <c r="R306" i="4" s="1"/>
  <c r="T306" i="4"/>
  <c r="K100" i="15"/>
  <c r="H594" i="16" s="1"/>
  <c r="T131" i="4"/>
  <c r="Q131" i="4"/>
  <c r="R131" i="4" s="1"/>
  <c r="R249" i="4"/>
  <c r="R183" i="4"/>
  <c r="Q274" i="4"/>
  <c r="R274" i="4" s="1"/>
  <c r="T274" i="4"/>
  <c r="T314" i="4"/>
  <c r="Q314" i="4"/>
  <c r="R314" i="4" s="1"/>
  <c r="K40" i="15"/>
  <c r="H234" i="16" s="1"/>
  <c r="Q130" i="4"/>
  <c r="T130" i="4"/>
  <c r="K13" i="15"/>
  <c r="H72" i="16" s="1"/>
  <c r="K295" i="15"/>
  <c r="H1764" i="16" s="1"/>
  <c r="K296" i="15"/>
  <c r="H1770" i="16" s="1"/>
  <c r="R325" i="4"/>
  <c r="T260" i="4"/>
  <c r="Q260" i="4"/>
  <c r="R260" i="4" s="1"/>
  <c r="L220" i="15"/>
  <c r="H1315" i="16" s="1"/>
  <c r="K220" i="15"/>
  <c r="H1314" i="16" s="1"/>
  <c r="T242" i="4"/>
  <c r="Q242" i="4"/>
  <c r="R242" i="4" s="1"/>
  <c r="K54" i="15"/>
  <c r="H318" i="16" s="1"/>
  <c r="L298" i="15"/>
  <c r="H1783" i="16" s="1"/>
  <c r="K298" i="15"/>
  <c r="H1782" i="16" s="1"/>
  <c r="Q177" i="4"/>
  <c r="T177" i="4"/>
  <c r="T225" i="4"/>
  <c r="Q225" i="4"/>
  <c r="R225" i="4" s="1"/>
  <c r="L98" i="15"/>
  <c r="H583" i="16" s="1"/>
  <c r="K98" i="15"/>
  <c r="H582" i="16" s="1"/>
  <c r="Q64" i="4"/>
  <c r="R64" i="4" s="1"/>
  <c r="T64" i="4"/>
  <c r="T190" i="4"/>
  <c r="Q190" i="4"/>
  <c r="K269" i="15"/>
  <c r="H1608" i="16" s="1"/>
  <c r="Q17" i="4"/>
  <c r="T17" i="4"/>
  <c r="Q237" i="4"/>
  <c r="T237" i="4"/>
  <c r="K251" i="15"/>
  <c r="H1500" i="16" s="1"/>
  <c r="T313" i="4"/>
  <c r="Q313" i="4"/>
  <c r="Q47" i="4"/>
  <c r="R47" i="4" s="1"/>
  <c r="T47" i="4"/>
  <c r="I53" i="15"/>
  <c r="H310" i="16" s="1"/>
  <c r="J295" i="15"/>
  <c r="H1763" i="16" s="1"/>
  <c r="I295" i="15"/>
  <c r="H1762" i="16" s="1"/>
  <c r="V266" i="5"/>
  <c r="W266" i="5" s="1"/>
  <c r="I266" i="5"/>
  <c r="J266" i="5"/>
  <c r="I270" i="15"/>
  <c r="H1612" i="16" s="1"/>
  <c r="J148" i="5"/>
  <c r="I148" i="5"/>
  <c r="V148" i="5"/>
  <c r="W148" i="5" s="1"/>
  <c r="N148" i="5"/>
  <c r="O148" i="5" s="1"/>
  <c r="G38" i="15"/>
  <c r="H218" i="16" s="1"/>
  <c r="K78" i="5"/>
  <c r="V78" i="5"/>
  <c r="W78" i="5" s="1"/>
  <c r="J78" i="5"/>
  <c r="I78" i="5"/>
  <c r="J168" i="5"/>
  <c r="V168" i="5"/>
  <c r="W168" i="5" s="1"/>
  <c r="I168" i="5"/>
  <c r="T168" i="5"/>
  <c r="U168" i="5" s="1"/>
  <c r="Q168" i="5"/>
  <c r="R168" i="5" s="1"/>
  <c r="G241" i="15"/>
  <c r="H1436" i="16" s="1"/>
  <c r="H241" i="15"/>
  <c r="H1437" i="16" s="1"/>
  <c r="S2" i="4"/>
  <c r="U2" i="4" s="1"/>
  <c r="I269" i="15"/>
  <c r="H1606" i="16" s="1"/>
  <c r="K271" i="5"/>
  <c r="J271" i="5"/>
  <c r="I271" i="5"/>
  <c r="V271" i="5"/>
  <c r="W271" i="5" s="1"/>
  <c r="S194" i="4"/>
  <c r="U194" i="4"/>
  <c r="Q325" i="4"/>
  <c r="T325" i="4"/>
  <c r="G55" i="15"/>
  <c r="H320" i="16" s="1"/>
  <c r="H55" i="15"/>
  <c r="H321" i="16" s="1"/>
  <c r="K242" i="5"/>
  <c r="J242" i="5"/>
  <c r="V242" i="5"/>
  <c r="W242" i="5" s="1"/>
  <c r="I242" i="5"/>
  <c r="G311" i="15"/>
  <c r="H1856" i="16" s="1"/>
  <c r="K231" i="5"/>
  <c r="J231" i="5"/>
  <c r="I231" i="5"/>
  <c r="V231" i="5"/>
  <c r="W231" i="5" s="1"/>
  <c r="T231" i="5"/>
  <c r="U231" i="5" s="1"/>
  <c r="S19" i="4"/>
  <c r="U19" i="4" s="1"/>
  <c r="J41" i="15"/>
  <c r="H239" i="16" s="1"/>
  <c r="I41" i="15"/>
  <c r="H238" i="16" s="1"/>
  <c r="G327" i="15"/>
  <c r="H1952" i="16" s="1"/>
  <c r="I74" i="15"/>
  <c r="H436" i="16" s="1"/>
  <c r="K267" i="15"/>
  <c r="H1596" i="16" s="1"/>
  <c r="K337" i="5"/>
  <c r="V337" i="5"/>
  <c r="W337" i="5" s="1"/>
  <c r="J337" i="5"/>
  <c r="I337" i="5"/>
  <c r="K39" i="15"/>
  <c r="H228" i="16" s="1"/>
  <c r="G113" i="15"/>
  <c r="H668" i="16" s="1"/>
  <c r="V19" i="5"/>
  <c r="W19" i="5" s="1"/>
  <c r="J19" i="5"/>
  <c r="I19" i="5"/>
  <c r="I244" i="15"/>
  <c r="H1456" i="16" s="1"/>
  <c r="G25" i="15"/>
  <c r="H140" i="16" s="1"/>
  <c r="K60" i="15"/>
  <c r="H354" i="16" s="1"/>
  <c r="K254" i="15"/>
  <c r="H1518" i="16" s="1"/>
  <c r="J331" i="5"/>
  <c r="K331" i="5"/>
  <c r="I331" i="5"/>
  <c r="V331" i="5"/>
  <c r="W331" i="5" s="1"/>
  <c r="V92" i="5"/>
  <c r="W92" i="5" s="1"/>
  <c r="J92" i="5"/>
  <c r="I92" i="5"/>
  <c r="T290" i="4"/>
  <c r="Q290" i="4"/>
  <c r="R290" i="4" s="1"/>
  <c r="G310" i="15"/>
  <c r="H1850" i="16" s="1"/>
  <c r="U15" i="4"/>
  <c r="S15" i="4"/>
  <c r="J255" i="5"/>
  <c r="I255" i="5"/>
  <c r="V255" i="5"/>
  <c r="W255" i="5" s="1"/>
  <c r="I318" i="15"/>
  <c r="H1900" i="16" s="1"/>
  <c r="J290" i="5"/>
  <c r="I290" i="5"/>
  <c r="V290" i="5"/>
  <c r="W290" i="5" s="1"/>
  <c r="U23" i="4"/>
  <c r="S23" i="4"/>
  <c r="S125" i="4"/>
  <c r="U125" i="4"/>
  <c r="Q33" i="5"/>
  <c r="R33" i="5" s="1"/>
  <c r="T299" i="5"/>
  <c r="U299" i="5" s="1"/>
  <c r="S151" i="4"/>
  <c r="U151" i="4" s="1"/>
  <c r="S103" i="4"/>
  <c r="U103" i="4" s="1"/>
  <c r="Q78" i="5"/>
  <c r="R78" i="5" s="1"/>
  <c r="H53" i="15"/>
  <c r="H309" i="16" s="1"/>
  <c r="G53" i="15"/>
  <c r="H308" i="16" s="1"/>
  <c r="V196" i="5"/>
  <c r="W196" i="5" s="1"/>
  <c r="K196" i="5"/>
  <c r="J196" i="5"/>
  <c r="I196" i="5"/>
  <c r="J313" i="5"/>
  <c r="I313" i="5"/>
  <c r="V313" i="5"/>
  <c r="W313" i="5" s="1"/>
  <c r="I278" i="5"/>
  <c r="V278" i="5"/>
  <c r="W278" i="5" s="1"/>
  <c r="J278" i="5"/>
  <c r="K270" i="5"/>
  <c r="S56" i="4"/>
  <c r="U56" i="4"/>
  <c r="S28" i="4"/>
  <c r="U28" i="4" s="1"/>
  <c r="U36" i="4"/>
  <c r="S36" i="4"/>
  <c r="J31" i="5"/>
  <c r="I31" i="5"/>
  <c r="V31" i="5"/>
  <c r="W31" i="5" s="1"/>
  <c r="K31" i="5"/>
  <c r="Q31" i="5"/>
  <c r="R31" i="5" s="1"/>
  <c r="H86" i="15"/>
  <c r="H507" i="16" s="1"/>
  <c r="J134" i="15"/>
  <c r="H797" i="16" s="1"/>
  <c r="V153" i="5"/>
  <c r="W153" i="5" s="1"/>
  <c r="J153" i="5"/>
  <c r="I153" i="5"/>
  <c r="Q153" i="5"/>
  <c r="R153" i="5" s="1"/>
  <c r="S292" i="4"/>
  <c r="U292" i="4" s="1"/>
  <c r="U166" i="4"/>
  <c r="S166" i="4"/>
  <c r="J241" i="15"/>
  <c r="H1439" i="16" s="1"/>
  <c r="I241" i="15"/>
  <c r="H1438" i="16" s="1"/>
  <c r="K183" i="5"/>
  <c r="J183" i="5"/>
  <c r="V183" i="5"/>
  <c r="W183" i="5" s="1"/>
  <c r="I183" i="5"/>
  <c r="V301" i="5"/>
  <c r="W301" i="5" s="1"/>
  <c r="J301" i="5"/>
  <c r="I301" i="5"/>
  <c r="Q301" i="5"/>
  <c r="R301" i="5" s="1"/>
  <c r="S135" i="4"/>
  <c r="U135" i="4" s="1"/>
  <c r="J50" i="5"/>
  <c r="K50" i="5" s="1"/>
  <c r="I50" i="5"/>
  <c r="V50" i="5"/>
  <c r="W50" i="5" s="1"/>
  <c r="I55" i="15"/>
  <c r="H322" i="16" s="1"/>
  <c r="K96" i="5"/>
  <c r="J96" i="5"/>
  <c r="V96" i="5"/>
  <c r="W96" i="5" s="1"/>
  <c r="I96" i="5"/>
  <c r="T266" i="5"/>
  <c r="U266" i="5" s="1"/>
  <c r="J311" i="15"/>
  <c r="H1859" i="16" s="1"/>
  <c r="I311" i="15"/>
  <c r="H1858" i="16" s="1"/>
  <c r="H112" i="15"/>
  <c r="H663" i="16" s="1"/>
  <c r="G12" i="15"/>
  <c r="H62" i="16" s="1"/>
  <c r="J327" i="15"/>
  <c r="H1955" i="16" s="1"/>
  <c r="I327" i="15"/>
  <c r="H1954" i="16" s="1"/>
  <c r="J321" i="5"/>
  <c r="I321" i="5"/>
  <c r="V321" i="5"/>
  <c r="W321" i="5" s="1"/>
  <c r="J39" i="15"/>
  <c r="H227" i="16" s="1"/>
  <c r="I39" i="15"/>
  <c r="H226" i="16" s="1"/>
  <c r="I10" i="15"/>
  <c r="H52" i="16" s="1"/>
  <c r="L9" i="15"/>
  <c r="H49" i="16" s="1"/>
  <c r="J113" i="15"/>
  <c r="H671" i="16" s="1"/>
  <c r="I113" i="15"/>
  <c r="H670" i="16" s="1"/>
  <c r="H166" i="15"/>
  <c r="H987" i="16" s="1"/>
  <c r="S211" i="4"/>
  <c r="U211" i="4"/>
  <c r="R177" i="4"/>
  <c r="J32" i="5"/>
  <c r="V32" i="5"/>
  <c r="W32" i="5" s="1"/>
  <c r="I32" i="5"/>
  <c r="G91" i="15"/>
  <c r="H536" i="16" s="1"/>
  <c r="J177" i="5"/>
  <c r="I177" i="5"/>
  <c r="V177" i="5"/>
  <c r="W177" i="5" s="1"/>
  <c r="T177" i="5"/>
  <c r="U177" i="5" s="1"/>
  <c r="N177" i="5"/>
  <c r="O177" i="5" s="1"/>
  <c r="H244" i="15"/>
  <c r="H1455" i="16" s="1"/>
  <c r="G244" i="15"/>
  <c r="H1454" i="16" s="1"/>
  <c r="V79" i="5"/>
  <c r="W79" i="5" s="1"/>
  <c r="I79" i="5"/>
  <c r="K79" i="5" s="1"/>
  <c r="J79" i="5"/>
  <c r="R4" i="4"/>
  <c r="N19" i="5"/>
  <c r="O19" i="5" s="1"/>
  <c r="K25" i="5"/>
  <c r="L319" i="15"/>
  <c r="H1909" i="16" s="1"/>
  <c r="K319" i="15"/>
  <c r="H1908" i="16" s="1"/>
  <c r="T337" i="5"/>
  <c r="U337" i="5" s="1"/>
  <c r="G27" i="15"/>
  <c r="H152" i="16" s="1"/>
  <c r="H27" i="15"/>
  <c r="H153" i="16" s="1"/>
  <c r="Q88" i="5"/>
  <c r="R88" i="5" s="1"/>
  <c r="G186" i="15"/>
  <c r="H1106" i="16" s="1"/>
  <c r="I310" i="15"/>
  <c r="H1852" i="16" s="1"/>
  <c r="U192" i="4"/>
  <c r="S192" i="4"/>
  <c r="S139" i="4"/>
  <c r="U139" i="4" s="1"/>
  <c r="I7" i="15"/>
  <c r="H34" i="16" s="1"/>
  <c r="J135" i="15"/>
  <c r="H803" i="16" s="1"/>
  <c r="Q255" i="5"/>
  <c r="R255" i="5" s="1"/>
  <c r="J201" i="5"/>
  <c r="I201" i="5"/>
  <c r="V201" i="5"/>
  <c r="W201" i="5" s="1"/>
  <c r="K318" i="5"/>
  <c r="S188" i="4"/>
  <c r="U188" i="4" s="1"/>
  <c r="N173" i="5"/>
  <c r="O173" i="5" s="1"/>
  <c r="Q110" i="5"/>
  <c r="R110" i="5" s="1"/>
  <c r="T234" i="5"/>
  <c r="U234" i="5" s="1"/>
  <c r="U105" i="4"/>
  <c r="S105" i="4"/>
  <c r="S122" i="4"/>
  <c r="U122" i="4"/>
  <c r="S218" i="4"/>
  <c r="U218" i="4" s="1"/>
  <c r="U106" i="4"/>
  <c r="S106" i="4"/>
  <c r="S300" i="4"/>
  <c r="U300" i="4" s="1"/>
  <c r="Q62" i="5"/>
  <c r="R62" i="5" s="1"/>
  <c r="U50" i="4"/>
  <c r="S50" i="4"/>
  <c r="S215" i="4"/>
  <c r="U215" i="4" s="1"/>
  <c r="S22" i="4"/>
  <c r="U22" i="4" s="1"/>
  <c r="J17" i="5"/>
  <c r="I17" i="5"/>
  <c r="V17" i="5"/>
  <c r="W17" i="5" s="1"/>
  <c r="Q17" i="5"/>
  <c r="R17" i="5" s="1"/>
  <c r="I4" i="5"/>
  <c r="V4" i="5"/>
  <c r="W4" i="5" s="1"/>
  <c r="J4" i="5"/>
  <c r="G300" i="15"/>
  <c r="H1790" i="16" s="1"/>
  <c r="Q235" i="5"/>
  <c r="R235" i="5" s="1"/>
  <c r="I36" i="5"/>
  <c r="K36" i="5"/>
  <c r="J36" i="5"/>
  <c r="V36" i="5"/>
  <c r="W36" i="5" s="1"/>
  <c r="G203" i="15"/>
  <c r="H1208" i="16" s="1"/>
  <c r="H169" i="15"/>
  <c r="H1005" i="16" s="1"/>
  <c r="L241" i="15"/>
  <c r="H1441" i="16" s="1"/>
  <c r="K241" i="15"/>
  <c r="H1440" i="16" s="1"/>
  <c r="T228" i="4"/>
  <c r="Q228" i="4"/>
  <c r="R228" i="4" s="1"/>
  <c r="I216" i="15"/>
  <c r="H1288" i="16" s="1"/>
  <c r="N137" i="5"/>
  <c r="O137" i="5" s="1"/>
  <c r="I229" i="5"/>
  <c r="V229" i="5"/>
  <c r="W229" i="5" s="1"/>
  <c r="J229" i="5"/>
  <c r="K229" i="5" s="1"/>
  <c r="K311" i="5"/>
  <c r="U144" i="4"/>
  <c r="S144" i="4"/>
  <c r="Q231" i="5"/>
  <c r="R231" i="5" s="1"/>
  <c r="K274" i="5"/>
  <c r="J274" i="5"/>
  <c r="I274" i="5"/>
  <c r="V274" i="5"/>
  <c r="W274" i="5" s="1"/>
  <c r="J174" i="5"/>
  <c r="I174" i="5"/>
  <c r="V174" i="5"/>
  <c r="W174" i="5" s="1"/>
  <c r="K174" i="5"/>
  <c r="S223" i="4"/>
  <c r="U223" i="4" s="1"/>
  <c r="K12" i="15"/>
  <c r="H66" i="16" s="1"/>
  <c r="L12" i="15"/>
  <c r="H67" i="16" s="1"/>
  <c r="K327" i="5"/>
  <c r="V28" i="5"/>
  <c r="W28" i="5" s="1"/>
  <c r="J28" i="5"/>
  <c r="I28" i="5"/>
  <c r="N28" i="5"/>
  <c r="O28" i="5" s="1"/>
  <c r="H74" i="15"/>
  <c r="H435" i="16" s="1"/>
  <c r="G74" i="15"/>
  <c r="H434" i="16" s="1"/>
  <c r="I155" i="5"/>
  <c r="V155" i="5"/>
  <c r="W155" i="5" s="1"/>
  <c r="J155" i="5"/>
  <c r="L309" i="15"/>
  <c r="H1849" i="16" s="1"/>
  <c r="S176" i="4"/>
  <c r="U176" i="4" s="1"/>
  <c r="Q97" i="5"/>
  <c r="R97" i="5" s="1"/>
  <c r="G57" i="15"/>
  <c r="H332" i="16" s="1"/>
  <c r="T297" i="5"/>
  <c r="U297" i="5" s="1"/>
  <c r="J51" i="15"/>
  <c r="H299" i="16" s="1"/>
  <c r="I51" i="15"/>
  <c r="H298" i="16" s="1"/>
  <c r="L81" i="15"/>
  <c r="H481" i="16" s="1"/>
  <c r="K81" i="15"/>
  <c r="H480" i="16" s="1"/>
  <c r="J91" i="15"/>
  <c r="H539" i="16" s="1"/>
  <c r="I91" i="15"/>
  <c r="H538" i="16" s="1"/>
  <c r="Q174" i="5"/>
  <c r="R174" i="5" s="1"/>
  <c r="J124" i="5"/>
  <c r="I124" i="5"/>
  <c r="V124" i="5"/>
  <c r="W124" i="5" s="1"/>
  <c r="K124" i="5"/>
  <c r="K244" i="5"/>
  <c r="N79" i="5"/>
  <c r="O79" i="5" s="1"/>
  <c r="I25" i="15"/>
  <c r="H142" i="16" s="1"/>
  <c r="J283" i="5"/>
  <c r="I283" i="5"/>
  <c r="V283" i="5"/>
  <c r="W283" i="5" s="1"/>
  <c r="S145" i="4"/>
  <c r="U145" i="4" s="1"/>
  <c r="S217" i="4"/>
  <c r="U217" i="4" s="1"/>
  <c r="Q19" i="5"/>
  <c r="R19" i="5" s="1"/>
  <c r="I27" i="15"/>
  <c r="H154" i="16" s="1"/>
  <c r="I146" i="15"/>
  <c r="H868" i="16" s="1"/>
  <c r="K186" i="5"/>
  <c r="N219" i="5"/>
  <c r="O219" i="5" s="1"/>
  <c r="U132" i="4"/>
  <c r="S132" i="4"/>
  <c r="S72" i="4"/>
  <c r="U72" i="4" s="1"/>
  <c r="T24" i="5"/>
  <c r="U24" i="5" s="1"/>
  <c r="H85" i="15"/>
  <c r="H501" i="16" s="1"/>
  <c r="G71" i="15"/>
  <c r="H416" i="16" s="1"/>
  <c r="G3" i="15"/>
  <c r="H8" i="16" s="1"/>
  <c r="H3" i="15"/>
  <c r="H9" i="16" s="1"/>
  <c r="J225" i="15"/>
  <c r="H1343" i="16" s="1"/>
  <c r="H326" i="15"/>
  <c r="H1947" i="16" s="1"/>
  <c r="S284" i="4"/>
  <c r="U284" i="4" s="1"/>
  <c r="S89" i="4"/>
  <c r="U89" i="4" s="1"/>
  <c r="L147" i="15"/>
  <c r="H877" i="16" s="1"/>
  <c r="S16" i="4"/>
  <c r="U16" i="4" s="1"/>
  <c r="S323" i="4"/>
  <c r="U323" i="4" s="1"/>
  <c r="J312" i="5"/>
  <c r="I312" i="5"/>
  <c r="V312" i="5"/>
  <c r="W312" i="5" s="1"/>
  <c r="T312" i="5"/>
  <c r="U312" i="5" s="1"/>
  <c r="J257" i="15"/>
  <c r="H1535" i="16" s="1"/>
  <c r="I257" i="15"/>
  <c r="H1534" i="16" s="1"/>
  <c r="K300" i="5"/>
  <c r="H240" i="15"/>
  <c r="H1431" i="16" s="1"/>
  <c r="J249" i="5"/>
  <c r="I249" i="5"/>
  <c r="V249" i="5"/>
  <c r="W249" i="5" s="1"/>
  <c r="K249" i="5"/>
  <c r="S163" i="4"/>
  <c r="U163" i="4" s="1"/>
  <c r="K207" i="5"/>
  <c r="J207" i="5"/>
  <c r="I207" i="5"/>
  <c r="V207" i="5"/>
  <c r="W207" i="5" s="1"/>
  <c r="U41" i="4"/>
  <c r="S41" i="4"/>
  <c r="N20" i="5"/>
  <c r="O20" i="5" s="1"/>
  <c r="K203" i="5"/>
  <c r="V276" i="5"/>
  <c r="W276" i="5" s="1"/>
  <c r="K276" i="5"/>
  <c r="J276" i="5"/>
  <c r="I276" i="5"/>
  <c r="Q276" i="5"/>
  <c r="R276" i="5" s="1"/>
  <c r="T305" i="5"/>
  <c r="U305" i="5" s="1"/>
  <c r="J169" i="15"/>
  <c r="H1007" i="16" s="1"/>
  <c r="T301" i="5"/>
  <c r="U301" i="5" s="1"/>
  <c r="T249" i="5"/>
  <c r="U249" i="5" s="1"/>
  <c r="L326" i="15"/>
  <c r="H1951" i="16" s="1"/>
  <c r="K326" i="15"/>
  <c r="H1950" i="16" s="1"/>
  <c r="S140" i="4"/>
  <c r="U140" i="4" s="1"/>
  <c r="S262" i="4"/>
  <c r="U262" i="4" s="1"/>
  <c r="T191" i="5"/>
  <c r="U191" i="5" s="1"/>
  <c r="G67" i="15"/>
  <c r="H392" i="16" s="1"/>
  <c r="H67" i="15"/>
  <c r="H393" i="16" s="1"/>
  <c r="J45" i="5"/>
  <c r="V45" i="5"/>
  <c r="W45" i="5" s="1"/>
  <c r="I45" i="5"/>
  <c r="Q45" i="5"/>
  <c r="R45" i="5" s="1"/>
  <c r="U44" i="4"/>
  <c r="S44" i="4"/>
  <c r="Q28" i="5"/>
  <c r="R28" i="5" s="1"/>
  <c r="S320" i="4"/>
  <c r="U320" i="4"/>
  <c r="S58" i="4"/>
  <c r="U58" i="4"/>
  <c r="I47" i="5"/>
  <c r="V47" i="5"/>
  <c r="W47" i="5" s="1"/>
  <c r="J47" i="5"/>
  <c r="J57" i="15"/>
  <c r="H335" i="16" s="1"/>
  <c r="I57" i="15"/>
  <c r="H334" i="16" s="1"/>
  <c r="T80" i="5"/>
  <c r="U80" i="5" s="1"/>
  <c r="V105" i="5"/>
  <c r="W105" i="5" s="1"/>
  <c r="I105" i="5"/>
  <c r="J105" i="5"/>
  <c r="Q105" i="5"/>
  <c r="R105" i="5" s="1"/>
  <c r="J142" i="5"/>
  <c r="I142" i="5"/>
  <c r="V142" i="5"/>
  <c r="W142" i="5" s="1"/>
  <c r="K142" i="5"/>
  <c r="T142" i="5"/>
  <c r="U142" i="5" s="1"/>
  <c r="K91" i="5"/>
  <c r="J114" i="15"/>
  <c r="H677" i="16" s="1"/>
  <c r="I114" i="15"/>
  <c r="H676" i="16" s="1"/>
  <c r="J320" i="5"/>
  <c r="I320" i="5"/>
  <c r="V320" i="5"/>
  <c r="W320" i="5" s="1"/>
  <c r="N320" i="5"/>
  <c r="O320" i="5" s="1"/>
  <c r="V188" i="5"/>
  <c r="W188" i="5" s="1"/>
  <c r="J188" i="5"/>
  <c r="I188" i="5"/>
  <c r="J330" i="15"/>
  <c r="H1973" i="16" s="1"/>
  <c r="I330" i="15"/>
  <c r="H1972" i="16" s="1"/>
  <c r="T321" i="5"/>
  <c r="U321" i="5" s="1"/>
  <c r="T255" i="4"/>
  <c r="Q255" i="4"/>
  <c r="J84" i="5"/>
  <c r="K84" i="5" s="1"/>
  <c r="I84" i="5"/>
  <c r="V84" i="5"/>
  <c r="W84" i="5" s="1"/>
  <c r="N17" i="5"/>
  <c r="O17" i="5" s="1"/>
  <c r="J239" i="5"/>
  <c r="I239" i="5"/>
  <c r="V239" i="5"/>
  <c r="W239" i="5" s="1"/>
  <c r="K71" i="5"/>
  <c r="V206" i="5"/>
  <c r="W206" i="5" s="1"/>
  <c r="J206" i="5"/>
  <c r="I206" i="5"/>
  <c r="K206" i="5"/>
  <c r="Q336" i="5"/>
  <c r="R336" i="5" s="1"/>
  <c r="K3" i="5"/>
  <c r="U83" i="4"/>
  <c r="S83" i="4"/>
  <c r="R269" i="4"/>
  <c r="I237" i="15"/>
  <c r="H1414" i="16" s="1"/>
  <c r="I296" i="15"/>
  <c r="H1768" i="16" s="1"/>
  <c r="U81" i="4"/>
  <c r="S81" i="4"/>
  <c r="S86" i="4"/>
  <c r="U86" i="4"/>
  <c r="U202" i="4"/>
  <c r="S202" i="4"/>
  <c r="S68" i="4"/>
  <c r="U68" i="4" s="1"/>
  <c r="S118" i="4"/>
  <c r="U118" i="4" s="1"/>
  <c r="S276" i="4"/>
  <c r="U276" i="4" s="1"/>
  <c r="S265" i="4"/>
  <c r="U265" i="4" s="1"/>
  <c r="S3" i="4"/>
  <c r="U3" i="4"/>
  <c r="S32" i="4"/>
  <c r="U32" i="4" s="1"/>
  <c r="I100" i="15"/>
  <c r="H592" i="16" s="1"/>
  <c r="J73" i="15"/>
  <c r="H431" i="16" s="1"/>
  <c r="I73" i="15"/>
  <c r="H430" i="16" s="1"/>
  <c r="T153" i="5"/>
  <c r="U153" i="5" s="1"/>
  <c r="H268" i="15"/>
  <c r="H1599" i="16" s="1"/>
  <c r="G268" i="15"/>
  <c r="H1598" i="16" s="1"/>
  <c r="T71" i="4"/>
  <c r="Q71" i="4"/>
  <c r="R71" i="4" s="1"/>
  <c r="H154" i="15"/>
  <c r="H915" i="16" s="1"/>
  <c r="G154" i="15"/>
  <c r="H914" i="16" s="1"/>
  <c r="N121" i="5"/>
  <c r="O121" i="5" s="1"/>
  <c r="V292" i="5"/>
  <c r="W292" i="5" s="1"/>
  <c r="K292" i="5"/>
  <c r="J292" i="5"/>
  <c r="I292" i="5"/>
  <c r="N292" i="5"/>
  <c r="O292" i="5" s="1"/>
  <c r="T78" i="5"/>
  <c r="U78" i="5" s="1"/>
  <c r="N266" i="5"/>
  <c r="O266" i="5" s="1"/>
  <c r="V2" i="5"/>
  <c r="W2" i="5" s="1"/>
  <c r="J2" i="5"/>
  <c r="I2" i="5"/>
  <c r="B7" i="1"/>
  <c r="C7" i="1" s="1"/>
  <c r="B8" i="1"/>
  <c r="C8" i="1" s="1"/>
  <c r="T2" i="5"/>
  <c r="U2" i="5" s="1"/>
  <c r="Q2" i="5"/>
  <c r="R2" i="5" s="1"/>
  <c r="J103" i="15"/>
  <c r="H611" i="16" s="1"/>
  <c r="I103" i="15"/>
  <c r="H610" i="16" s="1"/>
  <c r="U141" i="4"/>
  <c r="S141" i="4"/>
  <c r="S235" i="4"/>
  <c r="U235" i="4" s="1"/>
  <c r="S77" i="4"/>
  <c r="U77" i="4" s="1"/>
  <c r="T50" i="5"/>
  <c r="U50" i="5" s="1"/>
  <c r="J67" i="15"/>
  <c r="H395" i="16" s="1"/>
  <c r="I67" i="15"/>
  <c r="H394" i="16" s="1"/>
  <c r="G298" i="15"/>
  <c r="H1778" i="16" s="1"/>
  <c r="H324" i="15"/>
  <c r="H1935" i="16" s="1"/>
  <c r="G324" i="15"/>
  <c r="H1934" i="16" s="1"/>
  <c r="R17" i="4"/>
  <c r="S285" i="4"/>
  <c r="U285" i="4" s="1"/>
  <c r="H179" i="15"/>
  <c r="H1065" i="16" s="1"/>
  <c r="G179" i="15"/>
  <c r="H1064" i="16" s="1"/>
  <c r="G51" i="15"/>
  <c r="H296" i="16" s="1"/>
  <c r="H51" i="15"/>
  <c r="H297" i="16" s="1"/>
  <c r="S137" i="4"/>
  <c r="U137" i="4" s="1"/>
  <c r="I13" i="15"/>
  <c r="H70" i="16" s="1"/>
  <c r="G59" i="15"/>
  <c r="H344" i="16" s="1"/>
  <c r="L114" i="15"/>
  <c r="H679" i="16" s="1"/>
  <c r="K114" i="15"/>
  <c r="H678" i="16" s="1"/>
  <c r="R237" i="4"/>
  <c r="R8" i="4"/>
  <c r="R255" i="4"/>
  <c r="J136" i="5"/>
  <c r="V136" i="5"/>
  <c r="W136" i="5" s="1"/>
  <c r="I136" i="5"/>
  <c r="T136" i="5"/>
  <c r="U136" i="5" s="1"/>
  <c r="I251" i="15"/>
  <c r="H1498" i="16" s="1"/>
  <c r="T277" i="4"/>
  <c r="Q277" i="4"/>
  <c r="R277" i="4" s="1"/>
  <c r="J178" i="15"/>
  <c r="H1061" i="16" s="1"/>
  <c r="I178" i="15"/>
  <c r="H1060" i="16" s="1"/>
  <c r="S127" i="4"/>
  <c r="U127" i="4" s="1"/>
  <c r="J285" i="15"/>
  <c r="H1703" i="16" s="1"/>
  <c r="I285" i="15"/>
  <c r="H1702" i="16" s="1"/>
  <c r="S10" i="4"/>
  <c r="U10" i="4" s="1"/>
  <c r="U6" i="4"/>
  <c r="S6" i="4"/>
  <c r="S302" i="4"/>
  <c r="U302" i="4"/>
  <c r="S101" i="4"/>
  <c r="U101" i="4" s="1"/>
  <c r="N231" i="5"/>
  <c r="O231" i="5" s="1"/>
  <c r="S98" i="4"/>
  <c r="U98" i="4" s="1"/>
  <c r="S185" i="4"/>
  <c r="U185" i="4" s="1"/>
  <c r="U256" i="4"/>
  <c r="S256" i="4"/>
  <c r="N211" i="5"/>
  <c r="O211" i="5" s="1"/>
  <c r="G161" i="15"/>
  <c r="H956" i="16" s="1"/>
  <c r="J161" i="15"/>
  <c r="H959" i="16" s="1"/>
  <c r="I161" i="15"/>
  <c r="H958" i="16" s="1"/>
  <c r="S150" i="4"/>
  <c r="U150" i="4" s="1"/>
  <c r="G216" i="15"/>
  <c r="H1286" i="16" s="1"/>
  <c r="G10" i="15"/>
  <c r="H50" i="16" s="1"/>
  <c r="U245" i="4"/>
  <c r="S245" i="4"/>
  <c r="U46" i="4"/>
  <c r="S46" i="4"/>
  <c r="I98" i="15"/>
  <c r="H580" i="16" s="1"/>
  <c r="U124" i="4"/>
  <c r="S124" i="4"/>
  <c r="K107" i="5"/>
  <c r="V107" i="5"/>
  <c r="W107" i="5" s="1"/>
  <c r="J107" i="5"/>
  <c r="I107" i="5"/>
  <c r="K99" i="15"/>
  <c r="H588" i="16" s="1"/>
  <c r="I261" i="5"/>
  <c r="V261" i="5"/>
  <c r="W261" i="5" s="1"/>
  <c r="J261" i="5"/>
  <c r="H256" i="15"/>
  <c r="H1527" i="16" s="1"/>
  <c r="J268" i="15"/>
  <c r="H1601" i="16" s="1"/>
  <c r="I268" i="15"/>
  <c r="H1600" i="16" s="1"/>
  <c r="S303" i="4"/>
  <c r="U303" i="4" s="1"/>
  <c r="H65" i="15"/>
  <c r="H381" i="16" s="1"/>
  <c r="L89" i="15"/>
  <c r="H529" i="16" s="1"/>
  <c r="K89" i="15"/>
  <c r="H528" i="16" s="1"/>
  <c r="K77" i="15"/>
  <c r="H456" i="16" s="1"/>
  <c r="H117" i="15"/>
  <c r="H693" i="16" s="1"/>
  <c r="K154" i="5"/>
  <c r="J305" i="5"/>
  <c r="I305" i="5"/>
  <c r="V305" i="5"/>
  <c r="W305" i="5" s="1"/>
  <c r="U153" i="4"/>
  <c r="S153" i="4"/>
  <c r="I122" i="5"/>
  <c r="J122" i="5"/>
  <c r="V122" i="5"/>
  <c r="W122" i="5" s="1"/>
  <c r="U34" i="4"/>
  <c r="S34" i="4"/>
  <c r="G76" i="15"/>
  <c r="H446" i="16" s="1"/>
  <c r="V143" i="5"/>
  <c r="W143" i="5" s="1"/>
  <c r="J143" i="5"/>
  <c r="I143" i="5"/>
  <c r="Q36" i="5"/>
  <c r="R36" i="5" s="1"/>
  <c r="J16" i="5"/>
  <c r="I16" i="5"/>
  <c r="V16" i="5"/>
  <c r="W16" i="5" s="1"/>
  <c r="K67" i="5"/>
  <c r="J101" i="15"/>
  <c r="H599" i="16" s="1"/>
  <c r="G54" i="15"/>
  <c r="H314" i="16" s="1"/>
  <c r="L101" i="15"/>
  <c r="H601" i="16" s="1"/>
  <c r="K101" i="15"/>
  <c r="H600" i="16" s="1"/>
  <c r="I171" i="5"/>
  <c r="J171" i="5"/>
  <c r="V171" i="5"/>
  <c r="W171" i="5" s="1"/>
  <c r="I298" i="15"/>
  <c r="H1780" i="16" s="1"/>
  <c r="Q11" i="4"/>
  <c r="R11" i="4" s="1"/>
  <c r="T11" i="4"/>
  <c r="R79" i="4"/>
  <c r="Q307" i="4"/>
  <c r="T307" i="4"/>
  <c r="N174" i="5"/>
  <c r="O174" i="5" s="1"/>
  <c r="K179" i="5"/>
  <c r="T54" i="4"/>
  <c r="Q54" i="4"/>
  <c r="R54" i="4" s="1"/>
  <c r="T105" i="5"/>
  <c r="U105" i="5" s="1"/>
  <c r="T79" i="5"/>
  <c r="U79" i="5" s="1"/>
  <c r="I44" i="15"/>
  <c r="H256" i="16" s="1"/>
  <c r="Q20" i="5"/>
  <c r="R20" i="5" s="1"/>
  <c r="L325" i="15"/>
  <c r="H1945" i="16" s="1"/>
  <c r="U63" i="4"/>
  <c r="S63" i="4"/>
  <c r="K192" i="5"/>
  <c r="J192" i="5"/>
  <c r="V192" i="5"/>
  <c r="W192" i="5" s="1"/>
  <c r="I192" i="5"/>
  <c r="H146" i="15"/>
  <c r="H867" i="16" s="1"/>
  <c r="G146" i="15"/>
  <c r="H866" i="16" s="1"/>
  <c r="J125" i="5"/>
  <c r="V125" i="5"/>
  <c r="W125" i="5" s="1"/>
  <c r="I125" i="5"/>
  <c r="S43" i="4"/>
  <c r="U43" i="4"/>
  <c r="S230" i="4"/>
  <c r="U230" i="4" s="1"/>
  <c r="N16" i="5"/>
  <c r="O16" i="5" s="1"/>
  <c r="K178" i="5"/>
  <c r="H225" i="15"/>
  <c r="H1341" i="16" s="1"/>
  <c r="Q277" i="5"/>
  <c r="R277" i="5" s="1"/>
  <c r="J164" i="5"/>
  <c r="I164" i="5"/>
  <c r="V164" i="5"/>
  <c r="W164" i="5" s="1"/>
  <c r="N160" i="5"/>
  <c r="O160" i="5" s="1"/>
  <c r="H314" i="15"/>
  <c r="H1875" i="16" s="1"/>
  <c r="G314" i="15"/>
  <c r="H1874" i="16" s="1"/>
  <c r="U9" i="4"/>
  <c r="S9" i="4"/>
  <c r="S117" i="4"/>
  <c r="U117" i="4" s="1"/>
  <c r="S291" i="4"/>
  <c r="U291" i="4"/>
  <c r="L181" i="15"/>
  <c r="H1081" i="16" s="1"/>
  <c r="S293" i="4"/>
  <c r="U293" i="4" s="1"/>
  <c r="S308" i="4"/>
  <c r="U308" i="4" s="1"/>
  <c r="Q262" i="5"/>
  <c r="R262" i="5" s="1"/>
  <c r="K119" i="15"/>
  <c r="H708" i="16" s="1"/>
  <c r="J71" i="15"/>
  <c r="H419" i="16" s="1"/>
  <c r="I71" i="15"/>
  <c r="H418" i="16" s="1"/>
  <c r="S59" i="4"/>
  <c r="U59" i="4" s="1"/>
  <c r="H247" i="15"/>
  <c r="H1473" i="16" s="1"/>
  <c r="G247" i="15"/>
  <c r="H1472" i="16" s="1"/>
  <c r="S208" i="4"/>
  <c r="U208" i="4"/>
  <c r="G98" i="15"/>
  <c r="H578" i="16" s="1"/>
  <c r="V215" i="5"/>
  <c r="W215" i="5" s="1"/>
  <c r="J215" i="5"/>
  <c r="I215" i="5"/>
  <c r="H99" i="15"/>
  <c r="H585" i="16" s="1"/>
  <c r="J232" i="5"/>
  <c r="V232" i="5"/>
  <c r="W232" i="5" s="1"/>
  <c r="I232" i="5"/>
  <c r="I247" i="15"/>
  <c r="H1474" i="16" s="1"/>
  <c r="H133" i="15"/>
  <c r="H789" i="16" s="1"/>
  <c r="K225" i="15"/>
  <c r="H1344" i="16" s="1"/>
  <c r="K268" i="5"/>
  <c r="J173" i="5"/>
  <c r="I173" i="5"/>
  <c r="K173" i="5" s="1"/>
  <c r="V173" i="5"/>
  <c r="W173" i="5" s="1"/>
  <c r="Q265" i="5"/>
  <c r="R265" i="5" s="1"/>
  <c r="S229" i="4"/>
  <c r="U229" i="4" s="1"/>
  <c r="G221" i="15"/>
  <c r="H1316" i="16" s="1"/>
  <c r="J328" i="5"/>
  <c r="I328" i="5"/>
  <c r="V328" i="5"/>
  <c r="W328" i="5" s="1"/>
  <c r="I76" i="15"/>
  <c r="H448" i="16" s="1"/>
  <c r="V159" i="5"/>
  <c r="W159" i="5" s="1"/>
  <c r="I159" i="5"/>
  <c r="K159" i="5" s="1"/>
  <c r="J159" i="5"/>
  <c r="J158" i="5"/>
  <c r="I158" i="5"/>
  <c r="K158" i="5" s="1"/>
  <c r="V158" i="5"/>
  <c r="W158" i="5" s="1"/>
  <c r="S91" i="4"/>
  <c r="U91" i="4" s="1"/>
  <c r="V46" i="5"/>
  <c r="W46" i="5" s="1"/>
  <c r="I46" i="5"/>
  <c r="J46" i="5"/>
  <c r="I170" i="5"/>
  <c r="V170" i="5"/>
  <c r="W170" i="5" s="1"/>
  <c r="J170" i="5"/>
  <c r="J181" i="15"/>
  <c r="H1079" i="16" s="1"/>
  <c r="I37" i="15"/>
  <c r="H214" i="16" s="1"/>
  <c r="J70" i="15"/>
  <c r="H413" i="16" s="1"/>
  <c r="I70" i="15"/>
  <c r="H412" i="16" s="1"/>
  <c r="I140" i="5"/>
  <c r="V140" i="5"/>
  <c r="W140" i="5" s="1"/>
  <c r="J140" i="5"/>
  <c r="J68" i="5"/>
  <c r="I68" i="5"/>
  <c r="K68" i="5" s="1"/>
  <c r="V68" i="5"/>
  <c r="W68" i="5" s="1"/>
  <c r="J189" i="5"/>
  <c r="I189" i="5"/>
  <c r="K189" i="5"/>
  <c r="V189" i="5"/>
  <c r="W189" i="5" s="1"/>
  <c r="I95" i="5"/>
  <c r="V95" i="5"/>
  <c r="W95" i="5" s="1"/>
  <c r="J95" i="5"/>
  <c r="T276" i="5"/>
  <c r="U276" i="5" s="1"/>
  <c r="R174" i="4"/>
  <c r="I59" i="15"/>
  <c r="H346" i="16" s="1"/>
  <c r="J59" i="15"/>
  <c r="H347" i="16" s="1"/>
  <c r="G114" i="15"/>
  <c r="H674" i="16" s="1"/>
  <c r="V66" i="5"/>
  <c r="W66" i="5" s="1"/>
  <c r="J66" i="5"/>
  <c r="I66" i="5"/>
  <c r="V333" i="5"/>
  <c r="W333" i="5" s="1"/>
  <c r="K333" i="5"/>
  <c r="J333" i="5"/>
  <c r="I333" i="5"/>
  <c r="Q112" i="4"/>
  <c r="R112" i="4" s="1"/>
  <c r="T112" i="4"/>
  <c r="Q275" i="4"/>
  <c r="R275" i="4" s="1"/>
  <c r="T275" i="4"/>
  <c r="G44" i="15"/>
  <c r="H254" i="16" s="1"/>
  <c r="J34" i="5"/>
  <c r="V34" i="5"/>
  <c r="W34" i="5" s="1"/>
  <c r="I34" i="5"/>
  <c r="J129" i="5"/>
  <c r="I129" i="5"/>
  <c r="K129" i="5"/>
  <c r="V129" i="5"/>
  <c r="W129" i="5" s="1"/>
  <c r="Q129" i="5"/>
  <c r="R129" i="5" s="1"/>
  <c r="N129" i="5"/>
  <c r="O129" i="5" s="1"/>
  <c r="T129" i="5"/>
  <c r="U129" i="5" s="1"/>
  <c r="N180" i="5"/>
  <c r="O180" i="5" s="1"/>
  <c r="T8" i="4"/>
  <c r="Q8" i="4"/>
  <c r="S149" i="4"/>
  <c r="U149" i="4" s="1"/>
  <c r="I5" i="15"/>
  <c r="H22" i="16" s="1"/>
  <c r="Q167" i="5"/>
  <c r="R167" i="5" s="1"/>
  <c r="J281" i="5"/>
  <c r="I281" i="5"/>
  <c r="V281" i="5"/>
  <c r="W281" i="5" s="1"/>
  <c r="K281" i="5"/>
  <c r="L61" i="15"/>
  <c r="H361" i="16" s="1"/>
  <c r="K61" i="15"/>
  <c r="H360" i="16" s="1"/>
  <c r="Q206" i="5"/>
  <c r="R206" i="5" s="1"/>
  <c r="S70" i="4"/>
  <c r="U70" i="4" s="1"/>
  <c r="N24" i="5"/>
  <c r="O24" i="5" s="1"/>
  <c r="V93" i="5"/>
  <c r="W93" i="5" s="1"/>
  <c r="J93" i="5"/>
  <c r="I93" i="5"/>
  <c r="N210" i="5"/>
  <c r="O210" i="5" s="1"/>
  <c r="N235" i="5"/>
  <c r="O235" i="5" s="1"/>
  <c r="G285" i="15"/>
  <c r="H1700" i="16" s="1"/>
  <c r="I314" i="15"/>
  <c r="H1876" i="16" s="1"/>
  <c r="U172" i="4"/>
  <c r="S172" i="4"/>
  <c r="S57" i="4"/>
  <c r="U57" i="4" s="1"/>
  <c r="S298" i="4"/>
  <c r="U298" i="4"/>
  <c r="U331" i="4"/>
  <c r="S331" i="4"/>
  <c r="S309" i="4"/>
  <c r="U309" i="4" s="1"/>
  <c r="S142" i="4"/>
  <c r="U142" i="4" s="1"/>
  <c r="S288" i="4"/>
  <c r="U288" i="4" s="1"/>
  <c r="K74" i="15"/>
  <c r="H438" i="16" s="1"/>
  <c r="I233" i="5"/>
  <c r="V233" i="5"/>
  <c r="W233" i="5" s="1"/>
  <c r="J233" i="5"/>
  <c r="S18" i="4"/>
  <c r="U18" i="4" s="1"/>
  <c r="J99" i="15"/>
  <c r="H587" i="16" s="1"/>
  <c r="N313" i="5"/>
  <c r="O313" i="5" s="1"/>
  <c r="S13" i="4"/>
  <c r="U13" i="4" s="1"/>
  <c r="I130" i="15"/>
  <c r="H772" i="16" s="1"/>
  <c r="I94" i="5"/>
  <c r="K94" i="5" s="1"/>
  <c r="J94" i="5"/>
  <c r="V94" i="5"/>
  <c r="W94" i="5" s="1"/>
  <c r="I221" i="15"/>
  <c r="H1318" i="16" s="1"/>
  <c r="V175" i="5"/>
  <c r="W175" i="5" s="1"/>
  <c r="J175" i="5"/>
  <c r="I175" i="5"/>
  <c r="T196" i="4"/>
  <c r="Q196" i="4"/>
  <c r="R196" i="4" s="1"/>
  <c r="K194" i="15"/>
  <c r="H1158" i="16" s="1"/>
  <c r="L194" i="15"/>
  <c r="H1159" i="16" s="1"/>
  <c r="S82" i="4"/>
  <c r="U82" i="4" s="1"/>
  <c r="V185" i="5"/>
  <c r="W185" i="5" s="1"/>
  <c r="J185" i="5"/>
  <c r="I185" i="5"/>
  <c r="Q185" i="5"/>
  <c r="R185" i="5" s="1"/>
  <c r="J214" i="5"/>
  <c r="I214" i="5"/>
  <c r="V214" i="5"/>
  <c r="W214" i="5" s="1"/>
  <c r="J223" i="5"/>
  <c r="I223" i="5"/>
  <c r="V223" i="5"/>
  <c r="W223" i="5" s="1"/>
  <c r="T76" i="4"/>
  <c r="Q76" i="4"/>
  <c r="K37" i="15"/>
  <c r="H216" i="16" s="1"/>
  <c r="K70" i="15"/>
  <c r="H414" i="16" s="1"/>
  <c r="J90" i="5"/>
  <c r="V90" i="5"/>
  <c r="W90" i="5" s="1"/>
  <c r="I90" i="5"/>
  <c r="V111" i="5"/>
  <c r="W111" i="5" s="1"/>
  <c r="I111" i="5"/>
  <c r="J111" i="5"/>
  <c r="T96" i="5"/>
  <c r="U96" i="5" s="1"/>
  <c r="S120" i="4"/>
  <c r="U120" i="4" s="1"/>
  <c r="Q96" i="4"/>
  <c r="R96" i="4" s="1"/>
  <c r="T96" i="4"/>
  <c r="S126" i="4"/>
  <c r="U126" i="4" s="1"/>
  <c r="Q253" i="4"/>
  <c r="R253" i="4" s="1"/>
  <c r="T253" i="4"/>
  <c r="K59" i="5"/>
  <c r="T292" i="5"/>
  <c r="U292" i="5" s="1"/>
  <c r="K44" i="15"/>
  <c r="H258" i="16" s="1"/>
  <c r="U315" i="4"/>
  <c r="S315" i="4"/>
  <c r="S37" i="4"/>
  <c r="U37" i="4" s="1"/>
  <c r="S75" i="4"/>
  <c r="U75" i="4"/>
  <c r="K5" i="15"/>
  <c r="H24" i="16" s="1"/>
  <c r="N291" i="5"/>
  <c r="O291" i="5" s="1"/>
  <c r="G163" i="15"/>
  <c r="H968" i="16" s="1"/>
  <c r="H58" i="15"/>
  <c r="H339" i="16" s="1"/>
  <c r="T258" i="4"/>
  <c r="Q258" i="4"/>
  <c r="R258" i="4" s="1"/>
  <c r="K48" i="5"/>
  <c r="J48" i="5"/>
  <c r="I48" i="5"/>
  <c r="V48" i="5"/>
  <c r="W48" i="5" s="1"/>
  <c r="T183" i="5"/>
  <c r="U183" i="5" s="1"/>
  <c r="H61" i="15"/>
  <c r="H357" i="16" s="1"/>
  <c r="I162" i="15"/>
  <c r="H964" i="16" s="1"/>
  <c r="V198" i="5"/>
  <c r="W198" i="5" s="1"/>
  <c r="J198" i="5"/>
  <c r="I198" i="5"/>
  <c r="K314" i="5"/>
  <c r="S113" i="4"/>
  <c r="U113" i="4" s="1"/>
  <c r="S234" i="4"/>
  <c r="U234" i="4" s="1"/>
  <c r="S231" i="4"/>
  <c r="U231" i="4" s="1"/>
  <c r="U252" i="4"/>
  <c r="S252" i="4"/>
  <c r="Q79" i="5"/>
  <c r="R79" i="5" s="1"/>
  <c r="S111" i="4"/>
  <c r="U111" i="4" s="1"/>
  <c r="N175" i="5"/>
  <c r="O175" i="5" s="1"/>
  <c r="S73" i="4"/>
  <c r="U73" i="4"/>
  <c r="S335" i="4"/>
  <c r="U335" i="4" s="1"/>
  <c r="I300" i="15"/>
  <c r="H1792" i="16" s="1"/>
  <c r="S214" i="4"/>
  <c r="U214" i="4" s="1"/>
  <c r="V250" i="5"/>
  <c r="W250" i="5" s="1"/>
  <c r="K250" i="5"/>
  <c r="J250" i="5"/>
  <c r="I250" i="5"/>
  <c r="U201" i="4"/>
  <c r="S201" i="4"/>
  <c r="J3" i="15"/>
  <c r="H11" i="16" s="1"/>
  <c r="I3" i="15"/>
  <c r="H10" i="16" s="1"/>
  <c r="S88" i="4"/>
  <c r="U88" i="4"/>
  <c r="S104" i="4"/>
  <c r="U104" i="4"/>
  <c r="Q267" i="4"/>
  <c r="R267" i="4" s="1"/>
  <c r="T267" i="4"/>
  <c r="V218" i="5"/>
  <c r="W218" i="5" s="1"/>
  <c r="K218" i="5"/>
  <c r="J218" i="5"/>
  <c r="I218" i="5"/>
  <c r="J132" i="5"/>
  <c r="I132" i="5"/>
  <c r="V132" i="5"/>
  <c r="W132" i="5" s="1"/>
  <c r="K247" i="5"/>
  <c r="J322" i="5"/>
  <c r="I322" i="5"/>
  <c r="V322" i="5"/>
  <c r="W322" i="5" s="1"/>
  <c r="S301" i="4"/>
  <c r="U301" i="4" s="1"/>
  <c r="S161" i="4"/>
  <c r="U161" i="4" s="1"/>
  <c r="J256" i="15"/>
  <c r="H1529" i="16" s="1"/>
  <c r="J72" i="5"/>
  <c r="I72" i="5"/>
  <c r="V72" i="5"/>
  <c r="W72" i="5" s="1"/>
  <c r="V260" i="5"/>
  <c r="W260" i="5" s="1"/>
  <c r="J260" i="5"/>
  <c r="I260" i="5"/>
  <c r="Q260" i="5"/>
  <c r="R260" i="5" s="1"/>
  <c r="J211" i="5"/>
  <c r="V211" i="5"/>
  <c r="W211" i="5" s="1"/>
  <c r="K211" i="5"/>
  <c r="I211" i="5"/>
  <c r="S200" i="4"/>
  <c r="U200" i="4" s="1"/>
  <c r="U134" i="4"/>
  <c r="S134" i="4"/>
  <c r="Q275" i="5"/>
  <c r="R275" i="5" s="1"/>
  <c r="K221" i="5"/>
  <c r="J152" i="5"/>
  <c r="V152" i="5"/>
  <c r="W152" i="5" s="1"/>
  <c r="I152" i="5"/>
  <c r="K76" i="5"/>
  <c r="I69" i="15"/>
  <c r="H406" i="16" s="1"/>
  <c r="J184" i="5"/>
  <c r="V184" i="5"/>
  <c r="W184" i="5" s="1"/>
  <c r="I184" i="5"/>
  <c r="J165" i="15"/>
  <c r="H983" i="16" s="1"/>
  <c r="K197" i="5"/>
  <c r="J197" i="5"/>
  <c r="I197" i="5"/>
  <c r="V197" i="5"/>
  <c r="W197" i="5" s="1"/>
  <c r="T270" i="4"/>
  <c r="Q270" i="4"/>
  <c r="R270" i="4" s="1"/>
  <c r="K128" i="15"/>
  <c r="H762" i="16" s="1"/>
  <c r="J200" i="5"/>
  <c r="I200" i="5"/>
  <c r="V200" i="5"/>
  <c r="W200" i="5" s="1"/>
  <c r="R76" i="4"/>
  <c r="K109" i="15"/>
  <c r="H648" i="16" s="1"/>
  <c r="G37" i="15"/>
  <c r="H212" i="16" s="1"/>
  <c r="V63" i="5"/>
  <c r="W63" i="5" s="1"/>
  <c r="K63" i="5"/>
  <c r="J63" i="5"/>
  <c r="I63" i="5"/>
  <c r="T260" i="5"/>
  <c r="U260" i="5" s="1"/>
  <c r="U167" i="4"/>
  <c r="S167" i="4"/>
  <c r="I224" i="15"/>
  <c r="H1336" i="16" s="1"/>
  <c r="L288" i="15"/>
  <c r="H1723" i="16" s="1"/>
  <c r="T206" i="4"/>
  <c r="Q206" i="4"/>
  <c r="R206" i="4" s="1"/>
  <c r="T36" i="5"/>
  <c r="U36" i="5" s="1"/>
  <c r="J49" i="5"/>
  <c r="I49" i="5"/>
  <c r="K49" i="5" s="1"/>
  <c r="V49" i="5"/>
  <c r="W49" i="5" s="1"/>
  <c r="J22" i="15"/>
  <c r="H125" i="16" s="1"/>
  <c r="I22" i="15"/>
  <c r="H124" i="16" s="1"/>
  <c r="J61" i="15"/>
  <c r="H359" i="16" s="1"/>
  <c r="H288" i="15"/>
  <c r="H1719" i="16" s="1"/>
  <c r="U12" i="4"/>
  <c r="S12" i="4"/>
  <c r="Q328" i="4"/>
  <c r="R328" i="4" s="1"/>
  <c r="T328" i="4"/>
  <c r="G5" i="15"/>
  <c r="H20" i="16" s="1"/>
  <c r="N183" i="5"/>
  <c r="O183" i="5" s="1"/>
  <c r="I163" i="15"/>
  <c r="H970" i="16" s="1"/>
  <c r="Q142" i="5"/>
  <c r="R142" i="5" s="1"/>
  <c r="Q248" i="5"/>
  <c r="R248" i="5" s="1"/>
  <c r="Q328" i="5"/>
  <c r="R328" i="5" s="1"/>
  <c r="Q331" i="5"/>
  <c r="R331" i="5" s="1"/>
  <c r="H56" i="15"/>
  <c r="H327" i="16" s="1"/>
  <c r="J21" i="15"/>
  <c r="H119" i="16" s="1"/>
  <c r="I21" i="15"/>
  <c r="H118" i="16" s="1"/>
  <c r="H178" i="15"/>
  <c r="H1059" i="16" s="1"/>
  <c r="G178" i="15"/>
  <c r="H1058" i="16" s="1"/>
  <c r="Q222" i="5"/>
  <c r="R222" i="5" s="1"/>
  <c r="L289" i="15"/>
  <c r="H1729" i="16" s="1"/>
  <c r="J332" i="5"/>
  <c r="I332" i="5"/>
  <c r="V332" i="5"/>
  <c r="W332" i="5" s="1"/>
  <c r="S129" i="4"/>
  <c r="U129" i="4" s="1"/>
  <c r="K162" i="5"/>
  <c r="K204" i="5"/>
  <c r="J204" i="5"/>
  <c r="I204" i="5"/>
  <c r="V204" i="5"/>
  <c r="W204" i="5" s="1"/>
  <c r="G286" i="15"/>
  <c r="H1706" i="16" s="1"/>
  <c r="S204" i="4"/>
  <c r="U204" i="4" s="1"/>
  <c r="S38" i="4"/>
  <c r="U38" i="4" s="1"/>
  <c r="U99" i="4"/>
  <c r="S99" i="4"/>
  <c r="T200" i="5"/>
  <c r="U200" i="5" s="1"/>
  <c r="N191" i="5"/>
  <c r="O191" i="5" s="1"/>
  <c r="L240" i="15"/>
  <c r="H1435" i="16" s="1"/>
  <c r="L133" i="15"/>
  <c r="H793" i="16" s="1"/>
  <c r="U165" i="4"/>
  <c r="S165" i="4"/>
  <c r="S66" i="4"/>
  <c r="U66" i="4" s="1"/>
  <c r="V108" i="5"/>
  <c r="W108" i="5" s="1"/>
  <c r="I108" i="5"/>
  <c r="K108" i="5" s="1"/>
  <c r="J108" i="5"/>
  <c r="T108" i="5"/>
  <c r="U108" i="5" s="1"/>
  <c r="J335" i="5"/>
  <c r="I335" i="5"/>
  <c r="V335" i="5"/>
  <c r="W335" i="5" s="1"/>
  <c r="S186" i="4"/>
  <c r="U186" i="4" s="1"/>
  <c r="K118" i="15"/>
  <c r="H702" i="16" s="1"/>
  <c r="Q280" i="4"/>
  <c r="R280" i="4" s="1"/>
  <c r="T280" i="4"/>
  <c r="K146" i="15"/>
  <c r="H870" i="16" s="1"/>
  <c r="G237" i="15"/>
  <c r="H1412" i="16" s="1"/>
  <c r="S110" i="4"/>
  <c r="U110" i="4" s="1"/>
  <c r="S233" i="4"/>
  <c r="U233" i="4" s="1"/>
  <c r="V30" i="5"/>
  <c r="W30" i="5" s="1"/>
  <c r="J30" i="5"/>
  <c r="I30" i="5"/>
  <c r="S327" i="4"/>
  <c r="U327" i="4" s="1"/>
  <c r="J180" i="5"/>
  <c r="I180" i="5"/>
  <c r="V180" i="5"/>
  <c r="W180" i="5" s="1"/>
  <c r="H254" i="15"/>
  <c r="H1515" i="16" s="1"/>
  <c r="N322" i="5"/>
  <c r="O322" i="5" s="1"/>
  <c r="S220" i="4"/>
  <c r="U220" i="4" s="1"/>
  <c r="I20" i="5"/>
  <c r="V20" i="5"/>
  <c r="W20" i="5" s="1"/>
  <c r="J20" i="5"/>
  <c r="I307" i="5"/>
  <c r="K307" i="5"/>
  <c r="J307" i="5"/>
  <c r="V307" i="5"/>
  <c r="W307" i="5" s="1"/>
  <c r="G23" i="15"/>
  <c r="H128" i="16" s="1"/>
  <c r="I126" i="5"/>
  <c r="V126" i="5"/>
  <c r="W126" i="5" s="1"/>
  <c r="K126" i="5"/>
  <c r="J126" i="5"/>
  <c r="J258" i="5"/>
  <c r="I258" i="5"/>
  <c r="V258" i="5"/>
  <c r="W258" i="5" s="1"/>
  <c r="V336" i="5"/>
  <c r="W336" i="5" s="1"/>
  <c r="J336" i="5"/>
  <c r="I336" i="5"/>
  <c r="K336" i="5"/>
  <c r="S154" i="4"/>
  <c r="U154" i="4" s="1"/>
  <c r="J149" i="15"/>
  <c r="H887" i="16" s="1"/>
  <c r="R14" i="4"/>
  <c r="U133" i="4"/>
  <c r="S133" i="4"/>
  <c r="U45" i="4"/>
  <c r="S45" i="4"/>
  <c r="H194" i="15"/>
  <c r="H1155" i="16" s="1"/>
  <c r="V238" i="5"/>
  <c r="W238" i="5" s="1"/>
  <c r="J238" i="5"/>
  <c r="I238" i="5"/>
  <c r="N185" i="5"/>
  <c r="O185" i="5" s="1"/>
  <c r="I26" i="5"/>
  <c r="V26" i="5"/>
  <c r="W26" i="5" s="1"/>
  <c r="J26" i="5"/>
  <c r="T26" i="5"/>
  <c r="U26" i="5" s="1"/>
  <c r="G150" i="15"/>
  <c r="H890" i="16" s="1"/>
  <c r="I245" i="5"/>
  <c r="J245" i="5"/>
  <c r="V245" i="5"/>
  <c r="W245" i="5" s="1"/>
  <c r="H6" i="15"/>
  <c r="H27" i="16" s="1"/>
  <c r="G6" i="15"/>
  <c r="H26" i="16" s="1"/>
  <c r="N83" i="5"/>
  <c r="O83" i="5" s="1"/>
  <c r="G70" i="15"/>
  <c r="H410" i="16" s="1"/>
  <c r="T159" i="5"/>
  <c r="U159" i="5" s="1"/>
  <c r="N271" i="5"/>
  <c r="O271" i="5" s="1"/>
  <c r="S271" i="4"/>
  <c r="U271" i="4" s="1"/>
  <c r="G273" i="15"/>
  <c r="H1628" i="16" s="1"/>
  <c r="I139" i="5"/>
  <c r="V139" i="5"/>
  <c r="W139" i="5" s="1"/>
  <c r="J139" i="5"/>
  <c r="S147" i="4"/>
  <c r="U147" i="4" s="1"/>
  <c r="K144" i="5"/>
  <c r="V144" i="5"/>
  <c r="W144" i="5" s="1"/>
  <c r="J144" i="5"/>
  <c r="I144" i="5"/>
  <c r="K123" i="5"/>
  <c r="J123" i="5"/>
  <c r="I123" i="5"/>
  <c r="V123" i="5"/>
  <c r="W123" i="5" s="1"/>
  <c r="S60" i="4"/>
  <c r="U60" i="4" s="1"/>
  <c r="T218" i="5"/>
  <c r="U218" i="5" s="1"/>
  <c r="S29" i="4"/>
  <c r="U29" i="4" s="1"/>
  <c r="U109" i="4"/>
  <c r="S109" i="4"/>
  <c r="J42" i="15"/>
  <c r="H245" i="16" s="1"/>
  <c r="I42" i="15"/>
  <c r="H244" i="16" s="1"/>
  <c r="K163" i="5"/>
  <c r="Q218" i="5"/>
  <c r="R218" i="5" s="1"/>
  <c r="K334" i="5"/>
  <c r="J334" i="5"/>
  <c r="V334" i="5"/>
  <c r="W334" i="5" s="1"/>
  <c r="I334" i="5"/>
  <c r="T178" i="4"/>
  <c r="Q178" i="4"/>
  <c r="R178" i="4" s="1"/>
  <c r="L21" i="15"/>
  <c r="H121" i="16" s="1"/>
  <c r="K21" i="15"/>
  <c r="H120" i="16" s="1"/>
  <c r="T66" i="5"/>
  <c r="U66" i="5" s="1"/>
  <c r="V106" i="5"/>
  <c r="W106" i="5" s="1"/>
  <c r="J106" i="5"/>
  <c r="K106" i="5" s="1"/>
  <c r="I106" i="5"/>
  <c r="N167" i="5"/>
  <c r="O167" i="5" s="1"/>
  <c r="J128" i="15"/>
  <c r="H761" i="16" s="1"/>
  <c r="T223" i="5"/>
  <c r="U223" i="5" s="1"/>
  <c r="S219" i="4"/>
  <c r="U219" i="4" s="1"/>
  <c r="K64" i="5"/>
  <c r="I64" i="5"/>
  <c r="V64" i="5"/>
  <c r="W64" i="5" s="1"/>
  <c r="J64" i="5"/>
  <c r="J286" i="15"/>
  <c r="H1709" i="16" s="1"/>
  <c r="I286" i="15"/>
  <c r="H1708" i="16" s="1"/>
  <c r="S264" i="4"/>
  <c r="U264" i="4"/>
  <c r="S268" i="4"/>
  <c r="U268" i="4" s="1"/>
  <c r="S168" i="4"/>
  <c r="U168" i="4" s="1"/>
  <c r="T215" i="5"/>
  <c r="U215" i="5" s="1"/>
  <c r="U121" i="4"/>
  <c r="S121" i="4"/>
  <c r="T188" i="5"/>
  <c r="U188" i="5" s="1"/>
  <c r="U55" i="4"/>
  <c r="S55" i="4"/>
  <c r="Q143" i="5"/>
  <c r="R143" i="5" s="1"/>
  <c r="S247" i="4"/>
  <c r="U247" i="4" s="1"/>
  <c r="G8" i="15"/>
  <c r="H38" i="16" s="1"/>
  <c r="G257" i="15"/>
  <c r="H1532" i="16" s="1"/>
  <c r="H100" i="15"/>
  <c r="H591" i="16" s="1"/>
  <c r="G100" i="15"/>
  <c r="H590" i="16" s="1"/>
  <c r="S195" i="4"/>
  <c r="U195" i="4"/>
  <c r="J154" i="15"/>
  <c r="H917" i="16" s="1"/>
  <c r="I154" i="15"/>
  <c r="H916" i="16" s="1"/>
  <c r="T116" i="4"/>
  <c r="Q116" i="4"/>
  <c r="R116" i="4" s="1"/>
  <c r="G269" i="15"/>
  <c r="H1604" i="16" s="1"/>
  <c r="H269" i="15"/>
  <c r="H1605" i="16" s="1"/>
  <c r="G103" i="15"/>
  <c r="H608" i="16" s="1"/>
  <c r="H103" i="15"/>
  <c r="H609" i="16" s="1"/>
  <c r="Q187" i="4"/>
  <c r="R187" i="4" s="1"/>
  <c r="T187" i="4"/>
  <c r="J127" i="5"/>
  <c r="I127" i="5"/>
  <c r="K127" i="5" s="1"/>
  <c r="V127" i="5"/>
  <c r="W127" i="5" s="1"/>
  <c r="I54" i="15"/>
  <c r="H316" i="16" s="1"/>
  <c r="J324" i="15"/>
  <c r="H1937" i="16" s="1"/>
  <c r="I324" i="15"/>
  <c r="H1936" i="16" s="1"/>
  <c r="L57" i="15"/>
  <c r="H337" i="16" s="1"/>
  <c r="K57" i="15"/>
  <c r="H336" i="16" s="1"/>
  <c r="G330" i="15"/>
  <c r="H1970" i="16" s="1"/>
  <c r="S143" i="4"/>
  <c r="U143" i="4"/>
  <c r="K257" i="5"/>
  <c r="Q108" i="5"/>
  <c r="R108" i="5" s="1"/>
  <c r="S107" i="4"/>
  <c r="U107" i="4" s="1"/>
  <c r="K259" i="5"/>
  <c r="J259" i="5"/>
  <c r="V259" i="5"/>
  <c r="W259" i="5" s="1"/>
  <c r="I259" i="5"/>
  <c r="T259" i="5"/>
  <c r="U259" i="5" s="1"/>
  <c r="K169" i="15"/>
  <c r="H1008" i="16" s="1"/>
  <c r="K120" i="5"/>
  <c r="J120" i="5"/>
  <c r="V120" i="5"/>
  <c r="W120" i="5" s="1"/>
  <c r="I120" i="5"/>
  <c r="U319" i="4"/>
  <c r="S319" i="4"/>
  <c r="T146" i="4"/>
  <c r="Q146" i="4"/>
  <c r="R146" i="4" s="1"/>
  <c r="J193" i="5"/>
  <c r="I193" i="5"/>
  <c r="V193" i="5"/>
  <c r="W193" i="5" s="1"/>
  <c r="T193" i="5"/>
  <c r="U193" i="5" s="1"/>
  <c r="S24" i="4"/>
  <c r="U24" i="4" s="1"/>
  <c r="H130" i="15"/>
  <c r="H771" i="16" s="1"/>
  <c r="G130" i="15"/>
  <c r="H770" i="16" s="1"/>
  <c r="N242" i="5"/>
  <c r="O242" i="5" s="1"/>
  <c r="V202" i="5"/>
  <c r="W202" i="5" s="1"/>
  <c r="J202" i="5"/>
  <c r="I202" i="5"/>
  <c r="K149" i="15"/>
  <c r="H888" i="16" s="1"/>
  <c r="Q226" i="5"/>
  <c r="R226" i="5" s="1"/>
  <c r="K145" i="5"/>
  <c r="J145" i="5"/>
  <c r="I145" i="5"/>
  <c r="V145" i="5"/>
  <c r="W145" i="5" s="1"/>
  <c r="K88" i="5"/>
  <c r="J88" i="5"/>
  <c r="I88" i="5"/>
  <c r="V88" i="5"/>
  <c r="W88" i="5" s="1"/>
  <c r="I150" i="15"/>
  <c r="H892" i="16" s="1"/>
  <c r="J131" i="15"/>
  <c r="H779" i="16" s="1"/>
  <c r="J6" i="15"/>
  <c r="H29" i="16" s="1"/>
  <c r="I6" i="15"/>
  <c r="H28" i="16" s="1"/>
  <c r="J87" i="15"/>
  <c r="H515" i="16" s="1"/>
  <c r="T185" i="5"/>
  <c r="U185" i="5" s="1"/>
  <c r="Q337" i="5"/>
  <c r="R337" i="5" s="1"/>
  <c r="N30" i="5"/>
  <c r="O30" i="5" s="1"/>
  <c r="J304" i="5"/>
  <c r="I304" i="5"/>
  <c r="V304" i="5"/>
  <c r="W304" i="5" s="1"/>
  <c r="N304" i="5"/>
  <c r="O304" i="5" s="1"/>
  <c r="K187" i="5"/>
  <c r="I187" i="5"/>
  <c r="J187" i="5"/>
  <c r="V187" i="5"/>
  <c r="W187" i="5" s="1"/>
  <c r="V156" i="5"/>
  <c r="W156" i="5" s="1"/>
  <c r="J156" i="5"/>
  <c r="I156" i="5"/>
  <c r="N229" i="5"/>
  <c r="O229" i="5" s="1"/>
  <c r="S278" i="4"/>
  <c r="U278" i="4"/>
  <c r="V219" i="5"/>
  <c r="W219" i="5" s="1"/>
  <c r="J219" i="5"/>
  <c r="I219" i="5"/>
  <c r="Q158" i="5"/>
  <c r="R158" i="5" s="1"/>
  <c r="T132" i="5"/>
  <c r="U132" i="5" s="1"/>
  <c r="J273" i="15"/>
  <c r="H1631" i="16" s="1"/>
  <c r="I273" i="15"/>
  <c r="H1630" i="16" s="1"/>
  <c r="V317" i="5"/>
  <c r="W317" i="5" s="1"/>
  <c r="I317" i="5"/>
  <c r="K317" i="5"/>
  <c r="J317" i="5"/>
  <c r="J82" i="5"/>
  <c r="V82" i="5"/>
  <c r="W82" i="5" s="1"/>
  <c r="I82" i="5"/>
  <c r="J287" i="5"/>
  <c r="I287" i="5"/>
  <c r="V287" i="5"/>
  <c r="W287" i="5" s="1"/>
  <c r="T287" i="5"/>
  <c r="U287" i="5" s="1"/>
  <c r="U95" i="4"/>
  <c r="S95" i="4"/>
  <c r="Q4" i="5"/>
  <c r="R4" i="5" s="1"/>
  <c r="H81" i="15"/>
  <c r="H477" i="16" s="1"/>
  <c r="J227" i="5"/>
  <c r="V227" i="5"/>
  <c r="W227" i="5" s="1"/>
  <c r="I227" i="5"/>
  <c r="T227" i="5"/>
  <c r="U227" i="5" s="1"/>
  <c r="J213" i="5"/>
  <c r="I213" i="5"/>
  <c r="V213" i="5"/>
  <c r="W213" i="5" s="1"/>
  <c r="G43" i="15"/>
  <c r="H248" i="16" s="1"/>
  <c r="H43" i="15"/>
  <c r="H249" i="16" s="1"/>
  <c r="J157" i="5"/>
  <c r="V157" i="5"/>
  <c r="W157" i="5" s="1"/>
  <c r="I157" i="5"/>
  <c r="L135" i="15"/>
  <c r="H805" i="16" s="1"/>
  <c r="K135" i="15"/>
  <c r="H804" i="16" s="1"/>
  <c r="Q189" i="5"/>
  <c r="R189" i="5" s="1"/>
  <c r="G195" i="15"/>
  <c r="H1160" i="16" s="1"/>
  <c r="T206" i="5"/>
  <c r="U206" i="5" s="1"/>
  <c r="S281" i="4"/>
  <c r="U281" i="4"/>
  <c r="Q197" i="5"/>
  <c r="R197" i="5" s="1"/>
  <c r="Q207" i="5"/>
  <c r="R207" i="5" s="1"/>
  <c r="I253" i="15"/>
  <c r="H1510" i="16" s="1"/>
  <c r="L279" i="15"/>
  <c r="H1669" i="16" s="1"/>
  <c r="H162" i="15"/>
  <c r="H963" i="16" s="1"/>
  <c r="G162" i="15"/>
  <c r="H962" i="16" s="1"/>
  <c r="J190" i="5"/>
  <c r="I190" i="5"/>
  <c r="V190" i="5"/>
  <c r="W190" i="5" s="1"/>
  <c r="K286" i="5"/>
  <c r="N337" i="5"/>
  <c r="O337" i="5" s="1"/>
  <c r="U42" i="4"/>
  <c r="S42" i="4"/>
  <c r="S193" i="4"/>
  <c r="U193" i="4" s="1"/>
  <c r="S48" i="4"/>
  <c r="U48" i="4" s="1"/>
  <c r="U39" i="4"/>
  <c r="S39" i="4"/>
  <c r="T126" i="5"/>
  <c r="U126" i="5" s="1"/>
  <c r="T265" i="5"/>
  <c r="U265" i="5" s="1"/>
  <c r="S295" i="4"/>
  <c r="U295" i="4"/>
  <c r="S227" i="4"/>
  <c r="U227" i="4"/>
  <c r="S52" i="4"/>
  <c r="U52" i="4" s="1"/>
  <c r="U332" i="4"/>
  <c r="S332" i="4"/>
  <c r="S128" i="4"/>
  <c r="U128" i="4" s="1"/>
  <c r="T214" i="5"/>
  <c r="U214" i="5" s="1"/>
  <c r="Q136" i="4"/>
  <c r="R136" i="4" s="1"/>
  <c r="T136" i="4"/>
  <c r="S180" i="4"/>
  <c r="U180" i="4" s="1"/>
  <c r="V235" i="5"/>
  <c r="W235" i="5" s="1"/>
  <c r="J235" i="5"/>
  <c r="I235" i="5"/>
  <c r="R307" i="4"/>
  <c r="I179" i="15"/>
  <c r="H1066" i="16" s="1"/>
  <c r="U148" i="4"/>
  <c r="S148" i="4"/>
  <c r="L27" i="15"/>
  <c r="H157" i="16" s="1"/>
  <c r="K27" i="15"/>
  <c r="H156" i="16" s="1"/>
  <c r="T127" i="5"/>
  <c r="U127" i="5" s="1"/>
  <c r="S305" i="4"/>
  <c r="U305" i="4" s="1"/>
  <c r="I308" i="15"/>
  <c r="H1840" i="16" s="1"/>
  <c r="Q278" i="5"/>
  <c r="R278" i="5" s="1"/>
  <c r="R27" i="4"/>
  <c r="Q148" i="5"/>
  <c r="R148" i="5" s="1"/>
  <c r="V18" i="5"/>
  <c r="W18" i="5" s="1"/>
  <c r="J18" i="5"/>
  <c r="I18" i="5"/>
  <c r="Q212" i="4"/>
  <c r="R212" i="4" s="1"/>
  <c r="T212" i="4"/>
  <c r="Q14" i="5"/>
  <c r="R14" i="5" s="1"/>
  <c r="N168" i="5"/>
  <c r="O168" i="5" s="1"/>
  <c r="J291" i="5"/>
  <c r="V291" i="5"/>
  <c r="W291" i="5" s="1"/>
  <c r="I291" i="5"/>
  <c r="H87" i="15"/>
  <c r="H513" i="16" s="1"/>
  <c r="H149" i="15"/>
  <c r="H885" i="16" s="1"/>
  <c r="V228" i="5"/>
  <c r="W228" i="5" s="1"/>
  <c r="J228" i="5"/>
  <c r="I228" i="5"/>
  <c r="V191" i="5"/>
  <c r="W191" i="5" s="1"/>
  <c r="J191" i="5"/>
  <c r="I191" i="5"/>
  <c r="I294" i="5"/>
  <c r="K294" i="5" s="1"/>
  <c r="J294" i="5"/>
  <c r="V294" i="5"/>
  <c r="W294" i="5" s="1"/>
  <c r="U209" i="4"/>
  <c r="S209" i="4"/>
  <c r="N127" i="5"/>
  <c r="O127" i="5" s="1"/>
  <c r="J205" i="5"/>
  <c r="I205" i="5"/>
  <c r="V205" i="5"/>
  <c r="W205" i="5" s="1"/>
  <c r="J329" i="5"/>
  <c r="I329" i="5"/>
  <c r="V329" i="5"/>
  <c r="W329" i="5" s="1"/>
  <c r="T31" i="4"/>
  <c r="Q31" i="4"/>
  <c r="R31" i="4" s="1"/>
  <c r="V62" i="5"/>
  <c r="W62" i="5" s="1"/>
  <c r="J62" i="5"/>
  <c r="I62" i="5"/>
  <c r="N152" i="5"/>
  <c r="O152" i="5" s="1"/>
  <c r="K150" i="15"/>
  <c r="H894" i="16" s="1"/>
  <c r="V212" i="5"/>
  <c r="W212" i="5" s="1"/>
  <c r="J212" i="5"/>
  <c r="I212" i="5"/>
  <c r="Q305" i="5"/>
  <c r="R305" i="5" s="1"/>
  <c r="S272" i="4"/>
  <c r="U272" i="4"/>
  <c r="K6" i="15"/>
  <c r="H30" i="16" s="1"/>
  <c r="N228" i="5"/>
  <c r="O228" i="5" s="1"/>
  <c r="T175" i="5"/>
  <c r="U175" i="5" s="1"/>
  <c r="G252" i="15"/>
  <c r="H1502" i="16" s="1"/>
  <c r="N280" i="5"/>
  <c r="O280" i="5" s="1"/>
  <c r="N155" i="5"/>
  <c r="O155" i="5" s="1"/>
  <c r="S119" i="4"/>
  <c r="U119" i="4" s="1"/>
  <c r="H40" i="15"/>
  <c r="H231" i="16" s="1"/>
  <c r="G40" i="15"/>
  <c r="H230" i="16" s="1"/>
  <c r="J116" i="5"/>
  <c r="I116" i="5"/>
  <c r="V116" i="5"/>
  <c r="W116" i="5" s="1"/>
  <c r="N250" i="5"/>
  <c r="O250" i="5" s="1"/>
  <c r="I217" i="5"/>
  <c r="K217" i="5" s="1"/>
  <c r="V217" i="5"/>
  <c r="W217" i="5" s="1"/>
  <c r="J217" i="5"/>
  <c r="S26" i="4"/>
  <c r="U26" i="4" s="1"/>
  <c r="Q238" i="4"/>
  <c r="R238" i="4" s="1"/>
  <c r="T238" i="4"/>
  <c r="G224" i="15"/>
  <c r="H1334" i="16" s="1"/>
  <c r="K273" i="15"/>
  <c r="H1632" i="16" s="1"/>
  <c r="S296" i="4"/>
  <c r="U296" i="4" s="1"/>
  <c r="U160" i="4"/>
  <c r="S160" i="4"/>
  <c r="H22" i="15"/>
  <c r="H123" i="16" s="1"/>
  <c r="G22" i="15"/>
  <c r="H122" i="16" s="1"/>
  <c r="N232" i="5"/>
  <c r="O232" i="5" s="1"/>
  <c r="J315" i="5"/>
  <c r="I315" i="5"/>
  <c r="V315" i="5"/>
  <c r="W315" i="5" s="1"/>
  <c r="S21" i="4"/>
  <c r="U21" i="4" s="1"/>
  <c r="N96" i="5"/>
  <c r="O96" i="5" s="1"/>
  <c r="T297" i="4"/>
  <c r="Q297" i="4"/>
  <c r="R297" i="4" s="1"/>
  <c r="G60" i="15"/>
  <c r="H350" i="16" s="1"/>
  <c r="N122" i="5"/>
  <c r="O122" i="5" s="1"/>
  <c r="K58" i="15"/>
  <c r="H342" i="16" s="1"/>
  <c r="G42" i="15"/>
  <c r="H242" i="16" s="1"/>
  <c r="I43" i="15"/>
  <c r="H250" i="16" s="1"/>
  <c r="T173" i="5"/>
  <c r="U173" i="5" s="1"/>
  <c r="J195" i="15"/>
  <c r="H1163" i="16" s="1"/>
  <c r="I195" i="15"/>
  <c r="H1162" i="16" s="1"/>
  <c r="Q223" i="5"/>
  <c r="R223" i="5" s="1"/>
  <c r="Q233" i="5"/>
  <c r="R233" i="5" s="1"/>
  <c r="G35" i="15"/>
  <c r="H200" i="16" s="1"/>
  <c r="H35" i="15"/>
  <c r="H201" i="16" s="1"/>
  <c r="R313" i="4"/>
  <c r="G21" i="15"/>
  <c r="H116" i="16" s="1"/>
  <c r="J119" i="15"/>
  <c r="H707" i="16" s="1"/>
  <c r="Q198" i="5"/>
  <c r="R198" i="5" s="1"/>
  <c r="J199" i="5"/>
  <c r="I199" i="5"/>
  <c r="V199" i="5"/>
  <c r="W199" i="5" s="1"/>
  <c r="N199" i="5"/>
  <c r="O199" i="5" s="1"/>
  <c r="T313" i="5"/>
  <c r="U313" i="5" s="1"/>
  <c r="S156" i="4"/>
  <c r="U156" i="4" s="1"/>
  <c r="U283" i="4"/>
  <c r="S283" i="4"/>
  <c r="U236" i="4"/>
  <c r="S236" i="4"/>
  <c r="T197" i="5"/>
  <c r="U197" i="5" s="1"/>
  <c r="U251" i="4"/>
  <c r="S251" i="4"/>
  <c r="Q50" i="5"/>
  <c r="R50" i="5" s="1"/>
  <c r="I8" i="15"/>
  <c r="H40" i="16" s="1"/>
  <c r="G295" i="15"/>
  <c r="H1760" i="16" s="1"/>
  <c r="I323" i="5"/>
  <c r="K323" i="5"/>
  <c r="J323" i="5"/>
  <c r="V323" i="5"/>
  <c r="W323" i="5" s="1"/>
  <c r="J97" i="5"/>
  <c r="I97" i="5"/>
  <c r="V97" i="5"/>
  <c r="W97" i="5" s="1"/>
  <c r="N97" i="5"/>
  <c r="O97" i="5" s="1"/>
  <c r="L51" i="15"/>
  <c r="H301" i="16" s="1"/>
  <c r="K51" i="15"/>
  <c r="H300" i="16" s="1"/>
  <c r="J265" i="5"/>
  <c r="K265" i="5" s="1"/>
  <c r="I265" i="5"/>
  <c r="V265" i="5"/>
  <c r="W265" i="5" s="1"/>
  <c r="H251" i="15"/>
  <c r="H1497" i="16" s="1"/>
  <c r="G251" i="15"/>
  <c r="H1496" i="16" s="1"/>
  <c r="K134" i="15"/>
  <c r="H798" i="16" s="1"/>
  <c r="G296" i="15"/>
  <c r="H1766" i="16" s="1"/>
  <c r="J86" i="15"/>
  <c r="H509" i="16" s="1"/>
  <c r="H131" i="15"/>
  <c r="H777" i="16" s="1"/>
  <c r="N278" i="5"/>
  <c r="O278" i="5" s="1"/>
  <c r="S90" i="4"/>
  <c r="U90" i="4" s="1"/>
  <c r="S304" i="4"/>
  <c r="U304" i="4" s="1"/>
  <c r="T226" i="4"/>
  <c r="Q226" i="4"/>
  <c r="R226" i="4" s="1"/>
  <c r="I23" i="15"/>
  <c r="H130" i="16" s="1"/>
  <c r="J160" i="5"/>
  <c r="I160" i="5"/>
  <c r="V160" i="5"/>
  <c r="W160" i="5" s="1"/>
  <c r="J167" i="5"/>
  <c r="V167" i="5"/>
  <c r="W167" i="5" s="1"/>
  <c r="I167" i="5"/>
  <c r="J284" i="5"/>
  <c r="I284" i="5"/>
  <c r="V284" i="5"/>
  <c r="W284" i="5" s="1"/>
  <c r="T87" i="4"/>
  <c r="Q87" i="4"/>
  <c r="R87" i="4" s="1"/>
  <c r="K38" i="5"/>
  <c r="J297" i="5"/>
  <c r="I297" i="5"/>
  <c r="V297" i="5"/>
  <c r="W297" i="5" s="1"/>
  <c r="G302" i="15"/>
  <c r="H1802" i="16" s="1"/>
  <c r="K75" i="15"/>
  <c r="H444" i="16" s="1"/>
  <c r="J176" i="5"/>
  <c r="V176" i="5"/>
  <c r="W176" i="5" s="1"/>
  <c r="I176" i="5"/>
  <c r="S173" i="4"/>
  <c r="U173" i="4" s="1"/>
  <c r="G69" i="15"/>
  <c r="H404" i="16" s="1"/>
  <c r="I208" i="5"/>
  <c r="V208" i="5"/>
  <c r="W208" i="5" s="1"/>
  <c r="J208" i="5"/>
  <c r="T208" i="5"/>
  <c r="U208" i="5" s="1"/>
  <c r="U170" i="4"/>
  <c r="S170" i="4"/>
  <c r="S250" i="4"/>
  <c r="U250" i="4" s="1"/>
  <c r="K41" i="5"/>
  <c r="I252" i="15"/>
  <c r="H1504" i="16" s="1"/>
  <c r="T323" i="5"/>
  <c r="U323" i="5" s="1"/>
  <c r="Q322" i="4"/>
  <c r="R322" i="4" s="1"/>
  <c r="T322" i="4"/>
  <c r="I40" i="15"/>
  <c r="H232" i="16" s="1"/>
  <c r="I110" i="5"/>
  <c r="K110" i="5" s="1"/>
  <c r="V110" i="5"/>
  <c r="W110" i="5" s="1"/>
  <c r="J110" i="5"/>
  <c r="T211" i="5"/>
  <c r="U211" i="5" s="1"/>
  <c r="N328" i="5"/>
  <c r="O328" i="5" s="1"/>
  <c r="J210" i="5"/>
  <c r="I210" i="5"/>
  <c r="V210" i="5"/>
  <c r="W210" i="5" s="1"/>
  <c r="Q176" i="5"/>
  <c r="R176" i="5" s="1"/>
  <c r="K113" i="5"/>
  <c r="T207" i="5"/>
  <c r="U207" i="5" s="1"/>
  <c r="Q53" i="4"/>
  <c r="R53" i="4" s="1"/>
  <c r="T53" i="4"/>
  <c r="Q316" i="4"/>
  <c r="R316" i="4" s="1"/>
  <c r="T316" i="4"/>
  <c r="N238" i="5"/>
  <c r="O238" i="5" s="1"/>
  <c r="N196" i="5"/>
  <c r="O196" i="5" s="1"/>
  <c r="V222" i="5"/>
  <c r="W222" i="5" s="1"/>
  <c r="J222" i="5"/>
  <c r="I222" i="5"/>
  <c r="R189" i="4"/>
  <c r="N184" i="5"/>
  <c r="O184" i="5" s="1"/>
  <c r="T160" i="5"/>
  <c r="U160" i="5" s="1"/>
  <c r="G264" i="15"/>
  <c r="H1574" i="16" s="1"/>
  <c r="I246" i="5"/>
  <c r="J246" i="5"/>
  <c r="V246" i="5"/>
  <c r="W246" i="5" s="1"/>
  <c r="U159" i="4"/>
  <c r="S159" i="4"/>
  <c r="L42" i="15"/>
  <c r="H247" i="16" s="1"/>
  <c r="K42" i="15"/>
  <c r="H246" i="16" s="1"/>
  <c r="L43" i="15"/>
  <c r="H253" i="16" s="1"/>
  <c r="K43" i="15"/>
  <c r="H252" i="16" s="1"/>
  <c r="T217" i="5"/>
  <c r="U217" i="5" s="1"/>
  <c r="L195" i="15"/>
  <c r="H1165" i="16" s="1"/>
  <c r="K195" i="15"/>
  <c r="H1164" i="16" s="1"/>
  <c r="N249" i="5"/>
  <c r="O249" i="5" s="1"/>
  <c r="S138" i="4"/>
  <c r="U138" i="4"/>
  <c r="I35" i="15"/>
  <c r="H202" i="16" s="1"/>
  <c r="I52" i="5"/>
  <c r="J52" i="5"/>
  <c r="V52" i="5"/>
  <c r="W52" i="5" s="1"/>
  <c r="Q201" i="5"/>
  <c r="R201" i="5" s="1"/>
  <c r="G253" i="15"/>
  <c r="H1508" i="16" s="1"/>
  <c r="H253" i="15"/>
  <c r="H1509" i="16" s="1"/>
  <c r="J243" i="5"/>
  <c r="V243" i="5"/>
  <c r="W243" i="5" s="1"/>
  <c r="K243" i="5"/>
  <c r="I243" i="5"/>
  <c r="N46" i="5"/>
  <c r="O46" i="5" s="1"/>
  <c r="G209" i="15"/>
  <c r="H1244" i="16" s="1"/>
  <c r="H209" i="15"/>
  <c r="H1245" i="16" s="1"/>
  <c r="V303" i="5"/>
  <c r="W303" i="5" s="1"/>
  <c r="J303" i="5"/>
  <c r="I303" i="5"/>
  <c r="T67" i="4"/>
  <c r="Q67" i="4"/>
  <c r="R67" i="4" s="1"/>
  <c r="U155" i="4"/>
  <c r="S155" i="4"/>
  <c r="N2" i="5"/>
  <c r="O2" i="5" s="1"/>
  <c r="S207" i="4"/>
  <c r="U207" i="4" s="1"/>
  <c r="U169" i="4"/>
  <c r="S169" i="4"/>
  <c r="S279" i="4"/>
  <c r="U279" i="4" s="1"/>
  <c r="S85" i="4"/>
  <c r="U85" i="4" s="1"/>
  <c r="U239" i="4"/>
  <c r="S239" i="4"/>
  <c r="U157" i="4"/>
  <c r="S157" i="4"/>
  <c r="T18" i="5"/>
  <c r="U18" i="5" s="1"/>
  <c r="U25" i="4"/>
  <c r="S25" i="4"/>
  <c r="T291" i="5"/>
  <c r="U291" i="5" s="1"/>
  <c r="T124" i="5"/>
  <c r="U124" i="5" s="1"/>
  <c r="Q92" i="5"/>
  <c r="R92" i="5" s="1"/>
  <c r="V234" i="5"/>
  <c r="W234" i="5" s="1"/>
  <c r="J234" i="5"/>
  <c r="I234" i="5"/>
  <c r="Q312" i="4"/>
  <c r="R312" i="4" s="1"/>
  <c r="T312" i="4"/>
  <c r="H73" i="15"/>
  <c r="H429" i="16" s="1"/>
  <c r="G73" i="15"/>
  <c r="H428" i="16" s="1"/>
  <c r="J203" i="15"/>
  <c r="H1211" i="16" s="1"/>
  <c r="I203" i="15"/>
  <c r="H1210" i="16" s="1"/>
  <c r="V137" i="5"/>
  <c r="W137" i="5" s="1"/>
  <c r="J137" i="5"/>
  <c r="I137" i="5"/>
  <c r="K137" i="5"/>
  <c r="Q137" i="5"/>
  <c r="R137" i="5" s="1"/>
  <c r="V83" i="5"/>
  <c r="W83" i="5" s="1"/>
  <c r="J83" i="5"/>
  <c r="I83" i="5"/>
  <c r="K83" i="5"/>
  <c r="Q234" i="5"/>
  <c r="R234" i="5" s="1"/>
  <c r="H13" i="15"/>
  <c r="H69" i="16" s="1"/>
  <c r="G13" i="15"/>
  <c r="H68" i="16" s="1"/>
  <c r="V14" i="5"/>
  <c r="W14" i="5" s="1"/>
  <c r="J14" i="5"/>
  <c r="I14" i="5"/>
  <c r="J24" i="5"/>
  <c r="I24" i="5"/>
  <c r="V24" i="5"/>
  <c r="W24" i="5" s="1"/>
  <c r="K24" i="5"/>
  <c r="N153" i="5"/>
  <c r="O153" i="5" s="1"/>
  <c r="K53" i="5"/>
  <c r="T196" i="5"/>
  <c r="U196" i="5" s="1"/>
  <c r="G270" i="15"/>
  <c r="H1610" i="16" s="1"/>
  <c r="Q312" i="5"/>
  <c r="R312" i="5" s="1"/>
  <c r="N120" i="5"/>
  <c r="O120" i="5" s="1"/>
  <c r="J277" i="5"/>
  <c r="I277" i="5"/>
  <c r="V277" i="5"/>
  <c r="W277" i="5" s="1"/>
  <c r="J280" i="5"/>
  <c r="I280" i="5"/>
  <c r="V280" i="5"/>
  <c r="W280" i="5" s="1"/>
  <c r="J299" i="5"/>
  <c r="V299" i="5"/>
  <c r="W299" i="5" s="1"/>
  <c r="I299" i="5"/>
  <c r="S49" i="4"/>
  <c r="U49" i="4" s="1"/>
  <c r="J275" i="5"/>
  <c r="V275" i="5"/>
  <c r="W275" i="5" s="1"/>
  <c r="I275" i="5"/>
  <c r="R33" i="4"/>
  <c r="J302" i="15"/>
  <c r="H1805" i="16" s="1"/>
  <c r="I302" i="15"/>
  <c r="H1804" i="16" s="1"/>
  <c r="R190" i="4"/>
  <c r="H220" i="15"/>
  <c r="H1311" i="16" s="1"/>
  <c r="G220" i="15"/>
  <c r="H1310" i="16" s="1"/>
  <c r="Q271" i="5"/>
  <c r="R271" i="5" s="1"/>
  <c r="Q197" i="4"/>
  <c r="R197" i="4" s="1"/>
  <c r="T197" i="4"/>
  <c r="Q232" i="4"/>
  <c r="R232" i="4" s="1"/>
  <c r="T232" i="4"/>
  <c r="K55" i="5"/>
  <c r="N208" i="5"/>
  <c r="O208" i="5" s="1"/>
  <c r="U164" i="4"/>
  <c r="S164" i="4"/>
  <c r="R182" i="4"/>
  <c r="Q228" i="5"/>
  <c r="R228" i="5" s="1"/>
  <c r="T83" i="5"/>
  <c r="U83" i="5" s="1"/>
  <c r="T335" i="5"/>
  <c r="U335" i="5" s="1"/>
  <c r="T274" i="5"/>
  <c r="U274" i="5" s="1"/>
  <c r="Q94" i="5"/>
  <c r="R94" i="5" s="1"/>
  <c r="K252" i="5"/>
  <c r="J248" i="5"/>
  <c r="I248" i="5"/>
  <c r="K248" i="5"/>
  <c r="V248" i="5"/>
  <c r="W248" i="5" s="1"/>
  <c r="K138" i="15"/>
  <c r="H822" i="16" s="1"/>
  <c r="L138" i="15"/>
  <c r="H823" i="16" s="1"/>
  <c r="Q261" i="5"/>
  <c r="R261" i="5" s="1"/>
  <c r="Q155" i="5"/>
  <c r="R155" i="5" s="1"/>
  <c r="G267" i="15"/>
  <c r="H1592" i="16" s="1"/>
  <c r="T97" i="4"/>
  <c r="Q97" i="4"/>
  <c r="R97" i="4" s="1"/>
  <c r="L11" i="15"/>
  <c r="H61" i="16" s="1"/>
  <c r="K11" i="15"/>
  <c r="H60" i="16" s="1"/>
  <c r="U324" i="4"/>
  <c r="S324" i="4"/>
  <c r="Q159" i="5"/>
  <c r="R159" i="5" s="1"/>
  <c r="N207" i="5"/>
  <c r="O207" i="5" s="1"/>
  <c r="N107" i="5"/>
  <c r="O107" i="5" s="1"/>
  <c r="S102" i="4"/>
  <c r="U102" i="4" s="1"/>
  <c r="T199" i="4"/>
  <c r="Q199" i="4"/>
  <c r="R199" i="4" s="1"/>
  <c r="U266" i="4"/>
  <c r="S266" i="4"/>
  <c r="J151" i="5"/>
  <c r="I151" i="5"/>
  <c r="V151" i="5"/>
  <c r="W151" i="5" s="1"/>
  <c r="T151" i="5"/>
  <c r="U151" i="5" s="1"/>
  <c r="Q193" i="5"/>
  <c r="R193" i="5" s="1"/>
  <c r="Q177" i="5"/>
  <c r="R177" i="5" s="1"/>
  <c r="N45" i="5"/>
  <c r="O45" i="5" s="1"/>
  <c r="N321" i="5"/>
  <c r="O321" i="5" s="1"/>
  <c r="S213" i="4"/>
  <c r="U213" i="4" s="1"/>
  <c r="J104" i="5"/>
  <c r="V104" i="5"/>
  <c r="W104" i="5" s="1"/>
  <c r="I104" i="5"/>
  <c r="I60" i="15"/>
  <c r="H352" i="16" s="1"/>
  <c r="T189" i="5"/>
  <c r="U189" i="5" s="1"/>
  <c r="J141" i="5"/>
  <c r="V141" i="5"/>
  <c r="W141" i="5" s="1"/>
  <c r="I141" i="5"/>
  <c r="G319" i="15"/>
  <c r="H1904" i="16" s="1"/>
  <c r="I264" i="15"/>
  <c r="H1576" i="16" s="1"/>
  <c r="T331" i="5"/>
  <c r="U331" i="5" s="1"/>
  <c r="S222" i="4"/>
  <c r="U222" i="4"/>
  <c r="S248" i="4"/>
  <c r="U248" i="4" s="1"/>
  <c r="T330" i="4"/>
  <c r="Q330" i="4"/>
  <c r="R330" i="4" s="1"/>
  <c r="S317" i="4"/>
  <c r="U317" i="4" s="1"/>
  <c r="N78" i="5"/>
  <c r="O78" i="5" s="1"/>
  <c r="N145" i="5"/>
  <c r="O145" i="5" s="1"/>
  <c r="K310" i="5"/>
  <c r="V230" i="5"/>
  <c r="W230" i="5" s="1"/>
  <c r="J230" i="5"/>
  <c r="I230" i="5"/>
  <c r="N48" i="5"/>
  <c r="O48" i="5" s="1"/>
  <c r="S205" i="4"/>
  <c r="U205" i="4" s="1"/>
  <c r="G7" i="15"/>
  <c r="H32" i="16" s="1"/>
  <c r="H7" i="15"/>
  <c r="H33" i="16" s="1"/>
  <c r="J29" i="5"/>
  <c r="I29" i="5"/>
  <c r="V29" i="5"/>
  <c r="W29" i="5" s="1"/>
  <c r="K29" i="5"/>
  <c r="U100" i="4"/>
  <c r="S100" i="4"/>
  <c r="J209" i="15"/>
  <c r="H1247" i="16" s="1"/>
  <c r="I209" i="15"/>
  <c r="H1246" i="16" s="1"/>
  <c r="S69" i="4"/>
  <c r="U69" i="4" s="1"/>
  <c r="Q294" i="5"/>
  <c r="R294" i="5" s="1"/>
  <c r="N4" i="5"/>
  <c r="O4" i="5" s="1"/>
  <c r="S261" i="4"/>
  <c r="U261" i="4"/>
  <c r="T278" i="5"/>
  <c r="U278" i="5" s="1"/>
  <c r="N36" i="5"/>
  <c r="O36" i="5" s="1"/>
  <c r="T90" i="5"/>
  <c r="U90" i="5" s="1"/>
  <c r="S162" i="4"/>
  <c r="U162" i="4"/>
  <c r="T180" i="5"/>
  <c r="U180" i="5" s="1"/>
  <c r="T307" i="5"/>
  <c r="U307" i="5" s="1"/>
  <c r="V121" i="5"/>
  <c r="W121" i="5" s="1"/>
  <c r="J121" i="5"/>
  <c r="I121" i="5"/>
  <c r="K121" i="5" s="1"/>
  <c r="G308" i="15"/>
  <c r="H1838" i="16" s="1"/>
  <c r="L102" i="15"/>
  <c r="H607" i="16" s="1"/>
  <c r="K102" i="15"/>
  <c r="H606" i="16" s="1"/>
  <c r="U114" i="4"/>
  <c r="S114" i="4"/>
  <c r="S254" i="4"/>
  <c r="U254" i="4" s="1"/>
  <c r="T31" i="5"/>
  <c r="U31" i="5" s="1"/>
  <c r="K86" i="15"/>
  <c r="H510" i="16" s="1"/>
  <c r="J293" i="5"/>
  <c r="I293" i="5"/>
  <c r="V293" i="5"/>
  <c r="W293" i="5" s="1"/>
  <c r="Q323" i="5"/>
  <c r="R323" i="5" s="1"/>
  <c r="J33" i="5"/>
  <c r="K33" i="5" s="1"/>
  <c r="V33" i="5"/>
  <c r="W33" i="5" s="1"/>
  <c r="I33" i="5"/>
  <c r="U20" i="4"/>
  <c r="S20" i="4"/>
  <c r="J38" i="15"/>
  <c r="H221" i="16" s="1"/>
  <c r="I38" i="15"/>
  <c r="H220" i="16" s="1"/>
  <c r="J226" i="5"/>
  <c r="K226" i="5" s="1"/>
  <c r="V226" i="5"/>
  <c r="W226" i="5" s="1"/>
  <c r="I226" i="5"/>
  <c r="K302" i="5"/>
  <c r="J220" i="15"/>
  <c r="H1313" i="16" s="1"/>
  <c r="I220" i="15"/>
  <c r="H1312" i="16" s="1"/>
  <c r="I262" i="5"/>
  <c r="V262" i="5"/>
  <c r="W262" i="5" s="1"/>
  <c r="J262" i="5"/>
  <c r="S311" i="4"/>
  <c r="U311" i="4" s="1"/>
  <c r="S263" i="4"/>
  <c r="U263" i="4" s="1"/>
  <c r="R289" i="4"/>
  <c r="Q292" i="5"/>
  <c r="R292" i="5" s="1"/>
  <c r="K112" i="15"/>
  <c r="H666" i="16" s="1"/>
  <c r="L112" i="15"/>
  <c r="H667" i="16" s="1"/>
  <c r="N226" i="5"/>
  <c r="O226" i="5" s="1"/>
  <c r="N261" i="5"/>
  <c r="O261" i="5" s="1"/>
  <c r="Q266" i="5"/>
  <c r="R266" i="5" s="1"/>
  <c r="H272" i="15"/>
  <c r="H1623" i="16" s="1"/>
  <c r="Q335" i="5"/>
  <c r="R335" i="5" s="1"/>
  <c r="J58" i="15"/>
  <c r="H341" i="16" s="1"/>
  <c r="S65" i="4"/>
  <c r="U65" i="4" s="1"/>
  <c r="S74" i="4"/>
  <c r="U74" i="4" s="1"/>
  <c r="G41" i="15"/>
  <c r="H236" i="16" s="1"/>
  <c r="I12" i="15"/>
  <c r="H64" i="16" s="1"/>
  <c r="L87" i="15"/>
  <c r="H517" i="16" s="1"/>
  <c r="L117" i="15"/>
  <c r="H697" i="16" s="1"/>
  <c r="Q250" i="5"/>
  <c r="R250" i="5" s="1"/>
  <c r="T233" i="5"/>
  <c r="U233" i="5" s="1"/>
  <c r="S93" i="4"/>
  <c r="U93" i="4" s="1"/>
  <c r="J316" i="15"/>
  <c r="H1889" i="16" s="1"/>
  <c r="N50" i="5"/>
  <c r="O50" i="5" s="1"/>
  <c r="T176" i="5"/>
  <c r="U176" i="5" s="1"/>
  <c r="T152" i="5"/>
  <c r="U152" i="5" s="1"/>
  <c r="V80" i="5"/>
  <c r="W80" i="5" s="1"/>
  <c r="J80" i="5"/>
  <c r="I80" i="5"/>
  <c r="I267" i="15"/>
  <c r="H1594" i="16" s="1"/>
  <c r="N171" i="5"/>
  <c r="O171" i="5" s="1"/>
  <c r="G39" i="15"/>
  <c r="H224" i="16" s="1"/>
  <c r="R130" i="4"/>
  <c r="N47" i="5"/>
  <c r="O47" i="5" s="1"/>
  <c r="K166" i="15"/>
  <c r="H990" i="16" s="1"/>
  <c r="L166" i="15"/>
  <c r="H991" i="16" s="1"/>
  <c r="T284" i="5"/>
  <c r="U284" i="5" s="1"/>
  <c r="I172" i="5"/>
  <c r="J172" i="5"/>
  <c r="V172" i="5"/>
  <c r="W172" i="5" s="1"/>
  <c r="T19" i="5"/>
  <c r="U19" i="5" s="1"/>
  <c r="T174" i="5"/>
  <c r="U174" i="5" s="1"/>
  <c r="H309" i="15"/>
  <c r="H1845" i="16" s="1"/>
  <c r="J306" i="5"/>
  <c r="I306" i="5"/>
  <c r="V306" i="5"/>
  <c r="W306" i="5" s="1"/>
  <c r="Q329" i="5"/>
  <c r="R329" i="5" s="1"/>
  <c r="V15" i="5"/>
  <c r="W15" i="5" s="1"/>
  <c r="J15" i="5"/>
  <c r="I15" i="5"/>
  <c r="K15" i="5" s="1"/>
  <c r="Q15" i="5"/>
  <c r="R15" i="5" s="1"/>
  <c r="N104" i="5"/>
  <c r="O104" i="5" s="1"/>
  <c r="J112" i="15"/>
  <c r="H665" i="16" s="1"/>
  <c r="J319" i="15"/>
  <c r="H1907" i="16" s="1"/>
  <c r="I319" i="15"/>
  <c r="H1906" i="16" s="1"/>
  <c r="Q232" i="5"/>
  <c r="R232" i="5" s="1"/>
  <c r="K264" i="5"/>
  <c r="N92" i="5"/>
  <c r="O92" i="5" s="1"/>
  <c r="T16" i="5"/>
  <c r="U16" i="5" s="1"/>
  <c r="Q116" i="5"/>
  <c r="R116" i="5" s="1"/>
  <c r="J186" i="15"/>
  <c r="H1109" i="16" s="1"/>
  <c r="I186" i="15"/>
  <c r="H1108" i="16" s="1"/>
  <c r="J236" i="5"/>
  <c r="I236" i="5"/>
  <c r="K236" i="5"/>
  <c r="V236" i="5"/>
  <c r="W236" i="5" s="1"/>
  <c r="N236" i="5"/>
  <c r="O236" i="5" s="1"/>
  <c r="N233" i="5"/>
  <c r="O233" i="5" s="1"/>
  <c r="N334" i="5"/>
  <c r="O334" i="5" s="1"/>
  <c r="U198" i="4"/>
  <c r="S198" i="4"/>
  <c r="K7" i="5"/>
  <c r="N88" i="5"/>
  <c r="O88" i="5" s="1"/>
  <c r="J118" i="15"/>
  <c r="H701" i="16" s="1"/>
  <c r="G318" i="15"/>
  <c r="H1898" i="16" s="1"/>
  <c r="U181" i="4"/>
  <c r="S181" i="4"/>
  <c r="K209" i="5"/>
  <c r="Q121" i="5"/>
  <c r="R121" i="5" s="1"/>
  <c r="S175" i="4"/>
  <c r="U175" i="4" s="1"/>
  <c r="T72" i="5"/>
  <c r="U72" i="5" s="1"/>
  <c r="U216" i="4"/>
  <c r="S216" i="4"/>
  <c r="U152" i="4"/>
  <c r="S152" i="4"/>
  <c r="U61" i="4"/>
  <c r="S61" i="4"/>
  <c r="S336" i="4"/>
  <c r="U336" i="4"/>
  <c r="Q46" i="5"/>
  <c r="R46" i="5" s="1"/>
  <c r="S7" i="4"/>
  <c r="U7" i="4" s="1"/>
  <c r="Q245" i="5"/>
  <c r="R245" i="5" s="1"/>
  <c r="S84" i="4"/>
  <c r="U84" i="4" s="1"/>
  <c r="T30" i="5"/>
  <c r="U30" i="5" s="1"/>
  <c r="T271" i="5"/>
  <c r="U271" i="5" s="1"/>
  <c r="N336" i="5"/>
  <c r="O336" i="5" s="1"/>
  <c r="K106" i="15" l="1"/>
  <c r="H630" i="16" s="1"/>
  <c r="K94" i="15"/>
  <c r="H558" i="16" s="1"/>
  <c r="K110" i="15"/>
  <c r="H654" i="16" s="1"/>
  <c r="K159" i="15"/>
  <c r="H948" i="16" s="1"/>
  <c r="K217" i="15"/>
  <c r="H1296" i="16" s="1"/>
  <c r="P5" i="1"/>
  <c r="K108" i="15"/>
  <c r="H642" i="16" s="1"/>
  <c r="L108" i="15"/>
  <c r="H643" i="16" s="1"/>
  <c r="K33" i="15"/>
  <c r="H192" i="16" s="1"/>
  <c r="L265" i="15"/>
  <c r="H1585" i="16" s="1"/>
  <c r="K265" i="15"/>
  <c r="H1584" i="16" s="1"/>
  <c r="K49" i="15"/>
  <c r="H288" i="16" s="1"/>
  <c r="K84" i="15"/>
  <c r="H498" i="16" s="1"/>
  <c r="L84" i="15"/>
  <c r="H499" i="16" s="1"/>
  <c r="L15" i="15"/>
  <c r="H85" i="16" s="1"/>
  <c r="K15" i="15"/>
  <c r="H84" i="16" s="1"/>
  <c r="L127" i="15"/>
  <c r="H757" i="16" s="1"/>
  <c r="K127" i="15"/>
  <c r="H756" i="16" s="1"/>
  <c r="K79" i="15"/>
  <c r="H468" i="16" s="1"/>
  <c r="K294" i="15"/>
  <c r="H1758" i="16" s="1"/>
  <c r="K229" i="15"/>
  <c r="H1368" i="16" s="1"/>
  <c r="P4" i="1"/>
  <c r="K173" i="15"/>
  <c r="H1032" i="16" s="1"/>
  <c r="K68" i="15"/>
  <c r="H402" i="16" s="1"/>
  <c r="L68" i="15"/>
  <c r="H403" i="16" s="1"/>
  <c r="K226" i="15"/>
  <c r="H1350" i="16" s="1"/>
  <c r="L226" i="15"/>
  <c r="H1351" i="16" s="1"/>
  <c r="K158" i="15"/>
  <c r="H942" i="16" s="1"/>
  <c r="K121" i="15"/>
  <c r="H720" i="16" s="1"/>
  <c r="L50" i="15"/>
  <c r="H295" i="16" s="1"/>
  <c r="K50" i="15"/>
  <c r="H294" i="16" s="1"/>
  <c r="H151" i="15"/>
  <c r="H897" i="16" s="1"/>
  <c r="G151" i="15"/>
  <c r="H896" i="16" s="1"/>
  <c r="I14" i="15"/>
  <c r="H76" i="16" s="1"/>
  <c r="G303" i="15"/>
  <c r="H1808" i="16" s="1"/>
  <c r="I52" i="15"/>
  <c r="H304" i="16" s="1"/>
  <c r="G297" i="15"/>
  <c r="H1772" i="16" s="1"/>
  <c r="J160" i="15"/>
  <c r="H953" i="16" s="1"/>
  <c r="I160" i="15"/>
  <c r="H952" i="16" s="1"/>
  <c r="K323" i="15"/>
  <c r="H1932" i="16" s="1"/>
  <c r="L187" i="15"/>
  <c r="H1117" i="16" s="1"/>
  <c r="K187" i="15"/>
  <c r="H1116" i="16" s="1"/>
  <c r="H88" i="15"/>
  <c r="H519" i="16" s="1"/>
  <c r="G88" i="15"/>
  <c r="H518" i="16" s="1"/>
  <c r="S116" i="4"/>
  <c r="U116" i="4" s="1"/>
  <c r="G123" i="15"/>
  <c r="H728" i="16" s="1"/>
  <c r="H123" i="15"/>
  <c r="H729" i="16" s="1"/>
  <c r="I26" i="15"/>
  <c r="H148" i="16" s="1"/>
  <c r="K204" i="15"/>
  <c r="H1218" i="16" s="1"/>
  <c r="L63" i="15"/>
  <c r="H373" i="16" s="1"/>
  <c r="K63" i="15"/>
  <c r="H372" i="16" s="1"/>
  <c r="G197" i="15"/>
  <c r="H1172" i="16" s="1"/>
  <c r="H197" i="15"/>
  <c r="H1173" i="16" s="1"/>
  <c r="H72" i="15"/>
  <c r="H423" i="16" s="1"/>
  <c r="G72" i="15"/>
  <c r="H422" i="16" s="1"/>
  <c r="H218" i="15"/>
  <c r="H1299" i="16" s="1"/>
  <c r="G218" i="15"/>
  <c r="H1298" i="16" s="1"/>
  <c r="K250" i="15"/>
  <c r="H1494" i="16" s="1"/>
  <c r="L250" i="15"/>
  <c r="H1495" i="16" s="1"/>
  <c r="G48" i="15"/>
  <c r="H278" i="16" s="1"/>
  <c r="G111" i="15"/>
  <c r="H656" i="16" s="1"/>
  <c r="H111" i="15"/>
  <c r="H657" i="16" s="1"/>
  <c r="G175" i="15"/>
  <c r="H1040" i="16" s="1"/>
  <c r="S8" i="4"/>
  <c r="U8" i="4" s="1"/>
  <c r="G140" i="15"/>
  <c r="H830" i="16" s="1"/>
  <c r="I232" i="15"/>
  <c r="H1384" i="16" s="1"/>
  <c r="J125" i="15"/>
  <c r="H743" i="16" s="1"/>
  <c r="I125" i="15"/>
  <c r="H742" i="16" s="1"/>
  <c r="S54" i="4"/>
  <c r="U54" i="4"/>
  <c r="K107" i="15"/>
  <c r="H636" i="16" s="1"/>
  <c r="I136" i="15"/>
  <c r="H808" i="16" s="1"/>
  <c r="K292" i="15"/>
  <c r="H1746" i="16" s="1"/>
  <c r="J239" i="15"/>
  <c r="H1427" i="16" s="1"/>
  <c r="I239" i="15"/>
  <c r="H1426" i="16" s="1"/>
  <c r="G105" i="15"/>
  <c r="H620" i="16" s="1"/>
  <c r="J274" i="15"/>
  <c r="H1637" i="16" s="1"/>
  <c r="I274" i="15"/>
  <c r="H1636" i="16" s="1"/>
  <c r="H91" i="15"/>
  <c r="H537" i="16" s="1"/>
  <c r="K96" i="15"/>
  <c r="H570" i="16" s="1"/>
  <c r="L96" i="15"/>
  <c r="H571" i="16" s="1"/>
  <c r="J183" i="15"/>
  <c r="H1091" i="16" s="1"/>
  <c r="I183" i="15"/>
  <c r="H1090" i="16" s="1"/>
  <c r="L231" i="15"/>
  <c r="H1381" i="16" s="1"/>
  <c r="K231" i="15"/>
  <c r="H1380" i="16" s="1"/>
  <c r="K271" i="15"/>
  <c r="H1620" i="16" s="1"/>
  <c r="S190" i="4"/>
  <c r="U190" i="4" s="1"/>
  <c r="I141" i="15"/>
  <c r="H838" i="16" s="1"/>
  <c r="H318" i="15"/>
  <c r="H1899" i="16" s="1"/>
  <c r="L86" i="15"/>
  <c r="H511" i="16" s="1"/>
  <c r="I151" i="15"/>
  <c r="H898" i="16" s="1"/>
  <c r="S97" i="4"/>
  <c r="U97" i="4" s="1"/>
  <c r="G277" i="15"/>
  <c r="H1652" i="16" s="1"/>
  <c r="J303" i="15"/>
  <c r="H1811" i="16" s="1"/>
  <c r="I303" i="15"/>
  <c r="H1810" i="16" s="1"/>
  <c r="G52" i="15"/>
  <c r="H302" i="16" s="1"/>
  <c r="J246" i="15"/>
  <c r="H1469" i="16" s="1"/>
  <c r="I246" i="15"/>
  <c r="H1468" i="16" s="1"/>
  <c r="U53" i="4"/>
  <c r="S53" i="4"/>
  <c r="J40" i="15"/>
  <c r="H233" i="16" s="1"/>
  <c r="H208" i="15"/>
  <c r="H1239" i="16" s="1"/>
  <c r="G208" i="15"/>
  <c r="H1238" i="16" s="1"/>
  <c r="K297" i="5"/>
  <c r="K160" i="5"/>
  <c r="G323" i="15"/>
  <c r="H1928" i="16" s="1"/>
  <c r="G315" i="15"/>
  <c r="H1880" i="16" s="1"/>
  <c r="G291" i="15"/>
  <c r="H1736" i="16" s="1"/>
  <c r="J308" i="15"/>
  <c r="H1841" i="16" s="1"/>
  <c r="J157" i="15"/>
  <c r="H935" i="16" s="1"/>
  <c r="I157" i="15"/>
  <c r="H934" i="16" s="1"/>
  <c r="J88" i="15"/>
  <c r="H521" i="16" s="1"/>
  <c r="I88" i="15"/>
  <c r="H520" i="16" s="1"/>
  <c r="L169" i="15"/>
  <c r="H1009" i="16" s="1"/>
  <c r="J334" i="15"/>
  <c r="H1997" i="16" s="1"/>
  <c r="I334" i="15"/>
  <c r="H1996" i="16" s="1"/>
  <c r="J123" i="15"/>
  <c r="H731" i="16" s="1"/>
  <c r="I123" i="15"/>
  <c r="H730" i="16" s="1"/>
  <c r="I307" i="15"/>
  <c r="H1834" i="16" s="1"/>
  <c r="L118" i="15"/>
  <c r="H703" i="16" s="1"/>
  <c r="K162" i="15"/>
  <c r="H966" i="16" s="1"/>
  <c r="I197" i="15"/>
  <c r="H1174" i="16" s="1"/>
  <c r="J72" i="15"/>
  <c r="H425" i="16" s="1"/>
  <c r="I72" i="15"/>
  <c r="H424" i="16" s="1"/>
  <c r="J218" i="15"/>
  <c r="H1301" i="16" s="1"/>
  <c r="I218" i="15"/>
  <c r="H1300" i="16" s="1"/>
  <c r="I48" i="15"/>
  <c r="H280" i="16" s="1"/>
  <c r="L44" i="15"/>
  <c r="H259" i="16" s="1"/>
  <c r="H214" i="15"/>
  <c r="H1275" i="16" s="1"/>
  <c r="G214" i="15"/>
  <c r="H1274" i="16" s="1"/>
  <c r="I175" i="15"/>
  <c r="H1042" i="16" s="1"/>
  <c r="S112" i="4"/>
  <c r="U112" i="4" s="1"/>
  <c r="I95" i="15"/>
  <c r="H562" i="16" s="1"/>
  <c r="L119" i="15"/>
  <c r="H709" i="16" s="1"/>
  <c r="L179" i="15"/>
  <c r="H1069" i="16" s="1"/>
  <c r="K179" i="15"/>
  <c r="H1068" i="16" s="1"/>
  <c r="H54" i="15"/>
  <c r="H315" i="16" s="1"/>
  <c r="H161" i="15"/>
  <c r="H957" i="16" s="1"/>
  <c r="K136" i="5"/>
  <c r="J296" i="15"/>
  <c r="H1769" i="16" s="1"/>
  <c r="K239" i="5"/>
  <c r="H283" i="15"/>
  <c r="H1689" i="16" s="1"/>
  <c r="G283" i="15"/>
  <c r="H1688" i="16" s="1"/>
  <c r="G28" i="15"/>
  <c r="H158" i="16" s="1"/>
  <c r="K274" i="15"/>
  <c r="H1638" i="16" s="1"/>
  <c r="L274" i="15"/>
  <c r="H1639" i="16" s="1"/>
  <c r="G17" i="15"/>
  <c r="H92" i="16" s="1"/>
  <c r="K25" i="15"/>
  <c r="H144" i="16" s="1"/>
  <c r="L183" i="15"/>
  <c r="H1093" i="16" s="1"/>
  <c r="K183" i="15"/>
  <c r="H1092" i="16" s="1"/>
  <c r="K31" i="15"/>
  <c r="H180" i="16" s="1"/>
  <c r="H313" i="15"/>
  <c r="H1869" i="16" s="1"/>
  <c r="G313" i="15"/>
  <c r="H1868" i="16" s="1"/>
  <c r="L337" i="15"/>
  <c r="H2017" i="16" s="1"/>
  <c r="K337" i="15"/>
  <c r="H2016" i="16" s="1"/>
  <c r="K78" i="15"/>
  <c r="H462" i="16" s="1"/>
  <c r="S64" i="4"/>
  <c r="U64" i="4"/>
  <c r="S249" i="4"/>
  <c r="U249" i="4" s="1"/>
  <c r="S289" i="4"/>
  <c r="U289" i="4"/>
  <c r="U108" i="4"/>
  <c r="S108" i="4"/>
  <c r="G275" i="15"/>
  <c r="H1640" i="16" s="1"/>
  <c r="K14" i="5"/>
  <c r="G246" i="15"/>
  <c r="H1466" i="16" s="1"/>
  <c r="U322" i="4"/>
  <c r="S322" i="4"/>
  <c r="J297" i="15"/>
  <c r="H1775" i="16" s="1"/>
  <c r="I297" i="15"/>
  <c r="H1774" i="16" s="1"/>
  <c r="J315" i="15"/>
  <c r="H1883" i="16" s="1"/>
  <c r="I315" i="15"/>
  <c r="H1882" i="16" s="1"/>
  <c r="G62" i="15"/>
  <c r="H362" i="16" s="1"/>
  <c r="U136" i="4"/>
  <c r="S136" i="4"/>
  <c r="H219" i="15"/>
  <c r="H1305" i="16" s="1"/>
  <c r="G219" i="15"/>
  <c r="H1304" i="16" s="1"/>
  <c r="K88" i="15"/>
  <c r="H522" i="16" s="1"/>
  <c r="L88" i="15"/>
  <c r="H523" i="16" s="1"/>
  <c r="K334" i="15"/>
  <c r="H1998" i="16" s="1"/>
  <c r="L123" i="15"/>
  <c r="H733" i="16" s="1"/>
  <c r="K123" i="15"/>
  <c r="H732" i="16" s="1"/>
  <c r="H26" i="15"/>
  <c r="H147" i="16" s="1"/>
  <c r="G26" i="15"/>
  <c r="H146" i="16" s="1"/>
  <c r="L336" i="15"/>
  <c r="H2011" i="16" s="1"/>
  <c r="K336" i="15"/>
  <c r="H2010" i="16" s="1"/>
  <c r="K307" i="15"/>
  <c r="H1836" i="16" s="1"/>
  <c r="H30" i="15"/>
  <c r="H171" i="16" s="1"/>
  <c r="G30" i="15"/>
  <c r="H170" i="16" s="1"/>
  <c r="H49" i="15"/>
  <c r="H285" i="16" s="1"/>
  <c r="G49" i="15"/>
  <c r="H284" i="16" s="1"/>
  <c r="K197" i="15"/>
  <c r="H1176" i="16" s="1"/>
  <c r="K218" i="15"/>
  <c r="H1302" i="16" s="1"/>
  <c r="L218" i="15"/>
  <c r="H1303" i="16" s="1"/>
  <c r="K48" i="15"/>
  <c r="H282" i="16" s="1"/>
  <c r="H90" i="15"/>
  <c r="H531" i="16" s="1"/>
  <c r="G90" i="15"/>
  <c r="H530" i="16" s="1"/>
  <c r="J214" i="15"/>
  <c r="H1277" i="16" s="1"/>
  <c r="I214" i="15"/>
  <c r="H1276" i="16" s="1"/>
  <c r="I233" i="15"/>
  <c r="H1390" i="16" s="1"/>
  <c r="H158" i="15"/>
  <c r="H939" i="16" s="1"/>
  <c r="G158" i="15"/>
  <c r="H938" i="16" s="1"/>
  <c r="H215" i="15"/>
  <c r="H1281" i="16" s="1"/>
  <c r="G215" i="15"/>
  <c r="H1280" i="16" s="1"/>
  <c r="G164" i="15"/>
  <c r="H974" i="16" s="1"/>
  <c r="I122" i="15"/>
  <c r="H724" i="16" s="1"/>
  <c r="H320" i="15"/>
  <c r="H1911" i="16" s="1"/>
  <c r="G320" i="15"/>
  <c r="H1910" i="16" s="1"/>
  <c r="H45" i="15"/>
  <c r="H261" i="16" s="1"/>
  <c r="G45" i="15"/>
  <c r="H260" i="16" s="1"/>
  <c r="L249" i="15"/>
  <c r="H1489" i="16" s="1"/>
  <c r="K249" i="15"/>
  <c r="H1488" i="16" s="1"/>
  <c r="I283" i="15"/>
  <c r="H1690" i="16" s="1"/>
  <c r="J28" i="15"/>
  <c r="H161" i="16" s="1"/>
  <c r="I28" i="15"/>
  <c r="H160" i="16" s="1"/>
  <c r="I17" i="15"/>
  <c r="H94" i="16" s="1"/>
  <c r="J7" i="15"/>
  <c r="H35" i="16" s="1"/>
  <c r="H32" i="15"/>
  <c r="H183" i="16" s="1"/>
  <c r="G32" i="15"/>
  <c r="H182" i="16" s="1"/>
  <c r="H321" i="15"/>
  <c r="H1917" i="16" s="1"/>
  <c r="G321" i="15"/>
  <c r="H1916" i="16" s="1"/>
  <c r="J55" i="15"/>
  <c r="H323" i="16" s="1"/>
  <c r="J313" i="15"/>
  <c r="H1871" i="16" s="1"/>
  <c r="I313" i="15"/>
  <c r="H1870" i="16" s="1"/>
  <c r="H310" i="15"/>
  <c r="H1851" i="16" s="1"/>
  <c r="H25" i="15"/>
  <c r="H141" i="16" s="1"/>
  <c r="H311" i="15"/>
  <c r="H1857" i="16" s="1"/>
  <c r="J269" i="15"/>
  <c r="H1607" i="16" s="1"/>
  <c r="J53" i="15"/>
  <c r="H311" i="16" s="1"/>
  <c r="U314" i="4"/>
  <c r="S314" i="4"/>
  <c r="L216" i="15"/>
  <c r="H1291" i="16" s="1"/>
  <c r="S318" i="4"/>
  <c r="U318" i="4"/>
  <c r="S310" i="4"/>
  <c r="U310" i="4"/>
  <c r="J213" i="15"/>
  <c r="H1271" i="16" s="1"/>
  <c r="I213" i="15"/>
  <c r="H1270" i="16" s="1"/>
  <c r="J226" i="15"/>
  <c r="H1349" i="16" s="1"/>
  <c r="I226" i="15"/>
  <c r="H1348" i="16" s="1"/>
  <c r="H29" i="15"/>
  <c r="H165" i="16" s="1"/>
  <c r="G29" i="15"/>
  <c r="H164" i="16" s="1"/>
  <c r="K151" i="5"/>
  <c r="I277" i="15"/>
  <c r="H1654" i="16" s="1"/>
  <c r="L264" i="15"/>
  <c r="H1579" i="16" s="1"/>
  <c r="K264" i="15"/>
  <c r="H1578" i="16" s="1"/>
  <c r="J267" i="15"/>
  <c r="H1595" i="16" s="1"/>
  <c r="J12" i="15"/>
  <c r="H65" i="16" s="1"/>
  <c r="J29" i="15"/>
  <c r="H167" i="16" s="1"/>
  <c r="I29" i="15"/>
  <c r="H166" i="16" s="1"/>
  <c r="U330" i="4"/>
  <c r="S330" i="4"/>
  <c r="J60" i="15"/>
  <c r="H353" i="16" s="1"/>
  <c r="H267" i="15"/>
  <c r="H1593" i="16" s="1"/>
  <c r="K277" i="5"/>
  <c r="S312" i="4"/>
  <c r="U312" i="4" s="1"/>
  <c r="K303" i="5"/>
  <c r="J35" i="15"/>
  <c r="H203" i="16" s="1"/>
  <c r="K246" i="5"/>
  <c r="H69" i="15"/>
  <c r="H405" i="16" s="1"/>
  <c r="K38" i="15"/>
  <c r="H222" i="16" s="1"/>
  <c r="J23" i="15"/>
  <c r="H131" i="16" s="1"/>
  <c r="H295" i="15"/>
  <c r="H1761" i="16" s="1"/>
  <c r="G199" i="15"/>
  <c r="H1184" i="16" s="1"/>
  <c r="J43" i="15"/>
  <c r="H251" i="16" s="1"/>
  <c r="K315" i="5"/>
  <c r="J217" i="15"/>
  <c r="H1295" i="16" s="1"/>
  <c r="I217" i="15"/>
  <c r="H1294" i="16" s="1"/>
  <c r="H252" i="15"/>
  <c r="H1503" i="16" s="1"/>
  <c r="I62" i="15"/>
  <c r="H364" i="16" s="1"/>
  <c r="I291" i="15"/>
  <c r="H1738" i="16" s="1"/>
  <c r="J291" i="15"/>
  <c r="H1739" i="16" s="1"/>
  <c r="J253" i="15"/>
  <c r="H1511" i="16" s="1"/>
  <c r="G287" i="15"/>
  <c r="H1712" i="16" s="1"/>
  <c r="I219" i="15"/>
  <c r="H1306" i="16" s="1"/>
  <c r="G304" i="15"/>
  <c r="H1814" i="16" s="1"/>
  <c r="H259" i="15"/>
  <c r="H1545" i="16" s="1"/>
  <c r="G259" i="15"/>
  <c r="H1544" i="16" s="1"/>
  <c r="H144" i="15"/>
  <c r="H855" i="16" s="1"/>
  <c r="G144" i="15"/>
  <c r="H854" i="16" s="1"/>
  <c r="K26" i="5"/>
  <c r="G336" i="15"/>
  <c r="H2006" i="16" s="1"/>
  <c r="G307" i="15"/>
  <c r="H1832" i="16" s="1"/>
  <c r="I30" i="15"/>
  <c r="H172" i="16" s="1"/>
  <c r="I49" i="15"/>
  <c r="H286" i="16" s="1"/>
  <c r="H37" i="15"/>
  <c r="H213" i="16" s="1"/>
  <c r="K214" i="5"/>
  <c r="K233" i="5"/>
  <c r="G333" i="15"/>
  <c r="H1988" i="16" s="1"/>
  <c r="G95" i="15"/>
  <c r="H560" i="16" s="1"/>
  <c r="J158" i="15"/>
  <c r="H941" i="16" s="1"/>
  <c r="I158" i="15"/>
  <c r="H940" i="16" s="1"/>
  <c r="I215" i="15"/>
  <c r="H1282" i="16" s="1"/>
  <c r="J164" i="15"/>
  <c r="H977" i="16" s="1"/>
  <c r="I164" i="15"/>
  <c r="H976" i="16" s="1"/>
  <c r="G192" i="15"/>
  <c r="H1142" i="16" s="1"/>
  <c r="S307" i="4"/>
  <c r="U307" i="4"/>
  <c r="K67" i="15"/>
  <c r="H396" i="16" s="1"/>
  <c r="G122" i="15"/>
  <c r="H722" i="16" s="1"/>
  <c r="J237" i="15"/>
  <c r="H1415" i="16" s="1"/>
  <c r="I320" i="15"/>
  <c r="H1912" i="16" s="1"/>
  <c r="K283" i="5"/>
  <c r="K28" i="5"/>
  <c r="H203" i="15"/>
  <c r="H1209" i="16" s="1"/>
  <c r="K17" i="5"/>
  <c r="J321" i="15"/>
  <c r="H1919" i="16" s="1"/>
  <c r="I321" i="15"/>
  <c r="H1918" i="16" s="1"/>
  <c r="G31" i="15"/>
  <c r="H176" i="16" s="1"/>
  <c r="H31" i="15"/>
  <c r="H177" i="16" s="1"/>
  <c r="K313" i="5"/>
  <c r="J244" i="15"/>
  <c r="H1457" i="16" s="1"/>
  <c r="L267" i="15"/>
  <c r="H1597" i="16" s="1"/>
  <c r="G242" i="15"/>
  <c r="H1442" i="16" s="1"/>
  <c r="H38" i="15"/>
  <c r="H219" i="16" s="1"/>
  <c r="U47" i="4"/>
  <c r="S47" i="4"/>
  <c r="S260" i="4"/>
  <c r="U260" i="4" s="1"/>
  <c r="S274" i="4"/>
  <c r="U274" i="4" s="1"/>
  <c r="S92" i="4"/>
  <c r="U92" i="4" s="1"/>
  <c r="S259" i="4"/>
  <c r="U259" i="4"/>
  <c r="L285" i="15"/>
  <c r="H1705" i="16" s="1"/>
  <c r="U244" i="4"/>
  <c r="S244" i="4"/>
  <c r="I193" i="15"/>
  <c r="H1150" i="16" s="1"/>
  <c r="I306" i="15"/>
  <c r="H1828" i="16" s="1"/>
  <c r="I275" i="15"/>
  <c r="H1642" i="16" s="1"/>
  <c r="K113" i="15"/>
  <c r="H672" i="16" s="1"/>
  <c r="J199" i="15"/>
  <c r="H1187" i="16" s="1"/>
  <c r="I199" i="15"/>
  <c r="H1186" i="16" s="1"/>
  <c r="I294" i="15"/>
  <c r="H1756" i="16" s="1"/>
  <c r="K291" i="5"/>
  <c r="I287" i="15"/>
  <c r="H1714" i="16" s="1"/>
  <c r="I304" i="15"/>
  <c r="H1816" i="16" s="1"/>
  <c r="G145" i="15"/>
  <c r="H860" i="16" s="1"/>
  <c r="J54" i="15"/>
  <c r="H317" i="16" s="1"/>
  <c r="K163" i="15"/>
  <c r="H972" i="16" s="1"/>
  <c r="I144" i="15"/>
  <c r="H856" i="16" s="1"/>
  <c r="J336" i="15"/>
  <c r="H2009" i="16" s="1"/>
  <c r="I336" i="15"/>
  <c r="H2008" i="16" s="1"/>
  <c r="I20" i="15"/>
  <c r="H112" i="16" s="1"/>
  <c r="J163" i="15"/>
  <c r="H971" i="16" s="1"/>
  <c r="G184" i="15"/>
  <c r="H1094" i="16" s="1"/>
  <c r="S267" i="4"/>
  <c r="U267" i="4" s="1"/>
  <c r="S258" i="4"/>
  <c r="U258" i="4" s="1"/>
  <c r="L59" i="15"/>
  <c r="H349" i="16" s="1"/>
  <c r="K59" i="15"/>
  <c r="H348" i="16" s="1"/>
  <c r="I90" i="15"/>
  <c r="H532" i="16" s="1"/>
  <c r="J221" i="15"/>
  <c r="H1319" i="16" s="1"/>
  <c r="J333" i="15"/>
  <c r="H1991" i="16" s="1"/>
  <c r="I333" i="15"/>
  <c r="H1990" i="16" s="1"/>
  <c r="K95" i="5"/>
  <c r="J37" i="15"/>
  <c r="H215" i="16" s="1"/>
  <c r="J159" i="15"/>
  <c r="H947" i="16" s="1"/>
  <c r="I159" i="15"/>
  <c r="H946" i="16" s="1"/>
  <c r="K215" i="5"/>
  <c r="K164" i="5"/>
  <c r="K122" i="5"/>
  <c r="J98" i="15"/>
  <c r="H581" i="16" s="1"/>
  <c r="K320" i="5"/>
  <c r="K45" i="5"/>
  <c r="G276" i="15"/>
  <c r="H1646" i="16" s="1"/>
  <c r="G249" i="15"/>
  <c r="H1484" i="16" s="1"/>
  <c r="H249" i="15"/>
  <c r="H1485" i="16" s="1"/>
  <c r="J79" i="15"/>
  <c r="H467" i="16" s="1"/>
  <c r="I79" i="15"/>
  <c r="H466" i="16" s="1"/>
  <c r="I32" i="15"/>
  <c r="H184" i="16" s="1"/>
  <c r="K321" i="5"/>
  <c r="I31" i="15"/>
  <c r="H178" i="16" s="1"/>
  <c r="G196" i="15"/>
  <c r="H1166" i="16" s="1"/>
  <c r="U290" i="4"/>
  <c r="S290" i="4"/>
  <c r="U123" i="4"/>
  <c r="S123" i="4"/>
  <c r="S269" i="4"/>
  <c r="U269" i="4" s="1"/>
  <c r="I104" i="15"/>
  <c r="H616" i="16" s="1"/>
  <c r="L29" i="15"/>
  <c r="H169" i="16" s="1"/>
  <c r="K29" i="15"/>
  <c r="H168" i="16" s="1"/>
  <c r="G306" i="15"/>
  <c r="H1826" i="16" s="1"/>
  <c r="K7" i="15"/>
  <c r="H36" i="16" s="1"/>
  <c r="L7" i="15"/>
  <c r="H37" i="16" s="1"/>
  <c r="G80" i="15"/>
  <c r="H470" i="16" s="1"/>
  <c r="H104" i="15"/>
  <c r="H615" i="16" s="1"/>
  <c r="G104" i="15"/>
  <c r="H614" i="16" s="1"/>
  <c r="J80" i="15"/>
  <c r="H473" i="16" s="1"/>
  <c r="I80" i="15"/>
  <c r="H472" i="16" s="1"/>
  <c r="H41" i="15"/>
  <c r="H237" i="16" s="1"/>
  <c r="K275" i="5"/>
  <c r="G234" i="15"/>
  <c r="H1394" i="16" s="1"/>
  <c r="H264" i="15"/>
  <c r="H1575" i="16" s="1"/>
  <c r="J252" i="15"/>
  <c r="H1505" i="16" s="1"/>
  <c r="S87" i="4"/>
  <c r="U87" i="4"/>
  <c r="S226" i="4"/>
  <c r="U226" i="4" s="1"/>
  <c r="G265" i="15"/>
  <c r="H1580" i="16" s="1"/>
  <c r="H265" i="15"/>
  <c r="H1581" i="16" s="1"/>
  <c r="J8" i="15"/>
  <c r="H41" i="16" s="1"/>
  <c r="K199" i="5"/>
  <c r="H42" i="15"/>
  <c r="H243" i="16" s="1"/>
  <c r="K62" i="5"/>
  <c r="G213" i="15"/>
  <c r="H1268" i="16" s="1"/>
  <c r="H213" i="15"/>
  <c r="H1269" i="16" s="1"/>
  <c r="K287" i="5"/>
  <c r="K219" i="5"/>
  <c r="K304" i="5"/>
  <c r="I145" i="15"/>
  <c r="H862" i="16" s="1"/>
  <c r="G193" i="15"/>
  <c r="H1148" i="16" s="1"/>
  <c r="J259" i="15"/>
  <c r="H1547" i="16" s="1"/>
  <c r="I259" i="15"/>
  <c r="H1546" i="16" s="1"/>
  <c r="G106" i="15"/>
  <c r="H626" i="16" s="1"/>
  <c r="H70" i="15"/>
  <c r="H411" i="16" s="1"/>
  <c r="H238" i="15"/>
  <c r="H1419" i="16" s="1"/>
  <c r="G238" i="15"/>
  <c r="H1418" i="16" s="1"/>
  <c r="K20" i="5"/>
  <c r="K30" i="5"/>
  <c r="G335" i="15"/>
  <c r="H2000" i="16" s="1"/>
  <c r="H332" i="15"/>
  <c r="H1983" i="16" s="1"/>
  <c r="G332" i="15"/>
  <c r="H1982" i="16" s="1"/>
  <c r="L109" i="15"/>
  <c r="H649" i="16" s="1"/>
  <c r="G211" i="15"/>
  <c r="H1256" i="16" s="1"/>
  <c r="J300" i="15"/>
  <c r="H1793" i="16" s="1"/>
  <c r="S253" i="4"/>
  <c r="U253" i="4" s="1"/>
  <c r="K90" i="5"/>
  <c r="G185" i="15"/>
  <c r="H1100" i="16" s="1"/>
  <c r="H185" i="15"/>
  <c r="H1101" i="16" s="1"/>
  <c r="G233" i="15"/>
  <c r="H1388" i="16" s="1"/>
  <c r="H233" i="15"/>
  <c r="H1389" i="16" s="1"/>
  <c r="K333" i="15"/>
  <c r="H1992" i="16" s="1"/>
  <c r="G173" i="15"/>
  <c r="H1028" i="16" s="1"/>
  <c r="I192" i="15"/>
  <c r="H1144" i="16" s="1"/>
  <c r="H16" i="15"/>
  <c r="H87" i="16" s="1"/>
  <c r="G16" i="15"/>
  <c r="H86" i="16" s="1"/>
  <c r="H84" i="15"/>
  <c r="H495" i="16" s="1"/>
  <c r="G84" i="15"/>
  <c r="H494" i="16" s="1"/>
  <c r="I47" i="15"/>
  <c r="H274" i="16" s="1"/>
  <c r="I45" i="15"/>
  <c r="H262" i="16" s="1"/>
  <c r="I276" i="15"/>
  <c r="H1648" i="16" s="1"/>
  <c r="I249" i="15"/>
  <c r="H1486" i="16" s="1"/>
  <c r="J25" i="15"/>
  <c r="H143" i="16" s="1"/>
  <c r="H57" i="15"/>
  <c r="H333" i="16" s="1"/>
  <c r="K327" i="15"/>
  <c r="H1956" i="16" s="1"/>
  <c r="L311" i="15"/>
  <c r="H1861" i="16" s="1"/>
  <c r="K311" i="15"/>
  <c r="H1860" i="16" s="1"/>
  <c r="J36" i="15"/>
  <c r="H209" i="16" s="1"/>
  <c r="I36" i="15"/>
  <c r="H208" i="16" s="1"/>
  <c r="K32" i="5"/>
  <c r="H50" i="15"/>
  <c r="H291" i="16" s="1"/>
  <c r="G50" i="15"/>
  <c r="H290" i="16" s="1"/>
  <c r="J196" i="15"/>
  <c r="H1169" i="16" s="1"/>
  <c r="I196" i="15"/>
  <c r="H1168" i="16" s="1"/>
  <c r="G92" i="15"/>
  <c r="H542" i="16" s="1"/>
  <c r="G19" i="15"/>
  <c r="H104" i="16" s="1"/>
  <c r="H19" i="15"/>
  <c r="H105" i="16" s="1"/>
  <c r="J74" i="15"/>
  <c r="H437" i="16" s="1"/>
  <c r="I242" i="15"/>
  <c r="H1444" i="16" s="1"/>
  <c r="L8" i="15"/>
  <c r="H43" i="16" s="1"/>
  <c r="S203" i="4"/>
  <c r="U203" i="4" s="1"/>
  <c r="S27" i="4"/>
  <c r="U27" i="4"/>
  <c r="L224" i="15"/>
  <c r="H1339" i="16" s="1"/>
  <c r="G294" i="15"/>
  <c r="H1754" i="16" s="1"/>
  <c r="G82" i="15"/>
  <c r="H482" i="16" s="1"/>
  <c r="S206" i="4"/>
  <c r="U206" i="4"/>
  <c r="L189" i="15"/>
  <c r="H1129" i="16" s="1"/>
  <c r="K189" i="15"/>
  <c r="H1128" i="16" s="1"/>
  <c r="G79" i="15"/>
  <c r="H464" i="16" s="1"/>
  <c r="H79" i="15"/>
  <c r="H465" i="16" s="1"/>
  <c r="J50" i="15"/>
  <c r="H293" i="16" s="1"/>
  <c r="I50" i="15"/>
  <c r="H292" i="16" s="1"/>
  <c r="L196" i="15"/>
  <c r="H1171" i="16" s="1"/>
  <c r="K196" i="15"/>
  <c r="H1170" i="16" s="1"/>
  <c r="G290" i="15"/>
  <c r="H1730" i="16" s="1"/>
  <c r="I92" i="15"/>
  <c r="H544" i="16" s="1"/>
  <c r="I19" i="15"/>
  <c r="H106" i="16" s="1"/>
  <c r="K242" i="15"/>
  <c r="H1446" i="16" s="1"/>
  <c r="L242" i="15"/>
  <c r="H1447" i="16" s="1"/>
  <c r="H148" i="15"/>
  <c r="H879" i="16" s="1"/>
  <c r="G148" i="15"/>
  <c r="H878" i="16" s="1"/>
  <c r="S313" i="4"/>
  <c r="U313" i="4"/>
  <c r="S225" i="4"/>
  <c r="U225" i="4" s="1"/>
  <c r="J172" i="15"/>
  <c r="H1025" i="16" s="1"/>
  <c r="I172" i="15"/>
  <c r="H1024" i="16" s="1"/>
  <c r="K80" i="5"/>
  <c r="H33" i="15"/>
  <c r="H189" i="16" s="1"/>
  <c r="G33" i="15"/>
  <c r="H188" i="16" s="1"/>
  <c r="K104" i="5"/>
  <c r="S232" i="4"/>
  <c r="U232" i="4" s="1"/>
  <c r="H270" i="15"/>
  <c r="H1611" i="16" s="1"/>
  <c r="G83" i="15"/>
  <c r="H488" i="16" s="1"/>
  <c r="H83" i="15"/>
  <c r="H489" i="16" s="1"/>
  <c r="K234" i="5"/>
  <c r="G243" i="15"/>
  <c r="H1448" i="16" s="1"/>
  <c r="H210" i="15"/>
  <c r="H1251" i="16" s="1"/>
  <c r="G210" i="15"/>
  <c r="H1250" i="16" s="1"/>
  <c r="L41" i="15"/>
  <c r="H241" i="16" s="1"/>
  <c r="K41" i="15"/>
  <c r="H240" i="16" s="1"/>
  <c r="G176" i="15"/>
  <c r="H1046" i="16" s="1"/>
  <c r="G284" i="15"/>
  <c r="H1694" i="16" s="1"/>
  <c r="H284" i="15"/>
  <c r="H1695" i="16" s="1"/>
  <c r="L58" i="15"/>
  <c r="H343" i="16" s="1"/>
  <c r="L6" i="15"/>
  <c r="H31" i="16" s="1"/>
  <c r="S31" i="4"/>
  <c r="U31" i="4" s="1"/>
  <c r="H191" i="15"/>
  <c r="H1137" i="16" s="1"/>
  <c r="G191" i="15"/>
  <c r="H1136" i="16" s="1"/>
  <c r="S212" i="4"/>
  <c r="U212" i="4" s="1"/>
  <c r="K213" i="5"/>
  <c r="K82" i="5"/>
  <c r="K193" i="5"/>
  <c r="I127" i="15"/>
  <c r="H754" i="16" s="1"/>
  <c r="H257" i="15"/>
  <c r="H1533" i="16" s="1"/>
  <c r="K238" i="5"/>
  <c r="H258" i="15"/>
  <c r="H1539" i="16" s="1"/>
  <c r="G258" i="15"/>
  <c r="H1538" i="16" s="1"/>
  <c r="G20" i="15"/>
  <c r="H110" i="16" s="1"/>
  <c r="K335" i="5"/>
  <c r="K332" i="5"/>
  <c r="H5" i="15"/>
  <c r="H21" i="16" s="1"/>
  <c r="K184" i="5"/>
  <c r="G198" i="15"/>
  <c r="H1178" i="16" s="1"/>
  <c r="H163" i="15"/>
  <c r="H969" i="16" s="1"/>
  <c r="L70" i="15"/>
  <c r="H415" i="16" s="1"/>
  <c r="K185" i="5"/>
  <c r="I94" i="15"/>
  <c r="H556" i="16" s="1"/>
  <c r="L74" i="15"/>
  <c r="H439" i="16" s="1"/>
  <c r="J314" i="15"/>
  <c r="H1877" i="16" s="1"/>
  <c r="G129" i="15"/>
  <c r="H764" i="16" s="1"/>
  <c r="H129" i="15"/>
  <c r="H765" i="16" s="1"/>
  <c r="G66" i="15"/>
  <c r="H386" i="16" s="1"/>
  <c r="G189" i="15"/>
  <c r="H1124" i="16" s="1"/>
  <c r="K268" i="15"/>
  <c r="H1602" i="16" s="1"/>
  <c r="H98" i="15"/>
  <c r="H579" i="16" s="1"/>
  <c r="K178" i="15"/>
  <c r="H1062" i="16" s="1"/>
  <c r="L178" i="15"/>
  <c r="H1063" i="16" s="1"/>
  <c r="K16" i="5"/>
  <c r="I261" i="15"/>
  <c r="H1558" i="16" s="1"/>
  <c r="H59" i="15"/>
  <c r="H345" i="16" s="1"/>
  <c r="H298" i="15"/>
  <c r="H1779" i="16" s="1"/>
  <c r="G2" i="15"/>
  <c r="H2" i="16" s="1"/>
  <c r="J4" i="1"/>
  <c r="B9" i="1"/>
  <c r="L3" i="15"/>
  <c r="H13" i="16" s="1"/>
  <c r="K3" i="15"/>
  <c r="H12" i="16" s="1"/>
  <c r="K91" i="15"/>
  <c r="H540" i="16" s="1"/>
  <c r="G47" i="15"/>
  <c r="H272" i="16" s="1"/>
  <c r="L300" i="15"/>
  <c r="H1795" i="16" s="1"/>
  <c r="K300" i="15"/>
  <c r="H1794" i="16" s="1"/>
  <c r="K244" i="15"/>
  <c r="H1458" i="16" s="1"/>
  <c r="G36" i="15"/>
  <c r="H206" i="16" s="1"/>
  <c r="I290" i="15"/>
  <c r="H1732" i="16" s="1"/>
  <c r="K92" i="5"/>
  <c r="K19" i="5"/>
  <c r="H327" i="15"/>
  <c r="H1953" i="16" s="1"/>
  <c r="J148" i="15"/>
  <c r="H881" i="16" s="1"/>
  <c r="I148" i="15"/>
  <c r="H880" i="16" s="1"/>
  <c r="S177" i="4"/>
  <c r="U177" i="4"/>
  <c r="L296" i="15"/>
  <c r="H1771" i="16" s="1"/>
  <c r="L35" i="15"/>
  <c r="H205" i="16" s="1"/>
  <c r="S257" i="4"/>
  <c r="U257" i="4" s="1"/>
  <c r="L145" i="15"/>
  <c r="H865" i="16" s="1"/>
  <c r="K145" i="15"/>
  <c r="H864" i="16" s="1"/>
  <c r="L144" i="15"/>
  <c r="H859" i="16" s="1"/>
  <c r="K144" i="15"/>
  <c r="H858" i="16" s="1"/>
  <c r="K314" i="15"/>
  <c r="H1878" i="16" s="1"/>
  <c r="L281" i="15"/>
  <c r="H1681" i="16" s="1"/>
  <c r="K281" i="15"/>
  <c r="H1680" i="16" s="1"/>
  <c r="L192" i="15"/>
  <c r="H1147" i="16" s="1"/>
  <c r="K192" i="15"/>
  <c r="H1146" i="16" s="1"/>
  <c r="K276" i="15"/>
  <c r="H1650" i="16" s="1"/>
  <c r="G299" i="15"/>
  <c r="H1784" i="16" s="1"/>
  <c r="H299" i="15"/>
  <c r="H1785" i="16" s="1"/>
  <c r="J83" i="15"/>
  <c r="H491" i="16" s="1"/>
  <c r="I83" i="15"/>
  <c r="H490" i="16" s="1"/>
  <c r="L243" i="15"/>
  <c r="H1453" i="16" s="1"/>
  <c r="K243" i="15"/>
  <c r="H1452" i="16" s="1"/>
  <c r="J210" i="15"/>
  <c r="H1253" i="16" s="1"/>
  <c r="I210" i="15"/>
  <c r="H1252" i="16" s="1"/>
  <c r="I284" i="15"/>
  <c r="H1696" i="16" s="1"/>
  <c r="J191" i="15"/>
  <c r="H1139" i="16" s="1"/>
  <c r="I191" i="15"/>
  <c r="H1138" i="16" s="1"/>
  <c r="I258" i="15"/>
  <c r="H1540" i="16" s="1"/>
  <c r="S328" i="4"/>
  <c r="U328" i="4" s="1"/>
  <c r="G200" i="15"/>
  <c r="H1190" i="16" s="1"/>
  <c r="I211" i="15"/>
  <c r="H1258" i="16" s="1"/>
  <c r="H322" i="15"/>
  <c r="H1923" i="16" s="1"/>
  <c r="G322" i="15"/>
  <c r="H1922" i="16" s="1"/>
  <c r="J198" i="15"/>
  <c r="H1181" i="16" s="1"/>
  <c r="I198" i="15"/>
  <c r="H1180" i="16" s="1"/>
  <c r="G94" i="15"/>
  <c r="H554" i="16" s="1"/>
  <c r="G281" i="15"/>
  <c r="H1676" i="16" s="1"/>
  <c r="I129" i="15"/>
  <c r="H766" i="16" s="1"/>
  <c r="I66" i="15"/>
  <c r="H388" i="16" s="1"/>
  <c r="I189" i="15"/>
  <c r="H1126" i="16" s="1"/>
  <c r="J189" i="15"/>
  <c r="H1127" i="16" s="1"/>
  <c r="G170" i="15"/>
  <c r="H1010" i="16" s="1"/>
  <c r="H305" i="15"/>
  <c r="H1821" i="16" s="1"/>
  <c r="G305" i="15"/>
  <c r="H1820" i="16" s="1"/>
  <c r="J2" i="15"/>
  <c r="H5" i="16" s="1"/>
  <c r="I2" i="15"/>
  <c r="H4" i="16" s="1"/>
  <c r="B10" i="1"/>
  <c r="J5" i="1"/>
  <c r="S255" i="4"/>
  <c r="U255" i="4" s="1"/>
  <c r="K47" i="5"/>
  <c r="K203" i="15"/>
  <c r="H1212" i="16" s="1"/>
  <c r="J146" i="15"/>
  <c r="H869" i="16" s="1"/>
  <c r="K124" i="15"/>
  <c r="H738" i="16" s="1"/>
  <c r="L124" i="15"/>
  <c r="H739" i="16" s="1"/>
  <c r="G229" i="15"/>
  <c r="H1364" i="16" s="1"/>
  <c r="H229" i="15"/>
  <c r="H1365" i="16" s="1"/>
  <c r="J310" i="15"/>
  <c r="H1853" i="16" s="1"/>
  <c r="H12" i="15"/>
  <c r="H63" i="16" s="1"/>
  <c r="K290" i="5"/>
  <c r="K148" i="5"/>
  <c r="L251" i="15"/>
  <c r="H1501" i="16" s="1"/>
  <c r="S131" i="4"/>
  <c r="U131" i="4" s="1"/>
  <c r="L161" i="15"/>
  <c r="H961" i="16" s="1"/>
  <c r="S33" i="4"/>
  <c r="U33" i="4" s="1"/>
  <c r="S334" i="4"/>
  <c r="U334" i="4"/>
  <c r="I332" i="15"/>
  <c r="H1984" i="16" s="1"/>
  <c r="S71" i="4"/>
  <c r="U71" i="4" s="1"/>
  <c r="H230" i="15"/>
  <c r="H1371" i="16" s="1"/>
  <c r="G230" i="15"/>
  <c r="H1370" i="16" s="1"/>
  <c r="H222" i="15"/>
  <c r="H1323" i="16" s="1"/>
  <c r="G222" i="15"/>
  <c r="H1322" i="16" s="1"/>
  <c r="K210" i="5"/>
  <c r="I176" i="15"/>
  <c r="H1048" i="16" s="1"/>
  <c r="K284" i="5"/>
  <c r="H21" i="15"/>
  <c r="H117" i="16" s="1"/>
  <c r="G116" i="15"/>
  <c r="H686" i="16" s="1"/>
  <c r="H329" i="15"/>
  <c r="H1965" i="16" s="1"/>
  <c r="G329" i="15"/>
  <c r="H1964" i="16" s="1"/>
  <c r="K191" i="5"/>
  <c r="G18" i="15"/>
  <c r="H98" i="16" s="1"/>
  <c r="H227" i="15"/>
  <c r="H1353" i="16" s="1"/>
  <c r="G227" i="15"/>
  <c r="H1352" i="16" s="1"/>
  <c r="J82" i="15"/>
  <c r="H485" i="16" s="1"/>
  <c r="I82" i="15"/>
  <c r="H484" i="16" s="1"/>
  <c r="G156" i="15"/>
  <c r="H926" i="16" s="1"/>
  <c r="L149" i="15"/>
  <c r="H889" i="16" s="1"/>
  <c r="U146" i="4"/>
  <c r="S146" i="4"/>
  <c r="S187" i="4"/>
  <c r="U187" i="4" s="1"/>
  <c r="K258" i="5"/>
  <c r="I108" i="15"/>
  <c r="H640" i="16" s="1"/>
  <c r="J224" i="15"/>
  <c r="H1337" i="16" s="1"/>
  <c r="I200" i="15"/>
  <c r="H1192" i="16" s="1"/>
  <c r="J69" i="15"/>
  <c r="H407" i="16" s="1"/>
  <c r="J322" i="15"/>
  <c r="H1925" i="16" s="1"/>
  <c r="I322" i="15"/>
  <c r="H1924" i="16" s="1"/>
  <c r="S96" i="4"/>
  <c r="U96" i="4" s="1"/>
  <c r="L37" i="15"/>
  <c r="H217" i="16" s="1"/>
  <c r="H285" i="15"/>
  <c r="H1701" i="16" s="1"/>
  <c r="I281" i="15"/>
  <c r="H1678" i="16" s="1"/>
  <c r="G34" i="15"/>
  <c r="H194" i="16" s="1"/>
  <c r="K66" i="5"/>
  <c r="K170" i="5"/>
  <c r="J76" i="15"/>
  <c r="H449" i="16" s="1"/>
  <c r="L225" i="15"/>
  <c r="H1345" i="16" s="1"/>
  <c r="J298" i="15"/>
  <c r="H1781" i="16" s="1"/>
  <c r="G143" i="15"/>
  <c r="H848" i="16" s="1"/>
  <c r="I305" i="15"/>
  <c r="H1822" i="16" s="1"/>
  <c r="G261" i="15"/>
  <c r="H1556" i="16" s="1"/>
  <c r="H261" i="15"/>
  <c r="H1557" i="16" s="1"/>
  <c r="K206" i="15"/>
  <c r="H1230" i="16" s="1"/>
  <c r="K142" i="15"/>
  <c r="H846" i="16" s="1"/>
  <c r="L142" i="15"/>
  <c r="H847" i="16" s="1"/>
  <c r="S325" i="4"/>
  <c r="U325" i="4" s="1"/>
  <c r="U237" i="4"/>
  <c r="S237" i="4"/>
  <c r="S294" i="4"/>
  <c r="U294" i="4" s="1"/>
  <c r="S210" i="4"/>
  <c r="U210" i="4" s="1"/>
  <c r="S182" i="4"/>
  <c r="U182" i="4" s="1"/>
  <c r="B4" i="1"/>
  <c r="C4" i="1" s="1"/>
  <c r="S199" i="4"/>
  <c r="U199" i="4" s="1"/>
  <c r="K83" i="15"/>
  <c r="H492" i="16" s="1"/>
  <c r="I184" i="15"/>
  <c r="H1096" i="16" s="1"/>
  <c r="I185" i="15"/>
  <c r="H1102" i="16" s="1"/>
  <c r="H159" i="15"/>
  <c r="H945" i="16" s="1"/>
  <c r="G159" i="15"/>
  <c r="H944" i="16" s="1"/>
  <c r="J229" i="15"/>
  <c r="H1367" i="16" s="1"/>
  <c r="I229" i="15"/>
  <c r="H1366" i="16" s="1"/>
  <c r="K36" i="15"/>
  <c r="H210" i="16" s="1"/>
  <c r="G248" i="15"/>
  <c r="H1478" i="16" s="1"/>
  <c r="J299" i="15"/>
  <c r="H1787" i="16" s="1"/>
  <c r="I299" i="15"/>
  <c r="H1786" i="16" s="1"/>
  <c r="I243" i="15"/>
  <c r="H1450" i="16" s="1"/>
  <c r="I222" i="15"/>
  <c r="H1324" i="16" s="1"/>
  <c r="K176" i="5"/>
  <c r="H167" i="15"/>
  <c r="H993" i="16" s="1"/>
  <c r="G167" i="15"/>
  <c r="H992" i="16" s="1"/>
  <c r="H60" i="15"/>
  <c r="H351" i="16" s="1"/>
  <c r="J116" i="15"/>
  <c r="H689" i="16" s="1"/>
  <c r="I116" i="15"/>
  <c r="H688" i="16" s="1"/>
  <c r="J329" i="15"/>
  <c r="H1967" i="16" s="1"/>
  <c r="I329" i="15"/>
  <c r="H1966" i="16" s="1"/>
  <c r="I18" i="15"/>
  <c r="H100" i="16" s="1"/>
  <c r="J179" i="15"/>
  <c r="H1067" i="16" s="1"/>
  <c r="L286" i="15"/>
  <c r="H1711" i="16" s="1"/>
  <c r="K286" i="15"/>
  <c r="H1710" i="16" s="1"/>
  <c r="H195" i="15"/>
  <c r="H1161" i="16" s="1"/>
  <c r="K227" i="5"/>
  <c r="J317" i="15"/>
  <c r="H1895" i="16" s="1"/>
  <c r="I317" i="15"/>
  <c r="H1894" i="16" s="1"/>
  <c r="J156" i="15"/>
  <c r="H929" i="16" s="1"/>
  <c r="I156" i="15"/>
  <c r="H928" i="16" s="1"/>
  <c r="G202" i="15"/>
  <c r="H1202" i="16" s="1"/>
  <c r="K257" i="15"/>
  <c r="H1536" i="16" s="1"/>
  <c r="H8" i="15"/>
  <c r="H39" i="16" s="1"/>
  <c r="I139" i="15"/>
  <c r="H826" i="16" s="1"/>
  <c r="J245" i="15"/>
  <c r="H1463" i="16" s="1"/>
  <c r="I245" i="15"/>
  <c r="H1462" i="16" s="1"/>
  <c r="I126" i="15"/>
  <c r="H748" i="16" s="1"/>
  <c r="H237" i="15"/>
  <c r="H1413" i="16" s="1"/>
  <c r="K200" i="5"/>
  <c r="K76" i="15"/>
  <c r="H450" i="16" s="1"/>
  <c r="L76" i="15"/>
  <c r="H451" i="16" s="1"/>
  <c r="H260" i="15"/>
  <c r="H1551" i="16" s="1"/>
  <c r="G260" i="15"/>
  <c r="H1550" i="16" s="1"/>
  <c r="K322" i="5"/>
  <c r="K198" i="5"/>
  <c r="L5" i="15"/>
  <c r="H25" i="16" s="1"/>
  <c r="J130" i="15"/>
  <c r="H773" i="16" s="1"/>
  <c r="I46" i="15"/>
  <c r="H268" i="16" s="1"/>
  <c r="J143" i="15"/>
  <c r="H851" i="16" s="1"/>
  <c r="I143" i="15"/>
  <c r="H850" i="16" s="1"/>
  <c r="K305" i="5"/>
  <c r="K261" i="5"/>
  <c r="H10" i="15"/>
  <c r="H51" i="16" s="1"/>
  <c r="S277" i="4"/>
  <c r="U277" i="4" s="1"/>
  <c r="J13" i="15"/>
  <c r="H71" i="16" s="1"/>
  <c r="K2" i="5"/>
  <c r="G206" i="15"/>
  <c r="H1226" i="16" s="1"/>
  <c r="J27" i="15"/>
  <c r="H155" i="16" s="1"/>
  <c r="H124" i="15"/>
  <c r="H735" i="16" s="1"/>
  <c r="G124" i="15"/>
  <c r="H734" i="16" s="1"/>
  <c r="I155" i="15"/>
  <c r="H922" i="16" s="1"/>
  <c r="K174" i="15"/>
  <c r="H1038" i="16" s="1"/>
  <c r="L174" i="15"/>
  <c r="H1039" i="16" s="1"/>
  <c r="H300" i="15"/>
  <c r="H1791" i="16" s="1"/>
  <c r="K318" i="15"/>
  <c r="H1902" i="16" s="1"/>
  <c r="H186" i="15"/>
  <c r="H1107" i="16" s="1"/>
  <c r="G301" i="15"/>
  <c r="H1796" i="16" s="1"/>
  <c r="G153" i="15"/>
  <c r="H908" i="16" s="1"/>
  <c r="J318" i="15"/>
  <c r="H1901" i="16" s="1"/>
  <c r="G331" i="15"/>
  <c r="H1976" i="16" s="1"/>
  <c r="H113" i="15"/>
  <c r="H669" i="16" s="1"/>
  <c r="G168" i="15"/>
  <c r="H998" i="16" s="1"/>
  <c r="J270" i="15"/>
  <c r="H1613" i="16" s="1"/>
  <c r="L295" i="15"/>
  <c r="H1765" i="16" s="1"/>
  <c r="L100" i="15"/>
  <c r="H595" i="16" s="1"/>
  <c r="S30" i="4"/>
  <c r="U30" i="4" s="1"/>
  <c r="J238" i="15"/>
  <c r="H1421" i="16" s="1"/>
  <c r="I238" i="15"/>
  <c r="H1420" i="16" s="1"/>
  <c r="J33" i="15"/>
  <c r="H191" i="16" s="1"/>
  <c r="I33" i="15"/>
  <c r="H190" i="16" s="1"/>
  <c r="S197" i="4"/>
  <c r="U197" i="4" s="1"/>
  <c r="G212" i="15"/>
  <c r="H1262" i="16" s="1"/>
  <c r="K329" i="5"/>
  <c r="K18" i="5"/>
  <c r="G245" i="15"/>
  <c r="H1460" i="16" s="1"/>
  <c r="H245" i="15"/>
  <c r="H1461" i="16" s="1"/>
  <c r="K126" i="15"/>
  <c r="H750" i="16" s="1"/>
  <c r="G108" i="15"/>
  <c r="H638" i="16" s="1"/>
  <c r="H152" i="15"/>
  <c r="H903" i="16" s="1"/>
  <c r="G152" i="15"/>
  <c r="H902" i="16" s="1"/>
  <c r="J260" i="15"/>
  <c r="H1553" i="16" s="1"/>
  <c r="I260" i="15"/>
  <c r="H1552" i="16" s="1"/>
  <c r="K247" i="15"/>
  <c r="H1476" i="16" s="1"/>
  <c r="S76" i="4"/>
  <c r="U76" i="4" s="1"/>
  <c r="I34" i="15"/>
  <c r="H196" i="16" s="1"/>
  <c r="G68" i="15"/>
  <c r="H398" i="16" s="1"/>
  <c r="H46" i="15"/>
  <c r="H267" i="16" s="1"/>
  <c r="G46" i="15"/>
  <c r="H266" i="16" s="1"/>
  <c r="G328" i="15"/>
  <c r="H1958" i="16" s="1"/>
  <c r="J171" i="15"/>
  <c r="H1019" i="16" s="1"/>
  <c r="I171" i="15"/>
  <c r="H1018" i="16" s="1"/>
  <c r="K143" i="5"/>
  <c r="K154" i="15"/>
  <c r="H918" i="16" s="1"/>
  <c r="J206" i="15"/>
  <c r="H1229" i="16" s="1"/>
  <c r="I206" i="15"/>
  <c r="H1228" i="16" s="1"/>
  <c r="H142" i="15"/>
  <c r="H843" i="16" s="1"/>
  <c r="G142" i="15"/>
  <c r="H842" i="16" s="1"/>
  <c r="I124" i="15"/>
  <c r="H736" i="16" s="1"/>
  <c r="I4" i="15"/>
  <c r="H16" i="16" s="1"/>
  <c r="I301" i="15"/>
  <c r="H1798" i="16" s="1"/>
  <c r="I153" i="15"/>
  <c r="H910" i="16" s="1"/>
  <c r="K270" i="15"/>
  <c r="H1614" i="16" s="1"/>
  <c r="L270" i="15"/>
  <c r="H1615" i="16" s="1"/>
  <c r="L331" i="15"/>
  <c r="H1981" i="16" s="1"/>
  <c r="K331" i="15"/>
  <c r="H1980" i="16" s="1"/>
  <c r="J266" i="15"/>
  <c r="H1589" i="16" s="1"/>
  <c r="I266" i="15"/>
  <c r="H1588" i="16" s="1"/>
  <c r="U17" i="4"/>
  <c r="S17" i="4"/>
  <c r="S189" i="4"/>
  <c r="U189" i="4"/>
  <c r="S79" i="4"/>
  <c r="U79" i="4" s="1"/>
  <c r="L55" i="15"/>
  <c r="H325" i="16" s="1"/>
  <c r="K55" i="15"/>
  <c r="H324" i="16" s="1"/>
  <c r="I234" i="15"/>
  <c r="H1396" i="16" s="1"/>
  <c r="G217" i="15"/>
  <c r="H1292" i="16" s="1"/>
  <c r="H217" i="15"/>
  <c r="H1293" i="16" s="1"/>
  <c r="H127" i="15"/>
  <c r="H753" i="16" s="1"/>
  <c r="G127" i="15"/>
  <c r="H752" i="16" s="1"/>
  <c r="J335" i="15"/>
  <c r="H2003" i="16" s="1"/>
  <c r="I335" i="15"/>
  <c r="H2002" i="16" s="1"/>
  <c r="L129" i="15"/>
  <c r="H769" i="16" s="1"/>
  <c r="K129" i="15"/>
  <c r="H768" i="16" s="1"/>
  <c r="I262" i="15"/>
  <c r="H1564" i="16" s="1"/>
  <c r="K222" i="5"/>
  <c r="H97" i="15"/>
  <c r="H573" i="16" s="1"/>
  <c r="G97" i="15"/>
  <c r="H572" i="16" s="1"/>
  <c r="K116" i="5"/>
  <c r="G228" i="15"/>
  <c r="H1358" i="16" s="1"/>
  <c r="K317" i="15"/>
  <c r="H1896" i="16" s="1"/>
  <c r="K156" i="5"/>
  <c r="I202" i="15"/>
  <c r="H1204" i="16" s="1"/>
  <c r="G236" i="15"/>
  <c r="H1406" i="16" s="1"/>
  <c r="I121" i="15"/>
  <c r="H718" i="16" s="1"/>
  <c r="K230" i="5"/>
  <c r="H319" i="15"/>
  <c r="H1905" i="16" s="1"/>
  <c r="L252" i="15"/>
  <c r="H1507" i="16" s="1"/>
  <c r="K252" i="15"/>
  <c r="H1506" i="16" s="1"/>
  <c r="G137" i="15"/>
  <c r="H812" i="16" s="1"/>
  <c r="H137" i="15"/>
  <c r="H813" i="16" s="1"/>
  <c r="L75" i="15"/>
  <c r="H445" i="16" s="1"/>
  <c r="I167" i="15"/>
  <c r="H994" i="16" s="1"/>
  <c r="K97" i="5"/>
  <c r="S297" i="4"/>
  <c r="U297" i="4"/>
  <c r="L273" i="15"/>
  <c r="H1633" i="16" s="1"/>
  <c r="J212" i="15"/>
  <c r="H1265" i="16" s="1"/>
  <c r="I212" i="15"/>
  <c r="H1264" i="16" s="1"/>
  <c r="I228" i="15"/>
  <c r="H1360" i="16" s="1"/>
  <c r="J228" i="15"/>
  <c r="H1361" i="16" s="1"/>
  <c r="G235" i="15"/>
  <c r="H1400" i="16" s="1"/>
  <c r="H190" i="15"/>
  <c r="H1131" i="16" s="1"/>
  <c r="G190" i="15"/>
  <c r="H1130" i="16" s="1"/>
  <c r="I227" i="15"/>
  <c r="H1354" i="16" s="1"/>
  <c r="G317" i="15"/>
  <c r="H1892" i="16" s="1"/>
  <c r="K202" i="5"/>
  <c r="G120" i="15"/>
  <c r="H710" i="16" s="1"/>
  <c r="I64" i="15"/>
  <c r="H376" i="16" s="1"/>
  <c r="G139" i="15"/>
  <c r="H824" i="16" s="1"/>
  <c r="K245" i="5"/>
  <c r="L146" i="15"/>
  <c r="H871" i="16" s="1"/>
  <c r="H286" i="15"/>
  <c r="H1707" i="16" s="1"/>
  <c r="L128" i="15"/>
  <c r="H763" i="16" s="1"/>
  <c r="K260" i="5"/>
  <c r="J162" i="15"/>
  <c r="H965" i="16" s="1"/>
  <c r="H93" i="15"/>
  <c r="H549" i="16" s="1"/>
  <c r="G93" i="15"/>
  <c r="H548" i="16" s="1"/>
  <c r="J5" i="15"/>
  <c r="H23" i="16" s="1"/>
  <c r="K34" i="5"/>
  <c r="H114" i="15"/>
  <c r="H675" i="16" s="1"/>
  <c r="J68" i="15"/>
  <c r="H401" i="16" s="1"/>
  <c r="I68" i="15"/>
  <c r="H400" i="16" s="1"/>
  <c r="J328" i="15"/>
  <c r="H1961" i="16" s="1"/>
  <c r="I328" i="15"/>
  <c r="H1960" i="16" s="1"/>
  <c r="J247" i="15"/>
  <c r="H1475" i="16" s="1"/>
  <c r="J44" i="15"/>
  <c r="H257" i="16" s="1"/>
  <c r="G171" i="15"/>
  <c r="H1016" i="16" s="1"/>
  <c r="L99" i="15"/>
  <c r="H589" i="16" s="1"/>
  <c r="H216" i="15"/>
  <c r="H1287" i="16" s="1"/>
  <c r="J251" i="15"/>
  <c r="H1499" i="16" s="1"/>
  <c r="H188" i="15"/>
  <c r="H1119" i="16" s="1"/>
  <c r="G188" i="15"/>
  <c r="H1118" i="16" s="1"/>
  <c r="J142" i="15"/>
  <c r="H845" i="16" s="1"/>
  <c r="I142" i="15"/>
  <c r="H844" i="16" s="1"/>
  <c r="G312" i="15"/>
  <c r="H1862" i="16" s="1"/>
  <c r="G155" i="15"/>
  <c r="H920" i="16" s="1"/>
  <c r="G174" i="15"/>
  <c r="H1034" i="16" s="1"/>
  <c r="J216" i="15"/>
  <c r="H1289" i="16" s="1"/>
  <c r="K4" i="5"/>
  <c r="G201" i="15"/>
  <c r="H1196" i="16" s="1"/>
  <c r="K301" i="5"/>
  <c r="K153" i="5"/>
  <c r="J278" i="15"/>
  <c r="H1661" i="16" s="1"/>
  <c r="I278" i="15"/>
  <c r="H1660" i="16" s="1"/>
  <c r="H255" i="15"/>
  <c r="H1521" i="16" s="1"/>
  <c r="G255" i="15"/>
  <c r="H1520" i="16" s="1"/>
  <c r="I331" i="15"/>
  <c r="H1978" i="16" s="1"/>
  <c r="L39" i="15"/>
  <c r="H229" i="16" s="1"/>
  <c r="J168" i="15"/>
  <c r="H1001" i="16" s="1"/>
  <c r="I168" i="15"/>
  <c r="H1000" i="16" s="1"/>
  <c r="G266" i="15"/>
  <c r="H1586" i="16" s="1"/>
  <c r="L13" i="15"/>
  <c r="H73" i="16" s="1"/>
  <c r="S306" i="4"/>
  <c r="U306" i="4" s="1"/>
  <c r="S174" i="4"/>
  <c r="U174" i="4"/>
  <c r="L259" i="15"/>
  <c r="H1549" i="16" s="1"/>
  <c r="K259" i="15"/>
  <c r="H1548" i="16" s="1"/>
  <c r="J173" i="15"/>
  <c r="H1031" i="16" s="1"/>
  <c r="I173" i="15"/>
  <c r="H1030" i="16" s="1"/>
  <c r="I16" i="15"/>
  <c r="H88" i="16" s="1"/>
  <c r="K186" i="15"/>
  <c r="H1110" i="16" s="1"/>
  <c r="L186" i="15"/>
  <c r="H1111" i="16" s="1"/>
  <c r="K53" i="15"/>
  <c r="H312" i="16" s="1"/>
  <c r="G15" i="15"/>
  <c r="H80" i="16" s="1"/>
  <c r="H15" i="15"/>
  <c r="H81" i="16" s="1"/>
  <c r="H262" i="15"/>
  <c r="H1563" i="16" s="1"/>
  <c r="G262" i="15"/>
  <c r="H1562" i="16" s="1"/>
  <c r="H308" i="15"/>
  <c r="H1839" i="16" s="1"/>
  <c r="I248" i="15"/>
  <c r="H1480" i="16" s="1"/>
  <c r="J248" i="15"/>
  <c r="H1481" i="16" s="1"/>
  <c r="K24" i="15"/>
  <c r="H138" i="16" s="1"/>
  <c r="L24" i="15"/>
  <c r="H139" i="16" s="1"/>
  <c r="L310" i="15"/>
  <c r="H1855" i="16" s="1"/>
  <c r="K310" i="15"/>
  <c r="H1854" i="16" s="1"/>
  <c r="G141" i="15"/>
  <c r="H836" i="16" s="1"/>
  <c r="J110" i="15"/>
  <c r="H653" i="16" s="1"/>
  <c r="I110" i="15"/>
  <c r="H652" i="16" s="1"/>
  <c r="K212" i="5"/>
  <c r="G205" i="15"/>
  <c r="H1220" i="16" s="1"/>
  <c r="H205" i="15"/>
  <c r="H1221" i="16" s="1"/>
  <c r="K228" i="5"/>
  <c r="I235" i="15"/>
  <c r="H1402" i="16" s="1"/>
  <c r="I190" i="15"/>
  <c r="H1132" i="16" s="1"/>
  <c r="K139" i="5"/>
  <c r="G126" i="15"/>
  <c r="H746" i="16" s="1"/>
  <c r="G180" i="15"/>
  <c r="H1070" i="16" s="1"/>
  <c r="I152" i="15"/>
  <c r="H904" i="16" s="1"/>
  <c r="J152" i="15"/>
  <c r="H905" i="16" s="1"/>
  <c r="G132" i="15"/>
  <c r="H782" i="16" s="1"/>
  <c r="H132" i="15"/>
  <c r="H783" i="16" s="1"/>
  <c r="G223" i="15"/>
  <c r="H1328" i="16" s="1"/>
  <c r="J93" i="15"/>
  <c r="H551" i="16" s="1"/>
  <c r="I93" i="15"/>
  <c r="H550" i="16" s="1"/>
  <c r="I140" i="15"/>
  <c r="H832" i="16" s="1"/>
  <c r="K46" i="5"/>
  <c r="K328" i="5"/>
  <c r="H232" i="15"/>
  <c r="H1383" i="16" s="1"/>
  <c r="G232" i="15"/>
  <c r="H1382" i="16" s="1"/>
  <c r="G125" i="15"/>
  <c r="H740" i="16" s="1"/>
  <c r="K171" i="5"/>
  <c r="G107" i="15"/>
  <c r="H632" i="16" s="1"/>
  <c r="J100" i="15"/>
  <c r="H593" i="16" s="1"/>
  <c r="K71" i="15"/>
  <c r="H420" i="16" s="1"/>
  <c r="J188" i="15"/>
  <c r="H1121" i="16" s="1"/>
  <c r="I188" i="15"/>
  <c r="H1120" i="16" s="1"/>
  <c r="G207" i="15"/>
  <c r="H1232" i="16" s="1"/>
  <c r="J312" i="15"/>
  <c r="H1865" i="16" s="1"/>
  <c r="I312" i="15"/>
  <c r="H1864" i="16" s="1"/>
  <c r="H71" i="15"/>
  <c r="H417" i="16" s="1"/>
  <c r="K155" i="5"/>
  <c r="I174" i="15"/>
  <c r="H1036" i="16" s="1"/>
  <c r="I201" i="15"/>
  <c r="H1198" i="16" s="1"/>
  <c r="G177" i="15"/>
  <c r="H1052" i="16" s="1"/>
  <c r="H177" i="15"/>
  <c r="H1053" i="16" s="1"/>
  <c r="G96" i="15"/>
  <c r="H566" i="16" s="1"/>
  <c r="J255" i="15"/>
  <c r="H1523" i="16" s="1"/>
  <c r="I255" i="15"/>
  <c r="H1522" i="16" s="1"/>
  <c r="L254" i="15"/>
  <c r="H1519" i="16" s="1"/>
  <c r="K168" i="5"/>
  <c r="K266" i="5"/>
  <c r="L54" i="15"/>
  <c r="H319" i="16" s="1"/>
  <c r="U130" i="4"/>
  <c r="S130" i="4"/>
  <c r="S62" i="4"/>
  <c r="U62" i="4" s="1"/>
  <c r="S4" i="4"/>
  <c r="U4" i="4" s="1"/>
  <c r="S329" i="4"/>
  <c r="U329" i="4"/>
  <c r="S221" i="4"/>
  <c r="U221" i="4" s="1"/>
  <c r="L10" i="15"/>
  <c r="H55" i="16" s="1"/>
  <c r="J106" i="15"/>
  <c r="H629" i="16" s="1"/>
  <c r="I106" i="15"/>
  <c r="H628" i="16" s="1"/>
  <c r="K211" i="15"/>
  <c r="H1260" i="16" s="1"/>
  <c r="I170" i="15"/>
  <c r="H1012" i="16" s="1"/>
  <c r="U11" i="4"/>
  <c r="S11" i="4"/>
  <c r="B6" i="1" s="1"/>
  <c r="C6" i="1" s="1"/>
  <c r="H172" i="15"/>
  <c r="H1023" i="16" s="1"/>
  <c r="G172" i="15"/>
  <c r="H1022" i="16" s="1"/>
  <c r="L248" i="15"/>
  <c r="H1483" i="16" s="1"/>
  <c r="K248" i="15"/>
  <c r="H1482" i="16" s="1"/>
  <c r="I230" i="15"/>
  <c r="H1372" i="16" s="1"/>
  <c r="I15" i="15"/>
  <c r="H82" i="16" s="1"/>
  <c r="J15" i="15"/>
  <c r="H83" i="16" s="1"/>
  <c r="H121" i="15"/>
  <c r="H717" i="16" s="1"/>
  <c r="G121" i="15"/>
  <c r="H716" i="16" s="1"/>
  <c r="K299" i="5"/>
  <c r="L137" i="15"/>
  <c r="H817" i="16" s="1"/>
  <c r="K137" i="15"/>
  <c r="H816" i="16" s="1"/>
  <c r="L209" i="15"/>
  <c r="H1249" i="16" s="1"/>
  <c r="K209" i="15"/>
  <c r="H1248" i="16" s="1"/>
  <c r="I236" i="15"/>
  <c r="H1408" i="16" s="1"/>
  <c r="J236" i="15"/>
  <c r="H1409" i="16" s="1"/>
  <c r="G293" i="15"/>
  <c r="H1748" i="16" s="1"/>
  <c r="G280" i="15"/>
  <c r="H1670" i="16" s="1"/>
  <c r="G24" i="15"/>
  <c r="H134" i="16" s="1"/>
  <c r="J137" i="15"/>
  <c r="H815" i="16" s="1"/>
  <c r="I137" i="15"/>
  <c r="H814" i="16" s="1"/>
  <c r="K167" i="5"/>
  <c r="I97" i="15"/>
  <c r="H574" i="16" s="1"/>
  <c r="K302" i="15"/>
  <c r="H1806" i="16" s="1"/>
  <c r="J293" i="15"/>
  <c r="H1751" i="16" s="1"/>
  <c r="I293" i="15"/>
  <c r="H1750" i="16" s="1"/>
  <c r="K141" i="5"/>
  <c r="I280" i="15"/>
  <c r="H1672" i="16" s="1"/>
  <c r="I24" i="15"/>
  <c r="H136" i="16" s="1"/>
  <c r="K52" i="5"/>
  <c r="I208" i="15"/>
  <c r="H1240" i="16" s="1"/>
  <c r="H302" i="15"/>
  <c r="H1803" i="16" s="1"/>
  <c r="H296" i="15"/>
  <c r="H1767" i="16" s="1"/>
  <c r="H224" i="15"/>
  <c r="H1335" i="16" s="1"/>
  <c r="J205" i="15"/>
  <c r="H1223" i="16" s="1"/>
  <c r="I205" i="15"/>
  <c r="H1222" i="16" s="1"/>
  <c r="K190" i="5"/>
  <c r="G157" i="15"/>
  <c r="H932" i="16" s="1"/>
  <c r="J187" i="15"/>
  <c r="H1115" i="16" s="1"/>
  <c r="I187" i="15"/>
  <c r="H1114" i="16" s="1"/>
  <c r="J150" i="15"/>
  <c r="H893" i="16" s="1"/>
  <c r="I120" i="15"/>
  <c r="H712" i="16" s="1"/>
  <c r="H330" i="15"/>
  <c r="H1971" i="16" s="1"/>
  <c r="G64" i="15"/>
  <c r="H374" i="16" s="1"/>
  <c r="S178" i="4"/>
  <c r="U178" i="4" s="1"/>
  <c r="H273" i="15"/>
  <c r="H1629" i="16" s="1"/>
  <c r="H150" i="15"/>
  <c r="H891" i="16" s="1"/>
  <c r="H23" i="15"/>
  <c r="H129" i="16" s="1"/>
  <c r="J180" i="15"/>
  <c r="H1073" i="16" s="1"/>
  <c r="I180" i="15"/>
  <c r="H1072" i="16" s="1"/>
  <c r="S280" i="4"/>
  <c r="U280" i="4" s="1"/>
  <c r="G204" i="15"/>
  <c r="H1214" i="16" s="1"/>
  <c r="G63" i="15"/>
  <c r="H368" i="16" s="1"/>
  <c r="H63" i="15"/>
  <c r="H369" i="16" s="1"/>
  <c r="S270" i="4"/>
  <c r="U270" i="4"/>
  <c r="K152" i="5"/>
  <c r="K72" i="5"/>
  <c r="I132" i="15"/>
  <c r="H784" i="16" s="1"/>
  <c r="G250" i="15"/>
  <c r="H1490" i="16" s="1"/>
  <c r="J111" i="15"/>
  <c r="H659" i="16" s="1"/>
  <c r="I111" i="15"/>
  <c r="H658" i="16" s="1"/>
  <c r="I223" i="15"/>
  <c r="H1330" i="16" s="1"/>
  <c r="S196" i="4"/>
  <c r="U196" i="4" s="1"/>
  <c r="K93" i="5"/>
  <c r="H44" i="15"/>
  <c r="H255" i="16" s="1"/>
  <c r="K140" i="5"/>
  <c r="H221" i="15"/>
  <c r="H1317" i="16" s="1"/>
  <c r="K232" i="5"/>
  <c r="K125" i="5"/>
  <c r="H76" i="15"/>
  <c r="H447" i="16" s="1"/>
  <c r="L77" i="15"/>
  <c r="H457" i="16" s="1"/>
  <c r="I107" i="15"/>
  <c r="H634" i="16" s="1"/>
  <c r="H136" i="15"/>
  <c r="H807" i="16" s="1"/>
  <c r="G136" i="15"/>
  <c r="H806" i="16" s="1"/>
  <c r="G292" i="15"/>
  <c r="H1742" i="16" s="1"/>
  <c r="K188" i="5"/>
  <c r="J105" i="15"/>
  <c r="H623" i="16" s="1"/>
  <c r="I105" i="15"/>
  <c r="H622" i="16" s="1"/>
  <c r="I207" i="15"/>
  <c r="H1234" i="16" s="1"/>
  <c r="K312" i="5"/>
  <c r="U228" i="4"/>
  <c r="S228" i="4"/>
  <c r="G4" i="15"/>
  <c r="H14" i="16" s="1"/>
  <c r="K201" i="5"/>
  <c r="I177" i="15"/>
  <c r="H1054" i="16" s="1"/>
  <c r="J10" i="15"/>
  <c r="H53" i="16" s="1"/>
  <c r="G183" i="15"/>
  <c r="H1088" i="16" s="1"/>
  <c r="G278" i="15"/>
  <c r="H1658" i="16" s="1"/>
  <c r="K255" i="5"/>
  <c r="G337" i="15"/>
  <c r="H2012" i="16" s="1"/>
  <c r="G231" i="15"/>
  <c r="H1376" i="16" s="1"/>
  <c r="G271" i="15"/>
  <c r="H1616" i="16" s="1"/>
  <c r="G78" i="15"/>
  <c r="H458" i="16" s="1"/>
  <c r="L269" i="15"/>
  <c r="H1609" i="16" s="1"/>
  <c r="U183" i="4"/>
  <c r="S183" i="4"/>
  <c r="S282" i="4"/>
  <c r="U282" i="4"/>
  <c r="S241" i="4"/>
  <c r="U241" i="4"/>
  <c r="S14" i="4"/>
  <c r="U14" i="4" s="1"/>
  <c r="I265" i="15"/>
  <c r="H1582" i="16" s="1"/>
  <c r="J84" i="15"/>
  <c r="H497" i="16" s="1"/>
  <c r="I84" i="15"/>
  <c r="H496" i="16" s="1"/>
  <c r="K172" i="5"/>
  <c r="J264" i="15"/>
  <c r="H1577" i="16" s="1"/>
  <c r="K236" i="15"/>
  <c r="H1410" i="16" s="1"/>
  <c r="K262" i="5"/>
  <c r="K306" i="5"/>
  <c r="H39" i="15"/>
  <c r="H225" i="16" s="1"/>
  <c r="H226" i="15"/>
  <c r="H1347" i="16" s="1"/>
  <c r="G226" i="15"/>
  <c r="H1346" i="16" s="1"/>
  <c r="K293" i="5"/>
  <c r="K280" i="5"/>
  <c r="G14" i="15"/>
  <c r="H74" i="16" s="1"/>
  <c r="S67" i="4"/>
  <c r="U67" i="4"/>
  <c r="S316" i="4"/>
  <c r="U316" i="4" s="1"/>
  <c r="G110" i="15"/>
  <c r="H650" i="16" s="1"/>
  <c r="K208" i="5"/>
  <c r="G160" i="15"/>
  <c r="H950" i="16" s="1"/>
  <c r="L134" i="15"/>
  <c r="H799" i="16" s="1"/>
  <c r="J323" i="15"/>
  <c r="H1931" i="16" s="1"/>
  <c r="I323" i="15"/>
  <c r="H1930" i="16" s="1"/>
  <c r="S238" i="4"/>
  <c r="U238" i="4" s="1"/>
  <c r="L150" i="15"/>
  <c r="H895" i="16" s="1"/>
  <c r="K205" i="5"/>
  <c r="K235" i="5"/>
  <c r="K157" i="5"/>
  <c r="G187" i="15"/>
  <c r="H1112" i="16" s="1"/>
  <c r="K120" i="15"/>
  <c r="H714" i="16" s="1"/>
  <c r="L120" i="15"/>
  <c r="H715" i="16" s="1"/>
  <c r="K64" i="15"/>
  <c r="H378" i="16" s="1"/>
  <c r="L64" i="15"/>
  <c r="H379" i="16" s="1"/>
  <c r="H334" i="15"/>
  <c r="H1995" i="16" s="1"/>
  <c r="G334" i="15"/>
  <c r="H1994" i="16" s="1"/>
  <c r="K180" i="5"/>
  <c r="I204" i="15"/>
  <c r="H1216" i="16" s="1"/>
  <c r="I63" i="15"/>
  <c r="H370" i="16" s="1"/>
  <c r="J63" i="15"/>
  <c r="H371" i="16" s="1"/>
  <c r="K221" i="15"/>
  <c r="H1320" i="16" s="1"/>
  <c r="K132" i="5"/>
  <c r="I250" i="15"/>
  <c r="H1492" i="16" s="1"/>
  <c r="K111" i="5"/>
  <c r="K223" i="5"/>
  <c r="K175" i="5"/>
  <c r="U275" i="4"/>
  <c r="S275" i="4"/>
  <c r="I292" i="15"/>
  <c r="H1744" i="16" s="1"/>
  <c r="G239" i="15"/>
  <c r="H1424" i="16" s="1"/>
  <c r="K105" i="5"/>
  <c r="K207" i="15"/>
  <c r="H1236" i="16" s="1"/>
  <c r="G274" i="15"/>
  <c r="H1634" i="16" s="1"/>
  <c r="K177" i="5"/>
  <c r="I96" i="15"/>
  <c r="H568" i="16" s="1"/>
  <c r="K278" i="5"/>
  <c r="L60" i="15"/>
  <c r="H355" i="16" s="1"/>
  <c r="I337" i="15"/>
  <c r="H2014" i="16" s="1"/>
  <c r="I231" i="15"/>
  <c r="H1378" i="16" s="1"/>
  <c r="I271" i="15"/>
  <c r="H1618" i="16" s="1"/>
  <c r="I78" i="15"/>
  <c r="H460" i="16" s="1"/>
  <c r="S242" i="4"/>
  <c r="U242" i="4"/>
  <c r="L40" i="15"/>
  <c r="H235" i="16" s="1"/>
  <c r="L103" i="15"/>
  <c r="H613" i="16" s="1"/>
  <c r="L69" i="15"/>
  <c r="H409" i="16" s="1"/>
  <c r="L330" i="15"/>
  <c r="H1975" i="16" s="1"/>
  <c r="K90" i="15" l="1"/>
  <c r="H534" i="16" s="1"/>
  <c r="J231" i="15"/>
  <c r="H1379" i="16" s="1"/>
  <c r="J292" i="15"/>
  <c r="H1745" i="16" s="1"/>
  <c r="H183" i="15"/>
  <c r="H1089" i="16" s="1"/>
  <c r="H292" i="15"/>
  <c r="H1743" i="16" s="1"/>
  <c r="J223" i="15"/>
  <c r="H1331" i="16" s="1"/>
  <c r="H157" i="15"/>
  <c r="H933" i="16" s="1"/>
  <c r="J174" i="15"/>
  <c r="H1037" i="16" s="1"/>
  <c r="H125" i="15"/>
  <c r="H741" i="16" s="1"/>
  <c r="H180" i="15"/>
  <c r="H1071" i="16" s="1"/>
  <c r="J16" i="15"/>
  <c r="H89" i="16" s="1"/>
  <c r="J331" i="15"/>
  <c r="H1979" i="16" s="1"/>
  <c r="H312" i="15"/>
  <c r="H1863" i="16" s="1"/>
  <c r="H120" i="15"/>
  <c r="H711" i="16" s="1"/>
  <c r="J202" i="15"/>
  <c r="H1205" i="16" s="1"/>
  <c r="L154" i="15"/>
  <c r="H919" i="16" s="1"/>
  <c r="L247" i="15"/>
  <c r="H1477" i="16" s="1"/>
  <c r="H153" i="15"/>
  <c r="H909" i="16" s="1"/>
  <c r="H206" i="15"/>
  <c r="H1227" i="16" s="1"/>
  <c r="H202" i="15"/>
  <c r="H1203" i="16" s="1"/>
  <c r="J200" i="15"/>
  <c r="H1193" i="16" s="1"/>
  <c r="L244" i="15"/>
  <c r="H1459" i="16" s="1"/>
  <c r="J261" i="15"/>
  <c r="H1559" i="16" s="1"/>
  <c r="J94" i="15"/>
  <c r="H557" i="16" s="1"/>
  <c r="H176" i="15"/>
  <c r="H1047" i="16" s="1"/>
  <c r="K80" i="15"/>
  <c r="H474" i="16" s="1"/>
  <c r="H290" i="15"/>
  <c r="H1731" i="16" s="1"/>
  <c r="K32" i="15"/>
  <c r="H186" i="16" s="1"/>
  <c r="J47" i="15"/>
  <c r="H275" i="16" s="1"/>
  <c r="H106" i="15"/>
  <c r="H627" i="16" s="1"/>
  <c r="K122" i="15"/>
  <c r="H726" i="16" s="1"/>
  <c r="J193" i="15"/>
  <c r="H1151" i="16" s="1"/>
  <c r="K315" i="15"/>
  <c r="H1884" i="16" s="1"/>
  <c r="L48" i="15"/>
  <c r="H283" i="16" s="1"/>
  <c r="L78" i="15"/>
  <c r="H463" i="16" s="1"/>
  <c r="H28" i="15"/>
  <c r="H159" i="16" s="1"/>
  <c r="J175" i="15"/>
  <c r="H1043" i="16" s="1"/>
  <c r="J307" i="15"/>
  <c r="H1835" i="16" s="1"/>
  <c r="H323" i="15"/>
  <c r="H1929" i="16" s="1"/>
  <c r="J14" i="15"/>
  <c r="H77" i="16" s="1"/>
  <c r="L141" i="15"/>
  <c r="H841" i="16" s="1"/>
  <c r="K141" i="15"/>
  <c r="H840" i="16" s="1"/>
  <c r="J337" i="15"/>
  <c r="H2015" i="16" s="1"/>
  <c r="H160" i="15"/>
  <c r="H951" i="16" s="1"/>
  <c r="K306" i="15"/>
  <c r="H1830" i="16" s="1"/>
  <c r="L155" i="15"/>
  <c r="H925" i="16" s="1"/>
  <c r="K155" i="15"/>
  <c r="H924" i="16" s="1"/>
  <c r="H126" i="15"/>
  <c r="H747" i="16" s="1"/>
  <c r="L34" i="15"/>
  <c r="H199" i="16" s="1"/>
  <c r="K34" i="15"/>
  <c r="H198" i="16" s="1"/>
  <c r="K202" i="15"/>
  <c r="H1206" i="16" s="1"/>
  <c r="L202" i="15"/>
  <c r="H1207" i="16" s="1"/>
  <c r="K97" i="15"/>
  <c r="H576" i="16" s="1"/>
  <c r="K156" i="15"/>
  <c r="H930" i="16" s="1"/>
  <c r="K2" i="15"/>
  <c r="H6" i="16" s="1"/>
  <c r="J6" i="1"/>
  <c r="B11" i="1"/>
  <c r="H18" i="15"/>
  <c r="H99" i="16" s="1"/>
  <c r="H170" i="15"/>
  <c r="H1011" i="16" s="1"/>
  <c r="J211" i="15"/>
  <c r="H1259" i="16" s="1"/>
  <c r="K16" i="15"/>
  <c r="H90" i="16" s="1"/>
  <c r="L16" i="15"/>
  <c r="H91" i="16" s="1"/>
  <c r="K185" i="15"/>
  <c r="H1104" i="16" s="1"/>
  <c r="J127" i="15"/>
  <c r="H755" i="16" s="1"/>
  <c r="H80" i="15"/>
  <c r="H471" i="16" s="1"/>
  <c r="H196" i="15"/>
  <c r="H1167" i="16" s="1"/>
  <c r="K164" i="15"/>
  <c r="H978" i="16" s="1"/>
  <c r="J304" i="15"/>
  <c r="H1817" i="16" s="1"/>
  <c r="H242" i="15"/>
  <c r="H1443" i="16" s="1"/>
  <c r="H122" i="15"/>
  <c r="H723" i="16" s="1"/>
  <c r="H333" i="15"/>
  <c r="H1989" i="16" s="1"/>
  <c r="K160" i="15"/>
  <c r="H954" i="16" s="1"/>
  <c r="L229" i="15"/>
  <c r="H1369" i="16" s="1"/>
  <c r="L33" i="15"/>
  <c r="H193" i="16" s="1"/>
  <c r="L302" i="15"/>
  <c r="H1807" i="16" s="1"/>
  <c r="J170" i="15"/>
  <c r="H1013" i="16" s="1"/>
  <c r="K328" i="15"/>
  <c r="H1962" i="16" s="1"/>
  <c r="K139" i="15"/>
  <c r="H828" i="16" s="1"/>
  <c r="H317" i="15"/>
  <c r="H1893" i="16" s="1"/>
  <c r="J167" i="15"/>
  <c r="H995" i="16" s="1"/>
  <c r="L317" i="15"/>
  <c r="H1897" i="16" s="1"/>
  <c r="H301" i="15"/>
  <c r="H1797" i="16" s="1"/>
  <c r="K176" i="15"/>
  <c r="H1050" i="16" s="1"/>
  <c r="J185" i="15"/>
  <c r="H1103" i="16" s="1"/>
  <c r="L66" i="15"/>
  <c r="H391" i="16" s="1"/>
  <c r="K66" i="15"/>
  <c r="H390" i="16" s="1"/>
  <c r="J108" i="15"/>
  <c r="H641" i="16" s="1"/>
  <c r="J332" i="15"/>
  <c r="H1985" i="16" s="1"/>
  <c r="H200" i="15"/>
  <c r="H1191" i="16" s="1"/>
  <c r="H47" i="15"/>
  <c r="H273" i="16" s="1"/>
  <c r="L82" i="15"/>
  <c r="H487" i="16" s="1"/>
  <c r="K82" i="15"/>
  <c r="H486" i="16" s="1"/>
  <c r="H211" i="15"/>
  <c r="H1257" i="16" s="1"/>
  <c r="H193" i="15"/>
  <c r="H1149" i="16" s="1"/>
  <c r="J31" i="15"/>
  <c r="H179" i="16" s="1"/>
  <c r="H184" i="15"/>
  <c r="H1095" i="16" s="1"/>
  <c r="J287" i="15"/>
  <c r="H1715" i="16" s="1"/>
  <c r="L67" i="15"/>
  <c r="H397" i="16" s="1"/>
  <c r="K214" i="15"/>
  <c r="H1278" i="16" s="1"/>
  <c r="H304" i="15"/>
  <c r="H1815" i="16" s="1"/>
  <c r="H199" i="15"/>
  <c r="H1185" i="16" s="1"/>
  <c r="J122" i="15"/>
  <c r="H725" i="16" s="1"/>
  <c r="L334" i="15"/>
  <c r="H1999" i="16" s="1"/>
  <c r="H246" i="15"/>
  <c r="H1467" i="16" s="1"/>
  <c r="K239" i="15"/>
  <c r="H1428" i="16" s="1"/>
  <c r="J151" i="15"/>
  <c r="H899" i="16" s="1"/>
  <c r="J232" i="15"/>
  <c r="H1385" i="16" s="1"/>
  <c r="L294" i="15"/>
  <c r="H1759" i="16" s="1"/>
  <c r="K170" i="15"/>
  <c r="H1014" i="16" s="1"/>
  <c r="L215" i="15"/>
  <c r="H1285" i="16" s="1"/>
  <c r="K215" i="15"/>
  <c r="H1284" i="16" s="1"/>
  <c r="L46" i="15"/>
  <c r="H271" i="16" s="1"/>
  <c r="K46" i="15"/>
  <c r="H270" i="16" s="1"/>
  <c r="L200" i="15"/>
  <c r="H1195" i="16" s="1"/>
  <c r="K200" i="15"/>
  <c r="H1194" i="16" s="1"/>
  <c r="K258" i="15"/>
  <c r="H1542" i="16" s="1"/>
  <c r="L258" i="15"/>
  <c r="H1543" i="16" s="1"/>
  <c r="K213" i="15"/>
  <c r="H1272" i="16" s="1"/>
  <c r="L321" i="15"/>
  <c r="H1921" i="16" s="1"/>
  <c r="K321" i="15"/>
  <c r="H1920" i="16" s="1"/>
  <c r="K291" i="15"/>
  <c r="H1740" i="16" s="1"/>
  <c r="L313" i="15"/>
  <c r="H1873" i="16" s="1"/>
  <c r="K313" i="15"/>
  <c r="H1872" i="16" s="1"/>
  <c r="L14" i="15"/>
  <c r="H79" i="16" s="1"/>
  <c r="K14" i="15"/>
  <c r="H78" i="16" s="1"/>
  <c r="L322" i="15"/>
  <c r="H1927" i="16" s="1"/>
  <c r="K322" i="15"/>
  <c r="H1926" i="16" s="1"/>
  <c r="L208" i="15"/>
  <c r="H1243" i="16" s="1"/>
  <c r="K208" i="15"/>
  <c r="H1242" i="16" s="1"/>
  <c r="J107" i="15"/>
  <c r="H635" i="16" s="1"/>
  <c r="J97" i="15"/>
  <c r="H575" i="16" s="1"/>
  <c r="L211" i="15"/>
  <c r="H1261" i="16" s="1"/>
  <c r="J190" i="15"/>
  <c r="H1133" i="16" s="1"/>
  <c r="L153" i="15"/>
  <c r="H913" i="16" s="1"/>
  <c r="K153" i="15"/>
  <c r="H912" i="16" s="1"/>
  <c r="J227" i="15"/>
  <c r="H1355" i="16" s="1"/>
  <c r="H228" i="15"/>
  <c r="H1359" i="16" s="1"/>
  <c r="J234" i="15"/>
  <c r="H1397" i="16" s="1"/>
  <c r="J153" i="15"/>
  <c r="H911" i="16" s="1"/>
  <c r="L227" i="15"/>
  <c r="H1357" i="16" s="1"/>
  <c r="K227" i="15"/>
  <c r="H1356" i="16" s="1"/>
  <c r="J222" i="15"/>
  <c r="H1325" i="16" s="1"/>
  <c r="J184" i="15"/>
  <c r="H1097" i="16" s="1"/>
  <c r="H34" i="15"/>
  <c r="H195" i="16" s="1"/>
  <c r="J66" i="15"/>
  <c r="H389" i="16" s="1"/>
  <c r="L276" i="15"/>
  <c r="H1651" i="16" s="1"/>
  <c r="H198" i="15"/>
  <c r="H1179" i="16" s="1"/>
  <c r="H306" i="15"/>
  <c r="H1827" i="16" s="1"/>
  <c r="J219" i="15"/>
  <c r="H1307" i="16" s="1"/>
  <c r="H164" i="15"/>
  <c r="H975" i="16" s="1"/>
  <c r="L197" i="15"/>
  <c r="H1177" i="16" s="1"/>
  <c r="K136" i="15"/>
  <c r="H810" i="16" s="1"/>
  <c r="J48" i="15"/>
  <c r="H281" i="16" s="1"/>
  <c r="L79" i="15"/>
  <c r="H469" i="16" s="1"/>
  <c r="K190" i="15"/>
  <c r="H1134" i="16" s="1"/>
  <c r="K266" i="15"/>
  <c r="H1590" i="16" s="1"/>
  <c r="H110" i="15"/>
  <c r="H651" i="16" s="1"/>
  <c r="H78" i="15"/>
  <c r="H459" i="16" s="1"/>
  <c r="K299" i="15"/>
  <c r="H1788" i="16" s="1"/>
  <c r="J96" i="15"/>
  <c r="H569" i="16" s="1"/>
  <c r="H187" i="15"/>
  <c r="H1113" i="16" s="1"/>
  <c r="L172" i="15"/>
  <c r="H1027" i="16" s="1"/>
  <c r="K172" i="15"/>
  <c r="H1026" i="16" s="1"/>
  <c r="H4" i="15"/>
  <c r="H15" i="16" s="1"/>
  <c r="J132" i="15"/>
  <c r="H785" i="16" s="1"/>
  <c r="K167" i="15"/>
  <c r="H996" i="16" s="1"/>
  <c r="H207" i="15"/>
  <c r="H1233" i="16" s="1"/>
  <c r="J140" i="15"/>
  <c r="H833" i="16" s="1"/>
  <c r="L301" i="15"/>
  <c r="H1801" i="16" s="1"/>
  <c r="K301" i="15"/>
  <c r="H1800" i="16" s="1"/>
  <c r="L260" i="15"/>
  <c r="H1555" i="16" s="1"/>
  <c r="K260" i="15"/>
  <c r="H1554" i="16" s="1"/>
  <c r="K116" i="15"/>
  <c r="H690" i="16" s="1"/>
  <c r="L116" i="15"/>
  <c r="H691" i="16" s="1"/>
  <c r="J301" i="15"/>
  <c r="H1799" i="16" s="1"/>
  <c r="H328" i="15"/>
  <c r="H1959" i="16" s="1"/>
  <c r="H108" i="15"/>
  <c r="H639" i="16" s="1"/>
  <c r="L318" i="15"/>
  <c r="H1903" i="16" s="1"/>
  <c r="K261" i="15"/>
  <c r="H1560" i="16" s="1"/>
  <c r="H116" i="15"/>
  <c r="H687" i="16" s="1"/>
  <c r="L203" i="15"/>
  <c r="H1213" i="16" s="1"/>
  <c r="L91" i="15"/>
  <c r="H541" i="16" s="1"/>
  <c r="L268" i="15"/>
  <c r="H1603" i="16" s="1"/>
  <c r="L184" i="15"/>
  <c r="H1099" i="16" s="1"/>
  <c r="K184" i="15"/>
  <c r="H1098" i="16" s="1"/>
  <c r="H243" i="15"/>
  <c r="H1449" i="16" s="1"/>
  <c r="J242" i="15"/>
  <c r="H1445" i="16" s="1"/>
  <c r="L327" i="15"/>
  <c r="H1957" i="16" s="1"/>
  <c r="J192" i="15"/>
  <c r="H1145" i="16" s="1"/>
  <c r="J145" i="15"/>
  <c r="H863" i="16" s="1"/>
  <c r="J32" i="15"/>
  <c r="H185" i="16" s="1"/>
  <c r="L95" i="15"/>
  <c r="H565" i="16" s="1"/>
  <c r="K95" i="15"/>
  <c r="H564" i="16" s="1"/>
  <c r="J20" i="15"/>
  <c r="H113" i="16" s="1"/>
  <c r="J294" i="15"/>
  <c r="H1757" i="16" s="1"/>
  <c r="J49" i="15"/>
  <c r="H287" i="16" s="1"/>
  <c r="H275" i="15"/>
  <c r="H1641" i="16" s="1"/>
  <c r="L31" i="15"/>
  <c r="H181" i="16" s="1"/>
  <c r="J141" i="15"/>
  <c r="H839" i="16" s="1"/>
  <c r="H105" i="15"/>
  <c r="H621" i="16" s="1"/>
  <c r="H140" i="15"/>
  <c r="H831" i="16" s="1"/>
  <c r="L323" i="15"/>
  <c r="H1933" i="16" s="1"/>
  <c r="L121" i="15"/>
  <c r="H721" i="16" s="1"/>
  <c r="L217" i="15"/>
  <c r="H1297" i="16" s="1"/>
  <c r="L180" i="15"/>
  <c r="H1075" i="16" s="1"/>
  <c r="K180" i="15"/>
  <c r="H1074" i="16" s="1"/>
  <c r="K111" i="15"/>
  <c r="H660" i="16" s="1"/>
  <c r="L168" i="15"/>
  <c r="H1003" i="16" s="1"/>
  <c r="K168" i="15"/>
  <c r="H1002" i="16" s="1"/>
  <c r="K177" i="15"/>
  <c r="H1056" i="16" s="1"/>
  <c r="J250" i="15"/>
  <c r="H1493" i="16" s="1"/>
  <c r="H271" i="15"/>
  <c r="H1617" i="16" s="1"/>
  <c r="K125" i="15"/>
  <c r="H744" i="16" s="1"/>
  <c r="K72" i="15"/>
  <c r="H426" i="16" s="1"/>
  <c r="L72" i="15"/>
  <c r="H427" i="16" s="1"/>
  <c r="J235" i="15"/>
  <c r="H1403" i="16" s="1"/>
  <c r="H201" i="15"/>
  <c r="H1197" i="16" s="1"/>
  <c r="L126" i="15"/>
  <c r="H751" i="16" s="1"/>
  <c r="K305" i="15"/>
  <c r="H1824" i="16" s="1"/>
  <c r="J126" i="15"/>
  <c r="H749" i="16" s="1"/>
  <c r="J243" i="15"/>
  <c r="H1451" i="16" s="1"/>
  <c r="L83" i="15"/>
  <c r="H493" i="16" s="1"/>
  <c r="L206" i="15"/>
  <c r="H1231" i="16" s="1"/>
  <c r="J281" i="15"/>
  <c r="H1679" i="16" s="1"/>
  <c r="K47" i="15"/>
  <c r="H276" i="16" s="1"/>
  <c r="J129" i="15"/>
  <c r="H767" i="16" s="1"/>
  <c r="J258" i="15"/>
  <c r="H1541" i="16" s="1"/>
  <c r="H189" i="15"/>
  <c r="H1125" i="16" s="1"/>
  <c r="K234" i="15"/>
  <c r="H1398" i="16" s="1"/>
  <c r="H173" i="15"/>
  <c r="H1029" i="16" s="1"/>
  <c r="L304" i="15"/>
  <c r="H1819" i="16" s="1"/>
  <c r="K304" i="15"/>
  <c r="H1818" i="16" s="1"/>
  <c r="H192" i="15"/>
  <c r="H1143" i="16" s="1"/>
  <c r="J30" i="15"/>
  <c r="H173" i="16" s="1"/>
  <c r="H287" i="15"/>
  <c r="H1713" i="16" s="1"/>
  <c r="L38" i="15"/>
  <c r="H223" i="16" s="1"/>
  <c r="J17" i="15"/>
  <c r="H95" i="16" s="1"/>
  <c r="L158" i="15"/>
  <c r="H943" i="16" s="1"/>
  <c r="K191" i="15"/>
  <c r="H1140" i="16" s="1"/>
  <c r="K297" i="15"/>
  <c r="H1776" i="16" s="1"/>
  <c r="K284" i="15"/>
  <c r="H1698" i="16" s="1"/>
  <c r="H281" i="15"/>
  <c r="H1677" i="16" s="1"/>
  <c r="K332" i="15"/>
  <c r="H1986" i="16" s="1"/>
  <c r="K219" i="15"/>
  <c r="H1308" i="16" s="1"/>
  <c r="L159" i="15"/>
  <c r="H949" i="16" s="1"/>
  <c r="L143" i="15"/>
  <c r="H853" i="16" s="1"/>
  <c r="K143" i="15"/>
  <c r="H852" i="16" s="1"/>
  <c r="K278" i="15"/>
  <c r="H1662" i="16" s="1"/>
  <c r="L278" i="15"/>
  <c r="H1663" i="16" s="1"/>
  <c r="K132" i="15"/>
  <c r="H786" i="16" s="1"/>
  <c r="K228" i="15"/>
  <c r="H1362" i="16" s="1"/>
  <c r="K222" i="15"/>
  <c r="H1326" i="16" s="1"/>
  <c r="L222" i="15"/>
  <c r="H1327" i="16" s="1"/>
  <c r="J4" i="15"/>
  <c r="H17" i="16" s="1"/>
  <c r="K19" i="15"/>
  <c r="H108" i="16" s="1"/>
  <c r="K335" i="15"/>
  <c r="H2004" i="16" s="1"/>
  <c r="H335" i="15"/>
  <c r="H2001" i="16" s="1"/>
  <c r="L287" i="15"/>
  <c r="H1717" i="16" s="1"/>
  <c r="K287" i="15"/>
  <c r="H1716" i="16" s="1"/>
  <c r="H234" i="15"/>
  <c r="H1395" i="16" s="1"/>
  <c r="J104" i="15"/>
  <c r="H617" i="16" s="1"/>
  <c r="K17" i="15"/>
  <c r="H96" i="16" s="1"/>
  <c r="K246" i="15"/>
  <c r="H1470" i="16" s="1"/>
  <c r="L246" i="15"/>
  <c r="H1471" i="16" s="1"/>
  <c r="K223" i="15"/>
  <c r="H1332" i="16" s="1"/>
  <c r="K235" i="15"/>
  <c r="H1404" i="16" s="1"/>
  <c r="L312" i="15"/>
  <c r="H1867" i="16" s="1"/>
  <c r="K312" i="15"/>
  <c r="H1866" i="16" s="1"/>
  <c r="J208" i="15"/>
  <c r="H1241" i="16" s="1"/>
  <c r="H171" i="15"/>
  <c r="H1017" i="16" s="1"/>
  <c r="J176" i="15"/>
  <c r="H1049" i="16" s="1"/>
  <c r="K92" i="15"/>
  <c r="H546" i="16" s="1"/>
  <c r="L92" i="15"/>
  <c r="H547" i="16" s="1"/>
  <c r="H66" i="15"/>
  <c r="H387" i="16" s="1"/>
  <c r="J249" i="15"/>
  <c r="H1487" i="16" s="1"/>
  <c r="L333" i="15"/>
  <c r="H1993" i="16" s="1"/>
  <c r="K30" i="15"/>
  <c r="H174" i="16" s="1"/>
  <c r="K275" i="15"/>
  <c r="H1644" i="16" s="1"/>
  <c r="J144" i="15"/>
  <c r="H857" i="16" s="1"/>
  <c r="L113" i="15"/>
  <c r="H673" i="16" s="1"/>
  <c r="H307" i="15"/>
  <c r="H1833" i="16" s="1"/>
  <c r="J277" i="15"/>
  <c r="H1655" i="16" s="1"/>
  <c r="L25" i="15"/>
  <c r="H145" i="16" s="1"/>
  <c r="L292" i="15"/>
  <c r="H1747" i="16" s="1"/>
  <c r="H175" i="15"/>
  <c r="H1041" i="16" s="1"/>
  <c r="L204" i="15"/>
  <c r="H1219" i="16" s="1"/>
  <c r="H297" i="15"/>
  <c r="H1773" i="16" s="1"/>
  <c r="L110" i="15"/>
  <c r="H655" i="16" s="1"/>
  <c r="K233" i="15"/>
  <c r="H1392" i="16" s="1"/>
  <c r="K175" i="15"/>
  <c r="H1044" i="16" s="1"/>
  <c r="J177" i="15"/>
  <c r="H1055" i="16" s="1"/>
  <c r="L201" i="15"/>
  <c r="H1201" i="16" s="1"/>
  <c r="K201" i="15"/>
  <c r="H1200" i="16" s="1"/>
  <c r="H235" i="15"/>
  <c r="H1401" i="16" s="1"/>
  <c r="K52" i="15"/>
  <c r="H306" i="16" s="1"/>
  <c r="L71" i="15"/>
  <c r="H421" i="16" s="1"/>
  <c r="L212" i="15"/>
  <c r="H1267" i="16" s="1"/>
  <c r="K212" i="15"/>
  <c r="H1266" i="16" s="1"/>
  <c r="H266" i="15"/>
  <c r="H1587" i="16" s="1"/>
  <c r="J262" i="15"/>
  <c r="H1565" i="16" s="1"/>
  <c r="J124" i="15"/>
  <c r="H737" i="16" s="1"/>
  <c r="K18" i="15"/>
  <c r="H102" i="16" s="1"/>
  <c r="H168" i="15"/>
  <c r="H999" i="16" s="1"/>
  <c r="J155" i="15"/>
  <c r="H923" i="16" s="1"/>
  <c r="J46" i="15"/>
  <c r="H269" i="16" s="1"/>
  <c r="J139" i="15"/>
  <c r="H827" i="16" s="1"/>
  <c r="J18" i="15"/>
  <c r="H101" i="16" s="1"/>
  <c r="H248" i="15"/>
  <c r="H1479" i="16" s="1"/>
  <c r="H156" i="15"/>
  <c r="H927" i="16" s="1"/>
  <c r="K210" i="15"/>
  <c r="H1254" i="16" s="1"/>
  <c r="L210" i="15"/>
  <c r="H1255" i="16" s="1"/>
  <c r="H94" i="15"/>
  <c r="H555" i="16" s="1"/>
  <c r="J284" i="15"/>
  <c r="H1697" i="16" s="1"/>
  <c r="L314" i="15"/>
  <c r="H1879" i="16" s="1"/>
  <c r="H20" i="15"/>
  <c r="H111" i="16" s="1"/>
  <c r="H92" i="15"/>
  <c r="H543" i="16" s="1"/>
  <c r="K20" i="15"/>
  <c r="H114" i="16" s="1"/>
  <c r="L20" i="15"/>
  <c r="H115" i="16" s="1"/>
  <c r="J90" i="15"/>
  <c r="H533" i="16" s="1"/>
  <c r="K28" i="15"/>
  <c r="H162" i="16" s="1"/>
  <c r="J215" i="15"/>
  <c r="H1283" i="16" s="1"/>
  <c r="K303" i="15"/>
  <c r="H1812" i="16" s="1"/>
  <c r="L151" i="15"/>
  <c r="H901" i="16" s="1"/>
  <c r="K151" i="15"/>
  <c r="H900" i="16" s="1"/>
  <c r="J283" i="15"/>
  <c r="H1691" i="16" s="1"/>
  <c r="J233" i="15"/>
  <c r="H1391" i="16" s="1"/>
  <c r="L307" i="15"/>
  <c r="H1837" i="16" s="1"/>
  <c r="H62" i="15"/>
  <c r="H363" i="16" s="1"/>
  <c r="J197" i="15"/>
  <c r="H1175" i="16" s="1"/>
  <c r="H52" i="15"/>
  <c r="H303" i="16" s="1"/>
  <c r="L271" i="15"/>
  <c r="H1621" i="16" s="1"/>
  <c r="L236" i="15"/>
  <c r="H1411" i="16" s="1"/>
  <c r="H250" i="15"/>
  <c r="H1491" i="16" s="1"/>
  <c r="H337" i="15"/>
  <c r="H2013" i="16" s="1"/>
  <c r="J78" i="15"/>
  <c r="H461" i="16" s="1"/>
  <c r="L105" i="15"/>
  <c r="H625" i="16" s="1"/>
  <c r="K105" i="15"/>
  <c r="H624" i="16" s="1"/>
  <c r="K280" i="15"/>
  <c r="H1674" i="16" s="1"/>
  <c r="K255" i="15"/>
  <c r="H1524" i="16" s="1"/>
  <c r="L93" i="15"/>
  <c r="H553" i="16" s="1"/>
  <c r="K93" i="15"/>
  <c r="H552" i="16" s="1"/>
  <c r="J120" i="15"/>
  <c r="H713" i="16" s="1"/>
  <c r="J24" i="15"/>
  <c r="H137" i="16" s="1"/>
  <c r="H280" i="15"/>
  <c r="H1671" i="16" s="1"/>
  <c r="H107" i="15"/>
  <c r="H633" i="16" s="1"/>
  <c r="L53" i="15"/>
  <c r="H313" i="16" s="1"/>
  <c r="H174" i="15"/>
  <c r="H1035" i="16" s="1"/>
  <c r="H139" i="15"/>
  <c r="H825" i="16" s="1"/>
  <c r="J121" i="15"/>
  <c r="H719" i="16" s="1"/>
  <c r="J34" i="15"/>
  <c r="H197" i="16" s="1"/>
  <c r="K329" i="15"/>
  <c r="H1968" i="16" s="1"/>
  <c r="L36" i="15"/>
  <c r="H211" i="16" s="1"/>
  <c r="J305" i="15"/>
  <c r="H1823" i="16" s="1"/>
  <c r="K148" i="15"/>
  <c r="H882" i="16" s="1"/>
  <c r="L148" i="15"/>
  <c r="H883" i="16" s="1"/>
  <c r="J290" i="15"/>
  <c r="H1733" i="16" s="1"/>
  <c r="H2" i="15"/>
  <c r="H3" i="16" s="1"/>
  <c r="J19" i="15"/>
  <c r="H107" i="16" s="1"/>
  <c r="H82" i="15"/>
  <c r="H483" i="16" s="1"/>
  <c r="J276" i="15"/>
  <c r="H1649" i="16" s="1"/>
  <c r="L62" i="15"/>
  <c r="H367" i="16" s="1"/>
  <c r="K62" i="15"/>
  <c r="H366" i="16" s="1"/>
  <c r="H276" i="15"/>
  <c r="H1647" i="16" s="1"/>
  <c r="L163" i="15"/>
  <c r="H973" i="16" s="1"/>
  <c r="J275" i="15"/>
  <c r="H1643" i="16" s="1"/>
  <c r="K283" i="15"/>
  <c r="H1692" i="16" s="1"/>
  <c r="H336" i="15"/>
  <c r="H2007" i="16" s="1"/>
  <c r="J62" i="15"/>
  <c r="H365" i="16" s="1"/>
  <c r="H17" i="15"/>
  <c r="H93" i="16" s="1"/>
  <c r="J95" i="15"/>
  <c r="H563" i="16" s="1"/>
  <c r="L162" i="15"/>
  <c r="H967" i="16" s="1"/>
  <c r="H291" i="15"/>
  <c r="H1737" i="16" s="1"/>
  <c r="J136" i="15"/>
  <c r="H809" i="16" s="1"/>
  <c r="J26" i="15"/>
  <c r="H149" i="16" s="1"/>
  <c r="J52" i="15"/>
  <c r="H305" i="16" s="1"/>
  <c r="L94" i="15"/>
  <c r="H559" i="16" s="1"/>
  <c r="K262" i="15"/>
  <c r="H1566" i="16" s="1"/>
  <c r="L262" i="15"/>
  <c r="H1567" i="16" s="1"/>
  <c r="K193" i="15"/>
  <c r="H1152" i="16" s="1"/>
  <c r="K157" i="15"/>
  <c r="H936" i="16" s="1"/>
  <c r="L152" i="15"/>
  <c r="H907" i="16" s="1"/>
  <c r="K152" i="15"/>
  <c r="H906" i="16" s="1"/>
  <c r="H274" i="15"/>
  <c r="H1635" i="16" s="1"/>
  <c r="H231" i="15"/>
  <c r="H1377" i="16" s="1"/>
  <c r="H64" i="15"/>
  <c r="H375" i="16" s="1"/>
  <c r="K4" i="15"/>
  <c r="H18" i="16" s="1"/>
  <c r="L4" i="15"/>
  <c r="H19" i="16" s="1"/>
  <c r="L221" i="15"/>
  <c r="H1321" i="16" s="1"/>
  <c r="J265" i="15"/>
  <c r="H1583" i="16" s="1"/>
  <c r="H96" i="15"/>
  <c r="H567" i="16" s="1"/>
  <c r="K245" i="15"/>
  <c r="H1464" i="16" s="1"/>
  <c r="H68" i="15"/>
  <c r="H399" i="16" s="1"/>
  <c r="J230" i="15"/>
  <c r="H1373" i="16" s="1"/>
  <c r="K290" i="15"/>
  <c r="H1734" i="16" s="1"/>
  <c r="K104" i="15"/>
  <c r="H618" i="16" s="1"/>
  <c r="K45" i="15"/>
  <c r="H264" i="16" s="1"/>
  <c r="K26" i="15"/>
  <c r="H150" i="16" s="1"/>
  <c r="L49" i="15"/>
  <c r="H289" i="16" s="1"/>
  <c r="K232" i="15"/>
  <c r="H1386" i="16" s="1"/>
  <c r="L205" i="15"/>
  <c r="H1225" i="16" s="1"/>
  <c r="K205" i="15"/>
  <c r="H1224" i="16" s="1"/>
  <c r="L140" i="15"/>
  <c r="H835" i="16" s="1"/>
  <c r="K140" i="15"/>
  <c r="H834" i="16" s="1"/>
  <c r="H24" i="15"/>
  <c r="H135" i="16" s="1"/>
  <c r="H223" i="15"/>
  <c r="H1329" i="16" s="1"/>
  <c r="K230" i="15"/>
  <c r="H1374" i="16" s="1"/>
  <c r="L230" i="15"/>
  <c r="H1375" i="16" s="1"/>
  <c r="L207" i="15"/>
  <c r="H1237" i="16" s="1"/>
  <c r="H14" i="15"/>
  <c r="H75" i="16" s="1"/>
  <c r="J207" i="15"/>
  <c r="H1235" i="16" s="1"/>
  <c r="K293" i="15"/>
  <c r="H1752" i="16" s="1"/>
  <c r="J271" i="15"/>
  <c r="H1619" i="16" s="1"/>
  <c r="H239" i="15"/>
  <c r="H1425" i="16" s="1"/>
  <c r="J204" i="15"/>
  <c r="H1217" i="16" s="1"/>
  <c r="H278" i="15"/>
  <c r="H1659" i="16" s="1"/>
  <c r="K188" i="15"/>
  <c r="H1122" i="16" s="1"/>
  <c r="H204" i="15"/>
  <c r="H1215" i="16" s="1"/>
  <c r="J280" i="15"/>
  <c r="H1673" i="16" s="1"/>
  <c r="H293" i="15"/>
  <c r="H1749" i="16" s="1"/>
  <c r="J201" i="15"/>
  <c r="H1199" i="16" s="1"/>
  <c r="L171" i="15"/>
  <c r="H1021" i="16" s="1"/>
  <c r="K171" i="15"/>
  <c r="H1020" i="16" s="1"/>
  <c r="H141" i="15"/>
  <c r="H837" i="16" s="1"/>
  <c r="H155" i="15"/>
  <c r="H921" i="16" s="1"/>
  <c r="J64" i="15"/>
  <c r="H377" i="16" s="1"/>
  <c r="H236" i="15"/>
  <c r="H1407" i="16" s="1"/>
  <c r="H212" i="15"/>
  <c r="H1263" i="16" s="1"/>
  <c r="H331" i="15"/>
  <c r="H1977" i="16" s="1"/>
  <c r="K198" i="15"/>
  <c r="H1182" i="16" s="1"/>
  <c r="L198" i="15"/>
  <c r="H1183" i="16" s="1"/>
  <c r="L257" i="15"/>
  <c r="H1537" i="16" s="1"/>
  <c r="H143" i="15"/>
  <c r="H849" i="16" s="1"/>
  <c r="H36" i="15"/>
  <c r="H207" i="16" s="1"/>
  <c r="K238" i="15"/>
  <c r="H1422" i="16" s="1"/>
  <c r="J92" i="15"/>
  <c r="H545" i="16" s="1"/>
  <c r="H294" i="15"/>
  <c r="H1755" i="16" s="1"/>
  <c r="J45" i="15"/>
  <c r="H263" i="16" s="1"/>
  <c r="K199" i="15"/>
  <c r="H1188" i="16" s="1"/>
  <c r="K320" i="15"/>
  <c r="H1914" i="16" s="1"/>
  <c r="H145" i="15"/>
  <c r="H861" i="16" s="1"/>
  <c r="J306" i="15"/>
  <c r="H1829" i="16" s="1"/>
  <c r="J320" i="15"/>
  <c r="H1913" i="16" s="1"/>
  <c r="H95" i="15"/>
  <c r="H561" i="16" s="1"/>
  <c r="K277" i="15"/>
  <c r="H1656" i="16" s="1"/>
  <c r="H315" i="15"/>
  <c r="H1881" i="16" s="1"/>
  <c r="H277" i="15"/>
  <c r="H1653" i="16" s="1"/>
  <c r="L107" i="15"/>
  <c r="H637" i="16" s="1"/>
  <c r="H48" i="15"/>
  <c r="H279" i="16" s="1"/>
  <c r="H303" i="15"/>
  <c r="H1809" i="16" s="1"/>
  <c r="L173" i="15"/>
  <c r="H1033" i="16" s="1"/>
  <c r="L106" i="15"/>
  <c r="H631" i="16" s="1"/>
  <c r="L18" i="15" l="1"/>
  <c r="H103" i="16" s="1"/>
  <c r="L47" i="15"/>
  <c r="H277" i="16" s="1"/>
  <c r="L170" i="15"/>
  <c r="H1015" i="16" s="1"/>
  <c r="L2" i="15"/>
  <c r="H7" i="16" s="1"/>
  <c r="L32" i="15"/>
  <c r="H187" i="16" s="1"/>
  <c r="L191" i="15"/>
  <c r="H1141" i="16" s="1"/>
  <c r="L232" i="15"/>
  <c r="H1387" i="16" s="1"/>
  <c r="L167" i="15"/>
  <c r="H997" i="16" s="1"/>
  <c r="L177" i="15"/>
  <c r="H1057" i="16" s="1"/>
  <c r="L164" i="15"/>
  <c r="H979" i="16" s="1"/>
  <c r="L156" i="15"/>
  <c r="H931" i="16" s="1"/>
  <c r="L233" i="15"/>
  <c r="H1393" i="16" s="1"/>
  <c r="L293" i="15"/>
  <c r="H1753" i="16" s="1"/>
  <c r="L261" i="15"/>
  <c r="H1561" i="16" s="1"/>
  <c r="L136" i="15"/>
  <c r="H811" i="16" s="1"/>
  <c r="L291" i="15"/>
  <c r="H1741" i="16" s="1"/>
  <c r="L80" i="15"/>
  <c r="H475" i="16" s="1"/>
  <c r="L132" i="15"/>
  <c r="H787" i="16" s="1"/>
  <c r="L26" i="15"/>
  <c r="H151" i="16" s="1"/>
  <c r="L139" i="15"/>
  <c r="H829" i="16" s="1"/>
  <c r="L97" i="15"/>
  <c r="H577" i="16" s="1"/>
  <c r="L111" i="15"/>
  <c r="H661" i="16" s="1"/>
  <c r="L239" i="15"/>
  <c r="H1429" i="16" s="1"/>
  <c r="L328" i="15"/>
  <c r="H1963" i="16" s="1"/>
  <c r="L199" i="15"/>
  <c r="H1189" i="16" s="1"/>
  <c r="L45" i="15"/>
  <c r="H265" i="16" s="1"/>
  <c r="L104" i="15"/>
  <c r="H619" i="16" s="1"/>
  <c r="L255" i="15"/>
  <c r="H1525" i="16" s="1"/>
  <c r="L52" i="15"/>
  <c r="H307" i="16" s="1"/>
  <c r="L335" i="15"/>
  <c r="H2005" i="16" s="1"/>
  <c r="L219" i="15"/>
  <c r="H1309" i="16" s="1"/>
  <c r="L305" i="15"/>
  <c r="H1825" i="16" s="1"/>
  <c r="L213" i="15"/>
  <c r="H1273" i="16" s="1"/>
  <c r="L185" i="15"/>
  <c r="H1105" i="16" s="1"/>
  <c r="L19" i="15"/>
  <c r="H109" i="16" s="1"/>
  <c r="L332" i="15"/>
  <c r="H1987" i="16" s="1"/>
  <c r="L299" i="15"/>
  <c r="H1789" i="16" s="1"/>
  <c r="L17" i="15"/>
  <c r="H97" i="16" s="1"/>
  <c r="L280" i="15"/>
  <c r="H1675" i="16" s="1"/>
  <c r="L238" i="15"/>
  <c r="H1423" i="16" s="1"/>
  <c r="L290" i="15"/>
  <c r="H1735" i="16" s="1"/>
  <c r="L157" i="15"/>
  <c r="H937" i="16" s="1"/>
  <c r="L283" i="15"/>
  <c r="H1693" i="16" s="1"/>
  <c r="L329" i="15"/>
  <c r="H1969" i="16" s="1"/>
  <c r="L303" i="15"/>
  <c r="H1813" i="16" s="1"/>
  <c r="L235" i="15"/>
  <c r="H1405" i="16" s="1"/>
  <c r="L234" i="15"/>
  <c r="H1399" i="16" s="1"/>
  <c r="L315" i="15"/>
  <c r="H1885" i="16" s="1"/>
  <c r="L193" i="15"/>
  <c r="H1153" i="16" s="1"/>
  <c r="L28" i="15"/>
  <c r="H163" i="16" s="1"/>
  <c r="L275" i="15"/>
  <c r="H1645" i="16" s="1"/>
  <c r="L223" i="15"/>
  <c r="H1333" i="16" s="1"/>
  <c r="L284" i="15"/>
  <c r="H1699" i="16" s="1"/>
  <c r="L266" i="15"/>
  <c r="H1591" i="16" s="1"/>
  <c r="L214" i="15"/>
  <c r="H1279" i="16" s="1"/>
  <c r="L160" i="15"/>
  <c r="H955" i="16" s="1"/>
  <c r="L320" i="15"/>
  <c r="H1915" i="16" s="1"/>
  <c r="L306" i="15"/>
  <c r="H1831" i="16" s="1"/>
  <c r="L122" i="15"/>
  <c r="H727" i="16" s="1"/>
  <c r="L277" i="15"/>
  <c r="H1657" i="16" s="1"/>
  <c r="L188" i="15"/>
  <c r="H1123" i="16" s="1"/>
  <c r="L245" i="15"/>
  <c r="H1465" i="16" s="1"/>
  <c r="L175" i="15"/>
  <c r="H1045" i="16" s="1"/>
  <c r="L30" i="15"/>
  <c r="H175" i="16" s="1"/>
  <c r="L228" i="15"/>
  <c r="H1363" i="16" s="1"/>
  <c r="L297" i="15"/>
  <c r="H1777" i="16" s="1"/>
  <c r="L125" i="15"/>
  <c r="H745" i="16" s="1"/>
  <c r="L190" i="15"/>
  <c r="H1135" i="16" s="1"/>
  <c r="L176" i="15"/>
  <c r="H1051" i="16" s="1"/>
  <c r="L90" i="15"/>
  <c r="H535" i="16" s="1"/>
</calcChain>
</file>

<file path=xl/sharedStrings.xml><?xml version="1.0" encoding="utf-8"?>
<sst xmlns="http://schemas.openxmlformats.org/spreadsheetml/2006/main" count="6465" uniqueCount="2999">
  <si>
    <t>Kandil Glass Company - Factory #3 Performance Dashboard</t>
  </si>
  <si>
    <t>Period: 2026-07-01 to 2026-07-02 | Source: Fact_Production_Hourly, Fact_Quality_Sampling</t>
  </si>
  <si>
    <t>KPI CARDS</t>
  </si>
  <si>
    <t>Value</t>
  </si>
  <si>
    <t>Status</t>
  </si>
  <si>
    <t>Hour</t>
  </si>
  <si>
    <t>TotalActualUnits</t>
  </si>
  <si>
    <t>Classification</t>
  </si>
  <si>
    <t>TotalCount</t>
  </si>
  <si>
    <t>Machine</t>
  </si>
  <si>
    <t>EfficiencyPct</t>
  </si>
  <si>
    <t>Shift</t>
  </si>
  <si>
    <t>AvgOEE</t>
  </si>
  <si>
    <t>OEE (Availability x Performance x Quality)</t>
  </si>
  <si>
    <t>Critical</t>
  </si>
  <si>
    <t>M1</t>
  </si>
  <si>
    <t>A-AM</t>
  </si>
  <si>
    <t>Efficiency %  (Actual / Design Capacity)</t>
  </si>
  <si>
    <t>Major</t>
  </si>
  <si>
    <t>M2</t>
  </si>
  <si>
    <t>B-PM</t>
  </si>
  <si>
    <t>Pack-to-Melt %  (Accepted Tons / Molten Tons)</t>
  </si>
  <si>
    <t>Minor</t>
  </si>
  <si>
    <t>M3</t>
  </si>
  <si>
    <t>First Pass Yield (FPY)</t>
  </si>
  <si>
    <t>M4</t>
  </si>
  <si>
    <t>Defect Rate %</t>
  </si>
  <si>
    <t>M5</t>
  </si>
  <si>
    <t xml:space="preserve">  - Critical Defect Share</t>
  </si>
  <si>
    <t>M6</t>
  </si>
  <si>
    <t xml:space="preserve">  - Major Defect Share</t>
  </si>
  <si>
    <t>M7</t>
  </si>
  <si>
    <t xml:space="preserve">  - Minor Defect Share</t>
  </si>
  <si>
    <t>Industrial Decision Layer - Thresholds &amp; Required Actions</t>
  </si>
  <si>
    <t>KPI</t>
  </si>
  <si>
    <t>Good</t>
  </si>
  <si>
    <t>Warning</t>
  </si>
  <si>
    <t>Bad</t>
  </si>
  <si>
    <t>Action if Warning</t>
  </si>
  <si>
    <t>Action if Bad</t>
  </si>
  <si>
    <t>OEE</t>
  </si>
  <si>
    <t>&gt;= 85%</t>
  </si>
  <si>
    <t>70% - 84%</t>
  </si>
  <si>
    <t>&lt; 70%</t>
  </si>
  <si>
    <t>Review the weakest of Availability/Performance/Quality for the shift; brief the shift lead.</t>
  </si>
  <si>
    <t>Stop and root-cause: check changeover/downtime logs, mold condition, and defect Pareto before resuming full-speed run.</t>
  </si>
  <si>
    <t>Efficiency %</t>
  </si>
  <si>
    <t>&gt;= 90%</t>
  </si>
  <si>
    <t>80% - 89%</t>
  </si>
  <si>
    <t>&lt; 80%</t>
  </si>
  <si>
    <t>Check for minor speed loss or short stoppages; verify machine is running at rated speed.</t>
  </si>
  <si>
    <t>Investigate downtime causes (mechanical, material feed, operator) and speed loss; escalate to maintenance.</t>
  </si>
  <si>
    <t>Pack-to-Melt %</t>
  </si>
  <si>
    <t>75% - 84%</t>
  </si>
  <si>
    <t>&lt; 75%</t>
  </si>
  <si>
    <t>Review scrap/rejects at the hot end and cooling; check for glass loss between melt and pack.</t>
  </si>
  <si>
    <t>Stop and inspect furnace-to-press glass flow and job-change losses; significant tonnage is being lost.</t>
  </si>
  <si>
    <t>&gt;= 95%</t>
  </si>
  <si>
    <t>90% - 94%</t>
  </si>
  <si>
    <t>&lt; 90%</t>
  </si>
  <si>
    <t>Review recent mold/tooling wear and process drift on the affected machine/product.</t>
  </si>
  <si>
    <t>Halt the line for mold/tooling inspection; a systemic first-pass quality issue is likely.</t>
  </si>
  <si>
    <t>&lt;= 3%</t>
  </si>
  <si>
    <t>3% - 6%</t>
  </si>
  <si>
    <t>&gt; 6%</t>
  </si>
  <si>
    <t>Increase sampling frequency temporarily and monitor the trend for the next 2 hours.</t>
  </si>
  <si>
    <t>Stop the machine and investigate mold, glass temperature, or operator technique immediately.</t>
  </si>
  <si>
    <t>Critical Defects (trend)</t>
  </si>
  <si>
    <t>flat/zero</t>
  </si>
  <si>
    <t>isolated increase</t>
  </si>
  <si>
    <t>sustained increase</t>
  </si>
  <si>
    <t>Notify shift QC lead; re-inspect the last 2 hours of that machine's output.</t>
  </si>
  <si>
    <t>Stop machine immediately and investigate mold/tooling; quarantine the affected pallets.</t>
  </si>
  <si>
    <t>Scrap Rate</t>
  </si>
  <si>
    <t>&lt;= 2%</t>
  </si>
  <si>
    <t>2% - 5%</t>
  </si>
  <si>
    <t>&gt; 5%</t>
  </si>
  <si>
    <t>Check press settings and glass temperature consistency.</t>
  </si>
  <si>
    <t>Stop and recalibrate machine settings; escalate to process engineer.</t>
  </si>
  <si>
    <t>Data Dictionary &amp; Modeling Notes - Kandil Glass Factory #3</t>
  </si>
  <si>
    <t>Sheet</t>
  </si>
  <si>
    <t>Grain Definition</t>
  </si>
  <si>
    <t>Keys / Star-Schema Relationship</t>
  </si>
  <si>
    <t>Fact_Production_Hourly</t>
  </si>
  <si>
    <t>1 row per Machine per Hour per Product per Shift (7 machines x 24h x 2 days = 336 rows).</t>
  </si>
  <si>
    <t>PK: ProdKey (DateKey-HourKey-MachineKey). FKs: DateKey-&gt;Dim_Date, HourKey-&gt;Dim_Time, MachineKey-&gt;Dim_Machine, ShiftKey-&gt;Dim_Shift, ProductKey-&gt;Dim_Product.</t>
  </si>
  <si>
    <t>Fact_Quality_Sampling</t>
  </si>
  <si>
    <t>1 row per Machine per Hour, aggregating that hour's sample (SampleSize = Forms x 2). Chosen over a literal per-sampled-unit grain (~250 units/hour x 336 hours = ~85,000 rows) to stay practical in Excel, while still carrying full Critical/Major/Minor breakdown and weight/diameter/height tolerance-check counts per hour.</t>
  </si>
  <si>
    <t>PK: SampleKey. Same FKs as Fact_Production_Hourly, joins 1:1 on DateKey+HourKey+MachineKey.</t>
  </si>
  <si>
    <t>Fact_Inspection</t>
  </si>
  <si>
    <t>1 row per Order per Inspection event (6 sample orders).</t>
  </si>
  <si>
    <t>PK: InspectionKey. FKs: CustomerKey-&gt;Dim_Customer, InspectorKey-&gt;Dim_Inspector, ShiftKey-&gt;Dim_Shift, DateKey-&gt;Dim_Date, ProductKey-&gt;Dim_Product.</t>
  </si>
  <si>
    <t>Dim_Date</t>
  </si>
  <si>
    <t>1 row per calendar day.</t>
  </si>
  <si>
    <t>PK: DateKey (YYYYMMDD integer).</t>
  </si>
  <si>
    <t>Dim_Time</t>
  </si>
  <si>
    <t>1 row per hour-of-day (0-23).</t>
  </si>
  <si>
    <t>PK: HourKey. AM shift = hours 6-17, PM shift = hours 18-5 (720 min each).</t>
  </si>
  <si>
    <t>Dim_Shift</t>
  </si>
  <si>
    <t>1 row per Group x AM/PM permutation across the 3-week rotation.</t>
  </si>
  <si>
    <t>PK: ShiftKey (e.g. A-AM).</t>
  </si>
  <si>
    <t>Dim_Machine</t>
  </si>
  <si>
    <t>1 row per pressing machine (7 total).</t>
  </si>
  <si>
    <t>PK: MachineKey. Units/cycle = Forms.</t>
  </si>
  <si>
    <t>Dim_Product</t>
  </si>
  <si>
    <t>1 row per product code (3 sample products).</t>
  </si>
  <si>
    <t>PK: ProductKey. Min/Max = Design +/- Tolerance.</t>
  </si>
  <si>
    <t>Dim_Defect</t>
  </si>
  <si>
    <t>1 row per defect code (6 sample defects).</t>
  </si>
  <si>
    <t>PK: DefectCode. Classification: Critical/Major/Minor.</t>
  </si>
  <si>
    <t>Dim_Inspector</t>
  </si>
  <si>
    <t>1 row per QC inspector.</t>
  </si>
  <si>
    <t>PK: InspectorKey.</t>
  </si>
  <si>
    <t>Dim_Customer</t>
  </si>
  <si>
    <t>1 row per customer.</t>
  </si>
  <si>
    <t>PK: CustomerKey.</t>
  </si>
  <si>
    <t>DATA CLEANING RULES</t>
  </si>
  <si>
    <t>- Missing hourly data: flag the ProdKey as missing rather than deleting the hour; do not interpolate Actual Production (masks real downtime) - instead set ActualProductionUnits=0 and DowntimeMinutes=60, which correctly drags Availability to 0 for that hour.</t>
  </si>
  <si>
    <t>- Standardizing defect names: enforce defect entry via Dim_Defect's DefectCode only (dropdown/validation), never free-text defect names, so 'Bubble' / 'bubbles' / 'Air bubble' always resolve to one canonical D03 row.</t>
  </si>
  <si>
    <t>- No duplicate records: ProdKey (DateKey-HourKey-MachineKey) and SampleKey must be unique - enforce with a UNIQUE/COUNTIFS check column before load, or a Power Query dedupe step keyed on those columns.</t>
  </si>
  <si>
    <t>- Out-of-tolerance measurements: never discard - keep the raw measurement and let the OK/NOT OK formula classify it; out-of-tolerance rows are exactly the signal Quality/FPY KPIs need, not data errors to clean away.</t>
  </si>
  <si>
    <t>ProdKey (PK)</t>
  </si>
  <si>
    <t>DateKey (FK)</t>
  </si>
  <si>
    <t>HourKey (FK)</t>
  </si>
  <si>
    <t>MachineKey (FK)</t>
  </si>
  <si>
    <t>ShiftKey (FK)</t>
  </si>
  <si>
    <t>ProductKey (FK)</t>
  </si>
  <si>
    <t>PlannedMinutes</t>
  </si>
  <si>
    <t>DowntimeMinutes</t>
  </si>
  <si>
    <t>OperatingMinutes</t>
  </si>
  <si>
    <t>DesignCapacityUnits</t>
  </si>
  <si>
    <t>ActualProductionUnits</t>
  </si>
  <si>
    <t>ScrapUnits</t>
  </si>
  <si>
    <t>GoodUnits</t>
  </si>
  <si>
    <t>Availability</t>
  </si>
  <si>
    <t>Performance</t>
  </si>
  <si>
    <t>QualityRate</t>
  </si>
  <si>
    <t>MoltenGlassTons</t>
  </si>
  <si>
    <t>OutputTons</t>
  </si>
  <si>
    <t>PackToMeltPct</t>
  </si>
  <si>
    <t>20260701-00-M1</t>
  </si>
  <si>
    <t>A</t>
  </si>
  <si>
    <t>20260701-00-M2</t>
  </si>
  <si>
    <t>C</t>
  </si>
  <si>
    <t>20260701-00-M3</t>
  </si>
  <si>
    <t>20260701-00-M4</t>
  </si>
  <si>
    <t>20260701-00-M5</t>
  </si>
  <si>
    <t>20260701-00-M6</t>
  </si>
  <si>
    <t>20260701-00-M7</t>
  </si>
  <si>
    <t>20260701-01-M1</t>
  </si>
  <si>
    <t>20260701-01-M2</t>
  </si>
  <si>
    <t>20260701-01-M3</t>
  </si>
  <si>
    <t>20260701-01-M4</t>
  </si>
  <si>
    <t>20260701-01-M5</t>
  </si>
  <si>
    <t>20260701-01-M6</t>
  </si>
  <si>
    <t>20260701-01-M7</t>
  </si>
  <si>
    <t>20260701-02-M1</t>
  </si>
  <si>
    <t>20260701-02-M2</t>
  </si>
  <si>
    <t>20260701-02-M3</t>
  </si>
  <si>
    <t>20260701-02-M4</t>
  </si>
  <si>
    <t>20260701-02-M5</t>
  </si>
  <si>
    <t>20260701-02-M6</t>
  </si>
  <si>
    <t>20260701-02-M7</t>
  </si>
  <si>
    <t>20260701-03-M1</t>
  </si>
  <si>
    <t>20260701-03-M2</t>
  </si>
  <si>
    <t>20260701-03-M3</t>
  </si>
  <si>
    <t>20260701-03-M4</t>
  </si>
  <si>
    <t>20260701-03-M5</t>
  </si>
  <si>
    <t>20260701-03-M6</t>
  </si>
  <si>
    <t>20260701-03-M7</t>
  </si>
  <si>
    <t>20260701-04-M1</t>
  </si>
  <si>
    <t>20260701-04-M2</t>
  </si>
  <si>
    <t>20260701-04-M3</t>
  </si>
  <si>
    <t>20260701-04-M4</t>
  </si>
  <si>
    <t>20260701-04-M5</t>
  </si>
  <si>
    <t>20260701-04-M6</t>
  </si>
  <si>
    <t>20260701-04-M7</t>
  </si>
  <si>
    <t>20260701-05-M1</t>
  </si>
  <si>
    <t>20260701-05-M2</t>
  </si>
  <si>
    <t>20260701-05-M3</t>
  </si>
  <si>
    <t>20260701-05-M4</t>
  </si>
  <si>
    <t>20260701-05-M5</t>
  </si>
  <si>
    <t>20260701-05-M6</t>
  </si>
  <si>
    <t>20260701-05-M7</t>
  </si>
  <si>
    <t>20260701-06-M1</t>
  </si>
  <si>
    <t>20260701-06-M2</t>
  </si>
  <si>
    <t>20260701-06-M3</t>
  </si>
  <si>
    <t>B</t>
  </si>
  <si>
    <t>20260701-06-M4</t>
  </si>
  <si>
    <t>20260701-06-M5</t>
  </si>
  <si>
    <t>20260701-06-M6</t>
  </si>
  <si>
    <t>20260701-06-M7</t>
  </si>
  <si>
    <t>20260701-07-M1</t>
  </si>
  <si>
    <t>20260701-07-M2</t>
  </si>
  <si>
    <t>20260701-07-M3</t>
  </si>
  <si>
    <t>20260701-07-M4</t>
  </si>
  <si>
    <t>20260701-07-M5</t>
  </si>
  <si>
    <t>20260701-07-M6</t>
  </si>
  <si>
    <t>20260701-07-M7</t>
  </si>
  <si>
    <t>20260701-08-M1</t>
  </si>
  <si>
    <t>20260701-08-M2</t>
  </si>
  <si>
    <t>20260701-08-M3</t>
  </si>
  <si>
    <t>20260701-08-M4</t>
  </si>
  <si>
    <t>20260701-08-M5</t>
  </si>
  <si>
    <t>20260701-08-M6</t>
  </si>
  <si>
    <t>20260701-08-M7</t>
  </si>
  <si>
    <t>20260701-09-M1</t>
  </si>
  <si>
    <t>20260701-09-M2</t>
  </si>
  <si>
    <t>20260701-09-M3</t>
  </si>
  <si>
    <t>20260701-09-M4</t>
  </si>
  <si>
    <t>20260701-09-M5</t>
  </si>
  <si>
    <t>20260701-09-M6</t>
  </si>
  <si>
    <t>20260701-09-M7</t>
  </si>
  <si>
    <t>20260701-10-M1</t>
  </si>
  <si>
    <t>20260701-10-M2</t>
  </si>
  <si>
    <t>20260701-10-M3</t>
  </si>
  <si>
    <t>20260701-10-M4</t>
  </si>
  <si>
    <t>20260701-10-M5</t>
  </si>
  <si>
    <t>20260701-10-M6</t>
  </si>
  <si>
    <t>20260701-10-M7</t>
  </si>
  <si>
    <t>20260701-11-M1</t>
  </si>
  <si>
    <t>20260701-11-M2</t>
  </si>
  <si>
    <t>20260701-11-M3</t>
  </si>
  <si>
    <t>20260701-11-M4</t>
  </si>
  <si>
    <t>20260701-11-M5</t>
  </si>
  <si>
    <t>20260701-11-M6</t>
  </si>
  <si>
    <t>20260701-11-M7</t>
  </si>
  <si>
    <t>20260701-12-M1</t>
  </si>
  <si>
    <t>20260701-12-M2</t>
  </si>
  <si>
    <t>20260701-12-M3</t>
  </si>
  <si>
    <t>20260701-12-M4</t>
  </si>
  <si>
    <t>20260701-12-M5</t>
  </si>
  <si>
    <t>20260701-12-M6</t>
  </si>
  <si>
    <t>20260701-12-M7</t>
  </si>
  <si>
    <t>20260701-13-M1</t>
  </si>
  <si>
    <t>20260701-13-M2</t>
  </si>
  <si>
    <t>20260701-13-M3</t>
  </si>
  <si>
    <t>20260701-13-M4</t>
  </si>
  <si>
    <t>20260701-13-M5</t>
  </si>
  <si>
    <t>20260701-13-M6</t>
  </si>
  <si>
    <t>20260701-13-M7</t>
  </si>
  <si>
    <t>20260701-14-M1</t>
  </si>
  <si>
    <t>20260701-14-M2</t>
  </si>
  <si>
    <t>20260701-14-M3</t>
  </si>
  <si>
    <t>20260701-14-M4</t>
  </si>
  <si>
    <t>20260701-14-M5</t>
  </si>
  <si>
    <t>20260701-14-M6</t>
  </si>
  <si>
    <t>20260701-14-M7</t>
  </si>
  <si>
    <t>20260701-15-M1</t>
  </si>
  <si>
    <t>20260701-15-M2</t>
  </si>
  <si>
    <t>20260701-15-M3</t>
  </si>
  <si>
    <t>20260701-15-M4</t>
  </si>
  <si>
    <t>20260701-15-M5</t>
  </si>
  <si>
    <t>20260701-15-M6</t>
  </si>
  <si>
    <t>20260701-15-M7</t>
  </si>
  <si>
    <t>20260701-16-M1</t>
  </si>
  <si>
    <t>20260701-16-M2</t>
  </si>
  <si>
    <t>20260701-16-M3</t>
  </si>
  <si>
    <t>20260701-16-M4</t>
  </si>
  <si>
    <t>20260701-16-M5</t>
  </si>
  <si>
    <t>20260701-16-M6</t>
  </si>
  <si>
    <t>20260701-16-M7</t>
  </si>
  <si>
    <t>20260701-17-M1</t>
  </si>
  <si>
    <t>20260701-17-M2</t>
  </si>
  <si>
    <t>20260701-17-M3</t>
  </si>
  <si>
    <t>20260701-17-M4</t>
  </si>
  <si>
    <t>20260701-17-M5</t>
  </si>
  <si>
    <t>20260701-17-M6</t>
  </si>
  <si>
    <t>20260701-17-M7</t>
  </si>
  <si>
    <t>20260701-18-M1</t>
  </si>
  <si>
    <t>20260701-18-M2</t>
  </si>
  <si>
    <t>20260701-18-M3</t>
  </si>
  <si>
    <t>20260701-18-M4</t>
  </si>
  <si>
    <t>20260701-18-M5</t>
  </si>
  <si>
    <t>20260701-18-M6</t>
  </si>
  <si>
    <t>20260701-18-M7</t>
  </si>
  <si>
    <t>20260701-19-M1</t>
  </si>
  <si>
    <t>20260701-19-M2</t>
  </si>
  <si>
    <t>20260701-19-M3</t>
  </si>
  <si>
    <t>20260701-19-M4</t>
  </si>
  <si>
    <t>20260701-19-M5</t>
  </si>
  <si>
    <t>20260701-19-M6</t>
  </si>
  <si>
    <t>20260701-19-M7</t>
  </si>
  <si>
    <t>20260701-20-M1</t>
  </si>
  <si>
    <t>20260701-20-M2</t>
  </si>
  <si>
    <t>20260701-20-M3</t>
  </si>
  <si>
    <t>20260701-20-M4</t>
  </si>
  <si>
    <t>20260701-20-M5</t>
  </si>
  <si>
    <t>20260701-20-M6</t>
  </si>
  <si>
    <t>20260701-20-M7</t>
  </si>
  <si>
    <t>20260701-21-M1</t>
  </si>
  <si>
    <t>20260701-21-M2</t>
  </si>
  <si>
    <t>20260701-21-M3</t>
  </si>
  <si>
    <t>20260701-21-M4</t>
  </si>
  <si>
    <t>20260701-21-M5</t>
  </si>
  <si>
    <t>20260701-21-M6</t>
  </si>
  <si>
    <t>20260701-21-M7</t>
  </si>
  <si>
    <t>20260701-22-M1</t>
  </si>
  <si>
    <t>20260701-22-M2</t>
  </si>
  <si>
    <t>20260701-22-M3</t>
  </si>
  <si>
    <t>20260701-22-M4</t>
  </si>
  <si>
    <t>20260701-22-M5</t>
  </si>
  <si>
    <t>20260701-22-M6</t>
  </si>
  <si>
    <t>20260701-22-M7</t>
  </si>
  <si>
    <t>20260701-23-M1</t>
  </si>
  <si>
    <t>20260701-23-M2</t>
  </si>
  <si>
    <t>20260701-23-M3</t>
  </si>
  <si>
    <t>20260701-23-M4</t>
  </si>
  <si>
    <t>20260701-23-M5</t>
  </si>
  <si>
    <t>20260701-23-M6</t>
  </si>
  <si>
    <t>20260701-23-M7</t>
  </si>
  <si>
    <t>20260702-00-M1</t>
  </si>
  <si>
    <t>20260702-00-M2</t>
  </si>
  <si>
    <t>20260702-00-M3</t>
  </si>
  <si>
    <t>20260702-00-M4</t>
  </si>
  <si>
    <t>20260702-00-M5</t>
  </si>
  <si>
    <t>20260702-00-M6</t>
  </si>
  <si>
    <t>20260702-00-M7</t>
  </si>
  <si>
    <t>20260702-01-M1</t>
  </si>
  <si>
    <t>20260702-01-M2</t>
  </si>
  <si>
    <t>20260702-01-M3</t>
  </si>
  <si>
    <t>20260702-01-M4</t>
  </si>
  <si>
    <t>20260702-01-M5</t>
  </si>
  <si>
    <t>20260702-01-M6</t>
  </si>
  <si>
    <t>20260702-01-M7</t>
  </si>
  <si>
    <t>20260702-02-M1</t>
  </si>
  <si>
    <t>20260702-02-M2</t>
  </si>
  <si>
    <t>20260702-02-M3</t>
  </si>
  <si>
    <t>20260702-02-M4</t>
  </si>
  <si>
    <t>20260702-02-M5</t>
  </si>
  <si>
    <t>20260702-02-M6</t>
  </si>
  <si>
    <t>20260702-02-M7</t>
  </si>
  <si>
    <t>20260702-03-M1</t>
  </si>
  <si>
    <t>20260702-03-M2</t>
  </si>
  <si>
    <t>20260702-03-M3</t>
  </si>
  <si>
    <t>20260702-03-M4</t>
  </si>
  <si>
    <t>20260702-03-M5</t>
  </si>
  <si>
    <t>20260702-03-M6</t>
  </si>
  <si>
    <t>20260702-03-M7</t>
  </si>
  <si>
    <t>20260702-04-M1</t>
  </si>
  <si>
    <t>20260702-04-M2</t>
  </si>
  <si>
    <t>20260702-04-M3</t>
  </si>
  <si>
    <t>20260702-04-M4</t>
  </si>
  <si>
    <t>20260702-04-M5</t>
  </si>
  <si>
    <t>20260702-04-M6</t>
  </si>
  <si>
    <t>20260702-04-M7</t>
  </si>
  <si>
    <t>20260702-05-M1</t>
  </si>
  <si>
    <t>20260702-05-M2</t>
  </si>
  <si>
    <t>20260702-05-M3</t>
  </si>
  <si>
    <t>20260702-05-M4</t>
  </si>
  <si>
    <t>20260702-05-M5</t>
  </si>
  <si>
    <t>20260702-05-M6</t>
  </si>
  <si>
    <t>20260702-05-M7</t>
  </si>
  <si>
    <t>20260702-06-M1</t>
  </si>
  <si>
    <t>20260702-06-M2</t>
  </si>
  <si>
    <t>20260702-06-M3</t>
  </si>
  <si>
    <t>20260702-06-M4</t>
  </si>
  <si>
    <t>20260702-06-M5</t>
  </si>
  <si>
    <t>20260702-06-M6</t>
  </si>
  <si>
    <t>20260702-06-M7</t>
  </si>
  <si>
    <t>20260702-07-M1</t>
  </si>
  <si>
    <t>20260702-07-M2</t>
  </si>
  <si>
    <t>20260702-07-M3</t>
  </si>
  <si>
    <t>20260702-07-M4</t>
  </si>
  <si>
    <t>20260702-07-M5</t>
  </si>
  <si>
    <t>20260702-07-M6</t>
  </si>
  <si>
    <t>20260702-07-M7</t>
  </si>
  <si>
    <t>20260702-08-M1</t>
  </si>
  <si>
    <t>20260702-08-M2</t>
  </si>
  <si>
    <t>20260702-08-M3</t>
  </si>
  <si>
    <t>20260702-08-M4</t>
  </si>
  <si>
    <t>20260702-08-M5</t>
  </si>
  <si>
    <t>20260702-08-M6</t>
  </si>
  <si>
    <t>20260702-08-M7</t>
  </si>
  <si>
    <t>20260702-09-M1</t>
  </si>
  <si>
    <t>20260702-09-M2</t>
  </si>
  <si>
    <t>20260702-09-M3</t>
  </si>
  <si>
    <t>20260702-09-M4</t>
  </si>
  <si>
    <t>20260702-09-M5</t>
  </si>
  <si>
    <t>20260702-09-M6</t>
  </si>
  <si>
    <t>20260702-09-M7</t>
  </si>
  <si>
    <t>20260702-10-M1</t>
  </si>
  <si>
    <t>20260702-10-M2</t>
  </si>
  <si>
    <t>20260702-10-M3</t>
  </si>
  <si>
    <t>20260702-10-M4</t>
  </si>
  <si>
    <t>20260702-10-M5</t>
  </si>
  <si>
    <t>20260702-10-M6</t>
  </si>
  <si>
    <t>20260702-10-M7</t>
  </si>
  <si>
    <t>20260702-11-M1</t>
  </si>
  <si>
    <t>20260702-11-M2</t>
  </si>
  <si>
    <t>20260702-11-M3</t>
  </si>
  <si>
    <t>20260702-11-M4</t>
  </si>
  <si>
    <t>20260702-11-M5</t>
  </si>
  <si>
    <t>20260702-11-M6</t>
  </si>
  <si>
    <t>20260702-11-M7</t>
  </si>
  <si>
    <t>20260702-12-M1</t>
  </si>
  <si>
    <t>20260702-12-M2</t>
  </si>
  <si>
    <t>20260702-12-M3</t>
  </si>
  <si>
    <t>20260702-12-M4</t>
  </si>
  <si>
    <t>20260702-12-M5</t>
  </si>
  <si>
    <t>20260702-12-M6</t>
  </si>
  <si>
    <t>20260702-12-M7</t>
  </si>
  <si>
    <t>20260702-13-M1</t>
  </si>
  <si>
    <t>20260702-13-M2</t>
  </si>
  <si>
    <t>20260702-13-M3</t>
  </si>
  <si>
    <t>20260702-13-M4</t>
  </si>
  <si>
    <t>20260702-13-M5</t>
  </si>
  <si>
    <t>20260702-13-M6</t>
  </si>
  <si>
    <t>20260702-13-M7</t>
  </si>
  <si>
    <t>20260702-14-M1</t>
  </si>
  <si>
    <t>20260702-14-M2</t>
  </si>
  <si>
    <t>20260702-14-M3</t>
  </si>
  <si>
    <t>20260702-14-M4</t>
  </si>
  <si>
    <t>20260702-14-M5</t>
  </si>
  <si>
    <t>20260702-14-M6</t>
  </si>
  <si>
    <t>20260702-14-M7</t>
  </si>
  <si>
    <t>20260702-15-M1</t>
  </si>
  <si>
    <t>20260702-15-M2</t>
  </si>
  <si>
    <t>20260702-15-M3</t>
  </si>
  <si>
    <t>20260702-15-M4</t>
  </si>
  <si>
    <t>20260702-15-M5</t>
  </si>
  <si>
    <t>20260702-15-M6</t>
  </si>
  <si>
    <t>20260702-15-M7</t>
  </si>
  <si>
    <t>20260702-16-M1</t>
  </si>
  <si>
    <t>20260702-16-M2</t>
  </si>
  <si>
    <t>20260702-16-M3</t>
  </si>
  <si>
    <t>20260702-16-M4</t>
  </si>
  <si>
    <t>20260702-16-M5</t>
  </si>
  <si>
    <t>20260702-16-M6</t>
  </si>
  <si>
    <t>20260702-16-M7</t>
  </si>
  <si>
    <t>20260702-17-M1</t>
  </si>
  <si>
    <t>20260702-17-M2</t>
  </si>
  <si>
    <t>20260702-17-M3</t>
  </si>
  <si>
    <t>20260702-17-M4</t>
  </si>
  <si>
    <t>20260702-17-M5</t>
  </si>
  <si>
    <t>20260702-17-M6</t>
  </si>
  <si>
    <t>20260702-17-M7</t>
  </si>
  <si>
    <t>20260702-18-M1</t>
  </si>
  <si>
    <t>20260702-18-M2</t>
  </si>
  <si>
    <t>20260702-18-M3</t>
  </si>
  <si>
    <t>20260702-18-M4</t>
  </si>
  <si>
    <t>20260702-18-M5</t>
  </si>
  <si>
    <t>20260702-18-M6</t>
  </si>
  <si>
    <t>20260702-18-M7</t>
  </si>
  <si>
    <t>20260702-19-M1</t>
  </si>
  <si>
    <t>20260702-19-M2</t>
  </si>
  <si>
    <t>20260702-19-M3</t>
  </si>
  <si>
    <t>20260702-19-M4</t>
  </si>
  <si>
    <t>20260702-19-M5</t>
  </si>
  <si>
    <t>20260702-19-M6</t>
  </si>
  <si>
    <t>20260702-19-M7</t>
  </si>
  <si>
    <t>20260702-20-M1</t>
  </si>
  <si>
    <t>20260702-20-M2</t>
  </si>
  <si>
    <t>20260702-20-M3</t>
  </si>
  <si>
    <t>20260702-20-M4</t>
  </si>
  <si>
    <t>20260702-20-M5</t>
  </si>
  <si>
    <t>20260702-20-M6</t>
  </si>
  <si>
    <t>20260702-20-M7</t>
  </si>
  <si>
    <t>20260702-21-M1</t>
  </si>
  <si>
    <t>20260702-21-M2</t>
  </si>
  <si>
    <t>20260702-21-M3</t>
  </si>
  <si>
    <t>20260702-21-M4</t>
  </si>
  <si>
    <t>20260702-21-M5</t>
  </si>
  <si>
    <t>20260702-21-M6</t>
  </si>
  <si>
    <t>20260702-21-M7</t>
  </si>
  <si>
    <t>20260702-22-M1</t>
  </si>
  <si>
    <t>20260702-22-M2</t>
  </si>
  <si>
    <t>20260702-22-M3</t>
  </si>
  <si>
    <t>20260702-22-M4</t>
  </si>
  <si>
    <t>20260702-22-M5</t>
  </si>
  <si>
    <t>20260702-22-M6</t>
  </si>
  <si>
    <t>20260702-22-M7</t>
  </si>
  <si>
    <t>20260702-23-M1</t>
  </si>
  <si>
    <t>20260702-23-M2</t>
  </si>
  <si>
    <t>20260702-23-M3</t>
  </si>
  <si>
    <t>20260702-23-M4</t>
  </si>
  <si>
    <t>20260702-23-M5</t>
  </si>
  <si>
    <t>20260702-23-M6</t>
  </si>
  <si>
    <t>20260702-23-M7</t>
  </si>
  <si>
    <t>SampleKey (PK)</t>
  </si>
  <si>
    <t>SampleSize</t>
  </si>
  <si>
    <t>DefectiveCount</t>
  </si>
  <si>
    <t>CriticalCount</t>
  </si>
  <si>
    <t>MajorCount</t>
  </si>
  <si>
    <t>MinorCount</t>
  </si>
  <si>
    <t>TopDefectCode (FK)</t>
  </si>
  <si>
    <t>AvgWeight_g</t>
  </si>
  <si>
    <t>WeightOK_Count</t>
  </si>
  <si>
    <t>WeightNotOK_Count</t>
  </si>
  <si>
    <t>AvgDiameter_mm</t>
  </si>
  <si>
    <t>DiameterOK_Count</t>
  </si>
  <si>
    <t>DiameterNotOK_Count</t>
  </si>
  <si>
    <t>AvgHeight_mm</t>
  </si>
  <si>
    <t>HeightOK_Count</t>
  </si>
  <si>
    <t>HeightNotOK_Count</t>
  </si>
  <si>
    <t>DefectRatePct</t>
  </si>
  <si>
    <t>FPY_Pct</t>
  </si>
  <si>
    <t>QS-1</t>
  </si>
  <si>
    <t>D01</t>
  </si>
  <si>
    <t>QS-2</t>
  </si>
  <si>
    <t>D02</t>
  </si>
  <si>
    <t>QS-3</t>
  </si>
  <si>
    <t>QS-4</t>
  </si>
  <si>
    <t>D04</t>
  </si>
  <si>
    <t>QS-5</t>
  </si>
  <si>
    <t>QS-6</t>
  </si>
  <si>
    <t>QS-7</t>
  </si>
  <si>
    <t>QS-8</t>
  </si>
  <si>
    <t>QS-9</t>
  </si>
  <si>
    <t>D05</t>
  </si>
  <si>
    <t>QS-10</t>
  </si>
  <si>
    <t>QS-11</t>
  </si>
  <si>
    <t>QS-12</t>
  </si>
  <si>
    <t>QS-13</t>
  </si>
  <si>
    <t>QS-14</t>
  </si>
  <si>
    <t>QS-15</t>
  </si>
  <si>
    <t>QS-16</t>
  </si>
  <si>
    <t>D03</t>
  </si>
  <si>
    <t>QS-17</t>
  </si>
  <si>
    <t>QS-18</t>
  </si>
  <si>
    <t>D06</t>
  </si>
  <si>
    <t>QS-19</t>
  </si>
  <si>
    <t>QS-20</t>
  </si>
  <si>
    <t>QS-21</t>
  </si>
  <si>
    <t>QS-22</t>
  </si>
  <si>
    <t>QS-23</t>
  </si>
  <si>
    <t>QS-24</t>
  </si>
  <si>
    <t>QS-25</t>
  </si>
  <si>
    <t>QS-26</t>
  </si>
  <si>
    <t>QS-27</t>
  </si>
  <si>
    <t>QS-28</t>
  </si>
  <si>
    <t>QS-29</t>
  </si>
  <si>
    <t>QS-30</t>
  </si>
  <si>
    <t>QS-31</t>
  </si>
  <si>
    <t>QS-32</t>
  </si>
  <si>
    <t>QS-33</t>
  </si>
  <si>
    <t>QS-34</t>
  </si>
  <si>
    <t>QS-35</t>
  </si>
  <si>
    <t>QS-36</t>
  </si>
  <si>
    <t>QS-37</t>
  </si>
  <si>
    <t>QS-38</t>
  </si>
  <si>
    <t>QS-39</t>
  </si>
  <si>
    <t>QS-40</t>
  </si>
  <si>
    <t>QS-41</t>
  </si>
  <si>
    <t>QS-42</t>
  </si>
  <si>
    <t>QS-43</t>
  </si>
  <si>
    <t>QS-44</t>
  </si>
  <si>
    <t>QS-45</t>
  </si>
  <si>
    <t>QS-46</t>
  </si>
  <si>
    <t>QS-47</t>
  </si>
  <si>
    <t>QS-48</t>
  </si>
  <si>
    <t>QS-49</t>
  </si>
  <si>
    <t>QS-50</t>
  </si>
  <si>
    <t>QS-51</t>
  </si>
  <si>
    <t>QS-52</t>
  </si>
  <si>
    <t>QS-53</t>
  </si>
  <si>
    <t>QS-54</t>
  </si>
  <si>
    <t>QS-55</t>
  </si>
  <si>
    <t>QS-56</t>
  </si>
  <si>
    <t>QS-57</t>
  </si>
  <si>
    <t>QS-58</t>
  </si>
  <si>
    <t>QS-59</t>
  </si>
  <si>
    <t>QS-60</t>
  </si>
  <si>
    <t>QS-61</t>
  </si>
  <si>
    <t>QS-62</t>
  </si>
  <si>
    <t>QS-63</t>
  </si>
  <si>
    <t>QS-64</t>
  </si>
  <si>
    <t>QS-65</t>
  </si>
  <si>
    <t>QS-66</t>
  </si>
  <si>
    <t>QS-67</t>
  </si>
  <si>
    <t>QS-68</t>
  </si>
  <si>
    <t>QS-69</t>
  </si>
  <si>
    <t>QS-70</t>
  </si>
  <si>
    <t>QS-71</t>
  </si>
  <si>
    <t>QS-72</t>
  </si>
  <si>
    <t>QS-73</t>
  </si>
  <si>
    <t>QS-74</t>
  </si>
  <si>
    <t>QS-75</t>
  </si>
  <si>
    <t>QS-76</t>
  </si>
  <si>
    <t>QS-77</t>
  </si>
  <si>
    <t>QS-78</t>
  </si>
  <si>
    <t>QS-79</t>
  </si>
  <si>
    <t>QS-80</t>
  </si>
  <si>
    <t>QS-81</t>
  </si>
  <si>
    <t>QS-82</t>
  </si>
  <si>
    <t>QS-83</t>
  </si>
  <si>
    <t>QS-84</t>
  </si>
  <si>
    <t>QS-85</t>
  </si>
  <si>
    <t>QS-86</t>
  </si>
  <si>
    <t>QS-87</t>
  </si>
  <si>
    <t>QS-88</t>
  </si>
  <si>
    <t>QS-89</t>
  </si>
  <si>
    <t>QS-90</t>
  </si>
  <si>
    <t>QS-91</t>
  </si>
  <si>
    <t>QS-92</t>
  </si>
  <si>
    <t>QS-93</t>
  </si>
  <si>
    <t>QS-94</t>
  </si>
  <si>
    <t>QS-95</t>
  </si>
  <si>
    <t>QS-96</t>
  </si>
  <si>
    <t>QS-97</t>
  </si>
  <si>
    <t>QS-98</t>
  </si>
  <si>
    <t>QS-99</t>
  </si>
  <si>
    <t>QS-100</t>
  </si>
  <si>
    <t>QS-101</t>
  </si>
  <si>
    <t>QS-102</t>
  </si>
  <si>
    <t>QS-103</t>
  </si>
  <si>
    <t>QS-104</t>
  </si>
  <si>
    <t>QS-105</t>
  </si>
  <si>
    <t>QS-106</t>
  </si>
  <si>
    <t>QS-107</t>
  </si>
  <si>
    <t>QS-108</t>
  </si>
  <si>
    <t>QS-109</t>
  </si>
  <si>
    <t>QS-110</t>
  </si>
  <si>
    <t>QS-111</t>
  </si>
  <si>
    <t>QS-112</t>
  </si>
  <si>
    <t>QS-113</t>
  </si>
  <si>
    <t>QS-114</t>
  </si>
  <si>
    <t>QS-115</t>
  </si>
  <si>
    <t>QS-116</t>
  </si>
  <si>
    <t>QS-117</t>
  </si>
  <si>
    <t>QS-118</t>
  </si>
  <si>
    <t>QS-119</t>
  </si>
  <si>
    <t>QS-120</t>
  </si>
  <si>
    <t>QS-121</t>
  </si>
  <si>
    <t>QS-122</t>
  </si>
  <si>
    <t>QS-123</t>
  </si>
  <si>
    <t>QS-124</t>
  </si>
  <si>
    <t>QS-125</t>
  </si>
  <si>
    <t>QS-126</t>
  </si>
  <si>
    <t>QS-127</t>
  </si>
  <si>
    <t>QS-128</t>
  </si>
  <si>
    <t>QS-129</t>
  </si>
  <si>
    <t>QS-130</t>
  </si>
  <si>
    <t>QS-131</t>
  </si>
  <si>
    <t>QS-132</t>
  </si>
  <si>
    <t>QS-133</t>
  </si>
  <si>
    <t>QS-134</t>
  </si>
  <si>
    <t>QS-135</t>
  </si>
  <si>
    <t>QS-136</t>
  </si>
  <si>
    <t>QS-137</t>
  </si>
  <si>
    <t>QS-138</t>
  </si>
  <si>
    <t>QS-139</t>
  </si>
  <si>
    <t>QS-140</t>
  </si>
  <si>
    <t>QS-141</t>
  </si>
  <si>
    <t>QS-142</t>
  </si>
  <si>
    <t>QS-143</t>
  </si>
  <si>
    <t>QS-144</t>
  </si>
  <si>
    <t>QS-145</t>
  </si>
  <si>
    <t>QS-146</t>
  </si>
  <si>
    <t>QS-147</t>
  </si>
  <si>
    <t>QS-148</t>
  </si>
  <si>
    <t>QS-149</t>
  </si>
  <si>
    <t>QS-150</t>
  </si>
  <si>
    <t>QS-151</t>
  </si>
  <si>
    <t>QS-152</t>
  </si>
  <si>
    <t>QS-153</t>
  </si>
  <si>
    <t>QS-154</t>
  </si>
  <si>
    <t>QS-155</t>
  </si>
  <si>
    <t>QS-156</t>
  </si>
  <si>
    <t>QS-157</t>
  </si>
  <si>
    <t>QS-158</t>
  </si>
  <si>
    <t>QS-159</t>
  </si>
  <si>
    <t>QS-160</t>
  </si>
  <si>
    <t>QS-161</t>
  </si>
  <si>
    <t>QS-162</t>
  </si>
  <si>
    <t>QS-163</t>
  </si>
  <si>
    <t>QS-164</t>
  </si>
  <si>
    <t>QS-165</t>
  </si>
  <si>
    <t>QS-166</t>
  </si>
  <si>
    <t>QS-167</t>
  </si>
  <si>
    <t>QS-168</t>
  </si>
  <si>
    <t>QS-169</t>
  </si>
  <si>
    <t>QS-170</t>
  </si>
  <si>
    <t>QS-171</t>
  </si>
  <si>
    <t>QS-172</t>
  </si>
  <si>
    <t>QS-173</t>
  </si>
  <si>
    <t>QS-174</t>
  </si>
  <si>
    <t>QS-175</t>
  </si>
  <si>
    <t>QS-176</t>
  </si>
  <si>
    <t>QS-177</t>
  </si>
  <si>
    <t>QS-178</t>
  </si>
  <si>
    <t>QS-179</t>
  </si>
  <si>
    <t>QS-180</t>
  </si>
  <si>
    <t>QS-181</t>
  </si>
  <si>
    <t>QS-182</t>
  </si>
  <si>
    <t>QS-183</t>
  </si>
  <si>
    <t>QS-184</t>
  </si>
  <si>
    <t>QS-185</t>
  </si>
  <si>
    <t>QS-186</t>
  </si>
  <si>
    <t>QS-187</t>
  </si>
  <si>
    <t>QS-188</t>
  </si>
  <si>
    <t>QS-189</t>
  </si>
  <si>
    <t>QS-190</t>
  </si>
  <si>
    <t>QS-191</t>
  </si>
  <si>
    <t>QS-192</t>
  </si>
  <si>
    <t>QS-193</t>
  </si>
  <si>
    <t>QS-194</t>
  </si>
  <si>
    <t>QS-195</t>
  </si>
  <si>
    <t>QS-196</t>
  </si>
  <si>
    <t>QS-197</t>
  </si>
  <si>
    <t>QS-198</t>
  </si>
  <si>
    <t>QS-199</t>
  </si>
  <si>
    <t>QS-200</t>
  </si>
  <si>
    <t>QS-201</t>
  </si>
  <si>
    <t>QS-202</t>
  </si>
  <si>
    <t>QS-203</t>
  </si>
  <si>
    <t>QS-204</t>
  </si>
  <si>
    <t>QS-205</t>
  </si>
  <si>
    <t>QS-206</t>
  </si>
  <si>
    <t>QS-207</t>
  </si>
  <si>
    <t>QS-208</t>
  </si>
  <si>
    <t>QS-209</t>
  </si>
  <si>
    <t>QS-210</t>
  </si>
  <si>
    <t>QS-211</t>
  </si>
  <si>
    <t>QS-212</t>
  </si>
  <si>
    <t>QS-213</t>
  </si>
  <si>
    <t>QS-214</t>
  </si>
  <si>
    <t>QS-215</t>
  </si>
  <si>
    <t>QS-216</t>
  </si>
  <si>
    <t>QS-217</t>
  </si>
  <si>
    <t>QS-218</t>
  </si>
  <si>
    <t>QS-219</t>
  </si>
  <si>
    <t>QS-220</t>
  </si>
  <si>
    <t>QS-221</t>
  </si>
  <si>
    <t>QS-222</t>
  </si>
  <si>
    <t>QS-223</t>
  </si>
  <si>
    <t>QS-224</t>
  </si>
  <si>
    <t>QS-225</t>
  </si>
  <si>
    <t>QS-226</t>
  </si>
  <si>
    <t>QS-227</t>
  </si>
  <si>
    <t>QS-228</t>
  </si>
  <si>
    <t>QS-229</t>
  </si>
  <si>
    <t>QS-230</t>
  </si>
  <si>
    <t>QS-231</t>
  </si>
  <si>
    <t>QS-232</t>
  </si>
  <si>
    <t>QS-233</t>
  </si>
  <si>
    <t>QS-234</t>
  </si>
  <si>
    <t>QS-235</t>
  </si>
  <si>
    <t>QS-236</t>
  </si>
  <si>
    <t>QS-237</t>
  </si>
  <si>
    <t>QS-238</t>
  </si>
  <si>
    <t>QS-239</t>
  </si>
  <si>
    <t>QS-240</t>
  </si>
  <si>
    <t>QS-241</t>
  </si>
  <si>
    <t>QS-242</t>
  </si>
  <si>
    <t>QS-243</t>
  </si>
  <si>
    <t>QS-244</t>
  </si>
  <si>
    <t>QS-245</t>
  </si>
  <si>
    <t>QS-246</t>
  </si>
  <si>
    <t>QS-247</t>
  </si>
  <si>
    <t>QS-248</t>
  </si>
  <si>
    <t>QS-249</t>
  </si>
  <si>
    <t>QS-250</t>
  </si>
  <si>
    <t>QS-251</t>
  </si>
  <si>
    <t>QS-252</t>
  </si>
  <si>
    <t>QS-253</t>
  </si>
  <si>
    <t>QS-254</t>
  </si>
  <si>
    <t>QS-255</t>
  </si>
  <si>
    <t>QS-256</t>
  </si>
  <si>
    <t>QS-257</t>
  </si>
  <si>
    <t>QS-258</t>
  </si>
  <si>
    <t>QS-259</t>
  </si>
  <si>
    <t>QS-260</t>
  </si>
  <si>
    <t>QS-261</t>
  </si>
  <si>
    <t>QS-262</t>
  </si>
  <si>
    <t>QS-263</t>
  </si>
  <si>
    <t>QS-264</t>
  </si>
  <si>
    <t>QS-265</t>
  </si>
  <si>
    <t>QS-266</t>
  </si>
  <si>
    <t>QS-267</t>
  </si>
  <si>
    <t>QS-268</t>
  </si>
  <si>
    <t>QS-269</t>
  </si>
  <si>
    <t>QS-270</t>
  </si>
  <si>
    <t>QS-271</t>
  </si>
  <si>
    <t>QS-272</t>
  </si>
  <si>
    <t>QS-273</t>
  </si>
  <si>
    <t>QS-274</t>
  </si>
  <si>
    <t>QS-275</t>
  </si>
  <si>
    <t>QS-276</t>
  </si>
  <si>
    <t>QS-277</t>
  </si>
  <si>
    <t>QS-278</t>
  </si>
  <si>
    <t>QS-279</t>
  </si>
  <si>
    <t>QS-280</t>
  </si>
  <si>
    <t>QS-281</t>
  </si>
  <si>
    <t>QS-282</t>
  </si>
  <si>
    <t>QS-283</t>
  </si>
  <si>
    <t>QS-284</t>
  </si>
  <si>
    <t>QS-285</t>
  </si>
  <si>
    <t>QS-286</t>
  </si>
  <si>
    <t>QS-287</t>
  </si>
  <si>
    <t>QS-288</t>
  </si>
  <si>
    <t>QS-289</t>
  </si>
  <si>
    <t>QS-290</t>
  </si>
  <si>
    <t>QS-291</t>
  </si>
  <si>
    <t>QS-292</t>
  </si>
  <si>
    <t>QS-293</t>
  </si>
  <si>
    <t>QS-294</t>
  </si>
  <si>
    <t>QS-295</t>
  </si>
  <si>
    <t>QS-296</t>
  </si>
  <si>
    <t>QS-297</t>
  </si>
  <si>
    <t>QS-298</t>
  </si>
  <si>
    <t>QS-299</t>
  </si>
  <si>
    <t>QS-300</t>
  </si>
  <si>
    <t>QS-301</t>
  </si>
  <si>
    <t>QS-302</t>
  </si>
  <si>
    <t>QS-303</t>
  </si>
  <si>
    <t>QS-304</t>
  </si>
  <si>
    <t>QS-305</t>
  </si>
  <si>
    <t>QS-306</t>
  </si>
  <si>
    <t>QS-307</t>
  </si>
  <si>
    <t>QS-308</t>
  </si>
  <si>
    <t>QS-309</t>
  </si>
  <si>
    <t>QS-310</t>
  </si>
  <si>
    <t>QS-311</t>
  </si>
  <si>
    <t>QS-312</t>
  </si>
  <si>
    <t>QS-313</t>
  </si>
  <si>
    <t>QS-314</t>
  </si>
  <si>
    <t>QS-315</t>
  </si>
  <si>
    <t>QS-316</t>
  </si>
  <si>
    <t>QS-317</t>
  </si>
  <si>
    <t>QS-318</t>
  </si>
  <si>
    <t>QS-319</t>
  </si>
  <si>
    <t>QS-320</t>
  </si>
  <si>
    <t>QS-321</t>
  </si>
  <si>
    <t>QS-322</t>
  </si>
  <si>
    <t>QS-323</t>
  </si>
  <si>
    <t>QS-324</t>
  </si>
  <si>
    <t>QS-325</t>
  </si>
  <si>
    <t>QS-326</t>
  </si>
  <si>
    <t>QS-327</t>
  </si>
  <si>
    <t>QS-328</t>
  </si>
  <si>
    <t>QS-329</t>
  </si>
  <si>
    <t>QS-330</t>
  </si>
  <si>
    <t>QS-331</t>
  </si>
  <si>
    <t>QS-332</t>
  </si>
  <si>
    <t>QS-333</t>
  </si>
  <si>
    <t>QS-334</t>
  </si>
  <si>
    <t>QS-335</t>
  </si>
  <si>
    <t>QS-336</t>
  </si>
  <si>
    <t>InspectionKey (PK)</t>
  </si>
  <si>
    <t>OrderNumber</t>
  </si>
  <si>
    <t>CustomerKey (FK)</t>
  </si>
  <si>
    <t>InspectorKey (FK)</t>
  </si>
  <si>
    <t>PalletNumber</t>
  </si>
  <si>
    <t>TotalOrderQuantity</t>
  </si>
  <si>
    <t>InspectedQuantity</t>
  </si>
  <si>
    <t>RejectedQuantity</t>
  </si>
  <si>
    <t>AcceptedQuantity</t>
  </si>
  <si>
    <t>InspectionCoveragePct</t>
  </si>
  <si>
    <t>OrderRejectRatePct</t>
  </si>
  <si>
    <t>InspectionResult</t>
  </si>
  <si>
    <t>INSP-001</t>
  </si>
  <si>
    <t>ORD-1001</t>
  </si>
  <si>
    <t>C01</t>
  </si>
  <si>
    <t>I01</t>
  </si>
  <si>
    <t>PLT-201</t>
  </si>
  <si>
    <t>INSP-002</t>
  </si>
  <si>
    <t>ORD-1002</t>
  </si>
  <si>
    <t>C02</t>
  </si>
  <si>
    <t>I02</t>
  </si>
  <si>
    <t>PLT-202</t>
  </si>
  <si>
    <t>INSP-003</t>
  </si>
  <si>
    <t>ORD-1003</t>
  </si>
  <si>
    <t>C03</t>
  </si>
  <si>
    <t>I03</t>
  </si>
  <si>
    <t>PLT-203</t>
  </si>
  <si>
    <t>INSP-004</t>
  </si>
  <si>
    <t>ORD-1004</t>
  </si>
  <si>
    <t>C04</t>
  </si>
  <si>
    <t>PLT-204</t>
  </si>
  <si>
    <t>INSP-005</t>
  </si>
  <si>
    <t>ORD-1005</t>
  </si>
  <si>
    <t>C05</t>
  </si>
  <si>
    <t>PLT-205</t>
  </si>
  <si>
    <t>INSP-006</t>
  </si>
  <si>
    <t>ORD-1006</t>
  </si>
  <si>
    <t>PLT-206</t>
  </si>
  <si>
    <t>DateKey (PK)</t>
  </si>
  <si>
    <t>Date</t>
  </si>
  <si>
    <t>DayName</t>
  </si>
  <si>
    <t>WeekNumber</t>
  </si>
  <si>
    <t>MonthName</t>
  </si>
  <si>
    <t>Year</t>
  </si>
  <si>
    <t>HourKey (PK) 0-23</t>
  </si>
  <si>
    <t>HourLabel</t>
  </si>
  <si>
    <t>ShiftType</t>
  </si>
  <si>
    <t>00:00-01:00</t>
  </si>
  <si>
    <t>PM</t>
  </si>
  <si>
    <t>01:00-02:00</t>
  </si>
  <si>
    <t>02:00-03:00</t>
  </si>
  <si>
    <t>03:00-04:00</t>
  </si>
  <si>
    <t>04:00-05:00</t>
  </si>
  <si>
    <t>05:00-06:00</t>
  </si>
  <si>
    <t>06:00-07:00</t>
  </si>
  <si>
    <t>AM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</si>
  <si>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</si>
  <si>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</si>
  <si>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</si>
  <si>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</si>
  <si>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</si>
  <si>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</si>
  <si>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</si>
  <si>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</si>
  <si>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</si>
  <si>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</si>
  <si>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</si>
  <si>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</si>
  <si>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</si>
  <si>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</si>
  <si>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</si>
  <si>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</si>
  <si>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</si>
  <si>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MachineKey (PK)</t>
  </si>
  <si>
    <t>MachineName</t>
  </si>
  <si>
    <t>MachineType</t>
  </si>
  <si>
    <t>Forms</t>
  </si>
  <si>
    <t>Speed_CyclesPerMin</t>
  </si>
  <si>
    <t>Press Machine 1</t>
  </si>
  <si>
    <t>Single</t>
  </si>
  <si>
    <t>Press Machine 2</t>
  </si>
  <si>
    <t>Double</t>
  </si>
  <si>
    <t>Press Machine 3</t>
  </si>
  <si>
    <t>Press Machine 4</t>
  </si>
  <si>
    <t>Press Machine 5</t>
  </si>
  <si>
    <t>Press Machine 6</t>
  </si>
  <si>
    <t>Press Machine 7</t>
  </si>
  <si>
    <t>ProductKey (PK)</t>
  </si>
  <si>
    <t>ProductName</t>
  </si>
  <si>
    <t>DesignWeight_g</t>
  </si>
  <si>
    <t>WeightTolerance_g</t>
  </si>
  <si>
    <t>WeightMin_g</t>
  </si>
  <si>
    <t>WeightMax_g</t>
  </si>
  <si>
    <t>DesignDiameter_mm</t>
  </si>
  <si>
    <t>DiameterTolerance_mm</t>
  </si>
  <si>
    <t>DiameterMin_mm</t>
  </si>
  <si>
    <t>DiameterMax_mm</t>
  </si>
  <si>
    <t>DesignHeight_mm</t>
  </si>
  <si>
    <t>HeightTolerance_mm</t>
  </si>
  <si>
    <t>HeightMin_mm</t>
  </si>
  <si>
    <t>HeightMax_mm</t>
  </si>
  <si>
    <t>Product A - Jar 250g</t>
  </si>
  <si>
    <t>Product B - Jar 300g</t>
  </si>
  <si>
    <t>Product C - Jar 200g</t>
  </si>
  <si>
    <t>ShiftKey (PK)</t>
  </si>
  <si>
    <t>Group</t>
  </si>
  <si>
    <t>RotationWeek</t>
  </si>
  <si>
    <t>Week1</t>
  </si>
  <si>
    <t>B-AM</t>
  </si>
  <si>
    <t>Week2</t>
  </si>
  <si>
    <t>C-PM</t>
  </si>
  <si>
    <t>C-AM</t>
  </si>
  <si>
    <t>Week3</t>
  </si>
  <si>
    <t>A-PM</t>
  </si>
  <si>
    <t>DefectCode (PK)</t>
  </si>
  <si>
    <t>DefectName</t>
  </si>
  <si>
    <t>Crack</t>
  </si>
  <si>
    <t>Breakage</t>
  </si>
  <si>
    <t>Bubble</t>
  </si>
  <si>
    <t>Deformation</t>
  </si>
  <si>
    <t>Scratch</t>
  </si>
  <si>
    <t>Color Variation</t>
  </si>
  <si>
    <t>InspectorKey (PK)</t>
  </si>
  <si>
    <t>InspectorName</t>
  </si>
  <si>
    <t>Ahmed Youssef</t>
  </si>
  <si>
    <t>Mona Farid</t>
  </si>
  <si>
    <t>Karim Adel</t>
  </si>
  <si>
    <t>CustomerKey (PK)</t>
  </si>
  <si>
    <t>CustomerName</t>
  </si>
  <si>
    <t>Al Ahram Beverages</t>
  </si>
  <si>
    <t>Nile Foods</t>
  </si>
  <si>
    <t>Delta Glass Trading</t>
  </si>
  <si>
    <t>Cairo Packaging Co.</t>
  </si>
  <si>
    <t>Red Sea Bottling</t>
  </si>
  <si>
    <t>SampleKey (FK)</t>
  </si>
  <si>
    <t>D01_Crack</t>
  </si>
  <si>
    <t>D02_Breakage</t>
  </si>
  <si>
    <t>D03_Bubble</t>
  </si>
  <si>
    <t>D04_Deformation</t>
  </si>
  <si>
    <t>D05_Scratch</t>
  </si>
  <si>
    <t>D06_ColorVariation</t>
  </si>
  <si>
    <t>DefectDetailKey (PK)</t>
  </si>
  <si>
    <t>DefectCode (FK)</t>
  </si>
  <si>
    <t>DefectCount</t>
  </si>
  <si>
    <t>DD-1-D01</t>
  </si>
  <si>
    <t>DD-1-D02</t>
  </si>
  <si>
    <t>DD-1-D03</t>
  </si>
  <si>
    <t>DD-1-D04</t>
  </si>
  <si>
    <t>DD-1-D05</t>
  </si>
  <si>
    <t>DD-1-D06</t>
  </si>
  <si>
    <t>DD-2-D01</t>
  </si>
  <si>
    <t>DD-2-D02</t>
  </si>
  <si>
    <t>DD-2-D03</t>
  </si>
  <si>
    <t>DD-2-D04</t>
  </si>
  <si>
    <t>DD-2-D05</t>
  </si>
  <si>
    <t>DD-2-D06</t>
  </si>
  <si>
    <t>DD-3-D01</t>
  </si>
  <si>
    <t>DD-3-D02</t>
  </si>
  <si>
    <t>DD-3-D03</t>
  </si>
  <si>
    <t>DD-3-D04</t>
  </si>
  <si>
    <t>DD-3-D05</t>
  </si>
  <si>
    <t>DD-3-D06</t>
  </si>
  <si>
    <t>DD-4-D01</t>
  </si>
  <si>
    <t>DD-4-D02</t>
  </si>
  <si>
    <t>DD-4-D03</t>
  </si>
  <si>
    <t>DD-4-D04</t>
  </si>
  <si>
    <t>DD-4-D05</t>
  </si>
  <si>
    <t>DD-4-D06</t>
  </si>
  <si>
    <t>DD-5-D01</t>
  </si>
  <si>
    <t>DD-5-D02</t>
  </si>
  <si>
    <t>DD-5-D03</t>
  </si>
  <si>
    <t>DD-5-D04</t>
  </si>
  <si>
    <t>DD-5-D05</t>
  </si>
  <si>
    <t>DD-5-D06</t>
  </si>
  <si>
    <t>DD-6-D01</t>
  </si>
  <si>
    <t>DD-6-D02</t>
  </si>
  <si>
    <t>DD-6-D03</t>
  </si>
  <si>
    <t>DD-6-D04</t>
  </si>
  <si>
    <t>DD-6-D05</t>
  </si>
  <si>
    <t>DD-6-D06</t>
  </si>
  <si>
    <t>DD-7-D01</t>
  </si>
  <si>
    <t>DD-7-D02</t>
  </si>
  <si>
    <t>DD-7-D03</t>
  </si>
  <si>
    <t>DD-7-D04</t>
  </si>
  <si>
    <t>DD-7-D05</t>
  </si>
  <si>
    <t>DD-7-D06</t>
  </si>
  <si>
    <t>DD-8-D01</t>
  </si>
  <si>
    <t>DD-8-D02</t>
  </si>
  <si>
    <t>DD-8-D03</t>
  </si>
  <si>
    <t>DD-8-D04</t>
  </si>
  <si>
    <t>DD-8-D05</t>
  </si>
  <si>
    <t>DD-8-D06</t>
  </si>
  <si>
    <t>DD-9-D01</t>
  </si>
  <si>
    <t>DD-9-D02</t>
  </si>
  <si>
    <t>DD-9-D03</t>
  </si>
  <si>
    <t>DD-9-D04</t>
  </si>
  <si>
    <t>DD-9-D05</t>
  </si>
  <si>
    <t>DD-9-D06</t>
  </si>
  <si>
    <t>DD-10-D01</t>
  </si>
  <si>
    <t>DD-10-D02</t>
  </si>
  <si>
    <t>DD-10-D03</t>
  </si>
  <si>
    <t>DD-10-D04</t>
  </si>
  <si>
    <t>DD-10-D05</t>
  </si>
  <si>
    <t>DD-10-D06</t>
  </si>
  <si>
    <t>DD-11-D01</t>
  </si>
  <si>
    <t>DD-11-D02</t>
  </si>
  <si>
    <t>DD-11-D03</t>
  </si>
  <si>
    <t>DD-11-D04</t>
  </si>
  <si>
    <t>DD-11-D05</t>
  </si>
  <si>
    <t>DD-11-D06</t>
  </si>
  <si>
    <t>DD-12-D01</t>
  </si>
  <si>
    <t>DD-12-D02</t>
  </si>
  <si>
    <t>DD-12-D03</t>
  </si>
  <si>
    <t>DD-12-D04</t>
  </si>
  <si>
    <t>DD-12-D05</t>
  </si>
  <si>
    <t>DD-12-D06</t>
  </si>
  <si>
    <t>DD-13-D01</t>
  </si>
  <si>
    <t>DD-13-D02</t>
  </si>
  <si>
    <t>DD-13-D03</t>
  </si>
  <si>
    <t>DD-13-D04</t>
  </si>
  <si>
    <t>DD-13-D05</t>
  </si>
  <si>
    <t>DD-13-D06</t>
  </si>
  <si>
    <t>DD-14-D01</t>
  </si>
  <si>
    <t>DD-14-D02</t>
  </si>
  <si>
    <t>DD-14-D03</t>
  </si>
  <si>
    <t>DD-14-D04</t>
  </si>
  <si>
    <t>DD-14-D05</t>
  </si>
  <si>
    <t>DD-14-D06</t>
  </si>
  <si>
    <t>DD-15-D01</t>
  </si>
  <si>
    <t>DD-15-D02</t>
  </si>
  <si>
    <t>DD-15-D03</t>
  </si>
  <si>
    <t>DD-15-D04</t>
  </si>
  <si>
    <t>DD-15-D05</t>
  </si>
  <si>
    <t>DD-15-D06</t>
  </si>
  <si>
    <t>DD-16-D01</t>
  </si>
  <si>
    <t>DD-16-D02</t>
  </si>
  <si>
    <t>DD-16-D03</t>
  </si>
  <si>
    <t>DD-16-D04</t>
  </si>
  <si>
    <t>DD-16-D05</t>
  </si>
  <si>
    <t>DD-16-D06</t>
  </si>
  <si>
    <t>DD-17-D01</t>
  </si>
  <si>
    <t>DD-17-D02</t>
  </si>
  <si>
    <t>DD-17-D03</t>
  </si>
  <si>
    <t>DD-17-D04</t>
  </si>
  <si>
    <t>DD-17-D05</t>
  </si>
  <si>
    <t>DD-17-D06</t>
  </si>
  <si>
    <t>DD-18-D01</t>
  </si>
  <si>
    <t>DD-18-D02</t>
  </si>
  <si>
    <t>DD-18-D03</t>
  </si>
  <si>
    <t>DD-18-D04</t>
  </si>
  <si>
    <t>DD-18-D05</t>
  </si>
  <si>
    <t>DD-18-D06</t>
  </si>
  <si>
    <t>DD-19-D01</t>
  </si>
  <si>
    <t>DD-19-D02</t>
  </si>
  <si>
    <t>DD-19-D03</t>
  </si>
  <si>
    <t>DD-19-D04</t>
  </si>
  <si>
    <t>DD-19-D05</t>
  </si>
  <si>
    <t>DD-19-D06</t>
  </si>
  <si>
    <t>DD-20-D01</t>
  </si>
  <si>
    <t>DD-20-D02</t>
  </si>
  <si>
    <t>DD-20-D03</t>
  </si>
  <si>
    <t>DD-20-D04</t>
  </si>
  <si>
    <t>DD-20-D05</t>
  </si>
  <si>
    <t>DD-20-D06</t>
  </si>
  <si>
    <t>DD-21-D01</t>
  </si>
  <si>
    <t>DD-21-D02</t>
  </si>
  <si>
    <t>DD-21-D03</t>
  </si>
  <si>
    <t>DD-21-D04</t>
  </si>
  <si>
    <t>DD-21-D05</t>
  </si>
  <si>
    <t>DD-21-D06</t>
  </si>
  <si>
    <t>DD-22-D01</t>
  </si>
  <si>
    <t>DD-22-D02</t>
  </si>
  <si>
    <t>DD-22-D03</t>
  </si>
  <si>
    <t>DD-22-D04</t>
  </si>
  <si>
    <t>DD-22-D05</t>
  </si>
  <si>
    <t>DD-22-D06</t>
  </si>
  <si>
    <t>DD-23-D01</t>
  </si>
  <si>
    <t>DD-23-D02</t>
  </si>
  <si>
    <t>DD-23-D03</t>
  </si>
  <si>
    <t>DD-23-D04</t>
  </si>
  <si>
    <t>DD-23-D05</t>
  </si>
  <si>
    <t>DD-23-D06</t>
  </si>
  <si>
    <t>DD-24-D01</t>
  </si>
  <si>
    <t>DD-24-D02</t>
  </si>
  <si>
    <t>DD-24-D03</t>
  </si>
  <si>
    <t>DD-24-D04</t>
  </si>
  <si>
    <t>DD-24-D05</t>
  </si>
  <si>
    <t>DD-24-D06</t>
  </si>
  <si>
    <t>DD-25-D01</t>
  </si>
  <si>
    <t>DD-25-D02</t>
  </si>
  <si>
    <t>DD-25-D03</t>
  </si>
  <si>
    <t>DD-25-D04</t>
  </si>
  <si>
    <t>DD-25-D05</t>
  </si>
  <si>
    <t>DD-25-D06</t>
  </si>
  <si>
    <t>DD-26-D01</t>
  </si>
  <si>
    <t>DD-26-D02</t>
  </si>
  <si>
    <t>DD-26-D03</t>
  </si>
  <si>
    <t>DD-26-D04</t>
  </si>
  <si>
    <t>DD-26-D05</t>
  </si>
  <si>
    <t>DD-26-D06</t>
  </si>
  <si>
    <t>DD-27-D01</t>
  </si>
  <si>
    <t>DD-27-D02</t>
  </si>
  <si>
    <t>DD-27-D03</t>
  </si>
  <si>
    <t>DD-27-D04</t>
  </si>
  <si>
    <t>DD-27-D05</t>
  </si>
  <si>
    <t>DD-27-D06</t>
  </si>
  <si>
    <t>DD-28-D01</t>
  </si>
  <si>
    <t>DD-28-D02</t>
  </si>
  <si>
    <t>DD-28-D03</t>
  </si>
  <si>
    <t>DD-28-D04</t>
  </si>
  <si>
    <t>DD-28-D05</t>
  </si>
  <si>
    <t>DD-28-D06</t>
  </si>
  <si>
    <t>DD-29-D01</t>
  </si>
  <si>
    <t>DD-29-D02</t>
  </si>
  <si>
    <t>DD-29-D03</t>
  </si>
  <si>
    <t>DD-29-D04</t>
  </si>
  <si>
    <t>DD-29-D05</t>
  </si>
  <si>
    <t>DD-29-D06</t>
  </si>
  <si>
    <t>DD-30-D01</t>
  </si>
  <si>
    <t>DD-30-D02</t>
  </si>
  <si>
    <t>DD-30-D03</t>
  </si>
  <si>
    <t>DD-30-D04</t>
  </si>
  <si>
    <t>DD-30-D05</t>
  </si>
  <si>
    <t>DD-30-D06</t>
  </si>
  <si>
    <t>DD-31-D01</t>
  </si>
  <si>
    <t>DD-31-D02</t>
  </si>
  <si>
    <t>DD-31-D03</t>
  </si>
  <si>
    <t>DD-31-D04</t>
  </si>
  <si>
    <t>DD-31-D05</t>
  </si>
  <si>
    <t>DD-31-D06</t>
  </si>
  <si>
    <t>DD-32-D01</t>
  </si>
  <si>
    <t>DD-32-D02</t>
  </si>
  <si>
    <t>DD-32-D03</t>
  </si>
  <si>
    <t>DD-32-D04</t>
  </si>
  <si>
    <t>DD-32-D05</t>
  </si>
  <si>
    <t>DD-32-D06</t>
  </si>
  <si>
    <t>DD-33-D01</t>
  </si>
  <si>
    <t>DD-33-D02</t>
  </si>
  <si>
    <t>DD-33-D03</t>
  </si>
  <si>
    <t>DD-33-D04</t>
  </si>
  <si>
    <t>DD-33-D05</t>
  </si>
  <si>
    <t>DD-33-D06</t>
  </si>
  <si>
    <t>DD-34-D01</t>
  </si>
  <si>
    <t>DD-34-D02</t>
  </si>
  <si>
    <t>DD-34-D03</t>
  </si>
  <si>
    <t>DD-34-D04</t>
  </si>
  <si>
    <t>DD-34-D05</t>
  </si>
  <si>
    <t>DD-34-D06</t>
  </si>
  <si>
    <t>DD-35-D01</t>
  </si>
  <si>
    <t>DD-35-D02</t>
  </si>
  <si>
    <t>DD-35-D03</t>
  </si>
  <si>
    <t>DD-35-D04</t>
  </si>
  <si>
    <t>DD-35-D05</t>
  </si>
  <si>
    <t>DD-35-D06</t>
  </si>
  <si>
    <t>DD-36-D01</t>
  </si>
  <si>
    <t>DD-36-D02</t>
  </si>
  <si>
    <t>DD-36-D03</t>
  </si>
  <si>
    <t>DD-36-D04</t>
  </si>
  <si>
    <t>DD-36-D05</t>
  </si>
  <si>
    <t>DD-36-D06</t>
  </si>
  <si>
    <t>DD-37-D01</t>
  </si>
  <si>
    <t>DD-37-D02</t>
  </si>
  <si>
    <t>DD-37-D03</t>
  </si>
  <si>
    <t>DD-37-D04</t>
  </si>
  <si>
    <t>DD-37-D05</t>
  </si>
  <si>
    <t>DD-37-D06</t>
  </si>
  <si>
    <t>DD-38-D01</t>
  </si>
  <si>
    <t>DD-38-D02</t>
  </si>
  <si>
    <t>DD-38-D03</t>
  </si>
  <si>
    <t>DD-38-D04</t>
  </si>
  <si>
    <t>DD-38-D05</t>
  </si>
  <si>
    <t>DD-38-D06</t>
  </si>
  <si>
    <t>DD-39-D01</t>
  </si>
  <si>
    <t>DD-39-D02</t>
  </si>
  <si>
    <t>DD-39-D03</t>
  </si>
  <si>
    <t>DD-39-D04</t>
  </si>
  <si>
    <t>DD-39-D05</t>
  </si>
  <si>
    <t>DD-39-D06</t>
  </si>
  <si>
    <t>DD-40-D01</t>
  </si>
  <si>
    <t>DD-40-D02</t>
  </si>
  <si>
    <t>DD-40-D03</t>
  </si>
  <si>
    <t>DD-40-D04</t>
  </si>
  <si>
    <t>DD-40-D05</t>
  </si>
  <si>
    <t>DD-40-D06</t>
  </si>
  <si>
    <t>DD-41-D01</t>
  </si>
  <si>
    <t>DD-41-D02</t>
  </si>
  <si>
    <t>DD-41-D03</t>
  </si>
  <si>
    <t>DD-41-D04</t>
  </si>
  <si>
    <t>DD-41-D05</t>
  </si>
  <si>
    <t>DD-41-D06</t>
  </si>
  <si>
    <t>DD-42-D01</t>
  </si>
  <si>
    <t>DD-42-D02</t>
  </si>
  <si>
    <t>DD-42-D03</t>
  </si>
  <si>
    <t>DD-42-D04</t>
  </si>
  <si>
    <t>DD-42-D05</t>
  </si>
  <si>
    <t>DD-42-D06</t>
  </si>
  <si>
    <t>DD-43-D01</t>
  </si>
  <si>
    <t>DD-43-D02</t>
  </si>
  <si>
    <t>DD-43-D03</t>
  </si>
  <si>
    <t>DD-43-D04</t>
  </si>
  <si>
    <t>DD-43-D05</t>
  </si>
  <si>
    <t>DD-43-D06</t>
  </si>
  <si>
    <t>DD-44-D01</t>
  </si>
  <si>
    <t>DD-44-D02</t>
  </si>
  <si>
    <t>DD-44-D03</t>
  </si>
  <si>
    <t>DD-44-D04</t>
  </si>
  <si>
    <t>DD-44-D05</t>
  </si>
  <si>
    <t>DD-44-D06</t>
  </si>
  <si>
    <t>DD-45-D01</t>
  </si>
  <si>
    <t>DD-45-D02</t>
  </si>
  <si>
    <t>DD-45-D03</t>
  </si>
  <si>
    <t>DD-45-D04</t>
  </si>
  <si>
    <t>DD-45-D05</t>
  </si>
  <si>
    <t>DD-45-D06</t>
  </si>
  <si>
    <t>DD-46-D01</t>
  </si>
  <si>
    <t>DD-46-D02</t>
  </si>
  <si>
    <t>DD-46-D03</t>
  </si>
  <si>
    <t>DD-46-D04</t>
  </si>
  <si>
    <t>DD-46-D05</t>
  </si>
  <si>
    <t>DD-46-D06</t>
  </si>
  <si>
    <t>DD-47-D01</t>
  </si>
  <si>
    <t>DD-47-D02</t>
  </si>
  <si>
    <t>DD-47-D03</t>
  </si>
  <si>
    <t>DD-47-D04</t>
  </si>
  <si>
    <t>DD-47-D05</t>
  </si>
  <si>
    <t>DD-47-D06</t>
  </si>
  <si>
    <t>DD-48-D01</t>
  </si>
  <si>
    <t>DD-48-D02</t>
  </si>
  <si>
    <t>DD-48-D03</t>
  </si>
  <si>
    <t>DD-48-D04</t>
  </si>
  <si>
    <t>DD-48-D05</t>
  </si>
  <si>
    <t>DD-48-D06</t>
  </si>
  <si>
    <t>DD-49-D01</t>
  </si>
  <si>
    <t>DD-49-D02</t>
  </si>
  <si>
    <t>DD-49-D03</t>
  </si>
  <si>
    <t>DD-49-D04</t>
  </si>
  <si>
    <t>DD-49-D05</t>
  </si>
  <si>
    <t>DD-49-D06</t>
  </si>
  <si>
    <t>DD-50-D01</t>
  </si>
  <si>
    <t>DD-50-D02</t>
  </si>
  <si>
    <t>DD-50-D03</t>
  </si>
  <si>
    <t>DD-50-D04</t>
  </si>
  <si>
    <t>DD-50-D05</t>
  </si>
  <si>
    <t>DD-50-D06</t>
  </si>
  <si>
    <t>DD-51-D01</t>
  </si>
  <si>
    <t>DD-51-D02</t>
  </si>
  <si>
    <t>DD-51-D03</t>
  </si>
  <si>
    <t>DD-51-D04</t>
  </si>
  <si>
    <t>DD-51-D05</t>
  </si>
  <si>
    <t>DD-51-D06</t>
  </si>
  <si>
    <t>DD-52-D01</t>
  </si>
  <si>
    <t>DD-52-D02</t>
  </si>
  <si>
    <t>DD-52-D03</t>
  </si>
  <si>
    <t>DD-52-D04</t>
  </si>
  <si>
    <t>DD-52-D05</t>
  </si>
  <si>
    <t>DD-52-D06</t>
  </si>
  <si>
    <t>DD-53-D01</t>
  </si>
  <si>
    <t>DD-53-D02</t>
  </si>
  <si>
    <t>DD-53-D03</t>
  </si>
  <si>
    <t>DD-53-D04</t>
  </si>
  <si>
    <t>DD-53-D05</t>
  </si>
  <si>
    <t>DD-53-D06</t>
  </si>
  <si>
    <t>DD-54-D01</t>
  </si>
  <si>
    <t>DD-54-D02</t>
  </si>
  <si>
    <t>DD-54-D03</t>
  </si>
  <si>
    <t>DD-54-D04</t>
  </si>
  <si>
    <t>DD-54-D05</t>
  </si>
  <si>
    <t>DD-54-D06</t>
  </si>
  <si>
    <t>DD-55-D01</t>
  </si>
  <si>
    <t>DD-55-D02</t>
  </si>
  <si>
    <t>DD-55-D03</t>
  </si>
  <si>
    <t>DD-55-D04</t>
  </si>
  <si>
    <t>DD-55-D05</t>
  </si>
  <si>
    <t>DD-55-D06</t>
  </si>
  <si>
    <t>DD-56-D01</t>
  </si>
  <si>
    <t>DD-56-D02</t>
  </si>
  <si>
    <t>DD-56-D03</t>
  </si>
  <si>
    <t>DD-56-D04</t>
  </si>
  <si>
    <t>DD-56-D05</t>
  </si>
  <si>
    <t>DD-56-D06</t>
  </si>
  <si>
    <t>DD-57-D01</t>
  </si>
  <si>
    <t>DD-57-D02</t>
  </si>
  <si>
    <t>DD-57-D03</t>
  </si>
  <si>
    <t>DD-57-D04</t>
  </si>
  <si>
    <t>DD-57-D05</t>
  </si>
  <si>
    <t>DD-57-D06</t>
  </si>
  <si>
    <t>DD-58-D01</t>
  </si>
  <si>
    <t>DD-58-D02</t>
  </si>
  <si>
    <t>DD-58-D03</t>
  </si>
  <si>
    <t>DD-58-D04</t>
  </si>
  <si>
    <t>DD-58-D05</t>
  </si>
  <si>
    <t>DD-58-D06</t>
  </si>
  <si>
    <t>DD-59-D01</t>
  </si>
  <si>
    <t>DD-59-D02</t>
  </si>
  <si>
    <t>DD-59-D03</t>
  </si>
  <si>
    <t>DD-59-D04</t>
  </si>
  <si>
    <t>DD-59-D05</t>
  </si>
  <si>
    <t>DD-59-D06</t>
  </si>
  <si>
    <t>DD-60-D01</t>
  </si>
  <si>
    <t>DD-60-D02</t>
  </si>
  <si>
    <t>DD-60-D03</t>
  </si>
  <si>
    <t>DD-60-D04</t>
  </si>
  <si>
    <t>DD-60-D05</t>
  </si>
  <si>
    <t>DD-60-D06</t>
  </si>
  <si>
    <t>DD-61-D01</t>
  </si>
  <si>
    <t>DD-61-D02</t>
  </si>
  <si>
    <t>DD-61-D03</t>
  </si>
  <si>
    <t>DD-61-D04</t>
  </si>
  <si>
    <t>DD-61-D05</t>
  </si>
  <si>
    <t>DD-61-D06</t>
  </si>
  <si>
    <t>DD-62-D01</t>
  </si>
  <si>
    <t>DD-62-D02</t>
  </si>
  <si>
    <t>DD-62-D03</t>
  </si>
  <si>
    <t>DD-62-D04</t>
  </si>
  <si>
    <t>DD-62-D05</t>
  </si>
  <si>
    <t>DD-62-D06</t>
  </si>
  <si>
    <t>DD-63-D01</t>
  </si>
  <si>
    <t>DD-63-D02</t>
  </si>
  <si>
    <t>DD-63-D03</t>
  </si>
  <si>
    <t>DD-63-D04</t>
  </si>
  <si>
    <t>DD-63-D05</t>
  </si>
  <si>
    <t>DD-63-D06</t>
  </si>
  <si>
    <t>DD-64-D01</t>
  </si>
  <si>
    <t>DD-64-D02</t>
  </si>
  <si>
    <t>DD-64-D03</t>
  </si>
  <si>
    <t>DD-64-D04</t>
  </si>
  <si>
    <t>DD-64-D05</t>
  </si>
  <si>
    <t>DD-64-D06</t>
  </si>
  <si>
    <t>DD-65-D01</t>
  </si>
  <si>
    <t>DD-65-D02</t>
  </si>
  <si>
    <t>DD-65-D03</t>
  </si>
  <si>
    <t>DD-65-D04</t>
  </si>
  <si>
    <t>DD-65-D05</t>
  </si>
  <si>
    <t>DD-65-D06</t>
  </si>
  <si>
    <t>DD-66-D01</t>
  </si>
  <si>
    <t>DD-66-D02</t>
  </si>
  <si>
    <t>DD-66-D03</t>
  </si>
  <si>
    <t>DD-66-D04</t>
  </si>
  <si>
    <t>DD-66-D05</t>
  </si>
  <si>
    <t>DD-66-D06</t>
  </si>
  <si>
    <t>DD-67-D01</t>
  </si>
  <si>
    <t>DD-67-D02</t>
  </si>
  <si>
    <t>DD-67-D03</t>
  </si>
  <si>
    <t>DD-67-D04</t>
  </si>
  <si>
    <t>DD-67-D05</t>
  </si>
  <si>
    <t>DD-67-D06</t>
  </si>
  <si>
    <t>DD-68-D01</t>
  </si>
  <si>
    <t>DD-68-D02</t>
  </si>
  <si>
    <t>DD-68-D03</t>
  </si>
  <si>
    <t>DD-68-D04</t>
  </si>
  <si>
    <t>DD-68-D05</t>
  </si>
  <si>
    <t>DD-68-D06</t>
  </si>
  <si>
    <t>DD-69-D01</t>
  </si>
  <si>
    <t>DD-69-D02</t>
  </si>
  <si>
    <t>DD-69-D03</t>
  </si>
  <si>
    <t>DD-69-D04</t>
  </si>
  <si>
    <t>DD-69-D05</t>
  </si>
  <si>
    <t>DD-69-D06</t>
  </si>
  <si>
    <t>DD-70-D01</t>
  </si>
  <si>
    <t>DD-70-D02</t>
  </si>
  <si>
    <t>DD-70-D03</t>
  </si>
  <si>
    <t>DD-70-D04</t>
  </si>
  <si>
    <t>DD-70-D05</t>
  </si>
  <si>
    <t>DD-70-D06</t>
  </si>
  <si>
    <t>DD-71-D01</t>
  </si>
  <si>
    <t>DD-71-D02</t>
  </si>
  <si>
    <t>DD-71-D03</t>
  </si>
  <si>
    <t>DD-71-D04</t>
  </si>
  <si>
    <t>DD-71-D05</t>
  </si>
  <si>
    <t>DD-71-D06</t>
  </si>
  <si>
    <t>DD-72-D01</t>
  </si>
  <si>
    <t>DD-72-D02</t>
  </si>
  <si>
    <t>DD-72-D03</t>
  </si>
  <si>
    <t>DD-72-D04</t>
  </si>
  <si>
    <t>DD-72-D05</t>
  </si>
  <si>
    <t>DD-72-D06</t>
  </si>
  <si>
    <t>DD-73-D01</t>
  </si>
  <si>
    <t>DD-73-D02</t>
  </si>
  <si>
    <t>DD-73-D03</t>
  </si>
  <si>
    <t>DD-73-D04</t>
  </si>
  <si>
    <t>DD-73-D05</t>
  </si>
  <si>
    <t>DD-73-D06</t>
  </si>
  <si>
    <t>DD-74-D01</t>
  </si>
  <si>
    <t>DD-74-D02</t>
  </si>
  <si>
    <t>DD-74-D03</t>
  </si>
  <si>
    <t>DD-74-D04</t>
  </si>
  <si>
    <t>DD-74-D05</t>
  </si>
  <si>
    <t>DD-74-D06</t>
  </si>
  <si>
    <t>DD-75-D01</t>
  </si>
  <si>
    <t>DD-75-D02</t>
  </si>
  <si>
    <t>DD-75-D03</t>
  </si>
  <si>
    <t>DD-75-D04</t>
  </si>
  <si>
    <t>DD-75-D05</t>
  </si>
  <si>
    <t>DD-75-D06</t>
  </si>
  <si>
    <t>DD-76-D01</t>
  </si>
  <si>
    <t>DD-76-D02</t>
  </si>
  <si>
    <t>DD-76-D03</t>
  </si>
  <si>
    <t>DD-76-D04</t>
  </si>
  <si>
    <t>DD-76-D05</t>
  </si>
  <si>
    <t>DD-76-D06</t>
  </si>
  <si>
    <t>DD-77-D01</t>
  </si>
  <si>
    <t>DD-77-D02</t>
  </si>
  <si>
    <t>DD-77-D03</t>
  </si>
  <si>
    <t>DD-77-D04</t>
  </si>
  <si>
    <t>DD-77-D05</t>
  </si>
  <si>
    <t>DD-77-D06</t>
  </si>
  <si>
    <t>DD-78-D01</t>
  </si>
  <si>
    <t>DD-78-D02</t>
  </si>
  <si>
    <t>DD-78-D03</t>
  </si>
  <si>
    <t>DD-78-D04</t>
  </si>
  <si>
    <t>DD-78-D05</t>
  </si>
  <si>
    <t>DD-78-D06</t>
  </si>
  <si>
    <t>DD-79-D01</t>
  </si>
  <si>
    <t>DD-79-D02</t>
  </si>
  <si>
    <t>DD-79-D03</t>
  </si>
  <si>
    <t>DD-79-D04</t>
  </si>
  <si>
    <t>DD-79-D05</t>
  </si>
  <si>
    <t>DD-79-D06</t>
  </si>
  <si>
    <t>DD-80-D01</t>
  </si>
  <si>
    <t>DD-80-D02</t>
  </si>
  <si>
    <t>DD-80-D03</t>
  </si>
  <si>
    <t>DD-80-D04</t>
  </si>
  <si>
    <t>DD-80-D05</t>
  </si>
  <si>
    <t>DD-80-D06</t>
  </si>
  <si>
    <t>DD-81-D01</t>
  </si>
  <si>
    <t>DD-81-D02</t>
  </si>
  <si>
    <t>DD-81-D03</t>
  </si>
  <si>
    <t>DD-81-D04</t>
  </si>
  <si>
    <t>DD-81-D05</t>
  </si>
  <si>
    <t>DD-81-D06</t>
  </si>
  <si>
    <t>DD-82-D01</t>
  </si>
  <si>
    <t>DD-82-D02</t>
  </si>
  <si>
    <t>DD-82-D03</t>
  </si>
  <si>
    <t>DD-82-D04</t>
  </si>
  <si>
    <t>DD-82-D05</t>
  </si>
  <si>
    <t>DD-82-D06</t>
  </si>
  <si>
    <t>DD-83-D01</t>
  </si>
  <si>
    <t>DD-83-D02</t>
  </si>
  <si>
    <t>DD-83-D03</t>
  </si>
  <si>
    <t>DD-83-D04</t>
  </si>
  <si>
    <t>DD-83-D05</t>
  </si>
  <si>
    <t>DD-83-D06</t>
  </si>
  <si>
    <t>DD-84-D01</t>
  </si>
  <si>
    <t>DD-84-D02</t>
  </si>
  <si>
    <t>DD-84-D03</t>
  </si>
  <si>
    <t>DD-84-D04</t>
  </si>
  <si>
    <t>DD-84-D05</t>
  </si>
  <si>
    <t>DD-84-D06</t>
  </si>
  <si>
    <t>DD-85-D01</t>
  </si>
  <si>
    <t>DD-85-D02</t>
  </si>
  <si>
    <t>DD-85-D03</t>
  </si>
  <si>
    <t>DD-85-D04</t>
  </si>
  <si>
    <t>DD-85-D05</t>
  </si>
  <si>
    <t>DD-85-D06</t>
  </si>
  <si>
    <t>DD-86-D01</t>
  </si>
  <si>
    <t>DD-86-D02</t>
  </si>
  <si>
    <t>DD-86-D03</t>
  </si>
  <si>
    <t>DD-86-D04</t>
  </si>
  <si>
    <t>DD-86-D05</t>
  </si>
  <si>
    <t>DD-86-D06</t>
  </si>
  <si>
    <t>DD-87-D01</t>
  </si>
  <si>
    <t>DD-87-D02</t>
  </si>
  <si>
    <t>DD-87-D03</t>
  </si>
  <si>
    <t>DD-87-D04</t>
  </si>
  <si>
    <t>DD-87-D05</t>
  </si>
  <si>
    <t>DD-87-D06</t>
  </si>
  <si>
    <t>DD-88-D01</t>
  </si>
  <si>
    <t>DD-88-D02</t>
  </si>
  <si>
    <t>DD-88-D03</t>
  </si>
  <si>
    <t>DD-88-D04</t>
  </si>
  <si>
    <t>DD-88-D05</t>
  </si>
  <si>
    <t>DD-88-D06</t>
  </si>
  <si>
    <t>DD-89-D01</t>
  </si>
  <si>
    <t>DD-89-D02</t>
  </si>
  <si>
    <t>DD-89-D03</t>
  </si>
  <si>
    <t>DD-89-D04</t>
  </si>
  <si>
    <t>DD-89-D05</t>
  </si>
  <si>
    <t>DD-89-D06</t>
  </si>
  <si>
    <t>DD-90-D01</t>
  </si>
  <si>
    <t>DD-90-D02</t>
  </si>
  <si>
    <t>DD-90-D03</t>
  </si>
  <si>
    <t>DD-90-D04</t>
  </si>
  <si>
    <t>DD-90-D05</t>
  </si>
  <si>
    <t>DD-90-D06</t>
  </si>
  <si>
    <t>DD-91-D01</t>
  </si>
  <si>
    <t>DD-91-D02</t>
  </si>
  <si>
    <t>DD-91-D03</t>
  </si>
  <si>
    <t>DD-91-D04</t>
  </si>
  <si>
    <t>DD-91-D05</t>
  </si>
  <si>
    <t>DD-91-D06</t>
  </si>
  <si>
    <t>DD-92-D01</t>
  </si>
  <si>
    <t>DD-92-D02</t>
  </si>
  <si>
    <t>DD-92-D03</t>
  </si>
  <si>
    <t>DD-92-D04</t>
  </si>
  <si>
    <t>DD-92-D05</t>
  </si>
  <si>
    <t>DD-92-D06</t>
  </si>
  <si>
    <t>DD-93-D01</t>
  </si>
  <si>
    <t>DD-93-D02</t>
  </si>
  <si>
    <t>DD-93-D03</t>
  </si>
  <si>
    <t>DD-93-D04</t>
  </si>
  <si>
    <t>DD-93-D05</t>
  </si>
  <si>
    <t>DD-93-D06</t>
  </si>
  <si>
    <t>DD-94-D01</t>
  </si>
  <si>
    <t>DD-94-D02</t>
  </si>
  <si>
    <t>DD-94-D03</t>
  </si>
  <si>
    <t>DD-94-D04</t>
  </si>
  <si>
    <t>DD-94-D05</t>
  </si>
  <si>
    <t>DD-94-D06</t>
  </si>
  <si>
    <t>DD-95-D01</t>
  </si>
  <si>
    <t>DD-95-D02</t>
  </si>
  <si>
    <t>DD-95-D03</t>
  </si>
  <si>
    <t>DD-95-D04</t>
  </si>
  <si>
    <t>DD-95-D05</t>
  </si>
  <si>
    <t>DD-95-D06</t>
  </si>
  <si>
    <t>DD-96-D01</t>
  </si>
  <si>
    <t>DD-96-D02</t>
  </si>
  <si>
    <t>DD-96-D03</t>
  </si>
  <si>
    <t>DD-96-D04</t>
  </si>
  <si>
    <t>DD-96-D05</t>
  </si>
  <si>
    <t>DD-96-D06</t>
  </si>
  <si>
    <t>DD-97-D01</t>
  </si>
  <si>
    <t>DD-97-D02</t>
  </si>
  <si>
    <t>DD-97-D03</t>
  </si>
  <si>
    <t>DD-97-D04</t>
  </si>
  <si>
    <t>DD-97-D05</t>
  </si>
  <si>
    <t>DD-97-D06</t>
  </si>
  <si>
    <t>DD-98-D01</t>
  </si>
  <si>
    <t>DD-98-D02</t>
  </si>
  <si>
    <t>DD-98-D03</t>
  </si>
  <si>
    <t>DD-98-D04</t>
  </si>
  <si>
    <t>DD-98-D05</t>
  </si>
  <si>
    <t>DD-98-D06</t>
  </si>
  <si>
    <t>DD-99-D01</t>
  </si>
  <si>
    <t>DD-99-D02</t>
  </si>
  <si>
    <t>DD-99-D03</t>
  </si>
  <si>
    <t>DD-99-D04</t>
  </si>
  <si>
    <t>DD-99-D05</t>
  </si>
  <si>
    <t>DD-99-D06</t>
  </si>
  <si>
    <t>DD-100-D01</t>
  </si>
  <si>
    <t>DD-100-D02</t>
  </si>
  <si>
    <t>DD-100-D03</t>
  </si>
  <si>
    <t>DD-100-D04</t>
  </si>
  <si>
    <t>DD-100-D05</t>
  </si>
  <si>
    <t>DD-100-D06</t>
  </si>
  <si>
    <t>DD-101-D01</t>
  </si>
  <si>
    <t>DD-101-D02</t>
  </si>
  <si>
    <t>DD-101-D03</t>
  </si>
  <si>
    <t>DD-101-D04</t>
  </si>
  <si>
    <t>DD-101-D05</t>
  </si>
  <si>
    <t>DD-101-D06</t>
  </si>
  <si>
    <t>DD-102-D01</t>
  </si>
  <si>
    <t>DD-102-D02</t>
  </si>
  <si>
    <t>DD-102-D03</t>
  </si>
  <si>
    <t>DD-102-D04</t>
  </si>
  <si>
    <t>DD-102-D05</t>
  </si>
  <si>
    <t>DD-102-D06</t>
  </si>
  <si>
    <t>DD-103-D01</t>
  </si>
  <si>
    <t>DD-103-D02</t>
  </si>
  <si>
    <t>DD-103-D03</t>
  </si>
  <si>
    <t>DD-103-D04</t>
  </si>
  <si>
    <t>DD-103-D05</t>
  </si>
  <si>
    <t>DD-103-D06</t>
  </si>
  <si>
    <t>DD-104-D01</t>
  </si>
  <si>
    <t>DD-104-D02</t>
  </si>
  <si>
    <t>DD-104-D03</t>
  </si>
  <si>
    <t>DD-104-D04</t>
  </si>
  <si>
    <t>DD-104-D05</t>
  </si>
  <si>
    <t>DD-104-D06</t>
  </si>
  <si>
    <t>DD-105-D01</t>
  </si>
  <si>
    <t>DD-105-D02</t>
  </si>
  <si>
    <t>DD-105-D03</t>
  </si>
  <si>
    <t>DD-105-D04</t>
  </si>
  <si>
    <t>DD-105-D05</t>
  </si>
  <si>
    <t>DD-105-D06</t>
  </si>
  <si>
    <t>DD-106-D01</t>
  </si>
  <si>
    <t>DD-106-D02</t>
  </si>
  <si>
    <t>DD-106-D03</t>
  </si>
  <si>
    <t>DD-106-D04</t>
  </si>
  <si>
    <t>DD-106-D05</t>
  </si>
  <si>
    <t>DD-106-D06</t>
  </si>
  <si>
    <t>DD-107-D01</t>
  </si>
  <si>
    <t>DD-107-D02</t>
  </si>
  <si>
    <t>DD-107-D03</t>
  </si>
  <si>
    <t>DD-107-D04</t>
  </si>
  <si>
    <t>DD-107-D05</t>
  </si>
  <si>
    <t>DD-107-D06</t>
  </si>
  <si>
    <t>DD-108-D01</t>
  </si>
  <si>
    <t>DD-108-D02</t>
  </si>
  <si>
    <t>DD-108-D03</t>
  </si>
  <si>
    <t>DD-108-D04</t>
  </si>
  <si>
    <t>DD-108-D05</t>
  </si>
  <si>
    <t>DD-108-D06</t>
  </si>
  <si>
    <t>DD-109-D01</t>
  </si>
  <si>
    <t>DD-109-D02</t>
  </si>
  <si>
    <t>DD-109-D03</t>
  </si>
  <si>
    <t>DD-109-D04</t>
  </si>
  <si>
    <t>DD-109-D05</t>
  </si>
  <si>
    <t>DD-109-D06</t>
  </si>
  <si>
    <t>DD-110-D01</t>
  </si>
  <si>
    <t>DD-110-D02</t>
  </si>
  <si>
    <t>DD-110-D03</t>
  </si>
  <si>
    <t>DD-110-D04</t>
  </si>
  <si>
    <t>DD-110-D05</t>
  </si>
  <si>
    <t>DD-110-D06</t>
  </si>
  <si>
    <t>DD-111-D01</t>
  </si>
  <si>
    <t>DD-111-D02</t>
  </si>
  <si>
    <t>DD-111-D03</t>
  </si>
  <si>
    <t>DD-111-D04</t>
  </si>
  <si>
    <t>DD-111-D05</t>
  </si>
  <si>
    <t>DD-111-D06</t>
  </si>
  <si>
    <t>DD-112-D01</t>
  </si>
  <si>
    <t>DD-112-D02</t>
  </si>
  <si>
    <t>DD-112-D03</t>
  </si>
  <si>
    <t>DD-112-D04</t>
  </si>
  <si>
    <t>DD-112-D05</t>
  </si>
  <si>
    <t>DD-112-D06</t>
  </si>
  <si>
    <t>DD-113-D01</t>
  </si>
  <si>
    <t>DD-113-D02</t>
  </si>
  <si>
    <t>DD-113-D03</t>
  </si>
  <si>
    <t>DD-113-D04</t>
  </si>
  <si>
    <t>DD-113-D05</t>
  </si>
  <si>
    <t>DD-113-D06</t>
  </si>
  <si>
    <t>DD-114-D01</t>
  </si>
  <si>
    <t>DD-114-D02</t>
  </si>
  <si>
    <t>DD-114-D03</t>
  </si>
  <si>
    <t>DD-114-D04</t>
  </si>
  <si>
    <t>DD-114-D05</t>
  </si>
  <si>
    <t>DD-114-D06</t>
  </si>
  <si>
    <t>DD-115-D01</t>
  </si>
  <si>
    <t>DD-115-D02</t>
  </si>
  <si>
    <t>DD-115-D03</t>
  </si>
  <si>
    <t>DD-115-D04</t>
  </si>
  <si>
    <t>DD-115-D05</t>
  </si>
  <si>
    <t>DD-115-D06</t>
  </si>
  <si>
    <t>DD-116-D01</t>
  </si>
  <si>
    <t>DD-116-D02</t>
  </si>
  <si>
    <t>DD-116-D03</t>
  </si>
  <si>
    <t>DD-116-D04</t>
  </si>
  <si>
    <t>DD-116-D05</t>
  </si>
  <si>
    <t>DD-116-D06</t>
  </si>
  <si>
    <t>DD-117-D01</t>
  </si>
  <si>
    <t>DD-117-D02</t>
  </si>
  <si>
    <t>DD-117-D03</t>
  </si>
  <si>
    <t>DD-117-D04</t>
  </si>
  <si>
    <t>DD-117-D05</t>
  </si>
  <si>
    <t>DD-117-D06</t>
  </si>
  <si>
    <t>DD-118-D01</t>
  </si>
  <si>
    <t>DD-118-D02</t>
  </si>
  <si>
    <t>DD-118-D03</t>
  </si>
  <si>
    <t>DD-118-D04</t>
  </si>
  <si>
    <t>DD-118-D05</t>
  </si>
  <si>
    <t>DD-118-D06</t>
  </si>
  <si>
    <t>DD-119-D01</t>
  </si>
  <si>
    <t>DD-119-D02</t>
  </si>
  <si>
    <t>DD-119-D03</t>
  </si>
  <si>
    <t>DD-119-D04</t>
  </si>
  <si>
    <t>DD-119-D05</t>
  </si>
  <si>
    <t>DD-119-D06</t>
  </si>
  <si>
    <t>DD-120-D01</t>
  </si>
  <si>
    <t>DD-120-D02</t>
  </si>
  <si>
    <t>DD-120-D03</t>
  </si>
  <si>
    <t>DD-120-D04</t>
  </si>
  <si>
    <t>DD-120-D05</t>
  </si>
  <si>
    <t>DD-120-D06</t>
  </si>
  <si>
    <t>DD-121-D01</t>
  </si>
  <si>
    <t>DD-121-D02</t>
  </si>
  <si>
    <t>DD-121-D03</t>
  </si>
  <si>
    <t>DD-121-D04</t>
  </si>
  <si>
    <t>DD-121-D05</t>
  </si>
  <si>
    <t>DD-121-D06</t>
  </si>
  <si>
    <t>DD-122-D01</t>
  </si>
  <si>
    <t>DD-122-D02</t>
  </si>
  <si>
    <t>DD-122-D03</t>
  </si>
  <si>
    <t>DD-122-D04</t>
  </si>
  <si>
    <t>DD-122-D05</t>
  </si>
  <si>
    <t>DD-122-D06</t>
  </si>
  <si>
    <t>DD-123-D01</t>
  </si>
  <si>
    <t>DD-123-D02</t>
  </si>
  <si>
    <t>DD-123-D03</t>
  </si>
  <si>
    <t>DD-123-D04</t>
  </si>
  <si>
    <t>DD-123-D05</t>
  </si>
  <si>
    <t>DD-123-D06</t>
  </si>
  <si>
    <t>DD-124-D01</t>
  </si>
  <si>
    <t>DD-124-D02</t>
  </si>
  <si>
    <t>DD-124-D03</t>
  </si>
  <si>
    <t>DD-124-D04</t>
  </si>
  <si>
    <t>DD-124-D05</t>
  </si>
  <si>
    <t>DD-124-D06</t>
  </si>
  <si>
    <t>DD-125-D01</t>
  </si>
  <si>
    <t>DD-125-D02</t>
  </si>
  <si>
    <t>DD-125-D03</t>
  </si>
  <si>
    <t>DD-125-D04</t>
  </si>
  <si>
    <t>DD-125-D05</t>
  </si>
  <si>
    <t>DD-125-D06</t>
  </si>
  <si>
    <t>DD-126-D01</t>
  </si>
  <si>
    <t>DD-126-D02</t>
  </si>
  <si>
    <t>DD-126-D03</t>
  </si>
  <si>
    <t>DD-126-D04</t>
  </si>
  <si>
    <t>DD-126-D05</t>
  </si>
  <si>
    <t>DD-126-D06</t>
  </si>
  <si>
    <t>DD-127-D01</t>
  </si>
  <si>
    <t>DD-127-D02</t>
  </si>
  <si>
    <t>DD-127-D03</t>
  </si>
  <si>
    <t>DD-127-D04</t>
  </si>
  <si>
    <t>DD-127-D05</t>
  </si>
  <si>
    <t>DD-127-D06</t>
  </si>
  <si>
    <t>DD-128-D01</t>
  </si>
  <si>
    <t>DD-128-D02</t>
  </si>
  <si>
    <t>DD-128-D03</t>
  </si>
  <si>
    <t>DD-128-D04</t>
  </si>
  <si>
    <t>DD-128-D05</t>
  </si>
  <si>
    <t>DD-128-D06</t>
  </si>
  <si>
    <t>DD-129-D01</t>
  </si>
  <si>
    <t>DD-129-D02</t>
  </si>
  <si>
    <t>DD-129-D03</t>
  </si>
  <si>
    <t>DD-129-D04</t>
  </si>
  <si>
    <t>DD-129-D05</t>
  </si>
  <si>
    <t>DD-129-D06</t>
  </si>
  <si>
    <t>DD-130-D01</t>
  </si>
  <si>
    <t>DD-130-D02</t>
  </si>
  <si>
    <t>DD-130-D03</t>
  </si>
  <si>
    <t>DD-130-D04</t>
  </si>
  <si>
    <t>DD-130-D05</t>
  </si>
  <si>
    <t>DD-130-D06</t>
  </si>
  <si>
    <t>DD-131-D01</t>
  </si>
  <si>
    <t>DD-131-D02</t>
  </si>
  <si>
    <t>DD-131-D03</t>
  </si>
  <si>
    <t>DD-131-D04</t>
  </si>
  <si>
    <t>DD-131-D05</t>
  </si>
  <si>
    <t>DD-131-D06</t>
  </si>
  <si>
    <t>DD-132-D01</t>
  </si>
  <si>
    <t>DD-132-D02</t>
  </si>
  <si>
    <t>DD-132-D03</t>
  </si>
  <si>
    <t>DD-132-D04</t>
  </si>
  <si>
    <t>DD-132-D05</t>
  </si>
  <si>
    <t>DD-132-D06</t>
  </si>
  <si>
    <t>DD-133-D01</t>
  </si>
  <si>
    <t>DD-133-D02</t>
  </si>
  <si>
    <t>DD-133-D03</t>
  </si>
  <si>
    <t>DD-133-D04</t>
  </si>
  <si>
    <t>DD-133-D05</t>
  </si>
  <si>
    <t>DD-133-D06</t>
  </si>
  <si>
    <t>DD-134-D01</t>
  </si>
  <si>
    <t>DD-134-D02</t>
  </si>
  <si>
    <t>DD-134-D03</t>
  </si>
  <si>
    <t>DD-134-D04</t>
  </si>
  <si>
    <t>DD-134-D05</t>
  </si>
  <si>
    <t>DD-134-D06</t>
  </si>
  <si>
    <t>DD-135-D01</t>
  </si>
  <si>
    <t>DD-135-D02</t>
  </si>
  <si>
    <t>DD-135-D03</t>
  </si>
  <si>
    <t>DD-135-D04</t>
  </si>
  <si>
    <t>DD-135-D05</t>
  </si>
  <si>
    <t>DD-135-D06</t>
  </si>
  <si>
    <t>DD-136-D01</t>
  </si>
  <si>
    <t>DD-136-D02</t>
  </si>
  <si>
    <t>DD-136-D03</t>
  </si>
  <si>
    <t>DD-136-D04</t>
  </si>
  <si>
    <t>DD-136-D05</t>
  </si>
  <si>
    <t>DD-136-D06</t>
  </si>
  <si>
    <t>DD-137-D01</t>
  </si>
  <si>
    <t>DD-137-D02</t>
  </si>
  <si>
    <t>DD-137-D03</t>
  </si>
  <si>
    <t>DD-137-D04</t>
  </si>
  <si>
    <t>DD-137-D05</t>
  </si>
  <si>
    <t>DD-137-D06</t>
  </si>
  <si>
    <t>DD-138-D01</t>
  </si>
  <si>
    <t>DD-138-D02</t>
  </si>
  <si>
    <t>DD-138-D03</t>
  </si>
  <si>
    <t>DD-138-D04</t>
  </si>
  <si>
    <t>DD-138-D05</t>
  </si>
  <si>
    <t>DD-138-D06</t>
  </si>
  <si>
    <t>DD-139-D01</t>
  </si>
  <si>
    <t>DD-139-D02</t>
  </si>
  <si>
    <t>DD-139-D03</t>
  </si>
  <si>
    <t>DD-139-D04</t>
  </si>
  <si>
    <t>DD-139-D05</t>
  </si>
  <si>
    <t>DD-139-D06</t>
  </si>
  <si>
    <t>DD-140-D01</t>
  </si>
  <si>
    <t>DD-140-D02</t>
  </si>
  <si>
    <t>DD-140-D03</t>
  </si>
  <si>
    <t>DD-140-D04</t>
  </si>
  <si>
    <t>DD-140-D05</t>
  </si>
  <si>
    <t>DD-140-D06</t>
  </si>
  <si>
    <t>DD-141-D01</t>
  </si>
  <si>
    <t>DD-141-D02</t>
  </si>
  <si>
    <t>DD-141-D03</t>
  </si>
  <si>
    <t>DD-141-D04</t>
  </si>
  <si>
    <t>DD-141-D05</t>
  </si>
  <si>
    <t>DD-141-D06</t>
  </si>
  <si>
    <t>DD-142-D01</t>
  </si>
  <si>
    <t>DD-142-D02</t>
  </si>
  <si>
    <t>DD-142-D03</t>
  </si>
  <si>
    <t>DD-142-D04</t>
  </si>
  <si>
    <t>DD-142-D05</t>
  </si>
  <si>
    <t>DD-142-D06</t>
  </si>
  <si>
    <t>DD-143-D01</t>
  </si>
  <si>
    <t>DD-143-D02</t>
  </si>
  <si>
    <t>DD-143-D03</t>
  </si>
  <si>
    <t>DD-143-D04</t>
  </si>
  <si>
    <t>DD-143-D05</t>
  </si>
  <si>
    <t>DD-143-D06</t>
  </si>
  <si>
    <t>DD-144-D01</t>
  </si>
  <si>
    <t>DD-144-D02</t>
  </si>
  <si>
    <t>DD-144-D03</t>
  </si>
  <si>
    <t>DD-144-D04</t>
  </si>
  <si>
    <t>DD-144-D05</t>
  </si>
  <si>
    <t>DD-144-D06</t>
  </si>
  <si>
    <t>DD-145-D01</t>
  </si>
  <si>
    <t>DD-145-D02</t>
  </si>
  <si>
    <t>DD-145-D03</t>
  </si>
  <si>
    <t>DD-145-D04</t>
  </si>
  <si>
    <t>DD-145-D05</t>
  </si>
  <si>
    <t>DD-145-D06</t>
  </si>
  <si>
    <t>DD-146-D01</t>
  </si>
  <si>
    <t>DD-146-D02</t>
  </si>
  <si>
    <t>DD-146-D03</t>
  </si>
  <si>
    <t>DD-146-D04</t>
  </si>
  <si>
    <t>DD-146-D05</t>
  </si>
  <si>
    <t>DD-146-D06</t>
  </si>
  <si>
    <t>DD-147-D01</t>
  </si>
  <si>
    <t>DD-147-D02</t>
  </si>
  <si>
    <t>DD-147-D03</t>
  </si>
  <si>
    <t>DD-147-D04</t>
  </si>
  <si>
    <t>DD-147-D05</t>
  </si>
  <si>
    <t>DD-147-D06</t>
  </si>
  <si>
    <t>DD-148-D01</t>
  </si>
  <si>
    <t>DD-148-D02</t>
  </si>
  <si>
    <t>DD-148-D03</t>
  </si>
  <si>
    <t>DD-148-D04</t>
  </si>
  <si>
    <t>DD-148-D05</t>
  </si>
  <si>
    <t>DD-148-D06</t>
  </si>
  <si>
    <t>DD-149-D01</t>
  </si>
  <si>
    <t>DD-149-D02</t>
  </si>
  <si>
    <t>DD-149-D03</t>
  </si>
  <si>
    <t>DD-149-D04</t>
  </si>
  <si>
    <t>DD-149-D05</t>
  </si>
  <si>
    <t>DD-149-D06</t>
  </si>
  <si>
    <t>DD-150-D01</t>
  </si>
  <si>
    <t>DD-150-D02</t>
  </si>
  <si>
    <t>DD-150-D03</t>
  </si>
  <si>
    <t>DD-150-D04</t>
  </si>
  <si>
    <t>DD-150-D05</t>
  </si>
  <si>
    <t>DD-150-D06</t>
  </si>
  <si>
    <t>DD-151-D01</t>
  </si>
  <si>
    <t>DD-151-D02</t>
  </si>
  <si>
    <t>DD-151-D03</t>
  </si>
  <si>
    <t>DD-151-D04</t>
  </si>
  <si>
    <t>DD-151-D05</t>
  </si>
  <si>
    <t>DD-151-D06</t>
  </si>
  <si>
    <t>DD-152-D01</t>
  </si>
  <si>
    <t>DD-152-D02</t>
  </si>
  <si>
    <t>DD-152-D03</t>
  </si>
  <si>
    <t>DD-152-D04</t>
  </si>
  <si>
    <t>DD-152-D05</t>
  </si>
  <si>
    <t>DD-152-D06</t>
  </si>
  <si>
    <t>DD-153-D01</t>
  </si>
  <si>
    <t>DD-153-D02</t>
  </si>
  <si>
    <t>DD-153-D03</t>
  </si>
  <si>
    <t>DD-153-D04</t>
  </si>
  <si>
    <t>DD-153-D05</t>
  </si>
  <si>
    <t>DD-153-D06</t>
  </si>
  <si>
    <t>DD-154-D01</t>
  </si>
  <si>
    <t>DD-154-D02</t>
  </si>
  <si>
    <t>DD-154-D03</t>
  </si>
  <si>
    <t>DD-154-D04</t>
  </si>
  <si>
    <t>DD-154-D05</t>
  </si>
  <si>
    <t>DD-154-D06</t>
  </si>
  <si>
    <t>DD-155-D01</t>
  </si>
  <si>
    <t>DD-155-D02</t>
  </si>
  <si>
    <t>DD-155-D03</t>
  </si>
  <si>
    <t>DD-155-D04</t>
  </si>
  <si>
    <t>DD-155-D05</t>
  </si>
  <si>
    <t>DD-155-D06</t>
  </si>
  <si>
    <t>DD-156-D01</t>
  </si>
  <si>
    <t>DD-156-D02</t>
  </si>
  <si>
    <t>DD-156-D03</t>
  </si>
  <si>
    <t>DD-156-D04</t>
  </si>
  <si>
    <t>DD-156-D05</t>
  </si>
  <si>
    <t>DD-156-D06</t>
  </si>
  <si>
    <t>DD-157-D01</t>
  </si>
  <si>
    <t>DD-157-D02</t>
  </si>
  <si>
    <t>DD-157-D03</t>
  </si>
  <si>
    <t>DD-157-D04</t>
  </si>
  <si>
    <t>DD-157-D05</t>
  </si>
  <si>
    <t>DD-157-D06</t>
  </si>
  <si>
    <t>DD-158-D01</t>
  </si>
  <si>
    <t>DD-158-D02</t>
  </si>
  <si>
    <t>DD-158-D03</t>
  </si>
  <si>
    <t>DD-158-D04</t>
  </si>
  <si>
    <t>DD-158-D05</t>
  </si>
  <si>
    <t>DD-158-D06</t>
  </si>
  <si>
    <t>DD-159-D01</t>
  </si>
  <si>
    <t>DD-159-D02</t>
  </si>
  <si>
    <t>DD-159-D03</t>
  </si>
  <si>
    <t>DD-159-D04</t>
  </si>
  <si>
    <t>DD-159-D05</t>
  </si>
  <si>
    <t>DD-159-D06</t>
  </si>
  <si>
    <t>DD-160-D01</t>
  </si>
  <si>
    <t>DD-160-D02</t>
  </si>
  <si>
    <t>DD-160-D03</t>
  </si>
  <si>
    <t>DD-160-D04</t>
  </si>
  <si>
    <t>DD-160-D05</t>
  </si>
  <si>
    <t>DD-160-D06</t>
  </si>
  <si>
    <t>DD-161-D01</t>
  </si>
  <si>
    <t>DD-161-D02</t>
  </si>
  <si>
    <t>DD-161-D03</t>
  </si>
  <si>
    <t>DD-161-D04</t>
  </si>
  <si>
    <t>DD-161-D05</t>
  </si>
  <si>
    <t>DD-161-D06</t>
  </si>
  <si>
    <t>DD-162-D01</t>
  </si>
  <si>
    <t>DD-162-D02</t>
  </si>
  <si>
    <t>DD-162-D03</t>
  </si>
  <si>
    <t>DD-162-D04</t>
  </si>
  <si>
    <t>DD-162-D05</t>
  </si>
  <si>
    <t>DD-162-D06</t>
  </si>
  <si>
    <t>DD-163-D01</t>
  </si>
  <si>
    <t>DD-163-D02</t>
  </si>
  <si>
    <t>DD-163-D03</t>
  </si>
  <si>
    <t>DD-163-D04</t>
  </si>
  <si>
    <t>DD-163-D05</t>
  </si>
  <si>
    <t>DD-163-D06</t>
  </si>
  <si>
    <t>DD-164-D01</t>
  </si>
  <si>
    <t>DD-164-D02</t>
  </si>
  <si>
    <t>DD-164-D03</t>
  </si>
  <si>
    <t>DD-164-D04</t>
  </si>
  <si>
    <t>DD-164-D05</t>
  </si>
  <si>
    <t>DD-164-D06</t>
  </si>
  <si>
    <t>DD-165-D01</t>
  </si>
  <si>
    <t>DD-165-D02</t>
  </si>
  <si>
    <t>DD-165-D03</t>
  </si>
  <si>
    <t>DD-165-D04</t>
  </si>
  <si>
    <t>DD-165-D05</t>
  </si>
  <si>
    <t>DD-165-D06</t>
  </si>
  <si>
    <t>DD-166-D01</t>
  </si>
  <si>
    <t>DD-166-D02</t>
  </si>
  <si>
    <t>DD-166-D03</t>
  </si>
  <si>
    <t>DD-166-D04</t>
  </si>
  <si>
    <t>DD-166-D05</t>
  </si>
  <si>
    <t>DD-166-D06</t>
  </si>
  <si>
    <t>DD-167-D01</t>
  </si>
  <si>
    <t>DD-167-D02</t>
  </si>
  <si>
    <t>DD-167-D03</t>
  </si>
  <si>
    <t>DD-167-D04</t>
  </si>
  <si>
    <t>DD-167-D05</t>
  </si>
  <si>
    <t>DD-167-D06</t>
  </si>
  <si>
    <t>DD-168-D01</t>
  </si>
  <si>
    <t>DD-168-D02</t>
  </si>
  <si>
    <t>DD-168-D03</t>
  </si>
  <si>
    <t>DD-168-D04</t>
  </si>
  <si>
    <t>DD-168-D05</t>
  </si>
  <si>
    <t>DD-168-D06</t>
  </si>
  <si>
    <t>DD-169-D01</t>
  </si>
  <si>
    <t>DD-169-D02</t>
  </si>
  <si>
    <t>DD-169-D03</t>
  </si>
  <si>
    <t>DD-169-D04</t>
  </si>
  <si>
    <t>DD-169-D05</t>
  </si>
  <si>
    <t>DD-169-D06</t>
  </si>
  <si>
    <t>DD-170-D01</t>
  </si>
  <si>
    <t>DD-170-D02</t>
  </si>
  <si>
    <t>DD-170-D03</t>
  </si>
  <si>
    <t>DD-170-D04</t>
  </si>
  <si>
    <t>DD-170-D05</t>
  </si>
  <si>
    <t>DD-170-D06</t>
  </si>
  <si>
    <t>DD-171-D01</t>
  </si>
  <si>
    <t>DD-171-D02</t>
  </si>
  <si>
    <t>DD-171-D03</t>
  </si>
  <si>
    <t>DD-171-D04</t>
  </si>
  <si>
    <t>DD-171-D05</t>
  </si>
  <si>
    <t>DD-171-D06</t>
  </si>
  <si>
    <t>DD-172-D01</t>
  </si>
  <si>
    <t>DD-172-D02</t>
  </si>
  <si>
    <t>DD-172-D03</t>
  </si>
  <si>
    <t>DD-172-D04</t>
  </si>
  <si>
    <t>DD-172-D05</t>
  </si>
  <si>
    <t>DD-172-D06</t>
  </si>
  <si>
    <t>DD-173-D01</t>
  </si>
  <si>
    <t>DD-173-D02</t>
  </si>
  <si>
    <t>DD-173-D03</t>
  </si>
  <si>
    <t>DD-173-D04</t>
  </si>
  <si>
    <t>DD-173-D05</t>
  </si>
  <si>
    <t>DD-173-D06</t>
  </si>
  <si>
    <t>DD-174-D01</t>
  </si>
  <si>
    <t>DD-174-D02</t>
  </si>
  <si>
    <t>DD-174-D03</t>
  </si>
  <si>
    <t>DD-174-D04</t>
  </si>
  <si>
    <t>DD-174-D05</t>
  </si>
  <si>
    <t>DD-174-D06</t>
  </si>
  <si>
    <t>DD-175-D01</t>
  </si>
  <si>
    <t>DD-175-D02</t>
  </si>
  <si>
    <t>DD-175-D03</t>
  </si>
  <si>
    <t>DD-175-D04</t>
  </si>
  <si>
    <t>DD-175-D05</t>
  </si>
  <si>
    <t>DD-175-D06</t>
  </si>
  <si>
    <t>DD-176-D01</t>
  </si>
  <si>
    <t>DD-176-D02</t>
  </si>
  <si>
    <t>DD-176-D03</t>
  </si>
  <si>
    <t>DD-176-D04</t>
  </si>
  <si>
    <t>DD-176-D05</t>
  </si>
  <si>
    <t>DD-176-D06</t>
  </si>
  <si>
    <t>DD-177-D01</t>
  </si>
  <si>
    <t>DD-177-D02</t>
  </si>
  <si>
    <t>DD-177-D03</t>
  </si>
  <si>
    <t>DD-177-D04</t>
  </si>
  <si>
    <t>DD-177-D05</t>
  </si>
  <si>
    <t>DD-177-D06</t>
  </si>
  <si>
    <t>DD-178-D01</t>
  </si>
  <si>
    <t>DD-178-D02</t>
  </si>
  <si>
    <t>DD-178-D03</t>
  </si>
  <si>
    <t>DD-178-D04</t>
  </si>
  <si>
    <t>DD-178-D05</t>
  </si>
  <si>
    <t>DD-178-D06</t>
  </si>
  <si>
    <t>DD-179-D01</t>
  </si>
  <si>
    <t>DD-179-D02</t>
  </si>
  <si>
    <t>DD-179-D03</t>
  </si>
  <si>
    <t>DD-179-D04</t>
  </si>
  <si>
    <t>DD-179-D05</t>
  </si>
  <si>
    <t>DD-179-D06</t>
  </si>
  <si>
    <t>DD-180-D01</t>
  </si>
  <si>
    <t>DD-180-D02</t>
  </si>
  <si>
    <t>DD-180-D03</t>
  </si>
  <si>
    <t>DD-180-D04</t>
  </si>
  <si>
    <t>DD-180-D05</t>
  </si>
  <si>
    <t>DD-180-D06</t>
  </si>
  <si>
    <t>DD-181-D01</t>
  </si>
  <si>
    <t>DD-181-D02</t>
  </si>
  <si>
    <t>DD-181-D03</t>
  </si>
  <si>
    <t>DD-181-D04</t>
  </si>
  <si>
    <t>DD-181-D05</t>
  </si>
  <si>
    <t>DD-181-D06</t>
  </si>
  <si>
    <t>DD-182-D01</t>
  </si>
  <si>
    <t>DD-182-D02</t>
  </si>
  <si>
    <t>DD-182-D03</t>
  </si>
  <si>
    <t>DD-182-D04</t>
  </si>
  <si>
    <t>DD-182-D05</t>
  </si>
  <si>
    <t>DD-182-D06</t>
  </si>
  <si>
    <t>DD-183-D01</t>
  </si>
  <si>
    <t>DD-183-D02</t>
  </si>
  <si>
    <t>DD-183-D03</t>
  </si>
  <si>
    <t>DD-183-D04</t>
  </si>
  <si>
    <t>DD-183-D05</t>
  </si>
  <si>
    <t>DD-183-D06</t>
  </si>
  <si>
    <t>DD-184-D01</t>
  </si>
  <si>
    <t>DD-184-D02</t>
  </si>
  <si>
    <t>DD-184-D03</t>
  </si>
  <si>
    <t>DD-184-D04</t>
  </si>
  <si>
    <t>DD-184-D05</t>
  </si>
  <si>
    <t>DD-184-D06</t>
  </si>
  <si>
    <t>DD-185-D01</t>
  </si>
  <si>
    <t>DD-185-D02</t>
  </si>
  <si>
    <t>DD-185-D03</t>
  </si>
  <si>
    <t>DD-185-D04</t>
  </si>
  <si>
    <t>DD-185-D05</t>
  </si>
  <si>
    <t>DD-185-D06</t>
  </si>
  <si>
    <t>DD-186-D01</t>
  </si>
  <si>
    <t>DD-186-D02</t>
  </si>
  <si>
    <t>DD-186-D03</t>
  </si>
  <si>
    <t>DD-186-D04</t>
  </si>
  <si>
    <t>DD-186-D05</t>
  </si>
  <si>
    <t>DD-186-D06</t>
  </si>
  <si>
    <t>DD-187-D01</t>
  </si>
  <si>
    <t>DD-187-D02</t>
  </si>
  <si>
    <t>DD-187-D03</t>
  </si>
  <si>
    <t>DD-187-D04</t>
  </si>
  <si>
    <t>DD-187-D05</t>
  </si>
  <si>
    <t>DD-187-D06</t>
  </si>
  <si>
    <t>DD-188-D01</t>
  </si>
  <si>
    <t>DD-188-D02</t>
  </si>
  <si>
    <t>DD-188-D03</t>
  </si>
  <si>
    <t>DD-188-D04</t>
  </si>
  <si>
    <t>DD-188-D05</t>
  </si>
  <si>
    <t>DD-188-D06</t>
  </si>
  <si>
    <t>DD-189-D01</t>
  </si>
  <si>
    <t>DD-189-D02</t>
  </si>
  <si>
    <t>DD-189-D03</t>
  </si>
  <si>
    <t>DD-189-D04</t>
  </si>
  <si>
    <t>DD-189-D05</t>
  </si>
  <si>
    <t>DD-189-D06</t>
  </si>
  <si>
    <t>DD-190-D01</t>
  </si>
  <si>
    <t>DD-190-D02</t>
  </si>
  <si>
    <t>DD-190-D03</t>
  </si>
  <si>
    <t>DD-190-D04</t>
  </si>
  <si>
    <t>DD-190-D05</t>
  </si>
  <si>
    <t>DD-190-D06</t>
  </si>
  <si>
    <t>DD-191-D01</t>
  </si>
  <si>
    <t>DD-191-D02</t>
  </si>
  <si>
    <t>DD-191-D03</t>
  </si>
  <si>
    <t>DD-191-D04</t>
  </si>
  <si>
    <t>DD-191-D05</t>
  </si>
  <si>
    <t>DD-191-D06</t>
  </si>
  <si>
    <t>DD-192-D01</t>
  </si>
  <si>
    <t>DD-192-D02</t>
  </si>
  <si>
    <t>DD-192-D03</t>
  </si>
  <si>
    <t>DD-192-D04</t>
  </si>
  <si>
    <t>DD-192-D05</t>
  </si>
  <si>
    <t>DD-192-D06</t>
  </si>
  <si>
    <t>DD-193-D01</t>
  </si>
  <si>
    <t>DD-193-D02</t>
  </si>
  <si>
    <t>DD-193-D03</t>
  </si>
  <si>
    <t>DD-193-D04</t>
  </si>
  <si>
    <t>DD-193-D05</t>
  </si>
  <si>
    <t>DD-193-D06</t>
  </si>
  <si>
    <t>DD-194-D01</t>
  </si>
  <si>
    <t>DD-194-D02</t>
  </si>
  <si>
    <t>DD-194-D03</t>
  </si>
  <si>
    <t>DD-194-D04</t>
  </si>
  <si>
    <t>DD-194-D05</t>
  </si>
  <si>
    <t>DD-194-D06</t>
  </si>
  <si>
    <t>DD-195-D01</t>
  </si>
  <si>
    <t>DD-195-D02</t>
  </si>
  <si>
    <t>DD-195-D03</t>
  </si>
  <si>
    <t>DD-195-D04</t>
  </si>
  <si>
    <t>DD-195-D05</t>
  </si>
  <si>
    <t>DD-195-D06</t>
  </si>
  <si>
    <t>DD-196-D01</t>
  </si>
  <si>
    <t>DD-196-D02</t>
  </si>
  <si>
    <t>DD-196-D03</t>
  </si>
  <si>
    <t>DD-196-D04</t>
  </si>
  <si>
    <t>DD-196-D05</t>
  </si>
  <si>
    <t>DD-196-D06</t>
  </si>
  <si>
    <t>DD-197-D01</t>
  </si>
  <si>
    <t>DD-197-D02</t>
  </si>
  <si>
    <t>DD-197-D03</t>
  </si>
  <si>
    <t>DD-197-D04</t>
  </si>
  <si>
    <t>DD-197-D05</t>
  </si>
  <si>
    <t>DD-197-D06</t>
  </si>
  <si>
    <t>DD-198-D01</t>
  </si>
  <si>
    <t>DD-198-D02</t>
  </si>
  <si>
    <t>DD-198-D03</t>
  </si>
  <si>
    <t>DD-198-D04</t>
  </si>
  <si>
    <t>DD-198-D05</t>
  </si>
  <si>
    <t>DD-198-D06</t>
  </si>
  <si>
    <t>DD-199-D01</t>
  </si>
  <si>
    <t>DD-199-D02</t>
  </si>
  <si>
    <t>DD-199-D03</t>
  </si>
  <si>
    <t>DD-199-D04</t>
  </si>
  <si>
    <t>DD-199-D05</t>
  </si>
  <si>
    <t>DD-199-D06</t>
  </si>
  <si>
    <t>DD-200-D01</t>
  </si>
  <si>
    <t>DD-200-D02</t>
  </si>
  <si>
    <t>DD-200-D03</t>
  </si>
  <si>
    <t>DD-200-D04</t>
  </si>
  <si>
    <t>DD-200-D05</t>
  </si>
  <si>
    <t>DD-200-D06</t>
  </si>
  <si>
    <t>DD-201-D01</t>
  </si>
  <si>
    <t>DD-201-D02</t>
  </si>
  <si>
    <t>DD-201-D03</t>
  </si>
  <si>
    <t>DD-201-D04</t>
  </si>
  <si>
    <t>DD-201-D05</t>
  </si>
  <si>
    <t>DD-201-D06</t>
  </si>
  <si>
    <t>DD-202-D01</t>
  </si>
  <si>
    <t>DD-202-D02</t>
  </si>
  <si>
    <t>DD-202-D03</t>
  </si>
  <si>
    <t>DD-202-D04</t>
  </si>
  <si>
    <t>DD-202-D05</t>
  </si>
  <si>
    <t>DD-202-D06</t>
  </si>
  <si>
    <t>DD-203-D01</t>
  </si>
  <si>
    <t>DD-203-D02</t>
  </si>
  <si>
    <t>DD-203-D03</t>
  </si>
  <si>
    <t>DD-203-D04</t>
  </si>
  <si>
    <t>DD-203-D05</t>
  </si>
  <si>
    <t>DD-203-D06</t>
  </si>
  <si>
    <t>DD-204-D01</t>
  </si>
  <si>
    <t>DD-204-D02</t>
  </si>
  <si>
    <t>DD-204-D03</t>
  </si>
  <si>
    <t>DD-204-D04</t>
  </si>
  <si>
    <t>DD-204-D05</t>
  </si>
  <si>
    <t>DD-204-D06</t>
  </si>
  <si>
    <t>DD-205-D01</t>
  </si>
  <si>
    <t>DD-205-D02</t>
  </si>
  <si>
    <t>DD-205-D03</t>
  </si>
  <si>
    <t>DD-205-D04</t>
  </si>
  <si>
    <t>DD-205-D05</t>
  </si>
  <si>
    <t>DD-205-D06</t>
  </si>
  <si>
    <t>DD-206-D01</t>
  </si>
  <si>
    <t>DD-206-D02</t>
  </si>
  <si>
    <t>DD-206-D03</t>
  </si>
  <si>
    <t>DD-206-D04</t>
  </si>
  <si>
    <t>DD-206-D05</t>
  </si>
  <si>
    <t>DD-206-D06</t>
  </si>
  <si>
    <t>DD-207-D01</t>
  </si>
  <si>
    <t>DD-207-D02</t>
  </si>
  <si>
    <t>DD-207-D03</t>
  </si>
  <si>
    <t>DD-207-D04</t>
  </si>
  <si>
    <t>DD-207-D05</t>
  </si>
  <si>
    <t>DD-207-D06</t>
  </si>
  <si>
    <t>DD-208-D01</t>
  </si>
  <si>
    <t>DD-208-D02</t>
  </si>
  <si>
    <t>DD-208-D03</t>
  </si>
  <si>
    <t>DD-208-D04</t>
  </si>
  <si>
    <t>DD-208-D05</t>
  </si>
  <si>
    <t>DD-208-D06</t>
  </si>
  <si>
    <t>DD-209-D01</t>
  </si>
  <si>
    <t>DD-209-D02</t>
  </si>
  <si>
    <t>DD-209-D03</t>
  </si>
  <si>
    <t>DD-209-D04</t>
  </si>
  <si>
    <t>DD-209-D05</t>
  </si>
  <si>
    <t>DD-209-D06</t>
  </si>
  <si>
    <t>DD-210-D01</t>
  </si>
  <si>
    <t>DD-210-D02</t>
  </si>
  <si>
    <t>DD-210-D03</t>
  </si>
  <si>
    <t>DD-210-D04</t>
  </si>
  <si>
    <t>DD-210-D05</t>
  </si>
  <si>
    <t>DD-210-D06</t>
  </si>
  <si>
    <t>DD-211-D01</t>
  </si>
  <si>
    <t>DD-211-D02</t>
  </si>
  <si>
    <t>DD-211-D03</t>
  </si>
  <si>
    <t>DD-211-D04</t>
  </si>
  <si>
    <t>DD-211-D05</t>
  </si>
  <si>
    <t>DD-211-D06</t>
  </si>
  <si>
    <t>DD-212-D01</t>
  </si>
  <si>
    <t>DD-212-D02</t>
  </si>
  <si>
    <t>DD-212-D03</t>
  </si>
  <si>
    <t>DD-212-D04</t>
  </si>
  <si>
    <t>DD-212-D05</t>
  </si>
  <si>
    <t>DD-212-D06</t>
  </si>
  <si>
    <t>DD-213-D01</t>
  </si>
  <si>
    <t>DD-213-D02</t>
  </si>
  <si>
    <t>DD-213-D03</t>
  </si>
  <si>
    <t>DD-213-D04</t>
  </si>
  <si>
    <t>DD-213-D05</t>
  </si>
  <si>
    <t>DD-213-D06</t>
  </si>
  <si>
    <t>DD-214-D01</t>
  </si>
  <si>
    <t>DD-214-D02</t>
  </si>
  <si>
    <t>DD-214-D03</t>
  </si>
  <si>
    <t>DD-214-D04</t>
  </si>
  <si>
    <t>DD-214-D05</t>
  </si>
  <si>
    <t>DD-214-D06</t>
  </si>
  <si>
    <t>DD-215-D01</t>
  </si>
  <si>
    <t>DD-215-D02</t>
  </si>
  <si>
    <t>DD-215-D03</t>
  </si>
  <si>
    <t>DD-215-D04</t>
  </si>
  <si>
    <t>DD-215-D05</t>
  </si>
  <si>
    <t>DD-215-D06</t>
  </si>
  <si>
    <t>DD-216-D01</t>
  </si>
  <si>
    <t>DD-216-D02</t>
  </si>
  <si>
    <t>DD-216-D03</t>
  </si>
  <si>
    <t>DD-216-D04</t>
  </si>
  <si>
    <t>DD-216-D05</t>
  </si>
  <si>
    <t>DD-216-D06</t>
  </si>
  <si>
    <t>DD-217-D01</t>
  </si>
  <si>
    <t>DD-217-D02</t>
  </si>
  <si>
    <t>DD-217-D03</t>
  </si>
  <si>
    <t>DD-217-D04</t>
  </si>
  <si>
    <t>DD-217-D05</t>
  </si>
  <si>
    <t>DD-217-D06</t>
  </si>
  <si>
    <t>DD-218-D01</t>
  </si>
  <si>
    <t>DD-218-D02</t>
  </si>
  <si>
    <t>DD-218-D03</t>
  </si>
  <si>
    <t>DD-218-D04</t>
  </si>
  <si>
    <t>DD-218-D05</t>
  </si>
  <si>
    <t>DD-218-D06</t>
  </si>
  <si>
    <t>DD-219-D01</t>
  </si>
  <si>
    <t>DD-219-D02</t>
  </si>
  <si>
    <t>DD-219-D03</t>
  </si>
  <si>
    <t>DD-219-D04</t>
  </si>
  <si>
    <t>DD-219-D05</t>
  </si>
  <si>
    <t>DD-219-D06</t>
  </si>
  <si>
    <t>DD-220-D01</t>
  </si>
  <si>
    <t>DD-220-D02</t>
  </si>
  <si>
    <t>DD-220-D03</t>
  </si>
  <si>
    <t>DD-220-D04</t>
  </si>
  <si>
    <t>DD-220-D05</t>
  </si>
  <si>
    <t>DD-220-D06</t>
  </si>
  <si>
    <t>DD-221-D01</t>
  </si>
  <si>
    <t>DD-221-D02</t>
  </si>
  <si>
    <t>DD-221-D03</t>
  </si>
  <si>
    <t>DD-221-D04</t>
  </si>
  <si>
    <t>DD-221-D05</t>
  </si>
  <si>
    <t>DD-221-D06</t>
  </si>
  <si>
    <t>DD-222-D01</t>
  </si>
  <si>
    <t>DD-222-D02</t>
  </si>
  <si>
    <t>DD-222-D03</t>
  </si>
  <si>
    <t>DD-222-D04</t>
  </si>
  <si>
    <t>DD-222-D05</t>
  </si>
  <si>
    <t>DD-222-D06</t>
  </si>
  <si>
    <t>DD-223-D01</t>
  </si>
  <si>
    <t>DD-223-D02</t>
  </si>
  <si>
    <t>DD-223-D03</t>
  </si>
  <si>
    <t>DD-223-D04</t>
  </si>
  <si>
    <t>DD-223-D05</t>
  </si>
  <si>
    <t>DD-223-D06</t>
  </si>
  <si>
    <t>DD-224-D01</t>
  </si>
  <si>
    <t>DD-224-D02</t>
  </si>
  <si>
    <t>DD-224-D03</t>
  </si>
  <si>
    <t>DD-224-D04</t>
  </si>
  <si>
    <t>DD-224-D05</t>
  </si>
  <si>
    <t>DD-224-D06</t>
  </si>
  <si>
    <t>DD-225-D01</t>
  </si>
  <si>
    <t>DD-225-D02</t>
  </si>
  <si>
    <t>DD-225-D03</t>
  </si>
  <si>
    <t>DD-225-D04</t>
  </si>
  <si>
    <t>DD-225-D05</t>
  </si>
  <si>
    <t>DD-225-D06</t>
  </si>
  <si>
    <t>DD-226-D01</t>
  </si>
  <si>
    <t>DD-226-D02</t>
  </si>
  <si>
    <t>DD-226-D03</t>
  </si>
  <si>
    <t>DD-226-D04</t>
  </si>
  <si>
    <t>DD-226-D05</t>
  </si>
  <si>
    <t>DD-226-D06</t>
  </si>
  <si>
    <t>DD-227-D01</t>
  </si>
  <si>
    <t>DD-227-D02</t>
  </si>
  <si>
    <t>DD-227-D03</t>
  </si>
  <si>
    <t>DD-227-D04</t>
  </si>
  <si>
    <t>DD-227-D05</t>
  </si>
  <si>
    <t>DD-227-D06</t>
  </si>
  <si>
    <t>DD-228-D01</t>
  </si>
  <si>
    <t>DD-228-D02</t>
  </si>
  <si>
    <t>DD-228-D03</t>
  </si>
  <si>
    <t>DD-228-D04</t>
  </si>
  <si>
    <t>DD-228-D05</t>
  </si>
  <si>
    <t>DD-228-D06</t>
  </si>
  <si>
    <t>DD-229-D01</t>
  </si>
  <si>
    <t>DD-229-D02</t>
  </si>
  <si>
    <t>DD-229-D03</t>
  </si>
  <si>
    <t>DD-229-D04</t>
  </si>
  <si>
    <t>DD-229-D05</t>
  </si>
  <si>
    <t>DD-229-D06</t>
  </si>
  <si>
    <t>DD-230-D01</t>
  </si>
  <si>
    <t>DD-230-D02</t>
  </si>
  <si>
    <t>DD-230-D03</t>
  </si>
  <si>
    <t>DD-230-D04</t>
  </si>
  <si>
    <t>DD-230-D05</t>
  </si>
  <si>
    <t>DD-230-D06</t>
  </si>
  <si>
    <t>DD-231-D01</t>
  </si>
  <si>
    <t>DD-231-D02</t>
  </si>
  <si>
    <t>DD-231-D03</t>
  </si>
  <si>
    <t>DD-231-D04</t>
  </si>
  <si>
    <t>DD-231-D05</t>
  </si>
  <si>
    <t>DD-231-D06</t>
  </si>
  <si>
    <t>DD-232-D01</t>
  </si>
  <si>
    <t>DD-232-D02</t>
  </si>
  <si>
    <t>DD-232-D03</t>
  </si>
  <si>
    <t>DD-232-D04</t>
  </si>
  <si>
    <t>DD-232-D05</t>
  </si>
  <si>
    <t>DD-232-D06</t>
  </si>
  <si>
    <t>DD-233-D01</t>
  </si>
  <si>
    <t>DD-233-D02</t>
  </si>
  <si>
    <t>DD-233-D03</t>
  </si>
  <si>
    <t>DD-233-D04</t>
  </si>
  <si>
    <t>DD-233-D05</t>
  </si>
  <si>
    <t>DD-233-D06</t>
  </si>
  <si>
    <t>DD-234-D01</t>
  </si>
  <si>
    <t>DD-234-D02</t>
  </si>
  <si>
    <t>DD-234-D03</t>
  </si>
  <si>
    <t>DD-234-D04</t>
  </si>
  <si>
    <t>DD-234-D05</t>
  </si>
  <si>
    <t>DD-234-D06</t>
  </si>
  <si>
    <t>DD-235-D01</t>
  </si>
  <si>
    <t>DD-235-D02</t>
  </si>
  <si>
    <t>DD-235-D03</t>
  </si>
  <si>
    <t>DD-235-D04</t>
  </si>
  <si>
    <t>DD-235-D05</t>
  </si>
  <si>
    <t>DD-235-D06</t>
  </si>
  <si>
    <t>DD-236-D01</t>
  </si>
  <si>
    <t>DD-236-D02</t>
  </si>
  <si>
    <t>DD-236-D03</t>
  </si>
  <si>
    <t>DD-236-D04</t>
  </si>
  <si>
    <t>DD-236-D05</t>
  </si>
  <si>
    <t>DD-236-D06</t>
  </si>
  <si>
    <t>DD-237-D01</t>
  </si>
  <si>
    <t>DD-237-D02</t>
  </si>
  <si>
    <t>DD-237-D03</t>
  </si>
  <si>
    <t>DD-237-D04</t>
  </si>
  <si>
    <t>DD-237-D05</t>
  </si>
  <si>
    <t>DD-237-D06</t>
  </si>
  <si>
    <t>DD-238-D01</t>
  </si>
  <si>
    <t>DD-238-D02</t>
  </si>
  <si>
    <t>DD-238-D03</t>
  </si>
  <si>
    <t>DD-238-D04</t>
  </si>
  <si>
    <t>DD-238-D05</t>
  </si>
  <si>
    <t>DD-238-D06</t>
  </si>
  <si>
    <t>DD-239-D01</t>
  </si>
  <si>
    <t>DD-239-D02</t>
  </si>
  <si>
    <t>DD-239-D03</t>
  </si>
  <si>
    <t>DD-239-D04</t>
  </si>
  <si>
    <t>DD-239-D05</t>
  </si>
  <si>
    <t>DD-239-D06</t>
  </si>
  <si>
    <t>DD-240-D01</t>
  </si>
  <si>
    <t>DD-240-D02</t>
  </si>
  <si>
    <t>DD-240-D03</t>
  </si>
  <si>
    <t>DD-240-D04</t>
  </si>
  <si>
    <t>DD-240-D05</t>
  </si>
  <si>
    <t>DD-240-D06</t>
  </si>
  <si>
    <t>DD-241-D01</t>
  </si>
  <si>
    <t>DD-241-D02</t>
  </si>
  <si>
    <t>DD-241-D03</t>
  </si>
  <si>
    <t>DD-241-D04</t>
  </si>
  <si>
    <t>DD-241-D05</t>
  </si>
  <si>
    <t>DD-241-D06</t>
  </si>
  <si>
    <t>DD-242-D01</t>
  </si>
  <si>
    <t>DD-242-D02</t>
  </si>
  <si>
    <t>DD-242-D03</t>
  </si>
  <si>
    <t>DD-242-D04</t>
  </si>
  <si>
    <t>DD-242-D05</t>
  </si>
  <si>
    <t>DD-242-D06</t>
  </si>
  <si>
    <t>DD-243-D01</t>
  </si>
  <si>
    <t>DD-243-D02</t>
  </si>
  <si>
    <t>DD-243-D03</t>
  </si>
  <si>
    <t>DD-243-D04</t>
  </si>
  <si>
    <t>DD-243-D05</t>
  </si>
  <si>
    <t>DD-243-D06</t>
  </si>
  <si>
    <t>DD-244-D01</t>
  </si>
  <si>
    <t>DD-244-D02</t>
  </si>
  <si>
    <t>DD-244-D03</t>
  </si>
  <si>
    <t>DD-244-D04</t>
  </si>
  <si>
    <t>DD-244-D05</t>
  </si>
  <si>
    <t>DD-244-D06</t>
  </si>
  <si>
    <t>DD-245-D01</t>
  </si>
  <si>
    <t>DD-245-D02</t>
  </si>
  <si>
    <t>DD-245-D03</t>
  </si>
  <si>
    <t>DD-245-D04</t>
  </si>
  <si>
    <t>DD-245-D05</t>
  </si>
  <si>
    <t>DD-245-D06</t>
  </si>
  <si>
    <t>DD-246-D01</t>
  </si>
  <si>
    <t>DD-246-D02</t>
  </si>
  <si>
    <t>DD-246-D03</t>
  </si>
  <si>
    <t>DD-246-D04</t>
  </si>
  <si>
    <t>DD-246-D05</t>
  </si>
  <si>
    <t>DD-246-D06</t>
  </si>
  <si>
    <t>DD-247-D01</t>
  </si>
  <si>
    <t>DD-247-D02</t>
  </si>
  <si>
    <t>DD-247-D03</t>
  </si>
  <si>
    <t>DD-247-D04</t>
  </si>
  <si>
    <t>DD-247-D05</t>
  </si>
  <si>
    <t>DD-247-D06</t>
  </si>
  <si>
    <t>DD-248-D01</t>
  </si>
  <si>
    <t>DD-248-D02</t>
  </si>
  <si>
    <t>DD-248-D03</t>
  </si>
  <si>
    <t>DD-248-D04</t>
  </si>
  <si>
    <t>DD-248-D05</t>
  </si>
  <si>
    <t>DD-248-D06</t>
  </si>
  <si>
    <t>DD-249-D01</t>
  </si>
  <si>
    <t>DD-249-D02</t>
  </si>
  <si>
    <t>DD-249-D03</t>
  </si>
  <si>
    <t>DD-249-D04</t>
  </si>
  <si>
    <t>DD-249-D05</t>
  </si>
  <si>
    <t>DD-249-D06</t>
  </si>
  <si>
    <t>DD-250-D01</t>
  </si>
  <si>
    <t>DD-250-D02</t>
  </si>
  <si>
    <t>DD-250-D03</t>
  </si>
  <si>
    <t>DD-250-D04</t>
  </si>
  <si>
    <t>DD-250-D05</t>
  </si>
  <si>
    <t>DD-250-D06</t>
  </si>
  <si>
    <t>DD-251-D01</t>
  </si>
  <si>
    <t>DD-251-D02</t>
  </si>
  <si>
    <t>DD-251-D03</t>
  </si>
  <si>
    <t>DD-251-D04</t>
  </si>
  <si>
    <t>DD-251-D05</t>
  </si>
  <si>
    <t>DD-251-D06</t>
  </si>
  <si>
    <t>DD-252-D01</t>
  </si>
  <si>
    <t>DD-252-D02</t>
  </si>
  <si>
    <t>DD-252-D03</t>
  </si>
  <si>
    <t>DD-252-D04</t>
  </si>
  <si>
    <t>DD-252-D05</t>
  </si>
  <si>
    <t>DD-252-D06</t>
  </si>
  <si>
    <t>DD-253-D01</t>
  </si>
  <si>
    <t>DD-253-D02</t>
  </si>
  <si>
    <t>DD-253-D03</t>
  </si>
  <si>
    <t>DD-253-D04</t>
  </si>
  <si>
    <t>DD-253-D05</t>
  </si>
  <si>
    <t>DD-253-D06</t>
  </si>
  <si>
    <t>DD-254-D01</t>
  </si>
  <si>
    <t>DD-254-D02</t>
  </si>
  <si>
    <t>DD-254-D03</t>
  </si>
  <si>
    <t>DD-254-D04</t>
  </si>
  <si>
    <t>DD-254-D05</t>
  </si>
  <si>
    <t>DD-254-D06</t>
  </si>
  <si>
    <t>DD-255-D01</t>
  </si>
  <si>
    <t>DD-255-D02</t>
  </si>
  <si>
    <t>DD-255-D03</t>
  </si>
  <si>
    <t>DD-255-D04</t>
  </si>
  <si>
    <t>DD-255-D05</t>
  </si>
  <si>
    <t>DD-255-D06</t>
  </si>
  <si>
    <t>DD-256-D01</t>
  </si>
  <si>
    <t>DD-256-D02</t>
  </si>
  <si>
    <t>DD-256-D03</t>
  </si>
  <si>
    <t>DD-256-D04</t>
  </si>
  <si>
    <t>DD-256-D05</t>
  </si>
  <si>
    <t>DD-256-D06</t>
  </si>
  <si>
    <t>DD-257-D01</t>
  </si>
  <si>
    <t>DD-257-D02</t>
  </si>
  <si>
    <t>DD-257-D03</t>
  </si>
  <si>
    <t>DD-257-D04</t>
  </si>
  <si>
    <t>DD-257-D05</t>
  </si>
  <si>
    <t>DD-257-D06</t>
  </si>
  <si>
    <t>DD-258-D01</t>
  </si>
  <si>
    <t>DD-258-D02</t>
  </si>
  <si>
    <t>DD-258-D03</t>
  </si>
  <si>
    <t>DD-258-D04</t>
  </si>
  <si>
    <t>DD-258-D05</t>
  </si>
  <si>
    <t>DD-258-D06</t>
  </si>
  <si>
    <t>DD-259-D01</t>
  </si>
  <si>
    <t>DD-259-D02</t>
  </si>
  <si>
    <t>DD-259-D03</t>
  </si>
  <si>
    <t>DD-259-D04</t>
  </si>
  <si>
    <t>DD-259-D05</t>
  </si>
  <si>
    <t>DD-259-D06</t>
  </si>
  <si>
    <t>DD-260-D01</t>
  </si>
  <si>
    <t>DD-260-D02</t>
  </si>
  <si>
    <t>DD-260-D03</t>
  </si>
  <si>
    <t>DD-260-D04</t>
  </si>
  <si>
    <t>DD-260-D05</t>
  </si>
  <si>
    <t>DD-260-D06</t>
  </si>
  <si>
    <t>DD-261-D01</t>
  </si>
  <si>
    <t>DD-261-D02</t>
  </si>
  <si>
    <t>DD-261-D03</t>
  </si>
  <si>
    <t>DD-261-D04</t>
  </si>
  <si>
    <t>DD-261-D05</t>
  </si>
  <si>
    <t>DD-261-D06</t>
  </si>
  <si>
    <t>DD-262-D01</t>
  </si>
  <si>
    <t>DD-262-D02</t>
  </si>
  <si>
    <t>DD-262-D03</t>
  </si>
  <si>
    <t>DD-262-D04</t>
  </si>
  <si>
    <t>DD-262-D05</t>
  </si>
  <si>
    <t>DD-262-D06</t>
  </si>
  <si>
    <t>DD-263-D01</t>
  </si>
  <si>
    <t>DD-263-D02</t>
  </si>
  <si>
    <t>DD-263-D03</t>
  </si>
  <si>
    <t>DD-263-D04</t>
  </si>
  <si>
    <t>DD-263-D05</t>
  </si>
  <si>
    <t>DD-263-D06</t>
  </si>
  <si>
    <t>DD-264-D01</t>
  </si>
  <si>
    <t>DD-264-D02</t>
  </si>
  <si>
    <t>DD-264-D03</t>
  </si>
  <si>
    <t>DD-264-D04</t>
  </si>
  <si>
    <t>DD-264-D05</t>
  </si>
  <si>
    <t>DD-264-D06</t>
  </si>
  <si>
    <t>DD-265-D01</t>
  </si>
  <si>
    <t>DD-265-D02</t>
  </si>
  <si>
    <t>DD-265-D03</t>
  </si>
  <si>
    <t>DD-265-D04</t>
  </si>
  <si>
    <t>DD-265-D05</t>
  </si>
  <si>
    <t>DD-265-D06</t>
  </si>
  <si>
    <t>DD-266-D01</t>
  </si>
  <si>
    <t>DD-266-D02</t>
  </si>
  <si>
    <t>DD-266-D03</t>
  </si>
  <si>
    <t>DD-266-D04</t>
  </si>
  <si>
    <t>DD-266-D05</t>
  </si>
  <si>
    <t>DD-266-D06</t>
  </si>
  <si>
    <t>DD-267-D01</t>
  </si>
  <si>
    <t>DD-267-D02</t>
  </si>
  <si>
    <t>DD-267-D03</t>
  </si>
  <si>
    <t>DD-267-D04</t>
  </si>
  <si>
    <t>DD-267-D05</t>
  </si>
  <si>
    <t>DD-267-D06</t>
  </si>
  <si>
    <t>DD-268-D01</t>
  </si>
  <si>
    <t>DD-268-D02</t>
  </si>
  <si>
    <t>DD-268-D03</t>
  </si>
  <si>
    <t>DD-268-D04</t>
  </si>
  <si>
    <t>DD-268-D05</t>
  </si>
  <si>
    <t>DD-268-D06</t>
  </si>
  <si>
    <t>DD-269-D01</t>
  </si>
  <si>
    <t>DD-269-D02</t>
  </si>
  <si>
    <t>DD-269-D03</t>
  </si>
  <si>
    <t>DD-269-D04</t>
  </si>
  <si>
    <t>DD-269-D05</t>
  </si>
  <si>
    <t>DD-269-D06</t>
  </si>
  <si>
    <t>DD-270-D01</t>
  </si>
  <si>
    <t>DD-270-D02</t>
  </si>
  <si>
    <t>DD-270-D03</t>
  </si>
  <si>
    <t>DD-270-D04</t>
  </si>
  <si>
    <t>DD-270-D05</t>
  </si>
  <si>
    <t>DD-270-D06</t>
  </si>
  <si>
    <t>DD-271-D01</t>
  </si>
  <si>
    <t>DD-271-D02</t>
  </si>
  <si>
    <t>DD-271-D03</t>
  </si>
  <si>
    <t>DD-271-D04</t>
  </si>
  <si>
    <t>DD-271-D05</t>
  </si>
  <si>
    <t>DD-271-D06</t>
  </si>
  <si>
    <t>DD-272-D01</t>
  </si>
  <si>
    <t>DD-272-D02</t>
  </si>
  <si>
    <t>DD-272-D03</t>
  </si>
  <si>
    <t>DD-272-D04</t>
  </si>
  <si>
    <t>DD-272-D05</t>
  </si>
  <si>
    <t>DD-272-D06</t>
  </si>
  <si>
    <t>DD-273-D01</t>
  </si>
  <si>
    <t>DD-273-D02</t>
  </si>
  <si>
    <t>DD-273-D03</t>
  </si>
  <si>
    <t>DD-273-D04</t>
  </si>
  <si>
    <t>DD-273-D05</t>
  </si>
  <si>
    <t>DD-273-D06</t>
  </si>
  <si>
    <t>DD-274-D01</t>
  </si>
  <si>
    <t>DD-274-D02</t>
  </si>
  <si>
    <t>DD-274-D03</t>
  </si>
  <si>
    <t>DD-274-D04</t>
  </si>
  <si>
    <t>DD-274-D05</t>
  </si>
  <si>
    <t>DD-274-D06</t>
  </si>
  <si>
    <t>DD-275-D01</t>
  </si>
  <si>
    <t>DD-275-D02</t>
  </si>
  <si>
    <t>DD-275-D03</t>
  </si>
  <si>
    <t>DD-275-D04</t>
  </si>
  <si>
    <t>DD-275-D05</t>
  </si>
  <si>
    <t>DD-275-D06</t>
  </si>
  <si>
    <t>DD-276-D01</t>
  </si>
  <si>
    <t>DD-276-D02</t>
  </si>
  <si>
    <t>DD-276-D03</t>
  </si>
  <si>
    <t>DD-276-D04</t>
  </si>
  <si>
    <t>DD-276-D05</t>
  </si>
  <si>
    <t>DD-276-D06</t>
  </si>
  <si>
    <t>DD-277-D01</t>
  </si>
  <si>
    <t>DD-277-D02</t>
  </si>
  <si>
    <t>DD-277-D03</t>
  </si>
  <si>
    <t>DD-277-D04</t>
  </si>
  <si>
    <t>DD-277-D05</t>
  </si>
  <si>
    <t>DD-277-D06</t>
  </si>
  <si>
    <t>DD-278-D01</t>
  </si>
  <si>
    <t>DD-278-D02</t>
  </si>
  <si>
    <t>DD-278-D03</t>
  </si>
  <si>
    <t>DD-278-D04</t>
  </si>
  <si>
    <t>DD-278-D05</t>
  </si>
  <si>
    <t>DD-278-D06</t>
  </si>
  <si>
    <t>DD-279-D01</t>
  </si>
  <si>
    <t>DD-279-D02</t>
  </si>
  <si>
    <t>DD-279-D03</t>
  </si>
  <si>
    <t>DD-279-D04</t>
  </si>
  <si>
    <t>DD-279-D05</t>
  </si>
  <si>
    <t>DD-279-D06</t>
  </si>
  <si>
    <t>DD-280-D01</t>
  </si>
  <si>
    <t>DD-280-D02</t>
  </si>
  <si>
    <t>DD-280-D03</t>
  </si>
  <si>
    <t>DD-280-D04</t>
  </si>
  <si>
    <t>DD-280-D05</t>
  </si>
  <si>
    <t>DD-280-D06</t>
  </si>
  <si>
    <t>DD-281-D01</t>
  </si>
  <si>
    <t>DD-281-D02</t>
  </si>
  <si>
    <t>DD-281-D03</t>
  </si>
  <si>
    <t>DD-281-D04</t>
  </si>
  <si>
    <t>DD-281-D05</t>
  </si>
  <si>
    <t>DD-281-D06</t>
  </si>
  <si>
    <t>DD-282-D01</t>
  </si>
  <si>
    <t>DD-282-D02</t>
  </si>
  <si>
    <t>DD-282-D03</t>
  </si>
  <si>
    <t>DD-282-D04</t>
  </si>
  <si>
    <t>DD-282-D05</t>
  </si>
  <si>
    <t>DD-282-D06</t>
  </si>
  <si>
    <t>DD-283-D01</t>
  </si>
  <si>
    <t>DD-283-D02</t>
  </si>
  <si>
    <t>DD-283-D03</t>
  </si>
  <si>
    <t>DD-283-D04</t>
  </si>
  <si>
    <t>DD-283-D05</t>
  </si>
  <si>
    <t>DD-283-D06</t>
  </si>
  <si>
    <t>DD-284-D01</t>
  </si>
  <si>
    <t>DD-284-D02</t>
  </si>
  <si>
    <t>DD-284-D03</t>
  </si>
  <si>
    <t>DD-284-D04</t>
  </si>
  <si>
    <t>DD-284-D05</t>
  </si>
  <si>
    <t>DD-284-D06</t>
  </si>
  <si>
    <t>DD-285-D01</t>
  </si>
  <si>
    <t>DD-285-D02</t>
  </si>
  <si>
    <t>DD-285-D03</t>
  </si>
  <si>
    <t>DD-285-D04</t>
  </si>
  <si>
    <t>DD-285-D05</t>
  </si>
  <si>
    <t>DD-285-D06</t>
  </si>
  <si>
    <t>DD-286-D01</t>
  </si>
  <si>
    <t>DD-286-D02</t>
  </si>
  <si>
    <t>DD-286-D03</t>
  </si>
  <si>
    <t>DD-286-D04</t>
  </si>
  <si>
    <t>DD-286-D05</t>
  </si>
  <si>
    <t>DD-286-D06</t>
  </si>
  <si>
    <t>DD-287-D01</t>
  </si>
  <si>
    <t>DD-287-D02</t>
  </si>
  <si>
    <t>DD-287-D03</t>
  </si>
  <si>
    <t>DD-287-D04</t>
  </si>
  <si>
    <t>DD-287-D05</t>
  </si>
  <si>
    <t>DD-287-D06</t>
  </si>
  <si>
    <t>DD-288-D01</t>
  </si>
  <si>
    <t>DD-288-D02</t>
  </si>
  <si>
    <t>DD-288-D03</t>
  </si>
  <si>
    <t>DD-288-D04</t>
  </si>
  <si>
    <t>DD-288-D05</t>
  </si>
  <si>
    <t>DD-288-D06</t>
  </si>
  <si>
    <t>DD-289-D01</t>
  </si>
  <si>
    <t>DD-289-D02</t>
  </si>
  <si>
    <t>DD-289-D03</t>
  </si>
  <si>
    <t>DD-289-D04</t>
  </si>
  <si>
    <t>DD-289-D05</t>
  </si>
  <si>
    <t>DD-289-D06</t>
  </si>
  <si>
    <t>DD-290-D01</t>
  </si>
  <si>
    <t>DD-290-D02</t>
  </si>
  <si>
    <t>DD-290-D03</t>
  </si>
  <si>
    <t>DD-290-D04</t>
  </si>
  <si>
    <t>DD-290-D05</t>
  </si>
  <si>
    <t>DD-290-D06</t>
  </si>
  <si>
    <t>DD-291-D01</t>
  </si>
  <si>
    <t>DD-291-D02</t>
  </si>
  <si>
    <t>DD-291-D03</t>
  </si>
  <si>
    <t>DD-291-D04</t>
  </si>
  <si>
    <t>DD-291-D05</t>
  </si>
  <si>
    <t>DD-291-D06</t>
  </si>
  <si>
    <t>DD-292-D01</t>
  </si>
  <si>
    <t>DD-292-D02</t>
  </si>
  <si>
    <t>DD-292-D03</t>
  </si>
  <si>
    <t>DD-292-D04</t>
  </si>
  <si>
    <t>DD-292-D05</t>
  </si>
  <si>
    <t>DD-292-D06</t>
  </si>
  <si>
    <t>DD-293-D01</t>
  </si>
  <si>
    <t>DD-293-D02</t>
  </si>
  <si>
    <t>DD-293-D03</t>
  </si>
  <si>
    <t>DD-293-D04</t>
  </si>
  <si>
    <t>DD-293-D05</t>
  </si>
  <si>
    <t>DD-293-D06</t>
  </si>
  <si>
    <t>DD-294-D01</t>
  </si>
  <si>
    <t>DD-294-D02</t>
  </si>
  <si>
    <t>DD-294-D03</t>
  </si>
  <si>
    <t>DD-294-D04</t>
  </si>
  <si>
    <t>DD-294-D05</t>
  </si>
  <si>
    <t>DD-294-D06</t>
  </si>
  <si>
    <t>DD-295-D01</t>
  </si>
  <si>
    <t>DD-295-D02</t>
  </si>
  <si>
    <t>DD-295-D03</t>
  </si>
  <si>
    <t>DD-295-D04</t>
  </si>
  <si>
    <t>DD-295-D05</t>
  </si>
  <si>
    <t>DD-295-D06</t>
  </si>
  <si>
    <t>DD-296-D01</t>
  </si>
  <si>
    <t>DD-296-D02</t>
  </si>
  <si>
    <t>DD-296-D03</t>
  </si>
  <si>
    <t>DD-296-D04</t>
  </si>
  <si>
    <t>DD-296-D05</t>
  </si>
  <si>
    <t>DD-296-D06</t>
  </si>
  <si>
    <t>DD-297-D01</t>
  </si>
  <si>
    <t>DD-297-D02</t>
  </si>
  <si>
    <t>DD-297-D03</t>
  </si>
  <si>
    <t>DD-297-D04</t>
  </si>
  <si>
    <t>DD-297-D05</t>
  </si>
  <si>
    <t>DD-297-D06</t>
  </si>
  <si>
    <t>DD-298-D01</t>
  </si>
  <si>
    <t>DD-298-D02</t>
  </si>
  <si>
    <t>DD-298-D03</t>
  </si>
  <si>
    <t>DD-298-D04</t>
  </si>
  <si>
    <t>DD-298-D05</t>
  </si>
  <si>
    <t>DD-298-D06</t>
  </si>
  <si>
    <t>DD-299-D01</t>
  </si>
  <si>
    <t>DD-299-D02</t>
  </si>
  <si>
    <t>DD-299-D03</t>
  </si>
  <si>
    <t>DD-299-D04</t>
  </si>
  <si>
    <t>DD-299-D05</t>
  </si>
  <si>
    <t>DD-299-D06</t>
  </si>
  <si>
    <t>DD-300-D01</t>
  </si>
  <si>
    <t>DD-300-D02</t>
  </si>
  <si>
    <t>DD-300-D03</t>
  </si>
  <si>
    <t>DD-300-D04</t>
  </si>
  <si>
    <t>DD-300-D05</t>
  </si>
  <si>
    <t>DD-300-D06</t>
  </si>
  <si>
    <t>DD-301-D01</t>
  </si>
  <si>
    <t>DD-301-D02</t>
  </si>
  <si>
    <t>DD-301-D03</t>
  </si>
  <si>
    <t>DD-301-D04</t>
  </si>
  <si>
    <t>DD-301-D05</t>
  </si>
  <si>
    <t>DD-301-D06</t>
  </si>
  <si>
    <t>DD-302-D01</t>
  </si>
  <si>
    <t>DD-302-D02</t>
  </si>
  <si>
    <t>DD-302-D03</t>
  </si>
  <si>
    <t>DD-302-D04</t>
  </si>
  <si>
    <t>DD-302-D05</t>
  </si>
  <si>
    <t>DD-302-D06</t>
  </si>
  <si>
    <t>DD-303-D01</t>
  </si>
  <si>
    <t>DD-303-D02</t>
  </si>
  <si>
    <t>DD-303-D03</t>
  </si>
  <si>
    <t>DD-303-D04</t>
  </si>
  <si>
    <t>DD-303-D05</t>
  </si>
  <si>
    <t>DD-303-D06</t>
  </si>
  <si>
    <t>DD-304-D01</t>
  </si>
  <si>
    <t>DD-304-D02</t>
  </si>
  <si>
    <t>DD-304-D03</t>
  </si>
  <si>
    <t>DD-304-D04</t>
  </si>
  <si>
    <t>DD-304-D05</t>
  </si>
  <si>
    <t>DD-304-D06</t>
  </si>
  <si>
    <t>DD-305-D01</t>
  </si>
  <si>
    <t>DD-305-D02</t>
  </si>
  <si>
    <t>DD-305-D03</t>
  </si>
  <si>
    <t>DD-305-D04</t>
  </si>
  <si>
    <t>DD-305-D05</t>
  </si>
  <si>
    <t>DD-305-D06</t>
  </si>
  <si>
    <t>DD-306-D01</t>
  </si>
  <si>
    <t>DD-306-D02</t>
  </si>
  <si>
    <t>DD-306-D03</t>
  </si>
  <si>
    <t>DD-306-D04</t>
  </si>
  <si>
    <t>DD-306-D05</t>
  </si>
  <si>
    <t>DD-306-D06</t>
  </si>
  <si>
    <t>DD-307-D01</t>
  </si>
  <si>
    <t>DD-307-D02</t>
  </si>
  <si>
    <t>DD-307-D03</t>
  </si>
  <si>
    <t>DD-307-D04</t>
  </si>
  <si>
    <t>DD-307-D05</t>
  </si>
  <si>
    <t>DD-307-D06</t>
  </si>
  <si>
    <t>DD-308-D01</t>
  </si>
  <si>
    <t>DD-308-D02</t>
  </si>
  <si>
    <t>DD-308-D03</t>
  </si>
  <si>
    <t>DD-308-D04</t>
  </si>
  <si>
    <t>DD-308-D05</t>
  </si>
  <si>
    <t>DD-308-D06</t>
  </si>
  <si>
    <t>DD-309-D01</t>
  </si>
  <si>
    <t>DD-309-D02</t>
  </si>
  <si>
    <t>DD-309-D03</t>
  </si>
  <si>
    <t>DD-309-D04</t>
  </si>
  <si>
    <t>DD-309-D05</t>
  </si>
  <si>
    <t>DD-309-D06</t>
  </si>
  <si>
    <t>DD-310-D01</t>
  </si>
  <si>
    <t>DD-310-D02</t>
  </si>
  <si>
    <t>DD-310-D03</t>
  </si>
  <si>
    <t>DD-310-D04</t>
  </si>
  <si>
    <t>DD-310-D05</t>
  </si>
  <si>
    <t>DD-310-D06</t>
  </si>
  <si>
    <t>DD-311-D01</t>
  </si>
  <si>
    <t>DD-311-D02</t>
  </si>
  <si>
    <t>DD-311-D03</t>
  </si>
  <si>
    <t>DD-311-D04</t>
  </si>
  <si>
    <t>DD-311-D05</t>
  </si>
  <si>
    <t>DD-311-D06</t>
  </si>
  <si>
    <t>DD-312-D01</t>
  </si>
  <si>
    <t>DD-312-D02</t>
  </si>
  <si>
    <t>DD-312-D03</t>
  </si>
  <si>
    <t>DD-312-D04</t>
  </si>
  <si>
    <t>DD-312-D05</t>
  </si>
  <si>
    <t>DD-312-D06</t>
  </si>
  <si>
    <t>DD-313-D01</t>
  </si>
  <si>
    <t>DD-313-D02</t>
  </si>
  <si>
    <t>DD-313-D03</t>
  </si>
  <si>
    <t>DD-313-D04</t>
  </si>
  <si>
    <t>DD-313-D05</t>
  </si>
  <si>
    <t>DD-313-D06</t>
  </si>
  <si>
    <t>DD-314-D01</t>
  </si>
  <si>
    <t>DD-314-D02</t>
  </si>
  <si>
    <t>DD-314-D03</t>
  </si>
  <si>
    <t>DD-314-D04</t>
  </si>
  <si>
    <t>DD-314-D05</t>
  </si>
  <si>
    <t>DD-314-D06</t>
  </si>
  <si>
    <t>DD-315-D01</t>
  </si>
  <si>
    <t>DD-315-D02</t>
  </si>
  <si>
    <t>DD-315-D03</t>
  </si>
  <si>
    <t>DD-315-D04</t>
  </si>
  <si>
    <t>DD-315-D05</t>
  </si>
  <si>
    <t>DD-315-D06</t>
  </si>
  <si>
    <t>DD-316-D01</t>
  </si>
  <si>
    <t>DD-316-D02</t>
  </si>
  <si>
    <t>DD-316-D03</t>
  </si>
  <si>
    <t>DD-316-D04</t>
  </si>
  <si>
    <t>DD-316-D05</t>
  </si>
  <si>
    <t>DD-316-D06</t>
  </si>
  <si>
    <t>DD-317-D01</t>
  </si>
  <si>
    <t>DD-317-D02</t>
  </si>
  <si>
    <t>DD-317-D03</t>
  </si>
  <si>
    <t>DD-317-D04</t>
  </si>
  <si>
    <t>DD-317-D05</t>
  </si>
  <si>
    <t>DD-317-D06</t>
  </si>
  <si>
    <t>DD-318-D01</t>
  </si>
  <si>
    <t>DD-318-D02</t>
  </si>
  <si>
    <t>DD-318-D03</t>
  </si>
  <si>
    <t>DD-318-D04</t>
  </si>
  <si>
    <t>DD-318-D05</t>
  </si>
  <si>
    <t>DD-318-D06</t>
  </si>
  <si>
    <t>DD-319-D01</t>
  </si>
  <si>
    <t>DD-319-D02</t>
  </si>
  <si>
    <t>DD-319-D03</t>
  </si>
  <si>
    <t>DD-319-D04</t>
  </si>
  <si>
    <t>DD-319-D05</t>
  </si>
  <si>
    <t>DD-319-D06</t>
  </si>
  <si>
    <t>DD-320-D01</t>
  </si>
  <si>
    <t>DD-320-D02</t>
  </si>
  <si>
    <t>DD-320-D03</t>
  </si>
  <si>
    <t>DD-320-D04</t>
  </si>
  <si>
    <t>DD-320-D05</t>
  </si>
  <si>
    <t>DD-320-D06</t>
  </si>
  <si>
    <t>DD-321-D01</t>
  </si>
  <si>
    <t>DD-321-D02</t>
  </si>
  <si>
    <t>DD-321-D03</t>
  </si>
  <si>
    <t>DD-321-D04</t>
  </si>
  <si>
    <t>DD-321-D05</t>
  </si>
  <si>
    <t>DD-321-D06</t>
  </si>
  <si>
    <t>DD-322-D01</t>
  </si>
  <si>
    <t>DD-322-D02</t>
  </si>
  <si>
    <t>DD-322-D03</t>
  </si>
  <si>
    <t>DD-322-D04</t>
  </si>
  <si>
    <t>DD-322-D05</t>
  </si>
  <si>
    <t>DD-322-D06</t>
  </si>
  <si>
    <t>DD-323-D01</t>
  </si>
  <si>
    <t>DD-323-D02</t>
  </si>
  <si>
    <t>DD-323-D03</t>
  </si>
  <si>
    <t>DD-323-D04</t>
  </si>
  <si>
    <t>DD-323-D05</t>
  </si>
  <si>
    <t>DD-323-D06</t>
  </si>
  <si>
    <t>DD-324-D01</t>
  </si>
  <si>
    <t>DD-324-D02</t>
  </si>
  <si>
    <t>DD-324-D03</t>
  </si>
  <si>
    <t>DD-324-D04</t>
  </si>
  <si>
    <t>DD-324-D05</t>
  </si>
  <si>
    <t>DD-324-D06</t>
  </si>
  <si>
    <t>DD-325-D01</t>
  </si>
  <si>
    <t>DD-325-D02</t>
  </si>
  <si>
    <t>DD-325-D03</t>
  </si>
  <si>
    <t>DD-325-D04</t>
  </si>
  <si>
    <t>DD-325-D05</t>
  </si>
  <si>
    <t>DD-325-D06</t>
  </si>
  <si>
    <t>DD-326-D01</t>
  </si>
  <si>
    <t>DD-326-D02</t>
  </si>
  <si>
    <t>DD-326-D03</t>
  </si>
  <si>
    <t>DD-326-D04</t>
  </si>
  <si>
    <t>DD-326-D05</t>
  </si>
  <si>
    <t>DD-326-D06</t>
  </si>
  <si>
    <t>DD-327-D01</t>
  </si>
  <si>
    <t>DD-327-D02</t>
  </si>
  <si>
    <t>DD-327-D03</t>
  </si>
  <si>
    <t>DD-327-D04</t>
  </si>
  <si>
    <t>DD-327-D05</t>
  </si>
  <si>
    <t>DD-327-D06</t>
  </si>
  <si>
    <t>DD-328-D01</t>
  </si>
  <si>
    <t>DD-328-D02</t>
  </si>
  <si>
    <t>DD-328-D03</t>
  </si>
  <si>
    <t>DD-328-D04</t>
  </si>
  <si>
    <t>DD-328-D05</t>
  </si>
  <si>
    <t>DD-328-D06</t>
  </si>
  <si>
    <t>DD-329-D01</t>
  </si>
  <si>
    <t>DD-329-D02</t>
  </si>
  <si>
    <t>DD-329-D03</t>
  </si>
  <si>
    <t>DD-329-D04</t>
  </si>
  <si>
    <t>DD-329-D05</t>
  </si>
  <si>
    <t>DD-329-D06</t>
  </si>
  <si>
    <t>DD-330-D01</t>
  </si>
  <si>
    <t>DD-330-D02</t>
  </si>
  <si>
    <t>DD-330-D03</t>
  </si>
  <si>
    <t>DD-330-D04</t>
  </si>
  <si>
    <t>DD-330-D05</t>
  </si>
  <si>
    <t>DD-330-D06</t>
  </si>
  <si>
    <t>DD-331-D01</t>
  </si>
  <si>
    <t>DD-331-D02</t>
  </si>
  <si>
    <t>DD-331-D03</t>
  </si>
  <si>
    <t>DD-331-D04</t>
  </si>
  <si>
    <t>DD-331-D05</t>
  </si>
  <si>
    <t>DD-331-D06</t>
  </si>
  <si>
    <t>DD-332-D01</t>
  </si>
  <si>
    <t>DD-332-D02</t>
  </si>
  <si>
    <t>DD-332-D03</t>
  </si>
  <si>
    <t>DD-332-D04</t>
  </si>
  <si>
    <t>DD-332-D05</t>
  </si>
  <si>
    <t>DD-332-D06</t>
  </si>
  <si>
    <t>DD-333-D01</t>
  </si>
  <si>
    <t>DD-333-D02</t>
  </si>
  <si>
    <t>DD-333-D03</t>
  </si>
  <si>
    <t>DD-333-D04</t>
  </si>
  <si>
    <t>DD-333-D05</t>
  </si>
  <si>
    <t>DD-333-D06</t>
  </si>
  <si>
    <t>DD-334-D01</t>
  </si>
  <si>
    <t>DD-334-D02</t>
  </si>
  <si>
    <t>DD-334-D03</t>
  </si>
  <si>
    <t>DD-334-D04</t>
  </si>
  <si>
    <t>DD-334-D05</t>
  </si>
  <si>
    <t>DD-334-D06</t>
  </si>
  <si>
    <t>DD-335-D01</t>
  </si>
  <si>
    <t>DD-335-D02</t>
  </si>
  <si>
    <t>DD-335-D03</t>
  </si>
  <si>
    <t>DD-335-D04</t>
  </si>
  <si>
    <t>DD-335-D05</t>
  </si>
  <si>
    <t>DD-335-D06</t>
  </si>
  <si>
    <t>DD-336-D01</t>
  </si>
  <si>
    <t>DD-336-D02</t>
  </si>
  <si>
    <t>DD-336-D03</t>
  </si>
  <si>
    <t>DD-336-D04</t>
  </si>
  <si>
    <t>DD-336-D05</t>
  </si>
  <si>
    <t>DD-336-D06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</si>
</sst>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color rgb="FF1F4E78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E1F2"/>
        <bgColor rgb="FFD9D9D9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164" fontId="5" fillId="0" borderId="1" xfId="0" applyNumberFormat="1" applyFont="1" applyBorder="1"/>
    <xf numFmtId="0" fontId="0" fillId="0" borderId="1" xfId="0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6" borderId="5" xfId="0" applyFont="1" applyFill="1" applyBorder="1"/>
    <xf numFmtId="0" fontId="4" fillId="0" borderId="6" xfId="0" applyFont="1" applyBorder="1"/>
    <xf numFmtId="0" fontId="4" fillId="6" borderId="7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 applyAlignment="1">
      <alignment wrapText="1"/>
    </xf>
    <xf numFmtId="14" fontId="4" fillId="0" borderId="1" xfId="0" applyNumberFormat="1" applyFont="1" applyBorder="1"/>
  </cellXfs>
  <cellStyles count="1">
    <cellStyle name="Normal" xfId="0" builtinId="0"/>
  </cellStyles>
  <dxfs count="34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9D9D9"/>
          <bgColor rgb="FFD9E1F2"/>
        </patternFill>
      </fill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Hourly Production Trend (Total Actual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Dashboard_View!$G$3</c:f>
              <c:strCache>
                <c:ptCount val="1"/>
                <c:pt idx="0">
                  <c:v>TotalActualUnits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Dashboard_View!$F$4:$F$27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Dashboard_View!$G$4:$G$27</c:f>
              <c:numCache>
                <c:formatCode>General</c:formatCode>
                <c:ptCount val="24"/>
                <c:pt idx="0">
                  <c:v>326024</c:v>
                </c:pt>
                <c:pt idx="1">
                  <c:v>336188</c:v>
                </c:pt>
                <c:pt idx="2">
                  <c:v>343981</c:v>
                </c:pt>
                <c:pt idx="3">
                  <c:v>344793</c:v>
                </c:pt>
                <c:pt idx="4">
                  <c:v>340542</c:v>
                </c:pt>
                <c:pt idx="5">
                  <c:v>329757</c:v>
                </c:pt>
                <c:pt idx="6">
                  <c:v>327997</c:v>
                </c:pt>
                <c:pt idx="7">
                  <c:v>342391</c:v>
                </c:pt>
                <c:pt idx="8">
                  <c:v>332231</c:v>
                </c:pt>
                <c:pt idx="9">
                  <c:v>344261</c:v>
                </c:pt>
                <c:pt idx="10">
                  <c:v>336146</c:v>
                </c:pt>
                <c:pt idx="11">
                  <c:v>339673</c:v>
                </c:pt>
                <c:pt idx="12">
                  <c:v>341599</c:v>
                </c:pt>
                <c:pt idx="13">
                  <c:v>345543</c:v>
                </c:pt>
                <c:pt idx="14">
                  <c:v>319429</c:v>
                </c:pt>
                <c:pt idx="15">
                  <c:v>339712</c:v>
                </c:pt>
                <c:pt idx="16">
                  <c:v>330608</c:v>
                </c:pt>
                <c:pt idx="17">
                  <c:v>328956</c:v>
                </c:pt>
                <c:pt idx="18">
                  <c:v>341672</c:v>
                </c:pt>
                <c:pt idx="19">
                  <c:v>338998</c:v>
                </c:pt>
                <c:pt idx="20">
                  <c:v>338975</c:v>
                </c:pt>
                <c:pt idx="21">
                  <c:v>334179</c:v>
                </c:pt>
                <c:pt idx="22">
                  <c:v>327882</c:v>
                </c:pt>
                <c:pt idx="23">
                  <c:v>346208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41-4D5B-B1E4-5DF420A17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7491"/>
        <c:axId val="43690685"/>
      </c:lineChart>
      <c:catAx>
        <c:axId val="837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690685"/>
        <c:crosses val="autoZero"/>
        <c:auto val="1"/>
        <c:lblAlgn val="ctr"/>
        <c:lblOffset val="100"/>
        <c:noMultiLvlLbl val="0"/>
      </c:catAx>
      <c:valAx>
        <c:axId val="43690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74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Defect Pareto by Classification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Dashboard_View!$J$3</c:f>
              <c:strCache>
                <c:ptCount val="1"/>
                <c:pt idx="0">
                  <c:v>TotalCount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Dashboard_View!$I$4:$I$6</c:f>
              <c:strCache>
                <c:ptCount val="3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</c:strCache>
            </c:strRef>
          </c:cat>
          <c:val>
            <c:numRef>
              <c:f>Dashboard_View!$J$4:$J$6</c:f>
              <c:numCache>
                <c:formatCode>General</c:formatCode>
                <c:ptCount val="3"/>
                <c:pt idx="0">
                  <c:v>0</c:v>
                </c:pt>
                <c:pt idx="1">
                  <c:v>140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9-4BBA-A412-F4C3BBA34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135212"/>
        <c:axId val="13997044"/>
      </c:barChart>
      <c:catAx>
        <c:axId val="741352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97044"/>
        <c:crosses val="autoZero"/>
        <c:auto val="1"/>
        <c:lblAlgn val="ctr"/>
        <c:lblOffset val="100"/>
        <c:noMultiLvlLbl val="0"/>
      </c:catAx>
      <c:valAx>
        <c:axId val="13997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Defect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135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Machine Comparison - Efficiency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Dashboard_View!$M$3</c:f>
              <c:strCache>
                <c:ptCount val="1"/>
                <c:pt idx="0">
                  <c:v>EfficiencyPct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Dashboard_View!$L$4:$L$10</c:f>
              <c:strCache>
                <c:ptCount val="7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</c:strCache>
            </c:strRef>
          </c:cat>
          <c:val>
            <c:numRef>
              <c:f>Dashboard_View!$M$4:$M$10</c:f>
              <c:numCache>
                <c:formatCode>0.0%</c:formatCode>
                <c:ptCount val="7"/>
                <c:pt idx="0">
                  <c:v>0.89125037307864496</c:v>
                </c:pt>
                <c:pt idx="1">
                  <c:v>0.87869705357922157</c:v>
                </c:pt>
                <c:pt idx="2">
                  <c:v>0.87900670353667787</c:v>
                </c:pt>
                <c:pt idx="3">
                  <c:v>0.8885661565112164</c:v>
                </c:pt>
                <c:pt idx="4">
                  <c:v>0.87020595382573773</c:v>
                </c:pt>
                <c:pt idx="5">
                  <c:v>0.88578062450785133</c:v>
                </c:pt>
                <c:pt idx="6">
                  <c:v>0.88604283404586048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F-451D-A082-77959D454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48539"/>
        <c:axId val="58794590"/>
      </c:barChart>
      <c:catAx>
        <c:axId val="578485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794590"/>
        <c:crosses val="autoZero"/>
        <c:auto val="1"/>
        <c:lblAlgn val="ctr"/>
        <c:lblOffset val="100"/>
        <c:noMultiLvlLbl val="0"/>
      </c:catAx>
      <c:valAx>
        <c:axId val="58794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Efficiency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48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Shift Performance - Average OEE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Dashboard_View!$P$3</c:f>
              <c:strCache>
                <c:ptCount val="1"/>
                <c:pt idx="0">
                  <c:v>AvgOEE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Dashboard_View!$O$4:$O$5</c:f>
              <c:strCache>
                <c:ptCount val="2"/>
                <c:pt idx="0">
                  <c:v>A-AM</c:v>
                </c:pt>
                <c:pt idx="1">
                  <c:v>B-PM</c:v>
                </c:pt>
              </c:strCache>
            </c:strRef>
          </c:cat>
          <c:val>
            <c:numRef>
              <c:f>Dashboard_View!$P$4:$P$5</c:f>
              <c:numCache>
                <c:formatCode>0.0%</c:formatCode>
                <c:ptCount val="2"/>
                <c:pt idx="0">
                  <c:v>0.80546517914618987</c:v>
                </c:pt>
                <c:pt idx="1">
                  <c:v>0.80908318770686505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9-469F-B4FE-50CAE2DBC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76836"/>
        <c:axId val="15267079"/>
      </c:barChart>
      <c:catAx>
        <c:axId val="922768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67079"/>
        <c:crosses val="autoZero"/>
        <c:auto val="1"/>
        <c:lblAlgn val="ctr"/>
        <c:lblOffset val="100"/>
        <c:noMultiLvlLbl val="0"/>
      </c:catAx>
      <c:valAx>
        <c:axId val="15267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OEE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76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160560</xdr:rowOff>
    </xdr:from>
    <xdr:to>
      <xdr:col>4</xdr:col>
      <xdr:colOff>495720</xdr:colOff>
      <xdr:row>27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160560</xdr:rowOff>
    </xdr:from>
    <xdr:to>
      <xdr:col>2</xdr:col>
      <xdr:colOff>513000</xdr:colOff>
      <xdr:row>45</xdr:row>
      <xdr:rowOff>182520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30</xdr:row>
      <xdr:rowOff>160560</xdr:rowOff>
    </xdr:from>
    <xdr:to>
      <xdr:col>12</xdr:col>
      <xdr:colOff>559080</xdr:colOff>
      <xdr:row>45</xdr:row>
      <xdr:rowOff>182520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30</xdr:row>
      <xdr:rowOff>160560</xdr:rowOff>
    </xdr:from>
    <xdr:to>
      <xdr:col>20</xdr:col>
      <xdr:colOff>322560</xdr:colOff>
      <xdr:row>45</xdr:row>
      <xdr:rowOff>182520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Fact_Production_Hourly" displayName="Fact_Production_Hourly" ref="A1:U337" totalsRowShown="0">
  <autoFilter ref="A1:U337" xr:uid="{00000000-0009-0000-0100-00000A000000}"/>
  <tableColumns count="21">
    <tableColumn id="1" xr3:uid="{00000000-0010-0000-0000-000001000000}" name="ProdKey (PK)"/>
    <tableColumn id="2" xr3:uid="{00000000-0010-0000-0000-000002000000}" name="DateKey (FK)"/>
    <tableColumn id="3" xr3:uid="{00000000-0010-0000-0000-000003000000}" name="HourKey (FK)"/>
    <tableColumn id="4" xr3:uid="{00000000-0010-0000-0000-000004000000}" name="MachineKey (FK)"/>
    <tableColumn id="5" xr3:uid="{00000000-0010-0000-0000-000005000000}" name="ShiftKey (FK)"/>
    <tableColumn id="6" xr3:uid="{00000000-0010-0000-0000-000006000000}" name="ProductKey (FK)"/>
    <tableColumn id="7" xr3:uid="{00000000-0010-0000-0000-000007000000}" name="PlannedMinutes"/>
    <tableColumn id="8" xr3:uid="{00000000-0010-0000-0000-000008000000}" name="DowntimeMinutes"/>
    <tableColumn id="9" xr3:uid="{00000000-0010-0000-0000-000009000000}" name="OperatingMinutes"/>
    <tableColumn id="10" xr3:uid="{00000000-0010-0000-0000-00000A000000}" name="DesignCapacityUnits"/>
    <tableColumn id="11" xr3:uid="{00000000-0010-0000-0000-00000B000000}" name="ActualProductionUnits"/>
    <tableColumn id="12" xr3:uid="{00000000-0010-0000-0000-00000C000000}" name="ScrapUnits"/>
    <tableColumn id="13" xr3:uid="{00000000-0010-0000-0000-00000D000000}" name="GoodUnits"/>
    <tableColumn id="14" xr3:uid="{00000000-0010-0000-0000-00000E000000}" name="EfficiencyPct"/>
    <tableColumn id="15" xr3:uid="{00000000-0010-0000-0000-00000F000000}" name="Availability"/>
    <tableColumn id="16" xr3:uid="{00000000-0010-0000-0000-000010000000}" name="Performance"/>
    <tableColumn id="17" xr3:uid="{00000000-0010-0000-0000-000011000000}" name="QualityRate"/>
    <tableColumn id="18" xr3:uid="{00000000-0010-0000-0000-000012000000}" name="OEE"/>
    <tableColumn id="19" xr3:uid="{00000000-0010-0000-0000-000013000000}" name="MoltenGlassTons"/>
    <tableColumn id="20" xr3:uid="{00000000-0010-0000-0000-000014000000}" name="OutputTons"/>
    <tableColumn id="21" xr3:uid="{00000000-0010-0000-0000-000015000000}" name="PackToMeltPc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Fact_Quality_Sampling" displayName="Fact_Quality_Sampling" ref="A1:W337" totalsRowShown="0">
  <autoFilter ref="A1:W337" xr:uid="{00000000-0009-0000-0100-00000B000000}"/>
  <tableColumns count="23">
    <tableColumn id="1" xr3:uid="{00000000-0010-0000-0100-000001000000}" name="SampleKey (PK)"/>
    <tableColumn id="2" xr3:uid="{00000000-0010-0000-0100-000002000000}" name="DateKey (FK)"/>
    <tableColumn id="3" xr3:uid="{00000000-0010-0000-0100-000003000000}" name="HourKey (FK)"/>
    <tableColumn id="4" xr3:uid="{00000000-0010-0000-0100-000004000000}" name="MachineKey (FK)"/>
    <tableColumn id="5" xr3:uid="{00000000-0010-0000-0100-000005000000}" name="ShiftKey (FK)"/>
    <tableColumn id="6" xr3:uid="{00000000-0010-0000-0100-000006000000}" name="ProductKey (FK)"/>
    <tableColumn id="7" xr3:uid="{00000000-0010-0000-0100-000007000000}" name="SampleSize"/>
    <tableColumn id="8" xr3:uid="{00000000-0010-0000-0100-000008000000}" name="DefectiveCount"/>
    <tableColumn id="9" xr3:uid="{00000000-0010-0000-0100-000009000000}" name="CriticalCount"/>
    <tableColumn id="10" xr3:uid="{00000000-0010-0000-0100-00000A000000}" name="MajorCount"/>
    <tableColumn id="11" xr3:uid="{00000000-0010-0000-0100-00000B000000}" name="MinorCount"/>
    <tableColumn id="12" xr3:uid="{00000000-0010-0000-0100-00000C000000}" name="TopDefectCode (FK)"/>
    <tableColumn id="13" xr3:uid="{00000000-0010-0000-0100-00000D000000}" name="AvgWeight_g"/>
    <tableColumn id="14" xr3:uid="{00000000-0010-0000-0100-00000E000000}" name="WeightOK_Count"/>
    <tableColumn id="15" xr3:uid="{00000000-0010-0000-0100-00000F000000}" name="WeightNotOK_Count"/>
    <tableColumn id="16" xr3:uid="{00000000-0010-0000-0100-000010000000}" name="AvgDiameter_mm"/>
    <tableColumn id="17" xr3:uid="{00000000-0010-0000-0100-000011000000}" name="DiameterOK_Count"/>
    <tableColumn id="18" xr3:uid="{00000000-0010-0000-0100-000012000000}" name="DiameterNotOK_Count"/>
    <tableColumn id="19" xr3:uid="{00000000-0010-0000-0100-000013000000}" name="AvgHeight_mm"/>
    <tableColumn id="20" xr3:uid="{00000000-0010-0000-0100-000014000000}" name="HeightOK_Count"/>
    <tableColumn id="21" xr3:uid="{00000000-0010-0000-0100-000015000000}" name="HeightNotOK_Count"/>
    <tableColumn id="22" xr3:uid="{00000000-0010-0000-0100-000016000000}" name="DefectRatePct"/>
    <tableColumn id="23" xr3:uid="{00000000-0010-0000-0100-000017000000}" name="FPY_Pc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56155A-82A5-482E-A702-8B1782FEA7DB}" name="Fact_Defect_Detail" displayName="Fact_Defect_Detail" ref="A1:H2017" totalsRowShown="0" headerRowDxfId="33" dataDxfId="31" headerRowBorderDxfId="32" tableBorderDxfId="30" totalsRowBorderDxfId="29">
  <autoFilter ref="A1:H2017" xr:uid="{BE56155A-82A5-482E-A702-8B1782FEA7DB}"/>
  <tableColumns count="8">
    <tableColumn id="1" xr3:uid="{CE03A7DD-6B79-4D57-A0FD-0E5F8B2F4243}" name="DefectDetailKey (PK)" dataDxfId="28"/>
    <tableColumn id="2" xr3:uid="{6BA92DFB-2353-464A-B829-744658F92675}" name="DateKey (FK)" dataDxfId="27"/>
    <tableColumn id="3" xr3:uid="{685DD6E4-D8A4-4ADC-BBFD-47A68B8135F2}" name="HourKey (FK)" dataDxfId="26"/>
    <tableColumn id="4" xr3:uid="{ADC5035C-845F-4BE5-A56A-B2D0E037B876}" name="MachineKey (FK)" dataDxfId="25"/>
    <tableColumn id="5" xr3:uid="{807BA6C4-DDC0-4F3B-BC6E-B2870812B3E1}" name="ShiftKey (FK)" dataDxfId="24"/>
    <tableColumn id="6" xr3:uid="{BC0A2E84-0019-4CD2-9C07-4AA6DE13F999}" name="ProductKey (FK)" dataDxfId="23"/>
    <tableColumn id="7" xr3:uid="{120A92C4-7219-448B-8185-65E5C3F09DE0}" name="DefectCode (FK)" dataDxfId="22"/>
    <tableColumn id="8" xr3:uid="{D945FE13-90D5-483D-B93C-1B145B50A14C}" name="DefectCount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2F92D90-4845-46EB-A010-07796C3D882D}" name="Fact_Defect_Split" displayName="Fact_Defect_Split" ref="A1:L337" totalsRowShown="0" headerRowDxfId="20" dataDxfId="18" headerRowBorderDxfId="19" tableBorderDxfId="17" totalsRowBorderDxfId="16">
  <autoFilter ref="A1:L337" xr:uid="{B2F92D90-4845-46EB-A010-07796C3D882D}"/>
  <tableColumns count="12">
    <tableColumn id="1" xr3:uid="{1FD2DA50-F270-4FAB-AE5F-00A312DE3596}" name="SampleKey (FK)" dataDxfId="15">
      <calculatedColumnFormula>Fact_Quality_Sampling!A2</calculatedColumnFormula>
    </tableColumn>
    <tableColumn id="2" xr3:uid="{CDF347B0-E3BE-47D5-A02F-692C0C8341FE}" name="DateKey (FK)" dataDxfId="14">
      <calculatedColumnFormula>Fact_Quality_Sampling!B2</calculatedColumnFormula>
    </tableColumn>
    <tableColumn id="3" xr3:uid="{DC21D24C-BE12-4E7B-940A-8D55B498C21A}" name="HourKey (FK)" dataDxfId="13">
      <calculatedColumnFormula>Fact_Quality_Sampling!C2</calculatedColumnFormula>
    </tableColumn>
    <tableColumn id="4" xr3:uid="{C548BE60-74A9-4333-A735-4D973DC2D889}" name="MachineKey (FK)" dataDxfId="12">
      <calculatedColumnFormula>Fact_Quality_Sampling!D2</calculatedColumnFormula>
    </tableColumn>
    <tableColumn id="5" xr3:uid="{D166F11A-BA8F-4C61-BDE2-ED1B3DA66C28}" name="ShiftKey (FK)" dataDxfId="11">
      <calculatedColumnFormula>Fact_Quality_Sampling!E2</calculatedColumnFormula>
    </tableColumn>
    <tableColumn id="6" xr3:uid="{D2C14273-ABB1-4C93-BEA9-807F29585DFA}" name="ProductKey (FK)" dataDxfId="10">
      <calculatedColumnFormula>Fact_Quality_Sampling!F2</calculatedColumnFormula>
    </tableColumn>
    <tableColumn id="7" xr3:uid="{87B7EEE4-D0CD-4B91-91CF-E699CD5FDE15}" name="D01_Crack" dataDxfId="9"/>
    <tableColumn id="8" xr3:uid="{4727C2AB-8DDE-416A-A369-1AC8513BDFBE}" name="D02_Breakage" dataDxfId="8">
      <calculatedColumnFormula>Fact_Quality_Sampling!I2-G2</calculatedColumnFormula>
    </tableColumn>
    <tableColumn id="9" xr3:uid="{87BCF39C-1100-4633-8C32-153F8B9E5F9C}" name="D03_Bubble" dataDxfId="7"/>
    <tableColumn id="10" xr3:uid="{96B61527-C69D-484A-B279-CCAE16BD8847}" name="D04_Deformation" dataDxfId="6">
      <calculatedColumnFormula>Fact_Quality_Sampling!J2-I2</calculatedColumnFormula>
    </tableColumn>
    <tableColumn id="11" xr3:uid="{87F28449-1653-4171-A678-399FC82CD64D}" name="D05_Scratch" dataDxfId="5"/>
    <tableColumn id="12" xr3:uid="{5D20CE58-1AE9-4B05-8B6A-C9F7F712DB13}" name="D06_ColorVariation" dataDxfId="4">
      <calculatedColumnFormula>Fact_Quality_Sampling!K2-K2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Fact_Inspection" displayName="Fact_Inspection" ref="A1:O7" totalsRowShown="0">
  <autoFilter ref="A1:O7" xr:uid="{00000000-0009-0000-0100-000009000000}"/>
  <tableColumns count="15">
    <tableColumn id="1" xr3:uid="{00000000-0010-0000-0200-000001000000}" name="InspectionKey (PK)"/>
    <tableColumn id="2" xr3:uid="{00000000-0010-0000-0200-000002000000}" name="OrderNumber"/>
    <tableColumn id="3" xr3:uid="{00000000-0010-0000-0200-000003000000}" name="CustomerKey (FK)"/>
    <tableColumn id="4" xr3:uid="{00000000-0010-0000-0200-000004000000}" name="InspectorKey (FK)"/>
    <tableColumn id="5" xr3:uid="{00000000-0010-0000-0200-000005000000}" name="PalletNumber"/>
    <tableColumn id="6" xr3:uid="{00000000-0010-0000-0200-000006000000}" name="ShiftKey (FK)"/>
    <tableColumn id="7" xr3:uid="{00000000-0010-0000-0200-000007000000}" name="DateKey (FK)"/>
    <tableColumn id="8" xr3:uid="{00000000-0010-0000-0200-000008000000}" name="ProductKey (FK)"/>
    <tableColumn id="9" xr3:uid="{00000000-0010-0000-0200-000009000000}" name="TotalOrderQuantity"/>
    <tableColumn id="10" xr3:uid="{00000000-0010-0000-0200-00000A000000}" name="InspectedQuantity"/>
    <tableColumn id="11" xr3:uid="{00000000-0010-0000-0200-00000B000000}" name="RejectedQuantity"/>
    <tableColumn id="12" xr3:uid="{00000000-0010-0000-0200-00000C000000}" name="AcceptedQuantity"/>
    <tableColumn id="13" xr3:uid="{00000000-0010-0000-0200-00000D000000}" name="InspectionCoveragePct"/>
    <tableColumn id="14" xr3:uid="{00000000-0010-0000-0200-00000E000000}" name="OrderRejectRatePct"/>
    <tableColumn id="15" xr3:uid="{00000000-0010-0000-0200-00000F000000}" name="InspectionResul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Dim_Date" displayName="Dim_Date" ref="A1:F206" totalsRowShown="0">
  <autoFilter ref="A1:F206" xr:uid="{00000000-0009-0000-0100-000002000000}"/>
  <tableColumns count="6">
    <tableColumn id="1" xr3:uid="{00000000-0010-0000-0300-000001000000}" name="DateKey (PK)">
      <calculatedColumnFormula>YEAR(B2)*10000 + MONTH(B2)*100 + DAY(B2)</calculatedColumnFormula>
    </tableColumn>
    <tableColumn id="2" xr3:uid="{00000000-0010-0000-0300-000002000000}" name="Date"/>
    <tableColumn id="3" xr3:uid="{00000000-0010-0000-0300-000003000000}" name="DayName">
      <calculatedColumnFormula>TEXT(B2,"dddd")</calculatedColumnFormula>
    </tableColumn>
    <tableColumn id="4" xr3:uid="{00000000-0010-0000-0300-000004000000}" name="WeekNumber" dataDxfId="3">
      <calculatedColumnFormula>WEEKNUM(B2 - MOD(WEEKDAY(B2,1),7),1)</calculatedColumnFormula>
    </tableColumn>
    <tableColumn id="5" xr3:uid="{00000000-0010-0000-0300-000005000000}" name="MonthName">
      <calculatedColumnFormula>TEXT(B2,"mmmm")</calculatedColumnFormula>
    </tableColumn>
    <tableColumn id="6" xr3:uid="{00000000-0010-0000-0300-000006000000}" name="Year">
      <calculatedColumnFormula>YEAR(B2)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Dim_Shift" displayName="Dim_Shift" ref="A1:D7" totalsRowShown="0">
  <autoFilter ref="A1:D7" xr:uid="{00000000-0009-0000-0100-000007000000}"/>
  <tableColumns count="4">
    <tableColumn id="1" xr3:uid="{00000000-0010-0000-0700-000001000000}" name="ShiftKey (PK)"/>
    <tableColumn id="2" xr3:uid="{00000000-0010-0000-0700-000002000000}" name="Group"/>
    <tableColumn id="3" xr3:uid="{00000000-0010-0000-0700-000003000000}" name="ShiftType"/>
    <tableColumn id="4" xr3:uid="{00000000-0010-0000-0700-000004000000}" name="RotationWeek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Dim_Time" displayName="Dim_Time" ref="A1:C25" totalsRowShown="0">
  <autoFilter ref="A1:C25" xr:uid="{00000000-0009-0000-0100-000008000000}"/>
  <tableColumns count="3">
    <tableColumn id="1" xr3:uid="{00000000-0010-0000-0400-000001000000}" name="HourKey (PK) 0-23"/>
    <tableColumn id="2" xr3:uid="{00000000-0010-0000-0400-000002000000}" name="HourLabel"/>
    <tableColumn id="3" xr3:uid="{00000000-0010-0000-0400-000003000000}" name="ShiftTyp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Dim_Machine" displayName="Dim_Machine" ref="A1:E8" totalsRowShown="0">
  <autoFilter ref="A1:E8" xr:uid="{00000000-0009-0000-0100-000005000000}"/>
  <tableColumns count="5">
    <tableColumn id="1" xr3:uid="{00000000-0010-0000-0500-000001000000}" name="MachineKey (PK)"/>
    <tableColumn id="2" xr3:uid="{00000000-0010-0000-0500-000002000000}" name="MachineName"/>
    <tableColumn id="3" xr3:uid="{00000000-0010-0000-0500-000003000000}" name="MachineType"/>
    <tableColumn id="4" xr3:uid="{00000000-0010-0000-0500-000004000000}" name="Forms"/>
    <tableColumn id="5" xr3:uid="{00000000-0010-0000-0500-000005000000}" name="Speed_CyclesPerMin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Dim_Customer" displayName="Dim_Customer" ref="A1:B6" totalsRowShown="0">
  <autoFilter ref="A1:B6" xr:uid="{00000000-0009-0000-0100-000001000000}"/>
  <tableColumns count="2">
    <tableColumn id="1" xr3:uid="{00000000-0010-0000-0A00-000001000000}" name="CustomerKey (PK)"/>
    <tableColumn id="2" xr3:uid="{00000000-0010-0000-0A00-000002000000}" name="Customer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Dim_Product" displayName="Dim_Product" ref="A1:N4" totalsRowShown="0">
  <autoFilter ref="A1:N4" xr:uid="{00000000-0009-0000-0100-000006000000}"/>
  <tableColumns count="14">
    <tableColumn id="1" xr3:uid="{00000000-0010-0000-0600-000001000000}" name="ProductKey (PK)"/>
    <tableColumn id="2" xr3:uid="{00000000-0010-0000-0600-000002000000}" name="ProductName"/>
    <tableColumn id="3" xr3:uid="{00000000-0010-0000-0600-000003000000}" name="DesignWeight_g"/>
    <tableColumn id="4" xr3:uid="{00000000-0010-0000-0600-000004000000}" name="WeightTolerance_g"/>
    <tableColumn id="5" xr3:uid="{00000000-0010-0000-0600-000005000000}" name="WeightMin_g"/>
    <tableColumn id="6" xr3:uid="{00000000-0010-0000-0600-000006000000}" name="WeightMax_g"/>
    <tableColumn id="7" xr3:uid="{00000000-0010-0000-0600-000007000000}" name="DesignDiameter_mm"/>
    <tableColumn id="8" xr3:uid="{00000000-0010-0000-0600-000008000000}" name="DiameterTolerance_mm"/>
    <tableColumn id="9" xr3:uid="{00000000-0010-0000-0600-000009000000}" name="DiameterMin_mm"/>
    <tableColumn id="10" xr3:uid="{00000000-0010-0000-0600-00000A000000}" name="DiameterMax_mm"/>
    <tableColumn id="11" xr3:uid="{00000000-0010-0000-0600-00000B000000}" name="DesignHeight_mm"/>
    <tableColumn id="12" xr3:uid="{00000000-0010-0000-0600-00000C000000}" name="HeightTolerance_mm"/>
    <tableColumn id="13" xr3:uid="{00000000-0010-0000-0600-00000D000000}" name="HeightMin_mm"/>
    <tableColumn id="14" xr3:uid="{00000000-0010-0000-0600-00000E000000}" name="HeightMax_mm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Dim_Defect" displayName="Dim_Defect" ref="A1:C7" totalsRowShown="0">
  <autoFilter ref="A1:C7" xr:uid="{00000000-0009-0000-0100-000003000000}"/>
  <tableColumns count="3">
    <tableColumn id="1" xr3:uid="{00000000-0010-0000-0800-000001000000}" name="DefectCode (PK)"/>
    <tableColumn id="2" xr3:uid="{00000000-0010-0000-0800-000002000000}" name="DefectName"/>
    <tableColumn id="3" xr3:uid="{00000000-0010-0000-0800-000003000000}" name="Classification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Dim_Inspector" displayName="Dim_Inspector" ref="A1:B4" totalsRowShown="0">
  <autoFilter ref="A1:B4" xr:uid="{00000000-0009-0000-0100-000004000000}"/>
  <tableColumns count="2">
    <tableColumn id="1" xr3:uid="{00000000-0010-0000-0900-000001000000}" name="InspectorKey (PK)"/>
    <tableColumn id="2" xr3:uid="{00000000-0010-0000-0900-000002000000}" name="Inspector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3E568F-3C96-4DEC-9DC2-36476111E02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zEfXKkkRGlWR9CzZSioj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opLeftCell="A13" zoomScaleNormal="100" workbookViewId="0"/>
  </sheetViews>
  <sheetFormatPr defaultColWidth="8.7109375" defaultRowHeight="15" x14ac:dyDescent="0.25"/>
  <cols>
    <col min="1" max="1" width="42" customWidth="1"/>
    <col min="2" max="3" width="12" customWidth="1"/>
    <col min="6" max="6" width="8" customWidth="1"/>
    <col min="7" max="7" width="16" customWidth="1"/>
    <col min="9" max="9" width="14" customWidth="1"/>
    <col min="10" max="10" width="12" customWidth="1"/>
    <col min="12" max="12" width="10" customWidth="1"/>
    <col min="13" max="13" width="14" customWidth="1"/>
    <col min="15" max="15" width="10" customWidth="1"/>
    <col min="16" max="16" width="12" customWidth="1"/>
  </cols>
  <sheetData>
    <row r="1" spans="1:16" ht="18" customHeight="1" x14ac:dyDescent="0.25">
      <c r="A1" s="1" t="s">
        <v>0</v>
      </c>
    </row>
    <row r="2" spans="1:16" x14ac:dyDescent="0.25">
      <c r="A2" s="2" t="s">
        <v>1</v>
      </c>
    </row>
    <row r="3" spans="1:16" x14ac:dyDescent="0.25">
      <c r="A3" s="3" t="s">
        <v>2</v>
      </c>
      <c r="B3" s="3" t="s">
        <v>3</v>
      </c>
      <c r="C3" s="3" t="s">
        <v>4</v>
      </c>
      <c r="F3" s="3" t="s">
        <v>5</v>
      </c>
      <c r="G3" s="3" t="s">
        <v>6</v>
      </c>
      <c r="I3" s="3" t="s">
        <v>7</v>
      </c>
      <c r="J3" s="3" t="s">
        <v>8</v>
      </c>
      <c r="L3" s="3" t="s">
        <v>9</v>
      </c>
      <c r="M3" s="3" t="s">
        <v>10</v>
      </c>
      <c r="O3" s="3" t="s">
        <v>11</v>
      </c>
      <c r="P3" s="3" t="s">
        <v>12</v>
      </c>
    </row>
    <row r="4" spans="1:16" x14ac:dyDescent="0.25">
      <c r="A4" s="4" t="s">
        <v>13</v>
      </c>
      <c r="B4" s="5">
        <f>AVERAGE(Fact_Production_Hourly!$O$2:$O$337)*AVERAGE(Fact_Production_Hourly!$P$2:$P$337)*AVERAGE(Fact_Production_Hourly!$Q$2:$Q$337)</f>
        <v>0.80742922164801156</v>
      </c>
      <c r="C4" s="6" t="str">
        <f>IF(B4&gt;=0.85,"GOOD",IF(B4&gt;=0.7,"WARNING","BAD"))</f>
        <v>WARNING</v>
      </c>
      <c r="F4" s="7">
        <v>0</v>
      </c>
      <c r="G4" s="7">
        <f>SUMIFS(Fact_Production_Hourly!$K$2:$K$337,Fact_Production_Hourly!$C$2:$C$337,F4)</f>
        <v>326024</v>
      </c>
      <c r="I4" s="7" t="s">
        <v>14</v>
      </c>
      <c r="J4" s="7">
        <f>SUM(Fact_Quality_Sampling!$I$2:$I$337)</f>
        <v>0</v>
      </c>
      <c r="L4" s="7" t="s">
        <v>15</v>
      </c>
      <c r="M4" s="8">
        <f>SUMIFS(Fact_Production_Hourly!$K$2:$K$337,Fact_Production_Hourly!$D$2:$D$337,L4)/SUMIFS(Fact_Production_Hourly!$J$2:$J$337,Fact_Production_Hourly!$D$2:$D$337,L4)</f>
        <v>0.89125037307864496</v>
      </c>
      <c r="O4" s="7" t="s">
        <v>16</v>
      </c>
      <c r="P4" s="8">
        <f>AVERAGEIFS(Fact_Production_Hourly!$R$2:$R$337,Fact_Production_Hourly!$E$2:$E$337,O4)</f>
        <v>0.80546517914618987</v>
      </c>
    </row>
    <row r="5" spans="1:16" x14ac:dyDescent="0.25">
      <c r="A5" s="4" t="s">
        <v>17</v>
      </c>
      <c r="B5" s="5">
        <f>SUM(Fact_Production_Hourly!$K$2:$K$337)/SUM(Fact_Production_Hourly!$J$2:$J$337)</f>
        <v>0.88321675553782741</v>
      </c>
      <c r="C5" s="6" t="str">
        <f>IF(B5&gt;=0.9,"GOOD",IF(B5&gt;=0.8,"WARNING","BAD"))</f>
        <v>WARNING</v>
      </c>
      <c r="F5" s="7">
        <v>1</v>
      </c>
      <c r="G5" s="7">
        <f>SUMIFS(Fact_Production_Hourly!$K$2:$K$337,Fact_Production_Hourly!$C$2:$C$337,F5)</f>
        <v>336188</v>
      </c>
      <c r="I5" s="7" t="s">
        <v>18</v>
      </c>
      <c r="J5" s="7">
        <f>SUM(Fact_Quality_Sampling!$J$2:$J$337)</f>
        <v>140</v>
      </c>
      <c r="L5" s="7" t="s">
        <v>19</v>
      </c>
      <c r="M5" s="8">
        <f>SUMIFS(Fact_Production_Hourly!$K$2:$K$337,Fact_Production_Hourly!$D$2:$D$337,L5)/SUMIFS(Fact_Production_Hourly!$J$2:$J$337,Fact_Production_Hourly!$D$2:$D$337,L5)</f>
        <v>0.87869705357922157</v>
      </c>
      <c r="O5" s="7" t="s">
        <v>20</v>
      </c>
      <c r="P5" s="8">
        <f>AVERAGEIFS(Fact_Production_Hourly!$R$2:$R$337,Fact_Production_Hourly!$E$2:$E$337,O5)</f>
        <v>0.80908318770686505</v>
      </c>
    </row>
    <row r="6" spans="1:16" x14ac:dyDescent="0.25">
      <c r="A6" s="4" t="s">
        <v>21</v>
      </c>
      <c r="B6" s="5">
        <f>SUM(Fact_Production_Hourly!$T$2:$T$337)/SUM(Fact_Production_Hourly!$S$2:$S$337)</f>
        <v>0.87151259216291388</v>
      </c>
      <c r="C6" s="6" t="str">
        <f>IF(B6&gt;=0.85,"GOOD",IF(B6&gt;=0.75,"WARNING","BAD"))</f>
        <v>GOOD</v>
      </c>
      <c r="F6" s="7">
        <v>2</v>
      </c>
      <c r="G6" s="7">
        <f>SUMIFS(Fact_Production_Hourly!$K$2:$K$337,Fact_Production_Hourly!$C$2:$C$337,F6)</f>
        <v>343981</v>
      </c>
      <c r="I6" s="7" t="s">
        <v>22</v>
      </c>
      <c r="J6" s="7">
        <f>SUM(Fact_Quality_Sampling!$K$2:$K$337)</f>
        <v>355</v>
      </c>
      <c r="L6" s="7" t="s">
        <v>23</v>
      </c>
      <c r="M6" s="8">
        <f>SUMIFS(Fact_Production_Hourly!$K$2:$K$337,Fact_Production_Hourly!$D$2:$D$337,L6)/SUMIFS(Fact_Production_Hourly!$J$2:$J$337,Fact_Production_Hourly!$D$2:$D$337,L6)</f>
        <v>0.87900670353667787</v>
      </c>
    </row>
    <row r="7" spans="1:16" x14ac:dyDescent="0.25">
      <c r="A7" s="4" t="s">
        <v>24</v>
      </c>
      <c r="B7" s="5">
        <f>1-SUM(Fact_Quality_Sampling!$H$2:$H$337)/SUM(Fact_Quality_Sampling!$G$2:$G$337)</f>
        <v>0.959716796875</v>
      </c>
      <c r="C7" s="6" t="str">
        <f>IF(B7&gt;=0.95,"GOOD",IF(B7&gt;=0.9,"WARNING","BAD"))</f>
        <v>GOOD</v>
      </c>
      <c r="F7" s="7">
        <v>3</v>
      </c>
      <c r="G7" s="7">
        <f>SUMIFS(Fact_Production_Hourly!$K$2:$K$337,Fact_Production_Hourly!$C$2:$C$337,F7)</f>
        <v>344793</v>
      </c>
      <c r="L7" s="7" t="s">
        <v>25</v>
      </c>
      <c r="M7" s="8">
        <f>SUMIFS(Fact_Production_Hourly!$K$2:$K$337,Fact_Production_Hourly!$D$2:$D$337,L7)/SUMIFS(Fact_Production_Hourly!$J$2:$J$337,Fact_Production_Hourly!$D$2:$D$337,L7)</f>
        <v>0.8885661565112164</v>
      </c>
    </row>
    <row r="8" spans="1:16" x14ac:dyDescent="0.25">
      <c r="A8" s="4" t="s">
        <v>26</v>
      </c>
      <c r="B8" s="5">
        <f>SUM(Fact_Quality_Sampling!$H$2:$H$337)/SUM(Fact_Quality_Sampling!$G$2:$G$337)</f>
        <v>4.0283203125E-2</v>
      </c>
      <c r="C8" s="6" t="str">
        <f>IF(B8&lt;=0.03,"GOOD",IF(B8&lt;=0.06,"WARNING","BAD"))</f>
        <v>WARNING</v>
      </c>
      <c r="F8" s="7">
        <v>4</v>
      </c>
      <c r="G8" s="7">
        <f>SUMIFS(Fact_Production_Hourly!$K$2:$K$337,Fact_Production_Hourly!$C$2:$C$337,F8)</f>
        <v>340542</v>
      </c>
      <c r="L8" s="7" t="s">
        <v>27</v>
      </c>
      <c r="M8" s="8">
        <f>SUMIFS(Fact_Production_Hourly!$K$2:$K$337,Fact_Production_Hourly!$D$2:$D$337,L8)/SUMIFS(Fact_Production_Hourly!$J$2:$J$337,Fact_Production_Hourly!$D$2:$D$337,L8)</f>
        <v>0.87020595382573773</v>
      </c>
    </row>
    <row r="9" spans="1:16" x14ac:dyDescent="0.25">
      <c r="A9" s="4" t="s">
        <v>28</v>
      </c>
      <c r="B9" s="5">
        <f>SUM(Fact_Quality_Sampling!$I$2:$I$337)/SUM(Fact_Quality_Sampling!$H$2:$H$337)</f>
        <v>0</v>
      </c>
      <c r="C9" s="6"/>
      <c r="F9" s="7">
        <v>5</v>
      </c>
      <c r="G9" s="7">
        <f>SUMIFS(Fact_Production_Hourly!$K$2:$K$337,Fact_Production_Hourly!$C$2:$C$337,F9)</f>
        <v>329757</v>
      </c>
      <c r="L9" s="7" t="s">
        <v>29</v>
      </c>
      <c r="M9" s="8">
        <f>SUMIFS(Fact_Production_Hourly!$K$2:$K$337,Fact_Production_Hourly!$D$2:$D$337,L9)/SUMIFS(Fact_Production_Hourly!$J$2:$J$337,Fact_Production_Hourly!$D$2:$D$337,L9)</f>
        <v>0.88578062450785133</v>
      </c>
    </row>
    <row r="10" spans="1:16" x14ac:dyDescent="0.25">
      <c r="A10" s="4" t="s">
        <v>30</v>
      </c>
      <c r="B10" s="5">
        <f>SUM(Fact_Quality_Sampling!$J$2:$J$337)/SUM(Fact_Quality_Sampling!$H$2:$H$337)</f>
        <v>0.28282828282828282</v>
      </c>
      <c r="C10" s="6"/>
      <c r="F10" s="7">
        <v>6</v>
      </c>
      <c r="G10" s="7">
        <f>SUMIFS(Fact_Production_Hourly!$K$2:$K$337,Fact_Production_Hourly!$C$2:$C$337,F10)</f>
        <v>327997</v>
      </c>
      <c r="L10" s="7" t="s">
        <v>31</v>
      </c>
      <c r="M10" s="8">
        <f>SUMIFS(Fact_Production_Hourly!$K$2:$K$337,Fact_Production_Hourly!$D$2:$D$337,L10)/SUMIFS(Fact_Production_Hourly!$J$2:$J$337,Fact_Production_Hourly!$D$2:$D$337,L10)</f>
        <v>0.88604283404586048</v>
      </c>
    </row>
    <row r="11" spans="1:16" x14ac:dyDescent="0.25">
      <c r="A11" s="4" t="s">
        <v>32</v>
      </c>
      <c r="B11" s="5">
        <f>SUM(Fact_Quality_Sampling!$K$2:$K$337)/SUM(Fact_Quality_Sampling!$H$2:$H$337)</f>
        <v>0.71717171717171713</v>
      </c>
      <c r="C11" s="6"/>
      <c r="F11" s="7">
        <v>7</v>
      </c>
      <c r="G11" s="7">
        <f>SUMIFS(Fact_Production_Hourly!$K$2:$K$337,Fact_Production_Hourly!$C$2:$C$337,F11)</f>
        <v>342391</v>
      </c>
    </row>
    <row r="12" spans="1:16" x14ac:dyDescent="0.25">
      <c r="F12" s="7">
        <v>8</v>
      </c>
      <c r="G12" s="7">
        <f>SUMIFS(Fact_Production_Hourly!$K$2:$K$337,Fact_Production_Hourly!$C$2:$C$337,F12)</f>
        <v>332231</v>
      </c>
    </row>
    <row r="13" spans="1:16" x14ac:dyDescent="0.25">
      <c r="F13" s="7">
        <v>9</v>
      </c>
      <c r="G13" s="7">
        <f>SUMIFS(Fact_Production_Hourly!$K$2:$K$337,Fact_Production_Hourly!$C$2:$C$337,F13)</f>
        <v>344261</v>
      </c>
    </row>
    <row r="14" spans="1:16" x14ac:dyDescent="0.25">
      <c r="F14" s="7">
        <v>10</v>
      </c>
      <c r="G14" s="7">
        <f>SUMIFS(Fact_Production_Hourly!$K$2:$K$337,Fact_Production_Hourly!$C$2:$C$337,F14)</f>
        <v>336146</v>
      </c>
    </row>
    <row r="15" spans="1:16" x14ac:dyDescent="0.25">
      <c r="F15" s="7">
        <v>11</v>
      </c>
      <c r="G15" s="7">
        <f>SUMIFS(Fact_Production_Hourly!$K$2:$K$337,Fact_Production_Hourly!$C$2:$C$337,F15)</f>
        <v>339673</v>
      </c>
    </row>
    <row r="16" spans="1:16" x14ac:dyDescent="0.25">
      <c r="F16" s="7">
        <v>12</v>
      </c>
      <c r="G16" s="7">
        <f>SUMIFS(Fact_Production_Hourly!$K$2:$K$337,Fact_Production_Hourly!$C$2:$C$337,F16)</f>
        <v>341599</v>
      </c>
    </row>
    <row r="17" spans="6:7" x14ac:dyDescent="0.25">
      <c r="F17" s="7">
        <v>13</v>
      </c>
      <c r="G17" s="7">
        <f>SUMIFS(Fact_Production_Hourly!$K$2:$K$337,Fact_Production_Hourly!$C$2:$C$337,F17)</f>
        <v>345543</v>
      </c>
    </row>
    <row r="18" spans="6:7" x14ac:dyDescent="0.25">
      <c r="F18" s="7">
        <v>14</v>
      </c>
      <c r="G18" s="7">
        <f>SUMIFS(Fact_Production_Hourly!$K$2:$K$337,Fact_Production_Hourly!$C$2:$C$337,F18)</f>
        <v>319429</v>
      </c>
    </row>
    <row r="19" spans="6:7" x14ac:dyDescent="0.25">
      <c r="F19" s="7">
        <v>15</v>
      </c>
      <c r="G19" s="7">
        <f>SUMIFS(Fact_Production_Hourly!$K$2:$K$337,Fact_Production_Hourly!$C$2:$C$337,F19)</f>
        <v>339712</v>
      </c>
    </row>
    <row r="20" spans="6:7" x14ac:dyDescent="0.25">
      <c r="F20" s="7">
        <v>16</v>
      </c>
      <c r="G20" s="7">
        <f>SUMIFS(Fact_Production_Hourly!$K$2:$K$337,Fact_Production_Hourly!$C$2:$C$337,F20)</f>
        <v>330608</v>
      </c>
    </row>
    <row r="21" spans="6:7" x14ac:dyDescent="0.25">
      <c r="F21" s="7">
        <v>17</v>
      </c>
      <c r="G21" s="7">
        <f>SUMIFS(Fact_Production_Hourly!$K$2:$K$337,Fact_Production_Hourly!$C$2:$C$337,F21)</f>
        <v>328956</v>
      </c>
    </row>
    <row r="22" spans="6:7" x14ac:dyDescent="0.25">
      <c r="F22" s="7">
        <v>18</v>
      </c>
      <c r="G22" s="7">
        <f>SUMIFS(Fact_Production_Hourly!$K$2:$K$337,Fact_Production_Hourly!$C$2:$C$337,F22)</f>
        <v>341672</v>
      </c>
    </row>
    <row r="23" spans="6:7" x14ac:dyDescent="0.25">
      <c r="F23" s="7">
        <v>19</v>
      </c>
      <c r="G23" s="7">
        <f>SUMIFS(Fact_Production_Hourly!$K$2:$K$337,Fact_Production_Hourly!$C$2:$C$337,F23)</f>
        <v>338998</v>
      </c>
    </row>
    <row r="24" spans="6:7" x14ac:dyDescent="0.25">
      <c r="F24" s="7">
        <v>20</v>
      </c>
      <c r="G24" s="7">
        <f>SUMIFS(Fact_Production_Hourly!$K$2:$K$337,Fact_Production_Hourly!$C$2:$C$337,F24)</f>
        <v>338975</v>
      </c>
    </row>
    <row r="25" spans="6:7" x14ac:dyDescent="0.25">
      <c r="F25" s="7">
        <v>21</v>
      </c>
      <c r="G25" s="7">
        <f>SUMIFS(Fact_Production_Hourly!$K$2:$K$337,Fact_Production_Hourly!$C$2:$C$337,F25)</f>
        <v>334179</v>
      </c>
    </row>
    <row r="26" spans="6:7" x14ac:dyDescent="0.25">
      <c r="F26" s="7">
        <v>22</v>
      </c>
      <c r="G26" s="7">
        <f>SUMIFS(Fact_Production_Hourly!$K$2:$K$337,Fact_Production_Hourly!$C$2:$C$337,F26)</f>
        <v>327882</v>
      </c>
    </row>
    <row r="27" spans="6:7" x14ac:dyDescent="0.25">
      <c r="F27" s="7">
        <v>23</v>
      </c>
      <c r="G27" s="7">
        <f>SUMIFS(Fact_Production_Hourly!$K$2:$K$337,Fact_Production_Hourly!$C$2:$C$337,F27)</f>
        <v>346208</v>
      </c>
    </row>
  </sheetData>
  <conditionalFormatting sqref="C4:C8">
    <cfRule type="cellIs" dxfId="2" priority="2" operator="equal">
      <formula>"GOOD"</formula>
    </cfRule>
    <cfRule type="cellIs" dxfId="1" priority="3" operator="equal">
      <formula>"WARNING"</formula>
    </cfRule>
    <cfRule type="cellIs" dxfId="0" priority="4" operator="equal">
      <formula>"BAD"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4" width="14" customWidth="1"/>
    <col min="5" max="6" width="48" customWidth="1"/>
  </cols>
  <sheetData>
    <row r="1" spans="1:6" ht="18" customHeight="1" x14ac:dyDescent="0.25">
      <c r="A1" s="1" t="s">
        <v>33</v>
      </c>
    </row>
    <row r="3" spans="1:6" ht="30" customHeight="1" x14ac:dyDescent="0.25">
      <c r="A3" s="9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</row>
    <row r="4" spans="1:6" ht="45" customHeight="1" x14ac:dyDescent="0.25">
      <c r="A4" s="4" t="s">
        <v>40</v>
      </c>
      <c r="B4" s="10" t="s">
        <v>41</v>
      </c>
      <c r="C4" s="11" t="s">
        <v>42</v>
      </c>
      <c r="D4" s="12" t="s">
        <v>43</v>
      </c>
      <c r="E4" s="13" t="s">
        <v>44</v>
      </c>
      <c r="F4" s="13" t="s">
        <v>45</v>
      </c>
    </row>
    <row r="5" spans="1:6" ht="45" customHeight="1" x14ac:dyDescent="0.25">
      <c r="A5" s="4" t="s">
        <v>46</v>
      </c>
      <c r="B5" s="10" t="s">
        <v>47</v>
      </c>
      <c r="C5" s="11" t="s">
        <v>48</v>
      </c>
      <c r="D5" s="12" t="s">
        <v>49</v>
      </c>
      <c r="E5" s="13" t="s">
        <v>50</v>
      </c>
      <c r="F5" s="13" t="s">
        <v>51</v>
      </c>
    </row>
    <row r="6" spans="1:6" ht="45" customHeight="1" x14ac:dyDescent="0.25">
      <c r="A6" s="4" t="s">
        <v>52</v>
      </c>
      <c r="B6" s="10" t="s">
        <v>41</v>
      </c>
      <c r="C6" s="11" t="s">
        <v>53</v>
      </c>
      <c r="D6" s="12" t="s">
        <v>54</v>
      </c>
      <c r="E6" s="13" t="s">
        <v>55</v>
      </c>
      <c r="F6" s="13" t="s">
        <v>56</v>
      </c>
    </row>
    <row r="7" spans="1:6" ht="45" customHeight="1" x14ac:dyDescent="0.25">
      <c r="A7" s="4" t="s">
        <v>24</v>
      </c>
      <c r="B7" s="10" t="s">
        <v>57</v>
      </c>
      <c r="C7" s="11" t="s">
        <v>58</v>
      </c>
      <c r="D7" s="12" t="s">
        <v>59</v>
      </c>
      <c r="E7" s="13" t="s">
        <v>60</v>
      </c>
      <c r="F7" s="13" t="s">
        <v>61</v>
      </c>
    </row>
    <row r="8" spans="1:6" ht="45" customHeight="1" x14ac:dyDescent="0.25">
      <c r="A8" s="4" t="s">
        <v>26</v>
      </c>
      <c r="B8" s="10" t="s">
        <v>62</v>
      </c>
      <c r="C8" s="11" t="s">
        <v>63</v>
      </c>
      <c r="D8" s="12" t="s">
        <v>64</v>
      </c>
      <c r="E8" s="13" t="s">
        <v>65</v>
      </c>
      <c r="F8" s="13" t="s">
        <v>66</v>
      </c>
    </row>
    <row r="9" spans="1:6" ht="45" customHeight="1" x14ac:dyDescent="0.25">
      <c r="A9" s="4" t="s">
        <v>67</v>
      </c>
      <c r="B9" s="10" t="s">
        <v>68</v>
      </c>
      <c r="C9" s="11" t="s">
        <v>69</v>
      </c>
      <c r="D9" s="12" t="s">
        <v>70</v>
      </c>
      <c r="E9" s="13" t="s">
        <v>71</v>
      </c>
      <c r="F9" s="13" t="s">
        <v>72</v>
      </c>
    </row>
    <row r="10" spans="1:6" ht="45" customHeight="1" x14ac:dyDescent="0.25">
      <c r="A10" s="4" t="s">
        <v>73</v>
      </c>
      <c r="B10" s="10" t="s">
        <v>74</v>
      </c>
      <c r="C10" s="11" t="s">
        <v>75</v>
      </c>
      <c r="D10" s="12" t="s">
        <v>76</v>
      </c>
      <c r="E10" s="13" t="s">
        <v>77</v>
      </c>
      <c r="F10" s="13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3" width="60" customWidth="1"/>
  </cols>
  <sheetData>
    <row r="1" spans="1:3" ht="18" customHeight="1" x14ac:dyDescent="0.25">
      <c r="A1" s="1" t="s">
        <v>79</v>
      </c>
    </row>
    <row r="3" spans="1:3" ht="30" customHeight="1" x14ac:dyDescent="0.25">
      <c r="A3" s="9" t="s">
        <v>80</v>
      </c>
      <c r="B3" s="9" t="s">
        <v>81</v>
      </c>
      <c r="C3" s="9" t="s">
        <v>82</v>
      </c>
    </row>
    <row r="4" spans="1:3" ht="45" customHeight="1" x14ac:dyDescent="0.25">
      <c r="A4" s="4" t="s">
        <v>83</v>
      </c>
      <c r="B4" s="13" t="s">
        <v>84</v>
      </c>
      <c r="C4" s="13" t="s">
        <v>85</v>
      </c>
    </row>
    <row r="5" spans="1:3" ht="45" customHeight="1" x14ac:dyDescent="0.25">
      <c r="A5" s="4" t="s">
        <v>86</v>
      </c>
      <c r="B5" s="13" t="s">
        <v>87</v>
      </c>
      <c r="C5" s="13" t="s">
        <v>88</v>
      </c>
    </row>
    <row r="6" spans="1:3" ht="45" customHeight="1" x14ac:dyDescent="0.25">
      <c r="A6" s="4" t="s">
        <v>89</v>
      </c>
      <c r="B6" s="13" t="s">
        <v>90</v>
      </c>
      <c r="C6" s="13" t="s">
        <v>91</v>
      </c>
    </row>
    <row r="7" spans="1:3" ht="45" customHeight="1" x14ac:dyDescent="0.25">
      <c r="A7" s="4" t="s">
        <v>92</v>
      </c>
      <c r="B7" s="13" t="s">
        <v>93</v>
      </c>
      <c r="C7" s="13" t="s">
        <v>94</v>
      </c>
    </row>
    <row r="8" spans="1:3" ht="45" customHeight="1" x14ac:dyDescent="0.25">
      <c r="A8" s="4" t="s">
        <v>95</v>
      </c>
      <c r="B8" s="13" t="s">
        <v>96</v>
      </c>
      <c r="C8" s="13" t="s">
        <v>97</v>
      </c>
    </row>
    <row r="9" spans="1:3" ht="45" customHeight="1" x14ac:dyDescent="0.25">
      <c r="A9" s="4" t="s">
        <v>98</v>
      </c>
      <c r="B9" s="13" t="s">
        <v>99</v>
      </c>
      <c r="C9" s="13" t="s">
        <v>100</v>
      </c>
    </row>
    <row r="10" spans="1:3" ht="45" customHeight="1" x14ac:dyDescent="0.25">
      <c r="A10" s="4" t="s">
        <v>101</v>
      </c>
      <c r="B10" s="13" t="s">
        <v>102</v>
      </c>
      <c r="C10" s="13" t="s">
        <v>103</v>
      </c>
    </row>
    <row r="11" spans="1:3" ht="45" customHeight="1" x14ac:dyDescent="0.25">
      <c r="A11" s="4" t="s">
        <v>104</v>
      </c>
      <c r="B11" s="13" t="s">
        <v>105</v>
      </c>
      <c r="C11" s="13" t="s">
        <v>106</v>
      </c>
    </row>
    <row r="12" spans="1:3" ht="45" customHeight="1" x14ac:dyDescent="0.25">
      <c r="A12" s="4" t="s">
        <v>107</v>
      </c>
      <c r="B12" s="13" t="s">
        <v>108</v>
      </c>
      <c r="C12" s="13" t="s">
        <v>109</v>
      </c>
    </row>
    <row r="13" spans="1:3" ht="45" customHeight="1" x14ac:dyDescent="0.25">
      <c r="A13" s="4" t="s">
        <v>110</v>
      </c>
      <c r="B13" s="13" t="s">
        <v>111</v>
      </c>
      <c r="C13" s="13" t="s">
        <v>112</v>
      </c>
    </row>
    <row r="14" spans="1:3" ht="45" customHeight="1" x14ac:dyDescent="0.25">
      <c r="A14" s="4" t="s">
        <v>113</v>
      </c>
      <c r="B14" s="13" t="s">
        <v>114</v>
      </c>
      <c r="C14" s="13" t="s">
        <v>115</v>
      </c>
    </row>
    <row r="16" spans="1:3" ht="15.75" customHeight="1" x14ac:dyDescent="0.25">
      <c r="A16" s="14" t="s">
        <v>116</v>
      </c>
    </row>
    <row r="17" spans="1:3" ht="30" customHeight="1" x14ac:dyDescent="0.25">
      <c r="A17" s="23" t="s">
        <v>117</v>
      </c>
      <c r="B17" s="23"/>
      <c r="C17" s="23"/>
    </row>
    <row r="18" spans="1:3" ht="30" customHeight="1" x14ac:dyDescent="0.25">
      <c r="A18" s="23" t="s">
        <v>118</v>
      </c>
      <c r="B18" s="23"/>
      <c r="C18" s="23"/>
    </row>
    <row r="19" spans="1:3" ht="30" customHeight="1" x14ac:dyDescent="0.25">
      <c r="A19" s="23" t="s">
        <v>119</v>
      </c>
      <c r="B19" s="23"/>
      <c r="C19" s="23"/>
    </row>
    <row r="20" spans="1:3" ht="30" customHeight="1" x14ac:dyDescent="0.25">
      <c r="A20" s="23" t="s">
        <v>120</v>
      </c>
      <c r="B20" s="23"/>
      <c r="C20" s="23"/>
    </row>
  </sheetData>
  <mergeCells count="4">
    <mergeCell ref="A17:C17"/>
    <mergeCell ref="A18:C18"/>
    <mergeCell ref="A19:C19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37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X25" sqref="X25"/>
    </sheetView>
  </sheetViews>
  <sheetFormatPr defaultColWidth="8.7109375" defaultRowHeight="15" x14ac:dyDescent="0.25"/>
  <cols>
    <col min="1" max="1" width="15.140625" customWidth="1"/>
    <col min="2" max="2" width="14.85546875" customWidth="1"/>
    <col min="3" max="3" width="15" customWidth="1"/>
    <col min="4" max="4" width="18.42578125" customWidth="1"/>
    <col min="5" max="5" width="15" customWidth="1"/>
    <col min="6" max="7" width="17.7109375" customWidth="1"/>
    <col min="8" max="8" width="19.28515625" customWidth="1"/>
    <col min="9" max="9" width="19.140625" customWidth="1"/>
    <col min="10" max="10" width="21.5703125" customWidth="1"/>
    <col min="11" max="11" width="23.140625" customWidth="1"/>
    <col min="12" max="13" width="13" customWidth="1"/>
    <col min="14" max="14" width="15" customWidth="1"/>
    <col min="15" max="15" width="14" customWidth="1"/>
    <col min="16" max="16" width="14.85546875" customWidth="1"/>
    <col min="17" max="17" width="13.7109375" customWidth="1"/>
    <col min="18" max="18" width="13" customWidth="1"/>
    <col min="19" max="19" width="18.42578125" customWidth="1"/>
    <col min="20" max="20" width="13.42578125" customWidth="1"/>
    <col min="21" max="21" width="16.5703125" customWidth="1"/>
  </cols>
  <sheetData>
    <row r="1" spans="1:21" ht="30" customHeight="1" x14ac:dyDescent="0.25">
      <c r="A1" s="15" t="s">
        <v>121</v>
      </c>
      <c r="B1" s="16" t="s">
        <v>122</v>
      </c>
      <c r="C1" s="16" t="s">
        <v>123</v>
      </c>
      <c r="D1" s="16" t="s">
        <v>124</v>
      </c>
      <c r="E1" s="16" t="s">
        <v>125</v>
      </c>
      <c r="F1" s="16" t="s">
        <v>126</v>
      </c>
      <c r="G1" s="16" t="s">
        <v>127</v>
      </c>
      <c r="H1" s="16" t="s">
        <v>128</v>
      </c>
      <c r="I1" s="16" t="s">
        <v>129</v>
      </c>
      <c r="J1" s="16" t="s">
        <v>130</v>
      </c>
      <c r="K1" s="16" t="s">
        <v>131</v>
      </c>
      <c r="L1" s="16" t="s">
        <v>132</v>
      </c>
      <c r="M1" s="16" t="s">
        <v>133</v>
      </c>
      <c r="N1" s="16" t="s">
        <v>10</v>
      </c>
      <c r="O1" s="16" t="s">
        <v>134</v>
      </c>
      <c r="P1" s="16" t="s">
        <v>135</v>
      </c>
      <c r="Q1" s="16" t="s">
        <v>136</v>
      </c>
      <c r="R1" s="16" t="s">
        <v>40</v>
      </c>
      <c r="S1" s="16" t="s">
        <v>137</v>
      </c>
      <c r="T1" s="16" t="s">
        <v>138</v>
      </c>
      <c r="U1" s="17" t="s">
        <v>139</v>
      </c>
    </row>
    <row r="2" spans="1:21" x14ac:dyDescent="0.25">
      <c r="A2" s="18" t="s">
        <v>140</v>
      </c>
      <c r="B2" s="4">
        <v>20260701</v>
      </c>
      <c r="C2" s="4">
        <v>0</v>
      </c>
      <c r="D2" s="4" t="s">
        <v>15</v>
      </c>
      <c r="E2" s="4" t="s">
        <v>20</v>
      </c>
      <c r="F2" s="4" t="s">
        <v>141</v>
      </c>
      <c r="G2" s="4">
        <v>60</v>
      </c>
      <c r="H2" s="4">
        <v>5.6</v>
      </c>
      <c r="I2" s="4">
        <f t="shared" ref="I2:I65" si="0">G2-H2</f>
        <v>54.4</v>
      </c>
      <c r="J2" s="4">
        <f>INDEX(Dim_Machine!$E$2:$E$8,MATCH(D2,Dim_Machine!$A$2:$A$8,0))*INDEX(Dim_Machine!$D$2:$D$8,MATCH(D2,Dim_Machine!$A$2:$A$8,0))*I2</f>
        <v>21760</v>
      </c>
      <c r="K2" s="4">
        <f>ROUND(J2*0.864,0)</f>
        <v>18801</v>
      </c>
      <c r="L2" s="4">
        <f>ROUND(K2*0.0185,0)</f>
        <v>348</v>
      </c>
      <c r="M2" s="4">
        <f t="shared" ref="M2:M65" si="1">K2-L2</f>
        <v>18453</v>
      </c>
      <c r="N2" s="4">
        <f t="shared" ref="N2:N65" si="2">IFERROR(K2/J2,0)</f>
        <v>0.86401654411764706</v>
      </c>
      <c r="O2" s="4">
        <f t="shared" ref="O2:O65" si="3">IFERROR(I2/G2,0)</f>
        <v>0.90666666666666662</v>
      </c>
      <c r="P2" s="4">
        <f>IFERROR((K2/I2)/(INDEX(Dim_Machine!$E$2:$E$8,MATCH(D2,Dim_Machine!$A$2:$A$8,0))*INDEX(Dim_Machine!$D$2:$D$8,MATCH(D2,Dim_Machine!$A$2:$A$8,0))),0)</f>
        <v>0.86401654411764706</v>
      </c>
      <c r="Q2" s="4">
        <f t="shared" ref="Q2:Q65" si="4">IFERROR(M2/K2,0)</f>
        <v>0.98149034625817777</v>
      </c>
      <c r="R2" s="4">
        <f t="shared" ref="R2:R65" si="5">O2*P2*Q2</f>
        <v>0.76887499999999998</v>
      </c>
      <c r="S2" s="4">
        <f>T2/0.842</f>
        <v>5.4789192399049877</v>
      </c>
      <c r="T2" s="4">
        <f>M2*INDEX(Dim_Product!$C$2:$C$4,MATCH(F2,Dim_Product!$A$2:$A$4,0))/1000000</f>
        <v>4.6132499999999999</v>
      </c>
      <c r="U2" s="19">
        <f t="shared" ref="U2:U65" si="6">IFERROR(T2/S2,0)</f>
        <v>0.84200000000000008</v>
      </c>
    </row>
    <row r="3" spans="1:21" x14ac:dyDescent="0.25">
      <c r="A3" s="18" t="s">
        <v>142</v>
      </c>
      <c r="B3" s="4">
        <v>20260701</v>
      </c>
      <c r="C3" s="4">
        <v>0</v>
      </c>
      <c r="D3" s="4" t="s">
        <v>19</v>
      </c>
      <c r="E3" s="4" t="s">
        <v>20</v>
      </c>
      <c r="F3" s="4" t="s">
        <v>143</v>
      </c>
      <c r="G3" s="4">
        <v>60</v>
      </c>
      <c r="H3" s="4">
        <v>7</v>
      </c>
      <c r="I3" s="4">
        <f t="shared" si="0"/>
        <v>53</v>
      </c>
      <c r="J3" s="4">
        <f>INDEX(Dim_Machine!$E$2:$E$8,MATCH(D3,Dim_Machine!$A$2:$A$8,0))*INDEX(Dim_Machine!$D$2:$D$8,MATCH(D3,Dim_Machine!$A$2:$A$8,0))*I3</f>
        <v>35616</v>
      </c>
      <c r="K3" s="4">
        <f>ROUND(J3*0.932,0)</f>
        <v>33194</v>
      </c>
      <c r="L3" s="4">
        <f>ROUND(K3*0.0098,0)</f>
        <v>325</v>
      </c>
      <c r="M3" s="4">
        <f t="shared" si="1"/>
        <v>32869</v>
      </c>
      <c r="N3" s="4">
        <f t="shared" si="2"/>
        <v>0.93199685534591192</v>
      </c>
      <c r="O3" s="4">
        <f t="shared" si="3"/>
        <v>0.8833333333333333</v>
      </c>
      <c r="P3" s="4">
        <f>IFERROR((K3/I3)/(INDEX(Dim_Machine!$E$2:$E$8,MATCH(D3,Dim_Machine!$A$2:$A$8,0))*INDEX(Dim_Machine!$D$2:$D$8,MATCH(D3,Dim_Machine!$A$2:$A$8,0))),0)</f>
        <v>0.93199685534591192</v>
      </c>
      <c r="Q3" s="4">
        <f t="shared" si="4"/>
        <v>0.99020907392902335</v>
      </c>
      <c r="R3" s="4">
        <f t="shared" si="5"/>
        <v>0.81520337301587298</v>
      </c>
      <c r="S3" s="4">
        <f>T3/0.863</f>
        <v>7.617381228273465</v>
      </c>
      <c r="T3" s="4">
        <f>M3*INDEX(Dim_Product!$C$2:$C$4,MATCH(F3,Dim_Product!$A$2:$A$4,0))/1000000</f>
        <v>6.5738000000000003</v>
      </c>
      <c r="U3" s="19">
        <f t="shared" si="6"/>
        <v>0.86299999999999999</v>
      </c>
    </row>
    <row r="4" spans="1:21" x14ac:dyDescent="0.25">
      <c r="A4" s="18" t="s">
        <v>144</v>
      </c>
      <c r="B4" s="4">
        <v>20260701</v>
      </c>
      <c r="C4" s="4">
        <v>0</v>
      </c>
      <c r="D4" s="4" t="s">
        <v>23</v>
      </c>
      <c r="E4" s="4" t="s">
        <v>20</v>
      </c>
      <c r="F4" s="4" t="s">
        <v>141</v>
      </c>
      <c r="G4" s="4">
        <v>60</v>
      </c>
      <c r="H4" s="4">
        <v>2.2000000000000002</v>
      </c>
      <c r="I4" s="4">
        <f t="shared" si="0"/>
        <v>57.8</v>
      </c>
      <c r="J4" s="4">
        <f>INDEX(Dim_Machine!$E$2:$E$8,MATCH(D4,Dim_Machine!$A$2:$A$8,0))*INDEX(Dim_Machine!$D$2:$D$8,MATCH(D4,Dim_Machine!$A$2:$A$8,0))*I4</f>
        <v>15259.199999999999</v>
      </c>
      <c r="K4" s="4">
        <f>ROUND(J4*0.823,0)</f>
        <v>12558</v>
      </c>
      <c r="L4" s="4">
        <f>ROUND(K4*0.0279,0)</f>
        <v>350</v>
      </c>
      <c r="M4" s="4">
        <f t="shared" si="1"/>
        <v>12208</v>
      </c>
      <c r="N4" s="4">
        <f t="shared" si="2"/>
        <v>0.82297892418999696</v>
      </c>
      <c r="O4" s="4">
        <f t="shared" si="3"/>
        <v>0.96333333333333326</v>
      </c>
      <c r="P4" s="4">
        <f>IFERROR((K4/I4)/(INDEX(Dim_Machine!$E$2:$E$8,MATCH(D4,Dim_Machine!$A$2:$A$8,0))*INDEX(Dim_Machine!$D$2:$D$8,MATCH(D4,Dim_Machine!$A$2:$A$8,0))),0)</f>
        <v>0.82297892418999685</v>
      </c>
      <c r="Q4" s="4">
        <f t="shared" si="4"/>
        <v>0.97212931995540686</v>
      </c>
      <c r="R4" s="4">
        <f t="shared" si="5"/>
        <v>0.77070707070707056</v>
      </c>
      <c r="S4" s="4">
        <f>T4/0.815</f>
        <v>3.7447852760736198</v>
      </c>
      <c r="T4" s="4">
        <f>M4*INDEX(Dim_Product!$C$2:$C$4,MATCH(F4,Dim_Product!$A$2:$A$4,0))/1000000</f>
        <v>3.052</v>
      </c>
      <c r="U4" s="19">
        <f t="shared" si="6"/>
        <v>0.81499999999999995</v>
      </c>
    </row>
    <row r="5" spans="1:21" x14ac:dyDescent="0.25">
      <c r="A5" s="18" t="s">
        <v>145</v>
      </c>
      <c r="B5" s="4">
        <v>20260701</v>
      </c>
      <c r="C5" s="4">
        <v>0</v>
      </c>
      <c r="D5" s="4" t="s">
        <v>25</v>
      </c>
      <c r="E5" s="4" t="s">
        <v>20</v>
      </c>
      <c r="F5" s="4" t="s">
        <v>141</v>
      </c>
      <c r="G5" s="4">
        <v>60</v>
      </c>
      <c r="H5" s="4">
        <v>3</v>
      </c>
      <c r="I5" s="4">
        <f t="shared" si="0"/>
        <v>57</v>
      </c>
      <c r="J5" s="4">
        <f>INDEX(Dim_Machine!$E$2:$E$8,MATCH(D5,Dim_Machine!$A$2:$A$8,0))*INDEX(Dim_Machine!$D$2:$D$8,MATCH(D5,Dim_Machine!$A$2:$A$8,0))*I5</f>
        <v>41040</v>
      </c>
      <c r="K5" s="4">
        <f>ROUND(J5*0.852,0)</f>
        <v>34966</v>
      </c>
      <c r="L5" s="4">
        <f>ROUND(K5*0.0153,0)</f>
        <v>535</v>
      </c>
      <c r="M5" s="4">
        <f t="shared" si="1"/>
        <v>34431</v>
      </c>
      <c r="N5" s="4">
        <f t="shared" si="2"/>
        <v>0.8519980506822612</v>
      </c>
      <c r="O5" s="4">
        <f t="shared" si="3"/>
        <v>0.95</v>
      </c>
      <c r="P5" s="4">
        <f>IFERROR((K5/I5)/(INDEX(Dim_Machine!$E$2:$E$8,MATCH(D5,Dim_Machine!$A$2:$A$8,0))*INDEX(Dim_Machine!$D$2:$D$8,MATCH(D5,Dim_Machine!$A$2:$A$8,0))),0)</f>
        <v>0.8519980506822612</v>
      </c>
      <c r="Q5" s="4">
        <f t="shared" si="4"/>
        <v>0.98469942229594465</v>
      </c>
      <c r="R5" s="4">
        <f t="shared" si="5"/>
        <v>0.79701388888888891</v>
      </c>
      <c r="S5" s="4">
        <f>T5/0.84</f>
        <v>10.247321428571428</v>
      </c>
      <c r="T5" s="4">
        <f>M5*INDEX(Dim_Product!$C$2:$C$4,MATCH(F5,Dim_Product!$A$2:$A$4,0))/1000000</f>
        <v>8.6077499999999993</v>
      </c>
      <c r="U5" s="19">
        <f t="shared" si="6"/>
        <v>0.84</v>
      </c>
    </row>
    <row r="6" spans="1:21" x14ac:dyDescent="0.25">
      <c r="A6" s="18" t="s">
        <v>146</v>
      </c>
      <c r="B6" s="4">
        <v>20260701</v>
      </c>
      <c r="C6" s="4">
        <v>0</v>
      </c>
      <c r="D6" s="4" t="s">
        <v>27</v>
      </c>
      <c r="E6" s="4" t="s">
        <v>20</v>
      </c>
      <c r="F6" s="4" t="s">
        <v>141</v>
      </c>
      <c r="G6" s="4">
        <v>60</v>
      </c>
      <c r="H6" s="4">
        <v>0.3</v>
      </c>
      <c r="I6" s="4">
        <f t="shared" si="0"/>
        <v>59.7</v>
      </c>
      <c r="J6" s="4">
        <f>INDEX(Dim_Machine!$E$2:$E$8,MATCH(D6,Dim_Machine!$A$2:$A$8,0))*INDEX(Dim_Machine!$D$2:$D$8,MATCH(D6,Dim_Machine!$A$2:$A$8,0))*I6</f>
        <v>24835.200000000001</v>
      </c>
      <c r="K6" s="4">
        <f>ROUND(J6*0.872,0)</f>
        <v>21656</v>
      </c>
      <c r="L6" s="4">
        <f>ROUND(K6*0.0087,0)</f>
        <v>188</v>
      </c>
      <c r="M6" s="4">
        <f t="shared" si="1"/>
        <v>21468</v>
      </c>
      <c r="N6" s="4">
        <f t="shared" si="2"/>
        <v>0.87198814585749251</v>
      </c>
      <c r="O6" s="4">
        <f t="shared" si="3"/>
        <v>0.995</v>
      </c>
      <c r="P6" s="4">
        <f>IFERROR((K6/I6)/(INDEX(Dim_Machine!$E$2:$E$8,MATCH(D6,Dim_Machine!$A$2:$A$8,0))*INDEX(Dim_Machine!$D$2:$D$8,MATCH(D6,Dim_Machine!$A$2:$A$8,0))),0)</f>
        <v>0.87198814585749251</v>
      </c>
      <c r="Q6" s="4">
        <f t="shared" si="4"/>
        <v>0.99131880310306608</v>
      </c>
      <c r="R6" s="4">
        <f t="shared" si="5"/>
        <v>0.86009615384615368</v>
      </c>
      <c r="S6" s="4">
        <f>T6/0.938</f>
        <v>5.7217484008528787</v>
      </c>
      <c r="T6" s="4">
        <f>M6*INDEX(Dim_Product!$C$2:$C$4,MATCH(F6,Dim_Product!$A$2:$A$4,0))/1000000</f>
        <v>5.367</v>
      </c>
      <c r="U6" s="19">
        <f t="shared" si="6"/>
        <v>0.93799999999999994</v>
      </c>
    </row>
    <row r="7" spans="1:21" x14ac:dyDescent="0.25">
      <c r="A7" s="18" t="s">
        <v>147</v>
      </c>
      <c r="B7" s="4">
        <v>20260701</v>
      </c>
      <c r="C7" s="4">
        <v>0</v>
      </c>
      <c r="D7" s="4" t="s">
        <v>29</v>
      </c>
      <c r="E7" s="4" t="s">
        <v>20</v>
      </c>
      <c r="F7" s="4" t="s">
        <v>143</v>
      </c>
      <c r="G7" s="4">
        <v>60</v>
      </c>
      <c r="H7" s="4">
        <v>0.6</v>
      </c>
      <c r="I7" s="4">
        <f t="shared" si="0"/>
        <v>59.4</v>
      </c>
      <c r="J7" s="4">
        <f>INDEX(Dim_Machine!$E$2:$E$8,MATCH(D7,Dim_Machine!$A$2:$A$8,0))*INDEX(Dim_Machine!$D$2:$D$8,MATCH(D7,Dim_Machine!$A$2:$A$8,0))*I7</f>
        <v>17107.2</v>
      </c>
      <c r="K7" s="4">
        <f>ROUND(J7*0.839,0)</f>
        <v>14353</v>
      </c>
      <c r="L7" s="4">
        <f>ROUND(K7*0.0239,0)</f>
        <v>343</v>
      </c>
      <c r="M7" s="4">
        <f t="shared" si="1"/>
        <v>14010</v>
      </c>
      <c r="N7" s="4">
        <f t="shared" si="2"/>
        <v>0.83900346053123831</v>
      </c>
      <c r="O7" s="4">
        <f t="shared" si="3"/>
        <v>0.99</v>
      </c>
      <c r="P7" s="4">
        <f>IFERROR((K7/I7)/(INDEX(Dim_Machine!$E$2:$E$8,MATCH(D7,Dim_Machine!$A$2:$A$8,0))*INDEX(Dim_Machine!$D$2:$D$8,MATCH(D7,Dim_Machine!$A$2:$A$8,0))),0)</f>
        <v>0.83900346053123842</v>
      </c>
      <c r="Q7" s="4">
        <f t="shared" si="4"/>
        <v>0.97610255695673376</v>
      </c>
      <c r="R7" s="4">
        <f t="shared" si="5"/>
        <v>0.81076388888888895</v>
      </c>
      <c r="S7" s="4">
        <f>T7/0.933</f>
        <v>3.003215434083601</v>
      </c>
      <c r="T7" s="4">
        <f>M7*INDEX(Dim_Product!$C$2:$C$4,MATCH(F7,Dim_Product!$A$2:$A$4,0))/1000000</f>
        <v>2.802</v>
      </c>
      <c r="U7" s="19">
        <f t="shared" si="6"/>
        <v>0.93300000000000005</v>
      </c>
    </row>
    <row r="8" spans="1:21" x14ac:dyDescent="0.25">
      <c r="A8" s="18" t="s">
        <v>148</v>
      </c>
      <c r="B8" s="4">
        <v>20260701</v>
      </c>
      <c r="C8" s="4">
        <v>0</v>
      </c>
      <c r="D8" s="4" t="s">
        <v>31</v>
      </c>
      <c r="E8" s="4" t="s">
        <v>20</v>
      </c>
      <c r="F8" s="4" t="s">
        <v>141</v>
      </c>
      <c r="G8" s="4">
        <v>60</v>
      </c>
      <c r="H8" s="4">
        <v>2.9</v>
      </c>
      <c r="I8" s="4">
        <f t="shared" si="0"/>
        <v>57.1</v>
      </c>
      <c r="J8" s="4">
        <f>INDEX(Dim_Machine!$E$2:$E$8,MATCH(D8,Dim_Machine!$A$2:$A$8,0))*INDEX(Dim_Machine!$D$2:$D$8,MATCH(D8,Dim_Machine!$A$2:$A$8,0))*I8</f>
        <v>37000.800000000003</v>
      </c>
      <c r="K8" s="4">
        <f>ROUND(J8*0.818,0)</f>
        <v>30267</v>
      </c>
      <c r="L8" s="4">
        <f>ROUND(K8*0.0071,0)</f>
        <v>215</v>
      </c>
      <c r="M8" s="4">
        <f t="shared" si="1"/>
        <v>30052</v>
      </c>
      <c r="N8" s="4">
        <f t="shared" si="2"/>
        <v>0.81800934033858719</v>
      </c>
      <c r="O8" s="4">
        <f t="shared" si="3"/>
        <v>0.95166666666666666</v>
      </c>
      <c r="P8" s="4">
        <f>IFERROR((K8/I8)/(INDEX(Dim_Machine!$E$2:$E$8,MATCH(D8,Dim_Machine!$A$2:$A$8,0))*INDEX(Dim_Machine!$D$2:$D$8,MATCH(D8,Dim_Machine!$A$2:$A$8,0))),0)</f>
        <v>0.81800934033858719</v>
      </c>
      <c r="Q8" s="4">
        <f t="shared" si="4"/>
        <v>0.99289655400270926</v>
      </c>
      <c r="R8" s="4">
        <f t="shared" si="5"/>
        <v>0.7729423868312757</v>
      </c>
      <c r="S8" s="4">
        <f>T8/0.899</f>
        <v>8.3570634037819804</v>
      </c>
      <c r="T8" s="4">
        <f>M8*INDEX(Dim_Product!$C$2:$C$4,MATCH(F8,Dim_Product!$A$2:$A$4,0))/1000000</f>
        <v>7.5129999999999999</v>
      </c>
      <c r="U8" s="19">
        <f t="shared" si="6"/>
        <v>0.89899999999999991</v>
      </c>
    </row>
    <row r="9" spans="1:21" x14ac:dyDescent="0.25">
      <c r="A9" s="18" t="s">
        <v>149</v>
      </c>
      <c r="B9" s="4">
        <v>20260701</v>
      </c>
      <c r="C9" s="4">
        <v>1</v>
      </c>
      <c r="D9" s="4" t="s">
        <v>15</v>
      </c>
      <c r="E9" s="4" t="s">
        <v>20</v>
      </c>
      <c r="F9" s="4" t="s">
        <v>141</v>
      </c>
      <c r="G9" s="4">
        <v>60</v>
      </c>
      <c r="H9" s="4">
        <v>6.2</v>
      </c>
      <c r="I9" s="4">
        <f t="shared" si="0"/>
        <v>53.8</v>
      </c>
      <c r="J9" s="4">
        <f>INDEX(Dim_Machine!$E$2:$E$8,MATCH(D9,Dim_Machine!$A$2:$A$8,0))*INDEX(Dim_Machine!$D$2:$D$8,MATCH(D9,Dim_Machine!$A$2:$A$8,0))*I9</f>
        <v>21520</v>
      </c>
      <c r="K9" s="4">
        <f>ROUND(J9*0.977,0)</f>
        <v>21025</v>
      </c>
      <c r="L9" s="4">
        <f>ROUND(K9*0.0307,0)</f>
        <v>645</v>
      </c>
      <c r="M9" s="4">
        <f t="shared" si="1"/>
        <v>20380</v>
      </c>
      <c r="N9" s="4">
        <f t="shared" si="2"/>
        <v>0.97699814126394047</v>
      </c>
      <c r="O9" s="4">
        <f t="shared" si="3"/>
        <v>0.89666666666666661</v>
      </c>
      <c r="P9" s="4">
        <f>IFERROR((K9/I9)/(INDEX(Dim_Machine!$E$2:$E$8,MATCH(D9,Dim_Machine!$A$2:$A$8,0))*INDEX(Dim_Machine!$D$2:$D$8,MATCH(D9,Dim_Machine!$A$2:$A$8,0))),0)</f>
        <v>0.97699814126394058</v>
      </c>
      <c r="Q9" s="4">
        <f t="shared" si="4"/>
        <v>0.96932223543400708</v>
      </c>
      <c r="R9" s="4">
        <f t="shared" si="5"/>
        <v>0.84916666666666663</v>
      </c>
      <c r="S9" s="4">
        <f>T9/0.93</f>
        <v>5.4784946236559131</v>
      </c>
      <c r="T9" s="4">
        <f>M9*INDEX(Dim_Product!$C$2:$C$4,MATCH(F9,Dim_Product!$A$2:$A$4,0))/1000000</f>
        <v>5.0949999999999998</v>
      </c>
      <c r="U9" s="19">
        <f t="shared" si="6"/>
        <v>0.93</v>
      </c>
    </row>
    <row r="10" spans="1:21" x14ac:dyDescent="0.25">
      <c r="A10" s="18" t="s">
        <v>150</v>
      </c>
      <c r="B10" s="4">
        <v>20260701</v>
      </c>
      <c r="C10" s="4">
        <v>1</v>
      </c>
      <c r="D10" s="4" t="s">
        <v>19</v>
      </c>
      <c r="E10" s="4" t="s">
        <v>20</v>
      </c>
      <c r="F10" s="4" t="s">
        <v>143</v>
      </c>
      <c r="G10" s="4">
        <v>60</v>
      </c>
      <c r="H10" s="4">
        <v>3</v>
      </c>
      <c r="I10" s="4">
        <f t="shared" si="0"/>
        <v>57</v>
      </c>
      <c r="J10" s="4">
        <f>INDEX(Dim_Machine!$E$2:$E$8,MATCH(D10,Dim_Machine!$A$2:$A$8,0))*INDEX(Dim_Machine!$D$2:$D$8,MATCH(D10,Dim_Machine!$A$2:$A$8,0))*I10</f>
        <v>38304</v>
      </c>
      <c r="K10" s="4">
        <f>ROUND(J10*0.871,0)</f>
        <v>33363</v>
      </c>
      <c r="L10" s="4">
        <f>ROUND(K10*0.03,0)</f>
        <v>1001</v>
      </c>
      <c r="M10" s="4">
        <f t="shared" si="1"/>
        <v>32362</v>
      </c>
      <c r="N10" s="4">
        <f t="shared" si="2"/>
        <v>0.87100563909774431</v>
      </c>
      <c r="O10" s="4">
        <f t="shared" si="3"/>
        <v>0.95</v>
      </c>
      <c r="P10" s="4">
        <f>IFERROR((K10/I10)/(INDEX(Dim_Machine!$E$2:$E$8,MATCH(D10,Dim_Machine!$A$2:$A$8,0))*INDEX(Dim_Machine!$D$2:$D$8,MATCH(D10,Dim_Machine!$A$2:$A$8,0))),0)</f>
        <v>0.87100563909774431</v>
      </c>
      <c r="Q10" s="4">
        <f t="shared" si="4"/>
        <v>0.96999670293438844</v>
      </c>
      <c r="R10" s="4">
        <f t="shared" si="5"/>
        <v>0.80262896825396812</v>
      </c>
      <c r="S10" s="4">
        <f>T10/0.824</f>
        <v>7.85485436893204</v>
      </c>
      <c r="T10" s="4">
        <f>M10*INDEX(Dim_Product!$C$2:$C$4,MATCH(F10,Dim_Product!$A$2:$A$4,0))/1000000</f>
        <v>6.4724000000000004</v>
      </c>
      <c r="U10" s="19">
        <f t="shared" si="6"/>
        <v>0.82399999999999995</v>
      </c>
    </row>
    <row r="11" spans="1:21" x14ac:dyDescent="0.25">
      <c r="A11" s="18" t="s">
        <v>151</v>
      </c>
      <c r="B11" s="4">
        <v>20260701</v>
      </c>
      <c r="C11" s="4">
        <v>1</v>
      </c>
      <c r="D11" s="4" t="s">
        <v>23</v>
      </c>
      <c r="E11" s="4" t="s">
        <v>20</v>
      </c>
      <c r="F11" s="4" t="s">
        <v>141</v>
      </c>
      <c r="G11" s="4">
        <v>60</v>
      </c>
      <c r="H11" s="4">
        <v>2.8</v>
      </c>
      <c r="I11" s="4">
        <f t="shared" si="0"/>
        <v>57.2</v>
      </c>
      <c r="J11" s="4">
        <f>INDEX(Dim_Machine!$E$2:$E$8,MATCH(D11,Dim_Machine!$A$2:$A$8,0))*INDEX(Dim_Machine!$D$2:$D$8,MATCH(D11,Dim_Machine!$A$2:$A$8,0))*I11</f>
        <v>15100.800000000001</v>
      </c>
      <c r="K11" s="4">
        <f>ROUND(J11*0.914,0)</f>
        <v>13802</v>
      </c>
      <c r="L11" s="4">
        <f>ROUND(K11*0.0261,0)</f>
        <v>360</v>
      </c>
      <c r="M11" s="4">
        <f t="shared" si="1"/>
        <v>13442</v>
      </c>
      <c r="N11" s="4">
        <f t="shared" si="2"/>
        <v>0.91399131171858439</v>
      </c>
      <c r="O11" s="4">
        <f t="shared" si="3"/>
        <v>0.95333333333333337</v>
      </c>
      <c r="P11" s="4">
        <f>IFERROR((K11/I11)/(INDEX(Dim_Machine!$E$2:$E$8,MATCH(D11,Dim_Machine!$A$2:$A$8,0))*INDEX(Dim_Machine!$D$2:$D$8,MATCH(D11,Dim_Machine!$A$2:$A$8,0))),0)</f>
        <v>0.9139913117185845</v>
      </c>
      <c r="Q11" s="4">
        <f t="shared" si="4"/>
        <v>0.97391682364874654</v>
      </c>
      <c r="R11" s="4">
        <f t="shared" si="5"/>
        <v>0.8486111111111112</v>
      </c>
      <c r="S11" s="4">
        <f>T11/0.903</f>
        <v>3.7214839424141748</v>
      </c>
      <c r="T11" s="4">
        <f>M11*INDEX(Dim_Product!$C$2:$C$4,MATCH(F11,Dim_Product!$A$2:$A$4,0))/1000000</f>
        <v>3.3605</v>
      </c>
      <c r="U11" s="19">
        <f t="shared" si="6"/>
        <v>0.90300000000000002</v>
      </c>
    </row>
    <row r="12" spans="1:21" x14ac:dyDescent="0.25">
      <c r="A12" s="18" t="s">
        <v>152</v>
      </c>
      <c r="B12" s="4">
        <v>20260701</v>
      </c>
      <c r="C12" s="4">
        <v>1</v>
      </c>
      <c r="D12" s="4" t="s">
        <v>25</v>
      </c>
      <c r="E12" s="4" t="s">
        <v>20</v>
      </c>
      <c r="F12" s="4" t="s">
        <v>141</v>
      </c>
      <c r="G12" s="4">
        <v>60</v>
      </c>
      <c r="H12" s="4">
        <v>0.6</v>
      </c>
      <c r="I12" s="4">
        <f t="shared" si="0"/>
        <v>59.4</v>
      </c>
      <c r="J12" s="4">
        <f>INDEX(Dim_Machine!$E$2:$E$8,MATCH(D12,Dim_Machine!$A$2:$A$8,0))*INDEX(Dim_Machine!$D$2:$D$8,MATCH(D12,Dim_Machine!$A$2:$A$8,0))*I12</f>
        <v>42768</v>
      </c>
      <c r="K12" s="4">
        <f>ROUND(J12*0.907,0)</f>
        <v>38791</v>
      </c>
      <c r="L12" s="4">
        <f>ROUND(K12*0.021,0)</f>
        <v>815</v>
      </c>
      <c r="M12" s="4">
        <f t="shared" si="1"/>
        <v>37976</v>
      </c>
      <c r="N12" s="4">
        <f t="shared" si="2"/>
        <v>0.90700991395435837</v>
      </c>
      <c r="O12" s="4">
        <f t="shared" si="3"/>
        <v>0.99</v>
      </c>
      <c r="P12" s="4">
        <f>IFERROR((K12/I12)/(INDEX(Dim_Machine!$E$2:$E$8,MATCH(D12,Dim_Machine!$A$2:$A$8,0))*INDEX(Dim_Machine!$D$2:$D$8,MATCH(D12,Dim_Machine!$A$2:$A$8,0))),0)</f>
        <v>0.90700991395435848</v>
      </c>
      <c r="Q12" s="4">
        <f t="shared" si="4"/>
        <v>0.97898997190069859</v>
      </c>
      <c r="R12" s="4">
        <f t="shared" si="5"/>
        <v>0.87907407407407412</v>
      </c>
      <c r="S12" s="4">
        <f>T12/0.837</f>
        <v>11.34289127837515</v>
      </c>
      <c r="T12" s="4">
        <f>M12*INDEX(Dim_Product!$C$2:$C$4,MATCH(F12,Dim_Product!$A$2:$A$4,0))/1000000</f>
        <v>9.4939999999999998</v>
      </c>
      <c r="U12" s="19">
        <f t="shared" si="6"/>
        <v>0.83699999999999986</v>
      </c>
    </row>
    <row r="13" spans="1:21" x14ac:dyDescent="0.25">
      <c r="A13" s="18" t="s">
        <v>153</v>
      </c>
      <c r="B13" s="4">
        <v>20260701</v>
      </c>
      <c r="C13" s="4">
        <v>1</v>
      </c>
      <c r="D13" s="4" t="s">
        <v>27</v>
      </c>
      <c r="E13" s="4" t="s">
        <v>20</v>
      </c>
      <c r="F13" s="4" t="s">
        <v>141</v>
      </c>
      <c r="G13" s="4">
        <v>60</v>
      </c>
      <c r="H13" s="4">
        <v>3.7</v>
      </c>
      <c r="I13" s="4">
        <f t="shared" si="0"/>
        <v>56.3</v>
      </c>
      <c r="J13" s="4">
        <f>INDEX(Dim_Machine!$E$2:$E$8,MATCH(D13,Dim_Machine!$A$2:$A$8,0))*INDEX(Dim_Machine!$D$2:$D$8,MATCH(D13,Dim_Machine!$A$2:$A$8,0))*I13</f>
        <v>23420.799999999999</v>
      </c>
      <c r="K13" s="4">
        <f>ROUND(J13*0.834,0)</f>
        <v>19533</v>
      </c>
      <c r="L13" s="4">
        <f>ROUND(K13*0.0328,0)</f>
        <v>641</v>
      </c>
      <c r="M13" s="4">
        <f t="shared" si="1"/>
        <v>18892</v>
      </c>
      <c r="N13" s="4">
        <f t="shared" si="2"/>
        <v>0.83400225440633968</v>
      </c>
      <c r="O13" s="4">
        <f t="shared" si="3"/>
        <v>0.93833333333333324</v>
      </c>
      <c r="P13" s="4">
        <f>IFERROR((K13/I13)/(INDEX(Dim_Machine!$E$2:$E$8,MATCH(D13,Dim_Machine!$A$2:$A$8,0))*INDEX(Dim_Machine!$D$2:$D$8,MATCH(D13,Dim_Machine!$A$2:$A$8,0))),0)</f>
        <v>0.83400225440633968</v>
      </c>
      <c r="Q13" s="4">
        <f t="shared" si="4"/>
        <v>0.96718374033686583</v>
      </c>
      <c r="R13" s="4">
        <f t="shared" si="5"/>
        <v>0.75689102564102562</v>
      </c>
      <c r="S13" s="4">
        <f>T13/0.903</f>
        <v>5.230343300110742</v>
      </c>
      <c r="T13" s="4">
        <f>M13*INDEX(Dim_Product!$C$2:$C$4,MATCH(F13,Dim_Product!$A$2:$A$4,0))/1000000</f>
        <v>4.7229999999999999</v>
      </c>
      <c r="U13" s="19">
        <f t="shared" si="6"/>
        <v>0.90299999999999991</v>
      </c>
    </row>
    <row r="14" spans="1:21" x14ac:dyDescent="0.25">
      <c r="A14" s="18" t="s">
        <v>154</v>
      </c>
      <c r="B14" s="4">
        <v>20260701</v>
      </c>
      <c r="C14" s="4">
        <v>1</v>
      </c>
      <c r="D14" s="4" t="s">
        <v>29</v>
      </c>
      <c r="E14" s="4" t="s">
        <v>20</v>
      </c>
      <c r="F14" s="4" t="s">
        <v>143</v>
      </c>
      <c r="G14" s="4">
        <v>60</v>
      </c>
      <c r="H14" s="4">
        <v>1.8</v>
      </c>
      <c r="I14" s="4">
        <f t="shared" si="0"/>
        <v>58.2</v>
      </c>
      <c r="J14" s="4">
        <f>INDEX(Dim_Machine!$E$2:$E$8,MATCH(D14,Dim_Machine!$A$2:$A$8,0))*INDEX(Dim_Machine!$D$2:$D$8,MATCH(D14,Dim_Machine!$A$2:$A$8,0))*I14</f>
        <v>16761.600000000002</v>
      </c>
      <c r="K14" s="4">
        <f>ROUND(J14*0.845,0)</f>
        <v>14164</v>
      </c>
      <c r="L14" s="4">
        <f>ROUND(K14*0.028,0)</f>
        <v>397</v>
      </c>
      <c r="M14" s="4">
        <f t="shared" si="1"/>
        <v>13767</v>
      </c>
      <c r="N14" s="4">
        <f t="shared" si="2"/>
        <v>0.84502672775868637</v>
      </c>
      <c r="O14" s="4">
        <f t="shared" si="3"/>
        <v>0.97000000000000008</v>
      </c>
      <c r="P14" s="4">
        <f>IFERROR((K14/I14)/(INDEX(Dim_Machine!$E$2:$E$8,MATCH(D14,Dim_Machine!$A$2:$A$8,0))*INDEX(Dim_Machine!$D$2:$D$8,MATCH(D14,Dim_Machine!$A$2:$A$8,0))),0)</f>
        <v>0.84502672775868648</v>
      </c>
      <c r="Q14" s="4">
        <f t="shared" si="4"/>
        <v>0.9719711945778029</v>
      </c>
      <c r="R14" s="4">
        <f t="shared" si="5"/>
        <v>0.79670138888888897</v>
      </c>
      <c r="S14" s="4">
        <f>T14/0.808</f>
        <v>3.4076732673267327</v>
      </c>
      <c r="T14" s="4">
        <f>M14*INDEX(Dim_Product!$C$2:$C$4,MATCH(F14,Dim_Product!$A$2:$A$4,0))/1000000</f>
        <v>2.7534000000000001</v>
      </c>
      <c r="U14" s="19">
        <f t="shared" si="6"/>
        <v>0.80800000000000005</v>
      </c>
    </row>
    <row r="15" spans="1:21" x14ac:dyDescent="0.25">
      <c r="A15" s="18" t="s">
        <v>155</v>
      </c>
      <c r="B15" s="4">
        <v>20260701</v>
      </c>
      <c r="C15" s="4">
        <v>1</v>
      </c>
      <c r="D15" s="4" t="s">
        <v>31</v>
      </c>
      <c r="E15" s="4" t="s">
        <v>20</v>
      </c>
      <c r="F15" s="4" t="s">
        <v>141</v>
      </c>
      <c r="G15" s="4">
        <v>60</v>
      </c>
      <c r="H15" s="4">
        <v>6.6</v>
      </c>
      <c r="I15" s="4">
        <f t="shared" si="0"/>
        <v>53.4</v>
      </c>
      <c r="J15" s="4">
        <f>INDEX(Dim_Machine!$E$2:$E$8,MATCH(D15,Dim_Machine!$A$2:$A$8,0))*INDEX(Dim_Machine!$D$2:$D$8,MATCH(D15,Dim_Machine!$A$2:$A$8,0))*I15</f>
        <v>34603.199999999997</v>
      </c>
      <c r="K15" s="4">
        <f>ROUND(J15*0.941,0)</f>
        <v>32562</v>
      </c>
      <c r="L15" s="4">
        <f>ROUND(K15*0.017,0)</f>
        <v>554</v>
      </c>
      <c r="M15" s="4">
        <f t="shared" si="1"/>
        <v>32008</v>
      </c>
      <c r="N15" s="4">
        <f t="shared" si="2"/>
        <v>0.94101123595505631</v>
      </c>
      <c r="O15" s="4">
        <f t="shared" si="3"/>
        <v>0.89</v>
      </c>
      <c r="P15" s="4">
        <f>IFERROR((K15/I15)/(INDEX(Dim_Machine!$E$2:$E$8,MATCH(D15,Dim_Machine!$A$2:$A$8,0))*INDEX(Dim_Machine!$D$2:$D$8,MATCH(D15,Dim_Machine!$A$2:$A$8,0))),0)</f>
        <v>0.9410112359550562</v>
      </c>
      <c r="Q15" s="4">
        <f t="shared" si="4"/>
        <v>0.98298630305263801</v>
      </c>
      <c r="R15" s="4">
        <f t="shared" si="5"/>
        <v>0.82325102880658441</v>
      </c>
      <c r="S15" s="4">
        <f>T15/0.81</f>
        <v>9.879012345679012</v>
      </c>
      <c r="T15" s="4">
        <f>M15*INDEX(Dim_Product!$C$2:$C$4,MATCH(F15,Dim_Product!$A$2:$A$4,0))/1000000</f>
        <v>8.0020000000000007</v>
      </c>
      <c r="U15" s="19">
        <f t="shared" si="6"/>
        <v>0.81</v>
      </c>
    </row>
    <row r="16" spans="1:21" x14ac:dyDescent="0.25">
      <c r="A16" s="18" t="s">
        <v>156</v>
      </c>
      <c r="B16" s="4">
        <v>20260701</v>
      </c>
      <c r="C16" s="4">
        <v>2</v>
      </c>
      <c r="D16" s="4" t="s">
        <v>15</v>
      </c>
      <c r="E16" s="4" t="s">
        <v>20</v>
      </c>
      <c r="F16" s="4" t="s">
        <v>141</v>
      </c>
      <c r="G16" s="4">
        <v>60</v>
      </c>
      <c r="H16" s="4">
        <v>7.3</v>
      </c>
      <c r="I16" s="4">
        <f t="shared" si="0"/>
        <v>52.7</v>
      </c>
      <c r="J16" s="4">
        <f>INDEX(Dim_Machine!$E$2:$E$8,MATCH(D16,Dim_Machine!$A$2:$A$8,0))*INDEX(Dim_Machine!$D$2:$D$8,MATCH(D16,Dim_Machine!$A$2:$A$8,0))*I16</f>
        <v>21080</v>
      </c>
      <c r="K16" s="4">
        <f>ROUND(J16*0.893,0)</f>
        <v>18824</v>
      </c>
      <c r="L16" s="4">
        <f>ROUND(K16*0.0265,0)</f>
        <v>499</v>
      </c>
      <c r="M16" s="4">
        <f t="shared" si="1"/>
        <v>18325</v>
      </c>
      <c r="N16" s="4">
        <f t="shared" si="2"/>
        <v>0.89297912713472483</v>
      </c>
      <c r="O16" s="4">
        <f t="shared" si="3"/>
        <v>0.87833333333333341</v>
      </c>
      <c r="P16" s="4">
        <f>IFERROR((K16/I16)/(INDEX(Dim_Machine!$E$2:$E$8,MATCH(D16,Dim_Machine!$A$2:$A$8,0))*INDEX(Dim_Machine!$D$2:$D$8,MATCH(D16,Dim_Machine!$A$2:$A$8,0))),0)</f>
        <v>0.89297912713472483</v>
      </c>
      <c r="Q16" s="4">
        <f t="shared" si="4"/>
        <v>0.97349128771780702</v>
      </c>
      <c r="R16" s="4">
        <f t="shared" si="5"/>
        <v>0.76354166666666667</v>
      </c>
      <c r="S16" s="4">
        <f>T16/0.832</f>
        <v>5.5063100961538458</v>
      </c>
      <c r="T16" s="4">
        <f>M16*INDEX(Dim_Product!$C$2:$C$4,MATCH(F16,Dim_Product!$A$2:$A$4,0))/1000000</f>
        <v>4.5812499999999998</v>
      </c>
      <c r="U16" s="19">
        <f t="shared" si="6"/>
        <v>0.83200000000000007</v>
      </c>
    </row>
    <row r="17" spans="1:24" x14ac:dyDescent="0.25">
      <c r="A17" s="18" t="s">
        <v>157</v>
      </c>
      <c r="B17" s="4">
        <v>20260701</v>
      </c>
      <c r="C17" s="4">
        <v>2</v>
      </c>
      <c r="D17" s="4" t="s">
        <v>19</v>
      </c>
      <c r="E17" s="4" t="s">
        <v>20</v>
      </c>
      <c r="F17" s="4" t="s">
        <v>143</v>
      </c>
      <c r="G17" s="4">
        <v>60</v>
      </c>
      <c r="H17" s="4">
        <v>4</v>
      </c>
      <c r="I17" s="4">
        <f t="shared" si="0"/>
        <v>56</v>
      </c>
      <c r="J17" s="4">
        <f>INDEX(Dim_Machine!$E$2:$E$8,MATCH(D17,Dim_Machine!$A$2:$A$8,0))*INDEX(Dim_Machine!$D$2:$D$8,MATCH(D17,Dim_Machine!$A$2:$A$8,0))*I17</f>
        <v>37632</v>
      </c>
      <c r="K17" s="4">
        <f>ROUND(J17*0.957,0)</f>
        <v>36014</v>
      </c>
      <c r="L17" s="4">
        <f>ROUND(K17*0.0243,0)</f>
        <v>875</v>
      </c>
      <c r="M17" s="4">
        <f t="shared" si="1"/>
        <v>35139</v>
      </c>
      <c r="N17" s="4">
        <f t="shared" si="2"/>
        <v>0.95700467687074831</v>
      </c>
      <c r="O17" s="4">
        <f t="shared" si="3"/>
        <v>0.93333333333333335</v>
      </c>
      <c r="P17" s="4">
        <f>IFERROR((K17/I17)/(INDEX(Dim_Machine!$E$2:$E$8,MATCH(D17,Dim_Machine!$A$2:$A$8,0))*INDEX(Dim_Machine!$D$2:$D$8,MATCH(D17,Dim_Machine!$A$2:$A$8,0))),0)</f>
        <v>0.95700467687074831</v>
      </c>
      <c r="Q17" s="4">
        <f t="shared" si="4"/>
        <v>0.97570389293052706</v>
      </c>
      <c r="R17" s="4">
        <f t="shared" si="5"/>
        <v>0.87150297619047623</v>
      </c>
      <c r="S17" s="4">
        <f>T17/0.821</f>
        <v>8.5600487210718637</v>
      </c>
      <c r="T17" s="4">
        <f>M17*INDEX(Dim_Product!$C$2:$C$4,MATCH(F17,Dim_Product!$A$2:$A$4,0))/1000000</f>
        <v>7.0278</v>
      </c>
      <c r="U17" s="19">
        <f t="shared" si="6"/>
        <v>0.82099999999999995</v>
      </c>
      <c r="W17">
        <v>85000</v>
      </c>
    </row>
    <row r="18" spans="1:24" x14ac:dyDescent="0.25">
      <c r="A18" s="18" t="s">
        <v>158</v>
      </c>
      <c r="B18" s="4">
        <v>20260701</v>
      </c>
      <c r="C18" s="4">
        <v>2</v>
      </c>
      <c r="D18" s="4" t="s">
        <v>23</v>
      </c>
      <c r="E18" s="4" t="s">
        <v>20</v>
      </c>
      <c r="F18" s="4" t="s">
        <v>141</v>
      </c>
      <c r="G18" s="4">
        <v>60</v>
      </c>
      <c r="H18" s="4">
        <v>1.1000000000000001</v>
      </c>
      <c r="I18" s="4">
        <f t="shared" si="0"/>
        <v>58.9</v>
      </c>
      <c r="J18" s="4">
        <f>INDEX(Dim_Machine!$E$2:$E$8,MATCH(D18,Dim_Machine!$A$2:$A$8,0))*INDEX(Dim_Machine!$D$2:$D$8,MATCH(D18,Dim_Machine!$A$2:$A$8,0))*I18</f>
        <v>15549.6</v>
      </c>
      <c r="K18" s="4">
        <f>ROUND(J18*0.929,0)</f>
        <v>14446</v>
      </c>
      <c r="L18" s="4">
        <f>ROUND(K18*0.0212,0)</f>
        <v>306</v>
      </c>
      <c r="M18" s="4">
        <f t="shared" si="1"/>
        <v>14140</v>
      </c>
      <c r="N18" s="4">
        <f t="shared" si="2"/>
        <v>0.92902711323763953</v>
      </c>
      <c r="O18" s="4">
        <f t="shared" si="3"/>
        <v>0.98166666666666669</v>
      </c>
      <c r="P18" s="4">
        <f>IFERROR((K18/I18)/(INDEX(Dim_Machine!$E$2:$E$8,MATCH(D18,Dim_Machine!$A$2:$A$8,0))*INDEX(Dim_Machine!$D$2:$D$8,MATCH(D18,Dim_Machine!$A$2:$A$8,0))),0)</f>
        <v>0.92902711323763953</v>
      </c>
      <c r="Q18" s="4">
        <f t="shared" si="4"/>
        <v>0.97881766578983798</v>
      </c>
      <c r="R18" s="4">
        <f t="shared" si="5"/>
        <v>0.89267676767676762</v>
      </c>
      <c r="S18" s="4">
        <f>T18/0.912</f>
        <v>3.8760964912280702</v>
      </c>
      <c r="T18" s="4">
        <f>M18*INDEX(Dim_Product!$C$2:$C$4,MATCH(F18,Dim_Product!$A$2:$A$4,0))/1000000</f>
        <v>3.5350000000000001</v>
      </c>
      <c r="U18" s="19">
        <f t="shared" si="6"/>
        <v>0.91200000000000003</v>
      </c>
      <c r="W18">
        <v>4047000</v>
      </c>
      <c r="X18">
        <v>4590000</v>
      </c>
    </row>
    <row r="19" spans="1:24" x14ac:dyDescent="0.25">
      <c r="A19" s="18" t="s">
        <v>159</v>
      </c>
      <c r="B19" s="4">
        <v>20260701</v>
      </c>
      <c r="C19" s="4">
        <v>2</v>
      </c>
      <c r="D19" s="4" t="s">
        <v>25</v>
      </c>
      <c r="E19" s="4" t="s">
        <v>20</v>
      </c>
      <c r="F19" s="4" t="s">
        <v>141</v>
      </c>
      <c r="G19" s="4">
        <v>60</v>
      </c>
      <c r="H19" s="4">
        <v>3.4</v>
      </c>
      <c r="I19" s="4">
        <f t="shared" si="0"/>
        <v>56.6</v>
      </c>
      <c r="J19" s="4">
        <f>INDEX(Dim_Machine!$E$2:$E$8,MATCH(D19,Dim_Machine!$A$2:$A$8,0))*INDEX(Dim_Machine!$D$2:$D$8,MATCH(D19,Dim_Machine!$A$2:$A$8,0))*I19</f>
        <v>40752</v>
      </c>
      <c r="K19" s="4">
        <f>ROUND(J19*0.897,0)</f>
        <v>36555</v>
      </c>
      <c r="L19" s="4">
        <f>ROUND(K19*0.0159,0)</f>
        <v>581</v>
      </c>
      <c r="M19" s="4">
        <f t="shared" si="1"/>
        <v>35974</v>
      </c>
      <c r="N19" s="4">
        <f t="shared" si="2"/>
        <v>0.89701118963486459</v>
      </c>
      <c r="O19" s="4">
        <f t="shared" si="3"/>
        <v>0.94333333333333336</v>
      </c>
      <c r="P19" s="4">
        <f>IFERROR((K19/I19)/(INDEX(Dim_Machine!$E$2:$E$8,MATCH(D19,Dim_Machine!$A$2:$A$8,0))*INDEX(Dim_Machine!$D$2:$D$8,MATCH(D19,Dim_Machine!$A$2:$A$8,0))),0)</f>
        <v>0.89701118963486459</v>
      </c>
      <c r="Q19" s="4">
        <f t="shared" si="4"/>
        <v>0.98410614143072084</v>
      </c>
      <c r="R19" s="4">
        <f t="shared" si="5"/>
        <v>0.83273148148148157</v>
      </c>
      <c r="S19" s="4">
        <f>T19/0.95</f>
        <v>9.4668421052631579</v>
      </c>
      <c r="T19" s="4">
        <f>M19*INDEX(Dim_Product!$C$2:$C$4,MATCH(F19,Dim_Product!$A$2:$A$4,0))/1000000</f>
        <v>8.9934999999999992</v>
      </c>
      <c r="U19" s="19">
        <f t="shared" si="6"/>
        <v>0.95</v>
      </c>
      <c r="W19">
        <f>W17/W18</f>
        <v>2.1003212255992092E-2</v>
      </c>
    </row>
    <row r="20" spans="1:24" x14ac:dyDescent="0.25">
      <c r="A20" s="18" t="s">
        <v>160</v>
      </c>
      <c r="B20" s="4">
        <v>20260701</v>
      </c>
      <c r="C20" s="4">
        <v>2</v>
      </c>
      <c r="D20" s="4" t="s">
        <v>27</v>
      </c>
      <c r="E20" s="4" t="s">
        <v>20</v>
      </c>
      <c r="F20" s="4" t="s">
        <v>141</v>
      </c>
      <c r="G20" s="4">
        <v>60</v>
      </c>
      <c r="H20" s="4">
        <v>1.1000000000000001</v>
      </c>
      <c r="I20" s="4">
        <f t="shared" si="0"/>
        <v>58.9</v>
      </c>
      <c r="J20" s="4">
        <f>INDEX(Dim_Machine!$E$2:$E$8,MATCH(D20,Dim_Machine!$A$2:$A$8,0))*INDEX(Dim_Machine!$D$2:$D$8,MATCH(D20,Dim_Machine!$A$2:$A$8,0))*I20</f>
        <v>24502.399999999998</v>
      </c>
      <c r="K20" s="4">
        <f>ROUND(J20*0.879,0)</f>
        <v>21538</v>
      </c>
      <c r="L20" s="4">
        <f>ROUND(K20*0.0277,0)</f>
        <v>597</v>
      </c>
      <c r="M20" s="4">
        <f t="shared" si="1"/>
        <v>20941</v>
      </c>
      <c r="N20" s="4">
        <f t="shared" si="2"/>
        <v>0.87901593313308091</v>
      </c>
      <c r="O20" s="4">
        <f t="shared" si="3"/>
        <v>0.98166666666666669</v>
      </c>
      <c r="P20" s="4">
        <f>IFERROR((K20/I20)/(INDEX(Dim_Machine!$E$2:$E$8,MATCH(D20,Dim_Machine!$A$2:$A$8,0))*INDEX(Dim_Machine!$D$2:$D$8,MATCH(D20,Dim_Machine!$A$2:$A$8,0))),0)</f>
        <v>0.87901593313308091</v>
      </c>
      <c r="Q20" s="4">
        <f t="shared" si="4"/>
        <v>0.97228154889033336</v>
      </c>
      <c r="R20" s="4">
        <f t="shared" si="5"/>
        <v>0.8389823717948719</v>
      </c>
      <c r="S20" s="4">
        <f>T20/0.929</f>
        <v>5.6353606027987073</v>
      </c>
      <c r="T20" s="4">
        <f>M20*INDEX(Dim_Product!$C$2:$C$4,MATCH(F20,Dim_Product!$A$2:$A$4,0))/1000000</f>
        <v>5.2352499999999997</v>
      </c>
      <c r="U20" s="19">
        <f t="shared" si="6"/>
        <v>0.92900000000000016</v>
      </c>
    </row>
    <row r="21" spans="1:24" x14ac:dyDescent="0.25">
      <c r="A21" s="18" t="s">
        <v>161</v>
      </c>
      <c r="B21" s="4">
        <v>20260701</v>
      </c>
      <c r="C21" s="4">
        <v>2</v>
      </c>
      <c r="D21" s="4" t="s">
        <v>29</v>
      </c>
      <c r="E21" s="4" t="s">
        <v>20</v>
      </c>
      <c r="F21" s="4" t="s">
        <v>143</v>
      </c>
      <c r="G21" s="4">
        <v>60</v>
      </c>
      <c r="H21" s="4">
        <v>1.2</v>
      </c>
      <c r="I21" s="4">
        <f t="shared" si="0"/>
        <v>58.8</v>
      </c>
      <c r="J21" s="4">
        <f>INDEX(Dim_Machine!$E$2:$E$8,MATCH(D21,Dim_Machine!$A$2:$A$8,0))*INDEX(Dim_Machine!$D$2:$D$8,MATCH(D21,Dim_Machine!$A$2:$A$8,0))*I21</f>
        <v>16934.399999999998</v>
      </c>
      <c r="K21" s="4">
        <f>ROUND(J21*0.812,0)</f>
        <v>13751</v>
      </c>
      <c r="L21" s="4">
        <f>ROUND(K21*0.0254,0)</f>
        <v>349</v>
      </c>
      <c r="M21" s="4">
        <f t="shared" si="1"/>
        <v>13402</v>
      </c>
      <c r="N21" s="4">
        <f t="shared" si="2"/>
        <v>0.81201577853363582</v>
      </c>
      <c r="O21" s="4">
        <f t="shared" si="3"/>
        <v>0.98</v>
      </c>
      <c r="P21" s="4">
        <f>IFERROR((K21/I21)/(INDEX(Dim_Machine!$E$2:$E$8,MATCH(D21,Dim_Machine!$A$2:$A$8,0))*INDEX(Dim_Machine!$D$2:$D$8,MATCH(D21,Dim_Machine!$A$2:$A$8,0))),0)</f>
        <v>0.81201577853363571</v>
      </c>
      <c r="Q21" s="4">
        <f t="shared" si="4"/>
        <v>0.97462002763435385</v>
      </c>
      <c r="R21" s="4">
        <f t="shared" si="5"/>
        <v>0.77557870370370374</v>
      </c>
      <c r="S21" s="4">
        <f>T21/0.889</f>
        <v>3.0150731158605177</v>
      </c>
      <c r="T21" s="4">
        <f>M21*INDEX(Dim_Product!$C$2:$C$4,MATCH(F21,Dim_Product!$A$2:$A$4,0))/1000000</f>
        <v>2.6804000000000001</v>
      </c>
      <c r="U21" s="19">
        <f t="shared" si="6"/>
        <v>0.8889999999999999</v>
      </c>
      <c r="W21">
        <v>4123000</v>
      </c>
    </row>
    <row r="22" spans="1:24" x14ac:dyDescent="0.25">
      <c r="A22" s="18" t="s">
        <v>162</v>
      </c>
      <c r="B22" s="4">
        <v>20260701</v>
      </c>
      <c r="C22" s="4">
        <v>2</v>
      </c>
      <c r="D22" s="4" t="s">
        <v>31</v>
      </c>
      <c r="E22" s="4" t="s">
        <v>20</v>
      </c>
      <c r="F22" s="4" t="s">
        <v>141</v>
      </c>
      <c r="G22" s="4">
        <v>60</v>
      </c>
      <c r="H22" s="4">
        <v>3.1</v>
      </c>
      <c r="I22" s="4">
        <f t="shared" si="0"/>
        <v>56.9</v>
      </c>
      <c r="J22" s="4">
        <f>INDEX(Dim_Machine!$E$2:$E$8,MATCH(D22,Dim_Machine!$A$2:$A$8,0))*INDEX(Dim_Machine!$D$2:$D$8,MATCH(D22,Dim_Machine!$A$2:$A$8,0))*I22</f>
        <v>36871.199999999997</v>
      </c>
      <c r="K22" s="4">
        <f>ROUND(J22*0.899,0)</f>
        <v>33147</v>
      </c>
      <c r="L22" s="4">
        <f>ROUND(K22*0.019,0)</f>
        <v>630</v>
      </c>
      <c r="M22" s="4">
        <f t="shared" si="1"/>
        <v>32517</v>
      </c>
      <c r="N22" s="4">
        <f t="shared" si="2"/>
        <v>0.89899433704354625</v>
      </c>
      <c r="O22" s="4">
        <f t="shared" si="3"/>
        <v>0.94833333333333336</v>
      </c>
      <c r="P22" s="4">
        <f>IFERROR((K22/I22)/(INDEX(Dim_Machine!$E$2:$E$8,MATCH(D22,Dim_Machine!$A$2:$A$8,0))*INDEX(Dim_Machine!$D$2:$D$8,MATCH(D22,Dim_Machine!$A$2:$A$8,0))),0)</f>
        <v>0.89899433704354625</v>
      </c>
      <c r="Q22" s="4">
        <f t="shared" si="4"/>
        <v>0.98099375509095843</v>
      </c>
      <c r="R22" s="4">
        <f t="shared" si="5"/>
        <v>0.83634259259259269</v>
      </c>
      <c r="S22" s="4">
        <f>T22/0.838</f>
        <v>9.7007756563245842</v>
      </c>
      <c r="T22" s="4">
        <f>M22*INDEX(Dim_Product!$C$2:$C$4,MATCH(F22,Dim_Product!$A$2:$A$4,0))/1000000</f>
        <v>8.1292500000000008</v>
      </c>
      <c r="U22" s="19">
        <f t="shared" si="6"/>
        <v>0.83799999999999997</v>
      </c>
      <c r="W22">
        <f>W21/X18</f>
        <v>0.89825708061002174</v>
      </c>
    </row>
    <row r="23" spans="1:24" x14ac:dyDescent="0.25">
      <c r="A23" s="18" t="s">
        <v>163</v>
      </c>
      <c r="B23" s="4">
        <v>20260701</v>
      </c>
      <c r="C23" s="4">
        <v>3</v>
      </c>
      <c r="D23" s="4" t="s">
        <v>15</v>
      </c>
      <c r="E23" s="4" t="s">
        <v>20</v>
      </c>
      <c r="F23" s="4" t="s">
        <v>141</v>
      </c>
      <c r="G23" s="4">
        <v>60</v>
      </c>
      <c r="H23" s="4">
        <v>4.4000000000000004</v>
      </c>
      <c r="I23" s="4">
        <f t="shared" si="0"/>
        <v>55.6</v>
      </c>
      <c r="J23" s="4">
        <f>INDEX(Dim_Machine!$E$2:$E$8,MATCH(D23,Dim_Machine!$A$2:$A$8,0))*INDEX(Dim_Machine!$D$2:$D$8,MATCH(D23,Dim_Machine!$A$2:$A$8,0))*I23</f>
        <v>22240</v>
      </c>
      <c r="K23" s="4">
        <f>ROUND(J23*0.968,0)</f>
        <v>21528</v>
      </c>
      <c r="L23" s="4">
        <f>ROUND(K23*0.0254,0)</f>
        <v>547</v>
      </c>
      <c r="M23" s="4">
        <f t="shared" si="1"/>
        <v>20981</v>
      </c>
      <c r="N23" s="4">
        <f t="shared" si="2"/>
        <v>0.96798561151079132</v>
      </c>
      <c r="O23" s="4">
        <f t="shared" si="3"/>
        <v>0.92666666666666664</v>
      </c>
      <c r="P23" s="4">
        <f>IFERROR((K23/I23)/(INDEX(Dim_Machine!$E$2:$E$8,MATCH(D23,Dim_Machine!$A$2:$A$8,0))*INDEX(Dim_Machine!$D$2:$D$8,MATCH(D23,Dim_Machine!$A$2:$A$8,0))),0)</f>
        <v>0.96798561151079132</v>
      </c>
      <c r="Q23" s="4">
        <f t="shared" si="4"/>
        <v>0.97459123002601267</v>
      </c>
      <c r="R23" s="4">
        <f t="shared" si="5"/>
        <v>0.87420833333333325</v>
      </c>
      <c r="S23" s="4">
        <f>T23/0.817</f>
        <v>6.4201346389228897</v>
      </c>
      <c r="T23" s="4">
        <f>M23*INDEX(Dim_Product!$C$2:$C$4,MATCH(F23,Dim_Product!$A$2:$A$4,0))/1000000</f>
        <v>5.2452500000000004</v>
      </c>
      <c r="U23" s="19">
        <f t="shared" si="6"/>
        <v>0.81699999999999995</v>
      </c>
      <c r="W23">
        <f>W22*100</f>
        <v>89.825708061002175</v>
      </c>
    </row>
    <row r="24" spans="1:24" x14ac:dyDescent="0.25">
      <c r="A24" s="18" t="s">
        <v>164</v>
      </c>
      <c r="B24" s="4">
        <v>20260701</v>
      </c>
      <c r="C24" s="4">
        <v>3</v>
      </c>
      <c r="D24" s="4" t="s">
        <v>19</v>
      </c>
      <c r="E24" s="4" t="s">
        <v>20</v>
      </c>
      <c r="F24" s="4" t="s">
        <v>143</v>
      </c>
      <c r="G24" s="4">
        <v>60</v>
      </c>
      <c r="H24" s="4">
        <v>7.1</v>
      </c>
      <c r="I24" s="4">
        <f t="shared" si="0"/>
        <v>52.9</v>
      </c>
      <c r="J24" s="4">
        <f>INDEX(Dim_Machine!$E$2:$E$8,MATCH(D24,Dim_Machine!$A$2:$A$8,0))*INDEX(Dim_Machine!$D$2:$D$8,MATCH(D24,Dim_Machine!$A$2:$A$8,0))*I24</f>
        <v>35548.799999999996</v>
      </c>
      <c r="K24" s="4">
        <f>ROUND(J24*0.93,0)</f>
        <v>33060</v>
      </c>
      <c r="L24" s="4">
        <f>ROUND(K24*0.0281,0)</f>
        <v>929</v>
      </c>
      <c r="M24" s="4">
        <f t="shared" si="1"/>
        <v>32131</v>
      </c>
      <c r="N24" s="4">
        <f t="shared" si="2"/>
        <v>0.92998919794761015</v>
      </c>
      <c r="O24" s="4">
        <f t="shared" si="3"/>
        <v>0.8816666666666666</v>
      </c>
      <c r="P24" s="4">
        <f>IFERROR((K24/I24)/(INDEX(Dim_Machine!$E$2:$E$8,MATCH(D24,Dim_Machine!$A$2:$A$8,0))*INDEX(Dim_Machine!$D$2:$D$8,MATCH(D24,Dim_Machine!$A$2:$A$8,0))),0)</f>
        <v>0.92998919794761004</v>
      </c>
      <c r="Q24" s="4">
        <f t="shared" si="4"/>
        <v>0.97189957652752568</v>
      </c>
      <c r="R24" s="4">
        <f t="shared" si="5"/>
        <v>0.79689980158730156</v>
      </c>
      <c r="S24" s="4">
        <f>T24/0.851</f>
        <v>7.551351351351351</v>
      </c>
      <c r="T24" s="4">
        <f>M24*INDEX(Dim_Product!$C$2:$C$4,MATCH(F24,Dim_Product!$A$2:$A$4,0))/1000000</f>
        <v>6.4261999999999997</v>
      </c>
      <c r="U24" s="19">
        <f t="shared" si="6"/>
        <v>0.85099999999999998</v>
      </c>
    </row>
    <row r="25" spans="1:24" x14ac:dyDescent="0.25">
      <c r="A25" s="18" t="s">
        <v>165</v>
      </c>
      <c r="B25" s="4">
        <v>20260701</v>
      </c>
      <c r="C25" s="4">
        <v>3</v>
      </c>
      <c r="D25" s="4" t="s">
        <v>23</v>
      </c>
      <c r="E25" s="4" t="s">
        <v>20</v>
      </c>
      <c r="F25" s="4" t="s">
        <v>141</v>
      </c>
      <c r="G25" s="4">
        <v>60</v>
      </c>
      <c r="H25" s="4">
        <v>2.2999999999999998</v>
      </c>
      <c r="I25" s="4">
        <f t="shared" si="0"/>
        <v>57.7</v>
      </c>
      <c r="J25" s="4">
        <f>INDEX(Dim_Machine!$E$2:$E$8,MATCH(D25,Dim_Machine!$A$2:$A$8,0))*INDEX(Dim_Machine!$D$2:$D$8,MATCH(D25,Dim_Machine!$A$2:$A$8,0))*I25</f>
        <v>15232.800000000001</v>
      </c>
      <c r="K25" s="4">
        <f>ROUND(J25*0.812,0)</f>
        <v>12369</v>
      </c>
      <c r="L25" s="4">
        <f>ROUND(K25*0.0051,0)</f>
        <v>63</v>
      </c>
      <c r="M25" s="4">
        <f t="shared" si="1"/>
        <v>12306</v>
      </c>
      <c r="N25" s="4">
        <f t="shared" si="2"/>
        <v>0.81199779423349605</v>
      </c>
      <c r="O25" s="4">
        <f t="shared" si="3"/>
        <v>0.96166666666666667</v>
      </c>
      <c r="P25" s="4">
        <f>IFERROR((K25/I25)/(INDEX(Dim_Machine!$E$2:$E$8,MATCH(D25,Dim_Machine!$A$2:$A$8,0))*INDEX(Dim_Machine!$D$2:$D$8,MATCH(D25,Dim_Machine!$A$2:$A$8,0))),0)</f>
        <v>0.81199779423349616</v>
      </c>
      <c r="Q25" s="4">
        <f t="shared" si="4"/>
        <v>0.9949066213921901</v>
      </c>
      <c r="R25" s="4">
        <f t="shared" si="5"/>
        <v>0.77689393939393936</v>
      </c>
      <c r="S25" s="4">
        <f>T25/0.908</f>
        <v>3.3882158590308369</v>
      </c>
      <c r="T25" s="4">
        <f>M25*INDEX(Dim_Product!$C$2:$C$4,MATCH(F25,Dim_Product!$A$2:$A$4,0))/1000000</f>
        <v>3.0764999999999998</v>
      </c>
      <c r="U25" s="19">
        <f t="shared" si="6"/>
        <v>0.90799999999999992</v>
      </c>
    </row>
    <row r="26" spans="1:24" x14ac:dyDescent="0.25">
      <c r="A26" s="18" t="s">
        <v>166</v>
      </c>
      <c r="B26" s="4">
        <v>20260701</v>
      </c>
      <c r="C26" s="4">
        <v>3</v>
      </c>
      <c r="D26" s="4" t="s">
        <v>25</v>
      </c>
      <c r="E26" s="4" t="s">
        <v>20</v>
      </c>
      <c r="F26" s="4" t="s">
        <v>141</v>
      </c>
      <c r="G26" s="4">
        <v>60</v>
      </c>
      <c r="H26" s="4">
        <v>5.8</v>
      </c>
      <c r="I26" s="4">
        <f t="shared" si="0"/>
        <v>54.2</v>
      </c>
      <c r="J26" s="4">
        <f>INDEX(Dim_Machine!$E$2:$E$8,MATCH(D26,Dim_Machine!$A$2:$A$8,0))*INDEX(Dim_Machine!$D$2:$D$8,MATCH(D26,Dim_Machine!$A$2:$A$8,0))*I26</f>
        <v>39024</v>
      </c>
      <c r="K26" s="4">
        <f>ROUND(J26*0.974,0)</f>
        <v>38009</v>
      </c>
      <c r="L26" s="4">
        <f>ROUND(K26*0.0279,0)</f>
        <v>1060</v>
      </c>
      <c r="M26" s="4">
        <f t="shared" si="1"/>
        <v>36949</v>
      </c>
      <c r="N26" s="4">
        <f t="shared" si="2"/>
        <v>0.97399036490364899</v>
      </c>
      <c r="O26" s="4">
        <f t="shared" si="3"/>
        <v>0.90333333333333343</v>
      </c>
      <c r="P26" s="4">
        <f>IFERROR((K26/I26)/(INDEX(Dim_Machine!$E$2:$E$8,MATCH(D26,Dim_Machine!$A$2:$A$8,0))*INDEX(Dim_Machine!$D$2:$D$8,MATCH(D26,Dim_Machine!$A$2:$A$8,0))),0)</f>
        <v>0.9739903649036491</v>
      </c>
      <c r="Q26" s="4">
        <f t="shared" si="4"/>
        <v>0.97211186824173224</v>
      </c>
      <c r="R26" s="4">
        <f t="shared" si="5"/>
        <v>0.8553009259259261</v>
      </c>
      <c r="S26" s="4">
        <f>T26/0.876</f>
        <v>10.544805936073059</v>
      </c>
      <c r="T26" s="4">
        <f>M26*INDEX(Dim_Product!$C$2:$C$4,MATCH(F26,Dim_Product!$A$2:$A$4,0))/1000000</f>
        <v>9.2372499999999995</v>
      </c>
      <c r="U26" s="19">
        <f t="shared" si="6"/>
        <v>0.876</v>
      </c>
    </row>
    <row r="27" spans="1:24" x14ac:dyDescent="0.25">
      <c r="A27" s="18" t="s">
        <v>167</v>
      </c>
      <c r="B27" s="4">
        <v>20260701</v>
      </c>
      <c r="C27" s="4">
        <v>3</v>
      </c>
      <c r="D27" s="4" t="s">
        <v>27</v>
      </c>
      <c r="E27" s="4" t="s">
        <v>20</v>
      </c>
      <c r="F27" s="4" t="s">
        <v>141</v>
      </c>
      <c r="G27" s="4">
        <v>60</v>
      </c>
      <c r="H27" s="4">
        <v>0.9</v>
      </c>
      <c r="I27" s="4">
        <f t="shared" si="0"/>
        <v>59.1</v>
      </c>
      <c r="J27" s="4">
        <f>INDEX(Dim_Machine!$E$2:$E$8,MATCH(D27,Dim_Machine!$A$2:$A$8,0))*INDEX(Dim_Machine!$D$2:$D$8,MATCH(D27,Dim_Machine!$A$2:$A$8,0))*I27</f>
        <v>24585.600000000002</v>
      </c>
      <c r="K27" s="4">
        <f>ROUND(J27*0.905,0)</f>
        <v>22250</v>
      </c>
      <c r="L27" s="4">
        <f>ROUND(K27*0.0303,0)</f>
        <v>674</v>
      </c>
      <c r="M27" s="4">
        <f t="shared" si="1"/>
        <v>21576</v>
      </c>
      <c r="N27" s="4">
        <f t="shared" si="2"/>
        <v>0.90500130157490555</v>
      </c>
      <c r="O27" s="4">
        <f t="shared" si="3"/>
        <v>0.98499999999999999</v>
      </c>
      <c r="P27" s="4">
        <f>IFERROR((K27/I27)/(INDEX(Dim_Machine!$E$2:$E$8,MATCH(D27,Dim_Machine!$A$2:$A$8,0))*INDEX(Dim_Machine!$D$2:$D$8,MATCH(D27,Dim_Machine!$A$2:$A$8,0))),0)</f>
        <v>0.90500130157490566</v>
      </c>
      <c r="Q27" s="4">
        <f t="shared" si="4"/>
        <v>0.96970786516853935</v>
      </c>
      <c r="R27" s="4">
        <f t="shared" si="5"/>
        <v>0.86442307692307696</v>
      </c>
      <c r="S27" s="4">
        <f>T27/0.876</f>
        <v>6.1575342465753424</v>
      </c>
      <c r="T27" s="4">
        <f>M27*INDEX(Dim_Product!$C$2:$C$4,MATCH(F27,Dim_Product!$A$2:$A$4,0))/1000000</f>
        <v>5.3940000000000001</v>
      </c>
      <c r="U27" s="19">
        <f t="shared" si="6"/>
        <v>0.876</v>
      </c>
    </row>
    <row r="28" spans="1:24" x14ac:dyDescent="0.25">
      <c r="A28" s="18" t="s">
        <v>168</v>
      </c>
      <c r="B28" s="4">
        <v>20260701</v>
      </c>
      <c r="C28" s="4">
        <v>3</v>
      </c>
      <c r="D28" s="4" t="s">
        <v>29</v>
      </c>
      <c r="E28" s="4" t="s">
        <v>20</v>
      </c>
      <c r="F28" s="4" t="s">
        <v>143</v>
      </c>
      <c r="G28" s="4">
        <v>60</v>
      </c>
      <c r="H28" s="4">
        <v>1.6</v>
      </c>
      <c r="I28" s="4">
        <f t="shared" si="0"/>
        <v>58.4</v>
      </c>
      <c r="J28" s="4">
        <f>INDEX(Dim_Machine!$E$2:$E$8,MATCH(D28,Dim_Machine!$A$2:$A$8,0))*INDEX(Dim_Machine!$D$2:$D$8,MATCH(D28,Dim_Machine!$A$2:$A$8,0))*I28</f>
        <v>16819.2</v>
      </c>
      <c r="K28" s="4">
        <f>ROUND(J28*0.855,0)</f>
        <v>14380</v>
      </c>
      <c r="L28" s="4">
        <f>ROUND(K28*0.0098,0)</f>
        <v>141</v>
      </c>
      <c r="M28" s="4">
        <f t="shared" si="1"/>
        <v>14239</v>
      </c>
      <c r="N28" s="4">
        <f t="shared" si="2"/>
        <v>0.85497526636225263</v>
      </c>
      <c r="O28" s="4">
        <f t="shared" si="3"/>
        <v>0.97333333333333327</v>
      </c>
      <c r="P28" s="4">
        <f>IFERROR((K28/I28)/(INDEX(Dim_Machine!$E$2:$E$8,MATCH(D28,Dim_Machine!$A$2:$A$8,0))*INDEX(Dim_Machine!$D$2:$D$8,MATCH(D28,Dim_Machine!$A$2:$A$8,0))),0)</f>
        <v>0.85497526636225263</v>
      </c>
      <c r="Q28" s="4">
        <f t="shared" si="4"/>
        <v>0.99019471488178024</v>
      </c>
      <c r="R28" s="4">
        <f t="shared" si="5"/>
        <v>0.82401620370370354</v>
      </c>
      <c r="S28" s="4">
        <f>T28/0.943</f>
        <v>3.0199363732767761</v>
      </c>
      <c r="T28" s="4">
        <f>M28*INDEX(Dim_Product!$C$2:$C$4,MATCH(F28,Dim_Product!$A$2:$A$4,0))/1000000</f>
        <v>2.8477999999999999</v>
      </c>
      <c r="U28" s="19">
        <f t="shared" si="6"/>
        <v>0.94300000000000006</v>
      </c>
    </row>
    <row r="29" spans="1:24" x14ac:dyDescent="0.25">
      <c r="A29" s="18" t="s">
        <v>169</v>
      </c>
      <c r="B29" s="4">
        <v>20260701</v>
      </c>
      <c r="C29" s="4">
        <v>3</v>
      </c>
      <c r="D29" s="4" t="s">
        <v>31</v>
      </c>
      <c r="E29" s="4" t="s">
        <v>20</v>
      </c>
      <c r="F29" s="4" t="s">
        <v>141</v>
      </c>
      <c r="G29" s="4">
        <v>60</v>
      </c>
      <c r="H29" s="4">
        <v>7.4</v>
      </c>
      <c r="I29" s="4">
        <f t="shared" si="0"/>
        <v>52.6</v>
      </c>
      <c r="J29" s="4">
        <f>INDEX(Dim_Machine!$E$2:$E$8,MATCH(D29,Dim_Machine!$A$2:$A$8,0))*INDEX(Dim_Machine!$D$2:$D$8,MATCH(D29,Dim_Machine!$A$2:$A$8,0))*I29</f>
        <v>34084.800000000003</v>
      </c>
      <c r="K29" s="4">
        <f>ROUND(J29*0.964,0)</f>
        <v>32858</v>
      </c>
      <c r="L29" s="4">
        <f>ROUND(K29*0.023,0)</f>
        <v>756</v>
      </c>
      <c r="M29" s="4">
        <f t="shared" si="1"/>
        <v>32102</v>
      </c>
      <c r="N29" s="4">
        <f t="shared" si="2"/>
        <v>0.96400741679575641</v>
      </c>
      <c r="O29" s="4">
        <f t="shared" si="3"/>
        <v>0.87666666666666671</v>
      </c>
      <c r="P29" s="4">
        <f>IFERROR((K29/I29)/(INDEX(Dim_Machine!$E$2:$E$8,MATCH(D29,Dim_Machine!$A$2:$A$8,0))*INDEX(Dim_Machine!$D$2:$D$8,MATCH(D29,Dim_Machine!$A$2:$A$8,0))),0)</f>
        <v>0.96400741679575641</v>
      </c>
      <c r="Q29" s="4">
        <f t="shared" si="4"/>
        <v>0.97699190455901153</v>
      </c>
      <c r="R29" s="4">
        <f t="shared" si="5"/>
        <v>0.8256687242798354</v>
      </c>
      <c r="S29" s="4">
        <f>T29/0.873</f>
        <v>9.1930126002290944</v>
      </c>
      <c r="T29" s="4">
        <f>M29*INDEX(Dim_Product!$C$2:$C$4,MATCH(F29,Dim_Product!$A$2:$A$4,0))/1000000</f>
        <v>8.0254999999999992</v>
      </c>
      <c r="U29" s="19">
        <f t="shared" si="6"/>
        <v>0.873</v>
      </c>
    </row>
    <row r="30" spans="1:24" x14ac:dyDescent="0.25">
      <c r="A30" s="18" t="s">
        <v>170</v>
      </c>
      <c r="B30" s="4">
        <v>20260701</v>
      </c>
      <c r="C30" s="4">
        <v>4</v>
      </c>
      <c r="D30" s="4" t="s">
        <v>15</v>
      </c>
      <c r="E30" s="4" t="s">
        <v>20</v>
      </c>
      <c r="F30" s="4" t="s">
        <v>141</v>
      </c>
      <c r="G30" s="4">
        <v>60</v>
      </c>
      <c r="H30" s="4">
        <v>0.9</v>
      </c>
      <c r="I30" s="4">
        <f t="shared" si="0"/>
        <v>59.1</v>
      </c>
      <c r="J30" s="4">
        <f>INDEX(Dim_Machine!$E$2:$E$8,MATCH(D30,Dim_Machine!$A$2:$A$8,0))*INDEX(Dim_Machine!$D$2:$D$8,MATCH(D30,Dim_Machine!$A$2:$A$8,0))*I30</f>
        <v>23640</v>
      </c>
      <c r="K30" s="4">
        <f>ROUND(J30*0.853,0)</f>
        <v>20165</v>
      </c>
      <c r="L30" s="4">
        <f>ROUND(K30*0.0346,0)</f>
        <v>698</v>
      </c>
      <c r="M30" s="4">
        <f t="shared" si="1"/>
        <v>19467</v>
      </c>
      <c r="N30" s="4">
        <f t="shared" si="2"/>
        <v>0.85300338409475462</v>
      </c>
      <c r="O30" s="4">
        <f t="shared" si="3"/>
        <v>0.98499999999999999</v>
      </c>
      <c r="P30" s="4">
        <f>IFERROR((K30/I30)/(INDEX(Dim_Machine!$E$2:$E$8,MATCH(D30,Dim_Machine!$A$2:$A$8,0))*INDEX(Dim_Machine!$D$2:$D$8,MATCH(D30,Dim_Machine!$A$2:$A$8,0))),0)</f>
        <v>0.85300338409475462</v>
      </c>
      <c r="Q30" s="4">
        <f t="shared" si="4"/>
        <v>0.96538556905529382</v>
      </c>
      <c r="R30" s="4">
        <f t="shared" si="5"/>
        <v>0.81112499999999998</v>
      </c>
      <c r="S30" s="4">
        <f>T30/0.921</f>
        <v>5.2842019543973935</v>
      </c>
      <c r="T30" s="4">
        <f>M30*INDEX(Dim_Product!$C$2:$C$4,MATCH(F30,Dim_Product!$A$2:$A$4,0))/1000000</f>
        <v>4.8667499999999997</v>
      </c>
      <c r="U30" s="19">
        <f t="shared" si="6"/>
        <v>0.92100000000000004</v>
      </c>
    </row>
    <row r="31" spans="1:24" x14ac:dyDescent="0.25">
      <c r="A31" s="18" t="s">
        <v>171</v>
      </c>
      <c r="B31" s="4">
        <v>20260701</v>
      </c>
      <c r="C31" s="4">
        <v>4</v>
      </c>
      <c r="D31" s="4" t="s">
        <v>19</v>
      </c>
      <c r="E31" s="4" t="s">
        <v>20</v>
      </c>
      <c r="F31" s="4" t="s">
        <v>143</v>
      </c>
      <c r="G31" s="4">
        <v>60</v>
      </c>
      <c r="H31" s="4">
        <v>1.9</v>
      </c>
      <c r="I31" s="4">
        <f t="shared" si="0"/>
        <v>58.1</v>
      </c>
      <c r="J31" s="4">
        <f>INDEX(Dim_Machine!$E$2:$E$8,MATCH(D31,Dim_Machine!$A$2:$A$8,0))*INDEX(Dim_Machine!$D$2:$D$8,MATCH(D31,Dim_Machine!$A$2:$A$8,0))*I31</f>
        <v>39043.200000000004</v>
      </c>
      <c r="K31" s="4">
        <f>ROUND(J31*0.828,0)</f>
        <v>32328</v>
      </c>
      <c r="L31" s="4">
        <f>ROUND(K31*0.022,0)</f>
        <v>711</v>
      </c>
      <c r="M31" s="4">
        <f t="shared" si="1"/>
        <v>31617</v>
      </c>
      <c r="N31" s="4">
        <f t="shared" si="2"/>
        <v>0.82800590115564288</v>
      </c>
      <c r="O31" s="4">
        <f t="shared" si="3"/>
        <v>0.96833333333333338</v>
      </c>
      <c r="P31" s="4">
        <f>IFERROR((K31/I31)/(INDEX(Dim_Machine!$E$2:$E$8,MATCH(D31,Dim_Machine!$A$2:$A$8,0))*INDEX(Dim_Machine!$D$2:$D$8,MATCH(D31,Dim_Machine!$A$2:$A$8,0))),0)</f>
        <v>0.82800590115564299</v>
      </c>
      <c r="Q31" s="4">
        <f t="shared" si="4"/>
        <v>0.97800668151447656</v>
      </c>
      <c r="R31" s="4">
        <f t="shared" si="5"/>
        <v>0.78415178571428568</v>
      </c>
      <c r="S31" s="4">
        <f>T31/0.812</f>
        <v>7.7874384236453205</v>
      </c>
      <c r="T31" s="4">
        <f>M31*INDEX(Dim_Product!$C$2:$C$4,MATCH(F31,Dim_Product!$A$2:$A$4,0))/1000000</f>
        <v>6.3234000000000004</v>
      </c>
      <c r="U31" s="19">
        <f t="shared" si="6"/>
        <v>0.81200000000000006</v>
      </c>
    </row>
    <row r="32" spans="1:24" x14ac:dyDescent="0.25">
      <c r="A32" s="18" t="s">
        <v>172</v>
      </c>
      <c r="B32" s="4">
        <v>20260701</v>
      </c>
      <c r="C32" s="4">
        <v>4</v>
      </c>
      <c r="D32" s="4" t="s">
        <v>23</v>
      </c>
      <c r="E32" s="4" t="s">
        <v>20</v>
      </c>
      <c r="F32" s="4" t="s">
        <v>141</v>
      </c>
      <c r="G32" s="4">
        <v>60</v>
      </c>
      <c r="H32" s="4">
        <v>5.9</v>
      </c>
      <c r="I32" s="4">
        <f t="shared" si="0"/>
        <v>54.1</v>
      </c>
      <c r="J32" s="4">
        <f>INDEX(Dim_Machine!$E$2:$E$8,MATCH(D32,Dim_Machine!$A$2:$A$8,0))*INDEX(Dim_Machine!$D$2:$D$8,MATCH(D32,Dim_Machine!$A$2:$A$8,0))*I32</f>
        <v>14282.4</v>
      </c>
      <c r="K32" s="4">
        <f>ROUND(J32*0.943,0)</f>
        <v>13468</v>
      </c>
      <c r="L32" s="4">
        <f>ROUND(K32*0.0343,0)</f>
        <v>462</v>
      </c>
      <c r="M32" s="4">
        <f t="shared" si="1"/>
        <v>13006</v>
      </c>
      <c r="N32" s="4">
        <f t="shared" si="2"/>
        <v>0.94297877107488937</v>
      </c>
      <c r="O32" s="4">
        <f t="shared" si="3"/>
        <v>0.90166666666666673</v>
      </c>
      <c r="P32" s="4">
        <f>IFERROR((K32/I32)/(INDEX(Dim_Machine!$E$2:$E$8,MATCH(D32,Dim_Machine!$A$2:$A$8,0))*INDEX(Dim_Machine!$D$2:$D$8,MATCH(D32,Dim_Machine!$A$2:$A$8,0))),0)</f>
        <v>0.94297877107488937</v>
      </c>
      <c r="Q32" s="4">
        <f t="shared" si="4"/>
        <v>0.96569646569646572</v>
      </c>
      <c r="R32" s="4">
        <f t="shared" si="5"/>
        <v>0.82108585858585859</v>
      </c>
      <c r="S32" s="4">
        <f>T32/0.88</f>
        <v>3.6948863636363636</v>
      </c>
      <c r="T32" s="4">
        <f>M32*INDEX(Dim_Product!$C$2:$C$4,MATCH(F32,Dim_Product!$A$2:$A$4,0))/1000000</f>
        <v>3.2515000000000001</v>
      </c>
      <c r="U32" s="19">
        <f t="shared" si="6"/>
        <v>0.88</v>
      </c>
    </row>
    <row r="33" spans="1:21" x14ac:dyDescent="0.25">
      <c r="A33" s="18" t="s">
        <v>173</v>
      </c>
      <c r="B33" s="4">
        <v>20260701</v>
      </c>
      <c r="C33" s="4">
        <v>4</v>
      </c>
      <c r="D33" s="4" t="s">
        <v>25</v>
      </c>
      <c r="E33" s="4" t="s">
        <v>20</v>
      </c>
      <c r="F33" s="4" t="s">
        <v>141</v>
      </c>
      <c r="G33" s="4">
        <v>60</v>
      </c>
      <c r="H33" s="4">
        <v>1</v>
      </c>
      <c r="I33" s="4">
        <f t="shared" si="0"/>
        <v>59</v>
      </c>
      <c r="J33" s="4">
        <f>INDEX(Dim_Machine!$E$2:$E$8,MATCH(D33,Dim_Machine!$A$2:$A$8,0))*INDEX(Dim_Machine!$D$2:$D$8,MATCH(D33,Dim_Machine!$A$2:$A$8,0))*I33</f>
        <v>42480</v>
      </c>
      <c r="K33" s="4">
        <f>ROUND(J33*0.912,0)</f>
        <v>38742</v>
      </c>
      <c r="L33" s="4">
        <f>ROUND(K33*0.0334,0)</f>
        <v>1294</v>
      </c>
      <c r="M33" s="4">
        <f t="shared" si="1"/>
        <v>37448</v>
      </c>
      <c r="N33" s="4">
        <f t="shared" si="2"/>
        <v>0.91200564971751408</v>
      </c>
      <c r="O33" s="4">
        <f t="shared" si="3"/>
        <v>0.98333333333333328</v>
      </c>
      <c r="P33" s="4">
        <f>IFERROR((K33/I33)/(INDEX(Dim_Machine!$E$2:$E$8,MATCH(D33,Dim_Machine!$A$2:$A$8,0))*INDEX(Dim_Machine!$D$2:$D$8,MATCH(D33,Dim_Machine!$A$2:$A$8,0))),0)</f>
        <v>0.91200564971751419</v>
      </c>
      <c r="Q33" s="4">
        <f t="shared" si="4"/>
        <v>0.96659955603737546</v>
      </c>
      <c r="R33" s="4">
        <f t="shared" si="5"/>
        <v>0.86685185185185187</v>
      </c>
      <c r="S33" s="4">
        <f>T33/0.825</f>
        <v>11.347878787878789</v>
      </c>
      <c r="T33" s="4">
        <f>M33*INDEX(Dim_Product!$C$2:$C$4,MATCH(F33,Dim_Product!$A$2:$A$4,0))/1000000</f>
        <v>9.3620000000000001</v>
      </c>
      <c r="U33" s="19">
        <f t="shared" si="6"/>
        <v>0.82499999999999984</v>
      </c>
    </row>
    <row r="34" spans="1:21" x14ac:dyDescent="0.25">
      <c r="A34" s="18" t="s">
        <v>174</v>
      </c>
      <c r="B34" s="4">
        <v>20260701</v>
      </c>
      <c r="C34" s="4">
        <v>4</v>
      </c>
      <c r="D34" s="4" t="s">
        <v>27</v>
      </c>
      <c r="E34" s="4" t="s">
        <v>20</v>
      </c>
      <c r="F34" s="4" t="s">
        <v>141</v>
      </c>
      <c r="G34" s="4">
        <v>60</v>
      </c>
      <c r="H34" s="4">
        <v>4.2</v>
      </c>
      <c r="I34" s="4">
        <f t="shared" si="0"/>
        <v>55.8</v>
      </c>
      <c r="J34" s="4">
        <f>INDEX(Dim_Machine!$E$2:$E$8,MATCH(D34,Dim_Machine!$A$2:$A$8,0))*INDEX(Dim_Machine!$D$2:$D$8,MATCH(D34,Dim_Machine!$A$2:$A$8,0))*I34</f>
        <v>23212.799999999999</v>
      </c>
      <c r="K34" s="4">
        <f>ROUND(J34*0.901,0)</f>
        <v>20915</v>
      </c>
      <c r="L34" s="4">
        <f>ROUND(K34*0.0339,0)</f>
        <v>709</v>
      </c>
      <c r="M34" s="4">
        <f t="shared" si="1"/>
        <v>20206</v>
      </c>
      <c r="N34" s="4">
        <f t="shared" si="2"/>
        <v>0.90101151089054321</v>
      </c>
      <c r="O34" s="4">
        <f t="shared" si="3"/>
        <v>0.92999999999999994</v>
      </c>
      <c r="P34" s="4">
        <f>IFERROR((K34/I34)/(INDEX(Dim_Machine!$E$2:$E$8,MATCH(D34,Dim_Machine!$A$2:$A$8,0))*INDEX(Dim_Machine!$D$2:$D$8,MATCH(D34,Dim_Machine!$A$2:$A$8,0))),0)</f>
        <v>0.90101151089054321</v>
      </c>
      <c r="Q34" s="4">
        <f t="shared" si="4"/>
        <v>0.9661008845326321</v>
      </c>
      <c r="R34" s="4">
        <f t="shared" si="5"/>
        <v>0.80953525641025648</v>
      </c>
      <c r="S34" s="4">
        <f>T34/0.939</f>
        <v>5.3796592119275823</v>
      </c>
      <c r="T34" s="4">
        <f>M34*INDEX(Dim_Product!$C$2:$C$4,MATCH(F34,Dim_Product!$A$2:$A$4,0))/1000000</f>
        <v>5.0514999999999999</v>
      </c>
      <c r="U34" s="19">
        <f t="shared" si="6"/>
        <v>0.93900000000000006</v>
      </c>
    </row>
    <row r="35" spans="1:21" x14ac:dyDescent="0.25">
      <c r="A35" s="18" t="s">
        <v>175</v>
      </c>
      <c r="B35" s="4">
        <v>20260701</v>
      </c>
      <c r="C35" s="4">
        <v>4</v>
      </c>
      <c r="D35" s="4" t="s">
        <v>29</v>
      </c>
      <c r="E35" s="4" t="s">
        <v>20</v>
      </c>
      <c r="F35" s="4" t="s">
        <v>143</v>
      </c>
      <c r="G35" s="4">
        <v>60</v>
      </c>
      <c r="H35" s="4">
        <v>6</v>
      </c>
      <c r="I35" s="4">
        <f t="shared" si="0"/>
        <v>54</v>
      </c>
      <c r="J35" s="4">
        <f>INDEX(Dim_Machine!$E$2:$E$8,MATCH(D35,Dim_Machine!$A$2:$A$8,0))*INDEX(Dim_Machine!$D$2:$D$8,MATCH(D35,Dim_Machine!$A$2:$A$8,0))*I35</f>
        <v>15552</v>
      </c>
      <c r="K35" s="4">
        <f>ROUND(J35*0.918,0)</f>
        <v>14277</v>
      </c>
      <c r="L35" s="4">
        <f>ROUND(K35*0.0264,0)</f>
        <v>377</v>
      </c>
      <c r="M35" s="4">
        <f t="shared" si="1"/>
        <v>13900</v>
      </c>
      <c r="N35" s="4">
        <f t="shared" si="2"/>
        <v>0.91801697530864201</v>
      </c>
      <c r="O35" s="4">
        <f t="shared" si="3"/>
        <v>0.9</v>
      </c>
      <c r="P35" s="4">
        <f>IFERROR((K35/I35)/(INDEX(Dim_Machine!$E$2:$E$8,MATCH(D35,Dim_Machine!$A$2:$A$8,0))*INDEX(Dim_Machine!$D$2:$D$8,MATCH(D35,Dim_Machine!$A$2:$A$8,0))),0)</f>
        <v>0.91801697530864201</v>
      </c>
      <c r="Q35" s="4">
        <f t="shared" si="4"/>
        <v>0.97359389227428728</v>
      </c>
      <c r="R35" s="4">
        <f t="shared" si="5"/>
        <v>0.80439814814814814</v>
      </c>
      <c r="S35" s="4">
        <f>T35/0.86</f>
        <v>3.2325581395348837</v>
      </c>
      <c r="T35" s="4">
        <f>M35*INDEX(Dim_Product!$C$2:$C$4,MATCH(F35,Dim_Product!$A$2:$A$4,0))/1000000</f>
        <v>2.78</v>
      </c>
      <c r="U35" s="19">
        <f t="shared" si="6"/>
        <v>0.86</v>
      </c>
    </row>
    <row r="36" spans="1:21" x14ac:dyDescent="0.25">
      <c r="A36" s="18" t="s">
        <v>176</v>
      </c>
      <c r="B36" s="4">
        <v>20260701</v>
      </c>
      <c r="C36" s="4">
        <v>4</v>
      </c>
      <c r="D36" s="4" t="s">
        <v>31</v>
      </c>
      <c r="E36" s="4" t="s">
        <v>20</v>
      </c>
      <c r="F36" s="4" t="s">
        <v>141</v>
      </c>
      <c r="G36" s="4">
        <v>60</v>
      </c>
      <c r="H36" s="4">
        <v>5.4</v>
      </c>
      <c r="I36" s="4">
        <f t="shared" si="0"/>
        <v>54.6</v>
      </c>
      <c r="J36" s="4">
        <f>INDEX(Dim_Machine!$E$2:$E$8,MATCH(D36,Dim_Machine!$A$2:$A$8,0))*INDEX(Dim_Machine!$D$2:$D$8,MATCH(D36,Dim_Machine!$A$2:$A$8,0))*I36</f>
        <v>35380.800000000003</v>
      </c>
      <c r="K36" s="4">
        <f>ROUND(J36*0.855,0)</f>
        <v>30251</v>
      </c>
      <c r="L36" s="4">
        <f>ROUND(K36*0.032,0)</f>
        <v>968</v>
      </c>
      <c r="M36" s="4">
        <f t="shared" si="1"/>
        <v>29283</v>
      </c>
      <c r="N36" s="4">
        <f t="shared" si="2"/>
        <v>0.85501175778953553</v>
      </c>
      <c r="O36" s="4">
        <f t="shared" si="3"/>
        <v>0.91</v>
      </c>
      <c r="P36" s="4">
        <f>IFERROR((K36/I36)/(INDEX(Dim_Machine!$E$2:$E$8,MATCH(D36,Dim_Machine!$A$2:$A$8,0))*INDEX(Dim_Machine!$D$2:$D$8,MATCH(D36,Dim_Machine!$A$2:$A$8,0))),0)</f>
        <v>0.85501175778953553</v>
      </c>
      <c r="Q36" s="4">
        <f t="shared" si="4"/>
        <v>0.96800105781627055</v>
      </c>
      <c r="R36" s="4">
        <f t="shared" si="5"/>
        <v>0.75316358024691354</v>
      </c>
      <c r="S36" s="4">
        <f>T36/0.868</f>
        <v>8.4340437788018434</v>
      </c>
      <c r="T36" s="4">
        <f>M36*INDEX(Dim_Product!$C$2:$C$4,MATCH(F36,Dim_Product!$A$2:$A$4,0))/1000000</f>
        <v>7.3207500000000003</v>
      </c>
      <c r="U36" s="19">
        <f t="shared" si="6"/>
        <v>0.86799999999999999</v>
      </c>
    </row>
    <row r="37" spans="1:21" x14ac:dyDescent="0.25">
      <c r="A37" s="18" t="s">
        <v>177</v>
      </c>
      <c r="B37" s="4">
        <v>20260701</v>
      </c>
      <c r="C37" s="4">
        <v>5</v>
      </c>
      <c r="D37" s="4" t="s">
        <v>15</v>
      </c>
      <c r="E37" s="4" t="s">
        <v>20</v>
      </c>
      <c r="F37" s="4" t="s">
        <v>141</v>
      </c>
      <c r="G37" s="4">
        <v>60</v>
      </c>
      <c r="H37" s="4">
        <v>2</v>
      </c>
      <c r="I37" s="4">
        <f t="shared" si="0"/>
        <v>58</v>
      </c>
      <c r="J37" s="4">
        <f>INDEX(Dim_Machine!$E$2:$E$8,MATCH(D37,Dim_Machine!$A$2:$A$8,0))*INDEX(Dim_Machine!$D$2:$D$8,MATCH(D37,Dim_Machine!$A$2:$A$8,0))*I37</f>
        <v>23200</v>
      </c>
      <c r="K37" s="4">
        <f>ROUND(J37*0.793,0)</f>
        <v>18398</v>
      </c>
      <c r="L37" s="4">
        <f>ROUND(K37*0.0056,0)</f>
        <v>103</v>
      </c>
      <c r="M37" s="4">
        <f t="shared" si="1"/>
        <v>18295</v>
      </c>
      <c r="N37" s="4">
        <f t="shared" si="2"/>
        <v>0.7930172413793104</v>
      </c>
      <c r="O37" s="4">
        <f t="shared" si="3"/>
        <v>0.96666666666666667</v>
      </c>
      <c r="P37" s="4">
        <f>IFERROR((K37/I37)/(INDEX(Dim_Machine!$E$2:$E$8,MATCH(D37,Dim_Machine!$A$2:$A$8,0))*INDEX(Dim_Machine!$D$2:$D$8,MATCH(D37,Dim_Machine!$A$2:$A$8,0))),0)</f>
        <v>0.79301724137931029</v>
      </c>
      <c r="Q37" s="4">
        <f t="shared" si="4"/>
        <v>0.9944015653875421</v>
      </c>
      <c r="R37" s="4">
        <f t="shared" si="5"/>
        <v>0.76229166666666659</v>
      </c>
      <c r="S37" s="4">
        <f>T37/0.883</f>
        <v>5.1797848244620619</v>
      </c>
      <c r="T37" s="4">
        <f>M37*INDEX(Dim_Product!$C$2:$C$4,MATCH(F37,Dim_Product!$A$2:$A$4,0))/1000000</f>
        <v>4.5737500000000004</v>
      </c>
      <c r="U37" s="19">
        <f t="shared" si="6"/>
        <v>0.88300000000000001</v>
      </c>
    </row>
    <row r="38" spans="1:21" x14ac:dyDescent="0.25">
      <c r="A38" s="18" t="s">
        <v>178</v>
      </c>
      <c r="B38" s="4">
        <v>20260701</v>
      </c>
      <c r="C38" s="4">
        <v>5</v>
      </c>
      <c r="D38" s="4" t="s">
        <v>19</v>
      </c>
      <c r="E38" s="4" t="s">
        <v>20</v>
      </c>
      <c r="F38" s="4" t="s">
        <v>143</v>
      </c>
      <c r="G38" s="4">
        <v>60</v>
      </c>
      <c r="H38" s="4">
        <v>4.7</v>
      </c>
      <c r="I38" s="4">
        <f t="shared" si="0"/>
        <v>55.3</v>
      </c>
      <c r="J38" s="4">
        <f>INDEX(Dim_Machine!$E$2:$E$8,MATCH(D38,Dim_Machine!$A$2:$A$8,0))*INDEX(Dim_Machine!$D$2:$D$8,MATCH(D38,Dim_Machine!$A$2:$A$8,0))*I38</f>
        <v>37161.599999999999</v>
      </c>
      <c r="K38" s="4">
        <f>ROUND(J38*0.781,0)</f>
        <v>29023</v>
      </c>
      <c r="L38" s="4">
        <f>ROUND(K38*0.0262,0)</f>
        <v>760</v>
      </c>
      <c r="M38" s="4">
        <f t="shared" si="1"/>
        <v>28263</v>
      </c>
      <c r="N38" s="4">
        <f t="shared" si="2"/>
        <v>0.78099435976922416</v>
      </c>
      <c r="O38" s="4">
        <f t="shared" si="3"/>
        <v>0.92166666666666663</v>
      </c>
      <c r="P38" s="4">
        <f>IFERROR((K38/I38)/(INDEX(Dim_Machine!$E$2:$E$8,MATCH(D38,Dim_Machine!$A$2:$A$8,0))*INDEX(Dim_Machine!$D$2:$D$8,MATCH(D38,Dim_Machine!$A$2:$A$8,0))),0)</f>
        <v>0.78099435976922416</v>
      </c>
      <c r="Q38" s="4">
        <f t="shared" si="4"/>
        <v>0.9738138717568825</v>
      </c>
      <c r="R38" s="4">
        <f t="shared" si="5"/>
        <v>0.700967261904762</v>
      </c>
      <c r="S38" s="4">
        <f>T38/0.809</f>
        <v>6.9871446229913463</v>
      </c>
      <c r="T38" s="4">
        <f>M38*INDEX(Dim_Product!$C$2:$C$4,MATCH(F38,Dim_Product!$A$2:$A$4,0))/1000000</f>
        <v>5.6525999999999996</v>
      </c>
      <c r="U38" s="19">
        <f t="shared" si="6"/>
        <v>0.80900000000000005</v>
      </c>
    </row>
    <row r="39" spans="1:21" x14ac:dyDescent="0.25">
      <c r="A39" s="18" t="s">
        <v>179</v>
      </c>
      <c r="B39" s="4">
        <v>20260701</v>
      </c>
      <c r="C39" s="4">
        <v>5</v>
      </c>
      <c r="D39" s="4" t="s">
        <v>23</v>
      </c>
      <c r="E39" s="4" t="s">
        <v>20</v>
      </c>
      <c r="F39" s="4" t="s">
        <v>141</v>
      </c>
      <c r="G39" s="4">
        <v>60</v>
      </c>
      <c r="H39" s="4">
        <v>0.5</v>
      </c>
      <c r="I39" s="4">
        <f t="shared" si="0"/>
        <v>59.5</v>
      </c>
      <c r="J39" s="4">
        <f>INDEX(Dim_Machine!$E$2:$E$8,MATCH(D39,Dim_Machine!$A$2:$A$8,0))*INDEX(Dim_Machine!$D$2:$D$8,MATCH(D39,Dim_Machine!$A$2:$A$8,0))*I39</f>
        <v>15708</v>
      </c>
      <c r="K39" s="4">
        <f>ROUND(J39*0.786,0)</f>
        <v>12346</v>
      </c>
      <c r="L39" s="4">
        <f>ROUND(K39*0.0149,0)</f>
        <v>184</v>
      </c>
      <c r="M39" s="4">
        <f t="shared" si="1"/>
        <v>12162</v>
      </c>
      <c r="N39" s="4">
        <f t="shared" si="2"/>
        <v>0.78596893302775661</v>
      </c>
      <c r="O39" s="4">
        <f t="shared" si="3"/>
        <v>0.9916666666666667</v>
      </c>
      <c r="P39" s="4">
        <f>IFERROR((K39/I39)/(INDEX(Dim_Machine!$E$2:$E$8,MATCH(D39,Dim_Machine!$A$2:$A$8,0))*INDEX(Dim_Machine!$D$2:$D$8,MATCH(D39,Dim_Machine!$A$2:$A$8,0))),0)</f>
        <v>0.7859689330277565</v>
      </c>
      <c r="Q39" s="4">
        <f t="shared" si="4"/>
        <v>0.98509638749392514</v>
      </c>
      <c r="R39" s="4">
        <f t="shared" si="5"/>
        <v>0.76780303030303021</v>
      </c>
      <c r="S39" s="4">
        <f>T39/0.877</f>
        <v>3.4669327251995443</v>
      </c>
      <c r="T39" s="4">
        <f>M39*INDEX(Dim_Product!$C$2:$C$4,MATCH(F39,Dim_Product!$A$2:$A$4,0))/1000000</f>
        <v>3.0405000000000002</v>
      </c>
      <c r="U39" s="19">
        <f t="shared" si="6"/>
        <v>0.877</v>
      </c>
    </row>
    <row r="40" spans="1:21" x14ac:dyDescent="0.25">
      <c r="A40" s="18" t="s">
        <v>180</v>
      </c>
      <c r="B40" s="4">
        <v>20260701</v>
      </c>
      <c r="C40" s="4">
        <v>5</v>
      </c>
      <c r="D40" s="4" t="s">
        <v>25</v>
      </c>
      <c r="E40" s="4" t="s">
        <v>20</v>
      </c>
      <c r="F40" s="4" t="s">
        <v>141</v>
      </c>
      <c r="G40" s="4">
        <v>60</v>
      </c>
      <c r="H40" s="4">
        <v>2.2000000000000002</v>
      </c>
      <c r="I40" s="4">
        <f t="shared" si="0"/>
        <v>57.8</v>
      </c>
      <c r="J40" s="4">
        <f>INDEX(Dim_Machine!$E$2:$E$8,MATCH(D40,Dim_Machine!$A$2:$A$8,0))*INDEX(Dim_Machine!$D$2:$D$8,MATCH(D40,Dim_Machine!$A$2:$A$8,0))*I40</f>
        <v>41616</v>
      </c>
      <c r="K40" s="4">
        <f>ROUND(J40*0.877,0)</f>
        <v>36497</v>
      </c>
      <c r="L40" s="4">
        <f>ROUND(K40*0.0212,0)</f>
        <v>774</v>
      </c>
      <c r="M40" s="4">
        <f t="shared" si="1"/>
        <v>35723</v>
      </c>
      <c r="N40" s="4">
        <f t="shared" si="2"/>
        <v>0.87699442522106885</v>
      </c>
      <c r="O40" s="4">
        <f t="shared" si="3"/>
        <v>0.96333333333333326</v>
      </c>
      <c r="P40" s="4">
        <f>IFERROR((K40/I40)/(INDEX(Dim_Machine!$E$2:$E$8,MATCH(D40,Dim_Machine!$A$2:$A$8,0))*INDEX(Dim_Machine!$D$2:$D$8,MATCH(D40,Dim_Machine!$A$2:$A$8,0))),0)</f>
        <v>0.87699442522106885</v>
      </c>
      <c r="Q40" s="4">
        <f t="shared" si="4"/>
        <v>0.97879277748856075</v>
      </c>
      <c r="R40" s="4">
        <f t="shared" si="5"/>
        <v>0.8269212962962964</v>
      </c>
      <c r="S40" s="4">
        <f>T40/0.909</f>
        <v>9.8248074807480741</v>
      </c>
      <c r="T40" s="4">
        <f>M40*INDEX(Dim_Product!$C$2:$C$4,MATCH(F40,Dim_Product!$A$2:$A$4,0))/1000000</f>
        <v>8.9307499999999997</v>
      </c>
      <c r="U40" s="19">
        <f t="shared" si="6"/>
        <v>0.90900000000000003</v>
      </c>
    </row>
    <row r="41" spans="1:21" x14ac:dyDescent="0.25">
      <c r="A41" s="18" t="s">
        <v>181</v>
      </c>
      <c r="B41" s="4">
        <v>20260701</v>
      </c>
      <c r="C41" s="4">
        <v>5</v>
      </c>
      <c r="D41" s="4" t="s">
        <v>27</v>
      </c>
      <c r="E41" s="4" t="s">
        <v>20</v>
      </c>
      <c r="F41" s="4" t="s">
        <v>141</v>
      </c>
      <c r="G41" s="4">
        <v>60</v>
      </c>
      <c r="H41" s="4">
        <v>7.1</v>
      </c>
      <c r="I41" s="4">
        <f t="shared" si="0"/>
        <v>52.9</v>
      </c>
      <c r="J41" s="4">
        <f>INDEX(Dim_Machine!$E$2:$E$8,MATCH(D41,Dim_Machine!$A$2:$A$8,0))*INDEX(Dim_Machine!$D$2:$D$8,MATCH(D41,Dim_Machine!$A$2:$A$8,0))*I41</f>
        <v>22006.399999999998</v>
      </c>
      <c r="K41" s="4">
        <f>ROUND(J41*0.895,0)</f>
        <v>19696</v>
      </c>
      <c r="L41" s="4">
        <f>ROUND(K41*0.0123,0)</f>
        <v>242</v>
      </c>
      <c r="M41" s="4">
        <f t="shared" si="1"/>
        <v>19454</v>
      </c>
      <c r="N41" s="4">
        <f t="shared" si="2"/>
        <v>0.89501236004071549</v>
      </c>
      <c r="O41" s="4">
        <f t="shared" si="3"/>
        <v>0.8816666666666666</v>
      </c>
      <c r="P41" s="4">
        <f>IFERROR((K41/I41)/(INDEX(Dim_Machine!$E$2:$E$8,MATCH(D41,Dim_Machine!$A$2:$A$8,0))*INDEX(Dim_Machine!$D$2:$D$8,MATCH(D41,Dim_Machine!$A$2:$A$8,0))),0)</f>
        <v>0.89501236004071549</v>
      </c>
      <c r="Q41" s="4">
        <f t="shared" si="4"/>
        <v>0.98771324126726234</v>
      </c>
      <c r="R41" s="4">
        <f t="shared" si="5"/>
        <v>0.77940705128205123</v>
      </c>
      <c r="S41" s="4">
        <f>T41/0.871</f>
        <v>5.5838117106773826</v>
      </c>
      <c r="T41" s="4">
        <f>M41*INDEX(Dim_Product!$C$2:$C$4,MATCH(F41,Dim_Product!$A$2:$A$4,0))/1000000</f>
        <v>4.8635000000000002</v>
      </c>
      <c r="U41" s="19">
        <f t="shared" si="6"/>
        <v>0.871</v>
      </c>
    </row>
    <row r="42" spans="1:21" x14ac:dyDescent="0.25">
      <c r="A42" s="18" t="s">
        <v>182</v>
      </c>
      <c r="B42" s="4">
        <v>20260701</v>
      </c>
      <c r="C42" s="4">
        <v>5</v>
      </c>
      <c r="D42" s="4" t="s">
        <v>29</v>
      </c>
      <c r="E42" s="4" t="s">
        <v>20</v>
      </c>
      <c r="F42" s="4" t="s">
        <v>143</v>
      </c>
      <c r="G42" s="4">
        <v>60</v>
      </c>
      <c r="H42" s="4">
        <v>3.3</v>
      </c>
      <c r="I42" s="4">
        <f t="shared" si="0"/>
        <v>56.7</v>
      </c>
      <c r="J42" s="4">
        <f>INDEX(Dim_Machine!$E$2:$E$8,MATCH(D42,Dim_Machine!$A$2:$A$8,0))*INDEX(Dim_Machine!$D$2:$D$8,MATCH(D42,Dim_Machine!$A$2:$A$8,0))*I42</f>
        <v>16329.6</v>
      </c>
      <c r="K42" s="4">
        <f>ROUND(J42*0.799,0)</f>
        <v>13047</v>
      </c>
      <c r="L42" s="4">
        <f>ROUND(K42*0.0248,0)</f>
        <v>324</v>
      </c>
      <c r="M42" s="4">
        <f t="shared" si="1"/>
        <v>12723</v>
      </c>
      <c r="N42" s="4">
        <f t="shared" si="2"/>
        <v>0.79897854203409757</v>
      </c>
      <c r="O42" s="4">
        <f t="shared" si="3"/>
        <v>0.94500000000000006</v>
      </c>
      <c r="P42" s="4">
        <f>IFERROR((K42/I42)/(INDEX(Dim_Machine!$E$2:$E$8,MATCH(D42,Dim_Machine!$A$2:$A$8,0))*INDEX(Dim_Machine!$D$2:$D$8,MATCH(D42,Dim_Machine!$A$2:$A$8,0))),0)</f>
        <v>0.79897854203409757</v>
      </c>
      <c r="Q42" s="4">
        <f t="shared" si="4"/>
        <v>0.97516670498965274</v>
      </c>
      <c r="R42" s="4">
        <f t="shared" si="5"/>
        <v>0.73628472222222219</v>
      </c>
      <c r="S42" s="4">
        <f>T42/0.853</f>
        <v>2.9831184056271982</v>
      </c>
      <c r="T42" s="4">
        <f>M42*INDEX(Dim_Product!$C$2:$C$4,MATCH(F42,Dim_Product!$A$2:$A$4,0))/1000000</f>
        <v>2.5446</v>
      </c>
      <c r="U42" s="19">
        <f t="shared" si="6"/>
        <v>0.85299999999999998</v>
      </c>
    </row>
    <row r="43" spans="1:21" x14ac:dyDescent="0.25">
      <c r="A43" s="18" t="s">
        <v>183</v>
      </c>
      <c r="B43" s="4">
        <v>20260701</v>
      </c>
      <c r="C43" s="4">
        <v>5</v>
      </c>
      <c r="D43" s="4" t="s">
        <v>31</v>
      </c>
      <c r="E43" s="4" t="s">
        <v>20</v>
      </c>
      <c r="F43" s="4" t="s">
        <v>141</v>
      </c>
      <c r="G43" s="4">
        <v>60</v>
      </c>
      <c r="H43" s="4">
        <v>3.3</v>
      </c>
      <c r="I43" s="4">
        <f t="shared" si="0"/>
        <v>56.7</v>
      </c>
      <c r="J43" s="4">
        <f>INDEX(Dim_Machine!$E$2:$E$8,MATCH(D43,Dim_Machine!$A$2:$A$8,0))*INDEX(Dim_Machine!$D$2:$D$8,MATCH(D43,Dim_Machine!$A$2:$A$8,0))*I43</f>
        <v>36741.599999999999</v>
      </c>
      <c r="K43" s="4">
        <f>ROUND(J43*0.953,0)</f>
        <v>35015</v>
      </c>
      <c r="L43" s="4">
        <f>ROUND(K43*0.0066,0)</f>
        <v>231</v>
      </c>
      <c r="M43" s="4">
        <f t="shared" si="1"/>
        <v>34784</v>
      </c>
      <c r="N43" s="4">
        <f t="shared" si="2"/>
        <v>0.95300694580529977</v>
      </c>
      <c r="O43" s="4">
        <f t="shared" si="3"/>
        <v>0.94500000000000006</v>
      </c>
      <c r="P43" s="4">
        <f>IFERROR((K43/I43)/(INDEX(Dim_Machine!$E$2:$E$8,MATCH(D43,Dim_Machine!$A$2:$A$8,0))*INDEX(Dim_Machine!$D$2:$D$8,MATCH(D43,Dim_Machine!$A$2:$A$8,0))),0)</f>
        <v>0.95300694580529977</v>
      </c>
      <c r="Q43" s="4">
        <f t="shared" si="4"/>
        <v>0.99340282735970298</v>
      </c>
      <c r="R43" s="4">
        <f t="shared" si="5"/>
        <v>0.89465020576131704</v>
      </c>
      <c r="S43" s="4">
        <f>T43/0.898</f>
        <v>9.6837416481069045</v>
      </c>
      <c r="T43" s="4">
        <f>M43*INDEX(Dim_Product!$C$2:$C$4,MATCH(F43,Dim_Product!$A$2:$A$4,0))/1000000</f>
        <v>8.6959999999999997</v>
      </c>
      <c r="U43" s="19">
        <f t="shared" si="6"/>
        <v>0.89799999999999991</v>
      </c>
    </row>
    <row r="44" spans="1:21" x14ac:dyDescent="0.25">
      <c r="A44" s="18" t="s">
        <v>184</v>
      </c>
      <c r="B44" s="4">
        <v>20260701</v>
      </c>
      <c r="C44" s="4">
        <v>6</v>
      </c>
      <c r="D44" s="4" t="s">
        <v>15</v>
      </c>
      <c r="E44" s="4" t="s">
        <v>16</v>
      </c>
      <c r="F44" s="4" t="s">
        <v>143</v>
      </c>
      <c r="G44" s="4">
        <v>60</v>
      </c>
      <c r="H44" s="4">
        <v>5.2</v>
      </c>
      <c r="I44" s="4">
        <f t="shared" si="0"/>
        <v>54.8</v>
      </c>
      <c r="J44" s="4">
        <f>INDEX(Dim_Machine!$E$2:$E$8,MATCH(D44,Dim_Machine!$A$2:$A$8,0))*INDEX(Dim_Machine!$D$2:$D$8,MATCH(D44,Dim_Machine!$A$2:$A$8,0))*I44</f>
        <v>21920</v>
      </c>
      <c r="K44" s="4">
        <f>ROUND(J44*0.792,0)</f>
        <v>17361</v>
      </c>
      <c r="L44" s="4">
        <f>ROUND(K44*0.0268,0)</f>
        <v>465</v>
      </c>
      <c r="M44" s="4">
        <f t="shared" si="1"/>
        <v>16896</v>
      </c>
      <c r="N44" s="4">
        <f t="shared" si="2"/>
        <v>0.7920164233576642</v>
      </c>
      <c r="O44" s="4">
        <f t="shared" si="3"/>
        <v>0.91333333333333333</v>
      </c>
      <c r="P44" s="4">
        <f>IFERROR((K44/I44)/(INDEX(Dim_Machine!$E$2:$E$8,MATCH(D44,Dim_Machine!$A$2:$A$8,0))*INDEX(Dim_Machine!$D$2:$D$8,MATCH(D44,Dim_Machine!$A$2:$A$8,0))),0)</f>
        <v>0.7920164233576642</v>
      </c>
      <c r="Q44" s="4">
        <f t="shared" si="4"/>
        <v>0.97321582858130296</v>
      </c>
      <c r="R44" s="4">
        <f t="shared" si="5"/>
        <v>0.70400000000000007</v>
      </c>
      <c r="S44" s="4">
        <f>T44/0.92</f>
        <v>3.6730434782608694</v>
      </c>
      <c r="T44" s="4">
        <f>M44*INDEX(Dim_Product!$C$2:$C$4,MATCH(F44,Dim_Product!$A$2:$A$4,0))/1000000</f>
        <v>3.3792</v>
      </c>
      <c r="U44" s="19">
        <f t="shared" si="6"/>
        <v>0.92</v>
      </c>
    </row>
    <row r="45" spans="1:21" x14ac:dyDescent="0.25">
      <c r="A45" s="18" t="s">
        <v>185</v>
      </c>
      <c r="B45" s="4">
        <v>20260701</v>
      </c>
      <c r="C45" s="4">
        <v>6</v>
      </c>
      <c r="D45" s="4" t="s">
        <v>19</v>
      </c>
      <c r="E45" s="4" t="s">
        <v>16</v>
      </c>
      <c r="F45" s="4" t="s">
        <v>141</v>
      </c>
      <c r="G45" s="4">
        <v>60</v>
      </c>
      <c r="H45" s="4">
        <v>0.9</v>
      </c>
      <c r="I45" s="4">
        <f t="shared" si="0"/>
        <v>59.1</v>
      </c>
      <c r="J45" s="4">
        <f>INDEX(Dim_Machine!$E$2:$E$8,MATCH(D45,Dim_Machine!$A$2:$A$8,0))*INDEX(Dim_Machine!$D$2:$D$8,MATCH(D45,Dim_Machine!$A$2:$A$8,0))*I45</f>
        <v>39715.200000000004</v>
      </c>
      <c r="K45" s="4">
        <f>ROUND(J45*0.818,0)</f>
        <v>32487</v>
      </c>
      <c r="L45" s="4">
        <f>ROUND(K45*0.0211,0)</f>
        <v>685</v>
      </c>
      <c r="M45" s="4">
        <f t="shared" si="1"/>
        <v>31802</v>
      </c>
      <c r="N45" s="4">
        <f t="shared" si="2"/>
        <v>0.81799915397631129</v>
      </c>
      <c r="O45" s="4">
        <f t="shared" si="3"/>
        <v>0.98499999999999999</v>
      </c>
      <c r="P45" s="4">
        <f>IFERROR((K45/I45)/(INDEX(Dim_Machine!$E$2:$E$8,MATCH(D45,Dim_Machine!$A$2:$A$8,0))*INDEX(Dim_Machine!$D$2:$D$8,MATCH(D45,Dim_Machine!$A$2:$A$8,0))),0)</f>
        <v>0.81799915397631129</v>
      </c>
      <c r="Q45" s="4">
        <f t="shared" si="4"/>
        <v>0.97891464278018903</v>
      </c>
      <c r="R45" s="4">
        <f t="shared" si="5"/>
        <v>0.78874007936507928</v>
      </c>
      <c r="S45" s="4">
        <f>T45/0.821</f>
        <v>9.6839220462850193</v>
      </c>
      <c r="T45" s="4">
        <f>M45*INDEX(Dim_Product!$C$2:$C$4,MATCH(F45,Dim_Product!$A$2:$A$4,0))/1000000</f>
        <v>7.9504999999999999</v>
      </c>
      <c r="U45" s="19">
        <f t="shared" si="6"/>
        <v>0.82099999999999995</v>
      </c>
    </row>
    <row r="46" spans="1:21" x14ac:dyDescent="0.25">
      <c r="A46" s="18" t="s">
        <v>186</v>
      </c>
      <c r="B46" s="4">
        <v>20260701</v>
      </c>
      <c r="C46" s="4">
        <v>6</v>
      </c>
      <c r="D46" s="4" t="s">
        <v>23</v>
      </c>
      <c r="E46" s="4" t="s">
        <v>16</v>
      </c>
      <c r="F46" s="4" t="s">
        <v>187</v>
      </c>
      <c r="G46" s="4">
        <v>60</v>
      </c>
      <c r="H46" s="4">
        <v>1.5</v>
      </c>
      <c r="I46" s="4">
        <f t="shared" si="0"/>
        <v>58.5</v>
      </c>
      <c r="J46" s="4">
        <f>INDEX(Dim_Machine!$E$2:$E$8,MATCH(D46,Dim_Machine!$A$2:$A$8,0))*INDEX(Dim_Machine!$D$2:$D$8,MATCH(D46,Dim_Machine!$A$2:$A$8,0))*I46</f>
        <v>15444</v>
      </c>
      <c r="K46" s="4">
        <f>ROUND(J46*0.873,0)</f>
        <v>13483</v>
      </c>
      <c r="L46" s="4">
        <f>ROUND(K46*0.0312,0)</f>
        <v>421</v>
      </c>
      <c r="M46" s="4">
        <f t="shared" si="1"/>
        <v>13062</v>
      </c>
      <c r="N46" s="4">
        <f t="shared" si="2"/>
        <v>0.87302512302512303</v>
      </c>
      <c r="O46" s="4">
        <f t="shared" si="3"/>
        <v>0.97499999999999998</v>
      </c>
      <c r="P46" s="4">
        <f>IFERROR((K46/I46)/(INDEX(Dim_Machine!$E$2:$E$8,MATCH(D46,Dim_Machine!$A$2:$A$8,0))*INDEX(Dim_Machine!$D$2:$D$8,MATCH(D46,Dim_Machine!$A$2:$A$8,0))),0)</f>
        <v>0.87302512302512303</v>
      </c>
      <c r="Q46" s="4">
        <f t="shared" si="4"/>
        <v>0.9687754950678632</v>
      </c>
      <c r="R46" s="4">
        <f t="shared" si="5"/>
        <v>0.82462121212121209</v>
      </c>
      <c r="S46" s="4">
        <f>T46/0.811</f>
        <v>4.8318125770653513</v>
      </c>
      <c r="T46" s="4">
        <f>M46*INDEX(Dim_Product!$C$2:$C$4,MATCH(F46,Dim_Product!$A$2:$A$4,0))/1000000</f>
        <v>3.9186000000000001</v>
      </c>
      <c r="U46" s="19">
        <f t="shared" si="6"/>
        <v>0.81100000000000005</v>
      </c>
    </row>
    <row r="47" spans="1:21" x14ac:dyDescent="0.25">
      <c r="A47" s="18" t="s">
        <v>188</v>
      </c>
      <c r="B47" s="4">
        <v>20260701</v>
      </c>
      <c r="C47" s="4">
        <v>6</v>
      </c>
      <c r="D47" s="4" t="s">
        <v>25</v>
      </c>
      <c r="E47" s="4" t="s">
        <v>16</v>
      </c>
      <c r="F47" s="4" t="s">
        <v>141</v>
      </c>
      <c r="G47" s="4">
        <v>60</v>
      </c>
      <c r="H47" s="4">
        <v>6.5</v>
      </c>
      <c r="I47" s="4">
        <f t="shared" si="0"/>
        <v>53.5</v>
      </c>
      <c r="J47" s="4">
        <f>INDEX(Dim_Machine!$E$2:$E$8,MATCH(D47,Dim_Machine!$A$2:$A$8,0))*INDEX(Dim_Machine!$D$2:$D$8,MATCH(D47,Dim_Machine!$A$2:$A$8,0))*I47</f>
        <v>38520</v>
      </c>
      <c r="K47" s="4">
        <f>ROUND(J47*0.951,0)</f>
        <v>36633</v>
      </c>
      <c r="L47" s="4">
        <f>ROUND(K47*0.0079,0)</f>
        <v>289</v>
      </c>
      <c r="M47" s="4">
        <f t="shared" si="1"/>
        <v>36344</v>
      </c>
      <c r="N47" s="4">
        <f t="shared" si="2"/>
        <v>0.95101246105919002</v>
      </c>
      <c r="O47" s="4">
        <f t="shared" si="3"/>
        <v>0.89166666666666672</v>
      </c>
      <c r="P47" s="4">
        <f>IFERROR((K47/I47)/(INDEX(Dim_Machine!$E$2:$E$8,MATCH(D47,Dim_Machine!$A$2:$A$8,0))*INDEX(Dim_Machine!$D$2:$D$8,MATCH(D47,Dim_Machine!$A$2:$A$8,0))),0)</f>
        <v>0.95101246105919002</v>
      </c>
      <c r="Q47" s="4">
        <f t="shared" si="4"/>
        <v>0.99211093822509755</v>
      </c>
      <c r="R47" s="4">
        <f t="shared" si="5"/>
        <v>0.84129629629629621</v>
      </c>
      <c r="S47" s="4">
        <f>T47/0.898</f>
        <v>10.118040089086859</v>
      </c>
      <c r="T47" s="4">
        <f>M47*INDEX(Dim_Product!$C$2:$C$4,MATCH(F47,Dim_Product!$A$2:$A$4,0))/1000000</f>
        <v>9.0860000000000003</v>
      </c>
      <c r="U47" s="19">
        <f t="shared" si="6"/>
        <v>0.89800000000000002</v>
      </c>
    </row>
    <row r="48" spans="1:21" x14ac:dyDescent="0.25">
      <c r="A48" s="18" t="s">
        <v>189</v>
      </c>
      <c r="B48" s="4">
        <v>20260701</v>
      </c>
      <c r="C48" s="4">
        <v>6</v>
      </c>
      <c r="D48" s="4" t="s">
        <v>27</v>
      </c>
      <c r="E48" s="4" t="s">
        <v>16</v>
      </c>
      <c r="F48" s="4" t="s">
        <v>143</v>
      </c>
      <c r="G48" s="4">
        <v>60</v>
      </c>
      <c r="H48" s="4">
        <v>4.3</v>
      </c>
      <c r="I48" s="4">
        <f t="shared" si="0"/>
        <v>55.7</v>
      </c>
      <c r="J48" s="4">
        <f>INDEX(Dim_Machine!$E$2:$E$8,MATCH(D48,Dim_Machine!$A$2:$A$8,0))*INDEX(Dim_Machine!$D$2:$D$8,MATCH(D48,Dim_Machine!$A$2:$A$8,0))*I48</f>
        <v>23171.200000000001</v>
      </c>
      <c r="K48" s="4">
        <f>ROUND(J48*0.783,0)</f>
        <v>18143</v>
      </c>
      <c r="L48" s="4">
        <f>ROUND(K48*0.0078,0)</f>
        <v>142</v>
      </c>
      <c r="M48" s="4">
        <f t="shared" si="1"/>
        <v>18001</v>
      </c>
      <c r="N48" s="4">
        <f t="shared" si="2"/>
        <v>0.78299785941168343</v>
      </c>
      <c r="O48" s="4">
        <f t="shared" si="3"/>
        <v>0.92833333333333334</v>
      </c>
      <c r="P48" s="4">
        <f>IFERROR((K48/I48)/(INDEX(Dim_Machine!$E$2:$E$8,MATCH(D48,Dim_Machine!$A$2:$A$8,0))*INDEX(Dim_Machine!$D$2:$D$8,MATCH(D48,Dim_Machine!$A$2:$A$8,0))),0)</f>
        <v>0.78299785941168332</v>
      </c>
      <c r="Q48" s="4">
        <f t="shared" si="4"/>
        <v>0.99217328997409471</v>
      </c>
      <c r="R48" s="4">
        <f t="shared" si="5"/>
        <v>0.72119391025641011</v>
      </c>
      <c r="S48" s="4">
        <f>T48/0.913</f>
        <v>3.9432639649507117</v>
      </c>
      <c r="T48" s="4">
        <f>M48*INDEX(Dim_Product!$C$2:$C$4,MATCH(F48,Dim_Product!$A$2:$A$4,0))/1000000</f>
        <v>3.6002000000000001</v>
      </c>
      <c r="U48" s="19">
        <f t="shared" si="6"/>
        <v>0.91300000000000003</v>
      </c>
    </row>
    <row r="49" spans="1:21" x14ac:dyDescent="0.25">
      <c r="A49" s="18" t="s">
        <v>190</v>
      </c>
      <c r="B49" s="4">
        <v>20260701</v>
      </c>
      <c r="C49" s="4">
        <v>6</v>
      </c>
      <c r="D49" s="4" t="s">
        <v>29</v>
      </c>
      <c r="E49" s="4" t="s">
        <v>16</v>
      </c>
      <c r="F49" s="4" t="s">
        <v>143</v>
      </c>
      <c r="G49" s="4">
        <v>60</v>
      </c>
      <c r="H49" s="4">
        <v>1.9</v>
      </c>
      <c r="I49" s="4">
        <f t="shared" si="0"/>
        <v>58.1</v>
      </c>
      <c r="J49" s="4">
        <f>INDEX(Dim_Machine!$E$2:$E$8,MATCH(D49,Dim_Machine!$A$2:$A$8,0))*INDEX(Dim_Machine!$D$2:$D$8,MATCH(D49,Dim_Machine!$A$2:$A$8,0))*I49</f>
        <v>16732.8</v>
      </c>
      <c r="K49" s="4">
        <f>ROUND(J49*0.861,0)</f>
        <v>14407</v>
      </c>
      <c r="L49" s="4">
        <f>ROUND(K49*0.0194,0)</f>
        <v>279</v>
      </c>
      <c r="M49" s="4">
        <f t="shared" si="1"/>
        <v>14128</v>
      </c>
      <c r="N49" s="4">
        <f t="shared" si="2"/>
        <v>0.8610035379613693</v>
      </c>
      <c r="O49" s="4">
        <f t="shared" si="3"/>
        <v>0.96833333333333338</v>
      </c>
      <c r="P49" s="4">
        <f>IFERROR((K49/I49)/(INDEX(Dim_Machine!$E$2:$E$8,MATCH(D49,Dim_Machine!$A$2:$A$8,0))*INDEX(Dim_Machine!$D$2:$D$8,MATCH(D49,Dim_Machine!$A$2:$A$8,0))),0)</f>
        <v>0.8610035379613693</v>
      </c>
      <c r="Q49" s="4">
        <f t="shared" si="4"/>
        <v>0.98063441382661209</v>
      </c>
      <c r="R49" s="4">
        <f t="shared" si="5"/>
        <v>0.81759259259259265</v>
      </c>
      <c r="S49" s="4">
        <f>T49/0.93</f>
        <v>3.0382795698924729</v>
      </c>
      <c r="T49" s="4">
        <f>M49*INDEX(Dim_Product!$C$2:$C$4,MATCH(F49,Dim_Product!$A$2:$A$4,0))/1000000</f>
        <v>2.8256000000000001</v>
      </c>
      <c r="U49" s="19">
        <f t="shared" si="6"/>
        <v>0.93</v>
      </c>
    </row>
    <row r="50" spans="1:21" x14ac:dyDescent="0.25">
      <c r="A50" s="18" t="s">
        <v>191</v>
      </c>
      <c r="B50" s="4">
        <v>20260701</v>
      </c>
      <c r="C50" s="4">
        <v>6</v>
      </c>
      <c r="D50" s="4" t="s">
        <v>31</v>
      </c>
      <c r="E50" s="4" t="s">
        <v>16</v>
      </c>
      <c r="F50" s="4" t="s">
        <v>143</v>
      </c>
      <c r="G50" s="4">
        <v>60</v>
      </c>
      <c r="H50" s="4">
        <v>7.2</v>
      </c>
      <c r="I50" s="4">
        <f t="shared" si="0"/>
        <v>52.8</v>
      </c>
      <c r="J50" s="4">
        <f>INDEX(Dim_Machine!$E$2:$E$8,MATCH(D50,Dim_Machine!$A$2:$A$8,0))*INDEX(Dim_Machine!$D$2:$D$8,MATCH(D50,Dim_Machine!$A$2:$A$8,0))*I50</f>
        <v>34214.400000000001</v>
      </c>
      <c r="K50" s="4">
        <f>ROUND(J50*0.813,0)</f>
        <v>27816</v>
      </c>
      <c r="L50" s="4">
        <f>ROUND(K50*0.0051,0)</f>
        <v>142</v>
      </c>
      <c r="M50" s="4">
        <f t="shared" si="1"/>
        <v>27674</v>
      </c>
      <c r="N50" s="4">
        <f t="shared" si="2"/>
        <v>0.81299102132435463</v>
      </c>
      <c r="O50" s="4">
        <f t="shared" si="3"/>
        <v>0.88</v>
      </c>
      <c r="P50" s="4">
        <f>IFERROR((K50/I50)/(INDEX(Dim_Machine!$E$2:$E$8,MATCH(D50,Dim_Machine!$A$2:$A$8,0))*INDEX(Dim_Machine!$D$2:$D$8,MATCH(D50,Dim_Machine!$A$2:$A$8,0))),0)</f>
        <v>0.81299102132435475</v>
      </c>
      <c r="Q50" s="4">
        <f t="shared" si="4"/>
        <v>0.9948950244463618</v>
      </c>
      <c r="R50" s="4">
        <f t="shared" si="5"/>
        <v>0.71177983539094658</v>
      </c>
      <c r="S50" s="4">
        <f>T50/0.859</f>
        <v>6.4433061699650755</v>
      </c>
      <c r="T50" s="4">
        <f>M50*INDEX(Dim_Product!$C$2:$C$4,MATCH(F50,Dim_Product!$A$2:$A$4,0))/1000000</f>
        <v>5.5347999999999997</v>
      </c>
      <c r="U50" s="19">
        <f t="shared" si="6"/>
        <v>0.85899999999999999</v>
      </c>
    </row>
    <row r="51" spans="1:21" x14ac:dyDescent="0.25">
      <c r="A51" s="18" t="s">
        <v>192</v>
      </c>
      <c r="B51" s="4">
        <v>20260701</v>
      </c>
      <c r="C51" s="4">
        <v>7</v>
      </c>
      <c r="D51" s="4" t="s">
        <v>15</v>
      </c>
      <c r="E51" s="4" t="s">
        <v>16</v>
      </c>
      <c r="F51" s="4" t="s">
        <v>143</v>
      </c>
      <c r="G51" s="4">
        <v>60</v>
      </c>
      <c r="H51" s="4">
        <v>7.4</v>
      </c>
      <c r="I51" s="4">
        <f t="shared" si="0"/>
        <v>52.6</v>
      </c>
      <c r="J51" s="4">
        <f>INDEX(Dim_Machine!$E$2:$E$8,MATCH(D51,Dim_Machine!$A$2:$A$8,0))*INDEX(Dim_Machine!$D$2:$D$8,MATCH(D51,Dim_Machine!$A$2:$A$8,0))*I51</f>
        <v>21040</v>
      </c>
      <c r="K51" s="4">
        <f>ROUND(J51*0.937,0)</f>
        <v>19714</v>
      </c>
      <c r="L51" s="4">
        <f>ROUND(K51*0.0136,0)</f>
        <v>268</v>
      </c>
      <c r="M51" s="4">
        <f t="shared" si="1"/>
        <v>19446</v>
      </c>
      <c r="N51" s="4">
        <f t="shared" si="2"/>
        <v>0.93697718631178706</v>
      </c>
      <c r="O51" s="4">
        <f t="shared" si="3"/>
        <v>0.87666666666666671</v>
      </c>
      <c r="P51" s="4">
        <f>IFERROR((K51/I51)/(INDEX(Dim_Machine!$E$2:$E$8,MATCH(D51,Dim_Machine!$A$2:$A$8,0))*INDEX(Dim_Machine!$D$2:$D$8,MATCH(D51,Dim_Machine!$A$2:$A$8,0))),0)</f>
        <v>0.93697718631178706</v>
      </c>
      <c r="Q51" s="4">
        <f t="shared" si="4"/>
        <v>0.98640560008116063</v>
      </c>
      <c r="R51" s="4">
        <f t="shared" si="5"/>
        <v>0.81025000000000003</v>
      </c>
      <c r="S51" s="4">
        <f>T51/0.904</f>
        <v>4.3022123893805313</v>
      </c>
      <c r="T51" s="4">
        <f>M51*INDEX(Dim_Product!$C$2:$C$4,MATCH(F51,Dim_Product!$A$2:$A$4,0))/1000000</f>
        <v>3.8892000000000002</v>
      </c>
      <c r="U51" s="19">
        <f t="shared" si="6"/>
        <v>0.90400000000000003</v>
      </c>
    </row>
    <row r="52" spans="1:21" x14ac:dyDescent="0.25">
      <c r="A52" s="18" t="s">
        <v>193</v>
      </c>
      <c r="B52" s="4">
        <v>20260701</v>
      </c>
      <c r="C52" s="4">
        <v>7</v>
      </c>
      <c r="D52" s="4" t="s">
        <v>19</v>
      </c>
      <c r="E52" s="4" t="s">
        <v>16</v>
      </c>
      <c r="F52" s="4" t="s">
        <v>141</v>
      </c>
      <c r="G52" s="4">
        <v>60</v>
      </c>
      <c r="H52" s="4">
        <v>5.8</v>
      </c>
      <c r="I52" s="4">
        <f t="shared" si="0"/>
        <v>54.2</v>
      </c>
      <c r="J52" s="4">
        <f>INDEX(Dim_Machine!$E$2:$E$8,MATCH(D52,Dim_Machine!$A$2:$A$8,0))*INDEX(Dim_Machine!$D$2:$D$8,MATCH(D52,Dim_Machine!$A$2:$A$8,0))*I52</f>
        <v>36422.400000000001</v>
      </c>
      <c r="K52" s="4">
        <f>ROUND(J52*0.937,0)</f>
        <v>34128</v>
      </c>
      <c r="L52" s="4">
        <f>ROUND(K52*0.0249,0)</f>
        <v>850</v>
      </c>
      <c r="M52" s="4">
        <f t="shared" si="1"/>
        <v>33278</v>
      </c>
      <c r="N52" s="4">
        <f t="shared" si="2"/>
        <v>0.9370057986294148</v>
      </c>
      <c r="O52" s="4">
        <f t="shared" si="3"/>
        <v>0.90333333333333343</v>
      </c>
      <c r="P52" s="4">
        <f>IFERROR((K52/I52)/(INDEX(Dim_Machine!$E$2:$E$8,MATCH(D52,Dim_Machine!$A$2:$A$8,0))*INDEX(Dim_Machine!$D$2:$D$8,MATCH(D52,Dim_Machine!$A$2:$A$8,0))),0)</f>
        <v>0.9370057986294148</v>
      </c>
      <c r="Q52" s="4">
        <f t="shared" si="4"/>
        <v>0.97509376465072672</v>
      </c>
      <c r="R52" s="4">
        <f t="shared" si="5"/>
        <v>0.82534722222222223</v>
      </c>
      <c r="S52" s="4">
        <f>T52/0.873</f>
        <v>9.5297823596792668</v>
      </c>
      <c r="T52" s="4">
        <f>M52*INDEX(Dim_Product!$C$2:$C$4,MATCH(F52,Dim_Product!$A$2:$A$4,0))/1000000</f>
        <v>8.3194999999999997</v>
      </c>
      <c r="U52" s="19">
        <f t="shared" si="6"/>
        <v>0.873</v>
      </c>
    </row>
    <row r="53" spans="1:21" x14ac:dyDescent="0.25">
      <c r="A53" s="18" t="s">
        <v>194</v>
      </c>
      <c r="B53" s="4">
        <v>20260701</v>
      </c>
      <c r="C53" s="4">
        <v>7</v>
      </c>
      <c r="D53" s="4" t="s">
        <v>23</v>
      </c>
      <c r="E53" s="4" t="s">
        <v>16</v>
      </c>
      <c r="F53" s="4" t="s">
        <v>187</v>
      </c>
      <c r="G53" s="4">
        <v>60</v>
      </c>
      <c r="H53" s="4">
        <v>1.5</v>
      </c>
      <c r="I53" s="4">
        <f t="shared" si="0"/>
        <v>58.5</v>
      </c>
      <c r="J53" s="4">
        <f>INDEX(Dim_Machine!$E$2:$E$8,MATCH(D53,Dim_Machine!$A$2:$A$8,0))*INDEX(Dim_Machine!$D$2:$D$8,MATCH(D53,Dim_Machine!$A$2:$A$8,0))*I53</f>
        <v>15444</v>
      </c>
      <c r="K53" s="4">
        <f>ROUND(J53*0.824,0)</f>
        <v>12726</v>
      </c>
      <c r="L53" s="4">
        <f>ROUND(K53*0.0068,0)</f>
        <v>87</v>
      </c>
      <c r="M53" s="4">
        <f t="shared" si="1"/>
        <v>12639</v>
      </c>
      <c r="N53" s="4">
        <f t="shared" si="2"/>
        <v>0.82400932400932403</v>
      </c>
      <c r="O53" s="4">
        <f t="shared" si="3"/>
        <v>0.97499999999999998</v>
      </c>
      <c r="P53" s="4">
        <f>IFERROR((K53/I53)/(INDEX(Dim_Machine!$E$2:$E$8,MATCH(D53,Dim_Machine!$A$2:$A$8,0))*INDEX(Dim_Machine!$D$2:$D$8,MATCH(D53,Dim_Machine!$A$2:$A$8,0))),0)</f>
        <v>0.82400932400932403</v>
      </c>
      <c r="Q53" s="4">
        <f t="shared" si="4"/>
        <v>0.99316360207449317</v>
      </c>
      <c r="R53" s="4">
        <f t="shared" si="5"/>
        <v>0.79791666666666672</v>
      </c>
      <c r="S53" s="4">
        <f>T53/0.91</f>
        <v>4.1667032967032966</v>
      </c>
      <c r="T53" s="4">
        <f>M53*INDEX(Dim_Product!$C$2:$C$4,MATCH(F53,Dim_Product!$A$2:$A$4,0))/1000000</f>
        <v>3.7917000000000001</v>
      </c>
      <c r="U53" s="19">
        <f t="shared" si="6"/>
        <v>0.91</v>
      </c>
    </row>
    <row r="54" spans="1:21" x14ac:dyDescent="0.25">
      <c r="A54" s="18" t="s">
        <v>195</v>
      </c>
      <c r="B54" s="4">
        <v>20260701</v>
      </c>
      <c r="C54" s="4">
        <v>7</v>
      </c>
      <c r="D54" s="4" t="s">
        <v>25</v>
      </c>
      <c r="E54" s="4" t="s">
        <v>16</v>
      </c>
      <c r="F54" s="4" t="s">
        <v>141</v>
      </c>
      <c r="G54" s="4">
        <v>60</v>
      </c>
      <c r="H54" s="4">
        <v>0.5</v>
      </c>
      <c r="I54" s="4">
        <f t="shared" si="0"/>
        <v>59.5</v>
      </c>
      <c r="J54" s="4">
        <f>INDEX(Dim_Machine!$E$2:$E$8,MATCH(D54,Dim_Machine!$A$2:$A$8,0))*INDEX(Dim_Machine!$D$2:$D$8,MATCH(D54,Dim_Machine!$A$2:$A$8,0))*I54</f>
        <v>42840</v>
      </c>
      <c r="K54" s="4">
        <f>ROUND(J54*0.843,0)</f>
        <v>36114</v>
      </c>
      <c r="L54" s="4">
        <f>ROUND(K54*0.0065,0)</f>
        <v>235</v>
      </c>
      <c r="M54" s="4">
        <f t="shared" si="1"/>
        <v>35879</v>
      </c>
      <c r="N54" s="4">
        <f t="shared" si="2"/>
        <v>0.84299719887955182</v>
      </c>
      <c r="O54" s="4">
        <f t="shared" si="3"/>
        <v>0.9916666666666667</v>
      </c>
      <c r="P54" s="4">
        <f>IFERROR((K54/I54)/(INDEX(Dim_Machine!$E$2:$E$8,MATCH(D54,Dim_Machine!$A$2:$A$8,0))*INDEX(Dim_Machine!$D$2:$D$8,MATCH(D54,Dim_Machine!$A$2:$A$8,0))),0)</f>
        <v>0.84299719887955182</v>
      </c>
      <c r="Q54" s="4">
        <f t="shared" si="4"/>
        <v>0.99349282826604646</v>
      </c>
      <c r="R54" s="4">
        <f t="shared" si="5"/>
        <v>0.83053240740740741</v>
      </c>
      <c r="S54" s="4">
        <f>T54/0.872</f>
        <v>10.286410550458715</v>
      </c>
      <c r="T54" s="4">
        <f>M54*INDEX(Dim_Product!$C$2:$C$4,MATCH(F54,Dim_Product!$A$2:$A$4,0))/1000000</f>
        <v>8.9697499999999994</v>
      </c>
      <c r="U54" s="19">
        <f t="shared" si="6"/>
        <v>0.872</v>
      </c>
    </row>
    <row r="55" spans="1:21" x14ac:dyDescent="0.25">
      <c r="A55" s="18" t="s">
        <v>196</v>
      </c>
      <c r="B55" s="4">
        <v>20260701</v>
      </c>
      <c r="C55" s="4">
        <v>7</v>
      </c>
      <c r="D55" s="4" t="s">
        <v>27</v>
      </c>
      <c r="E55" s="4" t="s">
        <v>16</v>
      </c>
      <c r="F55" s="4" t="s">
        <v>143</v>
      </c>
      <c r="G55" s="4">
        <v>60</v>
      </c>
      <c r="H55" s="4">
        <v>7.4</v>
      </c>
      <c r="I55" s="4">
        <f t="shared" si="0"/>
        <v>52.6</v>
      </c>
      <c r="J55" s="4">
        <f>INDEX(Dim_Machine!$E$2:$E$8,MATCH(D55,Dim_Machine!$A$2:$A$8,0))*INDEX(Dim_Machine!$D$2:$D$8,MATCH(D55,Dim_Machine!$A$2:$A$8,0))*I55</f>
        <v>21881.600000000002</v>
      </c>
      <c r="K55" s="4">
        <f>ROUND(J55*0.886,0)</f>
        <v>19387</v>
      </c>
      <c r="L55" s="4">
        <f>ROUND(K55*0.0067,0)</f>
        <v>130</v>
      </c>
      <c r="M55" s="4">
        <f t="shared" si="1"/>
        <v>19257</v>
      </c>
      <c r="N55" s="4">
        <f t="shared" si="2"/>
        <v>0.88599553963147115</v>
      </c>
      <c r="O55" s="4">
        <f t="shared" si="3"/>
        <v>0.87666666666666671</v>
      </c>
      <c r="P55" s="4">
        <f>IFERROR((K55/I55)/(INDEX(Dim_Machine!$E$2:$E$8,MATCH(D55,Dim_Machine!$A$2:$A$8,0))*INDEX(Dim_Machine!$D$2:$D$8,MATCH(D55,Dim_Machine!$A$2:$A$8,0))),0)</f>
        <v>0.88599553963147115</v>
      </c>
      <c r="Q55" s="4">
        <f t="shared" si="4"/>
        <v>0.99329447567957907</v>
      </c>
      <c r="R55" s="4">
        <f t="shared" si="5"/>
        <v>0.77151442307692308</v>
      </c>
      <c r="S55" s="4">
        <f>T55/0.876</f>
        <v>4.396575342465753</v>
      </c>
      <c r="T55" s="4">
        <f>M55*INDEX(Dim_Product!$C$2:$C$4,MATCH(F55,Dim_Product!$A$2:$A$4,0))/1000000</f>
        <v>3.8513999999999999</v>
      </c>
      <c r="U55" s="19">
        <f t="shared" si="6"/>
        <v>0.87600000000000011</v>
      </c>
    </row>
    <row r="56" spans="1:21" x14ac:dyDescent="0.25">
      <c r="A56" s="18" t="s">
        <v>197</v>
      </c>
      <c r="B56" s="4">
        <v>20260701</v>
      </c>
      <c r="C56" s="4">
        <v>7</v>
      </c>
      <c r="D56" s="4" t="s">
        <v>29</v>
      </c>
      <c r="E56" s="4" t="s">
        <v>16</v>
      </c>
      <c r="F56" s="4" t="s">
        <v>143</v>
      </c>
      <c r="G56" s="4">
        <v>60</v>
      </c>
      <c r="H56" s="4">
        <v>6.8</v>
      </c>
      <c r="I56" s="4">
        <f t="shared" si="0"/>
        <v>53.2</v>
      </c>
      <c r="J56" s="4">
        <f>INDEX(Dim_Machine!$E$2:$E$8,MATCH(D56,Dim_Machine!$A$2:$A$8,0))*INDEX(Dim_Machine!$D$2:$D$8,MATCH(D56,Dim_Machine!$A$2:$A$8,0))*I56</f>
        <v>15321.6</v>
      </c>
      <c r="K56" s="4">
        <f>ROUND(J56*0.794,0)</f>
        <v>12165</v>
      </c>
      <c r="L56" s="4">
        <f>ROUND(K56*0.007,0)</f>
        <v>85</v>
      </c>
      <c r="M56" s="4">
        <f t="shared" si="1"/>
        <v>12080</v>
      </c>
      <c r="N56" s="4">
        <f t="shared" si="2"/>
        <v>0.79397713032581452</v>
      </c>
      <c r="O56" s="4">
        <f t="shared" si="3"/>
        <v>0.88666666666666671</v>
      </c>
      <c r="P56" s="4">
        <f>IFERROR((K56/I56)/(INDEX(Dim_Machine!$E$2:$E$8,MATCH(D56,Dim_Machine!$A$2:$A$8,0))*INDEX(Dim_Machine!$D$2:$D$8,MATCH(D56,Dim_Machine!$A$2:$A$8,0))),0)</f>
        <v>0.79397713032581452</v>
      </c>
      <c r="Q56" s="4">
        <f t="shared" si="4"/>
        <v>0.99301274147143448</v>
      </c>
      <c r="R56" s="4">
        <f t="shared" si="5"/>
        <v>0.69907407407407407</v>
      </c>
      <c r="S56" s="4">
        <f>T56/0.929</f>
        <v>2.6006458557588803</v>
      </c>
      <c r="T56" s="4">
        <f>M56*INDEX(Dim_Product!$C$2:$C$4,MATCH(F56,Dim_Product!$A$2:$A$4,0))/1000000</f>
        <v>2.4159999999999999</v>
      </c>
      <c r="U56" s="19">
        <f t="shared" si="6"/>
        <v>0.92900000000000005</v>
      </c>
    </row>
    <row r="57" spans="1:21" x14ac:dyDescent="0.25">
      <c r="A57" s="18" t="s">
        <v>198</v>
      </c>
      <c r="B57" s="4">
        <v>20260701</v>
      </c>
      <c r="C57" s="4">
        <v>7</v>
      </c>
      <c r="D57" s="4" t="s">
        <v>31</v>
      </c>
      <c r="E57" s="4" t="s">
        <v>16</v>
      </c>
      <c r="F57" s="4" t="s">
        <v>143</v>
      </c>
      <c r="G57" s="4">
        <v>60</v>
      </c>
      <c r="H57" s="4">
        <v>3.2</v>
      </c>
      <c r="I57" s="4">
        <f t="shared" si="0"/>
        <v>56.8</v>
      </c>
      <c r="J57" s="4">
        <f>INDEX(Dim_Machine!$E$2:$E$8,MATCH(D57,Dim_Machine!$A$2:$A$8,0))*INDEX(Dim_Machine!$D$2:$D$8,MATCH(D57,Dim_Machine!$A$2:$A$8,0))*I57</f>
        <v>36806.400000000001</v>
      </c>
      <c r="K57" s="4">
        <f>ROUND(J57*0.968,0)</f>
        <v>35629</v>
      </c>
      <c r="L57" s="4">
        <f>ROUND(K57*0.0221,0)</f>
        <v>787</v>
      </c>
      <c r="M57" s="4">
        <f t="shared" si="1"/>
        <v>34842</v>
      </c>
      <c r="N57" s="4">
        <f t="shared" si="2"/>
        <v>0.96801099808728908</v>
      </c>
      <c r="O57" s="4">
        <f t="shared" si="3"/>
        <v>0.94666666666666666</v>
      </c>
      <c r="P57" s="4">
        <f>IFERROR((K57/I57)/(INDEX(Dim_Machine!$E$2:$E$8,MATCH(D57,Dim_Machine!$A$2:$A$8,0))*INDEX(Dim_Machine!$D$2:$D$8,MATCH(D57,Dim_Machine!$A$2:$A$8,0))),0)</f>
        <v>0.9680109980872893</v>
      </c>
      <c r="Q57" s="4">
        <f t="shared" si="4"/>
        <v>0.977911252069943</v>
      </c>
      <c r="R57" s="4">
        <f t="shared" si="5"/>
        <v>0.89614197530864204</v>
      </c>
      <c r="S57" s="4">
        <f>T57/0.887</f>
        <v>7.8561443066516343</v>
      </c>
      <c r="T57" s="4">
        <f>M57*INDEX(Dim_Product!$C$2:$C$4,MATCH(F57,Dim_Product!$A$2:$A$4,0))/1000000</f>
        <v>6.9683999999999999</v>
      </c>
      <c r="U57" s="19">
        <f t="shared" si="6"/>
        <v>0.88700000000000001</v>
      </c>
    </row>
    <row r="58" spans="1:21" x14ac:dyDescent="0.25">
      <c r="A58" s="18" t="s">
        <v>199</v>
      </c>
      <c r="B58" s="4">
        <v>20260701</v>
      </c>
      <c r="C58" s="4">
        <v>8</v>
      </c>
      <c r="D58" s="4" t="s">
        <v>15</v>
      </c>
      <c r="E58" s="4" t="s">
        <v>16</v>
      </c>
      <c r="F58" s="4" t="s">
        <v>143</v>
      </c>
      <c r="G58" s="4">
        <v>60</v>
      </c>
      <c r="H58" s="4">
        <v>0.3</v>
      </c>
      <c r="I58" s="4">
        <f t="shared" si="0"/>
        <v>59.7</v>
      </c>
      <c r="J58" s="4">
        <f>INDEX(Dim_Machine!$E$2:$E$8,MATCH(D58,Dim_Machine!$A$2:$A$8,0))*INDEX(Dim_Machine!$D$2:$D$8,MATCH(D58,Dim_Machine!$A$2:$A$8,0))*I58</f>
        <v>23880</v>
      </c>
      <c r="K58" s="4">
        <f>ROUND(J58*0.796,0)</f>
        <v>19008</v>
      </c>
      <c r="L58" s="4">
        <f>ROUND(K58*0.0247,0)</f>
        <v>469</v>
      </c>
      <c r="M58" s="4">
        <f t="shared" si="1"/>
        <v>18539</v>
      </c>
      <c r="N58" s="4">
        <f t="shared" si="2"/>
        <v>0.79597989949748749</v>
      </c>
      <c r="O58" s="4">
        <f t="shared" si="3"/>
        <v>0.995</v>
      </c>
      <c r="P58" s="4">
        <f>IFERROR((K58/I58)/(INDEX(Dim_Machine!$E$2:$E$8,MATCH(D58,Dim_Machine!$A$2:$A$8,0))*INDEX(Dim_Machine!$D$2:$D$8,MATCH(D58,Dim_Machine!$A$2:$A$8,0))),0)</f>
        <v>0.79597989949748738</v>
      </c>
      <c r="Q58" s="4">
        <f t="shared" si="4"/>
        <v>0.97532617845117842</v>
      </c>
      <c r="R58" s="4">
        <f t="shared" si="5"/>
        <v>0.77245833333333325</v>
      </c>
      <c r="S58" s="4">
        <f>T58/0.885</f>
        <v>4.1896045197740115</v>
      </c>
      <c r="T58" s="4">
        <f>M58*INDEX(Dim_Product!$C$2:$C$4,MATCH(F58,Dim_Product!$A$2:$A$4,0))/1000000</f>
        <v>3.7078000000000002</v>
      </c>
      <c r="U58" s="19">
        <f t="shared" si="6"/>
        <v>0.88500000000000001</v>
      </c>
    </row>
    <row r="59" spans="1:21" x14ac:dyDescent="0.25">
      <c r="A59" s="18" t="s">
        <v>200</v>
      </c>
      <c r="B59" s="4">
        <v>20260701</v>
      </c>
      <c r="C59" s="4">
        <v>8</v>
      </c>
      <c r="D59" s="4" t="s">
        <v>19</v>
      </c>
      <c r="E59" s="4" t="s">
        <v>16</v>
      </c>
      <c r="F59" s="4" t="s">
        <v>141</v>
      </c>
      <c r="G59" s="4">
        <v>60</v>
      </c>
      <c r="H59" s="4">
        <v>2.5</v>
      </c>
      <c r="I59" s="4">
        <f t="shared" si="0"/>
        <v>57.5</v>
      </c>
      <c r="J59" s="4">
        <f>INDEX(Dim_Machine!$E$2:$E$8,MATCH(D59,Dim_Machine!$A$2:$A$8,0))*INDEX(Dim_Machine!$D$2:$D$8,MATCH(D59,Dim_Machine!$A$2:$A$8,0))*I59</f>
        <v>38640</v>
      </c>
      <c r="K59" s="4">
        <f>ROUND(J59*0.832,0)</f>
        <v>32148</v>
      </c>
      <c r="L59" s="4">
        <f>ROUND(K59*0.0251,0)</f>
        <v>807</v>
      </c>
      <c r="M59" s="4">
        <f t="shared" si="1"/>
        <v>31341</v>
      </c>
      <c r="N59" s="4">
        <f t="shared" si="2"/>
        <v>0.83198757763975151</v>
      </c>
      <c r="O59" s="4">
        <f t="shared" si="3"/>
        <v>0.95833333333333337</v>
      </c>
      <c r="P59" s="4">
        <f>IFERROR((K59/I59)/(INDEX(Dim_Machine!$E$2:$E$8,MATCH(D59,Dim_Machine!$A$2:$A$8,0))*INDEX(Dim_Machine!$D$2:$D$8,MATCH(D59,Dim_Machine!$A$2:$A$8,0))),0)</f>
        <v>0.83198757763975162</v>
      </c>
      <c r="Q59" s="4">
        <f t="shared" si="4"/>
        <v>0.97489734975737219</v>
      </c>
      <c r="R59" s="4">
        <f t="shared" si="5"/>
        <v>0.77730654761904772</v>
      </c>
      <c r="S59" s="4">
        <f>T59/0.847</f>
        <v>9.2505903187721383</v>
      </c>
      <c r="T59" s="4">
        <f>M59*INDEX(Dim_Product!$C$2:$C$4,MATCH(F59,Dim_Product!$A$2:$A$4,0))/1000000</f>
        <v>7.8352500000000003</v>
      </c>
      <c r="U59" s="19">
        <f t="shared" si="6"/>
        <v>0.84699999999999986</v>
      </c>
    </row>
    <row r="60" spans="1:21" x14ac:dyDescent="0.25">
      <c r="A60" s="18" t="s">
        <v>201</v>
      </c>
      <c r="B60" s="4">
        <v>20260701</v>
      </c>
      <c r="C60" s="4">
        <v>8</v>
      </c>
      <c r="D60" s="4" t="s">
        <v>23</v>
      </c>
      <c r="E60" s="4" t="s">
        <v>16</v>
      </c>
      <c r="F60" s="4" t="s">
        <v>187</v>
      </c>
      <c r="G60" s="4">
        <v>60</v>
      </c>
      <c r="H60" s="4">
        <v>2.1</v>
      </c>
      <c r="I60" s="4">
        <f t="shared" si="0"/>
        <v>57.9</v>
      </c>
      <c r="J60" s="4">
        <f>INDEX(Dim_Machine!$E$2:$E$8,MATCH(D60,Dim_Machine!$A$2:$A$8,0))*INDEX(Dim_Machine!$D$2:$D$8,MATCH(D60,Dim_Machine!$A$2:$A$8,0))*I60</f>
        <v>15285.6</v>
      </c>
      <c r="K60" s="4">
        <f>ROUND(J60*0.806,0)</f>
        <v>12320</v>
      </c>
      <c r="L60" s="4">
        <f>ROUND(K60*0.0244,0)</f>
        <v>301</v>
      </c>
      <c r="M60" s="4">
        <f t="shared" si="1"/>
        <v>12019</v>
      </c>
      <c r="N60" s="4">
        <f t="shared" si="2"/>
        <v>0.8059873344847438</v>
      </c>
      <c r="O60" s="4">
        <f t="shared" si="3"/>
        <v>0.96499999999999997</v>
      </c>
      <c r="P60" s="4">
        <f>IFERROR((K60/I60)/(INDEX(Dim_Machine!$E$2:$E$8,MATCH(D60,Dim_Machine!$A$2:$A$8,0))*INDEX(Dim_Machine!$D$2:$D$8,MATCH(D60,Dim_Machine!$A$2:$A$8,0))),0)</f>
        <v>0.8059873344847438</v>
      </c>
      <c r="Q60" s="4">
        <f t="shared" si="4"/>
        <v>0.97556818181818183</v>
      </c>
      <c r="R60" s="4">
        <f t="shared" si="5"/>
        <v>0.75877525252525257</v>
      </c>
      <c r="S60" s="4">
        <f>T60/0.869</f>
        <v>4.1492520138089759</v>
      </c>
      <c r="T60" s="4">
        <f>M60*INDEX(Dim_Product!$C$2:$C$4,MATCH(F60,Dim_Product!$A$2:$A$4,0))/1000000</f>
        <v>3.6057000000000001</v>
      </c>
      <c r="U60" s="19">
        <f t="shared" si="6"/>
        <v>0.86899999999999999</v>
      </c>
    </row>
    <row r="61" spans="1:21" x14ac:dyDescent="0.25">
      <c r="A61" s="18" t="s">
        <v>202</v>
      </c>
      <c r="B61" s="4">
        <v>20260701</v>
      </c>
      <c r="C61" s="4">
        <v>8</v>
      </c>
      <c r="D61" s="4" t="s">
        <v>25</v>
      </c>
      <c r="E61" s="4" t="s">
        <v>16</v>
      </c>
      <c r="F61" s="4" t="s">
        <v>141</v>
      </c>
      <c r="G61" s="4">
        <v>60</v>
      </c>
      <c r="H61" s="4">
        <v>7.4</v>
      </c>
      <c r="I61" s="4">
        <f t="shared" si="0"/>
        <v>52.6</v>
      </c>
      <c r="J61" s="4">
        <f>INDEX(Dim_Machine!$E$2:$E$8,MATCH(D61,Dim_Machine!$A$2:$A$8,0))*INDEX(Dim_Machine!$D$2:$D$8,MATCH(D61,Dim_Machine!$A$2:$A$8,0))*I61</f>
        <v>37872</v>
      </c>
      <c r="K61" s="4">
        <f>ROUND(J61*0.967,0)</f>
        <v>36622</v>
      </c>
      <c r="L61" s="4">
        <f>ROUND(K61*0.0053,0)</f>
        <v>194</v>
      </c>
      <c r="M61" s="4">
        <f t="shared" si="1"/>
        <v>36428</v>
      </c>
      <c r="N61" s="4">
        <f t="shared" si="2"/>
        <v>0.9669940853400929</v>
      </c>
      <c r="O61" s="4">
        <f t="shared" si="3"/>
        <v>0.87666666666666671</v>
      </c>
      <c r="P61" s="4">
        <f>IFERROR((K61/I61)/(INDEX(Dim_Machine!$E$2:$E$8,MATCH(D61,Dim_Machine!$A$2:$A$8,0))*INDEX(Dim_Machine!$D$2:$D$8,MATCH(D61,Dim_Machine!$A$2:$A$8,0))),0)</f>
        <v>0.9669940853400929</v>
      </c>
      <c r="Q61" s="4">
        <f t="shared" si="4"/>
        <v>0.99470263775872425</v>
      </c>
      <c r="R61" s="4">
        <f t="shared" si="5"/>
        <v>0.84324074074074074</v>
      </c>
      <c r="S61" s="4">
        <f>T61/0.893</f>
        <v>10.198208286674131</v>
      </c>
      <c r="T61" s="4">
        <f>M61*INDEX(Dim_Product!$C$2:$C$4,MATCH(F61,Dim_Product!$A$2:$A$4,0))/1000000</f>
        <v>9.1069999999999993</v>
      </c>
      <c r="U61" s="19">
        <f t="shared" si="6"/>
        <v>0.89300000000000002</v>
      </c>
    </row>
    <row r="62" spans="1:21" x14ac:dyDescent="0.25">
      <c r="A62" s="18" t="s">
        <v>203</v>
      </c>
      <c r="B62" s="4">
        <v>20260701</v>
      </c>
      <c r="C62" s="4">
        <v>8</v>
      </c>
      <c r="D62" s="4" t="s">
        <v>27</v>
      </c>
      <c r="E62" s="4" t="s">
        <v>16</v>
      </c>
      <c r="F62" s="4" t="s">
        <v>143</v>
      </c>
      <c r="G62" s="4">
        <v>60</v>
      </c>
      <c r="H62" s="4">
        <v>4.5</v>
      </c>
      <c r="I62" s="4">
        <f t="shared" si="0"/>
        <v>55.5</v>
      </c>
      <c r="J62" s="4">
        <f>INDEX(Dim_Machine!$E$2:$E$8,MATCH(D62,Dim_Machine!$A$2:$A$8,0))*INDEX(Dim_Machine!$D$2:$D$8,MATCH(D62,Dim_Machine!$A$2:$A$8,0))*I62</f>
        <v>23088</v>
      </c>
      <c r="K62" s="4">
        <f>ROUND(J62*0.8,0)</f>
        <v>18470</v>
      </c>
      <c r="L62" s="4">
        <f>ROUND(K62*0.0211,0)</f>
        <v>390</v>
      </c>
      <c r="M62" s="4">
        <f t="shared" si="1"/>
        <v>18080</v>
      </c>
      <c r="N62" s="4">
        <f t="shared" si="2"/>
        <v>0.79998267498267495</v>
      </c>
      <c r="O62" s="4">
        <f t="shared" si="3"/>
        <v>0.92500000000000004</v>
      </c>
      <c r="P62" s="4">
        <f>IFERROR((K62/I62)/(INDEX(Dim_Machine!$E$2:$E$8,MATCH(D62,Dim_Machine!$A$2:$A$8,0))*INDEX(Dim_Machine!$D$2:$D$8,MATCH(D62,Dim_Machine!$A$2:$A$8,0))),0)</f>
        <v>0.79998267498267495</v>
      </c>
      <c r="Q62" s="4">
        <f t="shared" si="4"/>
        <v>0.97888467785598265</v>
      </c>
      <c r="R62" s="4">
        <f t="shared" si="5"/>
        <v>0.72435897435897434</v>
      </c>
      <c r="S62" s="4">
        <f>T62/0.876</f>
        <v>4.127853881278539</v>
      </c>
      <c r="T62" s="4">
        <f>M62*INDEX(Dim_Product!$C$2:$C$4,MATCH(F62,Dim_Product!$A$2:$A$4,0))/1000000</f>
        <v>3.6160000000000001</v>
      </c>
      <c r="U62" s="19">
        <f t="shared" si="6"/>
        <v>0.876</v>
      </c>
    </row>
    <row r="63" spans="1:21" x14ac:dyDescent="0.25">
      <c r="A63" s="18" t="s">
        <v>204</v>
      </c>
      <c r="B63" s="4">
        <v>20260701</v>
      </c>
      <c r="C63" s="4">
        <v>8</v>
      </c>
      <c r="D63" s="4" t="s">
        <v>29</v>
      </c>
      <c r="E63" s="4" t="s">
        <v>16</v>
      </c>
      <c r="F63" s="4" t="s">
        <v>143</v>
      </c>
      <c r="G63" s="4">
        <v>60</v>
      </c>
      <c r="H63" s="4">
        <v>1.1000000000000001</v>
      </c>
      <c r="I63" s="4">
        <f t="shared" si="0"/>
        <v>58.9</v>
      </c>
      <c r="J63" s="4">
        <f>INDEX(Dim_Machine!$E$2:$E$8,MATCH(D63,Dim_Machine!$A$2:$A$8,0))*INDEX(Dim_Machine!$D$2:$D$8,MATCH(D63,Dim_Machine!$A$2:$A$8,0))*I63</f>
        <v>16963.2</v>
      </c>
      <c r="K63" s="4">
        <f>ROUND(J63*0.85,0)</f>
        <v>14419</v>
      </c>
      <c r="L63" s="4">
        <f>ROUND(K63*0.0071,0)</f>
        <v>102</v>
      </c>
      <c r="M63" s="4">
        <f t="shared" si="1"/>
        <v>14317</v>
      </c>
      <c r="N63" s="4">
        <f t="shared" si="2"/>
        <v>0.85001650631956227</v>
      </c>
      <c r="O63" s="4">
        <f t="shared" si="3"/>
        <v>0.98166666666666669</v>
      </c>
      <c r="P63" s="4">
        <f>IFERROR((K63/I63)/(INDEX(Dim_Machine!$E$2:$E$8,MATCH(D63,Dim_Machine!$A$2:$A$8,0))*INDEX(Dim_Machine!$D$2:$D$8,MATCH(D63,Dim_Machine!$A$2:$A$8,0))),0)</f>
        <v>0.85001650631956238</v>
      </c>
      <c r="Q63" s="4">
        <f t="shared" si="4"/>
        <v>0.99292600041611767</v>
      </c>
      <c r="R63" s="4">
        <f t="shared" si="5"/>
        <v>0.82853009259259269</v>
      </c>
      <c r="S63" s="4">
        <f>T63/0.837</f>
        <v>3.4210274790919954</v>
      </c>
      <c r="T63" s="4">
        <f>M63*INDEX(Dim_Product!$C$2:$C$4,MATCH(F63,Dim_Product!$A$2:$A$4,0))/1000000</f>
        <v>2.8633999999999999</v>
      </c>
      <c r="U63" s="19">
        <f t="shared" si="6"/>
        <v>0.83699999999999997</v>
      </c>
    </row>
    <row r="64" spans="1:21" x14ac:dyDescent="0.25">
      <c r="A64" s="18" t="s">
        <v>205</v>
      </c>
      <c r="B64" s="4">
        <v>20260701</v>
      </c>
      <c r="C64" s="4">
        <v>8</v>
      </c>
      <c r="D64" s="4" t="s">
        <v>31</v>
      </c>
      <c r="E64" s="4" t="s">
        <v>16</v>
      </c>
      <c r="F64" s="4" t="s">
        <v>143</v>
      </c>
      <c r="G64" s="4">
        <v>60</v>
      </c>
      <c r="H64" s="4">
        <v>2.2999999999999998</v>
      </c>
      <c r="I64" s="4">
        <f t="shared" si="0"/>
        <v>57.7</v>
      </c>
      <c r="J64" s="4">
        <f>INDEX(Dim_Machine!$E$2:$E$8,MATCH(D64,Dim_Machine!$A$2:$A$8,0))*INDEX(Dim_Machine!$D$2:$D$8,MATCH(D64,Dim_Machine!$A$2:$A$8,0))*I64</f>
        <v>37389.599999999999</v>
      </c>
      <c r="K64" s="4">
        <f>ROUND(J64*0.868,0)</f>
        <v>32454</v>
      </c>
      <c r="L64" s="4">
        <f>ROUND(K64*0.0213,0)</f>
        <v>691</v>
      </c>
      <c r="M64" s="4">
        <f t="shared" si="1"/>
        <v>31763</v>
      </c>
      <c r="N64" s="4">
        <f t="shared" si="2"/>
        <v>0.86799537839399199</v>
      </c>
      <c r="O64" s="4">
        <f t="shared" si="3"/>
        <v>0.96166666666666667</v>
      </c>
      <c r="P64" s="4">
        <f>IFERROR((K64/I64)/(INDEX(Dim_Machine!$E$2:$E$8,MATCH(D64,Dim_Machine!$A$2:$A$8,0))*INDEX(Dim_Machine!$D$2:$D$8,MATCH(D64,Dim_Machine!$A$2:$A$8,0))),0)</f>
        <v>0.86799537839399199</v>
      </c>
      <c r="Q64" s="4">
        <f t="shared" si="4"/>
        <v>0.97870832563012267</v>
      </c>
      <c r="R64" s="4">
        <f t="shared" si="5"/>
        <v>0.81694958847736632</v>
      </c>
      <c r="S64" s="4">
        <f>T64/0.845</f>
        <v>7.5178698224852072</v>
      </c>
      <c r="T64" s="4">
        <f>M64*INDEX(Dim_Product!$C$2:$C$4,MATCH(F64,Dim_Product!$A$2:$A$4,0))/1000000</f>
        <v>6.3525999999999998</v>
      </c>
      <c r="U64" s="19">
        <f t="shared" si="6"/>
        <v>0.84499999999999997</v>
      </c>
    </row>
    <row r="65" spans="1:21" x14ac:dyDescent="0.25">
      <c r="A65" s="18" t="s">
        <v>206</v>
      </c>
      <c r="B65" s="4">
        <v>20260701</v>
      </c>
      <c r="C65" s="4">
        <v>9</v>
      </c>
      <c r="D65" s="4" t="s">
        <v>15</v>
      </c>
      <c r="E65" s="4" t="s">
        <v>16</v>
      </c>
      <c r="F65" s="4" t="s">
        <v>143</v>
      </c>
      <c r="G65" s="4">
        <v>60</v>
      </c>
      <c r="H65" s="4">
        <v>7.9</v>
      </c>
      <c r="I65" s="4">
        <f t="shared" si="0"/>
        <v>52.1</v>
      </c>
      <c r="J65" s="4">
        <f>INDEX(Dim_Machine!$E$2:$E$8,MATCH(D65,Dim_Machine!$A$2:$A$8,0))*INDEX(Dim_Machine!$D$2:$D$8,MATCH(D65,Dim_Machine!$A$2:$A$8,0))*I65</f>
        <v>20840</v>
      </c>
      <c r="K65" s="4">
        <f>ROUND(J65*0.941,0)</f>
        <v>19610</v>
      </c>
      <c r="L65" s="4">
        <f>ROUND(K65*0.0209,0)</f>
        <v>410</v>
      </c>
      <c r="M65" s="4">
        <f t="shared" si="1"/>
        <v>19200</v>
      </c>
      <c r="N65" s="4">
        <f t="shared" si="2"/>
        <v>0.94097888675623798</v>
      </c>
      <c r="O65" s="4">
        <f t="shared" si="3"/>
        <v>0.8683333333333334</v>
      </c>
      <c r="P65" s="4">
        <f>IFERROR((K65/I65)/(INDEX(Dim_Machine!$E$2:$E$8,MATCH(D65,Dim_Machine!$A$2:$A$8,0))*INDEX(Dim_Machine!$D$2:$D$8,MATCH(D65,Dim_Machine!$A$2:$A$8,0))),0)</f>
        <v>0.94097888675623798</v>
      </c>
      <c r="Q65" s="4">
        <f t="shared" si="4"/>
        <v>0.97909229984701684</v>
      </c>
      <c r="R65" s="4">
        <f t="shared" si="5"/>
        <v>0.8</v>
      </c>
      <c r="S65" s="4">
        <f>T65/0.9</f>
        <v>4.2666666666666666</v>
      </c>
      <c r="T65" s="4">
        <f>M65*INDEX(Dim_Product!$C$2:$C$4,MATCH(F65,Dim_Product!$A$2:$A$4,0))/1000000</f>
        <v>3.84</v>
      </c>
      <c r="U65" s="19">
        <f t="shared" si="6"/>
        <v>0.9</v>
      </c>
    </row>
    <row r="66" spans="1:21" x14ac:dyDescent="0.25">
      <c r="A66" s="18" t="s">
        <v>207</v>
      </c>
      <c r="B66" s="4">
        <v>20260701</v>
      </c>
      <c r="C66" s="4">
        <v>9</v>
      </c>
      <c r="D66" s="4" t="s">
        <v>19</v>
      </c>
      <c r="E66" s="4" t="s">
        <v>16</v>
      </c>
      <c r="F66" s="4" t="s">
        <v>141</v>
      </c>
      <c r="G66" s="4">
        <v>60</v>
      </c>
      <c r="H66" s="4">
        <v>4.4000000000000004</v>
      </c>
      <c r="I66" s="4">
        <f t="shared" ref="I66:I129" si="7">G66-H66</f>
        <v>55.6</v>
      </c>
      <c r="J66" s="4">
        <f>INDEX(Dim_Machine!$E$2:$E$8,MATCH(D66,Dim_Machine!$A$2:$A$8,0))*INDEX(Dim_Machine!$D$2:$D$8,MATCH(D66,Dim_Machine!$A$2:$A$8,0))*I66</f>
        <v>37363.200000000004</v>
      </c>
      <c r="K66" s="4">
        <f>ROUND(J66*0.966,0)</f>
        <v>36093</v>
      </c>
      <c r="L66" s="4">
        <f>ROUND(K66*0.0081,0)</f>
        <v>292</v>
      </c>
      <c r="M66" s="4">
        <f t="shared" ref="M66:M129" si="8">K66-L66</f>
        <v>35801</v>
      </c>
      <c r="N66" s="4">
        <f t="shared" ref="N66:N129" si="9">IFERROR(K66/J66,0)</f>
        <v>0.96600398252826303</v>
      </c>
      <c r="O66" s="4">
        <f t="shared" ref="O66:O129" si="10">IFERROR(I66/G66,0)</f>
        <v>0.92666666666666664</v>
      </c>
      <c r="P66" s="4">
        <f>IFERROR((K66/I66)/(INDEX(Dim_Machine!$E$2:$E$8,MATCH(D66,Dim_Machine!$A$2:$A$8,0))*INDEX(Dim_Machine!$D$2:$D$8,MATCH(D66,Dim_Machine!$A$2:$A$8,0))),0)</f>
        <v>0.96600398252826314</v>
      </c>
      <c r="Q66" s="4">
        <f t="shared" ref="Q66:Q129" si="11">IFERROR(M66/K66,0)</f>
        <v>0.9919097886016679</v>
      </c>
      <c r="R66" s="4">
        <f t="shared" ref="R66:R129" si="12">O66*P66*Q66</f>
        <v>0.88792162698412702</v>
      </c>
      <c r="S66" s="4">
        <f>T66/0.932</f>
        <v>9.603272532188841</v>
      </c>
      <c r="T66" s="4">
        <f>M66*INDEX(Dim_Product!$C$2:$C$4,MATCH(F66,Dim_Product!$A$2:$A$4,0))/1000000</f>
        <v>8.9502500000000005</v>
      </c>
      <c r="U66" s="19">
        <f t="shared" ref="U66:U129" si="13">IFERROR(T66/S66,0)</f>
        <v>0.93200000000000005</v>
      </c>
    </row>
    <row r="67" spans="1:21" x14ac:dyDescent="0.25">
      <c r="A67" s="18" t="s">
        <v>208</v>
      </c>
      <c r="B67" s="4">
        <v>20260701</v>
      </c>
      <c r="C67" s="4">
        <v>9</v>
      </c>
      <c r="D67" s="4" t="s">
        <v>23</v>
      </c>
      <c r="E67" s="4" t="s">
        <v>16</v>
      </c>
      <c r="F67" s="4" t="s">
        <v>187</v>
      </c>
      <c r="G67" s="4">
        <v>60</v>
      </c>
      <c r="H67" s="4">
        <v>2.1</v>
      </c>
      <c r="I67" s="4">
        <f t="shared" si="7"/>
        <v>57.9</v>
      </c>
      <c r="J67" s="4">
        <f>INDEX(Dim_Machine!$E$2:$E$8,MATCH(D67,Dim_Machine!$A$2:$A$8,0))*INDEX(Dim_Machine!$D$2:$D$8,MATCH(D67,Dim_Machine!$A$2:$A$8,0))*I67</f>
        <v>15285.6</v>
      </c>
      <c r="K67" s="4">
        <f>ROUND(J67*0.958,0)</f>
        <v>14644</v>
      </c>
      <c r="L67" s="4">
        <f>ROUND(K67*0.0273,0)</f>
        <v>400</v>
      </c>
      <c r="M67" s="4">
        <f t="shared" si="8"/>
        <v>14244</v>
      </c>
      <c r="N67" s="4">
        <f t="shared" si="9"/>
        <v>0.95802585439891141</v>
      </c>
      <c r="O67" s="4">
        <f t="shared" si="10"/>
        <v>0.96499999999999997</v>
      </c>
      <c r="P67" s="4">
        <f>IFERROR((K67/I67)/(INDEX(Dim_Machine!$E$2:$E$8,MATCH(D67,Dim_Machine!$A$2:$A$8,0))*INDEX(Dim_Machine!$D$2:$D$8,MATCH(D67,Dim_Machine!$A$2:$A$8,0))),0)</f>
        <v>0.95802585439891141</v>
      </c>
      <c r="Q67" s="4">
        <f t="shared" si="11"/>
        <v>0.97268505872712374</v>
      </c>
      <c r="R67" s="4">
        <f t="shared" si="12"/>
        <v>0.89924242424242429</v>
      </c>
      <c r="S67" s="4">
        <f>T67/0.823</f>
        <v>5.1922235722964771</v>
      </c>
      <c r="T67" s="4">
        <f>M67*INDEX(Dim_Product!$C$2:$C$4,MATCH(F67,Dim_Product!$A$2:$A$4,0))/1000000</f>
        <v>4.2732000000000001</v>
      </c>
      <c r="U67" s="19">
        <f t="shared" si="13"/>
        <v>0.82299999999999984</v>
      </c>
    </row>
    <row r="68" spans="1:21" x14ac:dyDescent="0.25">
      <c r="A68" s="18" t="s">
        <v>209</v>
      </c>
      <c r="B68" s="4">
        <v>20260701</v>
      </c>
      <c r="C68" s="4">
        <v>9</v>
      </c>
      <c r="D68" s="4" t="s">
        <v>25</v>
      </c>
      <c r="E68" s="4" t="s">
        <v>16</v>
      </c>
      <c r="F68" s="4" t="s">
        <v>141</v>
      </c>
      <c r="G68" s="4">
        <v>60</v>
      </c>
      <c r="H68" s="4">
        <v>2.2999999999999998</v>
      </c>
      <c r="I68" s="4">
        <f t="shared" si="7"/>
        <v>57.7</v>
      </c>
      <c r="J68" s="4">
        <f>INDEX(Dim_Machine!$E$2:$E$8,MATCH(D68,Dim_Machine!$A$2:$A$8,0))*INDEX(Dim_Machine!$D$2:$D$8,MATCH(D68,Dim_Machine!$A$2:$A$8,0))*I68</f>
        <v>41544</v>
      </c>
      <c r="K68" s="4">
        <f>ROUND(J68*0.822,0)</f>
        <v>34149</v>
      </c>
      <c r="L68" s="4">
        <f>ROUND(K68*0.0153,0)</f>
        <v>522</v>
      </c>
      <c r="M68" s="4">
        <f t="shared" si="8"/>
        <v>33627</v>
      </c>
      <c r="N68" s="4">
        <f t="shared" si="9"/>
        <v>0.82199595609474296</v>
      </c>
      <c r="O68" s="4">
        <f t="shared" si="10"/>
        <v>0.96166666666666667</v>
      </c>
      <c r="P68" s="4">
        <f>IFERROR((K68/I68)/(INDEX(Dim_Machine!$E$2:$E$8,MATCH(D68,Dim_Machine!$A$2:$A$8,0))*INDEX(Dim_Machine!$D$2:$D$8,MATCH(D68,Dim_Machine!$A$2:$A$8,0))),0)</f>
        <v>0.82199595609474285</v>
      </c>
      <c r="Q68" s="4">
        <f t="shared" si="11"/>
        <v>0.98471404726346301</v>
      </c>
      <c r="R68" s="4">
        <f t="shared" si="12"/>
        <v>0.77840277777777767</v>
      </c>
      <c r="S68" s="4">
        <f>T68/0.903</f>
        <v>9.3098006644518279</v>
      </c>
      <c r="T68" s="4">
        <f>M68*INDEX(Dim_Product!$C$2:$C$4,MATCH(F68,Dim_Product!$A$2:$A$4,0))/1000000</f>
        <v>8.4067500000000006</v>
      </c>
      <c r="U68" s="19">
        <f t="shared" si="13"/>
        <v>0.90300000000000002</v>
      </c>
    </row>
    <row r="69" spans="1:21" x14ac:dyDescent="0.25">
      <c r="A69" s="18" t="s">
        <v>210</v>
      </c>
      <c r="B69" s="4">
        <v>20260701</v>
      </c>
      <c r="C69" s="4">
        <v>9</v>
      </c>
      <c r="D69" s="4" t="s">
        <v>27</v>
      </c>
      <c r="E69" s="4" t="s">
        <v>16</v>
      </c>
      <c r="F69" s="4" t="s">
        <v>143</v>
      </c>
      <c r="G69" s="4">
        <v>60</v>
      </c>
      <c r="H69" s="4">
        <v>6.8</v>
      </c>
      <c r="I69" s="4">
        <f t="shared" si="7"/>
        <v>53.2</v>
      </c>
      <c r="J69" s="4">
        <f>INDEX(Dim_Machine!$E$2:$E$8,MATCH(D69,Dim_Machine!$A$2:$A$8,0))*INDEX(Dim_Machine!$D$2:$D$8,MATCH(D69,Dim_Machine!$A$2:$A$8,0))*I69</f>
        <v>22131.200000000001</v>
      </c>
      <c r="K69" s="4">
        <f>ROUND(J69*0.881,0)</f>
        <v>19498</v>
      </c>
      <c r="L69" s="4">
        <f>ROUND(K69*0.0125,0)</f>
        <v>244</v>
      </c>
      <c r="M69" s="4">
        <f t="shared" si="8"/>
        <v>19254</v>
      </c>
      <c r="N69" s="4">
        <f t="shared" si="9"/>
        <v>0.88101865240023136</v>
      </c>
      <c r="O69" s="4">
        <f t="shared" si="10"/>
        <v>0.88666666666666671</v>
      </c>
      <c r="P69" s="4">
        <f>IFERROR((K69/I69)/(INDEX(Dim_Machine!$E$2:$E$8,MATCH(D69,Dim_Machine!$A$2:$A$8,0))*INDEX(Dim_Machine!$D$2:$D$8,MATCH(D69,Dim_Machine!$A$2:$A$8,0))),0)</f>
        <v>0.88101865240023136</v>
      </c>
      <c r="Q69" s="4">
        <f t="shared" si="11"/>
        <v>0.98748589598933223</v>
      </c>
      <c r="R69" s="4">
        <f t="shared" si="12"/>
        <v>0.77139423076923086</v>
      </c>
      <c r="S69" s="4">
        <f>T69/0.936</f>
        <v>4.1141025641025637</v>
      </c>
      <c r="T69" s="4">
        <f>M69*INDEX(Dim_Product!$C$2:$C$4,MATCH(F69,Dim_Product!$A$2:$A$4,0))/1000000</f>
        <v>3.8508</v>
      </c>
      <c r="U69" s="19">
        <f t="shared" si="13"/>
        <v>0.93600000000000005</v>
      </c>
    </row>
    <row r="70" spans="1:21" x14ac:dyDescent="0.25">
      <c r="A70" s="18" t="s">
        <v>211</v>
      </c>
      <c r="B70" s="4">
        <v>20260701</v>
      </c>
      <c r="C70" s="4">
        <v>9</v>
      </c>
      <c r="D70" s="4" t="s">
        <v>29</v>
      </c>
      <c r="E70" s="4" t="s">
        <v>16</v>
      </c>
      <c r="F70" s="4" t="s">
        <v>143</v>
      </c>
      <c r="G70" s="4">
        <v>60</v>
      </c>
      <c r="H70" s="4">
        <v>0.4</v>
      </c>
      <c r="I70" s="4">
        <f t="shared" si="7"/>
        <v>59.6</v>
      </c>
      <c r="J70" s="4">
        <f>INDEX(Dim_Machine!$E$2:$E$8,MATCH(D70,Dim_Machine!$A$2:$A$8,0))*INDEX(Dim_Machine!$D$2:$D$8,MATCH(D70,Dim_Machine!$A$2:$A$8,0))*I70</f>
        <v>17164.8</v>
      </c>
      <c r="K70" s="4">
        <f>ROUND(J70*0.907,0)</f>
        <v>15568</v>
      </c>
      <c r="L70" s="4">
        <f>ROUND(K70*0.0299,0)</f>
        <v>465</v>
      </c>
      <c r="M70" s="4">
        <f t="shared" si="8"/>
        <v>15103</v>
      </c>
      <c r="N70" s="4">
        <f t="shared" si="9"/>
        <v>0.90697240865026107</v>
      </c>
      <c r="O70" s="4">
        <f t="shared" si="10"/>
        <v>0.9933333333333334</v>
      </c>
      <c r="P70" s="4">
        <f>IFERROR((K70/I70)/(INDEX(Dim_Machine!$E$2:$E$8,MATCH(D70,Dim_Machine!$A$2:$A$8,0))*INDEX(Dim_Machine!$D$2:$D$8,MATCH(D70,Dim_Machine!$A$2:$A$8,0))),0)</f>
        <v>0.90697240865026096</v>
      </c>
      <c r="Q70" s="4">
        <f t="shared" si="11"/>
        <v>0.97013103802672151</v>
      </c>
      <c r="R70" s="4">
        <f t="shared" si="12"/>
        <v>0.8740162037037037</v>
      </c>
      <c r="S70" s="4">
        <f>T70/0.807</f>
        <v>3.7429987608426267</v>
      </c>
      <c r="T70" s="4">
        <f>M70*INDEX(Dim_Product!$C$2:$C$4,MATCH(F70,Dim_Product!$A$2:$A$4,0))/1000000</f>
        <v>3.0206</v>
      </c>
      <c r="U70" s="19">
        <f t="shared" si="13"/>
        <v>0.80700000000000005</v>
      </c>
    </row>
    <row r="71" spans="1:21" x14ac:dyDescent="0.25">
      <c r="A71" s="18" t="s">
        <v>212</v>
      </c>
      <c r="B71" s="4">
        <v>20260701</v>
      </c>
      <c r="C71" s="4">
        <v>9</v>
      </c>
      <c r="D71" s="4" t="s">
        <v>31</v>
      </c>
      <c r="E71" s="4" t="s">
        <v>16</v>
      </c>
      <c r="F71" s="4" t="s">
        <v>143</v>
      </c>
      <c r="G71" s="4">
        <v>60</v>
      </c>
      <c r="H71" s="4">
        <v>2.7</v>
      </c>
      <c r="I71" s="4">
        <f t="shared" si="7"/>
        <v>57.3</v>
      </c>
      <c r="J71" s="4">
        <f>INDEX(Dim_Machine!$E$2:$E$8,MATCH(D71,Dim_Machine!$A$2:$A$8,0))*INDEX(Dim_Machine!$D$2:$D$8,MATCH(D71,Dim_Machine!$A$2:$A$8,0))*I71</f>
        <v>37130.400000000001</v>
      </c>
      <c r="K71" s="4">
        <f>ROUND(J71*0.806,0)</f>
        <v>29927</v>
      </c>
      <c r="L71" s="4">
        <f>ROUND(K71*0.0344,0)</f>
        <v>1029</v>
      </c>
      <c r="M71" s="4">
        <f t="shared" si="8"/>
        <v>28898</v>
      </c>
      <c r="N71" s="4">
        <f t="shared" si="9"/>
        <v>0.80599724215198321</v>
      </c>
      <c r="O71" s="4">
        <f t="shared" si="10"/>
        <v>0.95499999999999996</v>
      </c>
      <c r="P71" s="4">
        <f>IFERROR((K71/I71)/(INDEX(Dim_Machine!$E$2:$E$8,MATCH(D71,Dim_Machine!$A$2:$A$8,0))*INDEX(Dim_Machine!$D$2:$D$8,MATCH(D71,Dim_Machine!$A$2:$A$8,0))),0)</f>
        <v>0.80599724215198332</v>
      </c>
      <c r="Q71" s="4">
        <f t="shared" si="11"/>
        <v>0.96561633307715444</v>
      </c>
      <c r="R71" s="4">
        <f t="shared" si="12"/>
        <v>0.74326131687242802</v>
      </c>
      <c r="S71" s="4">
        <f>T71/0.824</f>
        <v>7.014077669902913</v>
      </c>
      <c r="T71" s="4">
        <f>M71*INDEX(Dim_Product!$C$2:$C$4,MATCH(F71,Dim_Product!$A$2:$A$4,0))/1000000</f>
        <v>5.7796000000000003</v>
      </c>
      <c r="U71" s="19">
        <f t="shared" si="13"/>
        <v>0.82399999999999995</v>
      </c>
    </row>
    <row r="72" spans="1:21" x14ac:dyDescent="0.25">
      <c r="A72" s="18" t="s">
        <v>213</v>
      </c>
      <c r="B72" s="4">
        <v>20260701</v>
      </c>
      <c r="C72" s="4">
        <v>10</v>
      </c>
      <c r="D72" s="4" t="s">
        <v>15</v>
      </c>
      <c r="E72" s="4" t="s">
        <v>16</v>
      </c>
      <c r="F72" s="4" t="s">
        <v>143</v>
      </c>
      <c r="G72" s="4">
        <v>60</v>
      </c>
      <c r="H72" s="4">
        <v>3.5</v>
      </c>
      <c r="I72" s="4">
        <f t="shared" si="7"/>
        <v>56.5</v>
      </c>
      <c r="J72" s="4">
        <f>INDEX(Dim_Machine!$E$2:$E$8,MATCH(D72,Dim_Machine!$A$2:$A$8,0))*INDEX(Dim_Machine!$D$2:$D$8,MATCH(D72,Dim_Machine!$A$2:$A$8,0))*I72</f>
        <v>22600</v>
      </c>
      <c r="K72" s="4">
        <f>ROUND(J72*0.921,0)</f>
        <v>20815</v>
      </c>
      <c r="L72" s="4">
        <f>ROUND(K72*0.0218,0)</f>
        <v>454</v>
      </c>
      <c r="M72" s="4">
        <f t="shared" si="8"/>
        <v>20361</v>
      </c>
      <c r="N72" s="4">
        <f t="shared" si="9"/>
        <v>0.92101769911504427</v>
      </c>
      <c r="O72" s="4">
        <f t="shared" si="10"/>
        <v>0.94166666666666665</v>
      </c>
      <c r="P72" s="4">
        <f>IFERROR((K72/I72)/(INDEX(Dim_Machine!$E$2:$E$8,MATCH(D72,Dim_Machine!$A$2:$A$8,0))*INDEX(Dim_Machine!$D$2:$D$8,MATCH(D72,Dim_Machine!$A$2:$A$8,0))),0)</f>
        <v>0.92101769911504416</v>
      </c>
      <c r="Q72" s="4">
        <f t="shared" si="11"/>
        <v>0.9781888061494115</v>
      </c>
      <c r="R72" s="4">
        <f t="shared" si="12"/>
        <v>0.84837499999999988</v>
      </c>
      <c r="S72" s="4">
        <f>T72/0.817</f>
        <v>4.9843329253365969</v>
      </c>
      <c r="T72" s="4">
        <f>M72*INDEX(Dim_Product!$C$2:$C$4,MATCH(F72,Dim_Product!$A$2:$A$4,0))/1000000</f>
        <v>4.0721999999999996</v>
      </c>
      <c r="U72" s="19">
        <f t="shared" si="13"/>
        <v>0.81699999999999995</v>
      </c>
    </row>
    <row r="73" spans="1:21" x14ac:dyDescent="0.25">
      <c r="A73" s="18" t="s">
        <v>214</v>
      </c>
      <c r="B73" s="4">
        <v>20260701</v>
      </c>
      <c r="C73" s="4">
        <v>10</v>
      </c>
      <c r="D73" s="4" t="s">
        <v>19</v>
      </c>
      <c r="E73" s="4" t="s">
        <v>16</v>
      </c>
      <c r="F73" s="4" t="s">
        <v>141</v>
      </c>
      <c r="G73" s="4">
        <v>60</v>
      </c>
      <c r="H73" s="4">
        <v>7.6</v>
      </c>
      <c r="I73" s="4">
        <f t="shared" si="7"/>
        <v>52.4</v>
      </c>
      <c r="J73" s="4">
        <f>INDEX(Dim_Machine!$E$2:$E$8,MATCH(D73,Dim_Machine!$A$2:$A$8,0))*INDEX(Dim_Machine!$D$2:$D$8,MATCH(D73,Dim_Machine!$A$2:$A$8,0))*I73</f>
        <v>35212.799999999996</v>
      </c>
      <c r="K73" s="4">
        <f>ROUND(J73*0.918,0)</f>
        <v>32325</v>
      </c>
      <c r="L73" s="4">
        <f>ROUND(K73*0.0095,0)</f>
        <v>307</v>
      </c>
      <c r="M73" s="4">
        <f t="shared" si="8"/>
        <v>32018</v>
      </c>
      <c r="N73" s="4">
        <f t="shared" si="9"/>
        <v>0.91799004907306447</v>
      </c>
      <c r="O73" s="4">
        <f t="shared" si="10"/>
        <v>0.87333333333333329</v>
      </c>
      <c r="P73" s="4">
        <f>IFERROR((K73/I73)/(INDEX(Dim_Machine!$E$2:$E$8,MATCH(D73,Dim_Machine!$A$2:$A$8,0))*INDEX(Dim_Machine!$D$2:$D$8,MATCH(D73,Dim_Machine!$A$2:$A$8,0))),0)</f>
        <v>0.91799004907306436</v>
      </c>
      <c r="Q73" s="4">
        <f t="shared" si="11"/>
        <v>0.99050270688321729</v>
      </c>
      <c r="R73" s="4">
        <f t="shared" si="12"/>
        <v>0.79409722222222223</v>
      </c>
      <c r="S73" s="4">
        <f>T73/0.805</f>
        <v>9.9434782608695649</v>
      </c>
      <c r="T73" s="4">
        <f>M73*INDEX(Dim_Product!$C$2:$C$4,MATCH(F73,Dim_Product!$A$2:$A$4,0))/1000000</f>
        <v>8.0045000000000002</v>
      </c>
      <c r="U73" s="19">
        <f t="shared" si="13"/>
        <v>0.80500000000000005</v>
      </c>
    </row>
    <row r="74" spans="1:21" x14ac:dyDescent="0.25">
      <c r="A74" s="18" t="s">
        <v>215</v>
      </c>
      <c r="B74" s="4">
        <v>20260701</v>
      </c>
      <c r="C74" s="4">
        <v>10</v>
      </c>
      <c r="D74" s="4" t="s">
        <v>23</v>
      </c>
      <c r="E74" s="4" t="s">
        <v>16</v>
      </c>
      <c r="F74" s="4" t="s">
        <v>187</v>
      </c>
      <c r="G74" s="4">
        <v>60</v>
      </c>
      <c r="H74" s="4">
        <v>3</v>
      </c>
      <c r="I74" s="4">
        <f t="shared" si="7"/>
        <v>57</v>
      </c>
      <c r="J74" s="4">
        <f>INDEX(Dim_Machine!$E$2:$E$8,MATCH(D74,Dim_Machine!$A$2:$A$8,0))*INDEX(Dim_Machine!$D$2:$D$8,MATCH(D74,Dim_Machine!$A$2:$A$8,0))*I74</f>
        <v>15048</v>
      </c>
      <c r="K74" s="4">
        <f>ROUND(J74*0.891,0)</f>
        <v>13408</v>
      </c>
      <c r="L74" s="4">
        <f>ROUND(K74*0.0179,0)</f>
        <v>240</v>
      </c>
      <c r="M74" s="4">
        <f t="shared" si="8"/>
        <v>13168</v>
      </c>
      <c r="N74" s="4">
        <f t="shared" si="9"/>
        <v>0.89101541733120682</v>
      </c>
      <c r="O74" s="4">
        <f t="shared" si="10"/>
        <v>0.95</v>
      </c>
      <c r="P74" s="4">
        <f>IFERROR((K74/I74)/(INDEX(Dim_Machine!$E$2:$E$8,MATCH(D74,Dim_Machine!$A$2:$A$8,0))*INDEX(Dim_Machine!$D$2:$D$8,MATCH(D74,Dim_Machine!$A$2:$A$8,0))),0)</f>
        <v>0.89101541733120682</v>
      </c>
      <c r="Q74" s="4">
        <f t="shared" si="11"/>
        <v>0.9821002386634845</v>
      </c>
      <c r="R74" s="4">
        <f t="shared" si="12"/>
        <v>0.83131313131313134</v>
      </c>
      <c r="S74" s="4">
        <f>T74/0.806</f>
        <v>4.9012406947890819</v>
      </c>
      <c r="T74" s="4">
        <f>M74*INDEX(Dim_Product!$C$2:$C$4,MATCH(F74,Dim_Product!$A$2:$A$4,0))/1000000</f>
        <v>3.9504000000000001</v>
      </c>
      <c r="U74" s="19">
        <f t="shared" si="13"/>
        <v>0.80600000000000005</v>
      </c>
    </row>
    <row r="75" spans="1:21" x14ac:dyDescent="0.25">
      <c r="A75" s="18" t="s">
        <v>216</v>
      </c>
      <c r="B75" s="4">
        <v>20260701</v>
      </c>
      <c r="C75" s="4">
        <v>10</v>
      </c>
      <c r="D75" s="4" t="s">
        <v>25</v>
      </c>
      <c r="E75" s="4" t="s">
        <v>16</v>
      </c>
      <c r="F75" s="4" t="s">
        <v>141</v>
      </c>
      <c r="G75" s="4">
        <v>60</v>
      </c>
      <c r="H75" s="4">
        <v>2.9</v>
      </c>
      <c r="I75" s="4">
        <f t="shared" si="7"/>
        <v>57.1</v>
      </c>
      <c r="J75" s="4">
        <f>INDEX(Dim_Machine!$E$2:$E$8,MATCH(D75,Dim_Machine!$A$2:$A$8,0))*INDEX(Dim_Machine!$D$2:$D$8,MATCH(D75,Dim_Machine!$A$2:$A$8,0))*I75</f>
        <v>41112</v>
      </c>
      <c r="K75" s="4">
        <f>ROUND(J75*0.967,0)</f>
        <v>39755</v>
      </c>
      <c r="L75" s="4">
        <f>ROUND(K75*0.0342,0)</f>
        <v>1360</v>
      </c>
      <c r="M75" s="4">
        <f t="shared" si="8"/>
        <v>38395</v>
      </c>
      <c r="N75" s="4">
        <f t="shared" si="9"/>
        <v>0.9669926055652851</v>
      </c>
      <c r="O75" s="4">
        <f t="shared" si="10"/>
        <v>0.95166666666666666</v>
      </c>
      <c r="P75" s="4">
        <f>IFERROR((K75/I75)/(INDEX(Dim_Machine!$E$2:$E$8,MATCH(D75,Dim_Machine!$A$2:$A$8,0))*INDEX(Dim_Machine!$D$2:$D$8,MATCH(D75,Dim_Machine!$A$2:$A$8,0))),0)</f>
        <v>0.96699260556528499</v>
      </c>
      <c r="Q75" s="4">
        <f t="shared" si="11"/>
        <v>0.96579046660797385</v>
      </c>
      <c r="R75" s="4">
        <f t="shared" si="12"/>
        <v>0.88877314814814812</v>
      </c>
      <c r="S75" s="4">
        <f>T75/0.806</f>
        <v>11.909119106699752</v>
      </c>
      <c r="T75" s="4">
        <f>M75*INDEX(Dim_Product!$C$2:$C$4,MATCH(F75,Dim_Product!$A$2:$A$4,0))/1000000</f>
        <v>9.5987500000000008</v>
      </c>
      <c r="U75" s="19">
        <f t="shared" si="13"/>
        <v>0.80600000000000005</v>
      </c>
    </row>
    <row r="76" spans="1:21" x14ac:dyDescent="0.25">
      <c r="A76" s="18" t="s">
        <v>217</v>
      </c>
      <c r="B76" s="4">
        <v>20260701</v>
      </c>
      <c r="C76" s="4">
        <v>10</v>
      </c>
      <c r="D76" s="4" t="s">
        <v>27</v>
      </c>
      <c r="E76" s="4" t="s">
        <v>16</v>
      </c>
      <c r="F76" s="4" t="s">
        <v>143</v>
      </c>
      <c r="G76" s="4">
        <v>60</v>
      </c>
      <c r="H76" s="4">
        <v>2.9</v>
      </c>
      <c r="I76" s="4">
        <f t="shared" si="7"/>
        <v>57.1</v>
      </c>
      <c r="J76" s="4">
        <f>INDEX(Dim_Machine!$E$2:$E$8,MATCH(D76,Dim_Machine!$A$2:$A$8,0))*INDEX(Dim_Machine!$D$2:$D$8,MATCH(D76,Dim_Machine!$A$2:$A$8,0))*I76</f>
        <v>23753.600000000002</v>
      </c>
      <c r="K76" s="4">
        <f>ROUND(J76*0.916,0)</f>
        <v>21758</v>
      </c>
      <c r="L76" s="4">
        <f>ROUND(K76*0.025,0)</f>
        <v>544</v>
      </c>
      <c r="M76" s="4">
        <f t="shared" si="8"/>
        <v>21214</v>
      </c>
      <c r="N76" s="4">
        <f t="shared" si="9"/>
        <v>0.91598747137276026</v>
      </c>
      <c r="O76" s="4">
        <f t="shared" si="10"/>
        <v>0.95166666666666666</v>
      </c>
      <c r="P76" s="4">
        <f>IFERROR((K76/I76)/(INDEX(Dim_Machine!$E$2:$E$8,MATCH(D76,Dim_Machine!$A$2:$A$8,0))*INDEX(Dim_Machine!$D$2:$D$8,MATCH(D76,Dim_Machine!$A$2:$A$8,0))),0)</f>
        <v>0.91598747137276026</v>
      </c>
      <c r="Q76" s="4">
        <f t="shared" si="11"/>
        <v>0.97499770199466862</v>
      </c>
      <c r="R76" s="4">
        <f t="shared" si="12"/>
        <v>0.84991987179487172</v>
      </c>
      <c r="S76" s="4">
        <f>T76/0.853</f>
        <v>4.9739742086752639</v>
      </c>
      <c r="T76" s="4">
        <f>M76*INDEX(Dim_Product!$C$2:$C$4,MATCH(F76,Dim_Product!$A$2:$A$4,0))/1000000</f>
        <v>4.2427999999999999</v>
      </c>
      <c r="U76" s="19">
        <f t="shared" si="13"/>
        <v>0.85299999999999998</v>
      </c>
    </row>
    <row r="77" spans="1:21" x14ac:dyDescent="0.25">
      <c r="A77" s="18" t="s">
        <v>218</v>
      </c>
      <c r="B77" s="4">
        <v>20260701</v>
      </c>
      <c r="C77" s="4">
        <v>10</v>
      </c>
      <c r="D77" s="4" t="s">
        <v>29</v>
      </c>
      <c r="E77" s="4" t="s">
        <v>16</v>
      </c>
      <c r="F77" s="4" t="s">
        <v>143</v>
      </c>
      <c r="G77" s="4">
        <v>60</v>
      </c>
      <c r="H77" s="4">
        <v>4.5</v>
      </c>
      <c r="I77" s="4">
        <f t="shared" si="7"/>
        <v>55.5</v>
      </c>
      <c r="J77" s="4">
        <f>INDEX(Dim_Machine!$E$2:$E$8,MATCH(D77,Dim_Machine!$A$2:$A$8,0))*INDEX(Dim_Machine!$D$2:$D$8,MATCH(D77,Dim_Machine!$A$2:$A$8,0))*I77</f>
        <v>15984</v>
      </c>
      <c r="K77" s="4">
        <f>ROUND(J77*0.955,0)</f>
        <v>15265</v>
      </c>
      <c r="L77" s="4">
        <f>ROUND(K77*0.0342,0)</f>
        <v>522</v>
      </c>
      <c r="M77" s="4">
        <f t="shared" si="8"/>
        <v>14743</v>
      </c>
      <c r="N77" s="4">
        <f t="shared" si="9"/>
        <v>0.95501751751751751</v>
      </c>
      <c r="O77" s="4">
        <f t="shared" si="10"/>
        <v>0.92500000000000004</v>
      </c>
      <c r="P77" s="4">
        <f>IFERROR((K77/I77)/(INDEX(Dim_Machine!$E$2:$E$8,MATCH(D77,Dim_Machine!$A$2:$A$8,0))*INDEX(Dim_Machine!$D$2:$D$8,MATCH(D77,Dim_Machine!$A$2:$A$8,0))),0)</f>
        <v>0.95501751751751762</v>
      </c>
      <c r="Q77" s="4">
        <f t="shared" si="11"/>
        <v>0.96580412708811003</v>
      </c>
      <c r="R77" s="4">
        <f t="shared" si="12"/>
        <v>0.85318287037037044</v>
      </c>
      <c r="S77" s="4">
        <f>T77/0.912</f>
        <v>3.233114035087719</v>
      </c>
      <c r="T77" s="4">
        <f>M77*INDEX(Dim_Product!$C$2:$C$4,MATCH(F77,Dim_Product!$A$2:$A$4,0))/1000000</f>
        <v>2.9485999999999999</v>
      </c>
      <c r="U77" s="19">
        <f t="shared" si="13"/>
        <v>0.91200000000000003</v>
      </c>
    </row>
    <row r="78" spans="1:21" x14ac:dyDescent="0.25">
      <c r="A78" s="18" t="s">
        <v>219</v>
      </c>
      <c r="B78" s="4">
        <v>20260701</v>
      </c>
      <c r="C78" s="4">
        <v>10</v>
      </c>
      <c r="D78" s="4" t="s">
        <v>31</v>
      </c>
      <c r="E78" s="4" t="s">
        <v>16</v>
      </c>
      <c r="F78" s="4" t="s">
        <v>143</v>
      </c>
      <c r="G78" s="4">
        <v>60</v>
      </c>
      <c r="H78" s="4">
        <v>7.4</v>
      </c>
      <c r="I78" s="4">
        <f t="shared" si="7"/>
        <v>52.6</v>
      </c>
      <c r="J78" s="4">
        <f>INDEX(Dim_Machine!$E$2:$E$8,MATCH(D78,Dim_Machine!$A$2:$A$8,0))*INDEX(Dim_Machine!$D$2:$D$8,MATCH(D78,Dim_Machine!$A$2:$A$8,0))*I78</f>
        <v>34084.800000000003</v>
      </c>
      <c r="K78" s="4">
        <f>ROUND(J78*0.827,0)</f>
        <v>28188</v>
      </c>
      <c r="L78" s="4">
        <f>ROUND(K78*0.0099,0)</f>
        <v>279</v>
      </c>
      <c r="M78" s="4">
        <f t="shared" si="8"/>
        <v>27909</v>
      </c>
      <c r="N78" s="4">
        <f t="shared" si="9"/>
        <v>0.82699619771863109</v>
      </c>
      <c r="O78" s="4">
        <f t="shared" si="10"/>
        <v>0.87666666666666671</v>
      </c>
      <c r="P78" s="4">
        <f>IFERROR((K78/I78)/(INDEX(Dim_Machine!$E$2:$E$8,MATCH(D78,Dim_Machine!$A$2:$A$8,0))*INDEX(Dim_Machine!$D$2:$D$8,MATCH(D78,Dim_Machine!$A$2:$A$8,0))),0)</f>
        <v>0.8269961977186312</v>
      </c>
      <c r="Q78" s="4">
        <f t="shared" si="11"/>
        <v>0.99010217113665389</v>
      </c>
      <c r="R78" s="4">
        <f t="shared" si="12"/>
        <v>0.71782407407407411</v>
      </c>
      <c r="S78" s="4">
        <f>T78/0.92</f>
        <v>6.0671739130434785</v>
      </c>
      <c r="T78" s="4">
        <f>M78*INDEX(Dim_Product!$C$2:$C$4,MATCH(F78,Dim_Product!$A$2:$A$4,0))/1000000</f>
        <v>5.5818000000000003</v>
      </c>
      <c r="U78" s="19">
        <f t="shared" si="13"/>
        <v>0.92</v>
      </c>
    </row>
    <row r="79" spans="1:21" x14ac:dyDescent="0.25">
      <c r="A79" s="18" t="s">
        <v>220</v>
      </c>
      <c r="B79" s="4">
        <v>20260701</v>
      </c>
      <c r="C79" s="4">
        <v>11</v>
      </c>
      <c r="D79" s="4" t="s">
        <v>15</v>
      </c>
      <c r="E79" s="4" t="s">
        <v>16</v>
      </c>
      <c r="F79" s="4" t="s">
        <v>143</v>
      </c>
      <c r="G79" s="4">
        <v>60</v>
      </c>
      <c r="H79" s="4">
        <v>1.4</v>
      </c>
      <c r="I79" s="4">
        <f t="shared" si="7"/>
        <v>58.6</v>
      </c>
      <c r="J79" s="4">
        <f>INDEX(Dim_Machine!$E$2:$E$8,MATCH(D79,Dim_Machine!$A$2:$A$8,0))*INDEX(Dim_Machine!$D$2:$D$8,MATCH(D79,Dim_Machine!$A$2:$A$8,0))*I79</f>
        <v>23440</v>
      </c>
      <c r="K79" s="4">
        <f>ROUND(J79*0.862,0)</f>
        <v>20205</v>
      </c>
      <c r="L79" s="4">
        <f>ROUND(K79*0.0104,0)</f>
        <v>210</v>
      </c>
      <c r="M79" s="4">
        <f t="shared" si="8"/>
        <v>19995</v>
      </c>
      <c r="N79" s="4">
        <f t="shared" si="9"/>
        <v>0.86198805460750849</v>
      </c>
      <c r="O79" s="4">
        <f t="shared" si="10"/>
        <v>0.97666666666666668</v>
      </c>
      <c r="P79" s="4">
        <f>IFERROR((K79/I79)/(INDEX(Dim_Machine!$E$2:$E$8,MATCH(D79,Dim_Machine!$A$2:$A$8,0))*INDEX(Dim_Machine!$D$2:$D$8,MATCH(D79,Dim_Machine!$A$2:$A$8,0))),0)</f>
        <v>0.86198805460750849</v>
      </c>
      <c r="Q79" s="4">
        <f t="shared" si="11"/>
        <v>0.98960653303637713</v>
      </c>
      <c r="R79" s="4">
        <f t="shared" si="12"/>
        <v>0.83312499999999989</v>
      </c>
      <c r="S79" s="4">
        <f>T79/0.939</f>
        <v>4.2587859424920129</v>
      </c>
      <c r="T79" s="4">
        <f>M79*INDEX(Dim_Product!$C$2:$C$4,MATCH(F79,Dim_Product!$A$2:$A$4,0))/1000000</f>
        <v>3.9990000000000001</v>
      </c>
      <c r="U79" s="19">
        <f t="shared" si="13"/>
        <v>0.93899999999999995</v>
      </c>
    </row>
    <row r="80" spans="1:21" x14ac:dyDescent="0.25">
      <c r="A80" s="18" t="s">
        <v>221</v>
      </c>
      <c r="B80" s="4">
        <v>20260701</v>
      </c>
      <c r="C80" s="4">
        <v>11</v>
      </c>
      <c r="D80" s="4" t="s">
        <v>19</v>
      </c>
      <c r="E80" s="4" t="s">
        <v>16</v>
      </c>
      <c r="F80" s="4" t="s">
        <v>141</v>
      </c>
      <c r="G80" s="4">
        <v>60</v>
      </c>
      <c r="H80" s="4">
        <v>6.3</v>
      </c>
      <c r="I80" s="4">
        <f t="shared" si="7"/>
        <v>53.7</v>
      </c>
      <c r="J80" s="4">
        <f>INDEX(Dim_Machine!$E$2:$E$8,MATCH(D80,Dim_Machine!$A$2:$A$8,0))*INDEX(Dim_Machine!$D$2:$D$8,MATCH(D80,Dim_Machine!$A$2:$A$8,0))*I80</f>
        <v>36086.400000000001</v>
      </c>
      <c r="K80" s="4">
        <f>ROUND(J80*0.862,0)</f>
        <v>31106</v>
      </c>
      <c r="L80" s="4">
        <f>ROUND(K80*0.0251,0)</f>
        <v>781</v>
      </c>
      <c r="M80" s="4">
        <f t="shared" si="8"/>
        <v>30325</v>
      </c>
      <c r="N80" s="4">
        <f t="shared" si="9"/>
        <v>0.86198678726611688</v>
      </c>
      <c r="O80" s="4">
        <f t="shared" si="10"/>
        <v>0.89500000000000002</v>
      </c>
      <c r="P80" s="4">
        <f>IFERROR((K80/I80)/(INDEX(Dim_Machine!$E$2:$E$8,MATCH(D80,Dim_Machine!$A$2:$A$8,0))*INDEX(Dim_Machine!$D$2:$D$8,MATCH(D80,Dim_Machine!$A$2:$A$8,0))),0)</f>
        <v>0.86198678726611688</v>
      </c>
      <c r="Q80" s="4">
        <f t="shared" si="11"/>
        <v>0.97489230373561375</v>
      </c>
      <c r="R80" s="4">
        <f t="shared" si="12"/>
        <v>0.75210813492063489</v>
      </c>
      <c r="S80" s="4">
        <f>T80/0.91</f>
        <v>8.3310439560439562</v>
      </c>
      <c r="T80" s="4">
        <f>M80*INDEX(Dim_Product!$C$2:$C$4,MATCH(F80,Dim_Product!$A$2:$A$4,0))/1000000</f>
        <v>7.5812499999999998</v>
      </c>
      <c r="U80" s="19">
        <f t="shared" si="13"/>
        <v>0.90999999999999992</v>
      </c>
    </row>
    <row r="81" spans="1:21" x14ac:dyDescent="0.25">
      <c r="A81" s="18" t="s">
        <v>222</v>
      </c>
      <c r="B81" s="4">
        <v>20260701</v>
      </c>
      <c r="C81" s="4">
        <v>11</v>
      </c>
      <c r="D81" s="4" t="s">
        <v>23</v>
      </c>
      <c r="E81" s="4" t="s">
        <v>16</v>
      </c>
      <c r="F81" s="4" t="s">
        <v>187</v>
      </c>
      <c r="G81" s="4">
        <v>60</v>
      </c>
      <c r="H81" s="4">
        <v>2</v>
      </c>
      <c r="I81" s="4">
        <f t="shared" si="7"/>
        <v>58</v>
      </c>
      <c r="J81" s="4">
        <f>INDEX(Dim_Machine!$E$2:$E$8,MATCH(D81,Dim_Machine!$A$2:$A$8,0))*INDEX(Dim_Machine!$D$2:$D$8,MATCH(D81,Dim_Machine!$A$2:$A$8,0))*I81</f>
        <v>15312</v>
      </c>
      <c r="K81" s="4">
        <f>ROUND(J81*0.812,0)</f>
        <v>12433</v>
      </c>
      <c r="L81" s="4">
        <f>ROUND(K81*0.026,0)</f>
        <v>323</v>
      </c>
      <c r="M81" s="4">
        <f t="shared" si="8"/>
        <v>12110</v>
      </c>
      <c r="N81" s="4">
        <f t="shared" si="9"/>
        <v>0.8119775339602926</v>
      </c>
      <c r="O81" s="4">
        <f t="shared" si="10"/>
        <v>0.96666666666666667</v>
      </c>
      <c r="P81" s="4">
        <f>IFERROR((K81/I81)/(INDEX(Dim_Machine!$E$2:$E$8,MATCH(D81,Dim_Machine!$A$2:$A$8,0))*INDEX(Dim_Machine!$D$2:$D$8,MATCH(D81,Dim_Machine!$A$2:$A$8,0))),0)</f>
        <v>0.8119775339602926</v>
      </c>
      <c r="Q81" s="4">
        <f t="shared" si="11"/>
        <v>0.97402075122657439</v>
      </c>
      <c r="R81" s="4">
        <f t="shared" si="12"/>
        <v>0.76452020202020199</v>
      </c>
      <c r="S81" s="4">
        <f>T81/0.857</f>
        <v>4.2392065344224035</v>
      </c>
      <c r="T81" s="4">
        <f>M81*INDEX(Dim_Product!$C$2:$C$4,MATCH(F81,Dim_Product!$A$2:$A$4,0))/1000000</f>
        <v>3.633</v>
      </c>
      <c r="U81" s="19">
        <f t="shared" si="13"/>
        <v>0.8570000000000001</v>
      </c>
    </row>
    <row r="82" spans="1:21" x14ac:dyDescent="0.25">
      <c r="A82" s="18" t="s">
        <v>223</v>
      </c>
      <c r="B82" s="4">
        <v>20260701</v>
      </c>
      <c r="C82" s="4">
        <v>11</v>
      </c>
      <c r="D82" s="4" t="s">
        <v>25</v>
      </c>
      <c r="E82" s="4" t="s">
        <v>16</v>
      </c>
      <c r="F82" s="4" t="s">
        <v>141</v>
      </c>
      <c r="G82" s="4">
        <v>60</v>
      </c>
      <c r="H82" s="4">
        <v>0.3</v>
      </c>
      <c r="I82" s="4">
        <f t="shared" si="7"/>
        <v>59.7</v>
      </c>
      <c r="J82" s="4">
        <f>INDEX(Dim_Machine!$E$2:$E$8,MATCH(D82,Dim_Machine!$A$2:$A$8,0))*INDEX(Dim_Machine!$D$2:$D$8,MATCH(D82,Dim_Machine!$A$2:$A$8,0))*I82</f>
        <v>42984</v>
      </c>
      <c r="K82" s="4">
        <f>ROUND(J82*0.874,0)</f>
        <v>37568</v>
      </c>
      <c r="L82" s="4">
        <f>ROUND(K82*0.011,0)</f>
        <v>413</v>
      </c>
      <c r="M82" s="4">
        <f t="shared" si="8"/>
        <v>37155</v>
      </c>
      <c r="N82" s="4">
        <f t="shared" si="9"/>
        <v>0.87399962776847195</v>
      </c>
      <c r="O82" s="4">
        <f t="shared" si="10"/>
        <v>0.995</v>
      </c>
      <c r="P82" s="4">
        <f>IFERROR((K82/I82)/(INDEX(Dim_Machine!$E$2:$E$8,MATCH(D82,Dim_Machine!$A$2:$A$8,0))*INDEX(Dim_Machine!$D$2:$D$8,MATCH(D82,Dim_Machine!$A$2:$A$8,0))),0)</f>
        <v>0.87399962776847195</v>
      </c>
      <c r="Q82" s="4">
        <f t="shared" si="11"/>
        <v>0.989006601362862</v>
      </c>
      <c r="R82" s="4">
        <f t="shared" si="12"/>
        <v>0.86006944444444444</v>
      </c>
      <c r="S82" s="4">
        <f>T82/0.938</f>
        <v>9.9027185501066111</v>
      </c>
      <c r="T82" s="4">
        <f>M82*INDEX(Dim_Product!$C$2:$C$4,MATCH(F82,Dim_Product!$A$2:$A$4,0))/1000000</f>
        <v>9.2887500000000003</v>
      </c>
      <c r="U82" s="19">
        <f t="shared" si="13"/>
        <v>0.93799999999999994</v>
      </c>
    </row>
    <row r="83" spans="1:21" x14ac:dyDescent="0.25">
      <c r="A83" s="18" t="s">
        <v>224</v>
      </c>
      <c r="B83" s="4">
        <v>20260701</v>
      </c>
      <c r="C83" s="4">
        <v>11</v>
      </c>
      <c r="D83" s="4" t="s">
        <v>27</v>
      </c>
      <c r="E83" s="4" t="s">
        <v>16</v>
      </c>
      <c r="F83" s="4" t="s">
        <v>143</v>
      </c>
      <c r="G83" s="4">
        <v>60</v>
      </c>
      <c r="H83" s="4">
        <v>2.8</v>
      </c>
      <c r="I83" s="4">
        <f t="shared" si="7"/>
        <v>57.2</v>
      </c>
      <c r="J83" s="4">
        <f>INDEX(Dim_Machine!$E$2:$E$8,MATCH(D83,Dim_Machine!$A$2:$A$8,0))*INDEX(Dim_Machine!$D$2:$D$8,MATCH(D83,Dim_Machine!$A$2:$A$8,0))*I83</f>
        <v>23795.200000000001</v>
      </c>
      <c r="K83" s="4">
        <f>ROUND(J83*0.944,0)</f>
        <v>22463</v>
      </c>
      <c r="L83" s="4">
        <f>ROUND(K83*0.0311,0)</f>
        <v>699</v>
      </c>
      <c r="M83" s="4">
        <f t="shared" si="8"/>
        <v>21764</v>
      </c>
      <c r="N83" s="4">
        <f t="shared" si="9"/>
        <v>0.94401391877353413</v>
      </c>
      <c r="O83" s="4">
        <f t="shared" si="10"/>
        <v>0.95333333333333337</v>
      </c>
      <c r="P83" s="4">
        <f>IFERROR((K83/I83)/(INDEX(Dim_Machine!$E$2:$E$8,MATCH(D83,Dim_Machine!$A$2:$A$8,0))*INDEX(Dim_Machine!$D$2:$D$8,MATCH(D83,Dim_Machine!$A$2:$A$8,0))),0)</f>
        <v>0.94401391877353413</v>
      </c>
      <c r="Q83" s="4">
        <f t="shared" si="11"/>
        <v>0.96888216177714459</v>
      </c>
      <c r="R83" s="4">
        <f t="shared" si="12"/>
        <v>0.87195512820512822</v>
      </c>
      <c r="S83" s="4">
        <f>T83/0.833</f>
        <v>5.2254501800720297</v>
      </c>
      <c r="T83" s="4">
        <f>M83*INDEX(Dim_Product!$C$2:$C$4,MATCH(F83,Dim_Product!$A$2:$A$4,0))/1000000</f>
        <v>4.3528000000000002</v>
      </c>
      <c r="U83" s="19">
        <f t="shared" si="13"/>
        <v>0.83299999999999996</v>
      </c>
    </row>
    <row r="84" spans="1:21" x14ac:dyDescent="0.25">
      <c r="A84" s="18" t="s">
        <v>225</v>
      </c>
      <c r="B84" s="4">
        <v>20260701</v>
      </c>
      <c r="C84" s="4">
        <v>11</v>
      </c>
      <c r="D84" s="4" t="s">
        <v>29</v>
      </c>
      <c r="E84" s="4" t="s">
        <v>16</v>
      </c>
      <c r="F84" s="4" t="s">
        <v>143</v>
      </c>
      <c r="G84" s="4">
        <v>60</v>
      </c>
      <c r="H84" s="4">
        <v>5.3</v>
      </c>
      <c r="I84" s="4">
        <f t="shared" si="7"/>
        <v>54.7</v>
      </c>
      <c r="J84" s="4">
        <f>INDEX(Dim_Machine!$E$2:$E$8,MATCH(D84,Dim_Machine!$A$2:$A$8,0))*INDEX(Dim_Machine!$D$2:$D$8,MATCH(D84,Dim_Machine!$A$2:$A$8,0))*I84</f>
        <v>15753.6</v>
      </c>
      <c r="K84" s="4">
        <f>ROUND(J84*0.86,0)</f>
        <v>13548</v>
      </c>
      <c r="L84" s="4">
        <f>ROUND(K84*0.0134,0)</f>
        <v>182</v>
      </c>
      <c r="M84" s="4">
        <f t="shared" si="8"/>
        <v>13366</v>
      </c>
      <c r="N84" s="4">
        <f t="shared" si="9"/>
        <v>0.85999390615478366</v>
      </c>
      <c r="O84" s="4">
        <f t="shared" si="10"/>
        <v>0.91166666666666674</v>
      </c>
      <c r="P84" s="4">
        <f>IFERROR((K84/I84)/(INDEX(Dim_Machine!$E$2:$E$8,MATCH(D84,Dim_Machine!$A$2:$A$8,0))*INDEX(Dim_Machine!$D$2:$D$8,MATCH(D84,Dim_Machine!$A$2:$A$8,0))),0)</f>
        <v>0.85999390615478366</v>
      </c>
      <c r="Q84" s="4">
        <f t="shared" si="11"/>
        <v>0.98656628284617653</v>
      </c>
      <c r="R84" s="4">
        <f t="shared" si="12"/>
        <v>0.77349537037037042</v>
      </c>
      <c r="S84" s="4">
        <f>T84/0.81</f>
        <v>3.3002469135802466</v>
      </c>
      <c r="T84" s="4">
        <f>M84*INDEX(Dim_Product!$C$2:$C$4,MATCH(F84,Dim_Product!$A$2:$A$4,0))/1000000</f>
        <v>2.6732</v>
      </c>
      <c r="U84" s="19">
        <f t="shared" si="13"/>
        <v>0.81</v>
      </c>
    </row>
    <row r="85" spans="1:21" x14ac:dyDescent="0.25">
      <c r="A85" s="18" t="s">
        <v>226</v>
      </c>
      <c r="B85" s="4">
        <v>20260701</v>
      </c>
      <c r="C85" s="4">
        <v>11</v>
      </c>
      <c r="D85" s="4" t="s">
        <v>31</v>
      </c>
      <c r="E85" s="4" t="s">
        <v>16</v>
      </c>
      <c r="F85" s="4" t="s">
        <v>143</v>
      </c>
      <c r="G85" s="4">
        <v>60</v>
      </c>
      <c r="H85" s="4">
        <v>6.2</v>
      </c>
      <c r="I85" s="4">
        <f t="shared" si="7"/>
        <v>53.8</v>
      </c>
      <c r="J85" s="4">
        <f>INDEX(Dim_Machine!$E$2:$E$8,MATCH(D85,Dim_Machine!$A$2:$A$8,0))*INDEX(Dim_Machine!$D$2:$D$8,MATCH(D85,Dim_Machine!$A$2:$A$8,0))*I85</f>
        <v>34862.400000000001</v>
      </c>
      <c r="K85" s="4">
        <f>ROUND(J85*0.85,0)</f>
        <v>29633</v>
      </c>
      <c r="L85" s="4">
        <f>ROUND(K85*0.0203,0)</f>
        <v>602</v>
      </c>
      <c r="M85" s="4">
        <f t="shared" si="8"/>
        <v>29031</v>
      </c>
      <c r="N85" s="4">
        <f t="shared" si="9"/>
        <v>0.84999885263206199</v>
      </c>
      <c r="O85" s="4">
        <f t="shared" si="10"/>
        <v>0.89666666666666661</v>
      </c>
      <c r="P85" s="4">
        <f>IFERROR((K85/I85)/(INDEX(Dim_Machine!$E$2:$E$8,MATCH(D85,Dim_Machine!$A$2:$A$8,0))*INDEX(Dim_Machine!$D$2:$D$8,MATCH(D85,Dim_Machine!$A$2:$A$8,0))),0)</f>
        <v>0.84999885263206199</v>
      </c>
      <c r="Q85" s="4">
        <f t="shared" si="11"/>
        <v>0.97968481085276549</v>
      </c>
      <c r="R85" s="4">
        <f t="shared" si="12"/>
        <v>0.74668209876543201</v>
      </c>
      <c r="S85" s="4">
        <f>T85/0.902</f>
        <v>6.4370288248337024</v>
      </c>
      <c r="T85" s="4">
        <f>M85*INDEX(Dim_Product!$C$2:$C$4,MATCH(F85,Dim_Product!$A$2:$A$4,0))/1000000</f>
        <v>5.8061999999999996</v>
      </c>
      <c r="U85" s="19">
        <f t="shared" si="13"/>
        <v>0.90200000000000002</v>
      </c>
    </row>
    <row r="86" spans="1:21" x14ac:dyDescent="0.25">
      <c r="A86" s="18" t="s">
        <v>227</v>
      </c>
      <c r="B86" s="4">
        <v>20260701</v>
      </c>
      <c r="C86" s="4">
        <v>12</v>
      </c>
      <c r="D86" s="4" t="s">
        <v>15</v>
      </c>
      <c r="E86" s="4" t="s">
        <v>16</v>
      </c>
      <c r="F86" s="4" t="s">
        <v>143</v>
      </c>
      <c r="G86" s="4">
        <v>60</v>
      </c>
      <c r="H86" s="4">
        <v>6.7</v>
      </c>
      <c r="I86" s="4">
        <f t="shared" si="7"/>
        <v>53.3</v>
      </c>
      <c r="J86" s="4">
        <f>INDEX(Dim_Machine!$E$2:$E$8,MATCH(D86,Dim_Machine!$A$2:$A$8,0))*INDEX(Dim_Machine!$D$2:$D$8,MATCH(D86,Dim_Machine!$A$2:$A$8,0))*I86</f>
        <v>21320</v>
      </c>
      <c r="K86" s="4">
        <f>ROUND(J86*0.846,0)</f>
        <v>18037</v>
      </c>
      <c r="L86" s="4">
        <f>ROUND(K86*0.0058,0)</f>
        <v>105</v>
      </c>
      <c r="M86" s="4">
        <f t="shared" si="8"/>
        <v>17932</v>
      </c>
      <c r="N86" s="4">
        <f t="shared" si="9"/>
        <v>0.84601313320825511</v>
      </c>
      <c r="O86" s="4">
        <f t="shared" si="10"/>
        <v>0.88833333333333331</v>
      </c>
      <c r="P86" s="4">
        <f>IFERROR((K86/I86)/(INDEX(Dim_Machine!$E$2:$E$8,MATCH(D86,Dim_Machine!$A$2:$A$8,0))*INDEX(Dim_Machine!$D$2:$D$8,MATCH(D86,Dim_Machine!$A$2:$A$8,0))),0)</f>
        <v>0.84601313320825522</v>
      </c>
      <c r="Q86" s="4">
        <f t="shared" si="11"/>
        <v>0.99417863281033436</v>
      </c>
      <c r="R86" s="4">
        <f t="shared" si="12"/>
        <v>0.74716666666666665</v>
      </c>
      <c r="S86" s="4">
        <f>T86/0.932</f>
        <v>3.8480686695278967</v>
      </c>
      <c r="T86" s="4">
        <f>M86*INDEX(Dim_Product!$C$2:$C$4,MATCH(F86,Dim_Product!$A$2:$A$4,0))/1000000</f>
        <v>3.5863999999999998</v>
      </c>
      <c r="U86" s="19">
        <f t="shared" si="13"/>
        <v>0.93200000000000005</v>
      </c>
    </row>
    <row r="87" spans="1:21" x14ac:dyDescent="0.25">
      <c r="A87" s="18" t="s">
        <v>228</v>
      </c>
      <c r="B87" s="4">
        <v>20260701</v>
      </c>
      <c r="C87" s="4">
        <v>12</v>
      </c>
      <c r="D87" s="4" t="s">
        <v>19</v>
      </c>
      <c r="E87" s="4" t="s">
        <v>16</v>
      </c>
      <c r="F87" s="4" t="s">
        <v>141</v>
      </c>
      <c r="G87" s="4">
        <v>60</v>
      </c>
      <c r="H87" s="4">
        <v>2.1</v>
      </c>
      <c r="I87" s="4">
        <f t="shared" si="7"/>
        <v>57.9</v>
      </c>
      <c r="J87" s="4">
        <f>INDEX(Dim_Machine!$E$2:$E$8,MATCH(D87,Dim_Machine!$A$2:$A$8,0))*INDEX(Dim_Machine!$D$2:$D$8,MATCH(D87,Dim_Machine!$A$2:$A$8,0))*I87</f>
        <v>38908.799999999996</v>
      </c>
      <c r="K87" s="4">
        <f>ROUND(J87*0.896,0)</f>
        <v>34862</v>
      </c>
      <c r="L87" s="4">
        <f>ROUND(K87*0.0345,0)</f>
        <v>1203</v>
      </c>
      <c r="M87" s="4">
        <f t="shared" si="8"/>
        <v>33659</v>
      </c>
      <c r="N87" s="4">
        <f t="shared" si="9"/>
        <v>0.89599268031910528</v>
      </c>
      <c r="O87" s="4">
        <f t="shared" si="10"/>
        <v>0.96499999999999997</v>
      </c>
      <c r="P87" s="4">
        <f>IFERROR((K87/I87)/(INDEX(Dim_Machine!$E$2:$E$8,MATCH(D87,Dim_Machine!$A$2:$A$8,0))*INDEX(Dim_Machine!$D$2:$D$8,MATCH(D87,Dim_Machine!$A$2:$A$8,0))),0)</f>
        <v>0.89599268031910517</v>
      </c>
      <c r="Q87" s="4">
        <f t="shared" si="11"/>
        <v>0.96549251333830532</v>
      </c>
      <c r="R87" s="4">
        <f t="shared" si="12"/>
        <v>0.83479662698412693</v>
      </c>
      <c r="S87" s="4">
        <f>T87/0.806</f>
        <v>10.440136476426797</v>
      </c>
      <c r="T87" s="4">
        <f>M87*INDEX(Dim_Product!$C$2:$C$4,MATCH(F87,Dim_Product!$A$2:$A$4,0))/1000000</f>
        <v>8.4147499999999997</v>
      </c>
      <c r="U87" s="19">
        <f t="shared" si="13"/>
        <v>0.80600000000000005</v>
      </c>
    </row>
    <row r="88" spans="1:21" x14ac:dyDescent="0.25">
      <c r="A88" s="18" t="s">
        <v>229</v>
      </c>
      <c r="B88" s="4">
        <v>20260701</v>
      </c>
      <c r="C88" s="4">
        <v>12</v>
      </c>
      <c r="D88" s="4" t="s">
        <v>23</v>
      </c>
      <c r="E88" s="4" t="s">
        <v>16</v>
      </c>
      <c r="F88" s="4" t="s">
        <v>187</v>
      </c>
      <c r="G88" s="4">
        <v>60</v>
      </c>
      <c r="H88" s="4">
        <v>4.8</v>
      </c>
      <c r="I88" s="4">
        <f t="shared" si="7"/>
        <v>55.2</v>
      </c>
      <c r="J88" s="4">
        <f>INDEX(Dim_Machine!$E$2:$E$8,MATCH(D88,Dim_Machine!$A$2:$A$8,0))*INDEX(Dim_Machine!$D$2:$D$8,MATCH(D88,Dim_Machine!$A$2:$A$8,0))*I88</f>
        <v>14572.800000000001</v>
      </c>
      <c r="K88" s="4">
        <f>ROUND(J88*0.849,0)</f>
        <v>12372</v>
      </c>
      <c r="L88" s="4">
        <f>ROUND(K88*0.0286,0)</f>
        <v>354</v>
      </c>
      <c r="M88" s="4">
        <f t="shared" si="8"/>
        <v>12018</v>
      </c>
      <c r="N88" s="4">
        <f t="shared" si="9"/>
        <v>0.84897891963109351</v>
      </c>
      <c r="O88" s="4">
        <f t="shared" si="10"/>
        <v>0.92</v>
      </c>
      <c r="P88" s="4">
        <f>IFERROR((K88/I88)/(INDEX(Dim_Machine!$E$2:$E$8,MATCH(D88,Dim_Machine!$A$2:$A$8,0))*INDEX(Dim_Machine!$D$2:$D$8,MATCH(D88,Dim_Machine!$A$2:$A$8,0))),0)</f>
        <v>0.84897891963109351</v>
      </c>
      <c r="Q88" s="4">
        <f t="shared" si="11"/>
        <v>0.97138700290979629</v>
      </c>
      <c r="R88" s="4">
        <f t="shared" si="12"/>
        <v>0.75871212121212117</v>
      </c>
      <c r="S88" s="4">
        <f>T88/0.865</f>
        <v>4.168092485549133</v>
      </c>
      <c r="T88" s="4">
        <f>M88*INDEX(Dim_Product!$C$2:$C$4,MATCH(F88,Dim_Product!$A$2:$A$4,0))/1000000</f>
        <v>3.6053999999999999</v>
      </c>
      <c r="U88" s="19">
        <f t="shared" si="13"/>
        <v>0.86499999999999999</v>
      </c>
    </row>
    <row r="89" spans="1:21" x14ac:dyDescent="0.25">
      <c r="A89" s="18" t="s">
        <v>230</v>
      </c>
      <c r="B89" s="4">
        <v>20260701</v>
      </c>
      <c r="C89" s="4">
        <v>12</v>
      </c>
      <c r="D89" s="4" t="s">
        <v>25</v>
      </c>
      <c r="E89" s="4" t="s">
        <v>16</v>
      </c>
      <c r="F89" s="4" t="s">
        <v>141</v>
      </c>
      <c r="G89" s="4">
        <v>60</v>
      </c>
      <c r="H89" s="4">
        <v>7.9</v>
      </c>
      <c r="I89" s="4">
        <f t="shared" si="7"/>
        <v>52.1</v>
      </c>
      <c r="J89" s="4">
        <f>INDEX(Dim_Machine!$E$2:$E$8,MATCH(D89,Dim_Machine!$A$2:$A$8,0))*INDEX(Dim_Machine!$D$2:$D$8,MATCH(D89,Dim_Machine!$A$2:$A$8,0))*I89</f>
        <v>37512</v>
      </c>
      <c r="K89" s="4">
        <f>ROUND(J89*0.803,0)</f>
        <v>30122</v>
      </c>
      <c r="L89" s="4">
        <f>ROUND(K89*0.032,0)</f>
        <v>964</v>
      </c>
      <c r="M89" s="4">
        <f t="shared" si="8"/>
        <v>29158</v>
      </c>
      <c r="N89" s="4">
        <f t="shared" si="9"/>
        <v>0.80299637449349537</v>
      </c>
      <c r="O89" s="4">
        <f t="shared" si="10"/>
        <v>0.8683333333333334</v>
      </c>
      <c r="P89" s="4">
        <f>IFERROR((K89/I89)/(INDEX(Dim_Machine!$E$2:$E$8,MATCH(D89,Dim_Machine!$A$2:$A$8,0))*INDEX(Dim_Machine!$D$2:$D$8,MATCH(D89,Dim_Machine!$A$2:$A$8,0))),0)</f>
        <v>0.80299637449349537</v>
      </c>
      <c r="Q89" s="4">
        <f t="shared" si="11"/>
        <v>0.96799681296062678</v>
      </c>
      <c r="R89" s="4">
        <f t="shared" si="12"/>
        <v>0.67495370370370378</v>
      </c>
      <c r="S89" s="4">
        <f>T89/0.829</f>
        <v>8.7931242460796142</v>
      </c>
      <c r="T89" s="4">
        <f>M89*INDEX(Dim_Product!$C$2:$C$4,MATCH(F89,Dim_Product!$A$2:$A$4,0))/1000000</f>
        <v>7.2895000000000003</v>
      </c>
      <c r="U89" s="19">
        <f t="shared" si="13"/>
        <v>0.82900000000000007</v>
      </c>
    </row>
    <row r="90" spans="1:21" x14ac:dyDescent="0.25">
      <c r="A90" s="18" t="s">
        <v>231</v>
      </c>
      <c r="B90" s="4">
        <v>20260701</v>
      </c>
      <c r="C90" s="4">
        <v>12</v>
      </c>
      <c r="D90" s="4" t="s">
        <v>27</v>
      </c>
      <c r="E90" s="4" t="s">
        <v>16</v>
      </c>
      <c r="F90" s="4" t="s">
        <v>143</v>
      </c>
      <c r="G90" s="4">
        <v>60</v>
      </c>
      <c r="H90" s="4">
        <v>0.4</v>
      </c>
      <c r="I90" s="4">
        <f t="shared" si="7"/>
        <v>59.6</v>
      </c>
      <c r="J90" s="4">
        <f>INDEX(Dim_Machine!$E$2:$E$8,MATCH(D90,Dim_Machine!$A$2:$A$8,0))*INDEX(Dim_Machine!$D$2:$D$8,MATCH(D90,Dim_Machine!$A$2:$A$8,0))*I90</f>
        <v>24793.600000000002</v>
      </c>
      <c r="K90" s="4">
        <f>ROUND(J90*0.867,0)</f>
        <v>21496</v>
      </c>
      <c r="L90" s="4">
        <f>ROUND(K90*0.0206,0)</f>
        <v>443</v>
      </c>
      <c r="M90" s="4">
        <f t="shared" si="8"/>
        <v>21053</v>
      </c>
      <c r="N90" s="4">
        <f t="shared" si="9"/>
        <v>0.86699793495095501</v>
      </c>
      <c r="O90" s="4">
        <f t="shared" si="10"/>
        <v>0.9933333333333334</v>
      </c>
      <c r="P90" s="4">
        <f>IFERROR((K90/I90)/(INDEX(Dim_Machine!$E$2:$E$8,MATCH(D90,Dim_Machine!$A$2:$A$8,0))*INDEX(Dim_Machine!$D$2:$D$8,MATCH(D90,Dim_Machine!$A$2:$A$8,0))),0)</f>
        <v>0.86699793495095512</v>
      </c>
      <c r="Q90" s="4">
        <f t="shared" si="11"/>
        <v>0.97939151470040942</v>
      </c>
      <c r="R90" s="4">
        <f t="shared" si="12"/>
        <v>0.84346955128205137</v>
      </c>
      <c r="S90" s="4">
        <f>T90/0.921</f>
        <v>4.5717698154180244</v>
      </c>
      <c r="T90" s="4">
        <f>M90*INDEX(Dim_Product!$C$2:$C$4,MATCH(F90,Dim_Product!$A$2:$A$4,0))/1000000</f>
        <v>4.2106000000000003</v>
      </c>
      <c r="U90" s="19">
        <f t="shared" si="13"/>
        <v>0.92099999999999993</v>
      </c>
    </row>
    <row r="91" spans="1:21" x14ac:dyDescent="0.25">
      <c r="A91" s="18" t="s">
        <v>232</v>
      </c>
      <c r="B91" s="4">
        <v>20260701</v>
      </c>
      <c r="C91" s="4">
        <v>12</v>
      </c>
      <c r="D91" s="4" t="s">
        <v>29</v>
      </c>
      <c r="E91" s="4" t="s">
        <v>16</v>
      </c>
      <c r="F91" s="4" t="s">
        <v>143</v>
      </c>
      <c r="G91" s="4">
        <v>60</v>
      </c>
      <c r="H91" s="4">
        <v>5.5</v>
      </c>
      <c r="I91" s="4">
        <f t="shared" si="7"/>
        <v>54.5</v>
      </c>
      <c r="J91" s="4">
        <f>INDEX(Dim_Machine!$E$2:$E$8,MATCH(D91,Dim_Machine!$A$2:$A$8,0))*INDEX(Dim_Machine!$D$2:$D$8,MATCH(D91,Dim_Machine!$A$2:$A$8,0))*I91</f>
        <v>15696</v>
      </c>
      <c r="K91" s="4">
        <f>ROUND(J91*0.968,0)</f>
        <v>15194</v>
      </c>
      <c r="L91" s="4">
        <f>ROUND(K91*0.0271,0)</f>
        <v>412</v>
      </c>
      <c r="M91" s="4">
        <f t="shared" si="8"/>
        <v>14782</v>
      </c>
      <c r="N91" s="4">
        <f t="shared" si="9"/>
        <v>0.96801732925586137</v>
      </c>
      <c r="O91" s="4">
        <f t="shared" si="10"/>
        <v>0.90833333333333333</v>
      </c>
      <c r="P91" s="4">
        <f>IFERROR((K91/I91)/(INDEX(Dim_Machine!$E$2:$E$8,MATCH(D91,Dim_Machine!$A$2:$A$8,0))*INDEX(Dim_Machine!$D$2:$D$8,MATCH(D91,Dim_Machine!$A$2:$A$8,0))),0)</f>
        <v>0.96801732925586137</v>
      </c>
      <c r="Q91" s="4">
        <f t="shared" si="11"/>
        <v>0.97288403317098859</v>
      </c>
      <c r="R91" s="4">
        <f t="shared" si="12"/>
        <v>0.85543981481481479</v>
      </c>
      <c r="S91" s="4">
        <f>T91/0.83</f>
        <v>3.5619277108433738</v>
      </c>
      <c r="T91" s="4">
        <f>M91*INDEX(Dim_Product!$C$2:$C$4,MATCH(F91,Dim_Product!$A$2:$A$4,0))/1000000</f>
        <v>2.9563999999999999</v>
      </c>
      <c r="U91" s="19">
        <f t="shared" si="13"/>
        <v>0.83</v>
      </c>
    </row>
    <row r="92" spans="1:21" x14ac:dyDescent="0.25">
      <c r="A92" s="18" t="s">
        <v>233</v>
      </c>
      <c r="B92" s="4">
        <v>20260701</v>
      </c>
      <c r="C92" s="4">
        <v>12</v>
      </c>
      <c r="D92" s="4" t="s">
        <v>31</v>
      </c>
      <c r="E92" s="4" t="s">
        <v>16</v>
      </c>
      <c r="F92" s="4" t="s">
        <v>143</v>
      </c>
      <c r="G92" s="4">
        <v>60</v>
      </c>
      <c r="H92" s="4">
        <v>3.5</v>
      </c>
      <c r="I92" s="4">
        <f t="shared" si="7"/>
        <v>56.5</v>
      </c>
      <c r="J92" s="4">
        <f>INDEX(Dim_Machine!$E$2:$E$8,MATCH(D92,Dim_Machine!$A$2:$A$8,0))*INDEX(Dim_Machine!$D$2:$D$8,MATCH(D92,Dim_Machine!$A$2:$A$8,0))*I92</f>
        <v>36612</v>
      </c>
      <c r="K92" s="4">
        <f>ROUND(J92*0.97,0)</f>
        <v>35514</v>
      </c>
      <c r="L92" s="4">
        <f>ROUND(K92*0.0326,0)</f>
        <v>1158</v>
      </c>
      <c r="M92" s="4">
        <f t="shared" si="8"/>
        <v>34356</v>
      </c>
      <c r="N92" s="4">
        <f t="shared" si="9"/>
        <v>0.97000983284169129</v>
      </c>
      <c r="O92" s="4">
        <f t="shared" si="10"/>
        <v>0.94166666666666665</v>
      </c>
      <c r="P92" s="4">
        <f>IFERROR((K92/I92)/(INDEX(Dim_Machine!$E$2:$E$8,MATCH(D92,Dim_Machine!$A$2:$A$8,0))*INDEX(Dim_Machine!$D$2:$D$8,MATCH(D92,Dim_Machine!$A$2:$A$8,0))),0)</f>
        <v>0.97000983284169129</v>
      </c>
      <c r="Q92" s="4">
        <f t="shared" si="11"/>
        <v>0.96739314073323202</v>
      </c>
      <c r="R92" s="4">
        <f t="shared" si="12"/>
        <v>0.88364197530864208</v>
      </c>
      <c r="S92" s="4">
        <f>T92/0.893</f>
        <v>7.6945128779395295</v>
      </c>
      <c r="T92" s="4">
        <f>M92*INDEX(Dim_Product!$C$2:$C$4,MATCH(F92,Dim_Product!$A$2:$A$4,0))/1000000</f>
        <v>6.8712</v>
      </c>
      <c r="U92" s="19">
        <f t="shared" si="13"/>
        <v>0.89300000000000002</v>
      </c>
    </row>
    <row r="93" spans="1:21" x14ac:dyDescent="0.25">
      <c r="A93" s="18" t="s">
        <v>234</v>
      </c>
      <c r="B93" s="4">
        <v>20260701</v>
      </c>
      <c r="C93" s="4">
        <v>13</v>
      </c>
      <c r="D93" s="4" t="s">
        <v>15</v>
      </c>
      <c r="E93" s="4" t="s">
        <v>16</v>
      </c>
      <c r="F93" s="4" t="s">
        <v>143</v>
      </c>
      <c r="G93" s="4">
        <v>60</v>
      </c>
      <c r="H93" s="4">
        <v>5.3</v>
      </c>
      <c r="I93" s="4">
        <f t="shared" si="7"/>
        <v>54.7</v>
      </c>
      <c r="J93" s="4">
        <f>INDEX(Dim_Machine!$E$2:$E$8,MATCH(D93,Dim_Machine!$A$2:$A$8,0))*INDEX(Dim_Machine!$D$2:$D$8,MATCH(D93,Dim_Machine!$A$2:$A$8,0))*I93</f>
        <v>21880</v>
      </c>
      <c r="K93" s="4">
        <f>ROUND(J93*0.805,0)</f>
        <v>17613</v>
      </c>
      <c r="L93" s="4">
        <f>ROUND(K93*0.032,0)</f>
        <v>564</v>
      </c>
      <c r="M93" s="4">
        <f t="shared" si="8"/>
        <v>17049</v>
      </c>
      <c r="N93" s="4">
        <f t="shared" si="9"/>
        <v>0.80498171846435096</v>
      </c>
      <c r="O93" s="4">
        <f t="shared" si="10"/>
        <v>0.91166666666666674</v>
      </c>
      <c r="P93" s="4">
        <f>IFERROR((K93/I93)/(INDEX(Dim_Machine!$E$2:$E$8,MATCH(D93,Dim_Machine!$A$2:$A$8,0))*INDEX(Dim_Machine!$D$2:$D$8,MATCH(D93,Dim_Machine!$A$2:$A$8,0))),0)</f>
        <v>0.80498171846435096</v>
      </c>
      <c r="Q93" s="4">
        <f t="shared" si="11"/>
        <v>0.96797819792198947</v>
      </c>
      <c r="R93" s="4">
        <f t="shared" si="12"/>
        <v>0.71037500000000009</v>
      </c>
      <c r="S93" s="4">
        <f>T93/0.876</f>
        <v>3.8924657534246578</v>
      </c>
      <c r="T93" s="4">
        <f>M93*INDEX(Dim_Product!$C$2:$C$4,MATCH(F93,Dim_Product!$A$2:$A$4,0))/1000000</f>
        <v>3.4098000000000002</v>
      </c>
      <c r="U93" s="19">
        <f t="shared" si="13"/>
        <v>0.876</v>
      </c>
    </row>
    <row r="94" spans="1:21" x14ac:dyDescent="0.25">
      <c r="A94" s="18" t="s">
        <v>235</v>
      </c>
      <c r="B94" s="4">
        <v>20260701</v>
      </c>
      <c r="C94" s="4">
        <v>13</v>
      </c>
      <c r="D94" s="4" t="s">
        <v>19</v>
      </c>
      <c r="E94" s="4" t="s">
        <v>16</v>
      </c>
      <c r="F94" s="4" t="s">
        <v>141</v>
      </c>
      <c r="G94" s="4">
        <v>60</v>
      </c>
      <c r="H94" s="4">
        <v>5.3</v>
      </c>
      <c r="I94" s="4">
        <f t="shared" si="7"/>
        <v>54.7</v>
      </c>
      <c r="J94" s="4">
        <f>INDEX(Dim_Machine!$E$2:$E$8,MATCH(D94,Dim_Machine!$A$2:$A$8,0))*INDEX(Dim_Machine!$D$2:$D$8,MATCH(D94,Dim_Machine!$A$2:$A$8,0))*I94</f>
        <v>36758.400000000001</v>
      </c>
      <c r="K94" s="4">
        <f>ROUND(J94*0.845,0)</f>
        <v>31061</v>
      </c>
      <c r="L94" s="4">
        <f>ROUND(K94*0.0259,0)</f>
        <v>804</v>
      </c>
      <c r="M94" s="4">
        <f t="shared" si="8"/>
        <v>30257</v>
      </c>
      <c r="N94" s="4">
        <f t="shared" si="9"/>
        <v>0.84500413510925387</v>
      </c>
      <c r="O94" s="4">
        <f t="shared" si="10"/>
        <v>0.91166666666666674</v>
      </c>
      <c r="P94" s="4">
        <f>IFERROR((K94/I94)/(INDEX(Dim_Machine!$E$2:$E$8,MATCH(D94,Dim_Machine!$A$2:$A$8,0))*INDEX(Dim_Machine!$D$2:$D$8,MATCH(D94,Dim_Machine!$A$2:$A$8,0))),0)</f>
        <v>0.84500413510925387</v>
      </c>
      <c r="Q94" s="4">
        <f t="shared" si="11"/>
        <v>0.97411545024307011</v>
      </c>
      <c r="R94" s="4">
        <f t="shared" si="12"/>
        <v>0.75042162698412707</v>
      </c>
      <c r="S94" s="4">
        <f>T94/0.883</f>
        <v>8.5665345413363543</v>
      </c>
      <c r="T94" s="4">
        <f>M94*INDEX(Dim_Product!$C$2:$C$4,MATCH(F94,Dim_Product!$A$2:$A$4,0))/1000000</f>
        <v>7.5642500000000004</v>
      </c>
      <c r="U94" s="19">
        <f t="shared" si="13"/>
        <v>0.8829999999999999</v>
      </c>
    </row>
    <row r="95" spans="1:21" x14ac:dyDescent="0.25">
      <c r="A95" s="18" t="s">
        <v>236</v>
      </c>
      <c r="B95" s="4">
        <v>20260701</v>
      </c>
      <c r="C95" s="4">
        <v>13</v>
      </c>
      <c r="D95" s="4" t="s">
        <v>23</v>
      </c>
      <c r="E95" s="4" t="s">
        <v>16</v>
      </c>
      <c r="F95" s="4" t="s">
        <v>187</v>
      </c>
      <c r="G95" s="4">
        <v>60</v>
      </c>
      <c r="H95" s="4">
        <v>1.5</v>
      </c>
      <c r="I95" s="4">
        <f t="shared" si="7"/>
        <v>58.5</v>
      </c>
      <c r="J95" s="4">
        <f>INDEX(Dim_Machine!$E$2:$E$8,MATCH(D95,Dim_Machine!$A$2:$A$8,0))*INDEX(Dim_Machine!$D$2:$D$8,MATCH(D95,Dim_Machine!$A$2:$A$8,0))*I95</f>
        <v>15444</v>
      </c>
      <c r="K95" s="4">
        <f>ROUND(J95*0.913,0)</f>
        <v>14100</v>
      </c>
      <c r="L95" s="4">
        <f>ROUND(K95*0.0164,0)</f>
        <v>231</v>
      </c>
      <c r="M95" s="4">
        <f t="shared" si="8"/>
        <v>13869</v>
      </c>
      <c r="N95" s="4">
        <f t="shared" si="9"/>
        <v>0.91297591297591296</v>
      </c>
      <c r="O95" s="4">
        <f t="shared" si="10"/>
        <v>0.97499999999999998</v>
      </c>
      <c r="P95" s="4">
        <f>IFERROR((K95/I95)/(INDEX(Dim_Machine!$E$2:$E$8,MATCH(D95,Dim_Machine!$A$2:$A$8,0))*INDEX(Dim_Machine!$D$2:$D$8,MATCH(D95,Dim_Machine!$A$2:$A$8,0))),0)</f>
        <v>0.91297591297591296</v>
      </c>
      <c r="Q95" s="4">
        <f t="shared" si="11"/>
        <v>0.98361702127659578</v>
      </c>
      <c r="R95" s="4">
        <f t="shared" si="12"/>
        <v>0.87556818181818186</v>
      </c>
      <c r="S95" s="4">
        <f>T95/0.912</f>
        <v>4.5621710526315793</v>
      </c>
      <c r="T95" s="4">
        <f>M95*INDEX(Dim_Product!$C$2:$C$4,MATCH(F95,Dim_Product!$A$2:$A$4,0))/1000000</f>
        <v>4.1607000000000003</v>
      </c>
      <c r="U95" s="19">
        <f t="shared" si="13"/>
        <v>0.91200000000000003</v>
      </c>
    </row>
    <row r="96" spans="1:21" x14ac:dyDescent="0.25">
      <c r="A96" s="18" t="s">
        <v>237</v>
      </c>
      <c r="B96" s="4">
        <v>20260701</v>
      </c>
      <c r="C96" s="4">
        <v>13</v>
      </c>
      <c r="D96" s="4" t="s">
        <v>25</v>
      </c>
      <c r="E96" s="4" t="s">
        <v>16</v>
      </c>
      <c r="F96" s="4" t="s">
        <v>141</v>
      </c>
      <c r="G96" s="4">
        <v>60</v>
      </c>
      <c r="H96" s="4">
        <v>1.4</v>
      </c>
      <c r="I96" s="4">
        <f t="shared" si="7"/>
        <v>58.6</v>
      </c>
      <c r="J96" s="4">
        <f>INDEX(Dim_Machine!$E$2:$E$8,MATCH(D96,Dim_Machine!$A$2:$A$8,0))*INDEX(Dim_Machine!$D$2:$D$8,MATCH(D96,Dim_Machine!$A$2:$A$8,0))*I96</f>
        <v>42192</v>
      </c>
      <c r="K96" s="4">
        <f>ROUND(J96*0.894,0)</f>
        <v>37720</v>
      </c>
      <c r="L96" s="4">
        <f>ROUND(K96*0.0172,0)</f>
        <v>649</v>
      </c>
      <c r="M96" s="4">
        <f t="shared" si="8"/>
        <v>37071</v>
      </c>
      <c r="N96" s="4">
        <f t="shared" si="9"/>
        <v>0.89400834281380359</v>
      </c>
      <c r="O96" s="4">
        <f t="shared" si="10"/>
        <v>0.97666666666666668</v>
      </c>
      <c r="P96" s="4">
        <f>IFERROR((K96/I96)/(INDEX(Dim_Machine!$E$2:$E$8,MATCH(D96,Dim_Machine!$A$2:$A$8,0))*INDEX(Dim_Machine!$D$2:$D$8,MATCH(D96,Dim_Machine!$A$2:$A$8,0))),0)</f>
        <v>0.89400834281380348</v>
      </c>
      <c r="Q96" s="4">
        <f t="shared" si="11"/>
        <v>0.9827942735949099</v>
      </c>
      <c r="R96" s="4">
        <f t="shared" si="12"/>
        <v>0.85812500000000003</v>
      </c>
      <c r="S96" s="4">
        <f>T96/0.925</f>
        <v>10.019189189189188</v>
      </c>
      <c r="T96" s="4">
        <f>M96*INDEX(Dim_Product!$C$2:$C$4,MATCH(F96,Dim_Product!$A$2:$A$4,0))/1000000</f>
        <v>9.2677499999999995</v>
      </c>
      <c r="U96" s="19">
        <f t="shared" si="13"/>
        <v>0.92500000000000004</v>
      </c>
    </row>
    <row r="97" spans="1:21" x14ac:dyDescent="0.25">
      <c r="A97" s="18" t="s">
        <v>238</v>
      </c>
      <c r="B97" s="4">
        <v>20260701</v>
      </c>
      <c r="C97" s="4">
        <v>13</v>
      </c>
      <c r="D97" s="4" t="s">
        <v>27</v>
      </c>
      <c r="E97" s="4" t="s">
        <v>16</v>
      </c>
      <c r="F97" s="4" t="s">
        <v>143</v>
      </c>
      <c r="G97" s="4">
        <v>60</v>
      </c>
      <c r="H97" s="4">
        <v>2.4</v>
      </c>
      <c r="I97" s="4">
        <f t="shared" si="7"/>
        <v>57.6</v>
      </c>
      <c r="J97" s="4">
        <f>INDEX(Dim_Machine!$E$2:$E$8,MATCH(D97,Dim_Machine!$A$2:$A$8,0))*INDEX(Dim_Machine!$D$2:$D$8,MATCH(D97,Dim_Machine!$A$2:$A$8,0))*I97</f>
        <v>23961.600000000002</v>
      </c>
      <c r="K97" s="4">
        <f>ROUND(J97*0.822,0)</f>
        <v>19696</v>
      </c>
      <c r="L97" s="4">
        <f>ROUND(K97*0.0286,0)</f>
        <v>563</v>
      </c>
      <c r="M97" s="4">
        <f t="shared" si="8"/>
        <v>19133</v>
      </c>
      <c r="N97" s="4">
        <f t="shared" si="9"/>
        <v>0.82198183760683752</v>
      </c>
      <c r="O97" s="4">
        <f t="shared" si="10"/>
        <v>0.96000000000000008</v>
      </c>
      <c r="P97" s="4">
        <f>IFERROR((K97/I97)/(INDEX(Dim_Machine!$E$2:$E$8,MATCH(D97,Dim_Machine!$A$2:$A$8,0))*INDEX(Dim_Machine!$D$2:$D$8,MATCH(D97,Dim_Machine!$A$2:$A$8,0))),0)</f>
        <v>0.82198183760683763</v>
      </c>
      <c r="Q97" s="4">
        <f t="shared" si="11"/>
        <v>0.9714155158407799</v>
      </c>
      <c r="R97" s="4">
        <f t="shared" si="12"/>
        <v>0.76654647435897449</v>
      </c>
      <c r="S97" s="4">
        <f>T97/0.891</f>
        <v>4.2947250280583615</v>
      </c>
      <c r="T97" s="4">
        <f>M97*INDEX(Dim_Product!$C$2:$C$4,MATCH(F97,Dim_Product!$A$2:$A$4,0))/1000000</f>
        <v>3.8266</v>
      </c>
      <c r="U97" s="19">
        <f t="shared" si="13"/>
        <v>0.89100000000000001</v>
      </c>
    </row>
    <row r="98" spans="1:21" x14ac:dyDescent="0.25">
      <c r="A98" s="18" t="s">
        <v>239</v>
      </c>
      <c r="B98" s="4">
        <v>20260701</v>
      </c>
      <c r="C98" s="4">
        <v>13</v>
      </c>
      <c r="D98" s="4" t="s">
        <v>29</v>
      </c>
      <c r="E98" s="4" t="s">
        <v>16</v>
      </c>
      <c r="F98" s="4" t="s">
        <v>143</v>
      </c>
      <c r="G98" s="4">
        <v>60</v>
      </c>
      <c r="H98" s="4">
        <v>2.6</v>
      </c>
      <c r="I98" s="4">
        <f t="shared" si="7"/>
        <v>57.4</v>
      </c>
      <c r="J98" s="4">
        <f>INDEX(Dim_Machine!$E$2:$E$8,MATCH(D98,Dim_Machine!$A$2:$A$8,0))*INDEX(Dim_Machine!$D$2:$D$8,MATCH(D98,Dim_Machine!$A$2:$A$8,0))*I98</f>
        <v>16531.2</v>
      </c>
      <c r="K98" s="4">
        <f>ROUND(J98*0.868,0)</f>
        <v>14349</v>
      </c>
      <c r="L98" s="4">
        <f>ROUND(K98*0.0253,0)</f>
        <v>363</v>
      </c>
      <c r="M98" s="4">
        <f t="shared" si="8"/>
        <v>13986</v>
      </c>
      <c r="N98" s="4">
        <f t="shared" si="9"/>
        <v>0.86799506387921022</v>
      </c>
      <c r="O98" s="4">
        <f t="shared" si="10"/>
        <v>0.95666666666666667</v>
      </c>
      <c r="P98" s="4">
        <f>IFERROR((K98/I98)/(INDEX(Dim_Machine!$E$2:$E$8,MATCH(D98,Dim_Machine!$A$2:$A$8,0))*INDEX(Dim_Machine!$D$2:$D$8,MATCH(D98,Dim_Machine!$A$2:$A$8,0))),0)</f>
        <v>0.86799506387921033</v>
      </c>
      <c r="Q98" s="4">
        <f t="shared" si="11"/>
        <v>0.97470206983065022</v>
      </c>
      <c r="R98" s="4">
        <f t="shared" si="12"/>
        <v>0.80937500000000018</v>
      </c>
      <c r="S98" s="4">
        <f>T98/0.877</f>
        <v>3.1895096921322694</v>
      </c>
      <c r="T98" s="4">
        <f>M98*INDEX(Dim_Product!$C$2:$C$4,MATCH(F98,Dim_Product!$A$2:$A$4,0))/1000000</f>
        <v>2.7972000000000001</v>
      </c>
      <c r="U98" s="19">
        <f t="shared" si="13"/>
        <v>0.877</v>
      </c>
    </row>
    <row r="99" spans="1:21" x14ac:dyDescent="0.25">
      <c r="A99" s="18" t="s">
        <v>240</v>
      </c>
      <c r="B99" s="4">
        <v>20260701</v>
      </c>
      <c r="C99" s="4">
        <v>13</v>
      </c>
      <c r="D99" s="4" t="s">
        <v>31</v>
      </c>
      <c r="E99" s="4" t="s">
        <v>16</v>
      </c>
      <c r="F99" s="4" t="s">
        <v>143</v>
      </c>
      <c r="G99" s="4">
        <v>60</v>
      </c>
      <c r="H99" s="4">
        <v>6.3</v>
      </c>
      <c r="I99" s="4">
        <f t="shared" si="7"/>
        <v>53.7</v>
      </c>
      <c r="J99" s="4">
        <f>INDEX(Dim_Machine!$E$2:$E$8,MATCH(D99,Dim_Machine!$A$2:$A$8,0))*INDEX(Dim_Machine!$D$2:$D$8,MATCH(D99,Dim_Machine!$A$2:$A$8,0))*I99</f>
        <v>34797.599999999999</v>
      </c>
      <c r="K99" s="4">
        <f>ROUND(J99*0.972,0)</f>
        <v>33823</v>
      </c>
      <c r="L99" s="4">
        <f>ROUND(K99*0.0271,0)</f>
        <v>917</v>
      </c>
      <c r="M99" s="4">
        <f t="shared" si="8"/>
        <v>32906</v>
      </c>
      <c r="N99" s="4">
        <f t="shared" si="9"/>
        <v>0.97199232130951563</v>
      </c>
      <c r="O99" s="4">
        <f t="shared" si="10"/>
        <v>0.89500000000000002</v>
      </c>
      <c r="P99" s="4">
        <f>IFERROR((K99/I99)/(INDEX(Dim_Machine!$E$2:$E$8,MATCH(D99,Dim_Machine!$A$2:$A$8,0))*INDEX(Dim_Machine!$D$2:$D$8,MATCH(D99,Dim_Machine!$A$2:$A$8,0))),0)</f>
        <v>0.97199232130951552</v>
      </c>
      <c r="Q99" s="4">
        <f t="shared" si="11"/>
        <v>0.97288827129468114</v>
      </c>
      <c r="R99" s="4">
        <f t="shared" si="12"/>
        <v>0.84634773662551432</v>
      </c>
      <c r="S99" s="4">
        <f>T99/0.899</f>
        <v>7.3205784204671858</v>
      </c>
      <c r="T99" s="4">
        <f>M99*INDEX(Dim_Product!$C$2:$C$4,MATCH(F99,Dim_Product!$A$2:$A$4,0))/1000000</f>
        <v>6.5811999999999999</v>
      </c>
      <c r="U99" s="19">
        <f t="shared" si="13"/>
        <v>0.89900000000000002</v>
      </c>
    </row>
    <row r="100" spans="1:21" x14ac:dyDescent="0.25">
      <c r="A100" s="18" t="s">
        <v>241</v>
      </c>
      <c r="B100" s="4">
        <v>20260701</v>
      </c>
      <c r="C100" s="4">
        <v>14</v>
      </c>
      <c r="D100" s="4" t="s">
        <v>15</v>
      </c>
      <c r="E100" s="4" t="s">
        <v>16</v>
      </c>
      <c r="F100" s="4" t="s">
        <v>143</v>
      </c>
      <c r="G100" s="4">
        <v>60</v>
      </c>
      <c r="H100" s="4">
        <v>2.2999999999999998</v>
      </c>
      <c r="I100" s="4">
        <f t="shared" si="7"/>
        <v>57.7</v>
      </c>
      <c r="J100" s="4">
        <f>INDEX(Dim_Machine!$E$2:$E$8,MATCH(D100,Dim_Machine!$A$2:$A$8,0))*INDEX(Dim_Machine!$D$2:$D$8,MATCH(D100,Dim_Machine!$A$2:$A$8,0))*I100</f>
        <v>23080</v>
      </c>
      <c r="K100" s="4">
        <f>ROUND(J100*0.913,0)</f>
        <v>21072</v>
      </c>
      <c r="L100" s="4">
        <f>ROUND(K100*0.0236,0)</f>
        <v>497</v>
      </c>
      <c r="M100" s="4">
        <f t="shared" si="8"/>
        <v>20575</v>
      </c>
      <c r="N100" s="4">
        <f t="shared" si="9"/>
        <v>0.91299826689774699</v>
      </c>
      <c r="O100" s="4">
        <f t="shared" si="10"/>
        <v>0.96166666666666667</v>
      </c>
      <c r="P100" s="4">
        <f>IFERROR((K100/I100)/(INDEX(Dim_Machine!$E$2:$E$8,MATCH(D100,Dim_Machine!$A$2:$A$8,0))*INDEX(Dim_Machine!$D$2:$D$8,MATCH(D100,Dim_Machine!$A$2:$A$8,0))),0)</f>
        <v>0.91299826689774688</v>
      </c>
      <c r="Q100" s="4">
        <f t="shared" si="11"/>
        <v>0.97641419893697801</v>
      </c>
      <c r="R100" s="4">
        <f t="shared" si="12"/>
        <v>0.85729166666666656</v>
      </c>
      <c r="S100" s="4">
        <f>T100/0.814</f>
        <v>5.055282555282556</v>
      </c>
      <c r="T100" s="4">
        <f>M100*INDEX(Dim_Product!$C$2:$C$4,MATCH(F100,Dim_Product!$A$2:$A$4,0))/1000000</f>
        <v>4.1150000000000002</v>
      </c>
      <c r="U100" s="19">
        <f t="shared" si="13"/>
        <v>0.81399999999999995</v>
      </c>
    </row>
    <row r="101" spans="1:21" x14ac:dyDescent="0.25">
      <c r="A101" s="18" t="s">
        <v>242</v>
      </c>
      <c r="B101" s="4">
        <v>20260701</v>
      </c>
      <c r="C101" s="4">
        <v>14</v>
      </c>
      <c r="D101" s="4" t="s">
        <v>19</v>
      </c>
      <c r="E101" s="4" t="s">
        <v>16</v>
      </c>
      <c r="F101" s="4" t="s">
        <v>141</v>
      </c>
      <c r="G101" s="4">
        <v>60</v>
      </c>
      <c r="H101" s="4">
        <v>7.6</v>
      </c>
      <c r="I101" s="4">
        <f t="shared" si="7"/>
        <v>52.4</v>
      </c>
      <c r="J101" s="4">
        <f>INDEX(Dim_Machine!$E$2:$E$8,MATCH(D101,Dim_Machine!$A$2:$A$8,0))*INDEX(Dim_Machine!$D$2:$D$8,MATCH(D101,Dim_Machine!$A$2:$A$8,0))*I101</f>
        <v>35212.799999999996</v>
      </c>
      <c r="K101" s="4">
        <f>ROUND(J101*0.827,0)</f>
        <v>29121</v>
      </c>
      <c r="L101" s="4">
        <f>ROUND(K101*0.0143,0)</f>
        <v>416</v>
      </c>
      <c r="M101" s="4">
        <f t="shared" si="8"/>
        <v>28705</v>
      </c>
      <c r="N101" s="4">
        <f t="shared" si="9"/>
        <v>0.82700040894220295</v>
      </c>
      <c r="O101" s="4">
        <f t="shared" si="10"/>
        <v>0.87333333333333329</v>
      </c>
      <c r="P101" s="4">
        <f>IFERROR((K101/I101)/(INDEX(Dim_Machine!$E$2:$E$8,MATCH(D101,Dim_Machine!$A$2:$A$8,0))*INDEX(Dim_Machine!$D$2:$D$8,MATCH(D101,Dim_Machine!$A$2:$A$8,0))),0)</f>
        <v>0.82700040894220284</v>
      </c>
      <c r="Q101" s="4">
        <f t="shared" si="11"/>
        <v>0.98571477627828719</v>
      </c>
      <c r="R101" s="4">
        <f t="shared" si="12"/>
        <v>0.71192956349206349</v>
      </c>
      <c r="S101" s="4">
        <f>T101/0.921</f>
        <v>7.7918023887079251</v>
      </c>
      <c r="T101" s="4">
        <f>M101*INDEX(Dim_Product!$C$2:$C$4,MATCH(F101,Dim_Product!$A$2:$A$4,0))/1000000</f>
        <v>7.1762499999999996</v>
      </c>
      <c r="U101" s="19">
        <f t="shared" si="13"/>
        <v>0.92100000000000004</v>
      </c>
    </row>
    <row r="102" spans="1:21" x14ac:dyDescent="0.25">
      <c r="A102" s="18" t="s">
        <v>243</v>
      </c>
      <c r="B102" s="4">
        <v>20260701</v>
      </c>
      <c r="C102" s="4">
        <v>14</v>
      </c>
      <c r="D102" s="4" t="s">
        <v>23</v>
      </c>
      <c r="E102" s="4" t="s">
        <v>16</v>
      </c>
      <c r="F102" s="4" t="s">
        <v>187</v>
      </c>
      <c r="G102" s="4">
        <v>60</v>
      </c>
      <c r="H102" s="4">
        <v>1.2</v>
      </c>
      <c r="I102" s="4">
        <f t="shared" si="7"/>
        <v>58.8</v>
      </c>
      <c r="J102" s="4">
        <f>INDEX(Dim_Machine!$E$2:$E$8,MATCH(D102,Dim_Machine!$A$2:$A$8,0))*INDEX(Dim_Machine!$D$2:$D$8,MATCH(D102,Dim_Machine!$A$2:$A$8,0))*I102</f>
        <v>15523.199999999999</v>
      </c>
      <c r="K102" s="4">
        <f>ROUND(J102*0.789,0)</f>
        <v>12248</v>
      </c>
      <c r="L102" s="4">
        <f>ROUND(K102*0.0345,0)</f>
        <v>423</v>
      </c>
      <c r="M102" s="4">
        <f t="shared" si="8"/>
        <v>11825</v>
      </c>
      <c r="N102" s="4">
        <f t="shared" si="9"/>
        <v>0.78901257472686048</v>
      </c>
      <c r="O102" s="4">
        <f t="shared" si="10"/>
        <v>0.98</v>
      </c>
      <c r="P102" s="4">
        <f>IFERROR((K102/I102)/(INDEX(Dim_Machine!$E$2:$E$8,MATCH(D102,Dim_Machine!$A$2:$A$8,0))*INDEX(Dim_Machine!$D$2:$D$8,MATCH(D102,Dim_Machine!$A$2:$A$8,0))),0)</f>
        <v>0.78901257472686048</v>
      </c>
      <c r="Q102" s="4">
        <f t="shared" si="11"/>
        <v>0.96546374918354017</v>
      </c>
      <c r="R102" s="4">
        <f t="shared" si="12"/>
        <v>0.74652777777777779</v>
      </c>
      <c r="S102" s="4">
        <f>T102/0.892</f>
        <v>3.9770179372197307</v>
      </c>
      <c r="T102" s="4">
        <f>M102*INDEX(Dim_Product!$C$2:$C$4,MATCH(F102,Dim_Product!$A$2:$A$4,0))/1000000</f>
        <v>3.5474999999999999</v>
      </c>
      <c r="U102" s="19">
        <f t="shared" si="13"/>
        <v>0.89200000000000002</v>
      </c>
    </row>
    <row r="103" spans="1:21" x14ac:dyDescent="0.25">
      <c r="A103" s="18" t="s">
        <v>244</v>
      </c>
      <c r="B103" s="4">
        <v>20260701</v>
      </c>
      <c r="C103" s="4">
        <v>14</v>
      </c>
      <c r="D103" s="4" t="s">
        <v>25</v>
      </c>
      <c r="E103" s="4" t="s">
        <v>16</v>
      </c>
      <c r="F103" s="4" t="s">
        <v>141</v>
      </c>
      <c r="G103" s="4">
        <v>60</v>
      </c>
      <c r="H103" s="4">
        <v>6.1</v>
      </c>
      <c r="I103" s="4">
        <f t="shared" si="7"/>
        <v>53.9</v>
      </c>
      <c r="J103" s="4">
        <f>INDEX(Dim_Machine!$E$2:$E$8,MATCH(D103,Dim_Machine!$A$2:$A$8,0))*INDEX(Dim_Machine!$D$2:$D$8,MATCH(D103,Dim_Machine!$A$2:$A$8,0))*I103</f>
        <v>38808</v>
      </c>
      <c r="K103" s="4">
        <f>ROUND(J103*0.871,0)</f>
        <v>33802</v>
      </c>
      <c r="L103" s="4">
        <f>ROUND(K103*0.0316,0)</f>
        <v>1068</v>
      </c>
      <c r="M103" s="4">
        <f t="shared" si="8"/>
        <v>32734</v>
      </c>
      <c r="N103" s="4">
        <f t="shared" si="9"/>
        <v>0.87100597814883529</v>
      </c>
      <c r="O103" s="4">
        <f t="shared" si="10"/>
        <v>0.89833333333333332</v>
      </c>
      <c r="P103" s="4">
        <f>IFERROR((K103/I103)/(INDEX(Dim_Machine!$E$2:$E$8,MATCH(D103,Dim_Machine!$A$2:$A$8,0))*INDEX(Dim_Machine!$D$2:$D$8,MATCH(D103,Dim_Machine!$A$2:$A$8,0))),0)</f>
        <v>0.87100597814883529</v>
      </c>
      <c r="Q103" s="4">
        <f t="shared" si="11"/>
        <v>0.96840423643571383</v>
      </c>
      <c r="R103" s="4">
        <f t="shared" si="12"/>
        <v>0.75773148148148151</v>
      </c>
      <c r="S103" s="4">
        <f>T103/0.886</f>
        <v>9.2364559819413099</v>
      </c>
      <c r="T103" s="4">
        <f>M103*INDEX(Dim_Product!$C$2:$C$4,MATCH(F103,Dim_Product!$A$2:$A$4,0))/1000000</f>
        <v>8.1835000000000004</v>
      </c>
      <c r="U103" s="19">
        <f t="shared" si="13"/>
        <v>0.88600000000000001</v>
      </c>
    </row>
    <row r="104" spans="1:21" x14ac:dyDescent="0.25">
      <c r="A104" s="18" t="s">
        <v>245</v>
      </c>
      <c r="B104" s="4">
        <v>20260701</v>
      </c>
      <c r="C104" s="4">
        <v>14</v>
      </c>
      <c r="D104" s="4" t="s">
        <v>27</v>
      </c>
      <c r="E104" s="4" t="s">
        <v>16</v>
      </c>
      <c r="F104" s="4" t="s">
        <v>143</v>
      </c>
      <c r="G104" s="4">
        <v>60</v>
      </c>
      <c r="H104" s="4">
        <v>5.7</v>
      </c>
      <c r="I104" s="4">
        <f t="shared" si="7"/>
        <v>54.3</v>
      </c>
      <c r="J104" s="4">
        <f>INDEX(Dim_Machine!$E$2:$E$8,MATCH(D104,Dim_Machine!$A$2:$A$8,0))*INDEX(Dim_Machine!$D$2:$D$8,MATCH(D104,Dim_Machine!$A$2:$A$8,0))*I104</f>
        <v>22588.799999999999</v>
      </c>
      <c r="K104" s="4">
        <f>ROUND(J104*0.857,0)</f>
        <v>19359</v>
      </c>
      <c r="L104" s="4">
        <f>ROUND(K104*0.017,0)</f>
        <v>329</v>
      </c>
      <c r="M104" s="4">
        <f t="shared" si="8"/>
        <v>19030</v>
      </c>
      <c r="N104" s="4">
        <f t="shared" si="9"/>
        <v>0.85701763705907352</v>
      </c>
      <c r="O104" s="4">
        <f t="shared" si="10"/>
        <v>0.90499999999999992</v>
      </c>
      <c r="P104" s="4">
        <f>IFERROR((K104/I104)/(INDEX(Dim_Machine!$E$2:$E$8,MATCH(D104,Dim_Machine!$A$2:$A$8,0))*INDEX(Dim_Machine!$D$2:$D$8,MATCH(D104,Dim_Machine!$A$2:$A$8,0))),0)</f>
        <v>0.85701763705907352</v>
      </c>
      <c r="Q104" s="4">
        <f t="shared" si="11"/>
        <v>0.98300532052275424</v>
      </c>
      <c r="R104" s="4">
        <f t="shared" si="12"/>
        <v>0.7624198717948717</v>
      </c>
      <c r="S104" s="4">
        <f>T104/0.822</f>
        <v>4.6301703163017036</v>
      </c>
      <c r="T104" s="4">
        <f>M104*INDEX(Dim_Product!$C$2:$C$4,MATCH(F104,Dim_Product!$A$2:$A$4,0))/1000000</f>
        <v>3.806</v>
      </c>
      <c r="U104" s="19">
        <f t="shared" si="13"/>
        <v>0.82199999999999995</v>
      </c>
    </row>
    <row r="105" spans="1:21" x14ac:dyDescent="0.25">
      <c r="A105" s="18" t="s">
        <v>246</v>
      </c>
      <c r="B105" s="4">
        <v>20260701</v>
      </c>
      <c r="C105" s="4">
        <v>14</v>
      </c>
      <c r="D105" s="4" t="s">
        <v>29</v>
      </c>
      <c r="E105" s="4" t="s">
        <v>16</v>
      </c>
      <c r="F105" s="4" t="s">
        <v>143</v>
      </c>
      <c r="G105" s="4">
        <v>60</v>
      </c>
      <c r="H105" s="4">
        <v>5.5</v>
      </c>
      <c r="I105" s="4">
        <f t="shared" si="7"/>
        <v>54.5</v>
      </c>
      <c r="J105" s="4">
        <f>INDEX(Dim_Machine!$E$2:$E$8,MATCH(D105,Dim_Machine!$A$2:$A$8,0))*INDEX(Dim_Machine!$D$2:$D$8,MATCH(D105,Dim_Machine!$A$2:$A$8,0))*I105</f>
        <v>15696</v>
      </c>
      <c r="K105" s="4">
        <f>ROUND(J105*0.959,0)</f>
        <v>15052</v>
      </c>
      <c r="L105" s="4">
        <f>ROUND(K105*0.0308,0)</f>
        <v>464</v>
      </c>
      <c r="M105" s="4">
        <f t="shared" si="8"/>
        <v>14588</v>
      </c>
      <c r="N105" s="4">
        <f t="shared" si="9"/>
        <v>0.95897043832823647</v>
      </c>
      <c r="O105" s="4">
        <f t="shared" si="10"/>
        <v>0.90833333333333333</v>
      </c>
      <c r="P105" s="4">
        <f>IFERROR((K105/I105)/(INDEX(Dim_Machine!$E$2:$E$8,MATCH(D105,Dim_Machine!$A$2:$A$8,0))*INDEX(Dim_Machine!$D$2:$D$8,MATCH(D105,Dim_Machine!$A$2:$A$8,0))),0)</f>
        <v>0.95897043832823647</v>
      </c>
      <c r="Q105" s="4">
        <f t="shared" si="11"/>
        <v>0.96917353175657717</v>
      </c>
      <c r="R105" s="4">
        <f t="shared" si="12"/>
        <v>0.84421296296296289</v>
      </c>
      <c r="S105" s="4">
        <f>T105/0.933</f>
        <v>3.1271168274383707</v>
      </c>
      <c r="T105" s="4">
        <f>M105*INDEX(Dim_Product!$C$2:$C$4,MATCH(F105,Dim_Product!$A$2:$A$4,0))/1000000</f>
        <v>2.9176000000000002</v>
      </c>
      <c r="U105" s="19">
        <f t="shared" si="13"/>
        <v>0.93300000000000005</v>
      </c>
    </row>
    <row r="106" spans="1:21" x14ac:dyDescent="0.25">
      <c r="A106" s="18" t="s">
        <v>247</v>
      </c>
      <c r="B106" s="4">
        <v>20260701</v>
      </c>
      <c r="C106" s="4">
        <v>14</v>
      </c>
      <c r="D106" s="4" t="s">
        <v>31</v>
      </c>
      <c r="E106" s="4" t="s">
        <v>16</v>
      </c>
      <c r="F106" s="4" t="s">
        <v>143</v>
      </c>
      <c r="G106" s="4">
        <v>60</v>
      </c>
      <c r="H106" s="4">
        <v>6.2</v>
      </c>
      <c r="I106" s="4">
        <f t="shared" si="7"/>
        <v>53.8</v>
      </c>
      <c r="J106" s="4">
        <f>INDEX(Dim_Machine!$E$2:$E$8,MATCH(D106,Dim_Machine!$A$2:$A$8,0))*INDEX(Dim_Machine!$D$2:$D$8,MATCH(D106,Dim_Machine!$A$2:$A$8,0))*I106</f>
        <v>34862.400000000001</v>
      </c>
      <c r="K106" s="4">
        <f>ROUND(J106*0.824,0)</f>
        <v>28727</v>
      </c>
      <c r="L106" s="4">
        <f>ROUND(K106*0.0291,0)</f>
        <v>836</v>
      </c>
      <c r="M106" s="4">
        <f t="shared" si="8"/>
        <v>27891</v>
      </c>
      <c r="N106" s="4">
        <f t="shared" si="9"/>
        <v>0.82401096883748681</v>
      </c>
      <c r="O106" s="4">
        <f t="shared" si="10"/>
        <v>0.89666666666666661</v>
      </c>
      <c r="P106" s="4">
        <f>IFERROR((K106/I106)/(INDEX(Dim_Machine!$E$2:$E$8,MATCH(D106,Dim_Machine!$A$2:$A$8,0))*INDEX(Dim_Machine!$D$2:$D$8,MATCH(D106,Dim_Machine!$A$2:$A$8,0))),0)</f>
        <v>0.82401096883748681</v>
      </c>
      <c r="Q106" s="4">
        <f t="shared" si="11"/>
        <v>0.97089845789675222</v>
      </c>
      <c r="R106" s="4">
        <f t="shared" si="12"/>
        <v>0.71736111111111112</v>
      </c>
      <c r="S106" s="4">
        <f>T106/0.904</f>
        <v>6.1705752212389378</v>
      </c>
      <c r="T106" s="4">
        <f>M106*INDEX(Dim_Product!$C$2:$C$4,MATCH(F106,Dim_Product!$A$2:$A$4,0))/1000000</f>
        <v>5.5781999999999998</v>
      </c>
      <c r="U106" s="19">
        <f t="shared" si="13"/>
        <v>0.90400000000000003</v>
      </c>
    </row>
    <row r="107" spans="1:21" x14ac:dyDescent="0.25">
      <c r="A107" s="18" t="s">
        <v>248</v>
      </c>
      <c r="B107" s="4">
        <v>20260701</v>
      </c>
      <c r="C107" s="4">
        <v>15</v>
      </c>
      <c r="D107" s="4" t="s">
        <v>15</v>
      </c>
      <c r="E107" s="4" t="s">
        <v>16</v>
      </c>
      <c r="F107" s="4" t="s">
        <v>143</v>
      </c>
      <c r="G107" s="4">
        <v>60</v>
      </c>
      <c r="H107" s="4">
        <v>3.7</v>
      </c>
      <c r="I107" s="4">
        <f t="shared" si="7"/>
        <v>56.3</v>
      </c>
      <c r="J107" s="4">
        <f>INDEX(Dim_Machine!$E$2:$E$8,MATCH(D107,Dim_Machine!$A$2:$A$8,0))*INDEX(Dim_Machine!$D$2:$D$8,MATCH(D107,Dim_Machine!$A$2:$A$8,0))*I107</f>
        <v>22520</v>
      </c>
      <c r="K107" s="4">
        <f>ROUND(J107*0.891,0)</f>
        <v>20065</v>
      </c>
      <c r="L107" s="4">
        <f>ROUND(K107*0.0325,0)</f>
        <v>652</v>
      </c>
      <c r="M107" s="4">
        <f t="shared" si="8"/>
        <v>19413</v>
      </c>
      <c r="N107" s="4">
        <f t="shared" si="9"/>
        <v>0.89098579040852577</v>
      </c>
      <c r="O107" s="4">
        <f t="shared" si="10"/>
        <v>0.93833333333333324</v>
      </c>
      <c r="P107" s="4">
        <f>IFERROR((K107/I107)/(INDEX(Dim_Machine!$E$2:$E$8,MATCH(D107,Dim_Machine!$A$2:$A$8,0))*INDEX(Dim_Machine!$D$2:$D$8,MATCH(D107,Dim_Machine!$A$2:$A$8,0))),0)</f>
        <v>0.89098579040852588</v>
      </c>
      <c r="Q107" s="4">
        <f t="shared" si="11"/>
        <v>0.96750560677797159</v>
      </c>
      <c r="R107" s="4">
        <f t="shared" si="12"/>
        <v>0.80887500000000001</v>
      </c>
      <c r="S107" s="4">
        <f>T107/0.818</f>
        <v>4.7464547677261617</v>
      </c>
      <c r="T107" s="4">
        <f>M107*INDEX(Dim_Product!$C$2:$C$4,MATCH(F107,Dim_Product!$A$2:$A$4,0))/1000000</f>
        <v>3.8826000000000001</v>
      </c>
      <c r="U107" s="19">
        <f t="shared" si="13"/>
        <v>0.81799999999999995</v>
      </c>
    </row>
    <row r="108" spans="1:21" x14ac:dyDescent="0.25">
      <c r="A108" s="18" t="s">
        <v>249</v>
      </c>
      <c r="B108" s="4">
        <v>20260701</v>
      </c>
      <c r="C108" s="4">
        <v>15</v>
      </c>
      <c r="D108" s="4" t="s">
        <v>19</v>
      </c>
      <c r="E108" s="4" t="s">
        <v>16</v>
      </c>
      <c r="F108" s="4" t="s">
        <v>141</v>
      </c>
      <c r="G108" s="4">
        <v>60</v>
      </c>
      <c r="H108" s="4">
        <v>1.1000000000000001</v>
      </c>
      <c r="I108" s="4">
        <f t="shared" si="7"/>
        <v>58.9</v>
      </c>
      <c r="J108" s="4">
        <f>INDEX(Dim_Machine!$E$2:$E$8,MATCH(D108,Dim_Machine!$A$2:$A$8,0))*INDEX(Dim_Machine!$D$2:$D$8,MATCH(D108,Dim_Machine!$A$2:$A$8,0))*I108</f>
        <v>39580.799999999996</v>
      </c>
      <c r="K108" s="4">
        <f>ROUND(J108*0.873,0)</f>
        <v>34554</v>
      </c>
      <c r="L108" s="4">
        <f>ROUND(K108*0.0209,0)</f>
        <v>722</v>
      </c>
      <c r="M108" s="4">
        <f t="shared" si="8"/>
        <v>33832</v>
      </c>
      <c r="N108" s="4">
        <f t="shared" si="9"/>
        <v>0.87299902983264621</v>
      </c>
      <c r="O108" s="4">
        <f t="shared" si="10"/>
        <v>0.98166666666666669</v>
      </c>
      <c r="P108" s="4">
        <f>IFERROR((K108/I108)/(INDEX(Dim_Machine!$E$2:$E$8,MATCH(D108,Dim_Machine!$A$2:$A$8,0))*INDEX(Dim_Machine!$D$2:$D$8,MATCH(D108,Dim_Machine!$A$2:$A$8,0))),0)</f>
        <v>0.87299902983264621</v>
      </c>
      <c r="Q108" s="4">
        <f t="shared" si="11"/>
        <v>0.9791051687214215</v>
      </c>
      <c r="R108" s="4">
        <f t="shared" si="12"/>
        <v>0.83908730158730171</v>
      </c>
      <c r="S108" s="4">
        <f>T108/0.884</f>
        <v>9.5678733031674206</v>
      </c>
      <c r="T108" s="4">
        <f>M108*INDEX(Dim_Product!$C$2:$C$4,MATCH(F108,Dim_Product!$A$2:$A$4,0))/1000000</f>
        <v>8.4580000000000002</v>
      </c>
      <c r="U108" s="19">
        <f t="shared" si="13"/>
        <v>0.88400000000000001</v>
      </c>
    </row>
    <row r="109" spans="1:21" x14ac:dyDescent="0.25">
      <c r="A109" s="18" t="s">
        <v>250</v>
      </c>
      <c r="B109" s="4">
        <v>20260701</v>
      </c>
      <c r="C109" s="4">
        <v>15</v>
      </c>
      <c r="D109" s="4" t="s">
        <v>23</v>
      </c>
      <c r="E109" s="4" t="s">
        <v>16</v>
      </c>
      <c r="F109" s="4" t="s">
        <v>187</v>
      </c>
      <c r="G109" s="4">
        <v>60</v>
      </c>
      <c r="H109" s="4">
        <v>2.5</v>
      </c>
      <c r="I109" s="4">
        <f t="shared" si="7"/>
        <v>57.5</v>
      </c>
      <c r="J109" s="4">
        <f>INDEX(Dim_Machine!$E$2:$E$8,MATCH(D109,Dim_Machine!$A$2:$A$8,0))*INDEX(Dim_Machine!$D$2:$D$8,MATCH(D109,Dim_Machine!$A$2:$A$8,0))*I109</f>
        <v>15180</v>
      </c>
      <c r="K109" s="4">
        <f>ROUND(J109*0.931,0)</f>
        <v>14133</v>
      </c>
      <c r="L109" s="4">
        <f>ROUND(K109*0.0183,0)</f>
        <v>259</v>
      </c>
      <c r="M109" s="4">
        <f t="shared" si="8"/>
        <v>13874</v>
      </c>
      <c r="N109" s="4">
        <f t="shared" si="9"/>
        <v>0.93102766798418968</v>
      </c>
      <c r="O109" s="4">
        <f t="shared" si="10"/>
        <v>0.95833333333333337</v>
      </c>
      <c r="P109" s="4">
        <f>IFERROR((K109/I109)/(INDEX(Dim_Machine!$E$2:$E$8,MATCH(D109,Dim_Machine!$A$2:$A$8,0))*INDEX(Dim_Machine!$D$2:$D$8,MATCH(D109,Dim_Machine!$A$2:$A$8,0))),0)</f>
        <v>0.93102766798418979</v>
      </c>
      <c r="Q109" s="4">
        <f t="shared" si="11"/>
        <v>0.98167409608717182</v>
      </c>
      <c r="R109" s="4">
        <f t="shared" si="12"/>
        <v>0.87588383838383843</v>
      </c>
      <c r="S109" s="4">
        <f>T109/0.922</f>
        <v>4.5143167028199569</v>
      </c>
      <c r="T109" s="4">
        <f>M109*INDEX(Dim_Product!$C$2:$C$4,MATCH(F109,Dim_Product!$A$2:$A$4,0))/1000000</f>
        <v>4.1622000000000003</v>
      </c>
      <c r="U109" s="19">
        <f t="shared" si="13"/>
        <v>0.92200000000000004</v>
      </c>
    </row>
    <row r="110" spans="1:21" x14ac:dyDescent="0.25">
      <c r="A110" s="18" t="s">
        <v>251</v>
      </c>
      <c r="B110" s="4">
        <v>20260701</v>
      </c>
      <c r="C110" s="4">
        <v>15</v>
      </c>
      <c r="D110" s="4" t="s">
        <v>25</v>
      </c>
      <c r="E110" s="4" t="s">
        <v>16</v>
      </c>
      <c r="F110" s="4" t="s">
        <v>141</v>
      </c>
      <c r="G110" s="4">
        <v>60</v>
      </c>
      <c r="H110" s="4">
        <v>7.1</v>
      </c>
      <c r="I110" s="4">
        <f t="shared" si="7"/>
        <v>52.9</v>
      </c>
      <c r="J110" s="4">
        <f>INDEX(Dim_Machine!$E$2:$E$8,MATCH(D110,Dim_Machine!$A$2:$A$8,0))*INDEX(Dim_Machine!$D$2:$D$8,MATCH(D110,Dim_Machine!$A$2:$A$8,0))*I110</f>
        <v>38088</v>
      </c>
      <c r="K110" s="4">
        <f>ROUND(J110*0.865,0)</f>
        <v>32946</v>
      </c>
      <c r="L110" s="4">
        <f>ROUND(K110*0.0322,0)</f>
        <v>1061</v>
      </c>
      <c r="M110" s="4">
        <f t="shared" si="8"/>
        <v>31885</v>
      </c>
      <c r="N110" s="4">
        <f t="shared" si="9"/>
        <v>0.86499684940138621</v>
      </c>
      <c r="O110" s="4">
        <f t="shared" si="10"/>
        <v>0.8816666666666666</v>
      </c>
      <c r="P110" s="4">
        <f>IFERROR((K110/I110)/(INDEX(Dim_Machine!$E$2:$E$8,MATCH(D110,Dim_Machine!$A$2:$A$8,0))*INDEX(Dim_Machine!$D$2:$D$8,MATCH(D110,Dim_Machine!$A$2:$A$8,0))),0)</f>
        <v>0.86499684940138621</v>
      </c>
      <c r="Q110" s="4">
        <f t="shared" si="11"/>
        <v>0.96779578704546831</v>
      </c>
      <c r="R110" s="4">
        <f t="shared" si="12"/>
        <v>0.73807870370370354</v>
      </c>
      <c r="S110" s="4">
        <f>T110/0.867</f>
        <v>9.1940599769319498</v>
      </c>
      <c r="T110" s="4">
        <f>M110*INDEX(Dim_Product!$C$2:$C$4,MATCH(F110,Dim_Product!$A$2:$A$4,0))/1000000</f>
        <v>7.9712500000000004</v>
      </c>
      <c r="U110" s="19">
        <f t="shared" si="13"/>
        <v>0.86699999999999999</v>
      </c>
    </row>
    <row r="111" spans="1:21" x14ac:dyDescent="0.25">
      <c r="A111" s="18" t="s">
        <v>252</v>
      </c>
      <c r="B111" s="4">
        <v>20260701</v>
      </c>
      <c r="C111" s="4">
        <v>15</v>
      </c>
      <c r="D111" s="4" t="s">
        <v>27</v>
      </c>
      <c r="E111" s="4" t="s">
        <v>16</v>
      </c>
      <c r="F111" s="4" t="s">
        <v>143</v>
      </c>
      <c r="G111" s="4">
        <v>60</v>
      </c>
      <c r="H111" s="4">
        <v>1.3</v>
      </c>
      <c r="I111" s="4">
        <f t="shared" si="7"/>
        <v>58.7</v>
      </c>
      <c r="J111" s="4">
        <f>INDEX(Dim_Machine!$E$2:$E$8,MATCH(D111,Dim_Machine!$A$2:$A$8,0))*INDEX(Dim_Machine!$D$2:$D$8,MATCH(D111,Dim_Machine!$A$2:$A$8,0))*I111</f>
        <v>24419.200000000001</v>
      </c>
      <c r="K111" s="4">
        <f>ROUND(J111*0.952,0)</f>
        <v>23247</v>
      </c>
      <c r="L111" s="4">
        <f>ROUND(K111*0.0185,0)</f>
        <v>430</v>
      </c>
      <c r="M111" s="4">
        <f t="shared" si="8"/>
        <v>22817</v>
      </c>
      <c r="N111" s="4">
        <f t="shared" si="9"/>
        <v>0.95199678941161048</v>
      </c>
      <c r="O111" s="4">
        <f t="shared" si="10"/>
        <v>0.97833333333333339</v>
      </c>
      <c r="P111" s="4">
        <f>IFERROR((K111/I111)/(INDEX(Dim_Machine!$E$2:$E$8,MATCH(D111,Dim_Machine!$A$2:$A$8,0))*INDEX(Dim_Machine!$D$2:$D$8,MATCH(D111,Dim_Machine!$A$2:$A$8,0))),0)</f>
        <v>0.95199678941161048</v>
      </c>
      <c r="Q111" s="4">
        <f t="shared" si="11"/>
        <v>0.98150298963307092</v>
      </c>
      <c r="R111" s="4">
        <f t="shared" si="12"/>
        <v>0.91414262820512826</v>
      </c>
      <c r="S111" s="4">
        <f>T111/0.913</f>
        <v>4.9982475355969322</v>
      </c>
      <c r="T111" s="4">
        <f>M111*INDEX(Dim_Product!$C$2:$C$4,MATCH(F111,Dim_Product!$A$2:$A$4,0))/1000000</f>
        <v>4.5633999999999997</v>
      </c>
      <c r="U111" s="19">
        <f t="shared" si="13"/>
        <v>0.91300000000000014</v>
      </c>
    </row>
    <row r="112" spans="1:21" x14ac:dyDescent="0.25">
      <c r="A112" s="18" t="s">
        <v>253</v>
      </c>
      <c r="B112" s="4">
        <v>20260701</v>
      </c>
      <c r="C112" s="4">
        <v>15</v>
      </c>
      <c r="D112" s="4" t="s">
        <v>29</v>
      </c>
      <c r="E112" s="4" t="s">
        <v>16</v>
      </c>
      <c r="F112" s="4" t="s">
        <v>143</v>
      </c>
      <c r="G112" s="4">
        <v>60</v>
      </c>
      <c r="H112" s="4">
        <v>6.7</v>
      </c>
      <c r="I112" s="4">
        <f t="shared" si="7"/>
        <v>53.3</v>
      </c>
      <c r="J112" s="4">
        <f>INDEX(Dim_Machine!$E$2:$E$8,MATCH(D112,Dim_Machine!$A$2:$A$8,0))*INDEX(Dim_Machine!$D$2:$D$8,MATCH(D112,Dim_Machine!$A$2:$A$8,0))*I112</f>
        <v>15350.4</v>
      </c>
      <c r="K112" s="4">
        <f>ROUND(J112*0.835,0)</f>
        <v>12818</v>
      </c>
      <c r="L112" s="4">
        <f>ROUND(K112*0.0283,0)</f>
        <v>363</v>
      </c>
      <c r="M112" s="4">
        <f t="shared" si="8"/>
        <v>12455</v>
      </c>
      <c r="N112" s="4">
        <f t="shared" si="9"/>
        <v>0.83502710027100269</v>
      </c>
      <c r="O112" s="4">
        <f t="shared" si="10"/>
        <v>0.88833333333333331</v>
      </c>
      <c r="P112" s="4">
        <f>IFERROR((K112/I112)/(INDEX(Dim_Machine!$E$2:$E$8,MATCH(D112,Dim_Machine!$A$2:$A$8,0))*INDEX(Dim_Machine!$D$2:$D$8,MATCH(D112,Dim_Machine!$A$2:$A$8,0))),0)</f>
        <v>0.8350271002710028</v>
      </c>
      <c r="Q112" s="4">
        <f t="shared" si="11"/>
        <v>0.97168044936807618</v>
      </c>
      <c r="R112" s="4">
        <f t="shared" si="12"/>
        <v>0.72077546296296302</v>
      </c>
      <c r="S112" s="4">
        <f>T112/0.873</f>
        <v>2.8533791523482246</v>
      </c>
      <c r="T112" s="4">
        <f>M112*INDEX(Dim_Product!$C$2:$C$4,MATCH(F112,Dim_Product!$A$2:$A$4,0))/1000000</f>
        <v>2.4910000000000001</v>
      </c>
      <c r="U112" s="19">
        <f t="shared" si="13"/>
        <v>0.873</v>
      </c>
    </row>
    <row r="113" spans="1:21" x14ac:dyDescent="0.25">
      <c r="A113" s="18" t="s">
        <v>254</v>
      </c>
      <c r="B113" s="4">
        <v>20260701</v>
      </c>
      <c r="C113" s="4">
        <v>15</v>
      </c>
      <c r="D113" s="4" t="s">
        <v>31</v>
      </c>
      <c r="E113" s="4" t="s">
        <v>16</v>
      </c>
      <c r="F113" s="4" t="s">
        <v>143</v>
      </c>
      <c r="G113" s="4">
        <v>60</v>
      </c>
      <c r="H113" s="4">
        <v>1.9</v>
      </c>
      <c r="I113" s="4">
        <f t="shared" si="7"/>
        <v>58.1</v>
      </c>
      <c r="J113" s="4">
        <f>INDEX(Dim_Machine!$E$2:$E$8,MATCH(D113,Dim_Machine!$A$2:$A$8,0))*INDEX(Dim_Machine!$D$2:$D$8,MATCH(D113,Dim_Machine!$A$2:$A$8,0))*I113</f>
        <v>37648.800000000003</v>
      </c>
      <c r="K113" s="4">
        <f>ROUND(J113*0.868,0)</f>
        <v>32679</v>
      </c>
      <c r="L113" s="4">
        <f>ROUND(K113*0.0264,0)</f>
        <v>863</v>
      </c>
      <c r="M113" s="4">
        <f t="shared" si="8"/>
        <v>31816</v>
      </c>
      <c r="N113" s="4">
        <f t="shared" si="9"/>
        <v>0.86799579269458782</v>
      </c>
      <c r="O113" s="4">
        <f t="shared" si="10"/>
        <v>0.96833333333333338</v>
      </c>
      <c r="P113" s="4">
        <f>IFERROR((K113/I113)/(INDEX(Dim_Machine!$E$2:$E$8,MATCH(D113,Dim_Machine!$A$2:$A$8,0))*INDEX(Dim_Machine!$D$2:$D$8,MATCH(D113,Dim_Machine!$A$2:$A$8,0))),0)</f>
        <v>0.86799579269458782</v>
      </c>
      <c r="Q113" s="4">
        <f t="shared" si="11"/>
        <v>0.97359160317023163</v>
      </c>
      <c r="R113" s="4">
        <f t="shared" si="12"/>
        <v>0.81831275720164609</v>
      </c>
      <c r="S113" s="4">
        <f>T113/0.835</f>
        <v>7.62059880239521</v>
      </c>
      <c r="T113" s="4">
        <f>M113*INDEX(Dim_Product!$C$2:$C$4,MATCH(F113,Dim_Product!$A$2:$A$4,0))/1000000</f>
        <v>6.3632</v>
      </c>
      <c r="U113" s="19">
        <f t="shared" si="13"/>
        <v>0.83499999999999996</v>
      </c>
    </row>
    <row r="114" spans="1:21" x14ac:dyDescent="0.25">
      <c r="A114" s="18" t="s">
        <v>255</v>
      </c>
      <c r="B114" s="4">
        <v>20260701</v>
      </c>
      <c r="C114" s="4">
        <v>16</v>
      </c>
      <c r="D114" s="4" t="s">
        <v>15</v>
      </c>
      <c r="E114" s="4" t="s">
        <v>16</v>
      </c>
      <c r="F114" s="4" t="s">
        <v>143</v>
      </c>
      <c r="G114" s="4">
        <v>60</v>
      </c>
      <c r="H114" s="4">
        <v>2.7</v>
      </c>
      <c r="I114" s="4">
        <f t="shared" si="7"/>
        <v>57.3</v>
      </c>
      <c r="J114" s="4">
        <f>INDEX(Dim_Machine!$E$2:$E$8,MATCH(D114,Dim_Machine!$A$2:$A$8,0))*INDEX(Dim_Machine!$D$2:$D$8,MATCH(D114,Dim_Machine!$A$2:$A$8,0))*I114</f>
        <v>22920</v>
      </c>
      <c r="K114" s="4">
        <f>ROUND(J114*0.959,0)</f>
        <v>21980</v>
      </c>
      <c r="L114" s="4">
        <f>ROUND(K114*0.0074,0)</f>
        <v>163</v>
      </c>
      <c r="M114" s="4">
        <f t="shared" si="8"/>
        <v>21817</v>
      </c>
      <c r="N114" s="4">
        <f t="shared" si="9"/>
        <v>0.95898778359511339</v>
      </c>
      <c r="O114" s="4">
        <f t="shared" si="10"/>
        <v>0.95499999999999996</v>
      </c>
      <c r="P114" s="4">
        <f>IFERROR((K114/I114)/(INDEX(Dim_Machine!$E$2:$E$8,MATCH(D114,Dim_Machine!$A$2:$A$8,0))*INDEX(Dim_Machine!$D$2:$D$8,MATCH(D114,Dim_Machine!$A$2:$A$8,0))),0)</f>
        <v>0.9589877835951135</v>
      </c>
      <c r="Q114" s="4">
        <f t="shared" si="11"/>
        <v>0.99258416742493172</v>
      </c>
      <c r="R114" s="4">
        <f t="shared" si="12"/>
        <v>0.90904166666666664</v>
      </c>
      <c r="S114" s="4">
        <f>T114/0.823</f>
        <v>5.301822600243014</v>
      </c>
      <c r="T114" s="4">
        <f>M114*INDEX(Dim_Product!$C$2:$C$4,MATCH(F114,Dim_Product!$A$2:$A$4,0))/1000000</f>
        <v>4.3634000000000004</v>
      </c>
      <c r="U114" s="19">
        <f t="shared" si="13"/>
        <v>0.82299999999999995</v>
      </c>
    </row>
    <row r="115" spans="1:21" x14ac:dyDescent="0.25">
      <c r="A115" s="18" t="s">
        <v>256</v>
      </c>
      <c r="B115" s="4">
        <v>20260701</v>
      </c>
      <c r="C115" s="4">
        <v>16</v>
      </c>
      <c r="D115" s="4" t="s">
        <v>19</v>
      </c>
      <c r="E115" s="4" t="s">
        <v>16</v>
      </c>
      <c r="F115" s="4" t="s">
        <v>141</v>
      </c>
      <c r="G115" s="4">
        <v>60</v>
      </c>
      <c r="H115" s="4">
        <v>3.1</v>
      </c>
      <c r="I115" s="4">
        <f t="shared" si="7"/>
        <v>56.9</v>
      </c>
      <c r="J115" s="4">
        <f>INDEX(Dim_Machine!$E$2:$E$8,MATCH(D115,Dim_Machine!$A$2:$A$8,0))*INDEX(Dim_Machine!$D$2:$D$8,MATCH(D115,Dim_Machine!$A$2:$A$8,0))*I115</f>
        <v>38236.799999999996</v>
      </c>
      <c r="K115" s="4">
        <f>ROUND(J115*0.811,0)</f>
        <v>31010</v>
      </c>
      <c r="L115" s="4">
        <f>ROUND(K115*0.0114,0)</f>
        <v>354</v>
      </c>
      <c r="M115" s="4">
        <f t="shared" si="8"/>
        <v>30656</v>
      </c>
      <c r="N115" s="4">
        <f t="shared" si="9"/>
        <v>0.81099882835383719</v>
      </c>
      <c r="O115" s="4">
        <f t="shared" si="10"/>
        <v>0.94833333333333336</v>
      </c>
      <c r="P115" s="4">
        <f>IFERROR((K115/I115)/(INDEX(Dim_Machine!$E$2:$E$8,MATCH(D115,Dim_Machine!$A$2:$A$8,0))*INDEX(Dim_Machine!$D$2:$D$8,MATCH(D115,Dim_Machine!$A$2:$A$8,0))),0)</f>
        <v>0.81099882835383719</v>
      </c>
      <c r="Q115" s="4">
        <f t="shared" si="11"/>
        <v>0.98858432763624637</v>
      </c>
      <c r="R115" s="4">
        <f t="shared" si="12"/>
        <v>0.76031746031746039</v>
      </c>
      <c r="S115" s="4">
        <f>T115/0.862</f>
        <v>8.8909512761020881</v>
      </c>
      <c r="T115" s="4">
        <f>M115*INDEX(Dim_Product!$C$2:$C$4,MATCH(F115,Dim_Product!$A$2:$A$4,0))/1000000</f>
        <v>7.6639999999999997</v>
      </c>
      <c r="U115" s="19">
        <f t="shared" si="13"/>
        <v>0.86199999999999999</v>
      </c>
    </row>
    <row r="116" spans="1:21" x14ac:dyDescent="0.25">
      <c r="A116" s="18" t="s">
        <v>257</v>
      </c>
      <c r="B116" s="4">
        <v>20260701</v>
      </c>
      <c r="C116" s="4">
        <v>16</v>
      </c>
      <c r="D116" s="4" t="s">
        <v>23</v>
      </c>
      <c r="E116" s="4" t="s">
        <v>16</v>
      </c>
      <c r="F116" s="4" t="s">
        <v>187</v>
      </c>
      <c r="G116" s="4">
        <v>60</v>
      </c>
      <c r="H116" s="4">
        <v>2.6</v>
      </c>
      <c r="I116" s="4">
        <f t="shared" si="7"/>
        <v>57.4</v>
      </c>
      <c r="J116" s="4">
        <f>INDEX(Dim_Machine!$E$2:$E$8,MATCH(D116,Dim_Machine!$A$2:$A$8,0))*INDEX(Dim_Machine!$D$2:$D$8,MATCH(D116,Dim_Machine!$A$2:$A$8,0))*I116</f>
        <v>15153.6</v>
      </c>
      <c r="K116" s="4">
        <f>ROUND(J116*0.873,0)</f>
        <v>13229</v>
      </c>
      <c r="L116" s="4">
        <f>ROUND(K116*0.0069,0)</f>
        <v>91</v>
      </c>
      <c r="M116" s="4">
        <f t="shared" si="8"/>
        <v>13138</v>
      </c>
      <c r="N116" s="4">
        <f t="shared" si="9"/>
        <v>0.87299387604265655</v>
      </c>
      <c r="O116" s="4">
        <f t="shared" si="10"/>
        <v>0.95666666666666667</v>
      </c>
      <c r="P116" s="4">
        <f>IFERROR((K116/I116)/(INDEX(Dim_Machine!$E$2:$E$8,MATCH(D116,Dim_Machine!$A$2:$A$8,0))*INDEX(Dim_Machine!$D$2:$D$8,MATCH(D116,Dim_Machine!$A$2:$A$8,0))),0)</f>
        <v>0.87299387604265655</v>
      </c>
      <c r="Q116" s="4">
        <f t="shared" si="11"/>
        <v>0.9931211731801346</v>
      </c>
      <c r="R116" s="4">
        <f t="shared" si="12"/>
        <v>0.829419191919192</v>
      </c>
      <c r="S116" s="4">
        <f>T116/0.925</f>
        <v>4.2609729729729722</v>
      </c>
      <c r="T116" s="4">
        <f>M116*INDEX(Dim_Product!$C$2:$C$4,MATCH(F116,Dim_Product!$A$2:$A$4,0))/1000000</f>
        <v>3.9413999999999998</v>
      </c>
      <c r="U116" s="19">
        <f t="shared" si="13"/>
        <v>0.92500000000000016</v>
      </c>
    </row>
    <row r="117" spans="1:21" x14ac:dyDescent="0.25">
      <c r="A117" s="18" t="s">
        <v>258</v>
      </c>
      <c r="B117" s="4">
        <v>20260701</v>
      </c>
      <c r="C117" s="4">
        <v>16</v>
      </c>
      <c r="D117" s="4" t="s">
        <v>25</v>
      </c>
      <c r="E117" s="4" t="s">
        <v>16</v>
      </c>
      <c r="F117" s="4" t="s">
        <v>141</v>
      </c>
      <c r="G117" s="4">
        <v>60</v>
      </c>
      <c r="H117" s="4">
        <v>3.1</v>
      </c>
      <c r="I117" s="4">
        <f t="shared" si="7"/>
        <v>56.9</v>
      </c>
      <c r="J117" s="4">
        <f>INDEX(Dim_Machine!$E$2:$E$8,MATCH(D117,Dim_Machine!$A$2:$A$8,0))*INDEX(Dim_Machine!$D$2:$D$8,MATCH(D117,Dim_Machine!$A$2:$A$8,0))*I117</f>
        <v>40968</v>
      </c>
      <c r="K117" s="4">
        <f>ROUND(J117*0.934,0)</f>
        <v>38264</v>
      </c>
      <c r="L117" s="4">
        <f>ROUND(K117*0.0334,0)</f>
        <v>1278</v>
      </c>
      <c r="M117" s="4">
        <f t="shared" si="8"/>
        <v>36986</v>
      </c>
      <c r="N117" s="4">
        <f t="shared" si="9"/>
        <v>0.93399726615895329</v>
      </c>
      <c r="O117" s="4">
        <f t="shared" si="10"/>
        <v>0.94833333333333336</v>
      </c>
      <c r="P117" s="4">
        <f>IFERROR((K117/I117)/(INDEX(Dim_Machine!$E$2:$E$8,MATCH(D117,Dim_Machine!$A$2:$A$8,0))*INDEX(Dim_Machine!$D$2:$D$8,MATCH(D117,Dim_Machine!$A$2:$A$8,0))),0)</f>
        <v>0.9339972661589534</v>
      </c>
      <c r="Q117" s="4">
        <f t="shared" si="11"/>
        <v>0.96660045996236676</v>
      </c>
      <c r="R117" s="4">
        <f t="shared" si="12"/>
        <v>0.85615740740740753</v>
      </c>
      <c r="S117" s="4">
        <f>T117/0.803</f>
        <v>11.514943960149438</v>
      </c>
      <c r="T117" s="4">
        <f>M117*INDEX(Dim_Product!$C$2:$C$4,MATCH(F117,Dim_Product!$A$2:$A$4,0))/1000000</f>
        <v>9.2464999999999993</v>
      </c>
      <c r="U117" s="19">
        <f t="shared" si="13"/>
        <v>0.80300000000000005</v>
      </c>
    </row>
    <row r="118" spans="1:21" x14ac:dyDescent="0.25">
      <c r="A118" s="18" t="s">
        <v>259</v>
      </c>
      <c r="B118" s="4">
        <v>20260701</v>
      </c>
      <c r="C118" s="4">
        <v>16</v>
      </c>
      <c r="D118" s="4" t="s">
        <v>27</v>
      </c>
      <c r="E118" s="4" t="s">
        <v>16</v>
      </c>
      <c r="F118" s="4" t="s">
        <v>143</v>
      </c>
      <c r="G118" s="4">
        <v>60</v>
      </c>
      <c r="H118" s="4">
        <v>7</v>
      </c>
      <c r="I118" s="4">
        <f t="shared" si="7"/>
        <v>53</v>
      </c>
      <c r="J118" s="4">
        <f>INDEX(Dim_Machine!$E$2:$E$8,MATCH(D118,Dim_Machine!$A$2:$A$8,0))*INDEX(Dim_Machine!$D$2:$D$8,MATCH(D118,Dim_Machine!$A$2:$A$8,0))*I118</f>
        <v>22048</v>
      </c>
      <c r="K118" s="4">
        <f>ROUND(J118*0.895,0)</f>
        <v>19733</v>
      </c>
      <c r="L118" s="4">
        <f>ROUND(K118*0.0193,0)</f>
        <v>381</v>
      </c>
      <c r="M118" s="4">
        <f t="shared" si="8"/>
        <v>19352</v>
      </c>
      <c r="N118" s="4">
        <f t="shared" si="9"/>
        <v>0.89500181422351233</v>
      </c>
      <c r="O118" s="4">
        <f t="shared" si="10"/>
        <v>0.8833333333333333</v>
      </c>
      <c r="P118" s="4">
        <f>IFERROR((K118/I118)/(INDEX(Dim_Machine!$E$2:$E$8,MATCH(D118,Dim_Machine!$A$2:$A$8,0))*INDEX(Dim_Machine!$D$2:$D$8,MATCH(D118,Dim_Machine!$A$2:$A$8,0))),0)</f>
        <v>0.89500181422351233</v>
      </c>
      <c r="Q118" s="4">
        <f t="shared" si="11"/>
        <v>0.98069224142299705</v>
      </c>
      <c r="R118" s="4">
        <f t="shared" si="12"/>
        <v>0.77532051282051284</v>
      </c>
      <c r="S118" s="4">
        <f>T118/0.941</f>
        <v>4.1130712008501593</v>
      </c>
      <c r="T118" s="4">
        <f>M118*INDEX(Dim_Product!$C$2:$C$4,MATCH(F118,Dim_Product!$A$2:$A$4,0))/1000000</f>
        <v>3.8704000000000001</v>
      </c>
      <c r="U118" s="19">
        <f t="shared" si="13"/>
        <v>0.94100000000000006</v>
      </c>
    </row>
    <row r="119" spans="1:21" x14ac:dyDescent="0.25">
      <c r="A119" s="18" t="s">
        <v>260</v>
      </c>
      <c r="B119" s="4">
        <v>20260701</v>
      </c>
      <c r="C119" s="4">
        <v>16</v>
      </c>
      <c r="D119" s="4" t="s">
        <v>29</v>
      </c>
      <c r="E119" s="4" t="s">
        <v>16</v>
      </c>
      <c r="F119" s="4" t="s">
        <v>143</v>
      </c>
      <c r="G119" s="4">
        <v>60</v>
      </c>
      <c r="H119" s="4">
        <v>2.4</v>
      </c>
      <c r="I119" s="4">
        <f t="shared" si="7"/>
        <v>57.6</v>
      </c>
      <c r="J119" s="4">
        <f>INDEX(Dim_Machine!$E$2:$E$8,MATCH(D119,Dim_Machine!$A$2:$A$8,0))*INDEX(Dim_Machine!$D$2:$D$8,MATCH(D119,Dim_Machine!$A$2:$A$8,0))*I119</f>
        <v>16588.8</v>
      </c>
      <c r="K119" s="4">
        <f>ROUND(J119*0.858,0)</f>
        <v>14233</v>
      </c>
      <c r="L119" s="4">
        <f>ROUND(K119*0.0317,0)</f>
        <v>451</v>
      </c>
      <c r="M119" s="4">
        <f t="shared" si="8"/>
        <v>13782</v>
      </c>
      <c r="N119" s="4">
        <f t="shared" si="9"/>
        <v>0.85798852237654322</v>
      </c>
      <c r="O119" s="4">
        <f t="shared" si="10"/>
        <v>0.96000000000000008</v>
      </c>
      <c r="P119" s="4">
        <f>IFERROR((K119/I119)/(INDEX(Dim_Machine!$E$2:$E$8,MATCH(D119,Dim_Machine!$A$2:$A$8,0))*INDEX(Dim_Machine!$D$2:$D$8,MATCH(D119,Dim_Machine!$A$2:$A$8,0))),0)</f>
        <v>0.85798852237654311</v>
      </c>
      <c r="Q119" s="4">
        <f t="shared" si="11"/>
        <v>0.96831307524766386</v>
      </c>
      <c r="R119" s="4">
        <f t="shared" si="12"/>
        <v>0.79756944444444444</v>
      </c>
      <c r="S119" s="4">
        <f>T119/0.925</f>
        <v>2.9798918918918917</v>
      </c>
      <c r="T119" s="4">
        <f>M119*INDEX(Dim_Product!$C$2:$C$4,MATCH(F119,Dim_Product!$A$2:$A$4,0))/1000000</f>
        <v>2.7564000000000002</v>
      </c>
      <c r="U119" s="19">
        <f t="shared" si="13"/>
        <v>0.92500000000000016</v>
      </c>
    </row>
    <row r="120" spans="1:21" x14ac:dyDescent="0.25">
      <c r="A120" s="18" t="s">
        <v>261</v>
      </c>
      <c r="B120" s="4">
        <v>20260701</v>
      </c>
      <c r="C120" s="4">
        <v>16</v>
      </c>
      <c r="D120" s="4" t="s">
        <v>31</v>
      </c>
      <c r="E120" s="4" t="s">
        <v>16</v>
      </c>
      <c r="F120" s="4" t="s">
        <v>143</v>
      </c>
      <c r="G120" s="4">
        <v>60</v>
      </c>
      <c r="H120" s="4">
        <v>4.3</v>
      </c>
      <c r="I120" s="4">
        <f t="shared" si="7"/>
        <v>55.7</v>
      </c>
      <c r="J120" s="4">
        <f>INDEX(Dim_Machine!$E$2:$E$8,MATCH(D120,Dim_Machine!$A$2:$A$8,0))*INDEX(Dim_Machine!$D$2:$D$8,MATCH(D120,Dim_Machine!$A$2:$A$8,0))*I120</f>
        <v>36093.599999999999</v>
      </c>
      <c r="K120" s="4">
        <f>ROUND(J120*0.927,0)</f>
        <v>33459</v>
      </c>
      <c r="L120" s="4">
        <f>ROUND(K120*0.029,0)</f>
        <v>970</v>
      </c>
      <c r="M120" s="4">
        <f t="shared" si="8"/>
        <v>32489</v>
      </c>
      <c r="N120" s="4">
        <f t="shared" si="9"/>
        <v>0.9270064498969347</v>
      </c>
      <c r="O120" s="4">
        <f t="shared" si="10"/>
        <v>0.92833333333333334</v>
      </c>
      <c r="P120" s="4">
        <f>IFERROR((K120/I120)/(INDEX(Dim_Machine!$E$2:$E$8,MATCH(D120,Dim_Machine!$A$2:$A$8,0))*INDEX(Dim_Machine!$D$2:$D$8,MATCH(D120,Dim_Machine!$A$2:$A$8,0))),0)</f>
        <v>0.92700644989693459</v>
      </c>
      <c r="Q120" s="4">
        <f t="shared" si="11"/>
        <v>0.97100929495800836</v>
      </c>
      <c r="R120" s="4">
        <f t="shared" si="12"/>
        <v>0.83562242798353914</v>
      </c>
      <c r="S120" s="4">
        <f>T120/0.935</f>
        <v>6.9495187165775398</v>
      </c>
      <c r="T120" s="4">
        <f>M120*INDEX(Dim_Product!$C$2:$C$4,MATCH(F120,Dim_Product!$A$2:$A$4,0))/1000000</f>
        <v>6.4977999999999998</v>
      </c>
      <c r="U120" s="19">
        <f t="shared" si="13"/>
        <v>0.93500000000000005</v>
      </c>
    </row>
    <row r="121" spans="1:21" x14ac:dyDescent="0.25">
      <c r="A121" s="18" t="s">
        <v>262</v>
      </c>
      <c r="B121" s="4">
        <v>20260701</v>
      </c>
      <c r="C121" s="4">
        <v>17</v>
      </c>
      <c r="D121" s="4" t="s">
        <v>15</v>
      </c>
      <c r="E121" s="4" t="s">
        <v>16</v>
      </c>
      <c r="F121" s="4" t="s">
        <v>143</v>
      </c>
      <c r="G121" s="4">
        <v>60</v>
      </c>
      <c r="H121" s="4">
        <v>3.9</v>
      </c>
      <c r="I121" s="4">
        <f t="shared" si="7"/>
        <v>56.1</v>
      </c>
      <c r="J121" s="4">
        <f>INDEX(Dim_Machine!$E$2:$E$8,MATCH(D121,Dim_Machine!$A$2:$A$8,0))*INDEX(Dim_Machine!$D$2:$D$8,MATCH(D121,Dim_Machine!$A$2:$A$8,0))*I121</f>
        <v>22440</v>
      </c>
      <c r="K121" s="4">
        <f>ROUND(J121*0.835,0)</f>
        <v>18737</v>
      </c>
      <c r="L121" s="4">
        <f>ROUND(K121*0.0196,0)</f>
        <v>367</v>
      </c>
      <c r="M121" s="4">
        <f t="shared" si="8"/>
        <v>18370</v>
      </c>
      <c r="N121" s="4">
        <f t="shared" si="9"/>
        <v>0.83498217468805702</v>
      </c>
      <c r="O121" s="4">
        <f t="shared" si="10"/>
        <v>0.93500000000000005</v>
      </c>
      <c r="P121" s="4">
        <f>IFERROR((K121/I121)/(INDEX(Dim_Machine!$E$2:$E$8,MATCH(D121,Dim_Machine!$A$2:$A$8,0))*INDEX(Dim_Machine!$D$2:$D$8,MATCH(D121,Dim_Machine!$A$2:$A$8,0))),0)</f>
        <v>0.83498217468805702</v>
      </c>
      <c r="Q121" s="4">
        <f t="shared" si="11"/>
        <v>0.98041308640657521</v>
      </c>
      <c r="R121" s="4">
        <f t="shared" si="12"/>
        <v>0.76541666666666663</v>
      </c>
      <c r="S121" s="4">
        <f>T121/0.858</f>
        <v>4.2820512820512819</v>
      </c>
      <c r="T121" s="4">
        <f>M121*INDEX(Dim_Product!$C$2:$C$4,MATCH(F121,Dim_Product!$A$2:$A$4,0))/1000000</f>
        <v>3.6739999999999999</v>
      </c>
      <c r="U121" s="19">
        <f t="shared" si="13"/>
        <v>0.85799999999999998</v>
      </c>
    </row>
    <row r="122" spans="1:21" x14ac:dyDescent="0.25">
      <c r="A122" s="18" t="s">
        <v>263</v>
      </c>
      <c r="B122" s="4">
        <v>20260701</v>
      </c>
      <c r="C122" s="4">
        <v>17</v>
      </c>
      <c r="D122" s="4" t="s">
        <v>19</v>
      </c>
      <c r="E122" s="4" t="s">
        <v>16</v>
      </c>
      <c r="F122" s="4" t="s">
        <v>141</v>
      </c>
      <c r="G122" s="4">
        <v>60</v>
      </c>
      <c r="H122" s="4">
        <v>5.4</v>
      </c>
      <c r="I122" s="4">
        <f t="shared" si="7"/>
        <v>54.6</v>
      </c>
      <c r="J122" s="4">
        <f>INDEX(Dim_Machine!$E$2:$E$8,MATCH(D122,Dim_Machine!$A$2:$A$8,0))*INDEX(Dim_Machine!$D$2:$D$8,MATCH(D122,Dim_Machine!$A$2:$A$8,0))*I122</f>
        <v>36691.200000000004</v>
      </c>
      <c r="K122" s="4">
        <f>ROUND(J122*0.94,0)</f>
        <v>34490</v>
      </c>
      <c r="L122" s="4">
        <f>ROUND(K122*0.0267,0)</f>
        <v>921</v>
      </c>
      <c r="M122" s="4">
        <f t="shared" si="8"/>
        <v>33569</v>
      </c>
      <c r="N122" s="4">
        <f t="shared" si="9"/>
        <v>0.94000741322169878</v>
      </c>
      <c r="O122" s="4">
        <f t="shared" si="10"/>
        <v>0.91</v>
      </c>
      <c r="P122" s="4">
        <f>IFERROR((K122/I122)/(INDEX(Dim_Machine!$E$2:$E$8,MATCH(D122,Dim_Machine!$A$2:$A$8,0))*INDEX(Dim_Machine!$D$2:$D$8,MATCH(D122,Dim_Machine!$A$2:$A$8,0))),0)</f>
        <v>0.94000741322169901</v>
      </c>
      <c r="Q122" s="4">
        <f t="shared" si="11"/>
        <v>0.97329660771238036</v>
      </c>
      <c r="R122" s="4">
        <f t="shared" si="12"/>
        <v>0.83256448412698425</v>
      </c>
      <c r="S122" s="4">
        <f>T122/0.926</f>
        <v>9.0629049676025915</v>
      </c>
      <c r="T122" s="4">
        <f>M122*INDEX(Dim_Product!$C$2:$C$4,MATCH(F122,Dim_Product!$A$2:$A$4,0))/1000000</f>
        <v>8.3922500000000007</v>
      </c>
      <c r="U122" s="19">
        <f t="shared" si="13"/>
        <v>0.92600000000000016</v>
      </c>
    </row>
    <row r="123" spans="1:21" x14ac:dyDescent="0.25">
      <c r="A123" s="18" t="s">
        <v>264</v>
      </c>
      <c r="B123" s="4">
        <v>20260701</v>
      </c>
      <c r="C123" s="4">
        <v>17</v>
      </c>
      <c r="D123" s="4" t="s">
        <v>23</v>
      </c>
      <c r="E123" s="4" t="s">
        <v>16</v>
      </c>
      <c r="F123" s="4" t="s">
        <v>187</v>
      </c>
      <c r="G123" s="4">
        <v>60</v>
      </c>
      <c r="H123" s="4">
        <v>7.4</v>
      </c>
      <c r="I123" s="4">
        <f t="shared" si="7"/>
        <v>52.6</v>
      </c>
      <c r="J123" s="4">
        <f>INDEX(Dim_Machine!$E$2:$E$8,MATCH(D123,Dim_Machine!$A$2:$A$8,0))*INDEX(Dim_Machine!$D$2:$D$8,MATCH(D123,Dim_Machine!$A$2:$A$8,0))*I123</f>
        <v>13886.4</v>
      </c>
      <c r="K123" s="4">
        <f>ROUND(J123*0.976,0)</f>
        <v>13553</v>
      </c>
      <c r="L123" s="4">
        <f>ROUND(K123*0.021,0)</f>
        <v>285</v>
      </c>
      <c r="M123" s="4">
        <f t="shared" si="8"/>
        <v>13268</v>
      </c>
      <c r="N123" s="4">
        <f t="shared" si="9"/>
        <v>0.97599089756884438</v>
      </c>
      <c r="O123" s="4">
        <f t="shared" si="10"/>
        <v>0.87666666666666671</v>
      </c>
      <c r="P123" s="4">
        <f>IFERROR((K123/I123)/(INDEX(Dim_Machine!$E$2:$E$8,MATCH(D123,Dim_Machine!$A$2:$A$8,0))*INDEX(Dim_Machine!$D$2:$D$8,MATCH(D123,Dim_Machine!$A$2:$A$8,0))),0)</f>
        <v>0.97599089756884438</v>
      </c>
      <c r="Q123" s="4">
        <f t="shared" si="11"/>
        <v>0.97897144543643477</v>
      </c>
      <c r="R123" s="4">
        <f t="shared" si="12"/>
        <v>0.83762626262626272</v>
      </c>
      <c r="S123" s="4">
        <f>T123/0.936</f>
        <v>4.2525641025641026</v>
      </c>
      <c r="T123" s="4">
        <f>M123*INDEX(Dim_Product!$C$2:$C$4,MATCH(F123,Dim_Product!$A$2:$A$4,0))/1000000</f>
        <v>3.9803999999999999</v>
      </c>
      <c r="U123" s="19">
        <f t="shared" si="13"/>
        <v>0.93599999999999994</v>
      </c>
    </row>
    <row r="124" spans="1:21" x14ac:dyDescent="0.25">
      <c r="A124" s="18" t="s">
        <v>265</v>
      </c>
      <c r="B124" s="4">
        <v>20260701</v>
      </c>
      <c r="C124" s="4">
        <v>17</v>
      </c>
      <c r="D124" s="4" t="s">
        <v>25</v>
      </c>
      <c r="E124" s="4" t="s">
        <v>16</v>
      </c>
      <c r="F124" s="4" t="s">
        <v>141</v>
      </c>
      <c r="G124" s="4">
        <v>60</v>
      </c>
      <c r="H124" s="4">
        <v>4.7</v>
      </c>
      <c r="I124" s="4">
        <f t="shared" si="7"/>
        <v>55.3</v>
      </c>
      <c r="J124" s="4">
        <f>INDEX(Dim_Machine!$E$2:$E$8,MATCH(D124,Dim_Machine!$A$2:$A$8,0))*INDEX(Dim_Machine!$D$2:$D$8,MATCH(D124,Dim_Machine!$A$2:$A$8,0))*I124</f>
        <v>39816</v>
      </c>
      <c r="K124" s="4">
        <f>ROUND(J124*0.913,0)</f>
        <v>36352</v>
      </c>
      <c r="L124" s="4">
        <f>ROUND(K124*0.0075,0)</f>
        <v>273</v>
      </c>
      <c r="M124" s="4">
        <f t="shared" si="8"/>
        <v>36079</v>
      </c>
      <c r="N124" s="4">
        <f t="shared" si="9"/>
        <v>0.91299979907574846</v>
      </c>
      <c r="O124" s="4">
        <f t="shared" si="10"/>
        <v>0.92166666666666663</v>
      </c>
      <c r="P124" s="4">
        <f>IFERROR((K124/I124)/(INDEX(Dim_Machine!$E$2:$E$8,MATCH(D124,Dim_Machine!$A$2:$A$8,0))*INDEX(Dim_Machine!$D$2:$D$8,MATCH(D124,Dim_Machine!$A$2:$A$8,0))),0)</f>
        <v>0.91299979907574846</v>
      </c>
      <c r="Q124" s="4">
        <f t="shared" si="11"/>
        <v>0.99249009683098588</v>
      </c>
      <c r="R124" s="4">
        <f t="shared" si="12"/>
        <v>0.83516203703703706</v>
      </c>
      <c r="S124" s="4">
        <f>T124/0.864</f>
        <v>10.439525462962964</v>
      </c>
      <c r="T124" s="4">
        <f>M124*INDEX(Dim_Product!$C$2:$C$4,MATCH(F124,Dim_Product!$A$2:$A$4,0))/1000000</f>
        <v>9.0197500000000002</v>
      </c>
      <c r="U124" s="19">
        <f t="shared" si="13"/>
        <v>0.86399999999999999</v>
      </c>
    </row>
    <row r="125" spans="1:21" x14ac:dyDescent="0.25">
      <c r="A125" s="18" t="s">
        <v>266</v>
      </c>
      <c r="B125" s="4">
        <v>20260701</v>
      </c>
      <c r="C125" s="4">
        <v>17</v>
      </c>
      <c r="D125" s="4" t="s">
        <v>27</v>
      </c>
      <c r="E125" s="4" t="s">
        <v>16</v>
      </c>
      <c r="F125" s="4" t="s">
        <v>143</v>
      </c>
      <c r="G125" s="4">
        <v>60</v>
      </c>
      <c r="H125" s="4">
        <v>6.9</v>
      </c>
      <c r="I125" s="4">
        <f t="shared" si="7"/>
        <v>53.1</v>
      </c>
      <c r="J125" s="4">
        <f>INDEX(Dim_Machine!$E$2:$E$8,MATCH(D125,Dim_Machine!$A$2:$A$8,0))*INDEX(Dim_Machine!$D$2:$D$8,MATCH(D125,Dim_Machine!$A$2:$A$8,0))*I125</f>
        <v>22089.600000000002</v>
      </c>
      <c r="K125" s="4">
        <f>ROUND(J125*0.816,0)</f>
        <v>18025</v>
      </c>
      <c r="L125" s="4">
        <f>ROUND(K125*0.0128,0)</f>
        <v>231</v>
      </c>
      <c r="M125" s="4">
        <f t="shared" si="8"/>
        <v>17794</v>
      </c>
      <c r="N125" s="4">
        <f t="shared" si="9"/>
        <v>0.81599485730841659</v>
      </c>
      <c r="O125" s="4">
        <f t="shared" si="10"/>
        <v>0.88500000000000001</v>
      </c>
      <c r="P125" s="4">
        <f>IFERROR((K125/I125)/(INDEX(Dim_Machine!$E$2:$E$8,MATCH(D125,Dim_Machine!$A$2:$A$8,0))*INDEX(Dim_Machine!$D$2:$D$8,MATCH(D125,Dim_Machine!$A$2:$A$8,0))),0)</f>
        <v>0.81599485730841659</v>
      </c>
      <c r="Q125" s="4">
        <f t="shared" si="11"/>
        <v>0.98718446601941745</v>
      </c>
      <c r="R125" s="4">
        <f t="shared" si="12"/>
        <v>0.71290064102564099</v>
      </c>
      <c r="S125" s="4">
        <f>T125/0.849</f>
        <v>4.1917550058892816</v>
      </c>
      <c r="T125" s="4">
        <f>M125*INDEX(Dim_Product!$C$2:$C$4,MATCH(F125,Dim_Product!$A$2:$A$4,0))/1000000</f>
        <v>3.5588000000000002</v>
      </c>
      <c r="U125" s="19">
        <f t="shared" si="13"/>
        <v>0.84899999999999998</v>
      </c>
    </row>
    <row r="126" spans="1:21" x14ac:dyDescent="0.25">
      <c r="A126" s="18" t="s">
        <v>267</v>
      </c>
      <c r="B126" s="4">
        <v>20260701</v>
      </c>
      <c r="C126" s="4">
        <v>17</v>
      </c>
      <c r="D126" s="4" t="s">
        <v>29</v>
      </c>
      <c r="E126" s="4" t="s">
        <v>16</v>
      </c>
      <c r="F126" s="4" t="s">
        <v>143</v>
      </c>
      <c r="G126" s="4">
        <v>60</v>
      </c>
      <c r="H126" s="4">
        <v>3.6</v>
      </c>
      <c r="I126" s="4">
        <f t="shared" si="7"/>
        <v>56.4</v>
      </c>
      <c r="J126" s="4">
        <f>INDEX(Dim_Machine!$E$2:$E$8,MATCH(D126,Dim_Machine!$A$2:$A$8,0))*INDEX(Dim_Machine!$D$2:$D$8,MATCH(D126,Dim_Machine!$A$2:$A$8,0))*I126</f>
        <v>16243.199999999999</v>
      </c>
      <c r="K126" s="4">
        <f>ROUND(J126*0.848,0)</f>
        <v>13774</v>
      </c>
      <c r="L126" s="4">
        <f>ROUND(K126*0.0314,0)</f>
        <v>433</v>
      </c>
      <c r="M126" s="4">
        <f t="shared" si="8"/>
        <v>13341</v>
      </c>
      <c r="N126" s="4">
        <f t="shared" si="9"/>
        <v>0.8479856185973208</v>
      </c>
      <c r="O126" s="4">
        <f t="shared" si="10"/>
        <v>0.94</v>
      </c>
      <c r="P126" s="4">
        <f>IFERROR((K126/I126)/(INDEX(Dim_Machine!$E$2:$E$8,MATCH(D126,Dim_Machine!$A$2:$A$8,0))*INDEX(Dim_Machine!$D$2:$D$8,MATCH(D126,Dim_Machine!$A$2:$A$8,0))),0)</f>
        <v>0.8479856185973208</v>
      </c>
      <c r="Q126" s="4">
        <f t="shared" si="11"/>
        <v>0.96856396108610421</v>
      </c>
      <c r="R126" s="4">
        <f t="shared" si="12"/>
        <v>0.77204861111111112</v>
      </c>
      <c r="S126" s="4">
        <f>T126/0.842</f>
        <v>3.1688836104513065</v>
      </c>
      <c r="T126" s="4">
        <f>M126*INDEX(Dim_Product!$C$2:$C$4,MATCH(F126,Dim_Product!$A$2:$A$4,0))/1000000</f>
        <v>2.6682000000000001</v>
      </c>
      <c r="U126" s="19">
        <f t="shared" si="13"/>
        <v>0.84199999999999997</v>
      </c>
    </row>
    <row r="127" spans="1:21" x14ac:dyDescent="0.25">
      <c r="A127" s="18" t="s">
        <v>268</v>
      </c>
      <c r="B127" s="4">
        <v>20260701</v>
      </c>
      <c r="C127" s="4">
        <v>17</v>
      </c>
      <c r="D127" s="4" t="s">
        <v>31</v>
      </c>
      <c r="E127" s="4" t="s">
        <v>16</v>
      </c>
      <c r="F127" s="4" t="s">
        <v>143</v>
      </c>
      <c r="G127" s="4">
        <v>60</v>
      </c>
      <c r="H127" s="4">
        <v>7.6</v>
      </c>
      <c r="I127" s="4">
        <f t="shared" si="7"/>
        <v>52.4</v>
      </c>
      <c r="J127" s="4">
        <f>INDEX(Dim_Machine!$E$2:$E$8,MATCH(D127,Dim_Machine!$A$2:$A$8,0))*INDEX(Dim_Machine!$D$2:$D$8,MATCH(D127,Dim_Machine!$A$2:$A$8,0))*I127</f>
        <v>33955.199999999997</v>
      </c>
      <c r="K127" s="4">
        <f>ROUND(J127*0.864,0)</f>
        <v>29337</v>
      </c>
      <c r="L127" s="4">
        <f>ROUND(K127*0.03,0)</f>
        <v>880</v>
      </c>
      <c r="M127" s="4">
        <f t="shared" si="8"/>
        <v>28457</v>
      </c>
      <c r="N127" s="4">
        <f t="shared" si="9"/>
        <v>0.86399137687305638</v>
      </c>
      <c r="O127" s="4">
        <f t="shared" si="10"/>
        <v>0.87333333333333329</v>
      </c>
      <c r="P127" s="4">
        <f>IFERROR((K127/I127)/(INDEX(Dim_Machine!$E$2:$E$8,MATCH(D127,Dim_Machine!$A$2:$A$8,0))*INDEX(Dim_Machine!$D$2:$D$8,MATCH(D127,Dim_Machine!$A$2:$A$8,0))),0)</f>
        <v>0.86399137687305627</v>
      </c>
      <c r="Q127" s="4">
        <f t="shared" si="11"/>
        <v>0.97000374953130863</v>
      </c>
      <c r="R127" s="4">
        <f t="shared" si="12"/>
        <v>0.7319187242798354</v>
      </c>
      <c r="S127" s="4">
        <f>T127/0.871</f>
        <v>6.5343283582089553</v>
      </c>
      <c r="T127" s="4">
        <f>M127*INDEX(Dim_Product!$C$2:$C$4,MATCH(F127,Dim_Product!$A$2:$A$4,0))/1000000</f>
        <v>5.6913999999999998</v>
      </c>
      <c r="U127" s="19">
        <f t="shared" si="13"/>
        <v>0.871</v>
      </c>
    </row>
    <row r="128" spans="1:21" x14ac:dyDescent="0.25">
      <c r="A128" s="18" t="s">
        <v>269</v>
      </c>
      <c r="B128" s="4">
        <v>20260701</v>
      </c>
      <c r="C128" s="4">
        <v>18</v>
      </c>
      <c r="D128" s="4" t="s">
        <v>15</v>
      </c>
      <c r="E128" s="4" t="s">
        <v>20</v>
      </c>
      <c r="F128" s="4" t="s">
        <v>141</v>
      </c>
      <c r="G128" s="4">
        <v>60</v>
      </c>
      <c r="H128" s="4">
        <v>6</v>
      </c>
      <c r="I128" s="4">
        <f t="shared" si="7"/>
        <v>54</v>
      </c>
      <c r="J128" s="4">
        <f>INDEX(Dim_Machine!$E$2:$E$8,MATCH(D128,Dim_Machine!$A$2:$A$8,0))*INDEX(Dim_Machine!$D$2:$D$8,MATCH(D128,Dim_Machine!$A$2:$A$8,0))*I128</f>
        <v>21600</v>
      </c>
      <c r="K128" s="4">
        <f>ROUND(J128*0.79,0)</f>
        <v>17064</v>
      </c>
      <c r="L128" s="4">
        <f>ROUND(K128*0.0336,0)</f>
        <v>573</v>
      </c>
      <c r="M128" s="4">
        <f t="shared" si="8"/>
        <v>16491</v>
      </c>
      <c r="N128" s="4">
        <f t="shared" si="9"/>
        <v>0.79</v>
      </c>
      <c r="O128" s="4">
        <f t="shared" si="10"/>
        <v>0.9</v>
      </c>
      <c r="P128" s="4">
        <f>IFERROR((K128/I128)/(INDEX(Dim_Machine!$E$2:$E$8,MATCH(D128,Dim_Machine!$A$2:$A$8,0))*INDEX(Dim_Machine!$D$2:$D$8,MATCH(D128,Dim_Machine!$A$2:$A$8,0))),0)</f>
        <v>0.79</v>
      </c>
      <c r="Q128" s="4">
        <f t="shared" si="11"/>
        <v>0.96642053445850917</v>
      </c>
      <c r="R128" s="4">
        <f t="shared" si="12"/>
        <v>0.6871250000000001</v>
      </c>
      <c r="S128" s="4">
        <f>T128/0.834</f>
        <v>4.9433453237410072</v>
      </c>
      <c r="T128" s="4">
        <f>M128*INDEX(Dim_Product!$C$2:$C$4,MATCH(F128,Dim_Product!$A$2:$A$4,0))/1000000</f>
        <v>4.1227499999999999</v>
      </c>
      <c r="U128" s="19">
        <f t="shared" si="13"/>
        <v>0.83399999999999996</v>
      </c>
    </row>
    <row r="129" spans="1:21" x14ac:dyDescent="0.25">
      <c r="A129" s="18" t="s">
        <v>270</v>
      </c>
      <c r="B129" s="4">
        <v>20260701</v>
      </c>
      <c r="C129" s="4">
        <v>18</v>
      </c>
      <c r="D129" s="4" t="s">
        <v>19</v>
      </c>
      <c r="E129" s="4" t="s">
        <v>20</v>
      </c>
      <c r="F129" s="4" t="s">
        <v>143</v>
      </c>
      <c r="G129" s="4">
        <v>60</v>
      </c>
      <c r="H129" s="4">
        <v>0.5</v>
      </c>
      <c r="I129" s="4">
        <f t="shared" si="7"/>
        <v>59.5</v>
      </c>
      <c r="J129" s="4">
        <f>INDEX(Dim_Machine!$E$2:$E$8,MATCH(D129,Dim_Machine!$A$2:$A$8,0))*INDEX(Dim_Machine!$D$2:$D$8,MATCH(D129,Dim_Machine!$A$2:$A$8,0))*I129</f>
        <v>39984</v>
      </c>
      <c r="K129" s="4">
        <f>ROUND(J129*0.971,0)</f>
        <v>38824</v>
      </c>
      <c r="L129" s="4">
        <f>ROUND(K129*0.0062,0)</f>
        <v>241</v>
      </c>
      <c r="M129" s="4">
        <f t="shared" si="8"/>
        <v>38583</v>
      </c>
      <c r="N129" s="4">
        <f t="shared" si="9"/>
        <v>0.9709883953581433</v>
      </c>
      <c r="O129" s="4">
        <f t="shared" si="10"/>
        <v>0.9916666666666667</v>
      </c>
      <c r="P129" s="4">
        <f>IFERROR((K129/I129)/(INDEX(Dim_Machine!$E$2:$E$8,MATCH(D129,Dim_Machine!$A$2:$A$8,0))*INDEX(Dim_Machine!$D$2:$D$8,MATCH(D129,Dim_Machine!$A$2:$A$8,0))),0)</f>
        <v>0.9709883953581433</v>
      </c>
      <c r="Q129" s="4">
        <f t="shared" si="11"/>
        <v>0.99379249948485471</v>
      </c>
      <c r="R129" s="4">
        <f t="shared" si="12"/>
        <v>0.95691964285714282</v>
      </c>
      <c r="S129" s="4">
        <f>T129/0.805</f>
        <v>9.5858385093167691</v>
      </c>
      <c r="T129" s="4">
        <f>M129*INDEX(Dim_Product!$C$2:$C$4,MATCH(F129,Dim_Product!$A$2:$A$4,0))/1000000</f>
        <v>7.7165999999999997</v>
      </c>
      <c r="U129" s="19">
        <f t="shared" si="13"/>
        <v>0.80500000000000005</v>
      </c>
    </row>
    <row r="130" spans="1:21" x14ac:dyDescent="0.25">
      <c r="A130" s="18" t="s">
        <v>271</v>
      </c>
      <c r="B130" s="4">
        <v>20260701</v>
      </c>
      <c r="C130" s="4">
        <v>18</v>
      </c>
      <c r="D130" s="4" t="s">
        <v>23</v>
      </c>
      <c r="E130" s="4" t="s">
        <v>20</v>
      </c>
      <c r="F130" s="4" t="s">
        <v>141</v>
      </c>
      <c r="G130" s="4">
        <v>60</v>
      </c>
      <c r="H130" s="4">
        <v>2</v>
      </c>
      <c r="I130" s="4">
        <f t="shared" ref="I130:I193" si="14">G130-H130</f>
        <v>58</v>
      </c>
      <c r="J130" s="4">
        <f>INDEX(Dim_Machine!$E$2:$E$8,MATCH(D130,Dim_Machine!$A$2:$A$8,0))*INDEX(Dim_Machine!$D$2:$D$8,MATCH(D130,Dim_Machine!$A$2:$A$8,0))*I130</f>
        <v>15312</v>
      </c>
      <c r="K130" s="4">
        <f>ROUND(J130*0.948,0)</f>
        <v>14516</v>
      </c>
      <c r="L130" s="4">
        <f>ROUND(K130*0.0236,0)</f>
        <v>343</v>
      </c>
      <c r="M130" s="4">
        <f t="shared" ref="M130:M193" si="15">K130-L130</f>
        <v>14173</v>
      </c>
      <c r="N130" s="4">
        <f t="shared" ref="N130:N193" si="16">IFERROR(K130/J130,0)</f>
        <v>0.94801462904911182</v>
      </c>
      <c r="O130" s="4">
        <f t="shared" ref="O130:O193" si="17">IFERROR(I130/G130,0)</f>
        <v>0.96666666666666667</v>
      </c>
      <c r="P130" s="4">
        <f>IFERROR((K130/I130)/(INDEX(Dim_Machine!$E$2:$E$8,MATCH(D130,Dim_Machine!$A$2:$A$8,0))*INDEX(Dim_Machine!$D$2:$D$8,MATCH(D130,Dim_Machine!$A$2:$A$8,0))),0)</f>
        <v>0.94801462904911182</v>
      </c>
      <c r="Q130" s="4">
        <f t="shared" ref="Q130:Q193" si="18">IFERROR(M130/K130,0)</f>
        <v>0.97637090107467617</v>
      </c>
      <c r="R130" s="4">
        <f t="shared" ref="R130:R193" si="19">O130*P130*Q130</f>
        <v>0.89476010101010106</v>
      </c>
      <c r="S130" s="4">
        <f>T130/0.836</f>
        <v>4.2383373205741632</v>
      </c>
      <c r="T130" s="4">
        <f>M130*INDEX(Dim_Product!$C$2:$C$4,MATCH(F130,Dim_Product!$A$2:$A$4,0))/1000000</f>
        <v>3.54325</v>
      </c>
      <c r="U130" s="19">
        <f t="shared" ref="U130:U193" si="20">IFERROR(T130/S130,0)</f>
        <v>0.83599999999999985</v>
      </c>
    </row>
    <row r="131" spans="1:21" x14ac:dyDescent="0.25">
      <c r="A131" s="18" t="s">
        <v>272</v>
      </c>
      <c r="B131" s="4">
        <v>20260701</v>
      </c>
      <c r="C131" s="4">
        <v>18</v>
      </c>
      <c r="D131" s="4" t="s">
        <v>25</v>
      </c>
      <c r="E131" s="4" t="s">
        <v>20</v>
      </c>
      <c r="F131" s="4" t="s">
        <v>141</v>
      </c>
      <c r="G131" s="4">
        <v>60</v>
      </c>
      <c r="H131" s="4">
        <v>3.8</v>
      </c>
      <c r="I131" s="4">
        <f t="shared" si="14"/>
        <v>56.2</v>
      </c>
      <c r="J131" s="4">
        <f>INDEX(Dim_Machine!$E$2:$E$8,MATCH(D131,Dim_Machine!$A$2:$A$8,0))*INDEX(Dim_Machine!$D$2:$D$8,MATCH(D131,Dim_Machine!$A$2:$A$8,0))*I131</f>
        <v>40464</v>
      </c>
      <c r="K131" s="4">
        <f>ROUND(J131*0.803,0)</f>
        <v>32493</v>
      </c>
      <c r="L131" s="4">
        <f>ROUND(K131*0.0334,0)</f>
        <v>1085</v>
      </c>
      <c r="M131" s="4">
        <f t="shared" si="15"/>
        <v>31408</v>
      </c>
      <c r="N131" s="4">
        <f t="shared" si="16"/>
        <v>0.80301008303677346</v>
      </c>
      <c r="O131" s="4">
        <f t="shared" si="17"/>
        <v>0.93666666666666676</v>
      </c>
      <c r="P131" s="4">
        <f>IFERROR((K131/I131)/(INDEX(Dim_Machine!$E$2:$E$8,MATCH(D131,Dim_Machine!$A$2:$A$8,0))*INDEX(Dim_Machine!$D$2:$D$8,MATCH(D131,Dim_Machine!$A$2:$A$8,0))),0)</f>
        <v>0.80301008303677335</v>
      </c>
      <c r="Q131" s="4">
        <f t="shared" si="18"/>
        <v>0.9666081925337765</v>
      </c>
      <c r="R131" s="4">
        <f t="shared" si="19"/>
        <v>0.72703703703703704</v>
      </c>
      <c r="S131" s="4">
        <f>T131/0.87</f>
        <v>9.0252873563218401</v>
      </c>
      <c r="T131" s="4">
        <f>M131*INDEX(Dim_Product!$C$2:$C$4,MATCH(F131,Dim_Product!$A$2:$A$4,0))/1000000</f>
        <v>7.8520000000000003</v>
      </c>
      <c r="U131" s="19">
        <f t="shared" si="20"/>
        <v>0.86999999999999988</v>
      </c>
    </row>
    <row r="132" spans="1:21" x14ac:dyDescent="0.25">
      <c r="A132" s="18" t="s">
        <v>273</v>
      </c>
      <c r="B132" s="4">
        <v>20260701</v>
      </c>
      <c r="C132" s="4">
        <v>18</v>
      </c>
      <c r="D132" s="4" t="s">
        <v>27</v>
      </c>
      <c r="E132" s="4" t="s">
        <v>20</v>
      </c>
      <c r="F132" s="4" t="s">
        <v>141</v>
      </c>
      <c r="G132" s="4">
        <v>60</v>
      </c>
      <c r="H132" s="4">
        <v>2</v>
      </c>
      <c r="I132" s="4">
        <f t="shared" si="14"/>
        <v>58</v>
      </c>
      <c r="J132" s="4">
        <f>INDEX(Dim_Machine!$E$2:$E$8,MATCH(D132,Dim_Machine!$A$2:$A$8,0))*INDEX(Dim_Machine!$D$2:$D$8,MATCH(D132,Dim_Machine!$A$2:$A$8,0))*I132</f>
        <v>24128</v>
      </c>
      <c r="K132" s="4">
        <f>ROUND(J132*0.854,0)</f>
        <v>20605</v>
      </c>
      <c r="L132" s="4">
        <f>ROUND(K132*0.0232,0)</f>
        <v>478</v>
      </c>
      <c r="M132" s="4">
        <f t="shared" si="15"/>
        <v>20127</v>
      </c>
      <c r="N132" s="4">
        <f t="shared" si="16"/>
        <v>0.85398706896551724</v>
      </c>
      <c r="O132" s="4">
        <f t="shared" si="17"/>
        <v>0.96666666666666667</v>
      </c>
      <c r="P132" s="4">
        <f>IFERROR((K132/I132)/(INDEX(Dim_Machine!$E$2:$E$8,MATCH(D132,Dim_Machine!$A$2:$A$8,0))*INDEX(Dim_Machine!$D$2:$D$8,MATCH(D132,Dim_Machine!$A$2:$A$8,0))),0)</f>
        <v>0.85398706896551724</v>
      </c>
      <c r="Q132" s="4">
        <f t="shared" si="18"/>
        <v>0.97680174714875034</v>
      </c>
      <c r="R132" s="4">
        <f t="shared" si="19"/>
        <v>0.80637019230769236</v>
      </c>
      <c r="S132" s="4">
        <f>T132/0.945</f>
        <v>5.3246031746031743</v>
      </c>
      <c r="T132" s="4">
        <f>M132*INDEX(Dim_Product!$C$2:$C$4,MATCH(F132,Dim_Product!$A$2:$A$4,0))/1000000</f>
        <v>5.0317499999999997</v>
      </c>
      <c r="U132" s="19">
        <f t="shared" si="20"/>
        <v>0.94499999999999995</v>
      </c>
    </row>
    <row r="133" spans="1:21" x14ac:dyDescent="0.25">
      <c r="A133" s="18" t="s">
        <v>274</v>
      </c>
      <c r="B133" s="4">
        <v>20260701</v>
      </c>
      <c r="C133" s="4">
        <v>18</v>
      </c>
      <c r="D133" s="4" t="s">
        <v>29</v>
      </c>
      <c r="E133" s="4" t="s">
        <v>20</v>
      </c>
      <c r="F133" s="4" t="s">
        <v>143</v>
      </c>
      <c r="G133" s="4">
        <v>60</v>
      </c>
      <c r="H133" s="4">
        <v>5.7</v>
      </c>
      <c r="I133" s="4">
        <f t="shared" si="14"/>
        <v>54.3</v>
      </c>
      <c r="J133" s="4">
        <f>INDEX(Dim_Machine!$E$2:$E$8,MATCH(D133,Dim_Machine!$A$2:$A$8,0))*INDEX(Dim_Machine!$D$2:$D$8,MATCH(D133,Dim_Machine!$A$2:$A$8,0))*I133</f>
        <v>15638.4</v>
      </c>
      <c r="K133" s="4">
        <f>ROUND(J133*0.936,0)</f>
        <v>14638</v>
      </c>
      <c r="L133" s="4">
        <f>ROUND(K133*0.0099,0)</f>
        <v>145</v>
      </c>
      <c r="M133" s="4">
        <f t="shared" si="15"/>
        <v>14493</v>
      </c>
      <c r="N133" s="4">
        <f t="shared" si="16"/>
        <v>0.93602926130550446</v>
      </c>
      <c r="O133" s="4">
        <f t="shared" si="17"/>
        <v>0.90499999999999992</v>
      </c>
      <c r="P133" s="4">
        <f>IFERROR((K133/I133)/(INDEX(Dim_Machine!$E$2:$E$8,MATCH(D133,Dim_Machine!$A$2:$A$8,0))*INDEX(Dim_Machine!$D$2:$D$8,MATCH(D133,Dim_Machine!$A$2:$A$8,0))),0)</f>
        <v>0.93602926130550435</v>
      </c>
      <c r="Q133" s="4">
        <f t="shared" si="18"/>
        <v>0.99009427517420412</v>
      </c>
      <c r="R133" s="4">
        <f t="shared" si="19"/>
        <v>0.83871527777777766</v>
      </c>
      <c r="S133" s="4">
        <f>T133/0.847</f>
        <v>3.4221959858323499</v>
      </c>
      <c r="T133" s="4">
        <f>M133*INDEX(Dim_Product!$C$2:$C$4,MATCH(F133,Dim_Product!$A$2:$A$4,0))/1000000</f>
        <v>2.8986000000000001</v>
      </c>
      <c r="U133" s="19">
        <f t="shared" si="20"/>
        <v>0.84699999999999998</v>
      </c>
    </row>
    <row r="134" spans="1:21" x14ac:dyDescent="0.25">
      <c r="A134" s="18" t="s">
        <v>275</v>
      </c>
      <c r="B134" s="4">
        <v>20260701</v>
      </c>
      <c r="C134" s="4">
        <v>18</v>
      </c>
      <c r="D134" s="4" t="s">
        <v>31</v>
      </c>
      <c r="E134" s="4" t="s">
        <v>20</v>
      </c>
      <c r="F134" s="4" t="s">
        <v>141</v>
      </c>
      <c r="G134" s="4">
        <v>60</v>
      </c>
      <c r="H134" s="4">
        <v>4.5999999999999996</v>
      </c>
      <c r="I134" s="4">
        <f t="shared" si="14"/>
        <v>55.4</v>
      </c>
      <c r="J134" s="4">
        <f>INDEX(Dim_Machine!$E$2:$E$8,MATCH(D134,Dim_Machine!$A$2:$A$8,0))*INDEX(Dim_Machine!$D$2:$D$8,MATCH(D134,Dim_Machine!$A$2:$A$8,0))*I134</f>
        <v>35899.199999999997</v>
      </c>
      <c r="K134" s="4">
        <f>ROUND(J134*0.966,0)</f>
        <v>34679</v>
      </c>
      <c r="L134" s="4">
        <f>ROUND(K134*0.0223,0)</f>
        <v>773</v>
      </c>
      <c r="M134" s="4">
        <f t="shared" si="15"/>
        <v>33906</v>
      </c>
      <c r="N134" s="4">
        <f t="shared" si="16"/>
        <v>0.96601038463252675</v>
      </c>
      <c r="O134" s="4">
        <f t="shared" si="17"/>
        <v>0.92333333333333334</v>
      </c>
      <c r="P134" s="4">
        <f>IFERROR((K134/I134)/(INDEX(Dim_Machine!$E$2:$E$8,MATCH(D134,Dim_Machine!$A$2:$A$8,0))*INDEX(Dim_Machine!$D$2:$D$8,MATCH(D134,Dim_Machine!$A$2:$A$8,0))),0)</f>
        <v>0.96601038463252664</v>
      </c>
      <c r="Q134" s="4">
        <f t="shared" si="18"/>
        <v>0.9777098532252948</v>
      </c>
      <c r="R134" s="4">
        <f t="shared" si="19"/>
        <v>0.8720679012345679</v>
      </c>
      <c r="S134" s="4">
        <f>T134/0.936</f>
        <v>9.0560897435897427</v>
      </c>
      <c r="T134" s="4">
        <f>M134*INDEX(Dim_Product!$C$2:$C$4,MATCH(F134,Dim_Product!$A$2:$A$4,0))/1000000</f>
        <v>8.4764999999999997</v>
      </c>
      <c r="U134" s="19">
        <f t="shared" si="20"/>
        <v>0.93600000000000005</v>
      </c>
    </row>
    <row r="135" spans="1:21" x14ac:dyDescent="0.25">
      <c r="A135" s="18" t="s">
        <v>276</v>
      </c>
      <c r="B135" s="4">
        <v>20260701</v>
      </c>
      <c r="C135" s="4">
        <v>19</v>
      </c>
      <c r="D135" s="4" t="s">
        <v>15</v>
      </c>
      <c r="E135" s="4" t="s">
        <v>20</v>
      </c>
      <c r="F135" s="4" t="s">
        <v>141</v>
      </c>
      <c r="G135" s="4">
        <v>60</v>
      </c>
      <c r="H135" s="4">
        <v>3</v>
      </c>
      <c r="I135" s="4">
        <f t="shared" si="14"/>
        <v>57</v>
      </c>
      <c r="J135" s="4">
        <f>INDEX(Dim_Machine!$E$2:$E$8,MATCH(D135,Dim_Machine!$A$2:$A$8,0))*INDEX(Dim_Machine!$D$2:$D$8,MATCH(D135,Dim_Machine!$A$2:$A$8,0))*I135</f>
        <v>22800</v>
      </c>
      <c r="K135" s="4">
        <f>ROUND(J135*0.968,0)</f>
        <v>22070</v>
      </c>
      <c r="L135" s="4">
        <f>ROUND(K135*0.0109,0)</f>
        <v>241</v>
      </c>
      <c r="M135" s="4">
        <f t="shared" si="15"/>
        <v>21829</v>
      </c>
      <c r="N135" s="4">
        <f t="shared" si="16"/>
        <v>0.96798245614035083</v>
      </c>
      <c r="O135" s="4">
        <f t="shared" si="17"/>
        <v>0.95</v>
      </c>
      <c r="P135" s="4">
        <f>IFERROR((K135/I135)/(INDEX(Dim_Machine!$E$2:$E$8,MATCH(D135,Dim_Machine!$A$2:$A$8,0))*INDEX(Dim_Machine!$D$2:$D$8,MATCH(D135,Dim_Machine!$A$2:$A$8,0))),0)</f>
        <v>0.96798245614035083</v>
      </c>
      <c r="Q135" s="4">
        <f t="shared" si="18"/>
        <v>0.98908019936565472</v>
      </c>
      <c r="R135" s="4">
        <f t="shared" si="19"/>
        <v>0.90954166666666647</v>
      </c>
      <c r="S135" s="4">
        <f>T135/0.889</f>
        <v>6.1386389201349836</v>
      </c>
      <c r="T135" s="4">
        <f>M135*INDEX(Dim_Product!$C$2:$C$4,MATCH(F135,Dim_Product!$A$2:$A$4,0))/1000000</f>
        <v>5.4572500000000002</v>
      </c>
      <c r="U135" s="19">
        <f t="shared" si="20"/>
        <v>0.88900000000000001</v>
      </c>
    </row>
    <row r="136" spans="1:21" x14ac:dyDescent="0.25">
      <c r="A136" s="18" t="s">
        <v>277</v>
      </c>
      <c r="B136" s="4">
        <v>20260701</v>
      </c>
      <c r="C136" s="4">
        <v>19</v>
      </c>
      <c r="D136" s="4" t="s">
        <v>19</v>
      </c>
      <c r="E136" s="4" t="s">
        <v>20</v>
      </c>
      <c r="F136" s="4" t="s">
        <v>143</v>
      </c>
      <c r="G136" s="4">
        <v>60</v>
      </c>
      <c r="H136" s="4">
        <v>6.6</v>
      </c>
      <c r="I136" s="4">
        <f t="shared" si="14"/>
        <v>53.4</v>
      </c>
      <c r="J136" s="4">
        <f>INDEX(Dim_Machine!$E$2:$E$8,MATCH(D136,Dim_Machine!$A$2:$A$8,0))*INDEX(Dim_Machine!$D$2:$D$8,MATCH(D136,Dim_Machine!$A$2:$A$8,0))*I136</f>
        <v>35884.799999999996</v>
      </c>
      <c r="K136" s="4">
        <f>ROUND(J136*0.829,0)</f>
        <v>29748</v>
      </c>
      <c r="L136" s="4">
        <f>ROUND(K136*0.0259,0)</f>
        <v>770</v>
      </c>
      <c r="M136" s="4">
        <f t="shared" si="15"/>
        <v>28978</v>
      </c>
      <c r="N136" s="4">
        <f t="shared" si="16"/>
        <v>0.82898608881754954</v>
      </c>
      <c r="O136" s="4">
        <f t="shared" si="17"/>
        <v>0.89</v>
      </c>
      <c r="P136" s="4">
        <f>IFERROR((K136/I136)/(INDEX(Dim_Machine!$E$2:$E$8,MATCH(D136,Dim_Machine!$A$2:$A$8,0))*INDEX(Dim_Machine!$D$2:$D$8,MATCH(D136,Dim_Machine!$A$2:$A$8,0))),0)</f>
        <v>0.82898608881754954</v>
      </c>
      <c r="Q136" s="4">
        <f t="shared" si="18"/>
        <v>0.97411590695172789</v>
      </c>
      <c r="R136" s="4">
        <f t="shared" si="19"/>
        <v>0.71870039682539688</v>
      </c>
      <c r="S136" s="4">
        <f>T136/0.845</f>
        <v>6.8586982248520716</v>
      </c>
      <c r="T136" s="4">
        <f>M136*INDEX(Dim_Product!$C$2:$C$4,MATCH(F136,Dim_Product!$A$2:$A$4,0))/1000000</f>
        <v>5.7956000000000003</v>
      </c>
      <c r="U136" s="19">
        <f t="shared" si="20"/>
        <v>0.84499999999999997</v>
      </c>
    </row>
    <row r="137" spans="1:21" x14ac:dyDescent="0.25">
      <c r="A137" s="18" t="s">
        <v>278</v>
      </c>
      <c r="B137" s="4">
        <v>20260701</v>
      </c>
      <c r="C137" s="4">
        <v>19</v>
      </c>
      <c r="D137" s="4" t="s">
        <v>23</v>
      </c>
      <c r="E137" s="4" t="s">
        <v>20</v>
      </c>
      <c r="F137" s="4" t="s">
        <v>141</v>
      </c>
      <c r="G137" s="4">
        <v>60</v>
      </c>
      <c r="H137" s="4">
        <v>5.5</v>
      </c>
      <c r="I137" s="4">
        <f t="shared" si="14"/>
        <v>54.5</v>
      </c>
      <c r="J137" s="4">
        <f>INDEX(Dim_Machine!$E$2:$E$8,MATCH(D137,Dim_Machine!$A$2:$A$8,0))*INDEX(Dim_Machine!$D$2:$D$8,MATCH(D137,Dim_Machine!$A$2:$A$8,0))*I137</f>
        <v>14388</v>
      </c>
      <c r="K137" s="4">
        <f>ROUND(J137*0.941,0)</f>
        <v>13539</v>
      </c>
      <c r="L137" s="4">
        <f>ROUND(K137*0.0289,0)</f>
        <v>391</v>
      </c>
      <c r="M137" s="4">
        <f t="shared" si="15"/>
        <v>13148</v>
      </c>
      <c r="N137" s="4">
        <f t="shared" si="16"/>
        <v>0.94099249374478733</v>
      </c>
      <c r="O137" s="4">
        <f t="shared" si="17"/>
        <v>0.90833333333333333</v>
      </c>
      <c r="P137" s="4">
        <f>IFERROR((K137/I137)/(INDEX(Dim_Machine!$E$2:$E$8,MATCH(D137,Dim_Machine!$A$2:$A$8,0))*INDEX(Dim_Machine!$D$2:$D$8,MATCH(D137,Dim_Machine!$A$2:$A$8,0))),0)</f>
        <v>0.94099249374478733</v>
      </c>
      <c r="Q137" s="4">
        <f t="shared" si="18"/>
        <v>0.97112046679961594</v>
      </c>
      <c r="R137" s="4">
        <f t="shared" si="19"/>
        <v>0.83005050505050504</v>
      </c>
      <c r="S137" s="4">
        <f>T137/0.885</f>
        <v>3.7141242937853107</v>
      </c>
      <c r="T137" s="4">
        <f>M137*INDEX(Dim_Product!$C$2:$C$4,MATCH(F137,Dim_Product!$A$2:$A$4,0))/1000000</f>
        <v>3.2869999999999999</v>
      </c>
      <c r="U137" s="19">
        <f t="shared" si="20"/>
        <v>0.88500000000000001</v>
      </c>
    </row>
    <row r="138" spans="1:21" x14ac:dyDescent="0.25">
      <c r="A138" s="18" t="s">
        <v>279</v>
      </c>
      <c r="B138" s="4">
        <v>20260701</v>
      </c>
      <c r="C138" s="4">
        <v>19</v>
      </c>
      <c r="D138" s="4" t="s">
        <v>25</v>
      </c>
      <c r="E138" s="4" t="s">
        <v>20</v>
      </c>
      <c r="F138" s="4" t="s">
        <v>141</v>
      </c>
      <c r="G138" s="4">
        <v>60</v>
      </c>
      <c r="H138" s="4">
        <v>0.3</v>
      </c>
      <c r="I138" s="4">
        <f t="shared" si="14"/>
        <v>59.7</v>
      </c>
      <c r="J138" s="4">
        <f>INDEX(Dim_Machine!$E$2:$E$8,MATCH(D138,Dim_Machine!$A$2:$A$8,0))*INDEX(Dim_Machine!$D$2:$D$8,MATCH(D138,Dim_Machine!$A$2:$A$8,0))*I138</f>
        <v>42984</v>
      </c>
      <c r="K138" s="4">
        <f>ROUND(J138*0.887,0)</f>
        <v>38127</v>
      </c>
      <c r="L138" s="4">
        <f>ROUND(K138*0.0248,0)</f>
        <v>946</v>
      </c>
      <c r="M138" s="4">
        <f t="shared" si="15"/>
        <v>37181</v>
      </c>
      <c r="N138" s="4">
        <f t="shared" si="16"/>
        <v>0.88700446677833611</v>
      </c>
      <c r="O138" s="4">
        <f t="shared" si="17"/>
        <v>0.995</v>
      </c>
      <c r="P138" s="4">
        <f>IFERROR((K138/I138)/(INDEX(Dim_Machine!$E$2:$E$8,MATCH(D138,Dim_Machine!$A$2:$A$8,0))*INDEX(Dim_Machine!$D$2:$D$8,MATCH(D138,Dim_Machine!$A$2:$A$8,0))),0)</f>
        <v>0.88700446677833611</v>
      </c>
      <c r="Q138" s="4">
        <f t="shared" si="18"/>
        <v>0.97518818684921449</v>
      </c>
      <c r="R138" s="4">
        <f t="shared" si="19"/>
        <v>0.86067129629629624</v>
      </c>
      <c r="S138" s="4">
        <f>T138/0.81</f>
        <v>11.475617283950616</v>
      </c>
      <c r="T138" s="4">
        <f>M138*INDEX(Dim_Product!$C$2:$C$4,MATCH(F138,Dim_Product!$A$2:$A$4,0))/1000000</f>
        <v>9.2952499999999993</v>
      </c>
      <c r="U138" s="19">
        <f t="shared" si="20"/>
        <v>0.81</v>
      </c>
    </row>
    <row r="139" spans="1:21" x14ac:dyDescent="0.25">
      <c r="A139" s="18" t="s">
        <v>280</v>
      </c>
      <c r="B139" s="4">
        <v>20260701</v>
      </c>
      <c r="C139" s="4">
        <v>19</v>
      </c>
      <c r="D139" s="4" t="s">
        <v>27</v>
      </c>
      <c r="E139" s="4" t="s">
        <v>20</v>
      </c>
      <c r="F139" s="4" t="s">
        <v>141</v>
      </c>
      <c r="G139" s="4">
        <v>60</v>
      </c>
      <c r="H139" s="4">
        <v>5.2</v>
      </c>
      <c r="I139" s="4">
        <f t="shared" si="14"/>
        <v>54.8</v>
      </c>
      <c r="J139" s="4">
        <f>INDEX(Dim_Machine!$E$2:$E$8,MATCH(D139,Dim_Machine!$A$2:$A$8,0))*INDEX(Dim_Machine!$D$2:$D$8,MATCH(D139,Dim_Machine!$A$2:$A$8,0))*I139</f>
        <v>22796.799999999999</v>
      </c>
      <c r="K139" s="4">
        <f>ROUND(J139*0.783,0)</f>
        <v>17850</v>
      </c>
      <c r="L139" s="4">
        <f>ROUND(K139*0.0176,0)</f>
        <v>314</v>
      </c>
      <c r="M139" s="4">
        <f t="shared" si="15"/>
        <v>17536</v>
      </c>
      <c r="N139" s="4">
        <f t="shared" si="16"/>
        <v>0.78300463222908478</v>
      </c>
      <c r="O139" s="4">
        <f t="shared" si="17"/>
        <v>0.91333333333333333</v>
      </c>
      <c r="P139" s="4">
        <f>IFERROR((K139/I139)/(INDEX(Dim_Machine!$E$2:$E$8,MATCH(D139,Dim_Machine!$A$2:$A$8,0))*INDEX(Dim_Machine!$D$2:$D$8,MATCH(D139,Dim_Machine!$A$2:$A$8,0))),0)</f>
        <v>0.7830046322290849</v>
      </c>
      <c r="Q139" s="4">
        <f t="shared" si="18"/>
        <v>0.98240896358543417</v>
      </c>
      <c r="R139" s="4">
        <f t="shared" si="19"/>
        <v>0.70256410256410262</v>
      </c>
      <c r="S139" s="4">
        <f>T139/0.874</f>
        <v>5.0160183066361563</v>
      </c>
      <c r="T139" s="4">
        <f>M139*INDEX(Dim_Product!$C$2:$C$4,MATCH(F139,Dim_Product!$A$2:$A$4,0))/1000000</f>
        <v>4.3840000000000003</v>
      </c>
      <c r="U139" s="19">
        <f t="shared" si="20"/>
        <v>0.87399999999999989</v>
      </c>
    </row>
    <row r="140" spans="1:21" x14ac:dyDescent="0.25">
      <c r="A140" s="18" t="s">
        <v>281</v>
      </c>
      <c r="B140" s="4">
        <v>20260701</v>
      </c>
      <c r="C140" s="4">
        <v>19</v>
      </c>
      <c r="D140" s="4" t="s">
        <v>29</v>
      </c>
      <c r="E140" s="4" t="s">
        <v>20</v>
      </c>
      <c r="F140" s="4" t="s">
        <v>143</v>
      </c>
      <c r="G140" s="4">
        <v>60</v>
      </c>
      <c r="H140" s="4">
        <v>3.5</v>
      </c>
      <c r="I140" s="4">
        <f t="shared" si="14"/>
        <v>56.5</v>
      </c>
      <c r="J140" s="4">
        <f>INDEX(Dim_Machine!$E$2:$E$8,MATCH(D140,Dim_Machine!$A$2:$A$8,0))*INDEX(Dim_Machine!$D$2:$D$8,MATCH(D140,Dim_Machine!$A$2:$A$8,0))*I140</f>
        <v>16272</v>
      </c>
      <c r="K140" s="4">
        <f>ROUND(J140*0.852,0)</f>
        <v>13864</v>
      </c>
      <c r="L140" s="4">
        <f>ROUND(K140*0.0317,0)</f>
        <v>439</v>
      </c>
      <c r="M140" s="4">
        <f t="shared" si="15"/>
        <v>13425</v>
      </c>
      <c r="N140" s="4">
        <f t="shared" si="16"/>
        <v>0.85201573254670604</v>
      </c>
      <c r="O140" s="4">
        <f t="shared" si="17"/>
        <v>0.94166666666666665</v>
      </c>
      <c r="P140" s="4">
        <f>IFERROR((K140/I140)/(INDEX(Dim_Machine!$E$2:$E$8,MATCH(D140,Dim_Machine!$A$2:$A$8,0))*INDEX(Dim_Machine!$D$2:$D$8,MATCH(D140,Dim_Machine!$A$2:$A$8,0))),0)</f>
        <v>0.85201573254670604</v>
      </c>
      <c r="Q140" s="4">
        <f t="shared" si="18"/>
        <v>0.96833525678014998</v>
      </c>
      <c r="R140" s="4">
        <f t="shared" si="19"/>
        <v>0.77690972222222221</v>
      </c>
      <c r="S140" s="4">
        <f>T140/0.869</f>
        <v>3.0897583429229001</v>
      </c>
      <c r="T140" s="4">
        <f>M140*INDEX(Dim_Product!$C$2:$C$4,MATCH(F140,Dim_Product!$A$2:$A$4,0))/1000000</f>
        <v>2.6850000000000001</v>
      </c>
      <c r="U140" s="19">
        <f t="shared" si="20"/>
        <v>0.86899999999999999</v>
      </c>
    </row>
    <row r="141" spans="1:21" x14ac:dyDescent="0.25">
      <c r="A141" s="18" t="s">
        <v>282</v>
      </c>
      <c r="B141" s="4">
        <v>20260701</v>
      </c>
      <c r="C141" s="4">
        <v>19</v>
      </c>
      <c r="D141" s="4" t="s">
        <v>31</v>
      </c>
      <c r="E141" s="4" t="s">
        <v>20</v>
      </c>
      <c r="F141" s="4" t="s">
        <v>141</v>
      </c>
      <c r="G141" s="4">
        <v>60</v>
      </c>
      <c r="H141" s="4">
        <v>1.2</v>
      </c>
      <c r="I141" s="4">
        <f t="shared" si="14"/>
        <v>58.8</v>
      </c>
      <c r="J141" s="4">
        <f>INDEX(Dim_Machine!$E$2:$E$8,MATCH(D141,Dim_Machine!$A$2:$A$8,0))*INDEX(Dim_Machine!$D$2:$D$8,MATCH(D141,Dim_Machine!$A$2:$A$8,0))*I141</f>
        <v>38102.400000000001</v>
      </c>
      <c r="K141" s="4">
        <f>ROUND(J141*0.815,0)</f>
        <v>31053</v>
      </c>
      <c r="L141" s="4">
        <f>ROUND(K141*0.0207,0)</f>
        <v>643</v>
      </c>
      <c r="M141" s="4">
        <f t="shared" si="15"/>
        <v>30410</v>
      </c>
      <c r="N141" s="4">
        <f t="shared" si="16"/>
        <v>0.81498803224993699</v>
      </c>
      <c r="O141" s="4">
        <f t="shared" si="17"/>
        <v>0.98</v>
      </c>
      <c r="P141" s="4">
        <f>IFERROR((K141/I141)/(INDEX(Dim_Machine!$E$2:$E$8,MATCH(D141,Dim_Machine!$A$2:$A$8,0))*INDEX(Dim_Machine!$D$2:$D$8,MATCH(D141,Dim_Machine!$A$2:$A$8,0))),0)</f>
        <v>0.81498803224993699</v>
      </c>
      <c r="Q141" s="4">
        <f t="shared" si="18"/>
        <v>0.97929346600972533</v>
      </c>
      <c r="R141" s="4">
        <f t="shared" si="19"/>
        <v>0.78215020576131689</v>
      </c>
      <c r="S141" s="4">
        <f>T141/0.898</f>
        <v>8.466035634743875</v>
      </c>
      <c r="T141" s="4">
        <f>M141*INDEX(Dim_Product!$C$2:$C$4,MATCH(F141,Dim_Product!$A$2:$A$4,0))/1000000</f>
        <v>7.6025</v>
      </c>
      <c r="U141" s="19">
        <f t="shared" si="20"/>
        <v>0.89800000000000002</v>
      </c>
    </row>
    <row r="142" spans="1:21" x14ac:dyDescent="0.25">
      <c r="A142" s="18" t="s">
        <v>283</v>
      </c>
      <c r="B142" s="4">
        <v>20260701</v>
      </c>
      <c r="C142" s="4">
        <v>20</v>
      </c>
      <c r="D142" s="4" t="s">
        <v>15</v>
      </c>
      <c r="E142" s="4" t="s">
        <v>20</v>
      </c>
      <c r="F142" s="4" t="s">
        <v>141</v>
      </c>
      <c r="G142" s="4">
        <v>60</v>
      </c>
      <c r="H142" s="4">
        <v>4.9000000000000004</v>
      </c>
      <c r="I142" s="4">
        <f t="shared" si="14"/>
        <v>55.1</v>
      </c>
      <c r="J142" s="4">
        <f>INDEX(Dim_Machine!$E$2:$E$8,MATCH(D142,Dim_Machine!$A$2:$A$8,0))*INDEX(Dim_Machine!$D$2:$D$8,MATCH(D142,Dim_Machine!$A$2:$A$8,0))*I142</f>
        <v>22040</v>
      </c>
      <c r="K142" s="4">
        <f>ROUND(J142*0.964,0)</f>
        <v>21247</v>
      </c>
      <c r="L142" s="4">
        <f>ROUND(K142*0.0282,0)</f>
        <v>599</v>
      </c>
      <c r="M142" s="4">
        <f t="shared" si="15"/>
        <v>20648</v>
      </c>
      <c r="N142" s="4">
        <f t="shared" si="16"/>
        <v>0.96401996370235932</v>
      </c>
      <c r="O142" s="4">
        <f t="shared" si="17"/>
        <v>0.91833333333333333</v>
      </c>
      <c r="P142" s="4">
        <f>IFERROR((K142/I142)/(INDEX(Dim_Machine!$E$2:$E$8,MATCH(D142,Dim_Machine!$A$2:$A$8,0))*INDEX(Dim_Machine!$D$2:$D$8,MATCH(D142,Dim_Machine!$A$2:$A$8,0))),0)</f>
        <v>0.96401996370235932</v>
      </c>
      <c r="Q142" s="4">
        <f t="shared" si="18"/>
        <v>0.9718077846284181</v>
      </c>
      <c r="R142" s="4">
        <f t="shared" si="19"/>
        <v>0.86033333333333328</v>
      </c>
      <c r="S142" s="4">
        <f>T142/0.87</f>
        <v>5.9333333333333336</v>
      </c>
      <c r="T142" s="4">
        <f>M142*INDEX(Dim_Product!$C$2:$C$4,MATCH(F142,Dim_Product!$A$2:$A$4,0))/1000000</f>
        <v>5.1619999999999999</v>
      </c>
      <c r="U142" s="19">
        <f t="shared" si="20"/>
        <v>0.87</v>
      </c>
    </row>
    <row r="143" spans="1:21" x14ac:dyDescent="0.25">
      <c r="A143" s="18" t="s">
        <v>284</v>
      </c>
      <c r="B143" s="4">
        <v>20260701</v>
      </c>
      <c r="C143" s="4">
        <v>20</v>
      </c>
      <c r="D143" s="4" t="s">
        <v>19</v>
      </c>
      <c r="E143" s="4" t="s">
        <v>20</v>
      </c>
      <c r="F143" s="4" t="s">
        <v>143</v>
      </c>
      <c r="G143" s="4">
        <v>60</v>
      </c>
      <c r="H143" s="4">
        <v>6.6</v>
      </c>
      <c r="I143" s="4">
        <f t="shared" si="14"/>
        <v>53.4</v>
      </c>
      <c r="J143" s="4">
        <f>INDEX(Dim_Machine!$E$2:$E$8,MATCH(D143,Dim_Machine!$A$2:$A$8,0))*INDEX(Dim_Machine!$D$2:$D$8,MATCH(D143,Dim_Machine!$A$2:$A$8,0))*I143</f>
        <v>35884.799999999996</v>
      </c>
      <c r="K143" s="4">
        <f>ROUND(J143*0.898,0)</f>
        <v>32225</v>
      </c>
      <c r="L143" s="4">
        <f>ROUND(K143*0.0147,0)</f>
        <v>474</v>
      </c>
      <c r="M143" s="4">
        <f t="shared" si="15"/>
        <v>31751</v>
      </c>
      <c r="N143" s="4">
        <f t="shared" si="16"/>
        <v>0.8980125289816302</v>
      </c>
      <c r="O143" s="4">
        <f t="shared" si="17"/>
        <v>0.89</v>
      </c>
      <c r="P143" s="4">
        <f>IFERROR((K143/I143)/(INDEX(Dim_Machine!$E$2:$E$8,MATCH(D143,Dim_Machine!$A$2:$A$8,0))*INDEX(Dim_Machine!$D$2:$D$8,MATCH(D143,Dim_Machine!$A$2:$A$8,0))),0)</f>
        <v>0.89801252898163009</v>
      </c>
      <c r="Q143" s="4">
        <f t="shared" si="18"/>
        <v>0.9852909231962762</v>
      </c>
      <c r="R143" s="4">
        <f t="shared" si="19"/>
        <v>0.78747519841269842</v>
      </c>
      <c r="S143" s="4">
        <f>T143/0.837</f>
        <v>7.5868578255675034</v>
      </c>
      <c r="T143" s="4">
        <f>M143*INDEX(Dim_Product!$C$2:$C$4,MATCH(F143,Dim_Product!$A$2:$A$4,0))/1000000</f>
        <v>6.3502000000000001</v>
      </c>
      <c r="U143" s="19">
        <f t="shared" si="20"/>
        <v>0.83699999999999997</v>
      </c>
    </row>
    <row r="144" spans="1:21" x14ac:dyDescent="0.25">
      <c r="A144" s="18" t="s">
        <v>285</v>
      </c>
      <c r="B144" s="4">
        <v>20260701</v>
      </c>
      <c r="C144" s="4">
        <v>20</v>
      </c>
      <c r="D144" s="4" t="s">
        <v>23</v>
      </c>
      <c r="E144" s="4" t="s">
        <v>20</v>
      </c>
      <c r="F144" s="4" t="s">
        <v>141</v>
      </c>
      <c r="G144" s="4">
        <v>60</v>
      </c>
      <c r="H144" s="4">
        <v>7.5</v>
      </c>
      <c r="I144" s="4">
        <f t="shared" si="14"/>
        <v>52.5</v>
      </c>
      <c r="J144" s="4">
        <f>INDEX(Dim_Machine!$E$2:$E$8,MATCH(D144,Dim_Machine!$A$2:$A$8,0))*INDEX(Dim_Machine!$D$2:$D$8,MATCH(D144,Dim_Machine!$A$2:$A$8,0))*I144</f>
        <v>13860</v>
      </c>
      <c r="K144" s="4">
        <f>ROUND(J144*0.836,0)</f>
        <v>11587</v>
      </c>
      <c r="L144" s="4">
        <f>ROUND(K144*0.0185,0)</f>
        <v>214</v>
      </c>
      <c r="M144" s="4">
        <f t="shared" si="15"/>
        <v>11373</v>
      </c>
      <c r="N144" s="4">
        <f t="shared" si="16"/>
        <v>0.83600288600288597</v>
      </c>
      <c r="O144" s="4">
        <f t="shared" si="17"/>
        <v>0.875</v>
      </c>
      <c r="P144" s="4">
        <f>IFERROR((K144/I144)/(INDEX(Dim_Machine!$E$2:$E$8,MATCH(D144,Dim_Machine!$A$2:$A$8,0))*INDEX(Dim_Machine!$D$2:$D$8,MATCH(D144,Dim_Machine!$A$2:$A$8,0))),0)</f>
        <v>0.83600288600288597</v>
      </c>
      <c r="Q144" s="4">
        <f t="shared" si="18"/>
        <v>0.98153102614999566</v>
      </c>
      <c r="R144" s="4">
        <f t="shared" si="19"/>
        <v>0.71799242424242415</v>
      </c>
      <c r="S144" s="4">
        <f>T144/0.913</f>
        <v>3.1141840087623218</v>
      </c>
      <c r="T144" s="4">
        <f>M144*INDEX(Dim_Product!$C$2:$C$4,MATCH(F144,Dim_Product!$A$2:$A$4,0))/1000000</f>
        <v>2.8432499999999998</v>
      </c>
      <c r="U144" s="19">
        <f t="shared" si="20"/>
        <v>0.91300000000000003</v>
      </c>
    </row>
    <row r="145" spans="1:21" x14ac:dyDescent="0.25">
      <c r="A145" s="18" t="s">
        <v>286</v>
      </c>
      <c r="B145" s="4">
        <v>20260701</v>
      </c>
      <c r="C145" s="4">
        <v>20</v>
      </c>
      <c r="D145" s="4" t="s">
        <v>25</v>
      </c>
      <c r="E145" s="4" t="s">
        <v>20</v>
      </c>
      <c r="F145" s="4" t="s">
        <v>141</v>
      </c>
      <c r="G145" s="4">
        <v>60</v>
      </c>
      <c r="H145" s="4">
        <v>4.5999999999999996</v>
      </c>
      <c r="I145" s="4">
        <f t="shared" si="14"/>
        <v>55.4</v>
      </c>
      <c r="J145" s="4">
        <f>INDEX(Dim_Machine!$E$2:$E$8,MATCH(D145,Dim_Machine!$A$2:$A$8,0))*INDEX(Dim_Machine!$D$2:$D$8,MATCH(D145,Dim_Machine!$A$2:$A$8,0))*I145</f>
        <v>39888</v>
      </c>
      <c r="K145" s="4">
        <f>ROUND(J145*0.914,0)</f>
        <v>36458</v>
      </c>
      <c r="L145" s="4">
        <f>ROUND(K145*0.0151,0)</f>
        <v>551</v>
      </c>
      <c r="M145" s="4">
        <f t="shared" si="15"/>
        <v>35907</v>
      </c>
      <c r="N145" s="4">
        <f t="shared" si="16"/>
        <v>0.91400922583233057</v>
      </c>
      <c r="O145" s="4">
        <f t="shared" si="17"/>
        <v>0.92333333333333334</v>
      </c>
      <c r="P145" s="4">
        <f>IFERROR((K145/I145)/(INDEX(Dim_Machine!$E$2:$E$8,MATCH(D145,Dim_Machine!$A$2:$A$8,0))*INDEX(Dim_Machine!$D$2:$D$8,MATCH(D145,Dim_Machine!$A$2:$A$8,0))),0)</f>
        <v>0.91400922583233057</v>
      </c>
      <c r="Q145" s="4">
        <f t="shared" si="18"/>
        <v>0.9848867189642877</v>
      </c>
      <c r="R145" s="4">
        <f t="shared" si="19"/>
        <v>0.8311805555555557</v>
      </c>
      <c r="S145" s="4">
        <f>T145/0.874</f>
        <v>10.270881006864988</v>
      </c>
      <c r="T145" s="4">
        <f>M145*INDEX(Dim_Product!$C$2:$C$4,MATCH(F145,Dim_Product!$A$2:$A$4,0))/1000000</f>
        <v>8.9767499999999991</v>
      </c>
      <c r="U145" s="19">
        <f t="shared" si="20"/>
        <v>0.874</v>
      </c>
    </row>
    <row r="146" spans="1:21" x14ac:dyDescent="0.25">
      <c r="A146" s="18" t="s">
        <v>287</v>
      </c>
      <c r="B146" s="4">
        <v>20260701</v>
      </c>
      <c r="C146" s="4">
        <v>20</v>
      </c>
      <c r="D146" s="4" t="s">
        <v>27</v>
      </c>
      <c r="E146" s="4" t="s">
        <v>20</v>
      </c>
      <c r="F146" s="4" t="s">
        <v>141</v>
      </c>
      <c r="G146" s="4">
        <v>60</v>
      </c>
      <c r="H146" s="4">
        <v>2.6</v>
      </c>
      <c r="I146" s="4">
        <f t="shared" si="14"/>
        <v>57.4</v>
      </c>
      <c r="J146" s="4">
        <f>INDEX(Dim_Machine!$E$2:$E$8,MATCH(D146,Dim_Machine!$A$2:$A$8,0))*INDEX(Dim_Machine!$D$2:$D$8,MATCH(D146,Dim_Machine!$A$2:$A$8,0))*I146</f>
        <v>23878.399999999998</v>
      </c>
      <c r="K146" s="4">
        <f>ROUND(J146*0.878,0)</f>
        <v>20965</v>
      </c>
      <c r="L146" s="4">
        <f>ROUND(K146*0.0156,0)</f>
        <v>327</v>
      </c>
      <c r="M146" s="4">
        <f t="shared" si="15"/>
        <v>20638</v>
      </c>
      <c r="N146" s="4">
        <f t="shared" si="16"/>
        <v>0.87799015009380876</v>
      </c>
      <c r="O146" s="4">
        <f t="shared" si="17"/>
        <v>0.95666666666666667</v>
      </c>
      <c r="P146" s="4">
        <f>IFERROR((K146/I146)/(INDEX(Dim_Machine!$E$2:$E$8,MATCH(D146,Dim_Machine!$A$2:$A$8,0))*INDEX(Dim_Machine!$D$2:$D$8,MATCH(D146,Dim_Machine!$A$2:$A$8,0))),0)</f>
        <v>0.87799015009380865</v>
      </c>
      <c r="Q146" s="4">
        <f t="shared" si="18"/>
        <v>0.98440257572144052</v>
      </c>
      <c r="R146" s="4">
        <f t="shared" si="19"/>
        <v>0.82684294871794872</v>
      </c>
      <c r="S146" s="4">
        <f>T146/0.839</f>
        <v>6.14958283671037</v>
      </c>
      <c r="T146" s="4">
        <f>M146*INDEX(Dim_Product!$C$2:$C$4,MATCH(F146,Dim_Product!$A$2:$A$4,0))/1000000</f>
        <v>5.1595000000000004</v>
      </c>
      <c r="U146" s="19">
        <f t="shared" si="20"/>
        <v>0.83899999999999997</v>
      </c>
    </row>
    <row r="147" spans="1:21" x14ac:dyDescent="0.25">
      <c r="A147" s="18" t="s">
        <v>288</v>
      </c>
      <c r="B147" s="4">
        <v>20260701</v>
      </c>
      <c r="C147" s="4">
        <v>20</v>
      </c>
      <c r="D147" s="4" t="s">
        <v>29</v>
      </c>
      <c r="E147" s="4" t="s">
        <v>20</v>
      </c>
      <c r="F147" s="4" t="s">
        <v>143</v>
      </c>
      <c r="G147" s="4">
        <v>60</v>
      </c>
      <c r="H147" s="4">
        <v>2.2000000000000002</v>
      </c>
      <c r="I147" s="4">
        <f t="shared" si="14"/>
        <v>57.8</v>
      </c>
      <c r="J147" s="4">
        <f>INDEX(Dim_Machine!$E$2:$E$8,MATCH(D147,Dim_Machine!$A$2:$A$8,0))*INDEX(Dim_Machine!$D$2:$D$8,MATCH(D147,Dim_Machine!$A$2:$A$8,0))*I147</f>
        <v>16646.399999999998</v>
      </c>
      <c r="K147" s="4">
        <f>ROUND(J147*0.899,0)</f>
        <v>14965</v>
      </c>
      <c r="L147" s="4">
        <f>ROUND(K147*0.0314,0)</f>
        <v>470</v>
      </c>
      <c r="M147" s="4">
        <f t="shared" si="15"/>
        <v>14495</v>
      </c>
      <c r="N147" s="4">
        <f t="shared" si="16"/>
        <v>0.89899317570165338</v>
      </c>
      <c r="O147" s="4">
        <f t="shared" si="17"/>
        <v>0.96333333333333326</v>
      </c>
      <c r="P147" s="4">
        <f>IFERROR((K147/I147)/(INDEX(Dim_Machine!$E$2:$E$8,MATCH(D147,Dim_Machine!$A$2:$A$8,0))*INDEX(Dim_Machine!$D$2:$D$8,MATCH(D147,Dim_Machine!$A$2:$A$8,0))),0)</f>
        <v>0.89899317570165316</v>
      </c>
      <c r="Q147" s="4">
        <f t="shared" si="18"/>
        <v>0.96859338456398258</v>
      </c>
      <c r="R147" s="4">
        <f t="shared" si="19"/>
        <v>0.83883101851851838</v>
      </c>
      <c r="S147" s="4">
        <f>T147/0.883</f>
        <v>3.2831257078142695</v>
      </c>
      <c r="T147" s="4">
        <f>M147*INDEX(Dim_Product!$C$2:$C$4,MATCH(F147,Dim_Product!$A$2:$A$4,0))/1000000</f>
        <v>2.899</v>
      </c>
      <c r="U147" s="19">
        <f t="shared" si="20"/>
        <v>0.88300000000000001</v>
      </c>
    </row>
    <row r="148" spans="1:21" x14ac:dyDescent="0.25">
      <c r="A148" s="18" t="s">
        <v>289</v>
      </c>
      <c r="B148" s="4">
        <v>20260701</v>
      </c>
      <c r="C148" s="4">
        <v>20</v>
      </c>
      <c r="D148" s="4" t="s">
        <v>31</v>
      </c>
      <c r="E148" s="4" t="s">
        <v>20</v>
      </c>
      <c r="F148" s="4" t="s">
        <v>141</v>
      </c>
      <c r="G148" s="4">
        <v>60</v>
      </c>
      <c r="H148" s="4">
        <v>4.0999999999999996</v>
      </c>
      <c r="I148" s="4">
        <f t="shared" si="14"/>
        <v>55.9</v>
      </c>
      <c r="J148" s="4">
        <f>INDEX(Dim_Machine!$E$2:$E$8,MATCH(D148,Dim_Machine!$A$2:$A$8,0))*INDEX(Dim_Machine!$D$2:$D$8,MATCH(D148,Dim_Machine!$A$2:$A$8,0))*I148</f>
        <v>36223.199999999997</v>
      </c>
      <c r="K148" s="4">
        <f>ROUND(J148*0.818,0)</f>
        <v>29631</v>
      </c>
      <c r="L148" s="4">
        <f>ROUND(K148*0.0122,0)</f>
        <v>361</v>
      </c>
      <c r="M148" s="4">
        <f t="shared" si="15"/>
        <v>29270</v>
      </c>
      <c r="N148" s="4">
        <f t="shared" si="16"/>
        <v>0.81801166103491696</v>
      </c>
      <c r="O148" s="4">
        <f t="shared" si="17"/>
        <v>0.93166666666666664</v>
      </c>
      <c r="P148" s="4">
        <f>IFERROR((K148/I148)/(INDEX(Dim_Machine!$E$2:$E$8,MATCH(D148,Dim_Machine!$A$2:$A$8,0))*INDEX(Dim_Machine!$D$2:$D$8,MATCH(D148,Dim_Machine!$A$2:$A$8,0))),0)</f>
        <v>0.81801166103491685</v>
      </c>
      <c r="Q148" s="4">
        <f t="shared" si="18"/>
        <v>0.98781681347237693</v>
      </c>
      <c r="R148" s="4">
        <f t="shared" si="19"/>
        <v>0.75282921810699588</v>
      </c>
      <c r="S148" s="4">
        <f>T148/0.861</f>
        <v>8.4988385598141694</v>
      </c>
      <c r="T148" s="4">
        <f>M148*INDEX(Dim_Product!$C$2:$C$4,MATCH(F148,Dim_Product!$A$2:$A$4,0))/1000000</f>
        <v>7.3174999999999999</v>
      </c>
      <c r="U148" s="19">
        <f t="shared" si="20"/>
        <v>0.86099999999999999</v>
      </c>
    </row>
    <row r="149" spans="1:21" x14ac:dyDescent="0.25">
      <c r="A149" s="18" t="s">
        <v>290</v>
      </c>
      <c r="B149" s="4">
        <v>20260701</v>
      </c>
      <c r="C149" s="4">
        <v>21</v>
      </c>
      <c r="D149" s="4" t="s">
        <v>15</v>
      </c>
      <c r="E149" s="4" t="s">
        <v>20</v>
      </c>
      <c r="F149" s="4" t="s">
        <v>141</v>
      </c>
      <c r="G149" s="4">
        <v>60</v>
      </c>
      <c r="H149" s="4">
        <v>4.4000000000000004</v>
      </c>
      <c r="I149" s="4">
        <f t="shared" si="14"/>
        <v>55.6</v>
      </c>
      <c r="J149" s="4">
        <f>INDEX(Dim_Machine!$E$2:$E$8,MATCH(D149,Dim_Machine!$A$2:$A$8,0))*INDEX(Dim_Machine!$D$2:$D$8,MATCH(D149,Dim_Machine!$A$2:$A$8,0))*I149</f>
        <v>22240</v>
      </c>
      <c r="K149" s="4">
        <f>ROUND(J149*0.828,0)</f>
        <v>18415</v>
      </c>
      <c r="L149" s="4">
        <f>ROUND(K149*0.0193,0)</f>
        <v>355</v>
      </c>
      <c r="M149" s="4">
        <f t="shared" si="15"/>
        <v>18060</v>
      </c>
      <c r="N149" s="4">
        <f t="shared" si="16"/>
        <v>0.8280125899280576</v>
      </c>
      <c r="O149" s="4">
        <f t="shared" si="17"/>
        <v>0.92666666666666664</v>
      </c>
      <c r="P149" s="4">
        <f>IFERROR((K149/I149)/(INDEX(Dim_Machine!$E$2:$E$8,MATCH(D149,Dim_Machine!$A$2:$A$8,0))*INDEX(Dim_Machine!$D$2:$D$8,MATCH(D149,Dim_Machine!$A$2:$A$8,0))),0)</f>
        <v>0.8280125899280576</v>
      </c>
      <c r="Q149" s="4">
        <f t="shared" si="18"/>
        <v>0.98072223730654362</v>
      </c>
      <c r="R149" s="4">
        <f t="shared" si="19"/>
        <v>0.75250000000000006</v>
      </c>
      <c r="S149" s="4">
        <f>T149/0.907</f>
        <v>4.9779492833517081</v>
      </c>
      <c r="T149" s="4">
        <f>M149*INDEX(Dim_Product!$C$2:$C$4,MATCH(F149,Dim_Product!$A$2:$A$4,0))/1000000</f>
        <v>4.5149999999999997</v>
      </c>
      <c r="U149" s="19">
        <f t="shared" si="20"/>
        <v>0.90700000000000014</v>
      </c>
    </row>
    <row r="150" spans="1:21" x14ac:dyDescent="0.25">
      <c r="A150" s="18" t="s">
        <v>291</v>
      </c>
      <c r="B150" s="4">
        <v>20260701</v>
      </c>
      <c r="C150" s="4">
        <v>21</v>
      </c>
      <c r="D150" s="4" t="s">
        <v>19</v>
      </c>
      <c r="E150" s="4" t="s">
        <v>20</v>
      </c>
      <c r="F150" s="4" t="s">
        <v>143</v>
      </c>
      <c r="G150" s="4">
        <v>60</v>
      </c>
      <c r="H150" s="4">
        <v>3.6</v>
      </c>
      <c r="I150" s="4">
        <f t="shared" si="14"/>
        <v>56.4</v>
      </c>
      <c r="J150" s="4">
        <f>INDEX(Dim_Machine!$E$2:$E$8,MATCH(D150,Dim_Machine!$A$2:$A$8,0))*INDEX(Dim_Machine!$D$2:$D$8,MATCH(D150,Dim_Machine!$A$2:$A$8,0))*I150</f>
        <v>37900.799999999996</v>
      </c>
      <c r="K150" s="4">
        <f>ROUND(J150*0.783,0)</f>
        <v>29676</v>
      </c>
      <c r="L150" s="4">
        <f>ROUND(K150*0.0138,0)</f>
        <v>410</v>
      </c>
      <c r="M150" s="4">
        <f t="shared" si="15"/>
        <v>29266</v>
      </c>
      <c r="N150" s="4">
        <f t="shared" si="16"/>
        <v>0.78299138804457957</v>
      </c>
      <c r="O150" s="4">
        <f t="shared" si="17"/>
        <v>0.94</v>
      </c>
      <c r="P150" s="4">
        <f>IFERROR((K150/I150)/(INDEX(Dim_Machine!$E$2:$E$8,MATCH(D150,Dim_Machine!$A$2:$A$8,0))*INDEX(Dim_Machine!$D$2:$D$8,MATCH(D150,Dim_Machine!$A$2:$A$8,0))),0)</f>
        <v>0.78299138804457957</v>
      </c>
      <c r="Q150" s="4">
        <f t="shared" si="18"/>
        <v>0.98618412184930582</v>
      </c>
      <c r="R150" s="4">
        <f t="shared" si="19"/>
        <v>0.725843253968254</v>
      </c>
      <c r="S150" s="4">
        <f>T150/0.861</f>
        <v>6.7981416957026717</v>
      </c>
      <c r="T150" s="4">
        <f>M150*INDEX(Dim_Product!$C$2:$C$4,MATCH(F150,Dim_Product!$A$2:$A$4,0))/1000000</f>
        <v>5.8532000000000002</v>
      </c>
      <c r="U150" s="19">
        <f t="shared" si="20"/>
        <v>0.86099999999999999</v>
      </c>
    </row>
    <row r="151" spans="1:21" x14ac:dyDescent="0.25">
      <c r="A151" s="18" t="s">
        <v>292</v>
      </c>
      <c r="B151" s="4">
        <v>20260701</v>
      </c>
      <c r="C151" s="4">
        <v>21</v>
      </c>
      <c r="D151" s="4" t="s">
        <v>23</v>
      </c>
      <c r="E151" s="4" t="s">
        <v>20</v>
      </c>
      <c r="F151" s="4" t="s">
        <v>141</v>
      </c>
      <c r="G151" s="4">
        <v>60</v>
      </c>
      <c r="H151" s="4">
        <v>1.9</v>
      </c>
      <c r="I151" s="4">
        <f t="shared" si="14"/>
        <v>58.1</v>
      </c>
      <c r="J151" s="4">
        <f>INDEX(Dim_Machine!$E$2:$E$8,MATCH(D151,Dim_Machine!$A$2:$A$8,0))*INDEX(Dim_Machine!$D$2:$D$8,MATCH(D151,Dim_Machine!$A$2:$A$8,0))*I151</f>
        <v>15338.4</v>
      </c>
      <c r="K151" s="4">
        <f>ROUND(J151*0.913,0)</f>
        <v>14004</v>
      </c>
      <c r="L151" s="4">
        <f>ROUND(K151*0.0161,0)</f>
        <v>225</v>
      </c>
      <c r="M151" s="4">
        <f t="shared" si="15"/>
        <v>13779</v>
      </c>
      <c r="N151" s="4">
        <f t="shared" si="16"/>
        <v>0.91300265999061181</v>
      </c>
      <c r="O151" s="4">
        <f t="shared" si="17"/>
        <v>0.96833333333333338</v>
      </c>
      <c r="P151" s="4">
        <f>IFERROR((K151/I151)/(INDEX(Dim_Machine!$E$2:$E$8,MATCH(D151,Dim_Machine!$A$2:$A$8,0))*INDEX(Dim_Machine!$D$2:$D$8,MATCH(D151,Dim_Machine!$A$2:$A$8,0))),0)</f>
        <v>0.91300265999061181</v>
      </c>
      <c r="Q151" s="4">
        <f t="shared" si="18"/>
        <v>0.98393316195372749</v>
      </c>
      <c r="R151" s="4">
        <f t="shared" si="19"/>
        <v>0.86988636363636362</v>
      </c>
      <c r="S151" s="4">
        <f>T151/0.883</f>
        <v>3.9011891279728199</v>
      </c>
      <c r="T151" s="4">
        <f>M151*INDEX(Dim_Product!$C$2:$C$4,MATCH(F151,Dim_Product!$A$2:$A$4,0))/1000000</f>
        <v>3.44475</v>
      </c>
      <c r="U151" s="19">
        <f t="shared" si="20"/>
        <v>0.88300000000000001</v>
      </c>
    </row>
    <row r="152" spans="1:21" x14ac:dyDescent="0.25">
      <c r="A152" s="18" t="s">
        <v>293</v>
      </c>
      <c r="B152" s="4">
        <v>20260701</v>
      </c>
      <c r="C152" s="4">
        <v>21</v>
      </c>
      <c r="D152" s="4" t="s">
        <v>25</v>
      </c>
      <c r="E152" s="4" t="s">
        <v>20</v>
      </c>
      <c r="F152" s="4" t="s">
        <v>141</v>
      </c>
      <c r="G152" s="4">
        <v>60</v>
      </c>
      <c r="H152" s="4">
        <v>2.8</v>
      </c>
      <c r="I152" s="4">
        <f t="shared" si="14"/>
        <v>57.2</v>
      </c>
      <c r="J152" s="4">
        <f>INDEX(Dim_Machine!$E$2:$E$8,MATCH(D152,Dim_Machine!$A$2:$A$8,0))*INDEX(Dim_Machine!$D$2:$D$8,MATCH(D152,Dim_Machine!$A$2:$A$8,0))*I152</f>
        <v>41184</v>
      </c>
      <c r="K152" s="4">
        <f>ROUND(J152*0.979,0)</f>
        <v>40319</v>
      </c>
      <c r="L152" s="4">
        <f>ROUND(K152*0.0215,0)</f>
        <v>867</v>
      </c>
      <c r="M152" s="4">
        <f t="shared" si="15"/>
        <v>39452</v>
      </c>
      <c r="N152" s="4">
        <f t="shared" si="16"/>
        <v>0.97899669774669773</v>
      </c>
      <c r="O152" s="4">
        <f t="shared" si="17"/>
        <v>0.95333333333333337</v>
      </c>
      <c r="P152" s="4">
        <f>IFERROR((K152/I152)/(INDEX(Dim_Machine!$E$2:$E$8,MATCH(D152,Dim_Machine!$A$2:$A$8,0))*INDEX(Dim_Machine!$D$2:$D$8,MATCH(D152,Dim_Machine!$A$2:$A$8,0))),0)</f>
        <v>0.97899669774669762</v>
      </c>
      <c r="Q152" s="4">
        <f t="shared" si="18"/>
        <v>0.97849649048835541</v>
      </c>
      <c r="R152" s="4">
        <f t="shared" si="19"/>
        <v>0.91324074074074069</v>
      </c>
      <c r="S152" s="4">
        <f>T152/0.853</f>
        <v>11.562719812426728</v>
      </c>
      <c r="T152" s="4">
        <f>M152*INDEX(Dim_Product!$C$2:$C$4,MATCH(F152,Dim_Product!$A$2:$A$4,0))/1000000</f>
        <v>9.8629999999999995</v>
      </c>
      <c r="U152" s="19">
        <f t="shared" si="20"/>
        <v>0.85300000000000009</v>
      </c>
    </row>
    <row r="153" spans="1:21" x14ac:dyDescent="0.25">
      <c r="A153" s="18" t="s">
        <v>294</v>
      </c>
      <c r="B153" s="4">
        <v>20260701</v>
      </c>
      <c r="C153" s="4">
        <v>21</v>
      </c>
      <c r="D153" s="4" t="s">
        <v>27</v>
      </c>
      <c r="E153" s="4" t="s">
        <v>20</v>
      </c>
      <c r="F153" s="4" t="s">
        <v>141</v>
      </c>
      <c r="G153" s="4">
        <v>60</v>
      </c>
      <c r="H153" s="4">
        <v>3.6</v>
      </c>
      <c r="I153" s="4">
        <f t="shared" si="14"/>
        <v>56.4</v>
      </c>
      <c r="J153" s="4">
        <f>INDEX(Dim_Machine!$E$2:$E$8,MATCH(D153,Dim_Machine!$A$2:$A$8,0))*INDEX(Dim_Machine!$D$2:$D$8,MATCH(D153,Dim_Machine!$A$2:$A$8,0))*I153</f>
        <v>23462.399999999998</v>
      </c>
      <c r="K153" s="4">
        <f>ROUND(J153*0.841,0)</f>
        <v>19732</v>
      </c>
      <c r="L153" s="4">
        <f>ROUND(K153*0.0119,0)</f>
        <v>235</v>
      </c>
      <c r="M153" s="4">
        <f t="shared" si="15"/>
        <v>19497</v>
      </c>
      <c r="N153" s="4">
        <f t="shared" si="16"/>
        <v>0.84100518276050196</v>
      </c>
      <c r="O153" s="4">
        <f t="shared" si="17"/>
        <v>0.94</v>
      </c>
      <c r="P153" s="4">
        <f>IFERROR((K153/I153)/(INDEX(Dim_Machine!$E$2:$E$8,MATCH(D153,Dim_Machine!$A$2:$A$8,0))*INDEX(Dim_Machine!$D$2:$D$8,MATCH(D153,Dim_Machine!$A$2:$A$8,0))),0)</f>
        <v>0.84100518276050196</v>
      </c>
      <c r="Q153" s="4">
        <f t="shared" si="18"/>
        <v>0.98809041151429156</v>
      </c>
      <c r="R153" s="4">
        <f t="shared" si="19"/>
        <v>0.78112980769230766</v>
      </c>
      <c r="S153" s="4">
        <f>T153/0.908</f>
        <v>5.3681167400881051</v>
      </c>
      <c r="T153" s="4">
        <f>M153*INDEX(Dim_Product!$C$2:$C$4,MATCH(F153,Dim_Product!$A$2:$A$4,0))/1000000</f>
        <v>4.87425</v>
      </c>
      <c r="U153" s="19">
        <f t="shared" si="20"/>
        <v>0.90800000000000014</v>
      </c>
    </row>
    <row r="154" spans="1:21" x14ac:dyDescent="0.25">
      <c r="A154" s="18" t="s">
        <v>295</v>
      </c>
      <c r="B154" s="4">
        <v>20260701</v>
      </c>
      <c r="C154" s="4">
        <v>21</v>
      </c>
      <c r="D154" s="4" t="s">
        <v>29</v>
      </c>
      <c r="E154" s="4" t="s">
        <v>20</v>
      </c>
      <c r="F154" s="4" t="s">
        <v>143</v>
      </c>
      <c r="G154" s="4">
        <v>60</v>
      </c>
      <c r="H154" s="4">
        <v>2.5</v>
      </c>
      <c r="I154" s="4">
        <f t="shared" si="14"/>
        <v>57.5</v>
      </c>
      <c r="J154" s="4">
        <f>INDEX(Dim_Machine!$E$2:$E$8,MATCH(D154,Dim_Machine!$A$2:$A$8,0))*INDEX(Dim_Machine!$D$2:$D$8,MATCH(D154,Dim_Machine!$A$2:$A$8,0))*I154</f>
        <v>16560</v>
      </c>
      <c r="K154" s="4">
        <f>ROUND(J154*0.929,0)</f>
        <v>15384</v>
      </c>
      <c r="L154" s="4">
        <f>ROUND(K154*0.0335,0)</f>
        <v>515</v>
      </c>
      <c r="M154" s="4">
        <f t="shared" si="15"/>
        <v>14869</v>
      </c>
      <c r="N154" s="4">
        <f t="shared" si="16"/>
        <v>0.92898550724637685</v>
      </c>
      <c r="O154" s="4">
        <f t="shared" si="17"/>
        <v>0.95833333333333337</v>
      </c>
      <c r="P154" s="4">
        <f>IFERROR((K154/I154)/(INDEX(Dim_Machine!$E$2:$E$8,MATCH(D154,Dim_Machine!$A$2:$A$8,0))*INDEX(Dim_Machine!$D$2:$D$8,MATCH(D154,Dim_Machine!$A$2:$A$8,0))),0)</f>
        <v>0.92898550724637685</v>
      </c>
      <c r="Q154" s="4">
        <f t="shared" si="18"/>
        <v>0.96652366094643782</v>
      </c>
      <c r="R154" s="4">
        <f t="shared" si="19"/>
        <v>0.86047453703703702</v>
      </c>
      <c r="S154" s="4">
        <f>T154/0.904</f>
        <v>3.2896017699115045</v>
      </c>
      <c r="T154" s="4">
        <f>M154*INDEX(Dim_Product!$C$2:$C$4,MATCH(F154,Dim_Product!$A$2:$A$4,0))/1000000</f>
        <v>2.9738000000000002</v>
      </c>
      <c r="U154" s="19">
        <f t="shared" si="20"/>
        <v>0.90400000000000003</v>
      </c>
    </row>
    <row r="155" spans="1:21" x14ac:dyDescent="0.25">
      <c r="A155" s="18" t="s">
        <v>296</v>
      </c>
      <c r="B155" s="4">
        <v>20260701</v>
      </c>
      <c r="C155" s="4">
        <v>21</v>
      </c>
      <c r="D155" s="4" t="s">
        <v>31</v>
      </c>
      <c r="E155" s="4" t="s">
        <v>20</v>
      </c>
      <c r="F155" s="4" t="s">
        <v>141</v>
      </c>
      <c r="G155" s="4">
        <v>60</v>
      </c>
      <c r="H155" s="4">
        <v>1.5</v>
      </c>
      <c r="I155" s="4">
        <f t="shared" si="14"/>
        <v>58.5</v>
      </c>
      <c r="J155" s="4">
        <f>INDEX(Dim_Machine!$E$2:$E$8,MATCH(D155,Dim_Machine!$A$2:$A$8,0))*INDEX(Dim_Machine!$D$2:$D$8,MATCH(D155,Dim_Machine!$A$2:$A$8,0))*I155</f>
        <v>37908</v>
      </c>
      <c r="K155" s="4">
        <f>ROUND(J155*0.928,0)</f>
        <v>35179</v>
      </c>
      <c r="L155" s="4">
        <f>ROUND(K155*0.0133,0)</f>
        <v>468</v>
      </c>
      <c r="M155" s="4">
        <f t="shared" si="15"/>
        <v>34711</v>
      </c>
      <c r="N155" s="4">
        <f t="shared" si="16"/>
        <v>0.92800991875065952</v>
      </c>
      <c r="O155" s="4">
        <f t="shared" si="17"/>
        <v>0.97499999999999998</v>
      </c>
      <c r="P155" s="4">
        <f>IFERROR((K155/I155)/(INDEX(Dim_Machine!$E$2:$E$8,MATCH(D155,Dim_Machine!$A$2:$A$8,0))*INDEX(Dim_Machine!$D$2:$D$8,MATCH(D155,Dim_Machine!$A$2:$A$8,0))),0)</f>
        <v>0.92800991875065952</v>
      </c>
      <c r="Q155" s="4">
        <f t="shared" si="18"/>
        <v>0.98669660877227894</v>
      </c>
      <c r="R155" s="4">
        <f t="shared" si="19"/>
        <v>0.89277263374485594</v>
      </c>
      <c r="S155" s="4">
        <f>T155/0.888</f>
        <v>9.7722409909909906</v>
      </c>
      <c r="T155" s="4">
        <f>M155*INDEX(Dim_Product!$C$2:$C$4,MATCH(F155,Dim_Product!$A$2:$A$4,0))/1000000</f>
        <v>8.6777499999999996</v>
      </c>
      <c r="U155" s="19">
        <f t="shared" si="20"/>
        <v>0.88800000000000001</v>
      </c>
    </row>
    <row r="156" spans="1:21" x14ac:dyDescent="0.25">
      <c r="A156" s="18" t="s">
        <v>297</v>
      </c>
      <c r="B156" s="4">
        <v>20260701</v>
      </c>
      <c r="C156" s="4">
        <v>22</v>
      </c>
      <c r="D156" s="4" t="s">
        <v>15</v>
      </c>
      <c r="E156" s="4" t="s">
        <v>20</v>
      </c>
      <c r="F156" s="4" t="s">
        <v>141</v>
      </c>
      <c r="G156" s="4">
        <v>60</v>
      </c>
      <c r="H156" s="4">
        <v>6.1</v>
      </c>
      <c r="I156" s="4">
        <f t="shared" si="14"/>
        <v>53.9</v>
      </c>
      <c r="J156" s="4">
        <f>INDEX(Dim_Machine!$E$2:$E$8,MATCH(D156,Dim_Machine!$A$2:$A$8,0))*INDEX(Dim_Machine!$D$2:$D$8,MATCH(D156,Dim_Machine!$A$2:$A$8,0))*I156</f>
        <v>21560</v>
      </c>
      <c r="K156" s="4">
        <f>ROUND(J156*0.899,0)</f>
        <v>19382</v>
      </c>
      <c r="L156" s="4">
        <f>ROUND(K156*0.0344,0)</f>
        <v>667</v>
      </c>
      <c r="M156" s="4">
        <f t="shared" si="15"/>
        <v>18715</v>
      </c>
      <c r="N156" s="4">
        <f t="shared" si="16"/>
        <v>0.8989795918367347</v>
      </c>
      <c r="O156" s="4">
        <f t="shared" si="17"/>
        <v>0.89833333333333332</v>
      </c>
      <c r="P156" s="4">
        <f>IFERROR((K156/I156)/(INDEX(Dim_Machine!$E$2:$E$8,MATCH(D156,Dim_Machine!$A$2:$A$8,0))*INDEX(Dim_Machine!$D$2:$D$8,MATCH(D156,Dim_Machine!$A$2:$A$8,0))),0)</f>
        <v>0.89897959183673481</v>
      </c>
      <c r="Q156" s="4">
        <f t="shared" si="18"/>
        <v>0.9655866267671035</v>
      </c>
      <c r="R156" s="4">
        <f t="shared" si="19"/>
        <v>0.77979166666666677</v>
      </c>
      <c r="S156" s="4">
        <f>T156/0.925</f>
        <v>5.0581081081081081</v>
      </c>
      <c r="T156" s="4">
        <f>M156*INDEX(Dim_Product!$C$2:$C$4,MATCH(F156,Dim_Product!$A$2:$A$4,0))/1000000</f>
        <v>4.67875</v>
      </c>
      <c r="U156" s="19">
        <f t="shared" si="20"/>
        <v>0.92500000000000004</v>
      </c>
    </row>
    <row r="157" spans="1:21" x14ac:dyDescent="0.25">
      <c r="A157" s="18" t="s">
        <v>298</v>
      </c>
      <c r="B157" s="4">
        <v>20260701</v>
      </c>
      <c r="C157" s="4">
        <v>22</v>
      </c>
      <c r="D157" s="4" t="s">
        <v>19</v>
      </c>
      <c r="E157" s="4" t="s">
        <v>20</v>
      </c>
      <c r="F157" s="4" t="s">
        <v>143</v>
      </c>
      <c r="G157" s="4">
        <v>60</v>
      </c>
      <c r="H157" s="4">
        <v>2.4</v>
      </c>
      <c r="I157" s="4">
        <f t="shared" si="14"/>
        <v>57.6</v>
      </c>
      <c r="J157" s="4">
        <f>INDEX(Dim_Machine!$E$2:$E$8,MATCH(D157,Dim_Machine!$A$2:$A$8,0))*INDEX(Dim_Machine!$D$2:$D$8,MATCH(D157,Dim_Machine!$A$2:$A$8,0))*I157</f>
        <v>38707.200000000004</v>
      </c>
      <c r="K157" s="4">
        <f>ROUND(J157*0.852,0)</f>
        <v>32979</v>
      </c>
      <c r="L157" s="4">
        <f>ROUND(K157*0.0141,0)</f>
        <v>465</v>
      </c>
      <c r="M157" s="4">
        <f t="shared" si="15"/>
        <v>32514</v>
      </c>
      <c r="N157" s="4">
        <f t="shared" si="16"/>
        <v>0.85201202876984117</v>
      </c>
      <c r="O157" s="4">
        <f t="shared" si="17"/>
        <v>0.96000000000000008</v>
      </c>
      <c r="P157" s="4">
        <f>IFERROR((K157/I157)/(INDEX(Dim_Machine!$E$2:$E$8,MATCH(D157,Dim_Machine!$A$2:$A$8,0))*INDEX(Dim_Machine!$D$2:$D$8,MATCH(D157,Dim_Machine!$A$2:$A$8,0))),0)</f>
        <v>0.85201202876984128</v>
      </c>
      <c r="Q157" s="4">
        <f t="shared" si="18"/>
        <v>0.98590011825707269</v>
      </c>
      <c r="R157" s="4">
        <f t="shared" si="19"/>
        <v>0.8063988095238096</v>
      </c>
      <c r="S157" s="4">
        <f>T157/0.906</f>
        <v>7.177483443708609</v>
      </c>
      <c r="T157" s="4">
        <f>M157*INDEX(Dim_Product!$C$2:$C$4,MATCH(F157,Dim_Product!$A$2:$A$4,0))/1000000</f>
        <v>6.5027999999999997</v>
      </c>
      <c r="U157" s="19">
        <f t="shared" si="20"/>
        <v>0.90600000000000003</v>
      </c>
    </row>
    <row r="158" spans="1:21" x14ac:dyDescent="0.25">
      <c r="A158" s="18" t="s">
        <v>299</v>
      </c>
      <c r="B158" s="4">
        <v>20260701</v>
      </c>
      <c r="C158" s="4">
        <v>22</v>
      </c>
      <c r="D158" s="4" t="s">
        <v>23</v>
      </c>
      <c r="E158" s="4" t="s">
        <v>20</v>
      </c>
      <c r="F158" s="4" t="s">
        <v>141</v>
      </c>
      <c r="G158" s="4">
        <v>60</v>
      </c>
      <c r="H158" s="4">
        <v>1</v>
      </c>
      <c r="I158" s="4">
        <f t="shared" si="14"/>
        <v>59</v>
      </c>
      <c r="J158" s="4">
        <f>INDEX(Dim_Machine!$E$2:$E$8,MATCH(D158,Dim_Machine!$A$2:$A$8,0))*INDEX(Dim_Machine!$D$2:$D$8,MATCH(D158,Dim_Machine!$A$2:$A$8,0))*I158</f>
        <v>15576</v>
      </c>
      <c r="K158" s="4">
        <f>ROUND(J158*0.789,0)</f>
        <v>12289</v>
      </c>
      <c r="L158" s="4">
        <f>ROUND(K158*0.0066,0)</f>
        <v>81</v>
      </c>
      <c r="M158" s="4">
        <f t="shared" si="15"/>
        <v>12208</v>
      </c>
      <c r="N158" s="4">
        <f t="shared" si="16"/>
        <v>0.78897021058038008</v>
      </c>
      <c r="O158" s="4">
        <f t="shared" si="17"/>
        <v>0.98333333333333328</v>
      </c>
      <c r="P158" s="4">
        <f>IFERROR((K158/I158)/(INDEX(Dim_Machine!$E$2:$E$8,MATCH(D158,Dim_Machine!$A$2:$A$8,0))*INDEX(Dim_Machine!$D$2:$D$8,MATCH(D158,Dim_Machine!$A$2:$A$8,0))),0)</f>
        <v>0.78897021058038008</v>
      </c>
      <c r="Q158" s="4">
        <f t="shared" si="18"/>
        <v>0.99340873952315079</v>
      </c>
      <c r="R158" s="4">
        <f t="shared" si="19"/>
        <v>0.77070707070707067</v>
      </c>
      <c r="S158" s="4">
        <f>T158/0.844</f>
        <v>3.6161137440758298</v>
      </c>
      <c r="T158" s="4">
        <f>M158*INDEX(Dim_Product!$C$2:$C$4,MATCH(F158,Dim_Product!$A$2:$A$4,0))/1000000</f>
        <v>3.052</v>
      </c>
      <c r="U158" s="19">
        <f t="shared" si="20"/>
        <v>0.84399999999999997</v>
      </c>
    </row>
    <row r="159" spans="1:21" x14ac:dyDescent="0.25">
      <c r="A159" s="18" t="s">
        <v>300</v>
      </c>
      <c r="B159" s="4">
        <v>20260701</v>
      </c>
      <c r="C159" s="4">
        <v>22</v>
      </c>
      <c r="D159" s="4" t="s">
        <v>25</v>
      </c>
      <c r="E159" s="4" t="s">
        <v>20</v>
      </c>
      <c r="F159" s="4" t="s">
        <v>141</v>
      </c>
      <c r="G159" s="4">
        <v>60</v>
      </c>
      <c r="H159" s="4">
        <v>7.6</v>
      </c>
      <c r="I159" s="4">
        <f t="shared" si="14"/>
        <v>52.4</v>
      </c>
      <c r="J159" s="4">
        <f>INDEX(Dim_Machine!$E$2:$E$8,MATCH(D159,Dim_Machine!$A$2:$A$8,0))*INDEX(Dim_Machine!$D$2:$D$8,MATCH(D159,Dim_Machine!$A$2:$A$8,0))*I159</f>
        <v>37728</v>
      </c>
      <c r="K159" s="4">
        <f>ROUND(J159*0.908,0)</f>
        <v>34257</v>
      </c>
      <c r="L159" s="4">
        <f>ROUND(K159*0.0276,0)</f>
        <v>945</v>
      </c>
      <c r="M159" s="4">
        <f t="shared" si="15"/>
        <v>33312</v>
      </c>
      <c r="N159" s="4">
        <f t="shared" si="16"/>
        <v>0.90799936386768443</v>
      </c>
      <c r="O159" s="4">
        <f t="shared" si="17"/>
        <v>0.87333333333333329</v>
      </c>
      <c r="P159" s="4">
        <f>IFERROR((K159/I159)/(INDEX(Dim_Machine!$E$2:$E$8,MATCH(D159,Dim_Machine!$A$2:$A$8,0))*INDEX(Dim_Machine!$D$2:$D$8,MATCH(D159,Dim_Machine!$A$2:$A$8,0))),0)</f>
        <v>0.90799936386768454</v>
      </c>
      <c r="Q159" s="4">
        <f t="shared" si="18"/>
        <v>0.97241439705753574</v>
      </c>
      <c r="R159" s="4">
        <f t="shared" si="19"/>
        <v>0.77111111111111119</v>
      </c>
      <c r="S159" s="4">
        <f>T159/0.815</f>
        <v>10.21840490797546</v>
      </c>
      <c r="T159" s="4">
        <f>M159*INDEX(Dim_Product!$C$2:$C$4,MATCH(F159,Dim_Product!$A$2:$A$4,0))/1000000</f>
        <v>8.3279999999999994</v>
      </c>
      <c r="U159" s="19">
        <f t="shared" si="20"/>
        <v>0.81499999999999995</v>
      </c>
    </row>
    <row r="160" spans="1:21" x14ac:dyDescent="0.25">
      <c r="A160" s="18" t="s">
        <v>301</v>
      </c>
      <c r="B160" s="4">
        <v>20260701</v>
      </c>
      <c r="C160" s="4">
        <v>22</v>
      </c>
      <c r="D160" s="4" t="s">
        <v>27</v>
      </c>
      <c r="E160" s="4" t="s">
        <v>20</v>
      </c>
      <c r="F160" s="4" t="s">
        <v>141</v>
      </c>
      <c r="G160" s="4">
        <v>60</v>
      </c>
      <c r="H160" s="4">
        <v>0.1</v>
      </c>
      <c r="I160" s="4">
        <f t="shared" si="14"/>
        <v>59.9</v>
      </c>
      <c r="J160" s="4">
        <f>INDEX(Dim_Machine!$E$2:$E$8,MATCH(D160,Dim_Machine!$A$2:$A$8,0))*INDEX(Dim_Machine!$D$2:$D$8,MATCH(D160,Dim_Machine!$A$2:$A$8,0))*I160</f>
        <v>24918.399999999998</v>
      </c>
      <c r="K160" s="4">
        <f>ROUND(J160*0.837,0)</f>
        <v>20857</v>
      </c>
      <c r="L160" s="4">
        <f>ROUND(K160*0.0194,0)</f>
        <v>405</v>
      </c>
      <c r="M160" s="4">
        <f t="shared" si="15"/>
        <v>20452</v>
      </c>
      <c r="N160" s="4">
        <f t="shared" si="16"/>
        <v>0.83701200719147306</v>
      </c>
      <c r="O160" s="4">
        <f t="shared" si="17"/>
        <v>0.99833333333333329</v>
      </c>
      <c r="P160" s="4">
        <f>IFERROR((K160/I160)/(INDEX(Dim_Machine!$E$2:$E$8,MATCH(D160,Dim_Machine!$A$2:$A$8,0))*INDEX(Dim_Machine!$D$2:$D$8,MATCH(D160,Dim_Machine!$A$2:$A$8,0))),0)</f>
        <v>0.83701200719147306</v>
      </c>
      <c r="Q160" s="4">
        <f t="shared" si="18"/>
        <v>0.98058205878122451</v>
      </c>
      <c r="R160" s="4">
        <f t="shared" si="19"/>
        <v>0.81939102564102573</v>
      </c>
      <c r="S160" s="4">
        <f>T160/0.851</f>
        <v>6.00822561692127</v>
      </c>
      <c r="T160" s="4">
        <f>M160*INDEX(Dim_Product!$C$2:$C$4,MATCH(F160,Dim_Product!$A$2:$A$4,0))/1000000</f>
        <v>5.1130000000000004</v>
      </c>
      <c r="U160" s="19">
        <f t="shared" si="20"/>
        <v>0.85099999999999998</v>
      </c>
    </row>
    <row r="161" spans="1:21" x14ac:dyDescent="0.25">
      <c r="A161" s="18" t="s">
        <v>302</v>
      </c>
      <c r="B161" s="4">
        <v>20260701</v>
      </c>
      <c r="C161" s="4">
        <v>22</v>
      </c>
      <c r="D161" s="4" t="s">
        <v>29</v>
      </c>
      <c r="E161" s="4" t="s">
        <v>20</v>
      </c>
      <c r="F161" s="4" t="s">
        <v>143</v>
      </c>
      <c r="G161" s="4">
        <v>60</v>
      </c>
      <c r="H161" s="4">
        <v>7.7</v>
      </c>
      <c r="I161" s="4">
        <f t="shared" si="14"/>
        <v>52.3</v>
      </c>
      <c r="J161" s="4">
        <f>INDEX(Dim_Machine!$E$2:$E$8,MATCH(D161,Dim_Machine!$A$2:$A$8,0))*INDEX(Dim_Machine!$D$2:$D$8,MATCH(D161,Dim_Machine!$A$2:$A$8,0))*I161</f>
        <v>15062.4</v>
      </c>
      <c r="K161" s="4">
        <f>ROUND(J161*0.83,0)</f>
        <v>12502</v>
      </c>
      <c r="L161" s="4">
        <f>ROUND(K161*0.0309,0)</f>
        <v>386</v>
      </c>
      <c r="M161" s="4">
        <f t="shared" si="15"/>
        <v>12116</v>
      </c>
      <c r="N161" s="4">
        <f t="shared" si="16"/>
        <v>0.83001380922031021</v>
      </c>
      <c r="O161" s="4">
        <f t="shared" si="17"/>
        <v>0.87166666666666659</v>
      </c>
      <c r="P161" s="4">
        <f>IFERROR((K161/I161)/(INDEX(Dim_Machine!$E$2:$E$8,MATCH(D161,Dim_Machine!$A$2:$A$8,0))*INDEX(Dim_Machine!$D$2:$D$8,MATCH(D161,Dim_Machine!$A$2:$A$8,0))),0)</f>
        <v>0.83001380922031021</v>
      </c>
      <c r="Q161" s="4">
        <f t="shared" si="18"/>
        <v>0.96912494000959848</v>
      </c>
      <c r="R161" s="4">
        <f t="shared" si="19"/>
        <v>0.7011574074074074</v>
      </c>
      <c r="S161" s="4">
        <f>T161/0.817</f>
        <v>2.9659730722154225</v>
      </c>
      <c r="T161" s="4">
        <f>M161*INDEX(Dim_Product!$C$2:$C$4,MATCH(F161,Dim_Product!$A$2:$A$4,0))/1000000</f>
        <v>2.4232</v>
      </c>
      <c r="U161" s="19">
        <f t="shared" si="20"/>
        <v>0.81699999999999995</v>
      </c>
    </row>
    <row r="162" spans="1:21" x14ac:dyDescent="0.25">
      <c r="A162" s="18" t="s">
        <v>303</v>
      </c>
      <c r="B162" s="4">
        <v>20260701</v>
      </c>
      <c r="C162" s="4">
        <v>22</v>
      </c>
      <c r="D162" s="4" t="s">
        <v>31</v>
      </c>
      <c r="E162" s="4" t="s">
        <v>20</v>
      </c>
      <c r="F162" s="4" t="s">
        <v>141</v>
      </c>
      <c r="G162" s="4">
        <v>60</v>
      </c>
      <c r="H162" s="4">
        <v>0.5</v>
      </c>
      <c r="I162" s="4">
        <f t="shared" si="14"/>
        <v>59.5</v>
      </c>
      <c r="J162" s="4">
        <f>INDEX(Dim_Machine!$E$2:$E$8,MATCH(D162,Dim_Machine!$A$2:$A$8,0))*INDEX(Dim_Machine!$D$2:$D$8,MATCH(D162,Dim_Machine!$A$2:$A$8,0))*I162</f>
        <v>38556</v>
      </c>
      <c r="K162" s="4">
        <f>ROUND(J162*0.878,0)</f>
        <v>33852</v>
      </c>
      <c r="L162" s="4">
        <f>ROUND(K162*0.0223,0)</f>
        <v>755</v>
      </c>
      <c r="M162" s="4">
        <f t="shared" si="15"/>
        <v>33097</v>
      </c>
      <c r="N162" s="4">
        <f t="shared" si="16"/>
        <v>0.87799564270152508</v>
      </c>
      <c r="O162" s="4">
        <f t="shared" si="17"/>
        <v>0.9916666666666667</v>
      </c>
      <c r="P162" s="4">
        <f>IFERROR((K162/I162)/(INDEX(Dim_Machine!$E$2:$E$8,MATCH(D162,Dim_Machine!$A$2:$A$8,0))*INDEX(Dim_Machine!$D$2:$D$8,MATCH(D162,Dim_Machine!$A$2:$A$8,0))),0)</f>
        <v>0.87799564270152519</v>
      </c>
      <c r="Q162" s="4">
        <f t="shared" si="18"/>
        <v>0.97769703414864706</v>
      </c>
      <c r="R162" s="4">
        <f t="shared" si="19"/>
        <v>0.85126028806584375</v>
      </c>
      <c r="S162" s="4">
        <f>T162/0.903</f>
        <v>9.1630675526024365</v>
      </c>
      <c r="T162" s="4">
        <f>M162*INDEX(Dim_Product!$C$2:$C$4,MATCH(F162,Dim_Product!$A$2:$A$4,0))/1000000</f>
        <v>8.2742500000000003</v>
      </c>
      <c r="U162" s="19">
        <f t="shared" si="20"/>
        <v>0.90300000000000002</v>
      </c>
    </row>
    <row r="163" spans="1:21" x14ac:dyDescent="0.25">
      <c r="A163" s="18" t="s">
        <v>304</v>
      </c>
      <c r="B163" s="4">
        <v>20260701</v>
      </c>
      <c r="C163" s="4">
        <v>23</v>
      </c>
      <c r="D163" s="4" t="s">
        <v>15</v>
      </c>
      <c r="E163" s="4" t="s">
        <v>20</v>
      </c>
      <c r="F163" s="4" t="s">
        <v>141</v>
      </c>
      <c r="G163" s="4">
        <v>60</v>
      </c>
      <c r="H163" s="4">
        <v>1.2</v>
      </c>
      <c r="I163" s="4">
        <f t="shared" si="14"/>
        <v>58.8</v>
      </c>
      <c r="J163" s="4">
        <f>INDEX(Dim_Machine!$E$2:$E$8,MATCH(D163,Dim_Machine!$A$2:$A$8,0))*INDEX(Dim_Machine!$D$2:$D$8,MATCH(D163,Dim_Machine!$A$2:$A$8,0))*I163</f>
        <v>23520</v>
      </c>
      <c r="K163" s="4">
        <f>ROUND(J163*0.942,0)</f>
        <v>22156</v>
      </c>
      <c r="L163" s="4">
        <f>ROUND(K163*0.0335,0)</f>
        <v>742</v>
      </c>
      <c r="M163" s="4">
        <f t="shared" si="15"/>
        <v>21414</v>
      </c>
      <c r="N163" s="4">
        <f t="shared" si="16"/>
        <v>0.94200680272108839</v>
      </c>
      <c r="O163" s="4">
        <f t="shared" si="17"/>
        <v>0.98</v>
      </c>
      <c r="P163" s="4">
        <f>IFERROR((K163/I163)/(INDEX(Dim_Machine!$E$2:$E$8,MATCH(D163,Dim_Machine!$A$2:$A$8,0))*INDEX(Dim_Machine!$D$2:$D$8,MATCH(D163,Dim_Machine!$A$2:$A$8,0))),0)</f>
        <v>0.9420068027210885</v>
      </c>
      <c r="Q163" s="4">
        <f t="shared" si="18"/>
        <v>0.96651020039718361</v>
      </c>
      <c r="R163" s="4">
        <f t="shared" si="19"/>
        <v>0.89224999999999999</v>
      </c>
      <c r="S163" s="4">
        <f>T163/0.813</f>
        <v>6.5848708487084879</v>
      </c>
      <c r="T163" s="4">
        <f>M163*INDEX(Dim_Product!$C$2:$C$4,MATCH(F163,Dim_Product!$A$2:$A$4,0))/1000000</f>
        <v>5.3535000000000004</v>
      </c>
      <c r="U163" s="19">
        <f t="shared" si="20"/>
        <v>0.81299999999999994</v>
      </c>
    </row>
    <row r="164" spans="1:21" x14ac:dyDescent="0.25">
      <c r="A164" s="18" t="s">
        <v>305</v>
      </c>
      <c r="B164" s="4">
        <v>20260701</v>
      </c>
      <c r="C164" s="4">
        <v>23</v>
      </c>
      <c r="D164" s="4" t="s">
        <v>19</v>
      </c>
      <c r="E164" s="4" t="s">
        <v>20</v>
      </c>
      <c r="F164" s="4" t="s">
        <v>143</v>
      </c>
      <c r="G164" s="4">
        <v>60</v>
      </c>
      <c r="H164" s="4">
        <v>2</v>
      </c>
      <c r="I164" s="4">
        <f t="shared" si="14"/>
        <v>58</v>
      </c>
      <c r="J164" s="4">
        <f>INDEX(Dim_Machine!$E$2:$E$8,MATCH(D164,Dim_Machine!$A$2:$A$8,0))*INDEX(Dim_Machine!$D$2:$D$8,MATCH(D164,Dim_Machine!$A$2:$A$8,0))*I164</f>
        <v>38976</v>
      </c>
      <c r="K164" s="4">
        <f>ROUND(J164*0.892,0)</f>
        <v>34767</v>
      </c>
      <c r="L164" s="4">
        <f>ROUND(K164*0.0175,0)</f>
        <v>608</v>
      </c>
      <c r="M164" s="4">
        <f t="shared" si="15"/>
        <v>34159</v>
      </c>
      <c r="N164" s="4">
        <f t="shared" si="16"/>
        <v>0.8920104679802956</v>
      </c>
      <c r="O164" s="4">
        <f t="shared" si="17"/>
        <v>0.96666666666666667</v>
      </c>
      <c r="P164" s="4">
        <f>IFERROR((K164/I164)/(INDEX(Dim_Machine!$E$2:$E$8,MATCH(D164,Dim_Machine!$A$2:$A$8,0))*INDEX(Dim_Machine!$D$2:$D$8,MATCH(D164,Dim_Machine!$A$2:$A$8,0))),0)</f>
        <v>0.8920104679802956</v>
      </c>
      <c r="Q164" s="4">
        <f t="shared" si="18"/>
        <v>0.98251215232835731</v>
      </c>
      <c r="R164" s="4">
        <f t="shared" si="19"/>
        <v>0.84719742063492065</v>
      </c>
      <c r="S164" s="4">
        <f>T164/0.889</f>
        <v>7.684814398200225</v>
      </c>
      <c r="T164" s="4">
        <f>M164*INDEX(Dim_Product!$C$2:$C$4,MATCH(F164,Dim_Product!$A$2:$A$4,0))/1000000</f>
        <v>6.8318000000000003</v>
      </c>
      <c r="U164" s="19">
        <f t="shared" si="20"/>
        <v>0.88900000000000001</v>
      </c>
    </row>
    <row r="165" spans="1:21" x14ac:dyDescent="0.25">
      <c r="A165" s="18" t="s">
        <v>306</v>
      </c>
      <c r="B165" s="4">
        <v>20260701</v>
      </c>
      <c r="C165" s="4">
        <v>23</v>
      </c>
      <c r="D165" s="4" t="s">
        <v>23</v>
      </c>
      <c r="E165" s="4" t="s">
        <v>20</v>
      </c>
      <c r="F165" s="4" t="s">
        <v>141</v>
      </c>
      <c r="G165" s="4">
        <v>60</v>
      </c>
      <c r="H165" s="4">
        <v>4.9000000000000004</v>
      </c>
      <c r="I165" s="4">
        <f t="shared" si="14"/>
        <v>55.1</v>
      </c>
      <c r="J165" s="4">
        <f>INDEX(Dim_Machine!$E$2:$E$8,MATCH(D165,Dim_Machine!$A$2:$A$8,0))*INDEX(Dim_Machine!$D$2:$D$8,MATCH(D165,Dim_Machine!$A$2:$A$8,0))*I165</f>
        <v>14546.4</v>
      </c>
      <c r="K165" s="4">
        <f>ROUND(J165*0.935,0)</f>
        <v>13601</v>
      </c>
      <c r="L165" s="4">
        <f>ROUND(K165*0.0164,0)</f>
        <v>223</v>
      </c>
      <c r="M165" s="4">
        <f t="shared" si="15"/>
        <v>13378</v>
      </c>
      <c r="N165" s="4">
        <f t="shared" si="16"/>
        <v>0.93500797448165873</v>
      </c>
      <c r="O165" s="4">
        <f t="shared" si="17"/>
        <v>0.91833333333333333</v>
      </c>
      <c r="P165" s="4">
        <f>IFERROR((K165/I165)/(INDEX(Dim_Machine!$E$2:$E$8,MATCH(D165,Dim_Machine!$A$2:$A$8,0))*INDEX(Dim_Machine!$D$2:$D$8,MATCH(D165,Dim_Machine!$A$2:$A$8,0))),0)</f>
        <v>0.93500797448165862</v>
      </c>
      <c r="Q165" s="4">
        <f t="shared" si="18"/>
        <v>0.98360414675391517</v>
      </c>
      <c r="R165" s="4">
        <f t="shared" si="19"/>
        <v>0.84457070707070703</v>
      </c>
      <c r="S165" s="4">
        <f>T165/0.936</f>
        <v>3.5731837606837606</v>
      </c>
      <c r="T165" s="4">
        <f>M165*INDEX(Dim_Product!$C$2:$C$4,MATCH(F165,Dim_Product!$A$2:$A$4,0))/1000000</f>
        <v>3.3445</v>
      </c>
      <c r="U165" s="19">
        <f t="shared" si="20"/>
        <v>0.93600000000000005</v>
      </c>
    </row>
    <row r="166" spans="1:21" x14ac:dyDescent="0.25">
      <c r="A166" s="18" t="s">
        <v>307</v>
      </c>
      <c r="B166" s="4">
        <v>20260701</v>
      </c>
      <c r="C166" s="4">
        <v>23</v>
      </c>
      <c r="D166" s="4" t="s">
        <v>25</v>
      </c>
      <c r="E166" s="4" t="s">
        <v>20</v>
      </c>
      <c r="F166" s="4" t="s">
        <v>141</v>
      </c>
      <c r="G166" s="4">
        <v>60</v>
      </c>
      <c r="H166" s="4">
        <v>2.4</v>
      </c>
      <c r="I166" s="4">
        <f t="shared" si="14"/>
        <v>57.6</v>
      </c>
      <c r="J166" s="4">
        <f>INDEX(Dim_Machine!$E$2:$E$8,MATCH(D166,Dim_Machine!$A$2:$A$8,0))*INDEX(Dim_Machine!$D$2:$D$8,MATCH(D166,Dim_Machine!$A$2:$A$8,0))*I166</f>
        <v>41472</v>
      </c>
      <c r="K166" s="4">
        <f>ROUND(J166*0.898,0)</f>
        <v>37242</v>
      </c>
      <c r="L166" s="4">
        <f>ROUND(K166*0.0179,0)</f>
        <v>667</v>
      </c>
      <c r="M166" s="4">
        <f t="shared" si="15"/>
        <v>36575</v>
      </c>
      <c r="N166" s="4">
        <f t="shared" si="16"/>
        <v>0.89800347222222221</v>
      </c>
      <c r="O166" s="4">
        <f t="shared" si="17"/>
        <v>0.96000000000000008</v>
      </c>
      <c r="P166" s="4">
        <f>IFERROR((K166/I166)/(INDEX(Dim_Machine!$E$2:$E$8,MATCH(D166,Dim_Machine!$A$2:$A$8,0))*INDEX(Dim_Machine!$D$2:$D$8,MATCH(D166,Dim_Machine!$A$2:$A$8,0))),0)</f>
        <v>0.89800347222222221</v>
      </c>
      <c r="Q166" s="4">
        <f t="shared" si="18"/>
        <v>0.98209011331292628</v>
      </c>
      <c r="R166" s="4">
        <f t="shared" si="19"/>
        <v>0.8466435185185186</v>
      </c>
      <c r="S166" s="4">
        <f>T166/0.885</f>
        <v>10.331920903954803</v>
      </c>
      <c r="T166" s="4">
        <f>M166*INDEX(Dim_Product!$C$2:$C$4,MATCH(F166,Dim_Product!$A$2:$A$4,0))/1000000</f>
        <v>9.1437500000000007</v>
      </c>
      <c r="U166" s="19">
        <f t="shared" si="20"/>
        <v>0.88500000000000001</v>
      </c>
    </row>
    <row r="167" spans="1:21" x14ac:dyDescent="0.25">
      <c r="A167" s="18" t="s">
        <v>308</v>
      </c>
      <c r="B167" s="4">
        <v>20260701</v>
      </c>
      <c r="C167" s="4">
        <v>23</v>
      </c>
      <c r="D167" s="4" t="s">
        <v>27</v>
      </c>
      <c r="E167" s="4" t="s">
        <v>20</v>
      </c>
      <c r="F167" s="4" t="s">
        <v>141</v>
      </c>
      <c r="G167" s="4">
        <v>60</v>
      </c>
      <c r="H167" s="4">
        <v>0.5</v>
      </c>
      <c r="I167" s="4">
        <f t="shared" si="14"/>
        <v>59.5</v>
      </c>
      <c r="J167" s="4">
        <f>INDEX(Dim_Machine!$E$2:$E$8,MATCH(D167,Dim_Machine!$A$2:$A$8,0))*INDEX(Dim_Machine!$D$2:$D$8,MATCH(D167,Dim_Machine!$A$2:$A$8,0))*I167</f>
        <v>24752</v>
      </c>
      <c r="K167" s="4">
        <f>ROUND(J167*0.972,0)</f>
        <v>24059</v>
      </c>
      <c r="L167" s="4">
        <f>ROUND(K167*0.008,0)</f>
        <v>192</v>
      </c>
      <c r="M167" s="4">
        <f t="shared" si="15"/>
        <v>23867</v>
      </c>
      <c r="N167" s="4">
        <f t="shared" si="16"/>
        <v>0.9720022624434389</v>
      </c>
      <c r="O167" s="4">
        <f t="shared" si="17"/>
        <v>0.9916666666666667</v>
      </c>
      <c r="P167" s="4">
        <f>IFERROR((K167/I167)/(INDEX(Dim_Machine!$E$2:$E$8,MATCH(D167,Dim_Machine!$A$2:$A$8,0))*INDEX(Dim_Machine!$D$2:$D$8,MATCH(D167,Dim_Machine!$A$2:$A$8,0))),0)</f>
        <v>0.97200226244343901</v>
      </c>
      <c r="Q167" s="4">
        <f t="shared" si="18"/>
        <v>0.99201961843800657</v>
      </c>
      <c r="R167" s="4">
        <f t="shared" si="19"/>
        <v>0.95620993589743608</v>
      </c>
      <c r="S167" s="4">
        <f>T167/0.914</f>
        <v>6.5281728665207881</v>
      </c>
      <c r="T167" s="4">
        <f>M167*INDEX(Dim_Product!$C$2:$C$4,MATCH(F167,Dim_Product!$A$2:$A$4,0))/1000000</f>
        <v>5.9667500000000002</v>
      </c>
      <c r="U167" s="19">
        <f t="shared" si="20"/>
        <v>0.91400000000000003</v>
      </c>
    </row>
    <row r="168" spans="1:21" x14ac:dyDescent="0.25">
      <c r="A168" s="18" t="s">
        <v>309</v>
      </c>
      <c r="B168" s="4">
        <v>20260701</v>
      </c>
      <c r="C168" s="4">
        <v>23</v>
      </c>
      <c r="D168" s="4" t="s">
        <v>29</v>
      </c>
      <c r="E168" s="4" t="s">
        <v>20</v>
      </c>
      <c r="F168" s="4" t="s">
        <v>143</v>
      </c>
      <c r="G168" s="4">
        <v>60</v>
      </c>
      <c r="H168" s="4">
        <v>5</v>
      </c>
      <c r="I168" s="4">
        <f t="shared" si="14"/>
        <v>55</v>
      </c>
      <c r="J168" s="4">
        <f>INDEX(Dim_Machine!$E$2:$E$8,MATCH(D168,Dim_Machine!$A$2:$A$8,0))*INDEX(Dim_Machine!$D$2:$D$8,MATCH(D168,Dim_Machine!$A$2:$A$8,0))*I168</f>
        <v>15840</v>
      </c>
      <c r="K168" s="4">
        <f>ROUND(J168*0.833,0)</f>
        <v>13195</v>
      </c>
      <c r="L168" s="4">
        <f>ROUND(K168*0.0074,0)</f>
        <v>98</v>
      </c>
      <c r="M168" s="4">
        <f t="shared" si="15"/>
        <v>13097</v>
      </c>
      <c r="N168" s="4">
        <f t="shared" si="16"/>
        <v>0.8330176767676768</v>
      </c>
      <c r="O168" s="4">
        <f t="shared" si="17"/>
        <v>0.91666666666666663</v>
      </c>
      <c r="P168" s="4">
        <f>IFERROR((K168/I168)/(INDEX(Dim_Machine!$E$2:$E$8,MATCH(D168,Dim_Machine!$A$2:$A$8,0))*INDEX(Dim_Machine!$D$2:$D$8,MATCH(D168,Dim_Machine!$A$2:$A$8,0))),0)</f>
        <v>0.8330176767676768</v>
      </c>
      <c r="Q168" s="4">
        <f t="shared" si="18"/>
        <v>0.9925729442970822</v>
      </c>
      <c r="R168" s="4">
        <f t="shared" si="19"/>
        <v>0.75792824074074061</v>
      </c>
      <c r="S168" s="4">
        <f>T168/0.836</f>
        <v>3.1332535885167467</v>
      </c>
      <c r="T168" s="4">
        <f>M168*INDEX(Dim_Product!$C$2:$C$4,MATCH(F168,Dim_Product!$A$2:$A$4,0))/1000000</f>
        <v>2.6194000000000002</v>
      </c>
      <c r="U168" s="19">
        <f t="shared" si="20"/>
        <v>0.83599999999999997</v>
      </c>
    </row>
    <row r="169" spans="1:21" x14ac:dyDescent="0.25">
      <c r="A169" s="18" t="s">
        <v>310</v>
      </c>
      <c r="B169" s="4">
        <v>20260701</v>
      </c>
      <c r="C169" s="4">
        <v>23</v>
      </c>
      <c r="D169" s="4" t="s">
        <v>31</v>
      </c>
      <c r="E169" s="4" t="s">
        <v>20</v>
      </c>
      <c r="F169" s="4" t="s">
        <v>141</v>
      </c>
      <c r="G169" s="4">
        <v>60</v>
      </c>
      <c r="H169" s="4">
        <v>4.4000000000000004</v>
      </c>
      <c r="I169" s="4">
        <f t="shared" si="14"/>
        <v>55.6</v>
      </c>
      <c r="J169" s="4">
        <f>INDEX(Dim_Machine!$E$2:$E$8,MATCH(D169,Dim_Machine!$A$2:$A$8,0))*INDEX(Dim_Machine!$D$2:$D$8,MATCH(D169,Dim_Machine!$A$2:$A$8,0))*I169</f>
        <v>36028.800000000003</v>
      </c>
      <c r="K169" s="4">
        <f>ROUND(J169*0.811,0)</f>
        <v>29219</v>
      </c>
      <c r="L169" s="4">
        <f>ROUND(K169*0.0173,0)</f>
        <v>505</v>
      </c>
      <c r="M169" s="4">
        <f t="shared" si="15"/>
        <v>28714</v>
      </c>
      <c r="N169" s="4">
        <f t="shared" si="16"/>
        <v>0.81099009681143963</v>
      </c>
      <c r="O169" s="4">
        <f t="shared" si="17"/>
        <v>0.92666666666666664</v>
      </c>
      <c r="P169" s="4">
        <f>IFERROR((K169/I169)/(INDEX(Dim_Machine!$E$2:$E$8,MATCH(D169,Dim_Machine!$A$2:$A$8,0))*INDEX(Dim_Machine!$D$2:$D$8,MATCH(D169,Dim_Machine!$A$2:$A$8,0))),0)</f>
        <v>0.81099009681143974</v>
      </c>
      <c r="Q169" s="4">
        <f t="shared" si="18"/>
        <v>0.98271672541839217</v>
      </c>
      <c r="R169" s="4">
        <f t="shared" si="19"/>
        <v>0.73852880658436215</v>
      </c>
      <c r="S169" s="4">
        <f>T169/0.903</f>
        <v>7.9496124031007742</v>
      </c>
      <c r="T169" s="4">
        <f>M169*INDEX(Dim_Product!$C$2:$C$4,MATCH(F169,Dim_Product!$A$2:$A$4,0))/1000000</f>
        <v>7.1784999999999997</v>
      </c>
      <c r="U169" s="19">
        <f t="shared" si="20"/>
        <v>0.90300000000000002</v>
      </c>
    </row>
    <row r="170" spans="1:21" x14ac:dyDescent="0.25">
      <c r="A170" s="18" t="s">
        <v>311</v>
      </c>
      <c r="B170" s="4">
        <v>20260702</v>
      </c>
      <c r="C170" s="4">
        <v>0</v>
      </c>
      <c r="D170" s="4" t="s">
        <v>15</v>
      </c>
      <c r="E170" s="4" t="s">
        <v>20</v>
      </c>
      <c r="F170" s="4" t="s">
        <v>187</v>
      </c>
      <c r="G170" s="4">
        <v>60</v>
      </c>
      <c r="H170" s="4">
        <v>3.8</v>
      </c>
      <c r="I170" s="4">
        <f t="shared" si="14"/>
        <v>56.2</v>
      </c>
      <c r="J170" s="4">
        <f>INDEX(Dim_Machine!$E$2:$E$8,MATCH(D170,Dim_Machine!$A$2:$A$8,0))*INDEX(Dim_Machine!$D$2:$D$8,MATCH(D170,Dim_Machine!$A$2:$A$8,0))*I170</f>
        <v>22480</v>
      </c>
      <c r="K170" s="4">
        <f>ROUND(J170*0.787,0)</f>
        <v>17692</v>
      </c>
      <c r="L170" s="4">
        <f>ROUND(K170*0.0136,0)</f>
        <v>241</v>
      </c>
      <c r="M170" s="4">
        <f t="shared" si="15"/>
        <v>17451</v>
      </c>
      <c r="N170" s="4">
        <f t="shared" si="16"/>
        <v>0.7870106761565836</v>
      </c>
      <c r="O170" s="4">
        <f t="shared" si="17"/>
        <v>0.93666666666666676</v>
      </c>
      <c r="P170" s="4">
        <f>IFERROR((K170/I170)/(INDEX(Dim_Machine!$E$2:$E$8,MATCH(D170,Dim_Machine!$A$2:$A$8,0))*INDEX(Dim_Machine!$D$2:$D$8,MATCH(D170,Dim_Machine!$A$2:$A$8,0))),0)</f>
        <v>0.7870106761565836</v>
      </c>
      <c r="Q170" s="4">
        <f t="shared" si="18"/>
        <v>0.98637802396563423</v>
      </c>
      <c r="R170" s="4">
        <f t="shared" si="19"/>
        <v>0.72712500000000013</v>
      </c>
      <c r="S170" s="4">
        <f>T170/0.842</f>
        <v>6.2176959619952488</v>
      </c>
      <c r="T170" s="4">
        <f>M170*INDEX(Dim_Product!$C$2:$C$4,MATCH(F170,Dim_Product!$A$2:$A$4,0))/1000000</f>
        <v>5.2352999999999996</v>
      </c>
      <c r="U170" s="19">
        <f t="shared" si="20"/>
        <v>0.84199999999999997</v>
      </c>
    </row>
    <row r="171" spans="1:21" x14ac:dyDescent="0.25">
      <c r="A171" s="18" t="s">
        <v>312</v>
      </c>
      <c r="B171" s="4">
        <v>20260702</v>
      </c>
      <c r="C171" s="4">
        <v>0</v>
      </c>
      <c r="D171" s="4" t="s">
        <v>19</v>
      </c>
      <c r="E171" s="4" t="s">
        <v>20</v>
      </c>
      <c r="F171" s="4" t="s">
        <v>141</v>
      </c>
      <c r="G171" s="4">
        <v>60</v>
      </c>
      <c r="H171" s="4">
        <v>6.9</v>
      </c>
      <c r="I171" s="4">
        <f t="shared" si="14"/>
        <v>53.1</v>
      </c>
      <c r="J171" s="4">
        <f>INDEX(Dim_Machine!$E$2:$E$8,MATCH(D171,Dim_Machine!$A$2:$A$8,0))*INDEX(Dim_Machine!$D$2:$D$8,MATCH(D171,Dim_Machine!$A$2:$A$8,0))*I171</f>
        <v>35683.200000000004</v>
      </c>
      <c r="K171" s="4">
        <f>ROUND(J171*0.794,0)</f>
        <v>28332</v>
      </c>
      <c r="L171" s="4">
        <f>ROUND(K171*0.012,0)</f>
        <v>340</v>
      </c>
      <c r="M171" s="4">
        <f t="shared" si="15"/>
        <v>27992</v>
      </c>
      <c r="N171" s="4">
        <f t="shared" si="16"/>
        <v>0.79398708635996762</v>
      </c>
      <c r="O171" s="4">
        <f t="shared" si="17"/>
        <v>0.88500000000000001</v>
      </c>
      <c r="P171" s="4">
        <f>IFERROR((K171/I171)/(INDEX(Dim_Machine!$E$2:$E$8,MATCH(D171,Dim_Machine!$A$2:$A$8,0))*INDEX(Dim_Machine!$D$2:$D$8,MATCH(D171,Dim_Machine!$A$2:$A$8,0))),0)</f>
        <v>0.79398708635996773</v>
      </c>
      <c r="Q171" s="4">
        <f t="shared" si="18"/>
        <v>0.98799943526754197</v>
      </c>
      <c r="R171" s="4">
        <f t="shared" si="19"/>
        <v>0.69424603174603183</v>
      </c>
      <c r="S171" s="4">
        <f>T171/0.84</f>
        <v>8.3309523809523807</v>
      </c>
      <c r="T171" s="4">
        <f>M171*INDEX(Dim_Product!$C$2:$C$4,MATCH(F171,Dim_Product!$A$2:$A$4,0))/1000000</f>
        <v>6.9980000000000002</v>
      </c>
      <c r="U171" s="19">
        <f t="shared" si="20"/>
        <v>0.84000000000000008</v>
      </c>
    </row>
    <row r="172" spans="1:21" x14ac:dyDescent="0.25">
      <c r="A172" s="18" t="s">
        <v>313</v>
      </c>
      <c r="B172" s="4">
        <v>20260702</v>
      </c>
      <c r="C172" s="4">
        <v>0</v>
      </c>
      <c r="D172" s="4" t="s">
        <v>23</v>
      </c>
      <c r="E172" s="4" t="s">
        <v>20</v>
      </c>
      <c r="F172" s="4" t="s">
        <v>141</v>
      </c>
      <c r="G172" s="4">
        <v>60</v>
      </c>
      <c r="H172" s="4">
        <v>6.3</v>
      </c>
      <c r="I172" s="4">
        <f t="shared" si="14"/>
        <v>53.7</v>
      </c>
      <c r="J172" s="4">
        <f>INDEX(Dim_Machine!$E$2:$E$8,MATCH(D172,Dim_Machine!$A$2:$A$8,0))*INDEX(Dim_Machine!$D$2:$D$8,MATCH(D172,Dim_Machine!$A$2:$A$8,0))*I172</f>
        <v>14176.800000000001</v>
      </c>
      <c r="K172" s="4">
        <f>ROUND(J172*0.898,0)</f>
        <v>12731</v>
      </c>
      <c r="L172" s="4">
        <f>ROUND(K172*0.0291,0)</f>
        <v>370</v>
      </c>
      <c r="M172" s="4">
        <f t="shared" si="15"/>
        <v>12361</v>
      </c>
      <c r="N172" s="4">
        <f t="shared" si="16"/>
        <v>0.89801647762541614</v>
      </c>
      <c r="O172" s="4">
        <f t="shared" si="17"/>
        <v>0.89500000000000002</v>
      </c>
      <c r="P172" s="4">
        <f>IFERROR((K172/I172)/(INDEX(Dim_Machine!$E$2:$E$8,MATCH(D172,Dim_Machine!$A$2:$A$8,0))*INDEX(Dim_Machine!$D$2:$D$8,MATCH(D172,Dim_Machine!$A$2:$A$8,0))),0)</f>
        <v>0.89801647762541614</v>
      </c>
      <c r="Q172" s="4">
        <f t="shared" si="18"/>
        <v>0.97093708271149159</v>
      </c>
      <c r="R172" s="4">
        <f t="shared" si="19"/>
        <v>0.78036616161616157</v>
      </c>
      <c r="S172" s="4">
        <f>T172/0.83</f>
        <v>3.7231927710843378</v>
      </c>
      <c r="T172" s="4">
        <f>M172*INDEX(Dim_Product!$C$2:$C$4,MATCH(F172,Dim_Product!$A$2:$A$4,0))/1000000</f>
        <v>3.0902500000000002</v>
      </c>
      <c r="U172" s="19">
        <f t="shared" si="20"/>
        <v>0.83</v>
      </c>
    </row>
    <row r="173" spans="1:21" x14ac:dyDescent="0.25">
      <c r="A173" s="18" t="s">
        <v>314</v>
      </c>
      <c r="B173" s="4">
        <v>20260702</v>
      </c>
      <c r="C173" s="4">
        <v>0</v>
      </c>
      <c r="D173" s="4" t="s">
        <v>25</v>
      </c>
      <c r="E173" s="4" t="s">
        <v>20</v>
      </c>
      <c r="F173" s="4" t="s">
        <v>143</v>
      </c>
      <c r="G173" s="4">
        <v>60</v>
      </c>
      <c r="H173" s="4">
        <v>0.9</v>
      </c>
      <c r="I173" s="4">
        <f t="shared" si="14"/>
        <v>59.1</v>
      </c>
      <c r="J173" s="4">
        <f>INDEX(Dim_Machine!$E$2:$E$8,MATCH(D173,Dim_Machine!$A$2:$A$8,0))*INDEX(Dim_Machine!$D$2:$D$8,MATCH(D173,Dim_Machine!$A$2:$A$8,0))*I173</f>
        <v>42552</v>
      </c>
      <c r="K173" s="4">
        <f>ROUND(J173*0.825,0)</f>
        <v>35105</v>
      </c>
      <c r="L173" s="4">
        <f>ROUND(K173*0.0095,0)</f>
        <v>333</v>
      </c>
      <c r="M173" s="4">
        <f t="shared" si="15"/>
        <v>34772</v>
      </c>
      <c r="N173" s="4">
        <f t="shared" si="16"/>
        <v>0.82499059973679267</v>
      </c>
      <c r="O173" s="4">
        <f t="shared" si="17"/>
        <v>0.98499999999999999</v>
      </c>
      <c r="P173" s="4">
        <f>IFERROR((K173/I173)/(INDEX(Dim_Machine!$E$2:$E$8,MATCH(D173,Dim_Machine!$A$2:$A$8,0))*INDEX(Dim_Machine!$D$2:$D$8,MATCH(D173,Dim_Machine!$A$2:$A$8,0))),0)</f>
        <v>0.82499059973679256</v>
      </c>
      <c r="Q173" s="4">
        <f t="shared" si="18"/>
        <v>0.99051417177040313</v>
      </c>
      <c r="R173" s="4">
        <f t="shared" si="19"/>
        <v>0.80490740740740729</v>
      </c>
      <c r="S173" s="4">
        <f>T173/0.84</f>
        <v>8.2790476190476188</v>
      </c>
      <c r="T173" s="4">
        <f>M173*INDEX(Dim_Product!$C$2:$C$4,MATCH(F173,Dim_Product!$A$2:$A$4,0))/1000000</f>
        <v>6.9543999999999997</v>
      </c>
      <c r="U173" s="19">
        <f t="shared" si="20"/>
        <v>0.84</v>
      </c>
    </row>
    <row r="174" spans="1:21" x14ac:dyDescent="0.25">
      <c r="A174" s="18" t="s">
        <v>315</v>
      </c>
      <c r="B174" s="4">
        <v>20260702</v>
      </c>
      <c r="C174" s="4">
        <v>0</v>
      </c>
      <c r="D174" s="4" t="s">
        <v>27</v>
      </c>
      <c r="E174" s="4" t="s">
        <v>20</v>
      </c>
      <c r="F174" s="4" t="s">
        <v>141</v>
      </c>
      <c r="G174" s="4">
        <v>60</v>
      </c>
      <c r="H174" s="4">
        <v>1.1000000000000001</v>
      </c>
      <c r="I174" s="4">
        <f t="shared" si="14"/>
        <v>58.9</v>
      </c>
      <c r="J174" s="4">
        <f>INDEX(Dim_Machine!$E$2:$E$8,MATCH(D174,Dim_Machine!$A$2:$A$8,0))*INDEX(Dim_Machine!$D$2:$D$8,MATCH(D174,Dim_Machine!$A$2:$A$8,0))*I174</f>
        <v>24502.399999999998</v>
      </c>
      <c r="K174" s="4">
        <f>ROUND(J174*0.792,0)</f>
        <v>19406</v>
      </c>
      <c r="L174" s="4">
        <f>ROUND(K174*0.0288,0)</f>
        <v>559</v>
      </c>
      <c r="M174" s="4">
        <f t="shared" si="15"/>
        <v>18847</v>
      </c>
      <c r="N174" s="4">
        <f t="shared" si="16"/>
        <v>0.792004048582996</v>
      </c>
      <c r="O174" s="4">
        <f t="shared" si="17"/>
        <v>0.98166666666666669</v>
      </c>
      <c r="P174" s="4">
        <f>IFERROR((K174/I174)/(INDEX(Dim_Machine!$E$2:$E$8,MATCH(D174,Dim_Machine!$A$2:$A$8,0))*INDEX(Dim_Machine!$D$2:$D$8,MATCH(D174,Dim_Machine!$A$2:$A$8,0))),0)</f>
        <v>0.79200404858299589</v>
      </c>
      <c r="Q174" s="4">
        <f t="shared" si="18"/>
        <v>0.97119447593527775</v>
      </c>
      <c r="R174" s="4">
        <f t="shared" si="19"/>
        <v>0.75508814102564104</v>
      </c>
      <c r="S174" s="4">
        <f>T174/0.889</f>
        <v>5.300056242969629</v>
      </c>
      <c r="T174" s="4">
        <f>M174*INDEX(Dim_Product!$C$2:$C$4,MATCH(F174,Dim_Product!$A$2:$A$4,0))/1000000</f>
        <v>4.7117500000000003</v>
      </c>
      <c r="U174" s="19">
        <f t="shared" si="20"/>
        <v>0.88900000000000001</v>
      </c>
    </row>
    <row r="175" spans="1:21" x14ac:dyDescent="0.25">
      <c r="A175" s="18" t="s">
        <v>316</v>
      </c>
      <c r="B175" s="4">
        <v>20260702</v>
      </c>
      <c r="C175" s="4">
        <v>0</v>
      </c>
      <c r="D175" s="4" t="s">
        <v>29</v>
      </c>
      <c r="E175" s="4" t="s">
        <v>20</v>
      </c>
      <c r="F175" s="4" t="s">
        <v>141</v>
      </c>
      <c r="G175" s="4">
        <v>60</v>
      </c>
      <c r="H175" s="4">
        <v>6.6</v>
      </c>
      <c r="I175" s="4">
        <f t="shared" si="14"/>
        <v>53.4</v>
      </c>
      <c r="J175" s="4">
        <f>INDEX(Dim_Machine!$E$2:$E$8,MATCH(D175,Dim_Machine!$A$2:$A$8,0))*INDEX(Dim_Machine!$D$2:$D$8,MATCH(D175,Dim_Machine!$A$2:$A$8,0))*I175</f>
        <v>15379.199999999999</v>
      </c>
      <c r="K175" s="4">
        <f>ROUND(J175*0.964,0)</f>
        <v>14826</v>
      </c>
      <c r="L175" s="4">
        <f>ROUND(K175*0.0182,0)</f>
        <v>270</v>
      </c>
      <c r="M175" s="4">
        <f t="shared" si="15"/>
        <v>14556</v>
      </c>
      <c r="N175" s="4">
        <f t="shared" si="16"/>
        <v>0.96402933832709126</v>
      </c>
      <c r="O175" s="4">
        <f t="shared" si="17"/>
        <v>0.89</v>
      </c>
      <c r="P175" s="4">
        <f>IFERROR((K175/I175)/(INDEX(Dim_Machine!$E$2:$E$8,MATCH(D175,Dim_Machine!$A$2:$A$8,0))*INDEX(Dim_Machine!$D$2:$D$8,MATCH(D175,Dim_Machine!$A$2:$A$8,0))),0)</f>
        <v>0.96402933832709126</v>
      </c>
      <c r="Q175" s="4">
        <f t="shared" si="18"/>
        <v>0.98178874949413197</v>
      </c>
      <c r="R175" s="4">
        <f t="shared" si="19"/>
        <v>0.84236111111111123</v>
      </c>
      <c r="S175" s="4">
        <f>T175/0.87</f>
        <v>4.182758620689655</v>
      </c>
      <c r="T175" s="4">
        <f>M175*INDEX(Dim_Product!$C$2:$C$4,MATCH(F175,Dim_Product!$A$2:$A$4,0))/1000000</f>
        <v>3.6389999999999998</v>
      </c>
      <c r="U175" s="19">
        <f t="shared" si="20"/>
        <v>0.87</v>
      </c>
    </row>
    <row r="176" spans="1:21" x14ac:dyDescent="0.25">
      <c r="A176" s="18" t="s">
        <v>317</v>
      </c>
      <c r="B176" s="4">
        <v>20260702</v>
      </c>
      <c r="C176" s="4">
        <v>0</v>
      </c>
      <c r="D176" s="4" t="s">
        <v>31</v>
      </c>
      <c r="E176" s="4" t="s">
        <v>20</v>
      </c>
      <c r="F176" s="4" t="s">
        <v>143</v>
      </c>
      <c r="G176" s="4">
        <v>60</v>
      </c>
      <c r="H176" s="4">
        <v>2.4</v>
      </c>
      <c r="I176" s="4">
        <f t="shared" si="14"/>
        <v>57.6</v>
      </c>
      <c r="J176" s="4">
        <f>INDEX(Dim_Machine!$E$2:$E$8,MATCH(D176,Dim_Machine!$A$2:$A$8,0))*INDEX(Dim_Machine!$D$2:$D$8,MATCH(D176,Dim_Machine!$A$2:$A$8,0))*I176</f>
        <v>37324.800000000003</v>
      </c>
      <c r="K176" s="4">
        <f>ROUND(J176*0.861,0)</f>
        <v>32137</v>
      </c>
      <c r="L176" s="4">
        <f>ROUND(K176*0.0132,0)</f>
        <v>424</v>
      </c>
      <c r="M176" s="4">
        <f t="shared" si="15"/>
        <v>31713</v>
      </c>
      <c r="N176" s="4">
        <f t="shared" si="16"/>
        <v>0.86100930212620019</v>
      </c>
      <c r="O176" s="4">
        <f t="shared" si="17"/>
        <v>0.96000000000000008</v>
      </c>
      <c r="P176" s="4">
        <f>IFERROR((K176/I176)/(INDEX(Dim_Machine!$E$2:$E$8,MATCH(D176,Dim_Machine!$A$2:$A$8,0))*INDEX(Dim_Machine!$D$2:$D$8,MATCH(D176,Dim_Machine!$A$2:$A$8,0))),0)</f>
        <v>0.86100930212620019</v>
      </c>
      <c r="Q176" s="4">
        <f t="shared" si="18"/>
        <v>0.98680648473721877</v>
      </c>
      <c r="R176" s="4">
        <f t="shared" si="19"/>
        <v>0.81566358024691354</v>
      </c>
      <c r="S176" s="4">
        <f>T176/0.881</f>
        <v>7.1993189557321227</v>
      </c>
      <c r="T176" s="4">
        <f>M176*INDEX(Dim_Product!$C$2:$C$4,MATCH(F176,Dim_Product!$A$2:$A$4,0))/1000000</f>
        <v>6.3426</v>
      </c>
      <c r="U176" s="19">
        <f t="shared" si="20"/>
        <v>0.88100000000000001</v>
      </c>
    </row>
    <row r="177" spans="1:21" x14ac:dyDescent="0.25">
      <c r="A177" s="18" t="s">
        <v>318</v>
      </c>
      <c r="B177" s="4">
        <v>20260702</v>
      </c>
      <c r="C177" s="4">
        <v>1</v>
      </c>
      <c r="D177" s="4" t="s">
        <v>15</v>
      </c>
      <c r="E177" s="4" t="s">
        <v>20</v>
      </c>
      <c r="F177" s="4" t="s">
        <v>187</v>
      </c>
      <c r="G177" s="4">
        <v>60</v>
      </c>
      <c r="H177" s="4">
        <v>3.5</v>
      </c>
      <c r="I177" s="4">
        <f t="shared" si="14"/>
        <v>56.5</v>
      </c>
      <c r="J177" s="4">
        <f>INDEX(Dim_Machine!$E$2:$E$8,MATCH(D177,Dim_Machine!$A$2:$A$8,0))*INDEX(Dim_Machine!$D$2:$D$8,MATCH(D177,Dim_Machine!$A$2:$A$8,0))*I177</f>
        <v>22600</v>
      </c>
      <c r="K177" s="4">
        <f>ROUND(J177*0.9,0)</f>
        <v>20340</v>
      </c>
      <c r="L177" s="4">
        <f>ROUND(K177*0.0317,0)</f>
        <v>645</v>
      </c>
      <c r="M177" s="4">
        <f t="shared" si="15"/>
        <v>19695</v>
      </c>
      <c r="N177" s="4">
        <f t="shared" si="16"/>
        <v>0.9</v>
      </c>
      <c r="O177" s="4">
        <f t="shared" si="17"/>
        <v>0.94166666666666665</v>
      </c>
      <c r="P177" s="4">
        <f>IFERROR((K177/I177)/(INDEX(Dim_Machine!$E$2:$E$8,MATCH(D177,Dim_Machine!$A$2:$A$8,0))*INDEX(Dim_Machine!$D$2:$D$8,MATCH(D177,Dim_Machine!$A$2:$A$8,0))),0)</f>
        <v>0.9</v>
      </c>
      <c r="Q177" s="4">
        <f t="shared" si="18"/>
        <v>0.96828908554572268</v>
      </c>
      <c r="R177" s="4">
        <f t="shared" si="19"/>
        <v>0.82062500000000005</v>
      </c>
      <c r="S177" s="4">
        <f>T177/0.91</f>
        <v>6.4928571428571429</v>
      </c>
      <c r="T177" s="4">
        <f>M177*INDEX(Dim_Product!$C$2:$C$4,MATCH(F177,Dim_Product!$A$2:$A$4,0))/1000000</f>
        <v>5.9085000000000001</v>
      </c>
      <c r="U177" s="19">
        <f t="shared" si="20"/>
        <v>0.91</v>
      </c>
    </row>
    <row r="178" spans="1:21" x14ac:dyDescent="0.25">
      <c r="A178" s="18" t="s">
        <v>319</v>
      </c>
      <c r="B178" s="4">
        <v>20260702</v>
      </c>
      <c r="C178" s="4">
        <v>1</v>
      </c>
      <c r="D178" s="4" t="s">
        <v>19</v>
      </c>
      <c r="E178" s="4" t="s">
        <v>20</v>
      </c>
      <c r="F178" s="4" t="s">
        <v>141</v>
      </c>
      <c r="G178" s="4">
        <v>60</v>
      </c>
      <c r="H178" s="4">
        <v>4.8</v>
      </c>
      <c r="I178" s="4">
        <f t="shared" si="14"/>
        <v>55.2</v>
      </c>
      <c r="J178" s="4">
        <f>INDEX(Dim_Machine!$E$2:$E$8,MATCH(D178,Dim_Machine!$A$2:$A$8,0))*INDEX(Dim_Machine!$D$2:$D$8,MATCH(D178,Dim_Machine!$A$2:$A$8,0))*I178</f>
        <v>37094.400000000001</v>
      </c>
      <c r="K178" s="4">
        <f>ROUND(J178*0.785,0)</f>
        <v>29119</v>
      </c>
      <c r="L178" s="4">
        <f>ROUND(K178*0.0119,0)</f>
        <v>347</v>
      </c>
      <c r="M178" s="4">
        <f t="shared" si="15"/>
        <v>28772</v>
      </c>
      <c r="N178" s="4">
        <f t="shared" si="16"/>
        <v>0.78499719634230503</v>
      </c>
      <c r="O178" s="4">
        <f t="shared" si="17"/>
        <v>0.92</v>
      </c>
      <c r="P178" s="4">
        <f>IFERROR((K178/I178)/(INDEX(Dim_Machine!$E$2:$E$8,MATCH(D178,Dim_Machine!$A$2:$A$8,0))*INDEX(Dim_Machine!$D$2:$D$8,MATCH(D178,Dim_Machine!$A$2:$A$8,0))),0)</f>
        <v>0.78499719634230503</v>
      </c>
      <c r="Q178" s="4">
        <f t="shared" si="18"/>
        <v>0.98808338198427148</v>
      </c>
      <c r="R178" s="4">
        <f t="shared" si="19"/>
        <v>0.71359126984126986</v>
      </c>
      <c r="S178" s="4">
        <f>T178/0.901</f>
        <v>7.983351831298557</v>
      </c>
      <c r="T178" s="4">
        <f>M178*INDEX(Dim_Product!$C$2:$C$4,MATCH(F178,Dim_Product!$A$2:$A$4,0))/1000000</f>
        <v>7.1929999999999996</v>
      </c>
      <c r="U178" s="19">
        <f t="shared" si="20"/>
        <v>0.90100000000000002</v>
      </c>
    </row>
    <row r="179" spans="1:21" x14ac:dyDescent="0.25">
      <c r="A179" s="18" t="s">
        <v>320</v>
      </c>
      <c r="B179" s="4">
        <v>20260702</v>
      </c>
      <c r="C179" s="4">
        <v>1</v>
      </c>
      <c r="D179" s="4" t="s">
        <v>23</v>
      </c>
      <c r="E179" s="4" t="s">
        <v>20</v>
      </c>
      <c r="F179" s="4" t="s">
        <v>141</v>
      </c>
      <c r="G179" s="4">
        <v>60</v>
      </c>
      <c r="H179" s="4">
        <v>6.9</v>
      </c>
      <c r="I179" s="4">
        <f t="shared" si="14"/>
        <v>53.1</v>
      </c>
      <c r="J179" s="4">
        <f>INDEX(Dim_Machine!$E$2:$E$8,MATCH(D179,Dim_Machine!$A$2:$A$8,0))*INDEX(Dim_Machine!$D$2:$D$8,MATCH(D179,Dim_Machine!$A$2:$A$8,0))*I179</f>
        <v>14018.4</v>
      </c>
      <c r="K179" s="4">
        <f>ROUND(J179*0.897,0)</f>
        <v>12575</v>
      </c>
      <c r="L179" s="4">
        <f>ROUND(K179*0.0056,0)</f>
        <v>70</v>
      </c>
      <c r="M179" s="4">
        <f t="shared" si="15"/>
        <v>12505</v>
      </c>
      <c r="N179" s="4">
        <f t="shared" si="16"/>
        <v>0.89703532500142669</v>
      </c>
      <c r="O179" s="4">
        <f t="shared" si="17"/>
        <v>0.88500000000000001</v>
      </c>
      <c r="P179" s="4">
        <f>IFERROR((K179/I179)/(INDEX(Dim_Machine!$E$2:$E$8,MATCH(D179,Dim_Machine!$A$2:$A$8,0))*INDEX(Dim_Machine!$D$2:$D$8,MATCH(D179,Dim_Machine!$A$2:$A$8,0))),0)</f>
        <v>0.89703532500142669</v>
      </c>
      <c r="Q179" s="4">
        <f t="shared" si="18"/>
        <v>0.99443339960238564</v>
      </c>
      <c r="R179" s="4">
        <f t="shared" si="19"/>
        <v>0.78945707070707072</v>
      </c>
      <c r="S179" s="4">
        <f>T179/0.915</f>
        <v>3.416666666666667</v>
      </c>
      <c r="T179" s="4">
        <f>M179*INDEX(Dim_Product!$C$2:$C$4,MATCH(F179,Dim_Product!$A$2:$A$4,0))/1000000</f>
        <v>3.1262500000000002</v>
      </c>
      <c r="U179" s="19">
        <f t="shared" si="20"/>
        <v>0.91499999999999992</v>
      </c>
    </row>
    <row r="180" spans="1:21" x14ac:dyDescent="0.25">
      <c r="A180" s="18" t="s">
        <v>321</v>
      </c>
      <c r="B180" s="4">
        <v>20260702</v>
      </c>
      <c r="C180" s="4">
        <v>1</v>
      </c>
      <c r="D180" s="4" t="s">
        <v>25</v>
      </c>
      <c r="E180" s="4" t="s">
        <v>20</v>
      </c>
      <c r="F180" s="4" t="s">
        <v>143</v>
      </c>
      <c r="G180" s="4">
        <v>60</v>
      </c>
      <c r="H180" s="4">
        <v>6.6</v>
      </c>
      <c r="I180" s="4">
        <f t="shared" si="14"/>
        <v>53.4</v>
      </c>
      <c r="J180" s="4">
        <f>INDEX(Dim_Machine!$E$2:$E$8,MATCH(D180,Dim_Machine!$A$2:$A$8,0))*INDEX(Dim_Machine!$D$2:$D$8,MATCH(D180,Dim_Machine!$A$2:$A$8,0))*I180</f>
        <v>38448</v>
      </c>
      <c r="K180" s="4">
        <f>ROUND(J180*0.895,0)</f>
        <v>34411</v>
      </c>
      <c r="L180" s="4">
        <f>ROUND(K180*0.0279,0)</f>
        <v>960</v>
      </c>
      <c r="M180" s="4">
        <f t="shared" si="15"/>
        <v>33451</v>
      </c>
      <c r="N180" s="4">
        <f t="shared" si="16"/>
        <v>0.89500104036620887</v>
      </c>
      <c r="O180" s="4">
        <f t="shared" si="17"/>
        <v>0.89</v>
      </c>
      <c r="P180" s="4">
        <f>IFERROR((K180/I180)/(INDEX(Dim_Machine!$E$2:$E$8,MATCH(D180,Dim_Machine!$A$2:$A$8,0))*INDEX(Dim_Machine!$D$2:$D$8,MATCH(D180,Dim_Machine!$A$2:$A$8,0))),0)</f>
        <v>0.89500104036620898</v>
      </c>
      <c r="Q180" s="4">
        <f t="shared" si="18"/>
        <v>0.97210194414576734</v>
      </c>
      <c r="R180" s="4">
        <f t="shared" si="19"/>
        <v>0.77432870370370377</v>
      </c>
      <c r="S180" s="4">
        <f>T180/0.826</f>
        <v>8.0995157384987895</v>
      </c>
      <c r="T180" s="4">
        <f>M180*INDEX(Dim_Product!$C$2:$C$4,MATCH(F180,Dim_Product!$A$2:$A$4,0))/1000000</f>
        <v>6.6901999999999999</v>
      </c>
      <c r="U180" s="19">
        <f t="shared" si="20"/>
        <v>0.82599999999999996</v>
      </c>
    </row>
    <row r="181" spans="1:21" x14ac:dyDescent="0.25">
      <c r="A181" s="18" t="s">
        <v>322</v>
      </c>
      <c r="B181" s="4">
        <v>20260702</v>
      </c>
      <c r="C181" s="4">
        <v>1</v>
      </c>
      <c r="D181" s="4" t="s">
        <v>27</v>
      </c>
      <c r="E181" s="4" t="s">
        <v>20</v>
      </c>
      <c r="F181" s="4" t="s">
        <v>141</v>
      </c>
      <c r="G181" s="4">
        <v>60</v>
      </c>
      <c r="H181" s="4">
        <v>4.2</v>
      </c>
      <c r="I181" s="4">
        <f t="shared" si="14"/>
        <v>55.8</v>
      </c>
      <c r="J181" s="4">
        <f>INDEX(Dim_Machine!$E$2:$E$8,MATCH(D181,Dim_Machine!$A$2:$A$8,0))*INDEX(Dim_Machine!$D$2:$D$8,MATCH(D181,Dim_Machine!$A$2:$A$8,0))*I181</f>
        <v>23212.799999999999</v>
      </c>
      <c r="K181" s="4">
        <f>ROUND(J181*0.868,0)</f>
        <v>20149</v>
      </c>
      <c r="L181" s="4">
        <f>ROUND(K181*0.0133,0)</f>
        <v>268</v>
      </c>
      <c r="M181" s="4">
        <f t="shared" si="15"/>
        <v>19881</v>
      </c>
      <c r="N181" s="4">
        <f t="shared" si="16"/>
        <v>0.86801247587537911</v>
      </c>
      <c r="O181" s="4">
        <f t="shared" si="17"/>
        <v>0.92999999999999994</v>
      </c>
      <c r="P181" s="4">
        <f>IFERROR((K181/I181)/(INDEX(Dim_Machine!$E$2:$E$8,MATCH(D181,Dim_Machine!$A$2:$A$8,0))*INDEX(Dim_Machine!$D$2:$D$8,MATCH(D181,Dim_Machine!$A$2:$A$8,0))),0)</f>
        <v>0.86801247587537911</v>
      </c>
      <c r="Q181" s="4">
        <f t="shared" si="18"/>
        <v>0.98669909176634074</v>
      </c>
      <c r="R181" s="4">
        <f t="shared" si="19"/>
        <v>0.79651442307692311</v>
      </c>
      <c r="S181" s="4">
        <f>T181/0.95</f>
        <v>5.2318421052631585</v>
      </c>
      <c r="T181" s="4">
        <f>M181*INDEX(Dim_Product!$C$2:$C$4,MATCH(F181,Dim_Product!$A$2:$A$4,0))/1000000</f>
        <v>4.9702500000000001</v>
      </c>
      <c r="U181" s="19">
        <f t="shared" si="20"/>
        <v>0.94999999999999984</v>
      </c>
    </row>
    <row r="182" spans="1:21" x14ac:dyDescent="0.25">
      <c r="A182" s="18" t="s">
        <v>323</v>
      </c>
      <c r="B182" s="4">
        <v>20260702</v>
      </c>
      <c r="C182" s="4">
        <v>1</v>
      </c>
      <c r="D182" s="4" t="s">
        <v>29</v>
      </c>
      <c r="E182" s="4" t="s">
        <v>20</v>
      </c>
      <c r="F182" s="4" t="s">
        <v>141</v>
      </c>
      <c r="G182" s="4">
        <v>60</v>
      </c>
      <c r="H182" s="4">
        <v>3.5</v>
      </c>
      <c r="I182" s="4">
        <f t="shared" si="14"/>
        <v>56.5</v>
      </c>
      <c r="J182" s="4">
        <f>INDEX(Dim_Machine!$E$2:$E$8,MATCH(D182,Dim_Machine!$A$2:$A$8,0))*INDEX(Dim_Machine!$D$2:$D$8,MATCH(D182,Dim_Machine!$A$2:$A$8,0))*I182</f>
        <v>16272</v>
      </c>
      <c r="K182" s="4">
        <f>ROUND(J182*0.943,0)</f>
        <v>15344</v>
      </c>
      <c r="L182" s="4">
        <f>ROUND(K182*0.0341,0)</f>
        <v>523</v>
      </c>
      <c r="M182" s="4">
        <f t="shared" si="15"/>
        <v>14821</v>
      </c>
      <c r="N182" s="4">
        <f t="shared" si="16"/>
        <v>0.94296951819075714</v>
      </c>
      <c r="O182" s="4">
        <f t="shared" si="17"/>
        <v>0.94166666666666665</v>
      </c>
      <c r="P182" s="4">
        <f>IFERROR((K182/I182)/(INDEX(Dim_Machine!$E$2:$E$8,MATCH(D182,Dim_Machine!$A$2:$A$8,0))*INDEX(Dim_Machine!$D$2:$D$8,MATCH(D182,Dim_Machine!$A$2:$A$8,0))),0)</f>
        <v>0.94296951819075714</v>
      </c>
      <c r="Q182" s="4">
        <f t="shared" si="18"/>
        <v>0.96591501564129301</v>
      </c>
      <c r="R182" s="4">
        <f t="shared" si="19"/>
        <v>0.85769675925925926</v>
      </c>
      <c r="S182" s="4">
        <f>T182/0.871</f>
        <v>4.2540183696900113</v>
      </c>
      <c r="T182" s="4">
        <f>M182*INDEX(Dim_Product!$C$2:$C$4,MATCH(F182,Dim_Product!$A$2:$A$4,0))/1000000</f>
        <v>3.7052499999999999</v>
      </c>
      <c r="U182" s="19">
        <f t="shared" si="20"/>
        <v>0.871</v>
      </c>
    </row>
    <row r="183" spans="1:21" x14ac:dyDescent="0.25">
      <c r="A183" s="18" t="s">
        <v>324</v>
      </c>
      <c r="B183" s="4">
        <v>20260702</v>
      </c>
      <c r="C183" s="4">
        <v>1</v>
      </c>
      <c r="D183" s="4" t="s">
        <v>31</v>
      </c>
      <c r="E183" s="4" t="s">
        <v>20</v>
      </c>
      <c r="F183" s="4" t="s">
        <v>143</v>
      </c>
      <c r="G183" s="4">
        <v>60</v>
      </c>
      <c r="H183" s="4">
        <v>3.3</v>
      </c>
      <c r="I183" s="4">
        <f t="shared" si="14"/>
        <v>56.7</v>
      </c>
      <c r="J183" s="4">
        <f>INDEX(Dim_Machine!$E$2:$E$8,MATCH(D183,Dim_Machine!$A$2:$A$8,0))*INDEX(Dim_Machine!$D$2:$D$8,MATCH(D183,Dim_Machine!$A$2:$A$8,0))*I183</f>
        <v>36741.599999999999</v>
      </c>
      <c r="K183" s="4">
        <f>ROUND(J183*0.844,0)</f>
        <v>31010</v>
      </c>
      <c r="L183" s="4">
        <f>ROUND(K183*0.0081,0)</f>
        <v>251</v>
      </c>
      <c r="M183" s="4">
        <f t="shared" si="15"/>
        <v>30759</v>
      </c>
      <c r="N183" s="4">
        <f t="shared" si="16"/>
        <v>0.84400243865264446</v>
      </c>
      <c r="O183" s="4">
        <f t="shared" si="17"/>
        <v>0.94500000000000006</v>
      </c>
      <c r="P183" s="4">
        <f>IFERROR((K183/I183)/(INDEX(Dim_Machine!$E$2:$E$8,MATCH(D183,Dim_Machine!$A$2:$A$8,0))*INDEX(Dim_Machine!$D$2:$D$8,MATCH(D183,Dim_Machine!$A$2:$A$8,0))),0)</f>
        <v>0.84400243865264435</v>
      </c>
      <c r="Q183" s="4">
        <f t="shared" si="18"/>
        <v>0.99190583682683009</v>
      </c>
      <c r="R183" s="4">
        <f t="shared" si="19"/>
        <v>0.79112654320987652</v>
      </c>
      <c r="S183" s="4">
        <f>T183/0.824</f>
        <v>7.4657766990291261</v>
      </c>
      <c r="T183" s="4">
        <f>M183*INDEX(Dim_Product!$C$2:$C$4,MATCH(F183,Dim_Product!$A$2:$A$4,0))/1000000</f>
        <v>6.1517999999999997</v>
      </c>
      <c r="U183" s="19">
        <f t="shared" si="20"/>
        <v>0.82399999999999995</v>
      </c>
    </row>
    <row r="184" spans="1:21" x14ac:dyDescent="0.25">
      <c r="A184" s="18" t="s">
        <v>325</v>
      </c>
      <c r="B184" s="4">
        <v>20260702</v>
      </c>
      <c r="C184" s="4">
        <v>2</v>
      </c>
      <c r="D184" s="4" t="s">
        <v>15</v>
      </c>
      <c r="E184" s="4" t="s">
        <v>20</v>
      </c>
      <c r="F184" s="4" t="s">
        <v>187</v>
      </c>
      <c r="G184" s="4">
        <v>60</v>
      </c>
      <c r="H184" s="4">
        <v>3.3</v>
      </c>
      <c r="I184" s="4">
        <f t="shared" si="14"/>
        <v>56.7</v>
      </c>
      <c r="J184" s="4">
        <f>INDEX(Dim_Machine!$E$2:$E$8,MATCH(D184,Dim_Machine!$A$2:$A$8,0))*INDEX(Dim_Machine!$D$2:$D$8,MATCH(D184,Dim_Machine!$A$2:$A$8,0))*I184</f>
        <v>22680</v>
      </c>
      <c r="K184" s="4">
        <f>ROUND(J184*0.879,0)</f>
        <v>19936</v>
      </c>
      <c r="L184" s="4">
        <f>ROUND(K184*0.0249,0)</f>
        <v>496</v>
      </c>
      <c r="M184" s="4">
        <f t="shared" si="15"/>
        <v>19440</v>
      </c>
      <c r="N184" s="4">
        <f t="shared" si="16"/>
        <v>0.87901234567901232</v>
      </c>
      <c r="O184" s="4">
        <f t="shared" si="17"/>
        <v>0.94500000000000006</v>
      </c>
      <c r="P184" s="4">
        <f>IFERROR((K184/I184)/(INDEX(Dim_Machine!$E$2:$E$8,MATCH(D184,Dim_Machine!$A$2:$A$8,0))*INDEX(Dim_Machine!$D$2:$D$8,MATCH(D184,Dim_Machine!$A$2:$A$8,0))),0)</f>
        <v>0.87901234567901232</v>
      </c>
      <c r="Q184" s="4">
        <f t="shared" si="18"/>
        <v>0.9751203852327448</v>
      </c>
      <c r="R184" s="4">
        <f t="shared" si="19"/>
        <v>0.81</v>
      </c>
      <c r="S184" s="4">
        <f>T184/0.86</f>
        <v>6.7813953488372096</v>
      </c>
      <c r="T184" s="4">
        <f>M184*INDEX(Dim_Product!$C$2:$C$4,MATCH(F184,Dim_Product!$A$2:$A$4,0))/1000000</f>
        <v>5.8319999999999999</v>
      </c>
      <c r="U184" s="19">
        <f t="shared" si="20"/>
        <v>0.86</v>
      </c>
    </row>
    <row r="185" spans="1:21" x14ac:dyDescent="0.25">
      <c r="A185" s="18" t="s">
        <v>326</v>
      </c>
      <c r="B185" s="4">
        <v>20260702</v>
      </c>
      <c r="C185" s="4">
        <v>2</v>
      </c>
      <c r="D185" s="4" t="s">
        <v>19</v>
      </c>
      <c r="E185" s="4" t="s">
        <v>20</v>
      </c>
      <c r="F185" s="4" t="s">
        <v>141</v>
      </c>
      <c r="G185" s="4">
        <v>60</v>
      </c>
      <c r="H185" s="4">
        <v>6.1</v>
      </c>
      <c r="I185" s="4">
        <f t="shared" si="14"/>
        <v>53.9</v>
      </c>
      <c r="J185" s="4">
        <f>INDEX(Dim_Machine!$E$2:$E$8,MATCH(D185,Dim_Machine!$A$2:$A$8,0))*INDEX(Dim_Machine!$D$2:$D$8,MATCH(D185,Dim_Machine!$A$2:$A$8,0))*I185</f>
        <v>36220.799999999996</v>
      </c>
      <c r="K185" s="4">
        <f>ROUND(J185*0.787,0)</f>
        <v>28506</v>
      </c>
      <c r="L185" s="4">
        <f>ROUND(K185*0.0076,0)</f>
        <v>217</v>
      </c>
      <c r="M185" s="4">
        <f t="shared" si="15"/>
        <v>28289</v>
      </c>
      <c r="N185" s="4">
        <f t="shared" si="16"/>
        <v>0.78700636098595289</v>
      </c>
      <c r="O185" s="4">
        <f t="shared" si="17"/>
        <v>0.89833333333333332</v>
      </c>
      <c r="P185" s="4">
        <f>IFERROR((K185/I185)/(INDEX(Dim_Machine!$E$2:$E$8,MATCH(D185,Dim_Machine!$A$2:$A$8,0))*INDEX(Dim_Machine!$D$2:$D$8,MATCH(D185,Dim_Machine!$A$2:$A$8,0))),0)</f>
        <v>0.78700636098595278</v>
      </c>
      <c r="Q185" s="4">
        <f t="shared" si="18"/>
        <v>0.99238756752964286</v>
      </c>
      <c r="R185" s="4">
        <f t="shared" si="19"/>
        <v>0.7016121031746031</v>
      </c>
      <c r="S185" s="4">
        <f>T185/0.838</f>
        <v>8.4394391408114569</v>
      </c>
      <c r="T185" s="4">
        <f>M185*INDEX(Dim_Product!$C$2:$C$4,MATCH(F185,Dim_Product!$A$2:$A$4,0))/1000000</f>
        <v>7.0722500000000004</v>
      </c>
      <c r="U185" s="19">
        <f t="shared" si="20"/>
        <v>0.83799999999999997</v>
      </c>
    </row>
    <row r="186" spans="1:21" x14ac:dyDescent="0.25">
      <c r="A186" s="18" t="s">
        <v>327</v>
      </c>
      <c r="B186" s="4">
        <v>20260702</v>
      </c>
      <c r="C186" s="4">
        <v>2</v>
      </c>
      <c r="D186" s="4" t="s">
        <v>23</v>
      </c>
      <c r="E186" s="4" t="s">
        <v>20</v>
      </c>
      <c r="F186" s="4" t="s">
        <v>141</v>
      </c>
      <c r="G186" s="4">
        <v>60</v>
      </c>
      <c r="H186" s="4">
        <v>0.9</v>
      </c>
      <c r="I186" s="4">
        <f t="shared" si="14"/>
        <v>59.1</v>
      </c>
      <c r="J186" s="4">
        <f>INDEX(Dim_Machine!$E$2:$E$8,MATCH(D186,Dim_Machine!$A$2:$A$8,0))*INDEX(Dim_Machine!$D$2:$D$8,MATCH(D186,Dim_Machine!$A$2:$A$8,0))*I186</f>
        <v>15602.4</v>
      </c>
      <c r="K186" s="4">
        <f>ROUND(J186*0.935,0)</f>
        <v>14588</v>
      </c>
      <c r="L186" s="4">
        <f>ROUND(K186*0.0309,0)</f>
        <v>451</v>
      </c>
      <c r="M186" s="4">
        <f t="shared" si="15"/>
        <v>14137</v>
      </c>
      <c r="N186" s="4">
        <f t="shared" si="16"/>
        <v>0.9349843613803005</v>
      </c>
      <c r="O186" s="4">
        <f t="shared" si="17"/>
        <v>0.98499999999999999</v>
      </c>
      <c r="P186" s="4">
        <f>IFERROR((K186/I186)/(INDEX(Dim_Machine!$E$2:$E$8,MATCH(D186,Dim_Machine!$A$2:$A$8,0))*INDEX(Dim_Machine!$D$2:$D$8,MATCH(D186,Dim_Machine!$A$2:$A$8,0))),0)</f>
        <v>0.93498436138030039</v>
      </c>
      <c r="Q186" s="4">
        <f t="shared" si="18"/>
        <v>0.96908417877707709</v>
      </c>
      <c r="R186" s="4">
        <f t="shared" si="19"/>
        <v>0.89248737373737363</v>
      </c>
      <c r="S186" s="4">
        <f>T186/0.924</f>
        <v>3.8249458874458875</v>
      </c>
      <c r="T186" s="4">
        <f>M186*INDEX(Dim_Product!$C$2:$C$4,MATCH(F186,Dim_Product!$A$2:$A$4,0))/1000000</f>
        <v>3.5342500000000001</v>
      </c>
      <c r="U186" s="19">
        <f t="shared" si="20"/>
        <v>0.92400000000000004</v>
      </c>
    </row>
    <row r="187" spans="1:21" x14ac:dyDescent="0.25">
      <c r="A187" s="18" t="s">
        <v>328</v>
      </c>
      <c r="B187" s="4">
        <v>20260702</v>
      </c>
      <c r="C187" s="4">
        <v>2</v>
      </c>
      <c r="D187" s="4" t="s">
        <v>25</v>
      </c>
      <c r="E187" s="4" t="s">
        <v>20</v>
      </c>
      <c r="F187" s="4" t="s">
        <v>143</v>
      </c>
      <c r="G187" s="4">
        <v>60</v>
      </c>
      <c r="H187" s="4">
        <v>0</v>
      </c>
      <c r="I187" s="4">
        <f t="shared" si="14"/>
        <v>60</v>
      </c>
      <c r="J187" s="4">
        <f>INDEX(Dim_Machine!$E$2:$E$8,MATCH(D187,Dim_Machine!$A$2:$A$8,0))*INDEX(Dim_Machine!$D$2:$D$8,MATCH(D187,Dim_Machine!$A$2:$A$8,0))*I187</f>
        <v>43200</v>
      </c>
      <c r="K187" s="4">
        <f>ROUND(J187*0.954,0)</f>
        <v>41213</v>
      </c>
      <c r="L187" s="4">
        <f>ROUND(K187*0.0189,0)</f>
        <v>779</v>
      </c>
      <c r="M187" s="4">
        <f t="shared" si="15"/>
        <v>40434</v>
      </c>
      <c r="N187" s="4">
        <f t="shared" si="16"/>
        <v>0.95400462962962962</v>
      </c>
      <c r="O187" s="4">
        <f t="shared" si="17"/>
        <v>1</v>
      </c>
      <c r="P187" s="4">
        <f>IFERROR((K187/I187)/(INDEX(Dim_Machine!$E$2:$E$8,MATCH(D187,Dim_Machine!$A$2:$A$8,0))*INDEX(Dim_Machine!$D$2:$D$8,MATCH(D187,Dim_Machine!$A$2:$A$8,0))),0)</f>
        <v>0.95400462962962962</v>
      </c>
      <c r="Q187" s="4">
        <f t="shared" si="18"/>
        <v>0.98109819717079561</v>
      </c>
      <c r="R187" s="4">
        <f t="shared" si="19"/>
        <v>0.93597222222222221</v>
      </c>
      <c r="S187" s="4">
        <f>T187/0.808</f>
        <v>10.008415841584158</v>
      </c>
      <c r="T187" s="4">
        <f>M187*INDEX(Dim_Product!$C$2:$C$4,MATCH(F187,Dim_Product!$A$2:$A$4,0))/1000000</f>
        <v>8.0868000000000002</v>
      </c>
      <c r="U187" s="19">
        <f t="shared" si="20"/>
        <v>0.80800000000000005</v>
      </c>
    </row>
    <row r="188" spans="1:21" x14ac:dyDescent="0.25">
      <c r="A188" s="18" t="s">
        <v>329</v>
      </c>
      <c r="B188" s="4">
        <v>20260702</v>
      </c>
      <c r="C188" s="4">
        <v>2</v>
      </c>
      <c r="D188" s="4" t="s">
        <v>27</v>
      </c>
      <c r="E188" s="4" t="s">
        <v>20</v>
      </c>
      <c r="F188" s="4" t="s">
        <v>141</v>
      </c>
      <c r="G188" s="4">
        <v>60</v>
      </c>
      <c r="H188" s="4">
        <v>4.0999999999999996</v>
      </c>
      <c r="I188" s="4">
        <f t="shared" si="14"/>
        <v>55.9</v>
      </c>
      <c r="J188" s="4">
        <f>INDEX(Dim_Machine!$E$2:$E$8,MATCH(D188,Dim_Machine!$A$2:$A$8,0))*INDEX(Dim_Machine!$D$2:$D$8,MATCH(D188,Dim_Machine!$A$2:$A$8,0))*I188</f>
        <v>23254.399999999998</v>
      </c>
      <c r="K188" s="4">
        <f>ROUND(J188*0.905,0)</f>
        <v>21045</v>
      </c>
      <c r="L188" s="4">
        <f>ROUND(K188*0.02,0)</f>
        <v>421</v>
      </c>
      <c r="M188" s="4">
        <f t="shared" si="15"/>
        <v>20624</v>
      </c>
      <c r="N188" s="4">
        <f t="shared" si="16"/>
        <v>0.90499002339342238</v>
      </c>
      <c r="O188" s="4">
        <f t="shared" si="17"/>
        <v>0.93166666666666664</v>
      </c>
      <c r="P188" s="4">
        <f>IFERROR((K188/I188)/(INDEX(Dim_Machine!$E$2:$E$8,MATCH(D188,Dim_Machine!$A$2:$A$8,0))*INDEX(Dim_Machine!$D$2:$D$8,MATCH(D188,Dim_Machine!$A$2:$A$8,0))),0)</f>
        <v>0.90499002339342227</v>
      </c>
      <c r="Q188" s="4">
        <f t="shared" si="18"/>
        <v>0.97999524827750062</v>
      </c>
      <c r="R188" s="4">
        <f t="shared" si="19"/>
        <v>0.82628205128205123</v>
      </c>
      <c r="S188" s="4">
        <f>T188/0.866</f>
        <v>5.9538106235565813</v>
      </c>
      <c r="T188" s="4">
        <f>M188*INDEX(Dim_Product!$C$2:$C$4,MATCH(F188,Dim_Product!$A$2:$A$4,0))/1000000</f>
        <v>5.1559999999999997</v>
      </c>
      <c r="U188" s="19">
        <f t="shared" si="20"/>
        <v>0.8660000000000001</v>
      </c>
    </row>
    <row r="189" spans="1:21" x14ac:dyDescent="0.25">
      <c r="A189" s="18" t="s">
        <v>330</v>
      </c>
      <c r="B189" s="4">
        <v>20260702</v>
      </c>
      <c r="C189" s="4">
        <v>2</v>
      </c>
      <c r="D189" s="4" t="s">
        <v>29</v>
      </c>
      <c r="E189" s="4" t="s">
        <v>20</v>
      </c>
      <c r="F189" s="4" t="s">
        <v>141</v>
      </c>
      <c r="G189" s="4">
        <v>60</v>
      </c>
      <c r="H189" s="4">
        <v>0.4</v>
      </c>
      <c r="I189" s="4">
        <f t="shared" si="14"/>
        <v>59.6</v>
      </c>
      <c r="J189" s="4">
        <f>INDEX(Dim_Machine!$E$2:$E$8,MATCH(D189,Dim_Machine!$A$2:$A$8,0))*INDEX(Dim_Machine!$D$2:$D$8,MATCH(D189,Dim_Machine!$A$2:$A$8,0))*I189</f>
        <v>17164.8</v>
      </c>
      <c r="K189" s="4">
        <f>ROUND(J189*0.833,0)</f>
        <v>14298</v>
      </c>
      <c r="L189" s="4">
        <f>ROUND(K189*0.0089,0)</f>
        <v>127</v>
      </c>
      <c r="M189" s="4">
        <f t="shared" si="15"/>
        <v>14171</v>
      </c>
      <c r="N189" s="4">
        <f t="shared" si="16"/>
        <v>0.8329837807606264</v>
      </c>
      <c r="O189" s="4">
        <f t="shared" si="17"/>
        <v>0.9933333333333334</v>
      </c>
      <c r="P189" s="4">
        <f>IFERROR((K189/I189)/(INDEX(Dim_Machine!$E$2:$E$8,MATCH(D189,Dim_Machine!$A$2:$A$8,0))*INDEX(Dim_Machine!$D$2:$D$8,MATCH(D189,Dim_Machine!$A$2:$A$8,0))),0)</f>
        <v>0.8329837807606264</v>
      </c>
      <c r="Q189" s="4">
        <f t="shared" si="18"/>
        <v>0.99111763883060566</v>
      </c>
      <c r="R189" s="4">
        <f t="shared" si="19"/>
        <v>0.82008101851851867</v>
      </c>
      <c r="S189" s="4">
        <f>T189/0.843</f>
        <v>4.2025504151838673</v>
      </c>
      <c r="T189" s="4">
        <f>M189*INDEX(Dim_Product!$C$2:$C$4,MATCH(F189,Dim_Product!$A$2:$A$4,0))/1000000</f>
        <v>3.5427499999999998</v>
      </c>
      <c r="U189" s="19">
        <f t="shared" si="20"/>
        <v>0.84299999999999997</v>
      </c>
    </row>
    <row r="190" spans="1:21" x14ac:dyDescent="0.25">
      <c r="A190" s="18" t="s">
        <v>331</v>
      </c>
      <c r="B190" s="4">
        <v>20260702</v>
      </c>
      <c r="C190" s="4">
        <v>2</v>
      </c>
      <c r="D190" s="4" t="s">
        <v>31</v>
      </c>
      <c r="E190" s="4" t="s">
        <v>20</v>
      </c>
      <c r="F190" s="4" t="s">
        <v>143</v>
      </c>
      <c r="G190" s="4">
        <v>60</v>
      </c>
      <c r="H190" s="4">
        <v>7</v>
      </c>
      <c r="I190" s="4">
        <f t="shared" si="14"/>
        <v>53</v>
      </c>
      <c r="J190" s="4">
        <f>INDEX(Dim_Machine!$E$2:$E$8,MATCH(D190,Dim_Machine!$A$2:$A$8,0))*INDEX(Dim_Machine!$D$2:$D$8,MATCH(D190,Dim_Machine!$A$2:$A$8,0))*I190</f>
        <v>34344</v>
      </c>
      <c r="K190" s="4">
        <f>ROUND(J190*0.877,0)</f>
        <v>30120</v>
      </c>
      <c r="L190" s="4">
        <f>ROUND(K190*0.0059,0)</f>
        <v>178</v>
      </c>
      <c r="M190" s="4">
        <f t="shared" si="15"/>
        <v>29942</v>
      </c>
      <c r="N190" s="4">
        <f t="shared" si="16"/>
        <v>0.87700908455625437</v>
      </c>
      <c r="O190" s="4">
        <f t="shared" si="17"/>
        <v>0.8833333333333333</v>
      </c>
      <c r="P190" s="4">
        <f>IFERROR((K190/I190)/(INDEX(Dim_Machine!$E$2:$E$8,MATCH(D190,Dim_Machine!$A$2:$A$8,0))*INDEX(Dim_Machine!$D$2:$D$8,MATCH(D190,Dim_Machine!$A$2:$A$8,0))),0)</f>
        <v>0.87700908455625437</v>
      </c>
      <c r="Q190" s="4">
        <f t="shared" si="18"/>
        <v>0.99409030544488708</v>
      </c>
      <c r="R190" s="4">
        <f t="shared" si="19"/>
        <v>0.77011316872427982</v>
      </c>
      <c r="S190" s="4">
        <f>T190/0.895</f>
        <v>6.6909497206703916</v>
      </c>
      <c r="T190" s="4">
        <f>M190*INDEX(Dim_Product!$C$2:$C$4,MATCH(F190,Dim_Product!$A$2:$A$4,0))/1000000</f>
        <v>5.9884000000000004</v>
      </c>
      <c r="U190" s="19">
        <f t="shared" si="20"/>
        <v>0.89500000000000002</v>
      </c>
    </row>
    <row r="191" spans="1:21" x14ac:dyDescent="0.25">
      <c r="A191" s="18" t="s">
        <v>332</v>
      </c>
      <c r="B191" s="4">
        <v>20260702</v>
      </c>
      <c r="C191" s="4">
        <v>3</v>
      </c>
      <c r="D191" s="4" t="s">
        <v>15</v>
      </c>
      <c r="E191" s="4" t="s">
        <v>20</v>
      </c>
      <c r="F191" s="4" t="s">
        <v>187</v>
      </c>
      <c r="G191" s="4">
        <v>60</v>
      </c>
      <c r="H191" s="4">
        <v>6.4</v>
      </c>
      <c r="I191" s="4">
        <f t="shared" si="14"/>
        <v>53.6</v>
      </c>
      <c r="J191" s="4">
        <f>INDEX(Dim_Machine!$E$2:$E$8,MATCH(D191,Dim_Machine!$A$2:$A$8,0))*INDEX(Dim_Machine!$D$2:$D$8,MATCH(D191,Dim_Machine!$A$2:$A$8,0))*I191</f>
        <v>21440</v>
      </c>
      <c r="K191" s="4">
        <f>ROUND(J191*0.922,0)</f>
        <v>19768</v>
      </c>
      <c r="L191" s="4">
        <f>ROUND(K191*0.0143,0)</f>
        <v>283</v>
      </c>
      <c r="M191" s="4">
        <f t="shared" si="15"/>
        <v>19485</v>
      </c>
      <c r="N191" s="4">
        <f t="shared" si="16"/>
        <v>0.92201492537313434</v>
      </c>
      <c r="O191" s="4">
        <f t="shared" si="17"/>
        <v>0.89333333333333331</v>
      </c>
      <c r="P191" s="4">
        <f>IFERROR((K191/I191)/(INDEX(Dim_Machine!$E$2:$E$8,MATCH(D191,Dim_Machine!$A$2:$A$8,0))*INDEX(Dim_Machine!$D$2:$D$8,MATCH(D191,Dim_Machine!$A$2:$A$8,0))),0)</f>
        <v>0.92201492537313423</v>
      </c>
      <c r="Q191" s="4">
        <f t="shared" si="18"/>
        <v>0.98568393363010931</v>
      </c>
      <c r="R191" s="4">
        <f t="shared" si="19"/>
        <v>0.8118749999999999</v>
      </c>
      <c r="S191" s="4">
        <f>T191/0.802</f>
        <v>7.2886533665835413</v>
      </c>
      <c r="T191" s="4">
        <f>M191*INDEX(Dim_Product!$C$2:$C$4,MATCH(F191,Dim_Product!$A$2:$A$4,0))/1000000</f>
        <v>5.8455000000000004</v>
      </c>
      <c r="U191" s="19">
        <f t="shared" si="20"/>
        <v>0.80200000000000005</v>
      </c>
    </row>
    <row r="192" spans="1:21" x14ac:dyDescent="0.25">
      <c r="A192" s="18" t="s">
        <v>333</v>
      </c>
      <c r="B192" s="4">
        <v>20260702</v>
      </c>
      <c r="C192" s="4">
        <v>3</v>
      </c>
      <c r="D192" s="4" t="s">
        <v>19</v>
      </c>
      <c r="E192" s="4" t="s">
        <v>20</v>
      </c>
      <c r="F192" s="4" t="s">
        <v>141</v>
      </c>
      <c r="G192" s="4">
        <v>60</v>
      </c>
      <c r="H192" s="4">
        <v>3.3</v>
      </c>
      <c r="I192" s="4">
        <f t="shared" si="14"/>
        <v>56.7</v>
      </c>
      <c r="J192" s="4">
        <f>INDEX(Dim_Machine!$E$2:$E$8,MATCH(D192,Dim_Machine!$A$2:$A$8,0))*INDEX(Dim_Machine!$D$2:$D$8,MATCH(D192,Dim_Machine!$A$2:$A$8,0))*I192</f>
        <v>38102.400000000001</v>
      </c>
      <c r="K192" s="4">
        <f>ROUND(J192*0.825,0)</f>
        <v>31434</v>
      </c>
      <c r="L192" s="4">
        <f>ROUND(K192*0.0302,0)</f>
        <v>949</v>
      </c>
      <c r="M192" s="4">
        <f t="shared" si="15"/>
        <v>30485</v>
      </c>
      <c r="N192" s="4">
        <f t="shared" si="16"/>
        <v>0.82498740236835477</v>
      </c>
      <c r="O192" s="4">
        <f t="shared" si="17"/>
        <v>0.94500000000000006</v>
      </c>
      <c r="P192" s="4">
        <f>IFERROR((K192/I192)/(INDEX(Dim_Machine!$E$2:$E$8,MATCH(D192,Dim_Machine!$A$2:$A$8,0))*INDEX(Dim_Machine!$D$2:$D$8,MATCH(D192,Dim_Machine!$A$2:$A$8,0))),0)</f>
        <v>0.82498740236835477</v>
      </c>
      <c r="Q192" s="4">
        <f t="shared" si="18"/>
        <v>0.96980976013234077</v>
      </c>
      <c r="R192" s="4">
        <f t="shared" si="19"/>
        <v>0.75607638888888895</v>
      </c>
      <c r="S192" s="4">
        <f>T192/0.817</f>
        <v>9.3283353733170138</v>
      </c>
      <c r="T192" s="4">
        <f>M192*INDEX(Dim_Product!$C$2:$C$4,MATCH(F192,Dim_Product!$A$2:$A$4,0))/1000000</f>
        <v>7.6212499999999999</v>
      </c>
      <c r="U192" s="19">
        <f t="shared" si="20"/>
        <v>0.81699999999999995</v>
      </c>
    </row>
    <row r="193" spans="1:21" x14ac:dyDescent="0.25">
      <c r="A193" s="18" t="s">
        <v>334</v>
      </c>
      <c r="B193" s="4">
        <v>20260702</v>
      </c>
      <c r="C193" s="4">
        <v>3</v>
      </c>
      <c r="D193" s="4" t="s">
        <v>23</v>
      </c>
      <c r="E193" s="4" t="s">
        <v>20</v>
      </c>
      <c r="F193" s="4" t="s">
        <v>141</v>
      </c>
      <c r="G193" s="4">
        <v>60</v>
      </c>
      <c r="H193" s="4">
        <v>7.6</v>
      </c>
      <c r="I193" s="4">
        <f t="shared" si="14"/>
        <v>52.4</v>
      </c>
      <c r="J193" s="4">
        <f>INDEX(Dim_Machine!$E$2:$E$8,MATCH(D193,Dim_Machine!$A$2:$A$8,0))*INDEX(Dim_Machine!$D$2:$D$8,MATCH(D193,Dim_Machine!$A$2:$A$8,0))*I193</f>
        <v>13833.6</v>
      </c>
      <c r="K193" s="4">
        <f>ROUND(J193*0.91,0)</f>
        <v>12589</v>
      </c>
      <c r="L193" s="4">
        <f>ROUND(K193*0.0096,0)</f>
        <v>121</v>
      </c>
      <c r="M193" s="4">
        <f t="shared" si="15"/>
        <v>12468</v>
      </c>
      <c r="N193" s="4">
        <f t="shared" si="16"/>
        <v>0.91003065001156602</v>
      </c>
      <c r="O193" s="4">
        <f t="shared" si="17"/>
        <v>0.87333333333333329</v>
      </c>
      <c r="P193" s="4">
        <f>IFERROR((K193/I193)/(INDEX(Dim_Machine!$E$2:$E$8,MATCH(D193,Dim_Machine!$A$2:$A$8,0))*INDEX(Dim_Machine!$D$2:$D$8,MATCH(D193,Dim_Machine!$A$2:$A$8,0))),0)</f>
        <v>0.91003065001156602</v>
      </c>
      <c r="Q193" s="4">
        <f t="shared" si="18"/>
        <v>0.99038843434744617</v>
      </c>
      <c r="R193" s="4">
        <f t="shared" si="19"/>
        <v>0.78712121212121211</v>
      </c>
      <c r="S193" s="4">
        <f>T193/0.94</f>
        <v>3.3159574468085107</v>
      </c>
      <c r="T193" s="4">
        <f>M193*INDEX(Dim_Product!$C$2:$C$4,MATCH(F193,Dim_Product!$A$2:$A$4,0))/1000000</f>
        <v>3.117</v>
      </c>
      <c r="U193" s="19">
        <f t="shared" si="20"/>
        <v>0.94</v>
      </c>
    </row>
    <row r="194" spans="1:21" x14ac:dyDescent="0.25">
      <c r="A194" s="18" t="s">
        <v>335</v>
      </c>
      <c r="B194" s="4">
        <v>20260702</v>
      </c>
      <c r="C194" s="4">
        <v>3</v>
      </c>
      <c r="D194" s="4" t="s">
        <v>25</v>
      </c>
      <c r="E194" s="4" t="s">
        <v>20</v>
      </c>
      <c r="F194" s="4" t="s">
        <v>143</v>
      </c>
      <c r="G194" s="4">
        <v>60</v>
      </c>
      <c r="H194" s="4">
        <v>2.2999999999999998</v>
      </c>
      <c r="I194" s="4">
        <f t="shared" ref="I194:I257" si="21">G194-H194</f>
        <v>57.7</v>
      </c>
      <c r="J194" s="4">
        <f>INDEX(Dim_Machine!$E$2:$E$8,MATCH(D194,Dim_Machine!$A$2:$A$8,0))*INDEX(Dim_Machine!$D$2:$D$8,MATCH(D194,Dim_Machine!$A$2:$A$8,0))*I194</f>
        <v>41544</v>
      </c>
      <c r="K194" s="4">
        <f>ROUND(J194*0.921,0)</f>
        <v>38262</v>
      </c>
      <c r="L194" s="4">
        <f>ROUND(K194*0.0175,0)</f>
        <v>670</v>
      </c>
      <c r="M194" s="4">
        <f t="shared" ref="M194:M257" si="22">K194-L194</f>
        <v>37592</v>
      </c>
      <c r="N194" s="4">
        <f t="shared" ref="N194:N257" si="23">IFERROR(K194/J194,0)</f>
        <v>0.92099942229924903</v>
      </c>
      <c r="O194" s="4">
        <f t="shared" ref="O194:O257" si="24">IFERROR(I194/G194,0)</f>
        <v>0.96166666666666667</v>
      </c>
      <c r="P194" s="4">
        <f>IFERROR((K194/I194)/(INDEX(Dim_Machine!$E$2:$E$8,MATCH(D194,Dim_Machine!$A$2:$A$8,0))*INDEX(Dim_Machine!$D$2:$D$8,MATCH(D194,Dim_Machine!$A$2:$A$8,0))),0)</f>
        <v>0.92099942229924892</v>
      </c>
      <c r="Q194" s="4">
        <f t="shared" ref="Q194:Q257" si="25">IFERROR(M194/K194,0)</f>
        <v>0.98248915372954893</v>
      </c>
      <c r="R194" s="4">
        <f t="shared" ref="R194:R257" si="26">O194*P194*Q194</f>
        <v>0.87018518518518506</v>
      </c>
      <c r="S194" s="4">
        <f>T194/0.872</f>
        <v>8.6220183486238522</v>
      </c>
      <c r="T194" s="4">
        <f>M194*INDEX(Dim_Product!$C$2:$C$4,MATCH(F194,Dim_Product!$A$2:$A$4,0))/1000000</f>
        <v>7.5183999999999997</v>
      </c>
      <c r="U194" s="19">
        <f t="shared" ref="U194:U257" si="27">IFERROR(T194/S194,0)</f>
        <v>0.87200000000000011</v>
      </c>
    </row>
    <row r="195" spans="1:21" x14ac:dyDescent="0.25">
      <c r="A195" s="18" t="s">
        <v>336</v>
      </c>
      <c r="B195" s="4">
        <v>20260702</v>
      </c>
      <c r="C195" s="4">
        <v>3</v>
      </c>
      <c r="D195" s="4" t="s">
        <v>27</v>
      </c>
      <c r="E195" s="4" t="s">
        <v>20</v>
      </c>
      <c r="F195" s="4" t="s">
        <v>141</v>
      </c>
      <c r="G195" s="4">
        <v>60</v>
      </c>
      <c r="H195" s="4">
        <v>3.8</v>
      </c>
      <c r="I195" s="4">
        <f t="shared" si="21"/>
        <v>56.2</v>
      </c>
      <c r="J195" s="4">
        <f>INDEX(Dim_Machine!$E$2:$E$8,MATCH(D195,Dim_Machine!$A$2:$A$8,0))*INDEX(Dim_Machine!$D$2:$D$8,MATCH(D195,Dim_Machine!$A$2:$A$8,0))*I195</f>
        <v>23379.200000000001</v>
      </c>
      <c r="K195" s="4">
        <f>ROUND(J195*0.871,0)</f>
        <v>20363</v>
      </c>
      <c r="L195" s="4">
        <f>ROUND(K195*0.0093,0)</f>
        <v>189</v>
      </c>
      <c r="M195" s="4">
        <f t="shared" si="22"/>
        <v>20174</v>
      </c>
      <c r="N195" s="4">
        <f t="shared" si="23"/>
        <v>0.87098788666849158</v>
      </c>
      <c r="O195" s="4">
        <f t="shared" si="24"/>
        <v>0.93666666666666676</v>
      </c>
      <c r="P195" s="4">
        <f>IFERROR((K195/I195)/(INDEX(Dim_Machine!$E$2:$E$8,MATCH(D195,Dim_Machine!$A$2:$A$8,0))*INDEX(Dim_Machine!$D$2:$D$8,MATCH(D195,Dim_Machine!$A$2:$A$8,0))),0)</f>
        <v>0.87098788666849158</v>
      </c>
      <c r="Q195" s="4">
        <f t="shared" si="25"/>
        <v>0.99071845995187346</v>
      </c>
      <c r="R195" s="4">
        <f t="shared" si="26"/>
        <v>0.80825320512820509</v>
      </c>
      <c r="S195" s="4">
        <f>T195/0.829</f>
        <v>6.0838359469240046</v>
      </c>
      <c r="T195" s="4">
        <f>M195*INDEX(Dim_Product!$C$2:$C$4,MATCH(F195,Dim_Product!$A$2:$A$4,0))/1000000</f>
        <v>5.0434999999999999</v>
      </c>
      <c r="U195" s="19">
        <f t="shared" si="27"/>
        <v>0.82899999999999996</v>
      </c>
    </row>
    <row r="196" spans="1:21" x14ac:dyDescent="0.25">
      <c r="A196" s="18" t="s">
        <v>337</v>
      </c>
      <c r="B196" s="4">
        <v>20260702</v>
      </c>
      <c r="C196" s="4">
        <v>3</v>
      </c>
      <c r="D196" s="4" t="s">
        <v>29</v>
      </c>
      <c r="E196" s="4" t="s">
        <v>20</v>
      </c>
      <c r="F196" s="4" t="s">
        <v>141</v>
      </c>
      <c r="G196" s="4">
        <v>60</v>
      </c>
      <c r="H196" s="4">
        <v>4.8</v>
      </c>
      <c r="I196" s="4">
        <f t="shared" si="21"/>
        <v>55.2</v>
      </c>
      <c r="J196" s="4">
        <f>INDEX(Dim_Machine!$E$2:$E$8,MATCH(D196,Dim_Machine!$A$2:$A$8,0))*INDEX(Dim_Machine!$D$2:$D$8,MATCH(D196,Dim_Machine!$A$2:$A$8,0))*I196</f>
        <v>15897.6</v>
      </c>
      <c r="K196" s="4">
        <f>ROUND(J196*0.929,0)</f>
        <v>14769</v>
      </c>
      <c r="L196" s="4">
        <f>ROUND(K196*0.0091,0)</f>
        <v>134</v>
      </c>
      <c r="M196" s="4">
        <f t="shared" si="22"/>
        <v>14635</v>
      </c>
      <c r="N196" s="4">
        <f t="shared" si="23"/>
        <v>0.92900815217391297</v>
      </c>
      <c r="O196" s="4">
        <f t="shared" si="24"/>
        <v>0.92</v>
      </c>
      <c r="P196" s="4">
        <f>IFERROR((K196/I196)/(INDEX(Dim_Machine!$E$2:$E$8,MATCH(D196,Dim_Machine!$A$2:$A$8,0))*INDEX(Dim_Machine!$D$2:$D$8,MATCH(D196,Dim_Machine!$A$2:$A$8,0))),0)</f>
        <v>0.92900815217391297</v>
      </c>
      <c r="Q196" s="4">
        <f t="shared" si="25"/>
        <v>0.99092694156679528</v>
      </c>
      <c r="R196" s="4">
        <f t="shared" si="26"/>
        <v>0.84693287037037024</v>
      </c>
      <c r="S196" s="4">
        <f>T196/0.81</f>
        <v>4.5169753086419746</v>
      </c>
      <c r="T196" s="4">
        <f>M196*INDEX(Dim_Product!$C$2:$C$4,MATCH(F196,Dim_Product!$A$2:$A$4,0))/1000000</f>
        <v>3.6587499999999999</v>
      </c>
      <c r="U196" s="19">
        <f t="shared" si="27"/>
        <v>0.81000000000000016</v>
      </c>
    </row>
    <row r="197" spans="1:21" x14ac:dyDescent="0.25">
      <c r="A197" s="18" t="s">
        <v>338</v>
      </c>
      <c r="B197" s="4">
        <v>20260702</v>
      </c>
      <c r="C197" s="4">
        <v>3</v>
      </c>
      <c r="D197" s="4" t="s">
        <v>31</v>
      </c>
      <c r="E197" s="4" t="s">
        <v>20</v>
      </c>
      <c r="F197" s="4" t="s">
        <v>143</v>
      </c>
      <c r="G197" s="4">
        <v>60</v>
      </c>
      <c r="H197" s="4">
        <v>6.2</v>
      </c>
      <c r="I197" s="4">
        <f t="shared" si="21"/>
        <v>53.8</v>
      </c>
      <c r="J197" s="4">
        <f>INDEX(Dim_Machine!$E$2:$E$8,MATCH(D197,Dim_Machine!$A$2:$A$8,0))*INDEX(Dim_Machine!$D$2:$D$8,MATCH(D197,Dim_Machine!$A$2:$A$8,0))*I197</f>
        <v>34862.400000000001</v>
      </c>
      <c r="K197" s="4">
        <f>ROUND(J197*0.951,0)</f>
        <v>33154</v>
      </c>
      <c r="L197" s="4">
        <f>ROUND(K197*0.0152,0)</f>
        <v>504</v>
      </c>
      <c r="M197" s="4">
        <f t="shared" si="22"/>
        <v>32650</v>
      </c>
      <c r="N197" s="4">
        <f t="shared" si="23"/>
        <v>0.95099591537014083</v>
      </c>
      <c r="O197" s="4">
        <f t="shared" si="24"/>
        <v>0.89666666666666661</v>
      </c>
      <c r="P197" s="4">
        <f>IFERROR((K197/I197)/(INDEX(Dim_Machine!$E$2:$E$8,MATCH(D197,Dim_Machine!$A$2:$A$8,0))*INDEX(Dim_Machine!$D$2:$D$8,MATCH(D197,Dim_Machine!$A$2:$A$8,0))),0)</f>
        <v>0.95099591537014094</v>
      </c>
      <c r="Q197" s="4">
        <f t="shared" si="25"/>
        <v>0.98479821439343673</v>
      </c>
      <c r="R197" s="4">
        <f t="shared" si="26"/>
        <v>0.83976337448559668</v>
      </c>
      <c r="S197" s="4">
        <f>T197/0.918</f>
        <v>7.1132897603485841</v>
      </c>
      <c r="T197" s="4">
        <f>M197*INDEX(Dim_Product!$C$2:$C$4,MATCH(F197,Dim_Product!$A$2:$A$4,0))/1000000</f>
        <v>6.53</v>
      </c>
      <c r="U197" s="19">
        <f t="shared" si="27"/>
        <v>0.91800000000000004</v>
      </c>
    </row>
    <row r="198" spans="1:21" x14ac:dyDescent="0.25">
      <c r="A198" s="18" t="s">
        <v>339</v>
      </c>
      <c r="B198" s="4">
        <v>20260702</v>
      </c>
      <c r="C198" s="4">
        <v>4</v>
      </c>
      <c r="D198" s="4" t="s">
        <v>15</v>
      </c>
      <c r="E198" s="4" t="s">
        <v>20</v>
      </c>
      <c r="F198" s="4" t="s">
        <v>187</v>
      </c>
      <c r="G198" s="4">
        <v>60</v>
      </c>
      <c r="H198" s="4">
        <v>2.1</v>
      </c>
      <c r="I198" s="4">
        <f t="shared" si="21"/>
        <v>57.9</v>
      </c>
      <c r="J198" s="4">
        <f>INDEX(Dim_Machine!$E$2:$E$8,MATCH(D198,Dim_Machine!$A$2:$A$8,0))*INDEX(Dim_Machine!$D$2:$D$8,MATCH(D198,Dim_Machine!$A$2:$A$8,0))*I198</f>
        <v>23160</v>
      </c>
      <c r="K198" s="4">
        <f>ROUND(J198*0.781,0)</f>
        <v>18088</v>
      </c>
      <c r="L198" s="4">
        <f>ROUND(K198*0.0268,0)</f>
        <v>485</v>
      </c>
      <c r="M198" s="4">
        <f t="shared" si="22"/>
        <v>17603</v>
      </c>
      <c r="N198" s="4">
        <f t="shared" si="23"/>
        <v>0.7810017271157168</v>
      </c>
      <c r="O198" s="4">
        <f t="shared" si="24"/>
        <v>0.96499999999999997</v>
      </c>
      <c r="P198" s="4">
        <f>IFERROR((K198/I198)/(INDEX(Dim_Machine!$E$2:$E$8,MATCH(D198,Dim_Machine!$A$2:$A$8,0))*INDEX(Dim_Machine!$D$2:$D$8,MATCH(D198,Dim_Machine!$A$2:$A$8,0))),0)</f>
        <v>0.78100172711571669</v>
      </c>
      <c r="Q198" s="4">
        <f t="shared" si="25"/>
        <v>0.97318664307828395</v>
      </c>
      <c r="R198" s="4">
        <f t="shared" si="26"/>
        <v>0.73345833333333332</v>
      </c>
      <c r="S198" s="4">
        <f>T198/0.926</f>
        <v>5.702915766738661</v>
      </c>
      <c r="T198" s="4">
        <f>M198*INDEX(Dim_Product!$C$2:$C$4,MATCH(F198,Dim_Product!$A$2:$A$4,0))/1000000</f>
        <v>5.2808999999999999</v>
      </c>
      <c r="U198" s="19">
        <f t="shared" si="27"/>
        <v>0.92599999999999993</v>
      </c>
    </row>
    <row r="199" spans="1:21" x14ac:dyDescent="0.25">
      <c r="A199" s="18" t="s">
        <v>340</v>
      </c>
      <c r="B199" s="4">
        <v>20260702</v>
      </c>
      <c r="C199" s="4">
        <v>4</v>
      </c>
      <c r="D199" s="4" t="s">
        <v>19</v>
      </c>
      <c r="E199" s="4" t="s">
        <v>20</v>
      </c>
      <c r="F199" s="4" t="s">
        <v>141</v>
      </c>
      <c r="G199" s="4">
        <v>60</v>
      </c>
      <c r="H199" s="4">
        <v>4.5999999999999996</v>
      </c>
      <c r="I199" s="4">
        <f t="shared" si="21"/>
        <v>55.4</v>
      </c>
      <c r="J199" s="4">
        <f>INDEX(Dim_Machine!$E$2:$E$8,MATCH(D199,Dim_Machine!$A$2:$A$8,0))*INDEX(Dim_Machine!$D$2:$D$8,MATCH(D199,Dim_Machine!$A$2:$A$8,0))*I199</f>
        <v>37228.799999999996</v>
      </c>
      <c r="K199" s="4">
        <f>ROUND(J199*0.912,0)</f>
        <v>33953</v>
      </c>
      <c r="L199" s="4">
        <f>ROUND(K199*0.031,0)</f>
        <v>1053</v>
      </c>
      <c r="M199" s="4">
        <f t="shared" si="22"/>
        <v>32900</v>
      </c>
      <c r="N199" s="4">
        <f t="shared" si="23"/>
        <v>0.91200898229327843</v>
      </c>
      <c r="O199" s="4">
        <f t="shared" si="24"/>
        <v>0.92333333333333334</v>
      </c>
      <c r="P199" s="4">
        <f>IFERROR((K199/I199)/(INDEX(Dim_Machine!$E$2:$E$8,MATCH(D199,Dim_Machine!$A$2:$A$8,0))*INDEX(Dim_Machine!$D$2:$D$8,MATCH(D199,Dim_Machine!$A$2:$A$8,0))),0)</f>
        <v>0.91200898229327843</v>
      </c>
      <c r="Q199" s="4">
        <f t="shared" si="25"/>
        <v>0.9689865402173593</v>
      </c>
      <c r="R199" s="4">
        <f t="shared" si="26"/>
        <v>0.81597222222222232</v>
      </c>
      <c r="S199" s="4">
        <f>T199/0.867</f>
        <v>9.4867358708189151</v>
      </c>
      <c r="T199" s="4">
        <f>M199*INDEX(Dim_Product!$C$2:$C$4,MATCH(F199,Dim_Product!$A$2:$A$4,0))/1000000</f>
        <v>8.2249999999999996</v>
      </c>
      <c r="U199" s="19">
        <f t="shared" si="27"/>
        <v>0.86699999999999999</v>
      </c>
    </row>
    <row r="200" spans="1:21" x14ac:dyDescent="0.25">
      <c r="A200" s="18" t="s">
        <v>341</v>
      </c>
      <c r="B200" s="4">
        <v>20260702</v>
      </c>
      <c r="C200" s="4">
        <v>4</v>
      </c>
      <c r="D200" s="4" t="s">
        <v>23</v>
      </c>
      <c r="E200" s="4" t="s">
        <v>20</v>
      </c>
      <c r="F200" s="4" t="s">
        <v>141</v>
      </c>
      <c r="G200" s="4">
        <v>60</v>
      </c>
      <c r="H200" s="4">
        <v>3.9</v>
      </c>
      <c r="I200" s="4">
        <f t="shared" si="21"/>
        <v>56.1</v>
      </c>
      <c r="J200" s="4">
        <f>INDEX(Dim_Machine!$E$2:$E$8,MATCH(D200,Dim_Machine!$A$2:$A$8,0))*INDEX(Dim_Machine!$D$2:$D$8,MATCH(D200,Dim_Machine!$A$2:$A$8,0))*I200</f>
        <v>14810.4</v>
      </c>
      <c r="K200" s="4">
        <f>ROUND(J200*0.846,0)</f>
        <v>12530</v>
      </c>
      <c r="L200" s="4">
        <f>ROUND(K200*0.0279,0)</f>
        <v>350</v>
      </c>
      <c r="M200" s="4">
        <f t="shared" si="22"/>
        <v>12180</v>
      </c>
      <c r="N200" s="4">
        <f t="shared" si="23"/>
        <v>0.846027116080592</v>
      </c>
      <c r="O200" s="4">
        <f t="shared" si="24"/>
        <v>0.93500000000000005</v>
      </c>
      <c r="P200" s="4">
        <f>IFERROR((K200/I200)/(INDEX(Dim_Machine!$E$2:$E$8,MATCH(D200,Dim_Machine!$A$2:$A$8,0))*INDEX(Dim_Machine!$D$2:$D$8,MATCH(D200,Dim_Machine!$A$2:$A$8,0))),0)</f>
        <v>0.846027116080592</v>
      </c>
      <c r="Q200" s="4">
        <f t="shared" si="25"/>
        <v>0.97206703910614523</v>
      </c>
      <c r="R200" s="4">
        <f t="shared" si="26"/>
        <v>0.76893939393939392</v>
      </c>
      <c r="S200" s="4">
        <f>T200/0.857</f>
        <v>3.5530921820303383</v>
      </c>
      <c r="T200" s="4">
        <f>M200*INDEX(Dim_Product!$C$2:$C$4,MATCH(F200,Dim_Product!$A$2:$A$4,0))/1000000</f>
        <v>3.0449999999999999</v>
      </c>
      <c r="U200" s="19">
        <f t="shared" si="27"/>
        <v>0.85699999999999998</v>
      </c>
    </row>
    <row r="201" spans="1:21" x14ac:dyDescent="0.25">
      <c r="A201" s="18" t="s">
        <v>342</v>
      </c>
      <c r="B201" s="4">
        <v>20260702</v>
      </c>
      <c r="C201" s="4">
        <v>4</v>
      </c>
      <c r="D201" s="4" t="s">
        <v>25</v>
      </c>
      <c r="E201" s="4" t="s">
        <v>20</v>
      </c>
      <c r="F201" s="4" t="s">
        <v>143</v>
      </c>
      <c r="G201" s="4">
        <v>60</v>
      </c>
      <c r="H201" s="4">
        <v>7.5</v>
      </c>
      <c r="I201" s="4">
        <f t="shared" si="21"/>
        <v>52.5</v>
      </c>
      <c r="J201" s="4">
        <f>INDEX(Dim_Machine!$E$2:$E$8,MATCH(D201,Dim_Machine!$A$2:$A$8,0))*INDEX(Dim_Machine!$D$2:$D$8,MATCH(D201,Dim_Machine!$A$2:$A$8,0))*I201</f>
        <v>37800</v>
      </c>
      <c r="K201" s="4">
        <f>ROUND(J201*0.954,0)</f>
        <v>36061</v>
      </c>
      <c r="L201" s="4">
        <f>ROUND(K201*0.0344,0)</f>
        <v>1240</v>
      </c>
      <c r="M201" s="4">
        <f t="shared" si="22"/>
        <v>34821</v>
      </c>
      <c r="N201" s="4">
        <f t="shared" si="23"/>
        <v>0.95399470899470895</v>
      </c>
      <c r="O201" s="4">
        <f t="shared" si="24"/>
        <v>0.875</v>
      </c>
      <c r="P201" s="4">
        <f>IFERROR((K201/I201)/(INDEX(Dim_Machine!$E$2:$E$8,MATCH(D201,Dim_Machine!$A$2:$A$8,0))*INDEX(Dim_Machine!$D$2:$D$8,MATCH(D201,Dim_Machine!$A$2:$A$8,0))),0)</f>
        <v>0.95399470899470895</v>
      </c>
      <c r="Q201" s="4">
        <f t="shared" si="25"/>
        <v>0.96561382102548454</v>
      </c>
      <c r="R201" s="4">
        <f t="shared" si="26"/>
        <v>0.80604166666666655</v>
      </c>
      <c r="S201" s="4">
        <f>T201/0.836</f>
        <v>8.3303827751196167</v>
      </c>
      <c r="T201" s="4">
        <f>M201*INDEX(Dim_Product!$C$2:$C$4,MATCH(F201,Dim_Product!$A$2:$A$4,0))/1000000</f>
        <v>6.9641999999999999</v>
      </c>
      <c r="U201" s="19">
        <f t="shared" si="27"/>
        <v>0.83600000000000008</v>
      </c>
    </row>
    <row r="202" spans="1:21" x14ac:dyDescent="0.25">
      <c r="A202" s="18" t="s">
        <v>343</v>
      </c>
      <c r="B202" s="4">
        <v>20260702</v>
      </c>
      <c r="C202" s="4">
        <v>4</v>
      </c>
      <c r="D202" s="4" t="s">
        <v>27</v>
      </c>
      <c r="E202" s="4" t="s">
        <v>20</v>
      </c>
      <c r="F202" s="4" t="s">
        <v>141</v>
      </c>
      <c r="G202" s="4">
        <v>60</v>
      </c>
      <c r="H202" s="4">
        <v>3.1</v>
      </c>
      <c r="I202" s="4">
        <f t="shared" si="21"/>
        <v>56.9</v>
      </c>
      <c r="J202" s="4">
        <f>INDEX(Dim_Machine!$E$2:$E$8,MATCH(D202,Dim_Machine!$A$2:$A$8,0))*INDEX(Dim_Machine!$D$2:$D$8,MATCH(D202,Dim_Machine!$A$2:$A$8,0))*I202</f>
        <v>23670.399999999998</v>
      </c>
      <c r="K202" s="4">
        <f>ROUND(J202*0.951,0)</f>
        <v>22511</v>
      </c>
      <c r="L202" s="4">
        <f>ROUND(K202*0.0173,0)</f>
        <v>389</v>
      </c>
      <c r="M202" s="4">
        <f t="shared" si="22"/>
        <v>22122</v>
      </c>
      <c r="N202" s="4">
        <f t="shared" si="23"/>
        <v>0.95101899418683256</v>
      </c>
      <c r="O202" s="4">
        <f t="shared" si="24"/>
        <v>0.94833333333333336</v>
      </c>
      <c r="P202" s="4">
        <f>IFERROR((K202/I202)/(INDEX(Dim_Machine!$E$2:$E$8,MATCH(D202,Dim_Machine!$A$2:$A$8,0))*INDEX(Dim_Machine!$D$2:$D$8,MATCH(D202,Dim_Machine!$A$2:$A$8,0))),0)</f>
        <v>0.95101899418683256</v>
      </c>
      <c r="Q202" s="4">
        <f t="shared" si="25"/>
        <v>0.98271955932655142</v>
      </c>
      <c r="R202" s="4">
        <f t="shared" si="26"/>
        <v>0.88629807692307694</v>
      </c>
      <c r="S202" s="4">
        <f>T202/0.848</f>
        <v>6.5218160377358494</v>
      </c>
      <c r="T202" s="4">
        <f>M202*INDEX(Dim_Product!$C$2:$C$4,MATCH(F202,Dim_Product!$A$2:$A$4,0))/1000000</f>
        <v>5.5305</v>
      </c>
      <c r="U202" s="19">
        <f t="shared" si="27"/>
        <v>0.84799999999999998</v>
      </c>
    </row>
    <row r="203" spans="1:21" x14ac:dyDescent="0.25">
      <c r="A203" s="18" t="s">
        <v>344</v>
      </c>
      <c r="B203" s="4">
        <v>20260702</v>
      </c>
      <c r="C203" s="4">
        <v>4</v>
      </c>
      <c r="D203" s="4" t="s">
        <v>29</v>
      </c>
      <c r="E203" s="4" t="s">
        <v>20</v>
      </c>
      <c r="F203" s="4" t="s">
        <v>141</v>
      </c>
      <c r="G203" s="4">
        <v>60</v>
      </c>
      <c r="H203" s="4">
        <v>3.8</v>
      </c>
      <c r="I203" s="4">
        <f t="shared" si="21"/>
        <v>56.2</v>
      </c>
      <c r="J203" s="4">
        <f>INDEX(Dim_Machine!$E$2:$E$8,MATCH(D203,Dim_Machine!$A$2:$A$8,0))*INDEX(Dim_Machine!$D$2:$D$8,MATCH(D203,Dim_Machine!$A$2:$A$8,0))*I203</f>
        <v>16185.6</v>
      </c>
      <c r="K203" s="4">
        <f>ROUND(J203*0.963,0)</f>
        <v>15587</v>
      </c>
      <c r="L203" s="4">
        <f>ROUND(K203*0.0164,0)</f>
        <v>256</v>
      </c>
      <c r="M203" s="4">
        <f t="shared" si="22"/>
        <v>15331</v>
      </c>
      <c r="N203" s="4">
        <f t="shared" si="23"/>
        <v>0.96301650850138387</v>
      </c>
      <c r="O203" s="4">
        <f t="shared" si="24"/>
        <v>0.93666666666666676</v>
      </c>
      <c r="P203" s="4">
        <f>IFERROR((K203/I203)/(INDEX(Dim_Machine!$E$2:$E$8,MATCH(D203,Dim_Machine!$A$2:$A$8,0))*INDEX(Dim_Machine!$D$2:$D$8,MATCH(D203,Dim_Machine!$A$2:$A$8,0))),0)</f>
        <v>0.96301650850138387</v>
      </c>
      <c r="Q203" s="4">
        <f t="shared" si="25"/>
        <v>0.98357605697055239</v>
      </c>
      <c r="R203" s="4">
        <f t="shared" si="26"/>
        <v>0.8872106481481481</v>
      </c>
      <c r="S203" s="4">
        <f>T203/0.948</f>
        <v>4.0429852320675108</v>
      </c>
      <c r="T203" s="4">
        <f>M203*INDEX(Dim_Product!$C$2:$C$4,MATCH(F203,Dim_Product!$A$2:$A$4,0))/1000000</f>
        <v>3.8327499999999999</v>
      </c>
      <c r="U203" s="19">
        <f t="shared" si="27"/>
        <v>0.94799999999999995</v>
      </c>
    </row>
    <row r="204" spans="1:21" x14ac:dyDescent="0.25">
      <c r="A204" s="18" t="s">
        <v>345</v>
      </c>
      <c r="B204" s="4">
        <v>20260702</v>
      </c>
      <c r="C204" s="4">
        <v>4</v>
      </c>
      <c r="D204" s="4" t="s">
        <v>31</v>
      </c>
      <c r="E204" s="4" t="s">
        <v>20</v>
      </c>
      <c r="F204" s="4" t="s">
        <v>143</v>
      </c>
      <c r="G204" s="4">
        <v>60</v>
      </c>
      <c r="H204" s="4">
        <v>6.3</v>
      </c>
      <c r="I204" s="4">
        <f t="shared" si="21"/>
        <v>53.7</v>
      </c>
      <c r="J204" s="4">
        <f>INDEX(Dim_Machine!$E$2:$E$8,MATCH(D204,Dim_Machine!$A$2:$A$8,0))*INDEX(Dim_Machine!$D$2:$D$8,MATCH(D204,Dim_Machine!$A$2:$A$8,0))*I204</f>
        <v>34797.599999999999</v>
      </c>
      <c r="K204" s="4">
        <f>ROUND(J204*0.91,0)</f>
        <v>31666</v>
      </c>
      <c r="L204" s="4">
        <f>ROUND(K204*0.0096,0)</f>
        <v>304</v>
      </c>
      <c r="M204" s="4">
        <f t="shared" si="22"/>
        <v>31362</v>
      </c>
      <c r="N204" s="4">
        <f t="shared" si="23"/>
        <v>0.91000528772099232</v>
      </c>
      <c r="O204" s="4">
        <f t="shared" si="24"/>
        <v>0.89500000000000002</v>
      </c>
      <c r="P204" s="4">
        <f>IFERROR((K204/I204)/(INDEX(Dim_Machine!$E$2:$E$8,MATCH(D204,Dim_Machine!$A$2:$A$8,0))*INDEX(Dim_Machine!$D$2:$D$8,MATCH(D204,Dim_Machine!$A$2:$A$8,0))),0)</f>
        <v>0.91000528772099221</v>
      </c>
      <c r="Q204" s="4">
        <f t="shared" si="25"/>
        <v>0.99039979789048194</v>
      </c>
      <c r="R204" s="4">
        <f t="shared" si="26"/>
        <v>0.8066358024691358</v>
      </c>
      <c r="S204" s="4">
        <f>T204/0.945</f>
        <v>6.6374603174603184</v>
      </c>
      <c r="T204" s="4">
        <f>M204*INDEX(Dim_Product!$C$2:$C$4,MATCH(F204,Dim_Product!$A$2:$A$4,0))/1000000</f>
        <v>6.2724000000000002</v>
      </c>
      <c r="U204" s="19">
        <f t="shared" si="27"/>
        <v>0.94499999999999995</v>
      </c>
    </row>
    <row r="205" spans="1:21" x14ac:dyDescent="0.25">
      <c r="A205" s="18" t="s">
        <v>346</v>
      </c>
      <c r="B205" s="4">
        <v>20260702</v>
      </c>
      <c r="C205" s="4">
        <v>5</v>
      </c>
      <c r="D205" s="4" t="s">
        <v>15</v>
      </c>
      <c r="E205" s="4" t="s">
        <v>20</v>
      </c>
      <c r="F205" s="4" t="s">
        <v>187</v>
      </c>
      <c r="G205" s="4">
        <v>60</v>
      </c>
      <c r="H205" s="4">
        <v>1</v>
      </c>
      <c r="I205" s="4">
        <f t="shared" si="21"/>
        <v>59</v>
      </c>
      <c r="J205" s="4">
        <f>INDEX(Dim_Machine!$E$2:$E$8,MATCH(D205,Dim_Machine!$A$2:$A$8,0))*INDEX(Dim_Machine!$D$2:$D$8,MATCH(D205,Dim_Machine!$A$2:$A$8,0))*I205</f>
        <v>23600</v>
      </c>
      <c r="K205" s="4">
        <f>ROUND(J205*0.973,0)</f>
        <v>22963</v>
      </c>
      <c r="L205" s="4">
        <f>ROUND(K205*0.015,0)</f>
        <v>344</v>
      </c>
      <c r="M205" s="4">
        <f t="shared" si="22"/>
        <v>22619</v>
      </c>
      <c r="N205" s="4">
        <f t="shared" si="23"/>
        <v>0.97300847457627115</v>
      </c>
      <c r="O205" s="4">
        <f t="shared" si="24"/>
        <v>0.98333333333333328</v>
      </c>
      <c r="P205" s="4">
        <f>IFERROR((K205/I205)/(INDEX(Dim_Machine!$E$2:$E$8,MATCH(D205,Dim_Machine!$A$2:$A$8,0))*INDEX(Dim_Machine!$D$2:$D$8,MATCH(D205,Dim_Machine!$A$2:$A$8,0))),0)</f>
        <v>0.97300847457627115</v>
      </c>
      <c r="Q205" s="4">
        <f t="shared" si="25"/>
        <v>0.98501937900100156</v>
      </c>
      <c r="R205" s="4">
        <f t="shared" si="26"/>
        <v>0.94245833333333318</v>
      </c>
      <c r="S205" s="4">
        <f>T205/0.815</f>
        <v>8.3260122699386514</v>
      </c>
      <c r="T205" s="4">
        <f>M205*INDEX(Dim_Product!$C$2:$C$4,MATCH(F205,Dim_Product!$A$2:$A$4,0))/1000000</f>
        <v>6.7857000000000003</v>
      </c>
      <c r="U205" s="19">
        <f t="shared" si="27"/>
        <v>0.81499999999999995</v>
      </c>
    </row>
    <row r="206" spans="1:21" x14ac:dyDescent="0.25">
      <c r="A206" s="18" t="s">
        <v>347</v>
      </c>
      <c r="B206" s="4">
        <v>20260702</v>
      </c>
      <c r="C206" s="4">
        <v>5</v>
      </c>
      <c r="D206" s="4" t="s">
        <v>19</v>
      </c>
      <c r="E206" s="4" t="s">
        <v>20</v>
      </c>
      <c r="F206" s="4" t="s">
        <v>141</v>
      </c>
      <c r="G206" s="4">
        <v>60</v>
      </c>
      <c r="H206" s="4">
        <v>6.8</v>
      </c>
      <c r="I206" s="4">
        <f t="shared" si="21"/>
        <v>53.2</v>
      </c>
      <c r="J206" s="4">
        <f>INDEX(Dim_Machine!$E$2:$E$8,MATCH(D206,Dim_Machine!$A$2:$A$8,0))*INDEX(Dim_Machine!$D$2:$D$8,MATCH(D206,Dim_Machine!$A$2:$A$8,0))*I206</f>
        <v>35750.400000000001</v>
      </c>
      <c r="K206" s="4">
        <f>ROUND(J206*0.8,0)</f>
        <v>28600</v>
      </c>
      <c r="L206" s="4">
        <f>ROUND(K206*0.0323,0)</f>
        <v>924</v>
      </c>
      <c r="M206" s="4">
        <f t="shared" si="22"/>
        <v>27676</v>
      </c>
      <c r="N206" s="4">
        <f t="shared" si="23"/>
        <v>0.79999104905119944</v>
      </c>
      <c r="O206" s="4">
        <f t="shared" si="24"/>
        <v>0.88666666666666671</v>
      </c>
      <c r="P206" s="4">
        <f>IFERROR((K206/I206)/(INDEX(Dim_Machine!$E$2:$E$8,MATCH(D206,Dim_Machine!$A$2:$A$8,0))*INDEX(Dim_Machine!$D$2:$D$8,MATCH(D206,Dim_Machine!$A$2:$A$8,0))),0)</f>
        <v>0.79999104905119944</v>
      </c>
      <c r="Q206" s="4">
        <f t="shared" si="25"/>
        <v>0.96769230769230774</v>
      </c>
      <c r="R206" s="4">
        <f t="shared" si="26"/>
        <v>0.68640873015873027</v>
      </c>
      <c r="S206" s="4">
        <f>T206/0.802</f>
        <v>8.6271820448877801</v>
      </c>
      <c r="T206" s="4">
        <f>M206*INDEX(Dim_Product!$C$2:$C$4,MATCH(F206,Dim_Product!$A$2:$A$4,0))/1000000</f>
        <v>6.9189999999999996</v>
      </c>
      <c r="U206" s="19">
        <f t="shared" si="27"/>
        <v>0.80200000000000005</v>
      </c>
    </row>
    <row r="207" spans="1:21" x14ac:dyDescent="0.25">
      <c r="A207" s="18" t="s">
        <v>348</v>
      </c>
      <c r="B207" s="4">
        <v>20260702</v>
      </c>
      <c r="C207" s="4">
        <v>5</v>
      </c>
      <c r="D207" s="4" t="s">
        <v>23</v>
      </c>
      <c r="E207" s="4" t="s">
        <v>20</v>
      </c>
      <c r="F207" s="4" t="s">
        <v>141</v>
      </c>
      <c r="G207" s="4">
        <v>60</v>
      </c>
      <c r="H207" s="4">
        <v>1.2</v>
      </c>
      <c r="I207" s="4">
        <f t="shared" si="21"/>
        <v>58.8</v>
      </c>
      <c r="J207" s="4">
        <f>INDEX(Dim_Machine!$E$2:$E$8,MATCH(D207,Dim_Machine!$A$2:$A$8,0))*INDEX(Dim_Machine!$D$2:$D$8,MATCH(D207,Dim_Machine!$A$2:$A$8,0))*I207</f>
        <v>15523.199999999999</v>
      </c>
      <c r="K207" s="4">
        <f>ROUND(J207*0.954,0)</f>
        <v>14809</v>
      </c>
      <c r="L207" s="4">
        <f>ROUND(K207*0.0341,0)</f>
        <v>505</v>
      </c>
      <c r="M207" s="4">
        <f t="shared" si="22"/>
        <v>14304</v>
      </c>
      <c r="N207" s="4">
        <f t="shared" si="23"/>
        <v>0.9539914450628737</v>
      </c>
      <c r="O207" s="4">
        <f t="shared" si="24"/>
        <v>0.98</v>
      </c>
      <c r="P207" s="4">
        <f>IFERROR((K207/I207)/(INDEX(Dim_Machine!$E$2:$E$8,MATCH(D207,Dim_Machine!$A$2:$A$8,0))*INDEX(Dim_Machine!$D$2:$D$8,MATCH(D207,Dim_Machine!$A$2:$A$8,0))),0)</f>
        <v>0.9539914450628737</v>
      </c>
      <c r="Q207" s="4">
        <f t="shared" si="25"/>
        <v>0.9658991154027956</v>
      </c>
      <c r="R207" s="4">
        <f t="shared" si="26"/>
        <v>0.90303030303030307</v>
      </c>
      <c r="S207" s="4">
        <f>T207/0.811</f>
        <v>4.409371146732429</v>
      </c>
      <c r="T207" s="4">
        <f>M207*INDEX(Dim_Product!$C$2:$C$4,MATCH(F207,Dim_Product!$A$2:$A$4,0))/1000000</f>
        <v>3.5760000000000001</v>
      </c>
      <c r="U207" s="19">
        <f t="shared" si="27"/>
        <v>0.81100000000000005</v>
      </c>
    </row>
    <row r="208" spans="1:21" x14ac:dyDescent="0.25">
      <c r="A208" s="18" t="s">
        <v>349</v>
      </c>
      <c r="B208" s="4">
        <v>20260702</v>
      </c>
      <c r="C208" s="4">
        <v>5</v>
      </c>
      <c r="D208" s="4" t="s">
        <v>25</v>
      </c>
      <c r="E208" s="4" t="s">
        <v>20</v>
      </c>
      <c r="F208" s="4" t="s">
        <v>143</v>
      </c>
      <c r="G208" s="4">
        <v>60</v>
      </c>
      <c r="H208" s="4">
        <v>6.3</v>
      </c>
      <c r="I208" s="4">
        <f t="shared" si="21"/>
        <v>53.7</v>
      </c>
      <c r="J208" s="4">
        <f>INDEX(Dim_Machine!$E$2:$E$8,MATCH(D208,Dim_Machine!$A$2:$A$8,0))*INDEX(Dim_Machine!$D$2:$D$8,MATCH(D208,Dim_Machine!$A$2:$A$8,0))*I208</f>
        <v>38664</v>
      </c>
      <c r="K208" s="4">
        <f>ROUND(J208*0.833,0)</f>
        <v>32207</v>
      </c>
      <c r="L208" s="4">
        <f>ROUND(K208*0.0237,0)</f>
        <v>763</v>
      </c>
      <c r="M208" s="4">
        <f t="shared" si="22"/>
        <v>31444</v>
      </c>
      <c r="N208" s="4">
        <f t="shared" si="23"/>
        <v>0.83299710324849985</v>
      </c>
      <c r="O208" s="4">
        <f t="shared" si="24"/>
        <v>0.89500000000000002</v>
      </c>
      <c r="P208" s="4">
        <f>IFERROR((K208/I208)/(INDEX(Dim_Machine!$E$2:$E$8,MATCH(D208,Dim_Machine!$A$2:$A$8,0))*INDEX(Dim_Machine!$D$2:$D$8,MATCH(D208,Dim_Machine!$A$2:$A$8,0))),0)</f>
        <v>0.83299710324849996</v>
      </c>
      <c r="Q208" s="4">
        <f t="shared" si="25"/>
        <v>0.97630949793523147</v>
      </c>
      <c r="R208" s="4">
        <f t="shared" si="26"/>
        <v>0.72787037037037039</v>
      </c>
      <c r="S208" s="4">
        <f>T208/0.86</f>
        <v>7.3125581395348842</v>
      </c>
      <c r="T208" s="4">
        <f>M208*INDEX(Dim_Product!$C$2:$C$4,MATCH(F208,Dim_Product!$A$2:$A$4,0))/1000000</f>
        <v>6.2888000000000002</v>
      </c>
      <c r="U208" s="19">
        <f t="shared" si="27"/>
        <v>0.86</v>
      </c>
    </row>
    <row r="209" spans="1:21" x14ac:dyDescent="0.25">
      <c r="A209" s="18" t="s">
        <v>350</v>
      </c>
      <c r="B209" s="4">
        <v>20260702</v>
      </c>
      <c r="C209" s="4">
        <v>5</v>
      </c>
      <c r="D209" s="4" t="s">
        <v>27</v>
      </c>
      <c r="E209" s="4" t="s">
        <v>20</v>
      </c>
      <c r="F209" s="4" t="s">
        <v>141</v>
      </c>
      <c r="G209" s="4">
        <v>60</v>
      </c>
      <c r="H209" s="4">
        <v>0.6</v>
      </c>
      <c r="I209" s="4">
        <f t="shared" si="21"/>
        <v>59.4</v>
      </c>
      <c r="J209" s="4">
        <f>INDEX(Dim_Machine!$E$2:$E$8,MATCH(D209,Dim_Machine!$A$2:$A$8,0))*INDEX(Dim_Machine!$D$2:$D$8,MATCH(D209,Dim_Machine!$A$2:$A$8,0))*I209</f>
        <v>24710.399999999998</v>
      </c>
      <c r="K209" s="4">
        <f>ROUND(J209*0.846,0)</f>
        <v>20905</v>
      </c>
      <c r="L209" s="4">
        <f>ROUND(K209*0.0252,0)</f>
        <v>527</v>
      </c>
      <c r="M209" s="4">
        <f t="shared" si="22"/>
        <v>20378</v>
      </c>
      <c r="N209" s="4">
        <f t="shared" si="23"/>
        <v>0.84600006475006484</v>
      </c>
      <c r="O209" s="4">
        <f t="shared" si="24"/>
        <v>0.99</v>
      </c>
      <c r="P209" s="4">
        <f>IFERROR((K209/I209)/(INDEX(Dim_Machine!$E$2:$E$8,MATCH(D209,Dim_Machine!$A$2:$A$8,0))*INDEX(Dim_Machine!$D$2:$D$8,MATCH(D209,Dim_Machine!$A$2:$A$8,0))),0)</f>
        <v>0.84600006475006484</v>
      </c>
      <c r="Q209" s="4">
        <f t="shared" si="25"/>
        <v>0.97479071992346333</v>
      </c>
      <c r="R209" s="4">
        <f t="shared" si="26"/>
        <v>0.8164262820512822</v>
      </c>
      <c r="S209" s="4">
        <f>T209/0.88</f>
        <v>5.7892045454545453</v>
      </c>
      <c r="T209" s="4">
        <f>M209*INDEX(Dim_Product!$C$2:$C$4,MATCH(F209,Dim_Product!$A$2:$A$4,0))/1000000</f>
        <v>5.0945</v>
      </c>
      <c r="U209" s="19">
        <f t="shared" si="27"/>
        <v>0.88</v>
      </c>
    </row>
    <row r="210" spans="1:21" x14ac:dyDescent="0.25">
      <c r="A210" s="18" t="s">
        <v>351</v>
      </c>
      <c r="B210" s="4">
        <v>20260702</v>
      </c>
      <c r="C210" s="4">
        <v>5</v>
      </c>
      <c r="D210" s="4" t="s">
        <v>29</v>
      </c>
      <c r="E210" s="4" t="s">
        <v>20</v>
      </c>
      <c r="F210" s="4" t="s">
        <v>141</v>
      </c>
      <c r="G210" s="4">
        <v>60</v>
      </c>
      <c r="H210" s="4">
        <v>7.6</v>
      </c>
      <c r="I210" s="4">
        <f t="shared" si="21"/>
        <v>52.4</v>
      </c>
      <c r="J210" s="4">
        <f>INDEX(Dim_Machine!$E$2:$E$8,MATCH(D210,Dim_Machine!$A$2:$A$8,0))*INDEX(Dim_Machine!$D$2:$D$8,MATCH(D210,Dim_Machine!$A$2:$A$8,0))*I210</f>
        <v>15091.199999999999</v>
      </c>
      <c r="K210" s="4">
        <f>ROUND(J210*0.905,0)</f>
        <v>13658</v>
      </c>
      <c r="L210" s="4">
        <f>ROUND(K210*0.0316,0)</f>
        <v>432</v>
      </c>
      <c r="M210" s="4">
        <f t="shared" si="22"/>
        <v>13226</v>
      </c>
      <c r="N210" s="4">
        <f t="shared" si="23"/>
        <v>0.90503074639525027</v>
      </c>
      <c r="O210" s="4">
        <f t="shared" si="24"/>
        <v>0.87333333333333329</v>
      </c>
      <c r="P210" s="4">
        <f>IFERROR((K210/I210)/(INDEX(Dim_Machine!$E$2:$E$8,MATCH(D210,Dim_Machine!$A$2:$A$8,0))*INDEX(Dim_Machine!$D$2:$D$8,MATCH(D210,Dim_Machine!$A$2:$A$8,0))),0)</f>
        <v>0.90503074639525016</v>
      </c>
      <c r="Q210" s="4">
        <f t="shared" si="25"/>
        <v>0.96837018597159175</v>
      </c>
      <c r="R210" s="4">
        <f t="shared" si="26"/>
        <v>0.76539351851851845</v>
      </c>
      <c r="S210" s="4">
        <f>T210/0.873</f>
        <v>3.7875143184421538</v>
      </c>
      <c r="T210" s="4">
        <f>M210*INDEX(Dim_Product!$C$2:$C$4,MATCH(F210,Dim_Product!$A$2:$A$4,0))/1000000</f>
        <v>3.3065000000000002</v>
      </c>
      <c r="U210" s="19">
        <f t="shared" si="27"/>
        <v>0.873</v>
      </c>
    </row>
    <row r="211" spans="1:21" x14ac:dyDescent="0.25">
      <c r="A211" s="18" t="s">
        <v>352</v>
      </c>
      <c r="B211" s="4">
        <v>20260702</v>
      </c>
      <c r="C211" s="4">
        <v>5</v>
      </c>
      <c r="D211" s="4" t="s">
        <v>31</v>
      </c>
      <c r="E211" s="4" t="s">
        <v>20</v>
      </c>
      <c r="F211" s="4" t="s">
        <v>143</v>
      </c>
      <c r="G211" s="4">
        <v>60</v>
      </c>
      <c r="H211" s="4">
        <v>4.3</v>
      </c>
      <c r="I211" s="4">
        <f t="shared" si="21"/>
        <v>55.7</v>
      </c>
      <c r="J211" s="4">
        <f>INDEX(Dim_Machine!$E$2:$E$8,MATCH(D211,Dim_Machine!$A$2:$A$8,0))*INDEX(Dim_Machine!$D$2:$D$8,MATCH(D211,Dim_Machine!$A$2:$A$8,0))*I211</f>
        <v>36093.599999999999</v>
      </c>
      <c r="K211" s="4">
        <f>ROUND(J211*0.903,0)</f>
        <v>32593</v>
      </c>
      <c r="L211" s="4">
        <f>ROUND(K211*0.012,0)</f>
        <v>391</v>
      </c>
      <c r="M211" s="4">
        <f t="shared" si="22"/>
        <v>32202</v>
      </c>
      <c r="N211" s="4">
        <f t="shared" si="23"/>
        <v>0.90301327659197206</v>
      </c>
      <c r="O211" s="4">
        <f t="shared" si="24"/>
        <v>0.92833333333333334</v>
      </c>
      <c r="P211" s="4">
        <f>IFERROR((K211/I211)/(INDEX(Dim_Machine!$E$2:$E$8,MATCH(D211,Dim_Machine!$A$2:$A$8,0))*INDEX(Dim_Machine!$D$2:$D$8,MATCH(D211,Dim_Machine!$A$2:$A$8,0))),0)</f>
        <v>0.90301327659197195</v>
      </c>
      <c r="Q211" s="4">
        <f t="shared" si="25"/>
        <v>0.98800355904642101</v>
      </c>
      <c r="R211" s="4">
        <f t="shared" si="26"/>
        <v>0.82824074074074072</v>
      </c>
      <c r="S211" s="4">
        <f>T211/0.903</f>
        <v>7.1322259136212622</v>
      </c>
      <c r="T211" s="4">
        <f>M211*INDEX(Dim_Product!$C$2:$C$4,MATCH(F211,Dim_Product!$A$2:$A$4,0))/1000000</f>
        <v>6.4404000000000003</v>
      </c>
      <c r="U211" s="19">
        <f t="shared" si="27"/>
        <v>0.90300000000000002</v>
      </c>
    </row>
    <row r="212" spans="1:21" x14ac:dyDescent="0.25">
      <c r="A212" s="18" t="s">
        <v>353</v>
      </c>
      <c r="B212" s="4">
        <v>20260702</v>
      </c>
      <c r="C212" s="4">
        <v>6</v>
      </c>
      <c r="D212" s="4" t="s">
        <v>15</v>
      </c>
      <c r="E212" s="4" t="s">
        <v>16</v>
      </c>
      <c r="F212" s="4" t="s">
        <v>143</v>
      </c>
      <c r="G212" s="4">
        <v>60</v>
      </c>
      <c r="H212" s="4">
        <v>2.2999999999999998</v>
      </c>
      <c r="I212" s="4">
        <f t="shared" si="21"/>
        <v>57.7</v>
      </c>
      <c r="J212" s="4">
        <f>INDEX(Dim_Machine!$E$2:$E$8,MATCH(D212,Dim_Machine!$A$2:$A$8,0))*INDEX(Dim_Machine!$D$2:$D$8,MATCH(D212,Dim_Machine!$A$2:$A$8,0))*I212</f>
        <v>23080</v>
      </c>
      <c r="K212" s="4">
        <f>ROUND(J212*0.825,0)</f>
        <v>19041</v>
      </c>
      <c r="L212" s="4">
        <f>ROUND(K212*0.0077,0)</f>
        <v>147</v>
      </c>
      <c r="M212" s="4">
        <f t="shared" si="22"/>
        <v>18894</v>
      </c>
      <c r="N212" s="4">
        <f t="shared" si="23"/>
        <v>0.82499999999999996</v>
      </c>
      <c r="O212" s="4">
        <f t="shared" si="24"/>
        <v>0.96166666666666667</v>
      </c>
      <c r="P212" s="4">
        <f>IFERROR((K212/I212)/(INDEX(Dim_Machine!$E$2:$E$8,MATCH(D212,Dim_Machine!$A$2:$A$8,0))*INDEX(Dim_Machine!$D$2:$D$8,MATCH(D212,Dim_Machine!$A$2:$A$8,0))),0)</f>
        <v>0.82499999999999996</v>
      </c>
      <c r="Q212" s="4">
        <f t="shared" si="25"/>
        <v>0.99227981723648973</v>
      </c>
      <c r="R212" s="4">
        <f t="shared" si="26"/>
        <v>0.78725000000000001</v>
      </c>
      <c r="S212" s="4">
        <f>T212/0.947</f>
        <v>3.9902851108764521</v>
      </c>
      <c r="T212" s="4">
        <f>M212*INDEX(Dim_Product!$C$2:$C$4,MATCH(F212,Dim_Product!$A$2:$A$4,0))/1000000</f>
        <v>3.7787999999999999</v>
      </c>
      <c r="U212" s="19">
        <f t="shared" si="27"/>
        <v>0.94699999999999995</v>
      </c>
    </row>
    <row r="213" spans="1:21" x14ac:dyDescent="0.25">
      <c r="A213" s="18" t="s">
        <v>354</v>
      </c>
      <c r="B213" s="4">
        <v>20260702</v>
      </c>
      <c r="C213" s="4">
        <v>6</v>
      </c>
      <c r="D213" s="4" t="s">
        <v>19</v>
      </c>
      <c r="E213" s="4" t="s">
        <v>16</v>
      </c>
      <c r="F213" s="4" t="s">
        <v>141</v>
      </c>
      <c r="G213" s="4">
        <v>60</v>
      </c>
      <c r="H213" s="4">
        <v>6.1</v>
      </c>
      <c r="I213" s="4">
        <f t="shared" si="21"/>
        <v>53.9</v>
      </c>
      <c r="J213" s="4">
        <f>INDEX(Dim_Machine!$E$2:$E$8,MATCH(D213,Dim_Machine!$A$2:$A$8,0))*INDEX(Dim_Machine!$D$2:$D$8,MATCH(D213,Dim_Machine!$A$2:$A$8,0))*I213</f>
        <v>36220.799999999996</v>
      </c>
      <c r="K213" s="4">
        <f>ROUND(J213*0.921,0)</f>
        <v>33359</v>
      </c>
      <c r="L213" s="4">
        <f>ROUND(K213*0.008,0)</f>
        <v>267</v>
      </c>
      <c r="M213" s="4">
        <f t="shared" si="22"/>
        <v>33092</v>
      </c>
      <c r="N213" s="4">
        <f t="shared" si="23"/>
        <v>0.92099014930647594</v>
      </c>
      <c r="O213" s="4">
        <f t="shared" si="24"/>
        <v>0.89833333333333332</v>
      </c>
      <c r="P213" s="4">
        <f>IFERROR((K213/I213)/(INDEX(Dim_Machine!$E$2:$E$8,MATCH(D213,Dim_Machine!$A$2:$A$8,0))*INDEX(Dim_Machine!$D$2:$D$8,MATCH(D213,Dim_Machine!$A$2:$A$8,0))),0)</f>
        <v>0.92099014930647594</v>
      </c>
      <c r="Q213" s="4">
        <f t="shared" si="25"/>
        <v>0.99199616295452497</v>
      </c>
      <c r="R213" s="4">
        <f t="shared" si="26"/>
        <v>0.82073412698412707</v>
      </c>
      <c r="S213" s="4">
        <f>T213/0.825</f>
        <v>10.027878787878787</v>
      </c>
      <c r="T213" s="4">
        <f>M213*INDEX(Dim_Product!$C$2:$C$4,MATCH(F213,Dim_Product!$A$2:$A$4,0))/1000000</f>
        <v>8.2729999999999997</v>
      </c>
      <c r="U213" s="19">
        <f t="shared" si="27"/>
        <v>0.82499999999999996</v>
      </c>
    </row>
    <row r="214" spans="1:21" x14ac:dyDescent="0.25">
      <c r="A214" s="18" t="s">
        <v>355</v>
      </c>
      <c r="B214" s="4">
        <v>20260702</v>
      </c>
      <c r="C214" s="4">
        <v>6</v>
      </c>
      <c r="D214" s="4" t="s">
        <v>23</v>
      </c>
      <c r="E214" s="4" t="s">
        <v>16</v>
      </c>
      <c r="F214" s="4" t="s">
        <v>141</v>
      </c>
      <c r="G214" s="4">
        <v>60</v>
      </c>
      <c r="H214" s="4">
        <v>2.4</v>
      </c>
      <c r="I214" s="4">
        <f t="shared" si="21"/>
        <v>57.6</v>
      </c>
      <c r="J214" s="4">
        <f>INDEX(Dim_Machine!$E$2:$E$8,MATCH(D214,Dim_Machine!$A$2:$A$8,0))*INDEX(Dim_Machine!$D$2:$D$8,MATCH(D214,Dim_Machine!$A$2:$A$8,0))*I214</f>
        <v>15206.4</v>
      </c>
      <c r="K214" s="4">
        <f>ROUND(J214*0.786,0)</f>
        <v>11952</v>
      </c>
      <c r="L214" s="4">
        <f>ROUND(K214*0.0147,0)</f>
        <v>176</v>
      </c>
      <c r="M214" s="4">
        <f t="shared" si="22"/>
        <v>11776</v>
      </c>
      <c r="N214" s="4">
        <f t="shared" si="23"/>
        <v>0.78598484848484851</v>
      </c>
      <c r="O214" s="4">
        <f t="shared" si="24"/>
        <v>0.96000000000000008</v>
      </c>
      <c r="P214" s="4">
        <f>IFERROR((K214/I214)/(INDEX(Dim_Machine!$E$2:$E$8,MATCH(D214,Dim_Machine!$A$2:$A$8,0))*INDEX(Dim_Machine!$D$2:$D$8,MATCH(D214,Dim_Machine!$A$2:$A$8,0))),0)</f>
        <v>0.78598484848484851</v>
      </c>
      <c r="Q214" s="4">
        <f t="shared" si="25"/>
        <v>0.98527443105756363</v>
      </c>
      <c r="R214" s="4">
        <f t="shared" si="26"/>
        <v>0.74343434343434356</v>
      </c>
      <c r="S214" s="4">
        <f>T214/0.808</f>
        <v>3.6435643564356432</v>
      </c>
      <c r="T214" s="4">
        <f>M214*INDEX(Dim_Product!$C$2:$C$4,MATCH(F214,Dim_Product!$A$2:$A$4,0))/1000000</f>
        <v>2.944</v>
      </c>
      <c r="U214" s="19">
        <f t="shared" si="27"/>
        <v>0.80800000000000005</v>
      </c>
    </row>
    <row r="215" spans="1:21" x14ac:dyDescent="0.25">
      <c r="A215" s="18" t="s">
        <v>356</v>
      </c>
      <c r="B215" s="4">
        <v>20260702</v>
      </c>
      <c r="C215" s="4">
        <v>6</v>
      </c>
      <c r="D215" s="4" t="s">
        <v>25</v>
      </c>
      <c r="E215" s="4" t="s">
        <v>16</v>
      </c>
      <c r="F215" s="4" t="s">
        <v>141</v>
      </c>
      <c r="G215" s="4">
        <v>60</v>
      </c>
      <c r="H215" s="4">
        <v>2.9</v>
      </c>
      <c r="I215" s="4">
        <f t="shared" si="21"/>
        <v>57.1</v>
      </c>
      <c r="J215" s="4">
        <f>INDEX(Dim_Machine!$E$2:$E$8,MATCH(D215,Dim_Machine!$A$2:$A$8,0))*INDEX(Dim_Machine!$D$2:$D$8,MATCH(D215,Dim_Machine!$A$2:$A$8,0))*I215</f>
        <v>41112</v>
      </c>
      <c r="K215" s="4">
        <f>ROUND(J215*0.866,0)</f>
        <v>35603</v>
      </c>
      <c r="L215" s="4">
        <f>ROUND(K215*0.0123,0)</f>
        <v>438</v>
      </c>
      <c r="M215" s="4">
        <f t="shared" si="22"/>
        <v>35165</v>
      </c>
      <c r="N215" s="4">
        <f t="shared" si="23"/>
        <v>0.86600019459038724</v>
      </c>
      <c r="O215" s="4">
        <f t="shared" si="24"/>
        <v>0.95166666666666666</v>
      </c>
      <c r="P215" s="4">
        <f>IFERROR((K215/I215)/(INDEX(Dim_Machine!$E$2:$E$8,MATCH(D215,Dim_Machine!$A$2:$A$8,0))*INDEX(Dim_Machine!$D$2:$D$8,MATCH(D215,Dim_Machine!$A$2:$A$8,0))),0)</f>
        <v>0.86600019459038724</v>
      </c>
      <c r="Q215" s="4">
        <f t="shared" si="25"/>
        <v>0.98769766592702857</v>
      </c>
      <c r="R215" s="4">
        <f t="shared" si="26"/>
        <v>0.81400462962962961</v>
      </c>
      <c r="S215" s="4">
        <f>T215/0.862</f>
        <v>10.198665893271462</v>
      </c>
      <c r="T215" s="4">
        <f>M215*INDEX(Dim_Product!$C$2:$C$4,MATCH(F215,Dim_Product!$A$2:$A$4,0))/1000000</f>
        <v>8.7912499999999998</v>
      </c>
      <c r="U215" s="19">
        <f t="shared" si="27"/>
        <v>0.86199999999999999</v>
      </c>
    </row>
    <row r="216" spans="1:21" x14ac:dyDescent="0.25">
      <c r="A216" s="18" t="s">
        <v>357</v>
      </c>
      <c r="B216" s="4">
        <v>20260702</v>
      </c>
      <c r="C216" s="4">
        <v>6</v>
      </c>
      <c r="D216" s="4" t="s">
        <v>27</v>
      </c>
      <c r="E216" s="4" t="s">
        <v>16</v>
      </c>
      <c r="F216" s="4" t="s">
        <v>143</v>
      </c>
      <c r="G216" s="4">
        <v>60</v>
      </c>
      <c r="H216" s="4">
        <v>5.5</v>
      </c>
      <c r="I216" s="4">
        <f t="shared" si="21"/>
        <v>54.5</v>
      </c>
      <c r="J216" s="4">
        <f>INDEX(Dim_Machine!$E$2:$E$8,MATCH(D216,Dim_Machine!$A$2:$A$8,0))*INDEX(Dim_Machine!$D$2:$D$8,MATCH(D216,Dim_Machine!$A$2:$A$8,0))*I216</f>
        <v>22672</v>
      </c>
      <c r="K216" s="4">
        <f>ROUND(J216*0.816,0)</f>
        <v>18500</v>
      </c>
      <c r="L216" s="4">
        <f>ROUND(K216*0.0103,0)</f>
        <v>191</v>
      </c>
      <c r="M216" s="4">
        <f t="shared" si="22"/>
        <v>18309</v>
      </c>
      <c r="N216" s="4">
        <f t="shared" si="23"/>
        <v>0.81598447424135501</v>
      </c>
      <c r="O216" s="4">
        <f t="shared" si="24"/>
        <v>0.90833333333333333</v>
      </c>
      <c r="P216" s="4">
        <f>IFERROR((K216/I216)/(INDEX(Dim_Machine!$E$2:$E$8,MATCH(D216,Dim_Machine!$A$2:$A$8,0))*INDEX(Dim_Machine!$D$2:$D$8,MATCH(D216,Dim_Machine!$A$2:$A$8,0))),0)</f>
        <v>0.81598447424135501</v>
      </c>
      <c r="Q216" s="4">
        <f t="shared" si="25"/>
        <v>0.98967567567567571</v>
      </c>
      <c r="R216" s="4">
        <f t="shared" si="26"/>
        <v>0.73353365384615388</v>
      </c>
      <c r="S216" s="4">
        <f>T216/0.891</f>
        <v>4.1097643097643095</v>
      </c>
      <c r="T216" s="4">
        <f>M216*INDEX(Dim_Product!$C$2:$C$4,MATCH(F216,Dim_Product!$A$2:$A$4,0))/1000000</f>
        <v>3.6617999999999999</v>
      </c>
      <c r="U216" s="19">
        <f t="shared" si="27"/>
        <v>0.89100000000000001</v>
      </c>
    </row>
    <row r="217" spans="1:21" x14ac:dyDescent="0.25">
      <c r="A217" s="18" t="s">
        <v>358</v>
      </c>
      <c r="B217" s="4">
        <v>20260702</v>
      </c>
      <c r="C217" s="4">
        <v>6</v>
      </c>
      <c r="D217" s="4" t="s">
        <v>29</v>
      </c>
      <c r="E217" s="4" t="s">
        <v>16</v>
      </c>
      <c r="F217" s="4" t="s">
        <v>143</v>
      </c>
      <c r="G217" s="4">
        <v>60</v>
      </c>
      <c r="H217" s="4">
        <v>3.1</v>
      </c>
      <c r="I217" s="4">
        <f t="shared" si="21"/>
        <v>56.9</v>
      </c>
      <c r="J217" s="4">
        <f>INDEX(Dim_Machine!$E$2:$E$8,MATCH(D217,Dim_Machine!$A$2:$A$8,0))*INDEX(Dim_Machine!$D$2:$D$8,MATCH(D217,Dim_Machine!$A$2:$A$8,0))*I217</f>
        <v>16387.2</v>
      </c>
      <c r="K217" s="4">
        <f>ROUND(J217*0.917,0)</f>
        <v>15027</v>
      </c>
      <c r="L217" s="4">
        <f>ROUND(K217*0.0199,0)</f>
        <v>299</v>
      </c>
      <c r="M217" s="4">
        <f t="shared" si="22"/>
        <v>14728</v>
      </c>
      <c r="N217" s="4">
        <f t="shared" si="23"/>
        <v>0.91699619214997063</v>
      </c>
      <c r="O217" s="4">
        <f t="shared" si="24"/>
        <v>0.94833333333333336</v>
      </c>
      <c r="P217" s="4">
        <f>IFERROR((K217/I217)/(INDEX(Dim_Machine!$E$2:$E$8,MATCH(D217,Dim_Machine!$A$2:$A$8,0))*INDEX(Dim_Machine!$D$2:$D$8,MATCH(D217,Dim_Machine!$A$2:$A$8,0))),0)</f>
        <v>0.91699619214997063</v>
      </c>
      <c r="Q217" s="4">
        <f t="shared" si="25"/>
        <v>0.98010248219870899</v>
      </c>
      <c r="R217" s="4">
        <f t="shared" si="26"/>
        <v>0.85231481481481475</v>
      </c>
      <c r="S217" s="4">
        <f>T217/0.887</f>
        <v>3.3208568207440812</v>
      </c>
      <c r="T217" s="4">
        <f>M217*INDEX(Dim_Product!$C$2:$C$4,MATCH(F217,Dim_Product!$A$2:$A$4,0))/1000000</f>
        <v>2.9456000000000002</v>
      </c>
      <c r="U217" s="19">
        <f t="shared" si="27"/>
        <v>0.88700000000000001</v>
      </c>
    </row>
    <row r="218" spans="1:21" x14ac:dyDescent="0.25">
      <c r="A218" s="18" t="s">
        <v>359</v>
      </c>
      <c r="B218" s="4">
        <v>20260702</v>
      </c>
      <c r="C218" s="4">
        <v>6</v>
      </c>
      <c r="D218" s="4" t="s">
        <v>31</v>
      </c>
      <c r="E218" s="4" t="s">
        <v>16</v>
      </c>
      <c r="F218" s="4" t="s">
        <v>143</v>
      </c>
      <c r="G218" s="4">
        <v>60</v>
      </c>
      <c r="H218" s="4">
        <v>1.9</v>
      </c>
      <c r="I218" s="4">
        <f t="shared" si="21"/>
        <v>58.1</v>
      </c>
      <c r="J218" s="4">
        <f>INDEX(Dim_Machine!$E$2:$E$8,MATCH(D218,Dim_Machine!$A$2:$A$8,0))*INDEX(Dim_Machine!$D$2:$D$8,MATCH(D218,Dim_Machine!$A$2:$A$8,0))*I218</f>
        <v>37648.800000000003</v>
      </c>
      <c r="K218" s="4">
        <f>ROUND(J218*0.908,0)</f>
        <v>34185</v>
      </c>
      <c r="L218" s="4">
        <f>ROUND(K218*0.0188,0)</f>
        <v>643</v>
      </c>
      <c r="M218" s="4">
        <f t="shared" si="22"/>
        <v>33542</v>
      </c>
      <c r="N218" s="4">
        <f t="shared" si="23"/>
        <v>0.90799706763562182</v>
      </c>
      <c r="O218" s="4">
        <f t="shared" si="24"/>
        <v>0.96833333333333338</v>
      </c>
      <c r="P218" s="4">
        <f>IFERROR((K218/I218)/(INDEX(Dim_Machine!$E$2:$E$8,MATCH(D218,Dim_Machine!$A$2:$A$8,0))*INDEX(Dim_Machine!$D$2:$D$8,MATCH(D218,Dim_Machine!$A$2:$A$8,0))),0)</f>
        <v>0.90799706763562182</v>
      </c>
      <c r="Q218" s="4">
        <f t="shared" si="25"/>
        <v>0.98119058066403397</v>
      </c>
      <c r="R218" s="4">
        <f t="shared" si="26"/>
        <v>0.86270576131687249</v>
      </c>
      <c r="S218" s="4">
        <f>T218/0.9</f>
        <v>7.4537777777777778</v>
      </c>
      <c r="T218" s="4">
        <f>M218*INDEX(Dim_Product!$C$2:$C$4,MATCH(F218,Dim_Product!$A$2:$A$4,0))/1000000</f>
        <v>6.7084000000000001</v>
      </c>
      <c r="U218" s="19">
        <f t="shared" si="27"/>
        <v>0.9</v>
      </c>
    </row>
    <row r="219" spans="1:21" x14ac:dyDescent="0.25">
      <c r="A219" s="18" t="s">
        <v>360</v>
      </c>
      <c r="B219" s="4">
        <v>20260702</v>
      </c>
      <c r="C219" s="4">
        <v>7</v>
      </c>
      <c r="D219" s="4" t="s">
        <v>15</v>
      </c>
      <c r="E219" s="4" t="s">
        <v>16</v>
      </c>
      <c r="F219" s="4" t="s">
        <v>143</v>
      </c>
      <c r="G219" s="4">
        <v>60</v>
      </c>
      <c r="H219" s="4">
        <v>7.2</v>
      </c>
      <c r="I219" s="4">
        <f t="shared" si="21"/>
        <v>52.8</v>
      </c>
      <c r="J219" s="4">
        <f>INDEX(Dim_Machine!$E$2:$E$8,MATCH(D219,Dim_Machine!$A$2:$A$8,0))*INDEX(Dim_Machine!$D$2:$D$8,MATCH(D219,Dim_Machine!$A$2:$A$8,0))*I219</f>
        <v>21120</v>
      </c>
      <c r="K219" s="4">
        <f>ROUND(J219*0.873,0)</f>
        <v>18438</v>
      </c>
      <c r="L219" s="4">
        <f>ROUND(K219*0.0136,0)</f>
        <v>251</v>
      </c>
      <c r="M219" s="4">
        <f t="shared" si="22"/>
        <v>18187</v>
      </c>
      <c r="N219" s="4">
        <f t="shared" si="23"/>
        <v>0.87301136363636367</v>
      </c>
      <c r="O219" s="4">
        <f t="shared" si="24"/>
        <v>0.88</v>
      </c>
      <c r="P219" s="4">
        <f>IFERROR((K219/I219)/(INDEX(Dim_Machine!$E$2:$E$8,MATCH(D219,Dim_Machine!$A$2:$A$8,0))*INDEX(Dim_Machine!$D$2:$D$8,MATCH(D219,Dim_Machine!$A$2:$A$8,0))),0)</f>
        <v>0.87301136363636378</v>
      </c>
      <c r="Q219" s="4">
        <f t="shared" si="25"/>
        <v>0.98638680984922444</v>
      </c>
      <c r="R219" s="4">
        <f t="shared" si="26"/>
        <v>0.75779166666666675</v>
      </c>
      <c r="S219" s="4">
        <f>T219/0.882</f>
        <v>4.124036281179138</v>
      </c>
      <c r="T219" s="4">
        <f>M219*INDEX(Dim_Product!$C$2:$C$4,MATCH(F219,Dim_Product!$A$2:$A$4,0))/1000000</f>
        <v>3.6374</v>
      </c>
      <c r="U219" s="19">
        <f t="shared" si="27"/>
        <v>0.88200000000000001</v>
      </c>
    </row>
    <row r="220" spans="1:21" x14ac:dyDescent="0.25">
      <c r="A220" s="18" t="s">
        <v>361</v>
      </c>
      <c r="B220" s="4">
        <v>20260702</v>
      </c>
      <c r="C220" s="4">
        <v>7</v>
      </c>
      <c r="D220" s="4" t="s">
        <v>19</v>
      </c>
      <c r="E220" s="4" t="s">
        <v>16</v>
      </c>
      <c r="F220" s="4" t="s">
        <v>141</v>
      </c>
      <c r="G220" s="4">
        <v>60</v>
      </c>
      <c r="H220" s="4">
        <v>0.6</v>
      </c>
      <c r="I220" s="4">
        <f t="shared" si="21"/>
        <v>59.4</v>
      </c>
      <c r="J220" s="4">
        <f>INDEX(Dim_Machine!$E$2:$E$8,MATCH(D220,Dim_Machine!$A$2:$A$8,0))*INDEX(Dim_Machine!$D$2:$D$8,MATCH(D220,Dim_Machine!$A$2:$A$8,0))*I220</f>
        <v>39916.799999999996</v>
      </c>
      <c r="K220" s="4">
        <f>ROUND(J220*0.969,0)</f>
        <v>38679</v>
      </c>
      <c r="L220" s="4">
        <f>ROUND(K220*0.0346,0)</f>
        <v>1338</v>
      </c>
      <c r="M220" s="4">
        <f t="shared" si="22"/>
        <v>37341</v>
      </c>
      <c r="N220" s="4">
        <f t="shared" si="23"/>
        <v>0.96899050024050037</v>
      </c>
      <c r="O220" s="4">
        <f t="shared" si="24"/>
        <v>0.99</v>
      </c>
      <c r="P220" s="4">
        <f>IFERROR((K220/I220)/(INDEX(Dim_Machine!$E$2:$E$8,MATCH(D220,Dim_Machine!$A$2:$A$8,0))*INDEX(Dim_Machine!$D$2:$D$8,MATCH(D220,Dim_Machine!$A$2:$A$8,0))),0)</f>
        <v>0.96899050024050026</v>
      </c>
      <c r="Q220" s="4">
        <f t="shared" si="25"/>
        <v>0.96540758551151784</v>
      </c>
      <c r="R220" s="4">
        <f t="shared" si="26"/>
        <v>0.92611607142857144</v>
      </c>
      <c r="S220" s="4">
        <f>T220/0.845</f>
        <v>11.047633136094674</v>
      </c>
      <c r="T220" s="4">
        <f>M220*INDEX(Dim_Product!$C$2:$C$4,MATCH(F220,Dim_Product!$A$2:$A$4,0))/1000000</f>
        <v>9.3352500000000003</v>
      </c>
      <c r="U220" s="19">
        <f t="shared" si="27"/>
        <v>0.84500000000000008</v>
      </c>
    </row>
    <row r="221" spans="1:21" x14ac:dyDescent="0.25">
      <c r="A221" s="18" t="s">
        <v>362</v>
      </c>
      <c r="B221" s="4">
        <v>20260702</v>
      </c>
      <c r="C221" s="4">
        <v>7</v>
      </c>
      <c r="D221" s="4" t="s">
        <v>23</v>
      </c>
      <c r="E221" s="4" t="s">
        <v>16</v>
      </c>
      <c r="F221" s="4" t="s">
        <v>141</v>
      </c>
      <c r="G221" s="4">
        <v>60</v>
      </c>
      <c r="H221" s="4">
        <v>7.7</v>
      </c>
      <c r="I221" s="4">
        <f t="shared" si="21"/>
        <v>52.3</v>
      </c>
      <c r="J221" s="4">
        <f>INDEX(Dim_Machine!$E$2:$E$8,MATCH(D221,Dim_Machine!$A$2:$A$8,0))*INDEX(Dim_Machine!$D$2:$D$8,MATCH(D221,Dim_Machine!$A$2:$A$8,0))*I221</f>
        <v>13807.199999999999</v>
      </c>
      <c r="K221" s="4">
        <f>ROUND(J221*0.918,0)</f>
        <v>12675</v>
      </c>
      <c r="L221" s="4">
        <f>ROUND(K221*0.0187,0)</f>
        <v>237</v>
      </c>
      <c r="M221" s="4">
        <f t="shared" si="22"/>
        <v>12438</v>
      </c>
      <c r="N221" s="4">
        <f t="shared" si="23"/>
        <v>0.91799930471058588</v>
      </c>
      <c r="O221" s="4">
        <f t="shared" si="24"/>
        <v>0.87166666666666659</v>
      </c>
      <c r="P221" s="4">
        <f>IFERROR((K221/I221)/(INDEX(Dim_Machine!$E$2:$E$8,MATCH(D221,Dim_Machine!$A$2:$A$8,0))*INDEX(Dim_Machine!$D$2:$D$8,MATCH(D221,Dim_Machine!$A$2:$A$8,0))),0)</f>
        <v>0.91799930471058577</v>
      </c>
      <c r="Q221" s="4">
        <f t="shared" si="25"/>
        <v>0.98130177514792905</v>
      </c>
      <c r="R221" s="4">
        <f t="shared" si="26"/>
        <v>0.78522727272727266</v>
      </c>
      <c r="S221" s="4">
        <f>T221/0.845</f>
        <v>3.6798816568047341</v>
      </c>
      <c r="T221" s="4">
        <f>M221*INDEX(Dim_Product!$C$2:$C$4,MATCH(F221,Dim_Product!$A$2:$A$4,0))/1000000</f>
        <v>3.1095000000000002</v>
      </c>
      <c r="U221" s="19">
        <f t="shared" si="27"/>
        <v>0.84499999999999997</v>
      </c>
    </row>
    <row r="222" spans="1:21" x14ac:dyDescent="0.25">
      <c r="A222" s="18" t="s">
        <v>363</v>
      </c>
      <c r="B222" s="4">
        <v>20260702</v>
      </c>
      <c r="C222" s="4">
        <v>7</v>
      </c>
      <c r="D222" s="4" t="s">
        <v>25</v>
      </c>
      <c r="E222" s="4" t="s">
        <v>16</v>
      </c>
      <c r="F222" s="4" t="s">
        <v>141</v>
      </c>
      <c r="G222" s="4">
        <v>60</v>
      </c>
      <c r="H222" s="4">
        <v>8</v>
      </c>
      <c r="I222" s="4">
        <f t="shared" si="21"/>
        <v>52</v>
      </c>
      <c r="J222" s="4">
        <f>INDEX(Dim_Machine!$E$2:$E$8,MATCH(D222,Dim_Machine!$A$2:$A$8,0))*INDEX(Dim_Machine!$D$2:$D$8,MATCH(D222,Dim_Machine!$A$2:$A$8,0))*I222</f>
        <v>37440</v>
      </c>
      <c r="K222" s="4">
        <f>ROUND(J222*0.951,0)</f>
        <v>35605</v>
      </c>
      <c r="L222" s="4">
        <f>ROUND(K222*0.0082,0)</f>
        <v>292</v>
      </c>
      <c r="M222" s="4">
        <f t="shared" si="22"/>
        <v>35313</v>
      </c>
      <c r="N222" s="4">
        <f t="shared" si="23"/>
        <v>0.95098824786324787</v>
      </c>
      <c r="O222" s="4">
        <f t="shared" si="24"/>
        <v>0.8666666666666667</v>
      </c>
      <c r="P222" s="4">
        <f>IFERROR((K222/I222)/(INDEX(Dim_Machine!$E$2:$E$8,MATCH(D222,Dim_Machine!$A$2:$A$8,0))*INDEX(Dim_Machine!$D$2:$D$8,MATCH(D222,Dim_Machine!$A$2:$A$8,0))),0)</f>
        <v>0.95098824786324787</v>
      </c>
      <c r="Q222" s="4">
        <f t="shared" si="25"/>
        <v>0.99179890464822351</v>
      </c>
      <c r="R222" s="4">
        <f t="shared" si="26"/>
        <v>0.81743055555555555</v>
      </c>
      <c r="S222" s="4">
        <f>T222/0.857</f>
        <v>10.301341890315053</v>
      </c>
      <c r="T222" s="4">
        <f>M222*INDEX(Dim_Product!$C$2:$C$4,MATCH(F222,Dim_Product!$A$2:$A$4,0))/1000000</f>
        <v>8.8282500000000006</v>
      </c>
      <c r="U222" s="19">
        <f t="shared" si="27"/>
        <v>0.8570000000000001</v>
      </c>
    </row>
    <row r="223" spans="1:21" x14ac:dyDescent="0.25">
      <c r="A223" s="18" t="s">
        <v>364</v>
      </c>
      <c r="B223" s="4">
        <v>20260702</v>
      </c>
      <c r="C223" s="4">
        <v>7</v>
      </c>
      <c r="D223" s="4" t="s">
        <v>27</v>
      </c>
      <c r="E223" s="4" t="s">
        <v>16</v>
      </c>
      <c r="F223" s="4" t="s">
        <v>143</v>
      </c>
      <c r="G223" s="4">
        <v>60</v>
      </c>
      <c r="H223" s="4">
        <v>2.9</v>
      </c>
      <c r="I223" s="4">
        <f t="shared" si="21"/>
        <v>57.1</v>
      </c>
      <c r="J223" s="4">
        <f>INDEX(Dim_Machine!$E$2:$E$8,MATCH(D223,Dim_Machine!$A$2:$A$8,0))*INDEX(Dim_Machine!$D$2:$D$8,MATCH(D223,Dim_Machine!$A$2:$A$8,0))*I223</f>
        <v>23753.600000000002</v>
      </c>
      <c r="K223" s="4">
        <f>ROUND(J223*0.839,0)</f>
        <v>19929</v>
      </c>
      <c r="L223" s="4">
        <f>ROUND(K223*0.026,0)</f>
        <v>518</v>
      </c>
      <c r="M223" s="4">
        <f t="shared" si="22"/>
        <v>19411</v>
      </c>
      <c r="N223" s="4">
        <f t="shared" si="23"/>
        <v>0.83898861646234668</v>
      </c>
      <c r="O223" s="4">
        <f t="shared" si="24"/>
        <v>0.95166666666666666</v>
      </c>
      <c r="P223" s="4">
        <f>IFERROR((K223/I223)/(INDEX(Dim_Machine!$E$2:$E$8,MATCH(D223,Dim_Machine!$A$2:$A$8,0))*INDEX(Dim_Machine!$D$2:$D$8,MATCH(D223,Dim_Machine!$A$2:$A$8,0))),0)</f>
        <v>0.83898861646234668</v>
      </c>
      <c r="Q223" s="4">
        <f t="shared" si="25"/>
        <v>0.97400772743238495</v>
      </c>
      <c r="R223" s="4">
        <f t="shared" si="26"/>
        <v>0.7776842948717948</v>
      </c>
      <c r="S223" s="4">
        <f>T223/0.803</f>
        <v>4.8346201743462016</v>
      </c>
      <c r="T223" s="4">
        <f>M223*INDEX(Dim_Product!$C$2:$C$4,MATCH(F223,Dim_Product!$A$2:$A$4,0))/1000000</f>
        <v>3.8822000000000001</v>
      </c>
      <c r="U223" s="19">
        <f t="shared" si="27"/>
        <v>0.80300000000000005</v>
      </c>
    </row>
    <row r="224" spans="1:21" x14ac:dyDescent="0.25">
      <c r="A224" s="18" t="s">
        <v>365</v>
      </c>
      <c r="B224" s="4">
        <v>20260702</v>
      </c>
      <c r="C224" s="4">
        <v>7</v>
      </c>
      <c r="D224" s="4" t="s">
        <v>29</v>
      </c>
      <c r="E224" s="4" t="s">
        <v>16</v>
      </c>
      <c r="F224" s="4" t="s">
        <v>143</v>
      </c>
      <c r="G224" s="4">
        <v>60</v>
      </c>
      <c r="H224" s="4">
        <v>6.6</v>
      </c>
      <c r="I224" s="4">
        <f t="shared" si="21"/>
        <v>53.4</v>
      </c>
      <c r="J224" s="4">
        <f>INDEX(Dim_Machine!$E$2:$E$8,MATCH(D224,Dim_Machine!$A$2:$A$8,0))*INDEX(Dim_Machine!$D$2:$D$8,MATCH(D224,Dim_Machine!$A$2:$A$8,0))*I224</f>
        <v>15379.199999999999</v>
      </c>
      <c r="K224" s="4">
        <f>ROUND(J224*0.859,0)</f>
        <v>13211</v>
      </c>
      <c r="L224" s="4">
        <f>ROUND(K224*0.0052,0)</f>
        <v>69</v>
      </c>
      <c r="M224" s="4">
        <f t="shared" si="22"/>
        <v>13142</v>
      </c>
      <c r="N224" s="4">
        <f t="shared" si="23"/>
        <v>0.85901737411568879</v>
      </c>
      <c r="O224" s="4">
        <f t="shared" si="24"/>
        <v>0.89</v>
      </c>
      <c r="P224" s="4">
        <f>IFERROR((K224/I224)/(INDEX(Dim_Machine!$E$2:$E$8,MATCH(D224,Dim_Machine!$A$2:$A$8,0))*INDEX(Dim_Machine!$D$2:$D$8,MATCH(D224,Dim_Machine!$A$2:$A$8,0))),0)</f>
        <v>0.85901737411568879</v>
      </c>
      <c r="Q224" s="4">
        <f t="shared" si="25"/>
        <v>0.99477707970630536</v>
      </c>
      <c r="R224" s="4">
        <f t="shared" si="26"/>
        <v>0.76053240740740757</v>
      </c>
      <c r="S224" s="4">
        <f>T224/0.93</f>
        <v>2.8262365591397849</v>
      </c>
      <c r="T224" s="4">
        <f>M224*INDEX(Dim_Product!$C$2:$C$4,MATCH(F224,Dim_Product!$A$2:$A$4,0))/1000000</f>
        <v>2.6284000000000001</v>
      </c>
      <c r="U224" s="19">
        <f t="shared" si="27"/>
        <v>0.93</v>
      </c>
    </row>
    <row r="225" spans="1:21" x14ac:dyDescent="0.25">
      <c r="A225" s="18" t="s">
        <v>366</v>
      </c>
      <c r="B225" s="4">
        <v>20260702</v>
      </c>
      <c r="C225" s="4">
        <v>7</v>
      </c>
      <c r="D225" s="4" t="s">
        <v>31</v>
      </c>
      <c r="E225" s="4" t="s">
        <v>16</v>
      </c>
      <c r="F225" s="4" t="s">
        <v>143</v>
      </c>
      <c r="G225" s="4">
        <v>60</v>
      </c>
      <c r="H225" s="4">
        <v>6.2</v>
      </c>
      <c r="I225" s="4">
        <f t="shared" si="21"/>
        <v>53.8</v>
      </c>
      <c r="J225" s="4">
        <f>INDEX(Dim_Machine!$E$2:$E$8,MATCH(D225,Dim_Machine!$A$2:$A$8,0))*INDEX(Dim_Machine!$D$2:$D$8,MATCH(D225,Dim_Machine!$A$2:$A$8,0))*I225</f>
        <v>34862.400000000001</v>
      </c>
      <c r="K225" s="4">
        <f>ROUND(J225*0.975,0)</f>
        <v>33991</v>
      </c>
      <c r="L225" s="4">
        <f>ROUND(K225*0.0323,0)</f>
        <v>1098</v>
      </c>
      <c r="M225" s="4">
        <f t="shared" si="22"/>
        <v>32893</v>
      </c>
      <c r="N225" s="4">
        <f t="shared" si="23"/>
        <v>0.97500458947175173</v>
      </c>
      <c r="O225" s="4">
        <f t="shared" si="24"/>
        <v>0.89666666666666661</v>
      </c>
      <c r="P225" s="4">
        <f>IFERROR((K225/I225)/(INDEX(Dim_Machine!$E$2:$E$8,MATCH(D225,Dim_Machine!$A$2:$A$8,0))*INDEX(Dim_Machine!$D$2:$D$8,MATCH(D225,Dim_Machine!$A$2:$A$8,0))),0)</f>
        <v>0.97500458947175184</v>
      </c>
      <c r="Q225" s="4">
        <f t="shared" si="25"/>
        <v>0.96769733164661231</v>
      </c>
      <c r="R225" s="4">
        <f t="shared" si="26"/>
        <v>0.84601337448559666</v>
      </c>
      <c r="S225" s="4">
        <f>T225/0.912</f>
        <v>7.2133771929824553</v>
      </c>
      <c r="T225" s="4">
        <f>M225*INDEX(Dim_Product!$C$2:$C$4,MATCH(F225,Dim_Product!$A$2:$A$4,0))/1000000</f>
        <v>6.5785999999999998</v>
      </c>
      <c r="U225" s="19">
        <f t="shared" si="27"/>
        <v>0.91200000000000003</v>
      </c>
    </row>
    <row r="226" spans="1:21" x14ac:dyDescent="0.25">
      <c r="A226" s="18" t="s">
        <v>367</v>
      </c>
      <c r="B226" s="4">
        <v>20260702</v>
      </c>
      <c r="C226" s="4">
        <v>8</v>
      </c>
      <c r="D226" s="4" t="s">
        <v>15</v>
      </c>
      <c r="E226" s="4" t="s">
        <v>16</v>
      </c>
      <c r="F226" s="4" t="s">
        <v>143</v>
      </c>
      <c r="G226" s="4">
        <v>60</v>
      </c>
      <c r="H226" s="4">
        <v>6.7</v>
      </c>
      <c r="I226" s="4">
        <f t="shared" si="21"/>
        <v>53.3</v>
      </c>
      <c r="J226" s="4">
        <f>INDEX(Dim_Machine!$E$2:$E$8,MATCH(D226,Dim_Machine!$A$2:$A$8,0))*INDEX(Dim_Machine!$D$2:$D$8,MATCH(D226,Dim_Machine!$A$2:$A$8,0))*I226</f>
        <v>21320</v>
      </c>
      <c r="K226" s="4">
        <f>ROUND(J226*0.961,0)</f>
        <v>20489</v>
      </c>
      <c r="L226" s="4">
        <f>ROUND(K226*0.0283,0)</f>
        <v>580</v>
      </c>
      <c r="M226" s="4">
        <f t="shared" si="22"/>
        <v>19909</v>
      </c>
      <c r="N226" s="4">
        <f t="shared" si="23"/>
        <v>0.96102251407129458</v>
      </c>
      <c r="O226" s="4">
        <f t="shared" si="24"/>
        <v>0.88833333333333331</v>
      </c>
      <c r="P226" s="4">
        <f>IFERROR((K226/I226)/(INDEX(Dim_Machine!$E$2:$E$8,MATCH(D226,Dim_Machine!$A$2:$A$8,0))*INDEX(Dim_Machine!$D$2:$D$8,MATCH(D226,Dim_Machine!$A$2:$A$8,0))),0)</f>
        <v>0.96102251407129458</v>
      </c>
      <c r="Q226" s="4">
        <f t="shared" si="25"/>
        <v>0.97169212748303968</v>
      </c>
      <c r="R226" s="4">
        <f t="shared" si="26"/>
        <v>0.82954166666666662</v>
      </c>
      <c r="S226" s="4">
        <f>T226/0.835</f>
        <v>4.7686227544910178</v>
      </c>
      <c r="T226" s="4">
        <f>M226*INDEX(Dim_Product!$C$2:$C$4,MATCH(F226,Dim_Product!$A$2:$A$4,0))/1000000</f>
        <v>3.9817999999999998</v>
      </c>
      <c r="U226" s="19">
        <f t="shared" si="27"/>
        <v>0.83499999999999996</v>
      </c>
    </row>
    <row r="227" spans="1:21" x14ac:dyDescent="0.25">
      <c r="A227" s="18" t="s">
        <v>368</v>
      </c>
      <c r="B227" s="4">
        <v>20260702</v>
      </c>
      <c r="C227" s="4">
        <v>8</v>
      </c>
      <c r="D227" s="4" t="s">
        <v>19</v>
      </c>
      <c r="E227" s="4" t="s">
        <v>16</v>
      </c>
      <c r="F227" s="4" t="s">
        <v>141</v>
      </c>
      <c r="G227" s="4">
        <v>60</v>
      </c>
      <c r="H227" s="4">
        <v>6.4</v>
      </c>
      <c r="I227" s="4">
        <f t="shared" si="21"/>
        <v>53.6</v>
      </c>
      <c r="J227" s="4">
        <f>INDEX(Dim_Machine!$E$2:$E$8,MATCH(D227,Dim_Machine!$A$2:$A$8,0))*INDEX(Dim_Machine!$D$2:$D$8,MATCH(D227,Dim_Machine!$A$2:$A$8,0))*I227</f>
        <v>36019.200000000004</v>
      </c>
      <c r="K227" s="4">
        <f>ROUND(J227*0.824,0)</f>
        <v>29680</v>
      </c>
      <c r="L227" s="4">
        <f>ROUND(K227*0.0107,0)</f>
        <v>318</v>
      </c>
      <c r="M227" s="4">
        <f t="shared" si="22"/>
        <v>29362</v>
      </c>
      <c r="N227" s="4">
        <f t="shared" si="23"/>
        <v>0.82400497512437798</v>
      </c>
      <c r="O227" s="4">
        <f t="shared" si="24"/>
        <v>0.89333333333333331</v>
      </c>
      <c r="P227" s="4">
        <f>IFERROR((K227/I227)/(INDEX(Dim_Machine!$E$2:$E$8,MATCH(D227,Dim_Machine!$A$2:$A$8,0))*INDEX(Dim_Machine!$D$2:$D$8,MATCH(D227,Dim_Machine!$A$2:$A$8,0))),0)</f>
        <v>0.82400497512437809</v>
      </c>
      <c r="Q227" s="4">
        <f t="shared" si="25"/>
        <v>0.98928571428571432</v>
      </c>
      <c r="R227" s="4">
        <f t="shared" si="26"/>
        <v>0.72822420634920637</v>
      </c>
      <c r="S227" s="4">
        <f>T227/0.838</f>
        <v>8.7595465393794747</v>
      </c>
      <c r="T227" s="4">
        <f>M227*INDEX(Dim_Product!$C$2:$C$4,MATCH(F227,Dim_Product!$A$2:$A$4,0))/1000000</f>
        <v>7.3404999999999996</v>
      </c>
      <c r="U227" s="19">
        <f t="shared" si="27"/>
        <v>0.83799999999999997</v>
      </c>
    </row>
    <row r="228" spans="1:21" x14ac:dyDescent="0.25">
      <c r="A228" s="18" t="s">
        <v>369</v>
      </c>
      <c r="B228" s="4">
        <v>20260702</v>
      </c>
      <c r="C228" s="4">
        <v>8</v>
      </c>
      <c r="D228" s="4" t="s">
        <v>23</v>
      </c>
      <c r="E228" s="4" t="s">
        <v>16</v>
      </c>
      <c r="F228" s="4" t="s">
        <v>141</v>
      </c>
      <c r="G228" s="4">
        <v>60</v>
      </c>
      <c r="H228" s="4">
        <v>6</v>
      </c>
      <c r="I228" s="4">
        <f t="shared" si="21"/>
        <v>54</v>
      </c>
      <c r="J228" s="4">
        <f>INDEX(Dim_Machine!$E$2:$E$8,MATCH(D228,Dim_Machine!$A$2:$A$8,0))*INDEX(Dim_Machine!$D$2:$D$8,MATCH(D228,Dim_Machine!$A$2:$A$8,0))*I228</f>
        <v>14256</v>
      </c>
      <c r="K228" s="4">
        <f>ROUND(J228*0.933,0)</f>
        <v>13301</v>
      </c>
      <c r="L228" s="4">
        <f>ROUND(K228*0.0254,0)</f>
        <v>338</v>
      </c>
      <c r="M228" s="4">
        <f t="shared" si="22"/>
        <v>12963</v>
      </c>
      <c r="N228" s="4">
        <f t="shared" si="23"/>
        <v>0.93301066217732886</v>
      </c>
      <c r="O228" s="4">
        <f t="shared" si="24"/>
        <v>0.9</v>
      </c>
      <c r="P228" s="4">
        <f>IFERROR((K228/I228)/(INDEX(Dim_Machine!$E$2:$E$8,MATCH(D228,Dim_Machine!$A$2:$A$8,0))*INDEX(Dim_Machine!$D$2:$D$8,MATCH(D228,Dim_Machine!$A$2:$A$8,0))),0)</f>
        <v>0.93301066217732886</v>
      </c>
      <c r="Q228" s="4">
        <f t="shared" si="25"/>
        <v>0.97458837681377342</v>
      </c>
      <c r="R228" s="4">
        <f t="shared" si="26"/>
        <v>0.81837121212121222</v>
      </c>
      <c r="S228" s="4">
        <f>T228/0.821</f>
        <v>3.9473203410475031</v>
      </c>
      <c r="T228" s="4">
        <f>M228*INDEX(Dim_Product!$C$2:$C$4,MATCH(F228,Dim_Product!$A$2:$A$4,0))/1000000</f>
        <v>3.2407499999999998</v>
      </c>
      <c r="U228" s="19">
        <f t="shared" si="27"/>
        <v>0.82099999999999995</v>
      </c>
    </row>
    <row r="229" spans="1:21" x14ac:dyDescent="0.25">
      <c r="A229" s="18" t="s">
        <v>370</v>
      </c>
      <c r="B229" s="4">
        <v>20260702</v>
      </c>
      <c r="C229" s="4">
        <v>8</v>
      </c>
      <c r="D229" s="4" t="s">
        <v>25</v>
      </c>
      <c r="E229" s="4" t="s">
        <v>16</v>
      </c>
      <c r="F229" s="4" t="s">
        <v>141</v>
      </c>
      <c r="G229" s="4">
        <v>60</v>
      </c>
      <c r="H229" s="4">
        <v>0.8</v>
      </c>
      <c r="I229" s="4">
        <f t="shared" si="21"/>
        <v>59.2</v>
      </c>
      <c r="J229" s="4">
        <f>INDEX(Dim_Machine!$E$2:$E$8,MATCH(D229,Dim_Machine!$A$2:$A$8,0))*INDEX(Dim_Machine!$D$2:$D$8,MATCH(D229,Dim_Machine!$A$2:$A$8,0))*I229</f>
        <v>42624</v>
      </c>
      <c r="K229" s="4">
        <f>ROUND(J229*0.905,0)</f>
        <v>38575</v>
      </c>
      <c r="L229" s="4">
        <f>ROUND(K229*0.0062,0)</f>
        <v>239</v>
      </c>
      <c r="M229" s="4">
        <f t="shared" si="22"/>
        <v>38336</v>
      </c>
      <c r="N229" s="4">
        <f t="shared" si="23"/>
        <v>0.90500656906906907</v>
      </c>
      <c r="O229" s="4">
        <f t="shared" si="24"/>
        <v>0.98666666666666669</v>
      </c>
      <c r="P229" s="4">
        <f>IFERROR((K229/I229)/(INDEX(Dim_Machine!$E$2:$E$8,MATCH(D229,Dim_Machine!$A$2:$A$8,0))*INDEX(Dim_Machine!$D$2:$D$8,MATCH(D229,Dim_Machine!$A$2:$A$8,0))),0)</f>
        <v>0.90500656906906896</v>
      </c>
      <c r="Q229" s="4">
        <f t="shared" si="25"/>
        <v>0.99380427738172394</v>
      </c>
      <c r="R229" s="4">
        <f t="shared" si="26"/>
        <v>0.88740740740740742</v>
      </c>
      <c r="S229" s="4">
        <f>T229/0.918</f>
        <v>10.440087145969498</v>
      </c>
      <c r="T229" s="4">
        <f>M229*INDEX(Dim_Product!$C$2:$C$4,MATCH(F229,Dim_Product!$A$2:$A$4,0))/1000000</f>
        <v>9.5839999999999996</v>
      </c>
      <c r="U229" s="19">
        <f t="shared" si="27"/>
        <v>0.91800000000000004</v>
      </c>
    </row>
    <row r="230" spans="1:21" x14ac:dyDescent="0.25">
      <c r="A230" s="18" t="s">
        <v>371</v>
      </c>
      <c r="B230" s="4">
        <v>20260702</v>
      </c>
      <c r="C230" s="4">
        <v>8</v>
      </c>
      <c r="D230" s="4" t="s">
        <v>27</v>
      </c>
      <c r="E230" s="4" t="s">
        <v>16</v>
      </c>
      <c r="F230" s="4" t="s">
        <v>143</v>
      </c>
      <c r="G230" s="4">
        <v>60</v>
      </c>
      <c r="H230" s="4">
        <v>0.3</v>
      </c>
      <c r="I230" s="4">
        <f t="shared" si="21"/>
        <v>59.7</v>
      </c>
      <c r="J230" s="4">
        <f>INDEX(Dim_Machine!$E$2:$E$8,MATCH(D230,Dim_Machine!$A$2:$A$8,0))*INDEX(Dim_Machine!$D$2:$D$8,MATCH(D230,Dim_Machine!$A$2:$A$8,0))*I230</f>
        <v>24835.200000000001</v>
      </c>
      <c r="K230" s="4">
        <f>ROUND(J230*0.853,0)</f>
        <v>21184</v>
      </c>
      <c r="L230" s="4">
        <f>ROUND(K230*0.0089,0)</f>
        <v>189</v>
      </c>
      <c r="M230" s="4">
        <f t="shared" si="22"/>
        <v>20995</v>
      </c>
      <c r="N230" s="4">
        <f t="shared" si="23"/>
        <v>0.85298286303311421</v>
      </c>
      <c r="O230" s="4">
        <f t="shared" si="24"/>
        <v>0.995</v>
      </c>
      <c r="P230" s="4">
        <f>IFERROR((K230/I230)/(INDEX(Dim_Machine!$E$2:$E$8,MATCH(D230,Dim_Machine!$A$2:$A$8,0))*INDEX(Dim_Machine!$D$2:$D$8,MATCH(D230,Dim_Machine!$A$2:$A$8,0))),0)</f>
        <v>0.85298286303311421</v>
      </c>
      <c r="Q230" s="4">
        <f t="shared" si="25"/>
        <v>0.99107817220543803</v>
      </c>
      <c r="R230" s="4">
        <f t="shared" si="26"/>
        <v>0.84114583333333315</v>
      </c>
      <c r="S230" s="4">
        <f>T230/0.936</f>
        <v>4.4861111111111107</v>
      </c>
      <c r="T230" s="4">
        <f>M230*INDEX(Dim_Product!$C$2:$C$4,MATCH(F230,Dim_Product!$A$2:$A$4,0))/1000000</f>
        <v>4.1989999999999998</v>
      </c>
      <c r="U230" s="19">
        <f t="shared" si="27"/>
        <v>0.93600000000000005</v>
      </c>
    </row>
    <row r="231" spans="1:21" x14ac:dyDescent="0.25">
      <c r="A231" s="18" t="s">
        <v>372</v>
      </c>
      <c r="B231" s="4">
        <v>20260702</v>
      </c>
      <c r="C231" s="4">
        <v>8</v>
      </c>
      <c r="D231" s="4" t="s">
        <v>29</v>
      </c>
      <c r="E231" s="4" t="s">
        <v>16</v>
      </c>
      <c r="F231" s="4" t="s">
        <v>143</v>
      </c>
      <c r="G231" s="4">
        <v>60</v>
      </c>
      <c r="H231" s="4">
        <v>2.6</v>
      </c>
      <c r="I231" s="4">
        <f t="shared" si="21"/>
        <v>57.4</v>
      </c>
      <c r="J231" s="4">
        <f>INDEX(Dim_Machine!$E$2:$E$8,MATCH(D231,Dim_Machine!$A$2:$A$8,0))*INDEX(Dim_Machine!$D$2:$D$8,MATCH(D231,Dim_Machine!$A$2:$A$8,0))*I231</f>
        <v>16531.2</v>
      </c>
      <c r="K231" s="4">
        <f>ROUND(J231*0.863,0)</f>
        <v>14266</v>
      </c>
      <c r="L231" s="4">
        <f>ROUND(K231*0.011,0)</f>
        <v>157</v>
      </c>
      <c r="M231" s="4">
        <f t="shared" si="22"/>
        <v>14109</v>
      </c>
      <c r="N231" s="4">
        <f t="shared" si="23"/>
        <v>0.86297425474254741</v>
      </c>
      <c r="O231" s="4">
        <f t="shared" si="24"/>
        <v>0.95666666666666667</v>
      </c>
      <c r="P231" s="4">
        <f>IFERROR((K231/I231)/(INDEX(Dim_Machine!$E$2:$E$8,MATCH(D231,Dim_Machine!$A$2:$A$8,0))*INDEX(Dim_Machine!$D$2:$D$8,MATCH(D231,Dim_Machine!$A$2:$A$8,0))),0)</f>
        <v>0.86297425474254741</v>
      </c>
      <c r="Q231" s="4">
        <f t="shared" si="25"/>
        <v>0.98899481284172153</v>
      </c>
      <c r="R231" s="4">
        <f t="shared" si="26"/>
        <v>0.81649305555555551</v>
      </c>
      <c r="S231" s="4">
        <f>T231/0.918</f>
        <v>3.073856209150327</v>
      </c>
      <c r="T231" s="4">
        <f>M231*INDEX(Dim_Product!$C$2:$C$4,MATCH(F231,Dim_Product!$A$2:$A$4,0))/1000000</f>
        <v>2.8218000000000001</v>
      </c>
      <c r="U231" s="19">
        <f t="shared" si="27"/>
        <v>0.91799999999999993</v>
      </c>
    </row>
    <row r="232" spans="1:21" x14ac:dyDescent="0.25">
      <c r="A232" s="18" t="s">
        <v>373</v>
      </c>
      <c r="B232" s="4">
        <v>20260702</v>
      </c>
      <c r="C232" s="4">
        <v>8</v>
      </c>
      <c r="D232" s="4" t="s">
        <v>31</v>
      </c>
      <c r="E232" s="4" t="s">
        <v>16</v>
      </c>
      <c r="F232" s="4" t="s">
        <v>143</v>
      </c>
      <c r="G232" s="4">
        <v>60</v>
      </c>
      <c r="H232" s="4">
        <v>7</v>
      </c>
      <c r="I232" s="4">
        <f t="shared" si="21"/>
        <v>53</v>
      </c>
      <c r="J232" s="4">
        <f>INDEX(Dim_Machine!$E$2:$E$8,MATCH(D232,Dim_Machine!$A$2:$A$8,0))*INDEX(Dim_Machine!$D$2:$D$8,MATCH(D232,Dim_Machine!$A$2:$A$8,0))*I232</f>
        <v>34344</v>
      </c>
      <c r="K232" s="4">
        <f>ROUND(J232*0.853,0)</f>
        <v>29295</v>
      </c>
      <c r="L232" s="4">
        <f>ROUND(K232*0.0201,0)</f>
        <v>589</v>
      </c>
      <c r="M232" s="4">
        <f t="shared" si="22"/>
        <v>28706</v>
      </c>
      <c r="N232" s="4">
        <f t="shared" si="23"/>
        <v>0.8529874213836478</v>
      </c>
      <c r="O232" s="4">
        <f t="shared" si="24"/>
        <v>0.8833333333333333</v>
      </c>
      <c r="P232" s="4">
        <f>IFERROR((K232/I232)/(INDEX(Dim_Machine!$E$2:$E$8,MATCH(D232,Dim_Machine!$A$2:$A$8,0))*INDEX(Dim_Machine!$D$2:$D$8,MATCH(D232,Dim_Machine!$A$2:$A$8,0))),0)</f>
        <v>0.8529874213836478</v>
      </c>
      <c r="Q232" s="4">
        <f t="shared" si="25"/>
        <v>0.97989417989417993</v>
      </c>
      <c r="R232" s="4">
        <f t="shared" si="26"/>
        <v>0.73832304526748971</v>
      </c>
      <c r="S232" s="4">
        <f>T232/0.841</f>
        <v>6.8266349583828783</v>
      </c>
      <c r="T232" s="4">
        <f>M232*INDEX(Dim_Product!$C$2:$C$4,MATCH(F232,Dim_Product!$A$2:$A$4,0))/1000000</f>
        <v>5.7412000000000001</v>
      </c>
      <c r="U232" s="19">
        <f t="shared" si="27"/>
        <v>0.84099999999999997</v>
      </c>
    </row>
    <row r="233" spans="1:21" x14ac:dyDescent="0.25">
      <c r="A233" s="18" t="s">
        <v>374</v>
      </c>
      <c r="B233" s="4">
        <v>20260702</v>
      </c>
      <c r="C233" s="4">
        <v>9</v>
      </c>
      <c r="D233" s="4" t="s">
        <v>15</v>
      </c>
      <c r="E233" s="4" t="s">
        <v>16</v>
      </c>
      <c r="F233" s="4" t="s">
        <v>143</v>
      </c>
      <c r="G233" s="4">
        <v>60</v>
      </c>
      <c r="H233" s="4">
        <v>1.3</v>
      </c>
      <c r="I233" s="4">
        <f t="shared" si="21"/>
        <v>58.7</v>
      </c>
      <c r="J233" s="4">
        <f>INDEX(Dim_Machine!$E$2:$E$8,MATCH(D233,Dim_Machine!$A$2:$A$8,0))*INDEX(Dim_Machine!$D$2:$D$8,MATCH(D233,Dim_Machine!$A$2:$A$8,0))*I233</f>
        <v>23480</v>
      </c>
      <c r="K233" s="4">
        <f>ROUND(J233*0.963,0)</f>
        <v>22611</v>
      </c>
      <c r="L233" s="4">
        <f>ROUND(K233*0.0333,0)</f>
        <v>753</v>
      </c>
      <c r="M233" s="4">
        <f t="shared" si="22"/>
        <v>21858</v>
      </c>
      <c r="N233" s="4">
        <f t="shared" si="23"/>
        <v>0.96298977853492329</v>
      </c>
      <c r="O233" s="4">
        <f t="shared" si="24"/>
        <v>0.97833333333333339</v>
      </c>
      <c r="P233" s="4">
        <f>IFERROR((K233/I233)/(INDEX(Dim_Machine!$E$2:$E$8,MATCH(D233,Dim_Machine!$A$2:$A$8,0))*INDEX(Dim_Machine!$D$2:$D$8,MATCH(D233,Dim_Machine!$A$2:$A$8,0))),0)</f>
        <v>0.96298977853492329</v>
      </c>
      <c r="Q233" s="4">
        <f t="shared" si="25"/>
        <v>0.96669762504975454</v>
      </c>
      <c r="R233" s="4">
        <f t="shared" si="26"/>
        <v>0.91074999999999995</v>
      </c>
      <c r="S233" s="4">
        <f>T233/0.945</f>
        <v>4.6260317460317459</v>
      </c>
      <c r="T233" s="4">
        <f>M233*INDEX(Dim_Product!$C$2:$C$4,MATCH(F233,Dim_Product!$A$2:$A$4,0))/1000000</f>
        <v>4.3715999999999999</v>
      </c>
      <c r="U233" s="19">
        <f t="shared" si="27"/>
        <v>0.94499999999999995</v>
      </c>
    </row>
    <row r="234" spans="1:21" x14ac:dyDescent="0.25">
      <c r="A234" s="18" t="s">
        <v>375</v>
      </c>
      <c r="B234" s="4">
        <v>20260702</v>
      </c>
      <c r="C234" s="4">
        <v>9</v>
      </c>
      <c r="D234" s="4" t="s">
        <v>19</v>
      </c>
      <c r="E234" s="4" t="s">
        <v>16</v>
      </c>
      <c r="F234" s="4" t="s">
        <v>141</v>
      </c>
      <c r="G234" s="4">
        <v>60</v>
      </c>
      <c r="H234" s="4">
        <v>2.4</v>
      </c>
      <c r="I234" s="4">
        <f t="shared" si="21"/>
        <v>57.6</v>
      </c>
      <c r="J234" s="4">
        <f>INDEX(Dim_Machine!$E$2:$E$8,MATCH(D234,Dim_Machine!$A$2:$A$8,0))*INDEX(Dim_Machine!$D$2:$D$8,MATCH(D234,Dim_Machine!$A$2:$A$8,0))*I234</f>
        <v>38707.200000000004</v>
      </c>
      <c r="K234" s="4">
        <f>ROUND(J234*0.954,0)</f>
        <v>36927</v>
      </c>
      <c r="L234" s="4">
        <f>ROUND(K234*0.0291,0)</f>
        <v>1075</v>
      </c>
      <c r="M234" s="4">
        <f t="shared" si="22"/>
        <v>35852</v>
      </c>
      <c r="N234" s="4">
        <f t="shared" si="23"/>
        <v>0.95400855654761896</v>
      </c>
      <c r="O234" s="4">
        <f t="shared" si="24"/>
        <v>0.96000000000000008</v>
      </c>
      <c r="P234" s="4">
        <f>IFERROR((K234/I234)/(INDEX(Dim_Machine!$E$2:$E$8,MATCH(D234,Dim_Machine!$A$2:$A$8,0))*INDEX(Dim_Machine!$D$2:$D$8,MATCH(D234,Dim_Machine!$A$2:$A$8,0))),0)</f>
        <v>0.95400855654761907</v>
      </c>
      <c r="Q234" s="4">
        <f t="shared" si="25"/>
        <v>0.9708885097625044</v>
      </c>
      <c r="R234" s="4">
        <f t="shared" si="26"/>
        <v>0.889186507936508</v>
      </c>
      <c r="S234" s="4">
        <f>T234/0.87</f>
        <v>10.302298850574712</v>
      </c>
      <c r="T234" s="4">
        <f>M234*INDEX(Dim_Product!$C$2:$C$4,MATCH(F234,Dim_Product!$A$2:$A$4,0))/1000000</f>
        <v>8.9629999999999992</v>
      </c>
      <c r="U234" s="19">
        <f t="shared" si="27"/>
        <v>0.87</v>
      </c>
    </row>
    <row r="235" spans="1:21" x14ac:dyDescent="0.25">
      <c r="A235" s="18" t="s">
        <v>376</v>
      </c>
      <c r="B235" s="4">
        <v>20260702</v>
      </c>
      <c r="C235" s="4">
        <v>9</v>
      </c>
      <c r="D235" s="4" t="s">
        <v>23</v>
      </c>
      <c r="E235" s="4" t="s">
        <v>16</v>
      </c>
      <c r="F235" s="4" t="s">
        <v>141</v>
      </c>
      <c r="G235" s="4">
        <v>60</v>
      </c>
      <c r="H235" s="4">
        <v>0.6</v>
      </c>
      <c r="I235" s="4">
        <f t="shared" si="21"/>
        <v>59.4</v>
      </c>
      <c r="J235" s="4">
        <f>INDEX(Dim_Machine!$E$2:$E$8,MATCH(D235,Dim_Machine!$A$2:$A$8,0))*INDEX(Dim_Machine!$D$2:$D$8,MATCH(D235,Dim_Machine!$A$2:$A$8,0))*I235</f>
        <v>15681.6</v>
      </c>
      <c r="K235" s="4">
        <f>ROUND(J235*0.931,0)</f>
        <v>14600</v>
      </c>
      <c r="L235" s="4">
        <f>ROUND(K235*0.0118,0)</f>
        <v>172</v>
      </c>
      <c r="M235" s="4">
        <f t="shared" si="22"/>
        <v>14428</v>
      </c>
      <c r="N235" s="4">
        <f t="shared" si="23"/>
        <v>0.93102744617896127</v>
      </c>
      <c r="O235" s="4">
        <f t="shared" si="24"/>
        <v>0.99</v>
      </c>
      <c r="P235" s="4">
        <f>IFERROR((K235/I235)/(INDEX(Dim_Machine!$E$2:$E$8,MATCH(D235,Dim_Machine!$A$2:$A$8,0))*INDEX(Dim_Machine!$D$2:$D$8,MATCH(D235,Dim_Machine!$A$2:$A$8,0))),0)</f>
        <v>0.93102744617896127</v>
      </c>
      <c r="Q235" s="4">
        <f t="shared" si="25"/>
        <v>0.98821917808219173</v>
      </c>
      <c r="R235" s="4">
        <f t="shared" si="26"/>
        <v>0.9108585858585857</v>
      </c>
      <c r="S235" s="4">
        <f>T235/0.901</f>
        <v>4.0033296337402886</v>
      </c>
      <c r="T235" s="4">
        <f>M235*INDEX(Dim_Product!$C$2:$C$4,MATCH(F235,Dim_Product!$A$2:$A$4,0))/1000000</f>
        <v>3.6070000000000002</v>
      </c>
      <c r="U235" s="19">
        <f t="shared" si="27"/>
        <v>0.90100000000000002</v>
      </c>
    </row>
    <row r="236" spans="1:21" x14ac:dyDescent="0.25">
      <c r="A236" s="18" t="s">
        <v>377</v>
      </c>
      <c r="B236" s="4">
        <v>20260702</v>
      </c>
      <c r="C236" s="4">
        <v>9</v>
      </c>
      <c r="D236" s="4" t="s">
        <v>25</v>
      </c>
      <c r="E236" s="4" t="s">
        <v>16</v>
      </c>
      <c r="F236" s="4" t="s">
        <v>141</v>
      </c>
      <c r="G236" s="4">
        <v>60</v>
      </c>
      <c r="H236" s="4">
        <v>5.4</v>
      </c>
      <c r="I236" s="4">
        <f t="shared" si="21"/>
        <v>54.6</v>
      </c>
      <c r="J236" s="4">
        <f>INDEX(Dim_Machine!$E$2:$E$8,MATCH(D236,Dim_Machine!$A$2:$A$8,0))*INDEX(Dim_Machine!$D$2:$D$8,MATCH(D236,Dim_Machine!$A$2:$A$8,0))*I236</f>
        <v>39312</v>
      </c>
      <c r="K236" s="4">
        <f>ROUND(J236*0.859,0)</f>
        <v>33769</v>
      </c>
      <c r="L236" s="4">
        <f>ROUND(K236*0.0304,0)</f>
        <v>1027</v>
      </c>
      <c r="M236" s="4">
        <f t="shared" si="22"/>
        <v>32742</v>
      </c>
      <c r="N236" s="4">
        <f t="shared" si="23"/>
        <v>0.85899979649979652</v>
      </c>
      <c r="O236" s="4">
        <f t="shared" si="24"/>
        <v>0.91</v>
      </c>
      <c r="P236" s="4">
        <f>IFERROR((K236/I236)/(INDEX(Dim_Machine!$E$2:$E$8,MATCH(D236,Dim_Machine!$A$2:$A$8,0))*INDEX(Dim_Machine!$D$2:$D$8,MATCH(D236,Dim_Machine!$A$2:$A$8,0))),0)</f>
        <v>0.85899979649979641</v>
      </c>
      <c r="Q236" s="4">
        <f t="shared" si="25"/>
        <v>0.96958749148627443</v>
      </c>
      <c r="R236" s="4">
        <f t="shared" si="26"/>
        <v>0.75791666666666668</v>
      </c>
      <c r="S236" s="4">
        <f>T236/0.884</f>
        <v>9.2596153846153832</v>
      </c>
      <c r="T236" s="4">
        <f>M236*INDEX(Dim_Product!$C$2:$C$4,MATCH(F236,Dim_Product!$A$2:$A$4,0))/1000000</f>
        <v>8.1854999999999993</v>
      </c>
      <c r="U236" s="19">
        <f t="shared" si="27"/>
        <v>0.88400000000000001</v>
      </c>
    </row>
    <row r="237" spans="1:21" x14ac:dyDescent="0.25">
      <c r="A237" s="18" t="s">
        <v>378</v>
      </c>
      <c r="B237" s="4">
        <v>20260702</v>
      </c>
      <c r="C237" s="4">
        <v>9</v>
      </c>
      <c r="D237" s="4" t="s">
        <v>27</v>
      </c>
      <c r="E237" s="4" t="s">
        <v>16</v>
      </c>
      <c r="F237" s="4" t="s">
        <v>143</v>
      </c>
      <c r="G237" s="4">
        <v>60</v>
      </c>
      <c r="H237" s="4">
        <v>0.7</v>
      </c>
      <c r="I237" s="4">
        <f t="shared" si="21"/>
        <v>59.3</v>
      </c>
      <c r="J237" s="4">
        <f>INDEX(Dim_Machine!$E$2:$E$8,MATCH(D237,Dim_Machine!$A$2:$A$8,0))*INDEX(Dim_Machine!$D$2:$D$8,MATCH(D237,Dim_Machine!$A$2:$A$8,0))*I237</f>
        <v>24668.799999999999</v>
      </c>
      <c r="K237" s="4">
        <f>ROUND(J237*0.859,0)</f>
        <v>21190</v>
      </c>
      <c r="L237" s="4">
        <f>ROUND(K237*0.0129,0)</f>
        <v>273</v>
      </c>
      <c r="M237" s="4">
        <f t="shared" si="22"/>
        <v>20917</v>
      </c>
      <c r="N237" s="4">
        <f t="shared" si="23"/>
        <v>0.85897976391231035</v>
      </c>
      <c r="O237" s="4">
        <f t="shared" si="24"/>
        <v>0.98833333333333329</v>
      </c>
      <c r="P237" s="4">
        <f>IFERROR((K237/I237)/(INDEX(Dim_Machine!$E$2:$E$8,MATCH(D237,Dim_Machine!$A$2:$A$8,0))*INDEX(Dim_Machine!$D$2:$D$8,MATCH(D237,Dim_Machine!$A$2:$A$8,0))),0)</f>
        <v>0.85897976391231035</v>
      </c>
      <c r="Q237" s="4">
        <f t="shared" si="25"/>
        <v>0.98711656441717788</v>
      </c>
      <c r="R237" s="4">
        <f t="shared" si="26"/>
        <v>0.83802083333333333</v>
      </c>
      <c r="S237" s="4">
        <f>T237/0.819</f>
        <v>5.1079365079365076</v>
      </c>
      <c r="T237" s="4">
        <f>M237*INDEX(Dim_Product!$C$2:$C$4,MATCH(F237,Dim_Product!$A$2:$A$4,0))/1000000</f>
        <v>4.1833999999999998</v>
      </c>
      <c r="U237" s="19">
        <f t="shared" si="27"/>
        <v>0.81900000000000006</v>
      </c>
    </row>
    <row r="238" spans="1:21" x14ac:dyDescent="0.25">
      <c r="A238" s="18" t="s">
        <v>379</v>
      </c>
      <c r="B238" s="4">
        <v>20260702</v>
      </c>
      <c r="C238" s="4">
        <v>9</v>
      </c>
      <c r="D238" s="4" t="s">
        <v>29</v>
      </c>
      <c r="E238" s="4" t="s">
        <v>16</v>
      </c>
      <c r="F238" s="4" t="s">
        <v>143</v>
      </c>
      <c r="G238" s="4">
        <v>60</v>
      </c>
      <c r="H238" s="4">
        <v>2.9</v>
      </c>
      <c r="I238" s="4">
        <f t="shared" si="21"/>
        <v>57.1</v>
      </c>
      <c r="J238" s="4">
        <f>INDEX(Dim_Machine!$E$2:$E$8,MATCH(D238,Dim_Machine!$A$2:$A$8,0))*INDEX(Dim_Machine!$D$2:$D$8,MATCH(D238,Dim_Machine!$A$2:$A$8,0))*I238</f>
        <v>16444.8</v>
      </c>
      <c r="K238" s="4">
        <f>ROUND(J238*0.93,0)</f>
        <v>15294</v>
      </c>
      <c r="L238" s="4">
        <f>ROUND(K238*0.0129,0)</f>
        <v>197</v>
      </c>
      <c r="M238" s="4">
        <f t="shared" si="22"/>
        <v>15097</v>
      </c>
      <c r="N238" s="4">
        <f t="shared" si="23"/>
        <v>0.93002043199065976</v>
      </c>
      <c r="O238" s="4">
        <f t="shared" si="24"/>
        <v>0.95166666666666666</v>
      </c>
      <c r="P238" s="4">
        <f>IFERROR((K238/I238)/(INDEX(Dim_Machine!$E$2:$E$8,MATCH(D238,Dim_Machine!$A$2:$A$8,0))*INDEX(Dim_Machine!$D$2:$D$8,MATCH(D238,Dim_Machine!$A$2:$A$8,0))),0)</f>
        <v>0.93002043199065965</v>
      </c>
      <c r="Q238" s="4">
        <f t="shared" si="25"/>
        <v>0.98711913168562837</v>
      </c>
      <c r="R238" s="4">
        <f t="shared" si="26"/>
        <v>0.87366898148148153</v>
      </c>
      <c r="S238" s="4">
        <f>T238/0.857</f>
        <v>3.523220536756126</v>
      </c>
      <c r="T238" s="4">
        <f>M238*INDEX(Dim_Product!$C$2:$C$4,MATCH(F238,Dim_Product!$A$2:$A$4,0))/1000000</f>
        <v>3.0194000000000001</v>
      </c>
      <c r="U238" s="19">
        <f t="shared" si="27"/>
        <v>0.85699999999999998</v>
      </c>
    </row>
    <row r="239" spans="1:21" x14ac:dyDescent="0.25">
      <c r="A239" s="18" t="s">
        <v>380</v>
      </c>
      <c r="B239" s="4">
        <v>20260702</v>
      </c>
      <c r="C239" s="4">
        <v>9</v>
      </c>
      <c r="D239" s="4" t="s">
        <v>31</v>
      </c>
      <c r="E239" s="4" t="s">
        <v>16</v>
      </c>
      <c r="F239" s="4" t="s">
        <v>143</v>
      </c>
      <c r="G239" s="4">
        <v>60</v>
      </c>
      <c r="H239" s="4">
        <v>5.0999999999999996</v>
      </c>
      <c r="I239" s="4">
        <f t="shared" si="21"/>
        <v>54.9</v>
      </c>
      <c r="J239" s="4">
        <f>INDEX(Dim_Machine!$E$2:$E$8,MATCH(D239,Dim_Machine!$A$2:$A$8,0))*INDEX(Dim_Machine!$D$2:$D$8,MATCH(D239,Dim_Machine!$A$2:$A$8,0))*I239</f>
        <v>35575.199999999997</v>
      </c>
      <c r="K239" s="4">
        <f>ROUND(J239*0.854,0)</f>
        <v>30381</v>
      </c>
      <c r="L239" s="4">
        <f>ROUND(K239*0.0252,0)</f>
        <v>766</v>
      </c>
      <c r="M239" s="4">
        <f t="shared" si="22"/>
        <v>29615</v>
      </c>
      <c r="N239" s="4">
        <f t="shared" si="23"/>
        <v>0.85399379342913051</v>
      </c>
      <c r="O239" s="4">
        <f t="shared" si="24"/>
        <v>0.91499999999999992</v>
      </c>
      <c r="P239" s="4">
        <f>IFERROR((K239/I239)/(INDEX(Dim_Machine!$E$2:$E$8,MATCH(D239,Dim_Machine!$A$2:$A$8,0))*INDEX(Dim_Machine!$D$2:$D$8,MATCH(D239,Dim_Machine!$A$2:$A$8,0))),0)</f>
        <v>0.8539937934291304</v>
      </c>
      <c r="Q239" s="4">
        <f t="shared" si="25"/>
        <v>0.97478687337480663</v>
      </c>
      <c r="R239" s="4">
        <f t="shared" si="26"/>
        <v>0.76170267489711929</v>
      </c>
      <c r="S239" s="4">
        <f>T239/0.871</f>
        <v>6.8002296211251432</v>
      </c>
      <c r="T239" s="4">
        <f>M239*INDEX(Dim_Product!$C$2:$C$4,MATCH(F239,Dim_Product!$A$2:$A$4,0))/1000000</f>
        <v>5.923</v>
      </c>
      <c r="U239" s="19">
        <f t="shared" si="27"/>
        <v>0.871</v>
      </c>
    </row>
    <row r="240" spans="1:21" x14ac:dyDescent="0.25">
      <c r="A240" s="18" t="s">
        <v>381</v>
      </c>
      <c r="B240" s="4">
        <v>20260702</v>
      </c>
      <c r="C240" s="4">
        <v>10</v>
      </c>
      <c r="D240" s="4" t="s">
        <v>15</v>
      </c>
      <c r="E240" s="4" t="s">
        <v>16</v>
      </c>
      <c r="F240" s="4" t="s">
        <v>143</v>
      </c>
      <c r="G240" s="4">
        <v>60</v>
      </c>
      <c r="H240" s="4">
        <v>5</v>
      </c>
      <c r="I240" s="4">
        <f t="shared" si="21"/>
        <v>55</v>
      </c>
      <c r="J240" s="4">
        <f>INDEX(Dim_Machine!$E$2:$E$8,MATCH(D240,Dim_Machine!$A$2:$A$8,0))*INDEX(Dim_Machine!$D$2:$D$8,MATCH(D240,Dim_Machine!$A$2:$A$8,0))*I240</f>
        <v>22000</v>
      </c>
      <c r="K240" s="4">
        <f>ROUND(J240*0.969,0)</f>
        <v>21318</v>
      </c>
      <c r="L240" s="4">
        <f>ROUND(K240*0.0148,0)</f>
        <v>316</v>
      </c>
      <c r="M240" s="4">
        <f t="shared" si="22"/>
        <v>21002</v>
      </c>
      <c r="N240" s="4">
        <f t="shared" si="23"/>
        <v>0.96899999999999997</v>
      </c>
      <c r="O240" s="4">
        <f t="shared" si="24"/>
        <v>0.91666666666666663</v>
      </c>
      <c r="P240" s="4">
        <f>IFERROR((K240/I240)/(INDEX(Dim_Machine!$E$2:$E$8,MATCH(D240,Dim_Machine!$A$2:$A$8,0))*INDEX(Dim_Machine!$D$2:$D$8,MATCH(D240,Dim_Machine!$A$2:$A$8,0))),0)</f>
        <v>0.96900000000000008</v>
      </c>
      <c r="Q240" s="4">
        <f t="shared" si="25"/>
        <v>0.98517684585796039</v>
      </c>
      <c r="R240" s="4">
        <f t="shared" si="26"/>
        <v>0.87508333333333344</v>
      </c>
      <c r="S240" s="4">
        <f>T240/0.892</f>
        <v>4.7089686098654706</v>
      </c>
      <c r="T240" s="4">
        <f>M240*INDEX(Dim_Product!$C$2:$C$4,MATCH(F240,Dim_Product!$A$2:$A$4,0))/1000000</f>
        <v>4.2004000000000001</v>
      </c>
      <c r="U240" s="19">
        <f t="shared" si="27"/>
        <v>0.89200000000000013</v>
      </c>
    </row>
    <row r="241" spans="1:21" x14ac:dyDescent="0.25">
      <c r="A241" s="18" t="s">
        <v>382</v>
      </c>
      <c r="B241" s="4">
        <v>20260702</v>
      </c>
      <c r="C241" s="4">
        <v>10</v>
      </c>
      <c r="D241" s="4" t="s">
        <v>19</v>
      </c>
      <c r="E241" s="4" t="s">
        <v>16</v>
      </c>
      <c r="F241" s="4" t="s">
        <v>141</v>
      </c>
      <c r="G241" s="4">
        <v>60</v>
      </c>
      <c r="H241" s="4">
        <v>5.2</v>
      </c>
      <c r="I241" s="4">
        <f t="shared" si="21"/>
        <v>54.8</v>
      </c>
      <c r="J241" s="4">
        <f>INDEX(Dim_Machine!$E$2:$E$8,MATCH(D241,Dim_Machine!$A$2:$A$8,0))*INDEX(Dim_Machine!$D$2:$D$8,MATCH(D241,Dim_Machine!$A$2:$A$8,0))*I241</f>
        <v>36825.599999999999</v>
      </c>
      <c r="K241" s="4">
        <f>ROUND(J241*0.907,0)</f>
        <v>33401</v>
      </c>
      <c r="L241" s="4">
        <f>ROUND(K241*0.0189,0)</f>
        <v>631</v>
      </c>
      <c r="M241" s="4">
        <f t="shared" si="22"/>
        <v>32770</v>
      </c>
      <c r="N241" s="4">
        <f t="shared" si="23"/>
        <v>0.90700490962808489</v>
      </c>
      <c r="O241" s="4">
        <f t="shared" si="24"/>
        <v>0.91333333333333333</v>
      </c>
      <c r="P241" s="4">
        <f>IFERROR((K241/I241)/(INDEX(Dim_Machine!$E$2:$E$8,MATCH(D241,Dim_Machine!$A$2:$A$8,0))*INDEX(Dim_Machine!$D$2:$D$8,MATCH(D241,Dim_Machine!$A$2:$A$8,0))),0)</f>
        <v>0.90700490962808489</v>
      </c>
      <c r="Q241" s="4">
        <f t="shared" si="25"/>
        <v>0.98110835004939967</v>
      </c>
      <c r="R241" s="4">
        <f t="shared" si="26"/>
        <v>0.81274801587301582</v>
      </c>
      <c r="S241" s="4">
        <f>T241/0.905</f>
        <v>9.0524861878453038</v>
      </c>
      <c r="T241" s="4">
        <f>M241*INDEX(Dim_Product!$C$2:$C$4,MATCH(F241,Dim_Product!$A$2:$A$4,0))/1000000</f>
        <v>8.1925000000000008</v>
      </c>
      <c r="U241" s="19">
        <f t="shared" si="27"/>
        <v>0.90500000000000014</v>
      </c>
    </row>
    <row r="242" spans="1:21" x14ac:dyDescent="0.25">
      <c r="A242" s="18" t="s">
        <v>383</v>
      </c>
      <c r="B242" s="4">
        <v>20260702</v>
      </c>
      <c r="C242" s="4">
        <v>10</v>
      </c>
      <c r="D242" s="4" t="s">
        <v>23</v>
      </c>
      <c r="E242" s="4" t="s">
        <v>16</v>
      </c>
      <c r="F242" s="4" t="s">
        <v>141</v>
      </c>
      <c r="G242" s="4">
        <v>60</v>
      </c>
      <c r="H242" s="4">
        <v>5.2</v>
      </c>
      <c r="I242" s="4">
        <f t="shared" si="21"/>
        <v>54.8</v>
      </c>
      <c r="J242" s="4">
        <f>INDEX(Dim_Machine!$E$2:$E$8,MATCH(D242,Dim_Machine!$A$2:$A$8,0))*INDEX(Dim_Machine!$D$2:$D$8,MATCH(D242,Dim_Machine!$A$2:$A$8,0))*I242</f>
        <v>14467.199999999999</v>
      </c>
      <c r="K242" s="4">
        <f>ROUND(J242*0.803,0)</f>
        <v>11617</v>
      </c>
      <c r="L242" s="4">
        <f>ROUND(K242*0.0064,0)</f>
        <v>74</v>
      </c>
      <c r="M242" s="4">
        <f t="shared" si="22"/>
        <v>11543</v>
      </c>
      <c r="N242" s="4">
        <f t="shared" si="23"/>
        <v>0.8029888299048884</v>
      </c>
      <c r="O242" s="4">
        <f t="shared" si="24"/>
        <v>0.91333333333333333</v>
      </c>
      <c r="P242" s="4">
        <f>IFERROR((K242/I242)/(INDEX(Dim_Machine!$E$2:$E$8,MATCH(D242,Dim_Machine!$A$2:$A$8,0))*INDEX(Dim_Machine!$D$2:$D$8,MATCH(D242,Dim_Machine!$A$2:$A$8,0))),0)</f>
        <v>0.8029888299048884</v>
      </c>
      <c r="Q242" s="4">
        <f t="shared" si="25"/>
        <v>0.99363002496341568</v>
      </c>
      <c r="R242" s="4">
        <f t="shared" si="26"/>
        <v>0.72872474747474747</v>
      </c>
      <c r="S242" s="4">
        <f>T242/0.806</f>
        <v>3.5803349875930515</v>
      </c>
      <c r="T242" s="4">
        <f>M242*INDEX(Dim_Product!$C$2:$C$4,MATCH(F242,Dim_Product!$A$2:$A$4,0))/1000000</f>
        <v>2.8857499999999998</v>
      </c>
      <c r="U242" s="19">
        <f t="shared" si="27"/>
        <v>0.80600000000000005</v>
      </c>
    </row>
    <row r="243" spans="1:21" x14ac:dyDescent="0.25">
      <c r="A243" s="18" t="s">
        <v>384</v>
      </c>
      <c r="B243" s="4">
        <v>20260702</v>
      </c>
      <c r="C243" s="4">
        <v>10</v>
      </c>
      <c r="D243" s="4" t="s">
        <v>25</v>
      </c>
      <c r="E243" s="4" t="s">
        <v>16</v>
      </c>
      <c r="F243" s="4" t="s">
        <v>141</v>
      </c>
      <c r="G243" s="4">
        <v>60</v>
      </c>
      <c r="H243" s="4">
        <v>8</v>
      </c>
      <c r="I243" s="4">
        <f t="shared" si="21"/>
        <v>52</v>
      </c>
      <c r="J243" s="4">
        <f>INDEX(Dim_Machine!$E$2:$E$8,MATCH(D243,Dim_Machine!$A$2:$A$8,0))*INDEX(Dim_Machine!$D$2:$D$8,MATCH(D243,Dim_Machine!$A$2:$A$8,0))*I243</f>
        <v>37440</v>
      </c>
      <c r="K243" s="4">
        <f>ROUND(J243*0.803,0)</f>
        <v>30064</v>
      </c>
      <c r="L243" s="4">
        <f>ROUND(K243*0.012,0)</f>
        <v>361</v>
      </c>
      <c r="M243" s="4">
        <f t="shared" si="22"/>
        <v>29703</v>
      </c>
      <c r="N243" s="4">
        <f t="shared" si="23"/>
        <v>0.80299145299145303</v>
      </c>
      <c r="O243" s="4">
        <f t="shared" si="24"/>
        <v>0.8666666666666667</v>
      </c>
      <c r="P243" s="4">
        <f>IFERROR((K243/I243)/(INDEX(Dim_Machine!$E$2:$E$8,MATCH(D243,Dim_Machine!$A$2:$A$8,0))*INDEX(Dim_Machine!$D$2:$D$8,MATCH(D243,Dim_Machine!$A$2:$A$8,0))),0)</f>
        <v>0.80299145299145303</v>
      </c>
      <c r="Q243" s="4">
        <f t="shared" si="25"/>
        <v>0.98799228312932408</v>
      </c>
      <c r="R243" s="4">
        <f t="shared" si="26"/>
        <v>0.68756944444444446</v>
      </c>
      <c r="S243" s="4">
        <f>T243/0.881</f>
        <v>8.4287741203178204</v>
      </c>
      <c r="T243" s="4">
        <f>M243*INDEX(Dim_Product!$C$2:$C$4,MATCH(F243,Dim_Product!$A$2:$A$4,0))/1000000</f>
        <v>7.4257499999999999</v>
      </c>
      <c r="U243" s="19">
        <f t="shared" si="27"/>
        <v>0.88100000000000001</v>
      </c>
    </row>
    <row r="244" spans="1:21" x14ac:dyDescent="0.25">
      <c r="A244" s="18" t="s">
        <v>385</v>
      </c>
      <c r="B244" s="4">
        <v>20260702</v>
      </c>
      <c r="C244" s="4">
        <v>10</v>
      </c>
      <c r="D244" s="4" t="s">
        <v>27</v>
      </c>
      <c r="E244" s="4" t="s">
        <v>16</v>
      </c>
      <c r="F244" s="4" t="s">
        <v>143</v>
      </c>
      <c r="G244" s="4">
        <v>60</v>
      </c>
      <c r="H244" s="4">
        <v>3.1</v>
      </c>
      <c r="I244" s="4">
        <f t="shared" si="21"/>
        <v>56.9</v>
      </c>
      <c r="J244" s="4">
        <f>INDEX(Dim_Machine!$E$2:$E$8,MATCH(D244,Dim_Machine!$A$2:$A$8,0))*INDEX(Dim_Machine!$D$2:$D$8,MATCH(D244,Dim_Machine!$A$2:$A$8,0))*I244</f>
        <v>23670.399999999998</v>
      </c>
      <c r="K244" s="4">
        <f>ROUND(J244*0.854,0)</f>
        <v>20215</v>
      </c>
      <c r="L244" s="4">
        <f>ROUND(K244*0.0335,0)</f>
        <v>677</v>
      </c>
      <c r="M244" s="4">
        <f t="shared" si="22"/>
        <v>19538</v>
      </c>
      <c r="N244" s="4">
        <f t="shared" si="23"/>
        <v>0.85402021089630942</v>
      </c>
      <c r="O244" s="4">
        <f t="shared" si="24"/>
        <v>0.94833333333333336</v>
      </c>
      <c r="P244" s="4">
        <f>IFERROR((K244/I244)/(INDEX(Dim_Machine!$E$2:$E$8,MATCH(D244,Dim_Machine!$A$2:$A$8,0))*INDEX(Dim_Machine!$D$2:$D$8,MATCH(D244,Dim_Machine!$A$2:$A$8,0))),0)</f>
        <v>0.85402021089630931</v>
      </c>
      <c r="Q244" s="4">
        <f t="shared" si="25"/>
        <v>0.96651001731387587</v>
      </c>
      <c r="R244" s="4">
        <f t="shared" si="26"/>
        <v>0.78277243589743595</v>
      </c>
      <c r="S244" s="4">
        <f>T244/0.904</f>
        <v>4.3225663716814156</v>
      </c>
      <c r="T244" s="4">
        <f>M244*INDEX(Dim_Product!$C$2:$C$4,MATCH(F244,Dim_Product!$A$2:$A$4,0))/1000000</f>
        <v>3.9076</v>
      </c>
      <c r="U244" s="19">
        <f t="shared" si="27"/>
        <v>0.90400000000000003</v>
      </c>
    </row>
    <row r="245" spans="1:21" x14ac:dyDescent="0.25">
      <c r="A245" s="18" t="s">
        <v>386</v>
      </c>
      <c r="B245" s="4">
        <v>20260702</v>
      </c>
      <c r="C245" s="4">
        <v>10</v>
      </c>
      <c r="D245" s="4" t="s">
        <v>29</v>
      </c>
      <c r="E245" s="4" t="s">
        <v>16</v>
      </c>
      <c r="F245" s="4" t="s">
        <v>143</v>
      </c>
      <c r="G245" s="4">
        <v>60</v>
      </c>
      <c r="H245" s="4">
        <v>4.3</v>
      </c>
      <c r="I245" s="4">
        <f t="shared" si="21"/>
        <v>55.7</v>
      </c>
      <c r="J245" s="4">
        <f>INDEX(Dim_Machine!$E$2:$E$8,MATCH(D245,Dim_Machine!$A$2:$A$8,0))*INDEX(Dim_Machine!$D$2:$D$8,MATCH(D245,Dim_Machine!$A$2:$A$8,0))*I245</f>
        <v>16041.6</v>
      </c>
      <c r="K245" s="4">
        <f>ROUND(J245*0.897,0)</f>
        <v>14389</v>
      </c>
      <c r="L245" s="4">
        <f>ROUND(K245*0.0268,0)</f>
        <v>386</v>
      </c>
      <c r="M245" s="4">
        <f t="shared" si="22"/>
        <v>14003</v>
      </c>
      <c r="N245" s="4">
        <f t="shared" si="23"/>
        <v>0.89698035108717333</v>
      </c>
      <c r="O245" s="4">
        <f t="shared" si="24"/>
        <v>0.92833333333333334</v>
      </c>
      <c r="P245" s="4">
        <f>IFERROR((K245/I245)/(INDEX(Dim_Machine!$E$2:$E$8,MATCH(D245,Dim_Machine!$A$2:$A$8,0))*INDEX(Dim_Machine!$D$2:$D$8,MATCH(D245,Dim_Machine!$A$2:$A$8,0))),0)</f>
        <v>0.89698035108717333</v>
      </c>
      <c r="Q245" s="4">
        <f t="shared" si="25"/>
        <v>0.9731739523246925</v>
      </c>
      <c r="R245" s="4">
        <f t="shared" si="26"/>
        <v>0.81035879629629626</v>
      </c>
      <c r="S245" s="4">
        <f>T245/0.933</f>
        <v>3.0017148981779207</v>
      </c>
      <c r="T245" s="4">
        <f>M245*INDEX(Dim_Product!$C$2:$C$4,MATCH(F245,Dim_Product!$A$2:$A$4,0))/1000000</f>
        <v>2.8006000000000002</v>
      </c>
      <c r="U245" s="19">
        <f t="shared" si="27"/>
        <v>0.93300000000000005</v>
      </c>
    </row>
    <row r="246" spans="1:21" x14ac:dyDescent="0.25">
      <c r="A246" s="18" t="s">
        <v>387</v>
      </c>
      <c r="B246" s="4">
        <v>20260702</v>
      </c>
      <c r="C246" s="4">
        <v>10</v>
      </c>
      <c r="D246" s="4" t="s">
        <v>31</v>
      </c>
      <c r="E246" s="4" t="s">
        <v>16</v>
      </c>
      <c r="F246" s="4" t="s">
        <v>143</v>
      </c>
      <c r="G246" s="4">
        <v>60</v>
      </c>
      <c r="H246" s="4">
        <v>5.2</v>
      </c>
      <c r="I246" s="4">
        <f t="shared" si="21"/>
        <v>54.8</v>
      </c>
      <c r="J246" s="4">
        <f>INDEX(Dim_Machine!$E$2:$E$8,MATCH(D246,Dim_Machine!$A$2:$A$8,0))*INDEX(Dim_Machine!$D$2:$D$8,MATCH(D246,Dim_Machine!$A$2:$A$8,0))*I246</f>
        <v>35510.400000000001</v>
      </c>
      <c r="K246" s="4">
        <f>ROUND(J246*0.947,0)</f>
        <v>33628</v>
      </c>
      <c r="L246" s="4">
        <f>ROUND(K246*0.0235,0)</f>
        <v>790</v>
      </c>
      <c r="M246" s="4">
        <f t="shared" si="22"/>
        <v>32838</v>
      </c>
      <c r="N246" s="4">
        <f t="shared" si="23"/>
        <v>0.94699017752545733</v>
      </c>
      <c r="O246" s="4">
        <f t="shared" si="24"/>
        <v>0.91333333333333333</v>
      </c>
      <c r="P246" s="4">
        <f>IFERROR((K246/I246)/(INDEX(Dim_Machine!$E$2:$E$8,MATCH(D246,Dim_Machine!$A$2:$A$8,0))*INDEX(Dim_Machine!$D$2:$D$8,MATCH(D246,Dim_Machine!$A$2:$A$8,0))),0)</f>
        <v>0.94699017752545744</v>
      </c>
      <c r="Q246" s="4">
        <f t="shared" si="25"/>
        <v>0.97650767217794698</v>
      </c>
      <c r="R246" s="4">
        <f t="shared" si="26"/>
        <v>0.84459876543209889</v>
      </c>
      <c r="S246" s="4">
        <f>T246/0.941</f>
        <v>6.9793836344314562</v>
      </c>
      <c r="T246" s="4">
        <f>M246*INDEX(Dim_Product!$C$2:$C$4,MATCH(F246,Dim_Product!$A$2:$A$4,0))/1000000</f>
        <v>6.5675999999999997</v>
      </c>
      <c r="U246" s="19">
        <f t="shared" si="27"/>
        <v>0.94099999999999995</v>
      </c>
    </row>
    <row r="247" spans="1:21" x14ac:dyDescent="0.25">
      <c r="A247" s="18" t="s">
        <v>388</v>
      </c>
      <c r="B247" s="4">
        <v>20260702</v>
      </c>
      <c r="C247" s="4">
        <v>11</v>
      </c>
      <c r="D247" s="4" t="s">
        <v>15</v>
      </c>
      <c r="E247" s="4" t="s">
        <v>16</v>
      </c>
      <c r="F247" s="4" t="s">
        <v>143</v>
      </c>
      <c r="G247" s="4">
        <v>60</v>
      </c>
      <c r="H247" s="4">
        <v>2.2000000000000002</v>
      </c>
      <c r="I247" s="4">
        <f t="shared" si="21"/>
        <v>57.8</v>
      </c>
      <c r="J247" s="4">
        <f>INDEX(Dim_Machine!$E$2:$E$8,MATCH(D247,Dim_Machine!$A$2:$A$8,0))*INDEX(Dim_Machine!$D$2:$D$8,MATCH(D247,Dim_Machine!$A$2:$A$8,0))*I247</f>
        <v>23120</v>
      </c>
      <c r="K247" s="4">
        <f>ROUND(J247*0.918,0)</f>
        <v>21224</v>
      </c>
      <c r="L247" s="4">
        <f>ROUND(K247*0.0115,0)</f>
        <v>244</v>
      </c>
      <c r="M247" s="4">
        <f t="shared" si="22"/>
        <v>20980</v>
      </c>
      <c r="N247" s="4">
        <f t="shared" si="23"/>
        <v>0.91799307958477505</v>
      </c>
      <c r="O247" s="4">
        <f t="shared" si="24"/>
        <v>0.96333333333333326</v>
      </c>
      <c r="P247" s="4">
        <f>IFERROR((K247/I247)/(INDEX(Dim_Machine!$E$2:$E$8,MATCH(D247,Dim_Machine!$A$2:$A$8,0))*INDEX(Dim_Machine!$D$2:$D$8,MATCH(D247,Dim_Machine!$A$2:$A$8,0))),0)</f>
        <v>0.91799307958477516</v>
      </c>
      <c r="Q247" s="4">
        <f t="shared" si="25"/>
        <v>0.98850358085186585</v>
      </c>
      <c r="R247" s="4">
        <f t="shared" si="26"/>
        <v>0.87416666666666665</v>
      </c>
      <c r="S247" s="4">
        <f>T247/0.867</f>
        <v>4.8396770472895039</v>
      </c>
      <c r="T247" s="4">
        <f>M247*INDEX(Dim_Product!$C$2:$C$4,MATCH(F247,Dim_Product!$A$2:$A$4,0))/1000000</f>
        <v>4.1959999999999997</v>
      </c>
      <c r="U247" s="19">
        <f t="shared" si="27"/>
        <v>0.86699999999999999</v>
      </c>
    </row>
    <row r="248" spans="1:21" x14ac:dyDescent="0.25">
      <c r="A248" s="18" t="s">
        <v>389</v>
      </c>
      <c r="B248" s="4">
        <v>20260702</v>
      </c>
      <c r="C248" s="4">
        <v>11</v>
      </c>
      <c r="D248" s="4" t="s">
        <v>19</v>
      </c>
      <c r="E248" s="4" t="s">
        <v>16</v>
      </c>
      <c r="F248" s="4" t="s">
        <v>141</v>
      </c>
      <c r="G248" s="4">
        <v>60</v>
      </c>
      <c r="H248" s="4">
        <v>1.9</v>
      </c>
      <c r="I248" s="4">
        <f t="shared" si="21"/>
        <v>58.1</v>
      </c>
      <c r="J248" s="4">
        <f>INDEX(Dim_Machine!$E$2:$E$8,MATCH(D248,Dim_Machine!$A$2:$A$8,0))*INDEX(Dim_Machine!$D$2:$D$8,MATCH(D248,Dim_Machine!$A$2:$A$8,0))*I248</f>
        <v>39043.200000000004</v>
      </c>
      <c r="K248" s="4">
        <f>ROUND(J248*0.853,0)</f>
        <v>33304</v>
      </c>
      <c r="L248" s="4">
        <f>ROUND(K248*0.0344,0)</f>
        <v>1146</v>
      </c>
      <c r="M248" s="4">
        <f t="shared" si="22"/>
        <v>32158</v>
      </c>
      <c r="N248" s="4">
        <f t="shared" si="23"/>
        <v>0.85300385214326691</v>
      </c>
      <c r="O248" s="4">
        <f t="shared" si="24"/>
        <v>0.96833333333333338</v>
      </c>
      <c r="P248" s="4">
        <f>IFERROR((K248/I248)/(INDEX(Dim_Machine!$E$2:$E$8,MATCH(D248,Dim_Machine!$A$2:$A$8,0))*INDEX(Dim_Machine!$D$2:$D$8,MATCH(D248,Dim_Machine!$A$2:$A$8,0))),0)</f>
        <v>0.85300385214326691</v>
      </c>
      <c r="Q248" s="4">
        <f t="shared" si="25"/>
        <v>0.96558971895267831</v>
      </c>
      <c r="R248" s="4">
        <f t="shared" si="26"/>
        <v>0.79756944444444433</v>
      </c>
      <c r="S248" s="4">
        <f>T248/0.855</f>
        <v>9.4029239766081876</v>
      </c>
      <c r="T248" s="4">
        <f>M248*INDEX(Dim_Product!$C$2:$C$4,MATCH(F248,Dim_Product!$A$2:$A$4,0))/1000000</f>
        <v>8.0395000000000003</v>
      </c>
      <c r="U248" s="19">
        <f t="shared" si="27"/>
        <v>0.85499999999999998</v>
      </c>
    </row>
    <row r="249" spans="1:21" x14ac:dyDescent="0.25">
      <c r="A249" s="18" t="s">
        <v>390</v>
      </c>
      <c r="B249" s="4">
        <v>20260702</v>
      </c>
      <c r="C249" s="4">
        <v>11</v>
      </c>
      <c r="D249" s="4" t="s">
        <v>23</v>
      </c>
      <c r="E249" s="4" t="s">
        <v>16</v>
      </c>
      <c r="F249" s="4" t="s">
        <v>141</v>
      </c>
      <c r="G249" s="4">
        <v>60</v>
      </c>
      <c r="H249" s="4">
        <v>7.2</v>
      </c>
      <c r="I249" s="4">
        <f t="shared" si="21"/>
        <v>52.8</v>
      </c>
      <c r="J249" s="4">
        <f>INDEX(Dim_Machine!$E$2:$E$8,MATCH(D249,Dim_Machine!$A$2:$A$8,0))*INDEX(Dim_Machine!$D$2:$D$8,MATCH(D249,Dim_Machine!$A$2:$A$8,0))*I249</f>
        <v>13939.199999999999</v>
      </c>
      <c r="K249" s="4">
        <f>ROUND(J249*0.909,0)</f>
        <v>12671</v>
      </c>
      <c r="L249" s="4">
        <f>ROUND(K249*0.0068,0)</f>
        <v>86</v>
      </c>
      <c r="M249" s="4">
        <f t="shared" si="22"/>
        <v>12585</v>
      </c>
      <c r="N249" s="4">
        <f t="shared" si="23"/>
        <v>0.9090191689623508</v>
      </c>
      <c r="O249" s="4">
        <f t="shared" si="24"/>
        <v>0.88</v>
      </c>
      <c r="P249" s="4">
        <f>IFERROR((K249/I249)/(INDEX(Dim_Machine!$E$2:$E$8,MATCH(D249,Dim_Machine!$A$2:$A$8,0))*INDEX(Dim_Machine!$D$2:$D$8,MATCH(D249,Dim_Machine!$A$2:$A$8,0))),0)</f>
        <v>0.9090191689623508</v>
      </c>
      <c r="Q249" s="4">
        <f t="shared" si="25"/>
        <v>0.99321284823612976</v>
      </c>
      <c r="R249" s="4">
        <f t="shared" si="26"/>
        <v>0.7945075757575758</v>
      </c>
      <c r="S249" s="4">
        <f>T249/0.841</f>
        <v>3.7410820451843048</v>
      </c>
      <c r="T249" s="4">
        <f>M249*INDEX(Dim_Product!$C$2:$C$4,MATCH(F249,Dim_Product!$A$2:$A$4,0))/1000000</f>
        <v>3.1462500000000002</v>
      </c>
      <c r="U249" s="19">
        <f t="shared" si="27"/>
        <v>0.84099999999999997</v>
      </c>
    </row>
    <row r="250" spans="1:21" x14ac:dyDescent="0.25">
      <c r="A250" s="18" t="s">
        <v>391</v>
      </c>
      <c r="B250" s="4">
        <v>20260702</v>
      </c>
      <c r="C250" s="4">
        <v>11</v>
      </c>
      <c r="D250" s="4" t="s">
        <v>25</v>
      </c>
      <c r="E250" s="4" t="s">
        <v>16</v>
      </c>
      <c r="F250" s="4" t="s">
        <v>141</v>
      </c>
      <c r="G250" s="4">
        <v>60</v>
      </c>
      <c r="H250" s="4">
        <v>7.7</v>
      </c>
      <c r="I250" s="4">
        <f t="shared" si="21"/>
        <v>52.3</v>
      </c>
      <c r="J250" s="4">
        <f>INDEX(Dim_Machine!$E$2:$E$8,MATCH(D250,Dim_Machine!$A$2:$A$8,0))*INDEX(Dim_Machine!$D$2:$D$8,MATCH(D250,Dim_Machine!$A$2:$A$8,0))*I250</f>
        <v>37656</v>
      </c>
      <c r="K250" s="4">
        <f>ROUND(J250*0.97,0)</f>
        <v>36526</v>
      </c>
      <c r="L250" s="4">
        <f>ROUND(K250*0.0297,0)</f>
        <v>1085</v>
      </c>
      <c r="M250" s="4">
        <f t="shared" si="22"/>
        <v>35441</v>
      </c>
      <c r="N250" s="4">
        <f t="shared" si="23"/>
        <v>0.96999150201827067</v>
      </c>
      <c r="O250" s="4">
        <f t="shared" si="24"/>
        <v>0.87166666666666659</v>
      </c>
      <c r="P250" s="4">
        <f>IFERROR((K250/I250)/(INDEX(Dim_Machine!$E$2:$E$8,MATCH(D250,Dim_Machine!$A$2:$A$8,0))*INDEX(Dim_Machine!$D$2:$D$8,MATCH(D250,Dim_Machine!$A$2:$A$8,0))),0)</f>
        <v>0.96999150201827067</v>
      </c>
      <c r="Q250" s="4">
        <f t="shared" si="25"/>
        <v>0.97029513223457264</v>
      </c>
      <c r="R250" s="4">
        <f t="shared" si="26"/>
        <v>0.82039351851851849</v>
      </c>
      <c r="S250" s="4">
        <f>T250/0.814</f>
        <v>10.884828009828011</v>
      </c>
      <c r="T250" s="4">
        <f>M250*INDEX(Dim_Product!$C$2:$C$4,MATCH(F250,Dim_Product!$A$2:$A$4,0))/1000000</f>
        <v>8.8602500000000006</v>
      </c>
      <c r="U250" s="19">
        <f t="shared" si="27"/>
        <v>0.81399999999999995</v>
      </c>
    </row>
    <row r="251" spans="1:21" x14ac:dyDescent="0.25">
      <c r="A251" s="18" t="s">
        <v>392</v>
      </c>
      <c r="B251" s="4">
        <v>20260702</v>
      </c>
      <c r="C251" s="4">
        <v>11</v>
      </c>
      <c r="D251" s="4" t="s">
        <v>27</v>
      </c>
      <c r="E251" s="4" t="s">
        <v>16</v>
      </c>
      <c r="F251" s="4" t="s">
        <v>143</v>
      </c>
      <c r="G251" s="4">
        <v>60</v>
      </c>
      <c r="H251" s="4">
        <v>1.7</v>
      </c>
      <c r="I251" s="4">
        <f t="shared" si="21"/>
        <v>58.3</v>
      </c>
      <c r="J251" s="4">
        <f>INDEX(Dim_Machine!$E$2:$E$8,MATCH(D251,Dim_Machine!$A$2:$A$8,0))*INDEX(Dim_Machine!$D$2:$D$8,MATCH(D251,Dim_Machine!$A$2:$A$8,0))*I251</f>
        <v>24252.799999999999</v>
      </c>
      <c r="K251" s="4">
        <f>ROUND(J251*0.908,0)</f>
        <v>22022</v>
      </c>
      <c r="L251" s="4">
        <f>ROUND(K251*0.0341,0)</f>
        <v>751</v>
      </c>
      <c r="M251" s="4">
        <f t="shared" si="22"/>
        <v>21271</v>
      </c>
      <c r="N251" s="4">
        <f t="shared" si="23"/>
        <v>0.90801886792452835</v>
      </c>
      <c r="O251" s="4">
        <f t="shared" si="24"/>
        <v>0.97166666666666657</v>
      </c>
      <c r="P251" s="4">
        <f>IFERROR((K251/I251)/(INDEX(Dim_Machine!$E$2:$E$8,MATCH(D251,Dim_Machine!$A$2:$A$8,0))*INDEX(Dim_Machine!$D$2:$D$8,MATCH(D251,Dim_Machine!$A$2:$A$8,0))),0)</f>
        <v>0.90801886792452835</v>
      </c>
      <c r="Q251" s="4">
        <f t="shared" si="25"/>
        <v>0.96589773862501138</v>
      </c>
      <c r="R251" s="4">
        <f t="shared" si="26"/>
        <v>0.85220352564102564</v>
      </c>
      <c r="S251" s="4">
        <f>T251/0.808</f>
        <v>5.2650990099009896</v>
      </c>
      <c r="T251" s="4">
        <f>M251*INDEX(Dim_Product!$C$2:$C$4,MATCH(F251,Dim_Product!$A$2:$A$4,0))/1000000</f>
        <v>4.2542</v>
      </c>
      <c r="U251" s="19">
        <f t="shared" si="27"/>
        <v>0.80800000000000005</v>
      </c>
    </row>
    <row r="252" spans="1:21" x14ac:dyDescent="0.25">
      <c r="A252" s="18" t="s">
        <v>393</v>
      </c>
      <c r="B252" s="4">
        <v>20260702</v>
      </c>
      <c r="C252" s="4">
        <v>11</v>
      </c>
      <c r="D252" s="4" t="s">
        <v>29</v>
      </c>
      <c r="E252" s="4" t="s">
        <v>16</v>
      </c>
      <c r="F252" s="4" t="s">
        <v>143</v>
      </c>
      <c r="G252" s="4">
        <v>60</v>
      </c>
      <c r="H252" s="4">
        <v>2.7</v>
      </c>
      <c r="I252" s="4">
        <f t="shared" si="21"/>
        <v>57.3</v>
      </c>
      <c r="J252" s="4">
        <f>INDEX(Dim_Machine!$E$2:$E$8,MATCH(D252,Dim_Machine!$A$2:$A$8,0))*INDEX(Dim_Machine!$D$2:$D$8,MATCH(D252,Dim_Machine!$A$2:$A$8,0))*I252</f>
        <v>16502.399999999998</v>
      </c>
      <c r="K252" s="4">
        <f>ROUND(J252*0.978,0)</f>
        <v>16139</v>
      </c>
      <c r="L252" s="4">
        <f>ROUND(K252*0.0286,0)</f>
        <v>462</v>
      </c>
      <c r="M252" s="4">
        <f t="shared" si="22"/>
        <v>15677</v>
      </c>
      <c r="N252" s="4">
        <f t="shared" si="23"/>
        <v>0.97797896063602885</v>
      </c>
      <c r="O252" s="4">
        <f t="shared" si="24"/>
        <v>0.95499999999999996</v>
      </c>
      <c r="P252" s="4">
        <f>IFERROR((K252/I252)/(INDEX(Dim_Machine!$E$2:$E$8,MATCH(D252,Dim_Machine!$A$2:$A$8,0))*INDEX(Dim_Machine!$D$2:$D$8,MATCH(D252,Dim_Machine!$A$2:$A$8,0))),0)</f>
        <v>0.97797896063602885</v>
      </c>
      <c r="Q252" s="4">
        <f t="shared" si="25"/>
        <v>0.97137369105892557</v>
      </c>
      <c r="R252" s="4">
        <f t="shared" si="26"/>
        <v>0.90723379629629641</v>
      </c>
      <c r="S252" s="4">
        <f>T252/0.831</f>
        <v>3.773044524669074</v>
      </c>
      <c r="T252" s="4">
        <f>M252*INDEX(Dim_Product!$C$2:$C$4,MATCH(F252,Dim_Product!$A$2:$A$4,0))/1000000</f>
        <v>3.1354000000000002</v>
      </c>
      <c r="U252" s="19">
        <f t="shared" si="27"/>
        <v>0.83099999999999996</v>
      </c>
    </row>
    <row r="253" spans="1:21" x14ac:dyDescent="0.25">
      <c r="A253" s="18" t="s">
        <v>394</v>
      </c>
      <c r="B253" s="4">
        <v>20260702</v>
      </c>
      <c r="C253" s="4">
        <v>11</v>
      </c>
      <c r="D253" s="4" t="s">
        <v>31</v>
      </c>
      <c r="E253" s="4" t="s">
        <v>16</v>
      </c>
      <c r="F253" s="4" t="s">
        <v>143</v>
      </c>
      <c r="G253" s="4">
        <v>60</v>
      </c>
      <c r="H253" s="4">
        <v>6.6</v>
      </c>
      <c r="I253" s="4">
        <f t="shared" si="21"/>
        <v>53.4</v>
      </c>
      <c r="J253" s="4">
        <f>INDEX(Dim_Machine!$E$2:$E$8,MATCH(D253,Dim_Machine!$A$2:$A$8,0))*INDEX(Dim_Machine!$D$2:$D$8,MATCH(D253,Dim_Machine!$A$2:$A$8,0))*I253</f>
        <v>34603.199999999997</v>
      </c>
      <c r="K253" s="4">
        <f>ROUND(J253*0.891,0)</f>
        <v>30831</v>
      </c>
      <c r="L253" s="4">
        <f>ROUND(K253*0.0226,0)</f>
        <v>697</v>
      </c>
      <c r="M253" s="4">
        <f t="shared" si="22"/>
        <v>30134</v>
      </c>
      <c r="N253" s="4">
        <f t="shared" si="23"/>
        <v>0.89098696074351513</v>
      </c>
      <c r="O253" s="4">
        <f t="shared" si="24"/>
        <v>0.89</v>
      </c>
      <c r="P253" s="4">
        <f>IFERROR((K253/I253)/(INDEX(Dim_Machine!$E$2:$E$8,MATCH(D253,Dim_Machine!$A$2:$A$8,0))*INDEX(Dim_Machine!$D$2:$D$8,MATCH(D253,Dim_Machine!$A$2:$A$8,0))),0)</f>
        <v>0.89098696074351502</v>
      </c>
      <c r="Q253" s="4">
        <f t="shared" si="25"/>
        <v>0.97739288378580003</v>
      </c>
      <c r="R253" s="4">
        <f t="shared" si="26"/>
        <v>0.77505144032921813</v>
      </c>
      <c r="S253" s="4">
        <f>T253/0.922</f>
        <v>6.5366594360086765</v>
      </c>
      <c r="T253" s="4">
        <f>M253*INDEX(Dim_Product!$C$2:$C$4,MATCH(F253,Dim_Product!$A$2:$A$4,0))/1000000</f>
        <v>6.0267999999999997</v>
      </c>
      <c r="U253" s="19">
        <f t="shared" si="27"/>
        <v>0.92200000000000004</v>
      </c>
    </row>
    <row r="254" spans="1:21" x14ac:dyDescent="0.25">
      <c r="A254" s="18" t="s">
        <v>395</v>
      </c>
      <c r="B254" s="4">
        <v>20260702</v>
      </c>
      <c r="C254" s="4">
        <v>12</v>
      </c>
      <c r="D254" s="4" t="s">
        <v>15</v>
      </c>
      <c r="E254" s="4" t="s">
        <v>16</v>
      </c>
      <c r="F254" s="4" t="s">
        <v>143</v>
      </c>
      <c r="G254" s="4">
        <v>60</v>
      </c>
      <c r="H254" s="4">
        <v>1.9</v>
      </c>
      <c r="I254" s="4">
        <f t="shared" si="21"/>
        <v>58.1</v>
      </c>
      <c r="J254" s="4">
        <f>INDEX(Dim_Machine!$E$2:$E$8,MATCH(D254,Dim_Machine!$A$2:$A$8,0))*INDEX(Dim_Machine!$D$2:$D$8,MATCH(D254,Dim_Machine!$A$2:$A$8,0))*I254</f>
        <v>23240</v>
      </c>
      <c r="K254" s="4">
        <f>ROUND(J254*0.935,0)</f>
        <v>21729</v>
      </c>
      <c r="L254" s="4">
        <f>ROUND(K254*0.0287,0)</f>
        <v>624</v>
      </c>
      <c r="M254" s="4">
        <f t="shared" si="22"/>
        <v>21105</v>
      </c>
      <c r="N254" s="4">
        <f t="shared" si="23"/>
        <v>0.93498278829604131</v>
      </c>
      <c r="O254" s="4">
        <f t="shared" si="24"/>
        <v>0.96833333333333338</v>
      </c>
      <c r="P254" s="4">
        <f>IFERROR((K254/I254)/(INDEX(Dim_Machine!$E$2:$E$8,MATCH(D254,Dim_Machine!$A$2:$A$8,0))*INDEX(Dim_Machine!$D$2:$D$8,MATCH(D254,Dim_Machine!$A$2:$A$8,0))),0)</f>
        <v>0.93498278829604131</v>
      </c>
      <c r="Q254" s="4">
        <f t="shared" si="25"/>
        <v>0.97128261769984814</v>
      </c>
      <c r="R254" s="4">
        <f t="shared" si="26"/>
        <v>0.87937500000000002</v>
      </c>
      <c r="S254" s="4">
        <f>T254/0.889</f>
        <v>4.7480314960629926</v>
      </c>
      <c r="T254" s="4">
        <f>M254*INDEX(Dim_Product!$C$2:$C$4,MATCH(F254,Dim_Product!$A$2:$A$4,0))/1000000</f>
        <v>4.2210000000000001</v>
      </c>
      <c r="U254" s="19">
        <f t="shared" si="27"/>
        <v>0.8889999999999999</v>
      </c>
    </row>
    <row r="255" spans="1:21" x14ac:dyDescent="0.25">
      <c r="A255" s="18" t="s">
        <v>396</v>
      </c>
      <c r="B255" s="4">
        <v>20260702</v>
      </c>
      <c r="C255" s="4">
        <v>12</v>
      </c>
      <c r="D255" s="4" t="s">
        <v>19</v>
      </c>
      <c r="E255" s="4" t="s">
        <v>16</v>
      </c>
      <c r="F255" s="4" t="s">
        <v>141</v>
      </c>
      <c r="G255" s="4">
        <v>60</v>
      </c>
      <c r="H255" s="4">
        <v>2.2000000000000002</v>
      </c>
      <c r="I255" s="4">
        <f t="shared" si="21"/>
        <v>57.8</v>
      </c>
      <c r="J255" s="4">
        <f>INDEX(Dim_Machine!$E$2:$E$8,MATCH(D255,Dim_Machine!$A$2:$A$8,0))*INDEX(Dim_Machine!$D$2:$D$8,MATCH(D255,Dim_Machine!$A$2:$A$8,0))*I255</f>
        <v>38841.599999999999</v>
      </c>
      <c r="K255" s="4">
        <f>ROUND(J255*0.977,0)</f>
        <v>37948</v>
      </c>
      <c r="L255" s="4">
        <f>ROUND(K255*0.0346,0)</f>
        <v>1313</v>
      </c>
      <c r="M255" s="4">
        <f t="shared" si="22"/>
        <v>36635</v>
      </c>
      <c r="N255" s="4">
        <f t="shared" si="23"/>
        <v>0.97699373867193939</v>
      </c>
      <c r="O255" s="4">
        <f t="shared" si="24"/>
        <v>0.96333333333333326</v>
      </c>
      <c r="P255" s="4">
        <f>IFERROR((K255/I255)/(INDEX(Dim_Machine!$E$2:$E$8,MATCH(D255,Dim_Machine!$A$2:$A$8,0))*INDEX(Dim_Machine!$D$2:$D$8,MATCH(D255,Dim_Machine!$A$2:$A$8,0))),0)</f>
        <v>0.97699373867193928</v>
      </c>
      <c r="Q255" s="4">
        <f t="shared" si="25"/>
        <v>0.96540002108147993</v>
      </c>
      <c r="R255" s="4">
        <f t="shared" si="26"/>
        <v>0.9086061507936507</v>
      </c>
      <c r="S255" s="4">
        <f>T255/0.881</f>
        <v>10.395856980703746</v>
      </c>
      <c r="T255" s="4">
        <f>M255*INDEX(Dim_Product!$C$2:$C$4,MATCH(F255,Dim_Product!$A$2:$A$4,0))/1000000</f>
        <v>9.1587499999999995</v>
      </c>
      <c r="U255" s="19">
        <f t="shared" si="27"/>
        <v>0.88099999999999989</v>
      </c>
    </row>
    <row r="256" spans="1:21" x14ac:dyDescent="0.25">
      <c r="A256" s="18" t="s">
        <v>397</v>
      </c>
      <c r="B256" s="4">
        <v>20260702</v>
      </c>
      <c r="C256" s="4">
        <v>12</v>
      </c>
      <c r="D256" s="4" t="s">
        <v>23</v>
      </c>
      <c r="E256" s="4" t="s">
        <v>16</v>
      </c>
      <c r="F256" s="4" t="s">
        <v>141</v>
      </c>
      <c r="G256" s="4">
        <v>60</v>
      </c>
      <c r="H256" s="4">
        <v>6.4</v>
      </c>
      <c r="I256" s="4">
        <f t="shared" si="21"/>
        <v>53.6</v>
      </c>
      <c r="J256" s="4">
        <f>INDEX(Dim_Machine!$E$2:$E$8,MATCH(D256,Dim_Machine!$A$2:$A$8,0))*INDEX(Dim_Machine!$D$2:$D$8,MATCH(D256,Dim_Machine!$A$2:$A$8,0))*I256</f>
        <v>14150.4</v>
      </c>
      <c r="K256" s="4">
        <f>ROUND(J256*0.802,0)</f>
        <v>11349</v>
      </c>
      <c r="L256" s="4">
        <f>ROUND(K256*0.031,0)</f>
        <v>352</v>
      </c>
      <c r="M256" s="4">
        <f t="shared" si="22"/>
        <v>10997</v>
      </c>
      <c r="N256" s="4">
        <f t="shared" si="23"/>
        <v>0.80202679782903663</v>
      </c>
      <c r="O256" s="4">
        <f t="shared" si="24"/>
        <v>0.89333333333333331</v>
      </c>
      <c r="P256" s="4">
        <f>IFERROR((K256/I256)/(INDEX(Dim_Machine!$E$2:$E$8,MATCH(D256,Dim_Machine!$A$2:$A$8,0))*INDEX(Dim_Machine!$D$2:$D$8,MATCH(D256,Dim_Machine!$A$2:$A$8,0))),0)</f>
        <v>0.80202679782903663</v>
      </c>
      <c r="Q256" s="4">
        <f t="shared" si="25"/>
        <v>0.96898405145827826</v>
      </c>
      <c r="R256" s="4">
        <f t="shared" si="26"/>
        <v>0.69425505050505043</v>
      </c>
      <c r="S256" s="4">
        <f>T256/0.82</f>
        <v>3.3527439024390246</v>
      </c>
      <c r="T256" s="4">
        <f>M256*INDEX(Dim_Product!$C$2:$C$4,MATCH(F256,Dim_Product!$A$2:$A$4,0))/1000000</f>
        <v>2.74925</v>
      </c>
      <c r="U256" s="19">
        <f t="shared" si="27"/>
        <v>0.82</v>
      </c>
    </row>
    <row r="257" spans="1:21" x14ac:dyDescent="0.25">
      <c r="A257" s="18" t="s">
        <v>398</v>
      </c>
      <c r="B257" s="4">
        <v>20260702</v>
      </c>
      <c r="C257" s="4">
        <v>12</v>
      </c>
      <c r="D257" s="4" t="s">
        <v>25</v>
      </c>
      <c r="E257" s="4" t="s">
        <v>16</v>
      </c>
      <c r="F257" s="4" t="s">
        <v>141</v>
      </c>
      <c r="G257" s="4">
        <v>60</v>
      </c>
      <c r="H257" s="4">
        <v>2.9</v>
      </c>
      <c r="I257" s="4">
        <f t="shared" si="21"/>
        <v>57.1</v>
      </c>
      <c r="J257" s="4">
        <f>INDEX(Dim_Machine!$E$2:$E$8,MATCH(D257,Dim_Machine!$A$2:$A$8,0))*INDEX(Dim_Machine!$D$2:$D$8,MATCH(D257,Dim_Machine!$A$2:$A$8,0))*I257</f>
        <v>41112</v>
      </c>
      <c r="K257" s="4">
        <f>ROUND(J257*0.938,0)</f>
        <v>38563</v>
      </c>
      <c r="L257" s="4">
        <f>ROUND(K257*0.0227,0)</f>
        <v>875</v>
      </c>
      <c r="M257" s="4">
        <f t="shared" si="22"/>
        <v>37688</v>
      </c>
      <c r="N257" s="4">
        <f t="shared" si="23"/>
        <v>0.93799863786728932</v>
      </c>
      <c r="O257" s="4">
        <f t="shared" si="24"/>
        <v>0.95166666666666666</v>
      </c>
      <c r="P257" s="4">
        <f>IFERROR((K257/I257)/(INDEX(Dim_Machine!$E$2:$E$8,MATCH(D257,Dim_Machine!$A$2:$A$8,0))*INDEX(Dim_Machine!$D$2:$D$8,MATCH(D257,Dim_Machine!$A$2:$A$8,0))),0)</f>
        <v>0.93799863786728932</v>
      </c>
      <c r="Q257" s="4">
        <f t="shared" si="25"/>
        <v>0.97730985659829372</v>
      </c>
      <c r="R257" s="4">
        <f t="shared" si="26"/>
        <v>0.8724074074074073</v>
      </c>
      <c r="S257" s="4">
        <f>T257/0.802</f>
        <v>11.748129675810475</v>
      </c>
      <c r="T257" s="4">
        <f>M257*INDEX(Dim_Product!$C$2:$C$4,MATCH(F257,Dim_Product!$A$2:$A$4,0))/1000000</f>
        <v>9.4220000000000006</v>
      </c>
      <c r="U257" s="19">
        <f t="shared" si="27"/>
        <v>0.80199999999999994</v>
      </c>
    </row>
    <row r="258" spans="1:21" x14ac:dyDescent="0.25">
      <c r="A258" s="18" t="s">
        <v>399</v>
      </c>
      <c r="B258" s="4">
        <v>20260702</v>
      </c>
      <c r="C258" s="4">
        <v>12</v>
      </c>
      <c r="D258" s="4" t="s">
        <v>27</v>
      </c>
      <c r="E258" s="4" t="s">
        <v>16</v>
      </c>
      <c r="F258" s="4" t="s">
        <v>143</v>
      </c>
      <c r="G258" s="4">
        <v>60</v>
      </c>
      <c r="H258" s="4">
        <v>2.1</v>
      </c>
      <c r="I258" s="4">
        <f t="shared" ref="I258:I321" si="28">G258-H258</f>
        <v>57.9</v>
      </c>
      <c r="J258" s="4">
        <f>INDEX(Dim_Machine!$E$2:$E$8,MATCH(D258,Dim_Machine!$A$2:$A$8,0))*INDEX(Dim_Machine!$D$2:$D$8,MATCH(D258,Dim_Machine!$A$2:$A$8,0))*I258</f>
        <v>24086.399999999998</v>
      </c>
      <c r="K258" s="4">
        <f>ROUND(J258*0.805,0)</f>
        <v>19390</v>
      </c>
      <c r="L258" s="4">
        <f>ROUND(K258*0.0176,0)</f>
        <v>341</v>
      </c>
      <c r="M258" s="4">
        <f t="shared" ref="M258:M321" si="29">K258-L258</f>
        <v>19049</v>
      </c>
      <c r="N258" s="4">
        <f t="shared" ref="N258:N321" si="30">IFERROR(K258/J258,0)</f>
        <v>0.80501859970771894</v>
      </c>
      <c r="O258" s="4">
        <f t="shared" ref="O258:O321" si="31">IFERROR(I258/G258,0)</f>
        <v>0.96499999999999997</v>
      </c>
      <c r="P258" s="4">
        <f>IFERROR((K258/I258)/(INDEX(Dim_Machine!$E$2:$E$8,MATCH(D258,Dim_Machine!$A$2:$A$8,0))*INDEX(Dim_Machine!$D$2:$D$8,MATCH(D258,Dim_Machine!$A$2:$A$8,0))),0)</f>
        <v>0.80501859970771883</v>
      </c>
      <c r="Q258" s="4">
        <f t="shared" ref="Q258:Q321" si="32">IFERROR(M258/K258,0)</f>
        <v>0.98241361526560078</v>
      </c>
      <c r="R258" s="4">
        <f t="shared" ref="R258:R321" si="33">O258*P258*Q258</f>
        <v>0.76318108974358967</v>
      </c>
      <c r="S258" s="4">
        <f>T258/0.817</f>
        <v>4.6631578947368428</v>
      </c>
      <c r="T258" s="4">
        <f>M258*INDEX(Dim_Product!$C$2:$C$4,MATCH(F258,Dim_Product!$A$2:$A$4,0))/1000000</f>
        <v>3.8098000000000001</v>
      </c>
      <c r="U258" s="19">
        <f t="shared" ref="U258:U321" si="34">IFERROR(T258/S258,0)</f>
        <v>0.81699999999999984</v>
      </c>
    </row>
    <row r="259" spans="1:21" x14ac:dyDescent="0.25">
      <c r="A259" s="18" t="s">
        <v>400</v>
      </c>
      <c r="B259" s="4">
        <v>20260702</v>
      </c>
      <c r="C259" s="4">
        <v>12</v>
      </c>
      <c r="D259" s="4" t="s">
        <v>29</v>
      </c>
      <c r="E259" s="4" t="s">
        <v>16</v>
      </c>
      <c r="F259" s="4" t="s">
        <v>143</v>
      </c>
      <c r="G259" s="4">
        <v>60</v>
      </c>
      <c r="H259" s="4">
        <v>0.5</v>
      </c>
      <c r="I259" s="4">
        <f t="shared" si="28"/>
        <v>59.5</v>
      </c>
      <c r="J259" s="4">
        <f>INDEX(Dim_Machine!$E$2:$E$8,MATCH(D259,Dim_Machine!$A$2:$A$8,0))*INDEX(Dim_Machine!$D$2:$D$8,MATCH(D259,Dim_Machine!$A$2:$A$8,0))*I259</f>
        <v>17136</v>
      </c>
      <c r="K259" s="4">
        <f>ROUND(J259*0.87,0)</f>
        <v>14908</v>
      </c>
      <c r="L259" s="4">
        <f>ROUND(K259*0.0159,0)</f>
        <v>237</v>
      </c>
      <c r="M259" s="4">
        <f t="shared" si="29"/>
        <v>14671</v>
      </c>
      <c r="N259" s="4">
        <f t="shared" si="30"/>
        <v>0.86998132586367882</v>
      </c>
      <c r="O259" s="4">
        <f t="shared" si="31"/>
        <v>0.9916666666666667</v>
      </c>
      <c r="P259" s="4">
        <f>IFERROR((K259/I259)/(INDEX(Dim_Machine!$E$2:$E$8,MATCH(D259,Dim_Machine!$A$2:$A$8,0))*INDEX(Dim_Machine!$D$2:$D$8,MATCH(D259,Dim_Machine!$A$2:$A$8,0))),0)</f>
        <v>0.86998132586367882</v>
      </c>
      <c r="Q259" s="4">
        <f t="shared" si="32"/>
        <v>0.98410249530453453</v>
      </c>
      <c r="R259" s="4">
        <f t="shared" si="33"/>
        <v>0.84901620370370379</v>
      </c>
      <c r="S259" s="4">
        <f>T259/0.889</f>
        <v>3.3005624296962881</v>
      </c>
      <c r="T259" s="4">
        <f>M259*INDEX(Dim_Product!$C$2:$C$4,MATCH(F259,Dim_Product!$A$2:$A$4,0))/1000000</f>
        <v>2.9342000000000001</v>
      </c>
      <c r="U259" s="19">
        <f t="shared" si="34"/>
        <v>0.88900000000000001</v>
      </c>
    </row>
    <row r="260" spans="1:21" x14ac:dyDescent="0.25">
      <c r="A260" s="18" t="s">
        <v>401</v>
      </c>
      <c r="B260" s="4">
        <v>20260702</v>
      </c>
      <c r="C260" s="4">
        <v>12</v>
      </c>
      <c r="D260" s="4" t="s">
        <v>31</v>
      </c>
      <c r="E260" s="4" t="s">
        <v>16</v>
      </c>
      <c r="F260" s="4" t="s">
        <v>143</v>
      </c>
      <c r="G260" s="4">
        <v>60</v>
      </c>
      <c r="H260" s="4">
        <v>3.6</v>
      </c>
      <c r="I260" s="4">
        <f t="shared" si="28"/>
        <v>56.4</v>
      </c>
      <c r="J260" s="4">
        <f>INDEX(Dim_Machine!$E$2:$E$8,MATCH(D260,Dim_Machine!$A$2:$A$8,0))*INDEX(Dim_Machine!$D$2:$D$8,MATCH(D260,Dim_Machine!$A$2:$A$8,0))*I260</f>
        <v>36547.199999999997</v>
      </c>
      <c r="K260" s="4">
        <f>ROUND(J260*0.824,0)</f>
        <v>30115</v>
      </c>
      <c r="L260" s="4">
        <f>ROUND(K260*0.0235,0)</f>
        <v>708</v>
      </c>
      <c r="M260" s="4">
        <f t="shared" si="29"/>
        <v>29407</v>
      </c>
      <c r="N260" s="4">
        <f t="shared" si="30"/>
        <v>0.82400293319324058</v>
      </c>
      <c r="O260" s="4">
        <f t="shared" si="31"/>
        <v>0.94</v>
      </c>
      <c r="P260" s="4">
        <f>IFERROR((K260/I260)/(INDEX(Dim_Machine!$E$2:$E$8,MATCH(D260,Dim_Machine!$A$2:$A$8,0))*INDEX(Dim_Machine!$D$2:$D$8,MATCH(D260,Dim_Machine!$A$2:$A$8,0))),0)</f>
        <v>0.82400293319324047</v>
      </c>
      <c r="Q260" s="4">
        <f t="shared" si="32"/>
        <v>0.9764901212020588</v>
      </c>
      <c r="R260" s="4">
        <f t="shared" si="33"/>
        <v>0.7563528806584362</v>
      </c>
      <c r="S260" s="4">
        <f>T260/0.909</f>
        <v>6.4701870187018704</v>
      </c>
      <c r="T260" s="4">
        <f>M260*INDEX(Dim_Product!$C$2:$C$4,MATCH(F260,Dim_Product!$A$2:$A$4,0))/1000000</f>
        <v>5.8814000000000002</v>
      </c>
      <c r="U260" s="19">
        <f t="shared" si="34"/>
        <v>0.90900000000000003</v>
      </c>
    </row>
    <row r="261" spans="1:21" x14ac:dyDescent="0.25">
      <c r="A261" s="18" t="s">
        <v>402</v>
      </c>
      <c r="B261" s="4">
        <v>20260702</v>
      </c>
      <c r="C261" s="4">
        <v>13</v>
      </c>
      <c r="D261" s="4" t="s">
        <v>15</v>
      </c>
      <c r="E261" s="4" t="s">
        <v>16</v>
      </c>
      <c r="F261" s="4" t="s">
        <v>143</v>
      </c>
      <c r="G261" s="4">
        <v>60</v>
      </c>
      <c r="H261" s="4">
        <v>7.3</v>
      </c>
      <c r="I261" s="4">
        <f t="shared" si="28"/>
        <v>52.7</v>
      </c>
      <c r="J261" s="4">
        <f>INDEX(Dim_Machine!$E$2:$E$8,MATCH(D261,Dim_Machine!$A$2:$A$8,0))*INDEX(Dim_Machine!$D$2:$D$8,MATCH(D261,Dim_Machine!$A$2:$A$8,0))*I261</f>
        <v>21080</v>
      </c>
      <c r="K261" s="4">
        <f>ROUND(J261*0.912,0)</f>
        <v>19225</v>
      </c>
      <c r="L261" s="4">
        <f>ROUND(K261*0.014,0)</f>
        <v>269</v>
      </c>
      <c r="M261" s="4">
        <f t="shared" si="29"/>
        <v>18956</v>
      </c>
      <c r="N261" s="4">
        <f t="shared" si="30"/>
        <v>0.91200189753320682</v>
      </c>
      <c r="O261" s="4">
        <f t="shared" si="31"/>
        <v>0.87833333333333341</v>
      </c>
      <c r="P261" s="4">
        <f>IFERROR((K261/I261)/(INDEX(Dim_Machine!$E$2:$E$8,MATCH(D261,Dim_Machine!$A$2:$A$8,0))*INDEX(Dim_Machine!$D$2:$D$8,MATCH(D261,Dim_Machine!$A$2:$A$8,0))),0)</f>
        <v>0.91200189753320671</v>
      </c>
      <c r="Q261" s="4">
        <f t="shared" si="32"/>
        <v>0.98600780234070218</v>
      </c>
      <c r="R261" s="4">
        <f t="shared" si="33"/>
        <v>0.78983333333333328</v>
      </c>
      <c r="S261" s="4">
        <f>T261/0.897</f>
        <v>4.2265328874024526</v>
      </c>
      <c r="T261" s="4">
        <f>M261*INDEX(Dim_Product!$C$2:$C$4,MATCH(F261,Dim_Product!$A$2:$A$4,0))/1000000</f>
        <v>3.7911999999999999</v>
      </c>
      <c r="U261" s="19">
        <f t="shared" si="34"/>
        <v>0.89700000000000002</v>
      </c>
    </row>
    <row r="262" spans="1:21" x14ac:dyDescent="0.25">
      <c r="A262" s="18" t="s">
        <v>403</v>
      </c>
      <c r="B262" s="4">
        <v>20260702</v>
      </c>
      <c r="C262" s="4">
        <v>13</v>
      </c>
      <c r="D262" s="4" t="s">
        <v>19</v>
      </c>
      <c r="E262" s="4" t="s">
        <v>16</v>
      </c>
      <c r="F262" s="4" t="s">
        <v>141</v>
      </c>
      <c r="G262" s="4">
        <v>60</v>
      </c>
      <c r="H262" s="4">
        <v>0.2</v>
      </c>
      <c r="I262" s="4">
        <f t="shared" si="28"/>
        <v>59.8</v>
      </c>
      <c r="J262" s="4">
        <f>INDEX(Dim_Machine!$E$2:$E$8,MATCH(D262,Dim_Machine!$A$2:$A$8,0))*INDEX(Dim_Machine!$D$2:$D$8,MATCH(D262,Dim_Machine!$A$2:$A$8,0))*I262</f>
        <v>40185.599999999999</v>
      </c>
      <c r="K262" s="4">
        <f>ROUND(J262*0.98,0)</f>
        <v>39382</v>
      </c>
      <c r="L262" s="4">
        <f>ROUND(K262*0.0304,0)</f>
        <v>1197</v>
      </c>
      <c r="M262" s="4">
        <f t="shared" si="29"/>
        <v>38185</v>
      </c>
      <c r="N262" s="4">
        <f t="shared" si="30"/>
        <v>0.98000278706800448</v>
      </c>
      <c r="O262" s="4">
        <f t="shared" si="31"/>
        <v>0.99666666666666659</v>
      </c>
      <c r="P262" s="4">
        <f>IFERROR((K262/I262)/(INDEX(Dim_Machine!$E$2:$E$8,MATCH(D262,Dim_Machine!$A$2:$A$8,0))*INDEX(Dim_Machine!$D$2:$D$8,MATCH(D262,Dim_Machine!$A$2:$A$8,0))),0)</f>
        <v>0.98000278706800448</v>
      </c>
      <c r="Q262" s="4">
        <f t="shared" si="32"/>
        <v>0.96960540348382507</v>
      </c>
      <c r="R262" s="4">
        <f t="shared" si="33"/>
        <v>0.94704861111111105</v>
      </c>
      <c r="S262" s="4">
        <f>T262/0.864</f>
        <v>11.048900462962964</v>
      </c>
      <c r="T262" s="4">
        <f>M262*INDEX(Dim_Product!$C$2:$C$4,MATCH(F262,Dim_Product!$A$2:$A$4,0))/1000000</f>
        <v>9.5462500000000006</v>
      </c>
      <c r="U262" s="19">
        <f t="shared" si="34"/>
        <v>0.86399999999999999</v>
      </c>
    </row>
    <row r="263" spans="1:21" x14ac:dyDescent="0.25">
      <c r="A263" s="18" t="s">
        <v>404</v>
      </c>
      <c r="B263" s="4">
        <v>20260702</v>
      </c>
      <c r="C263" s="4">
        <v>13</v>
      </c>
      <c r="D263" s="4" t="s">
        <v>23</v>
      </c>
      <c r="E263" s="4" t="s">
        <v>16</v>
      </c>
      <c r="F263" s="4" t="s">
        <v>141</v>
      </c>
      <c r="G263" s="4">
        <v>60</v>
      </c>
      <c r="H263" s="4">
        <v>0.9</v>
      </c>
      <c r="I263" s="4">
        <f t="shared" si="28"/>
        <v>59.1</v>
      </c>
      <c r="J263" s="4">
        <f>INDEX(Dim_Machine!$E$2:$E$8,MATCH(D263,Dim_Machine!$A$2:$A$8,0))*INDEX(Dim_Machine!$D$2:$D$8,MATCH(D263,Dim_Machine!$A$2:$A$8,0))*I263</f>
        <v>15602.4</v>
      </c>
      <c r="K263" s="4">
        <f>ROUND(J263*0.922,0)</f>
        <v>14385</v>
      </c>
      <c r="L263" s="4">
        <f>ROUND(K263*0.0183,0)</f>
        <v>263</v>
      </c>
      <c r="M263" s="4">
        <f t="shared" si="29"/>
        <v>14122</v>
      </c>
      <c r="N263" s="4">
        <f t="shared" si="30"/>
        <v>0.92197354253191821</v>
      </c>
      <c r="O263" s="4">
        <f t="shared" si="31"/>
        <v>0.98499999999999999</v>
      </c>
      <c r="P263" s="4">
        <f>IFERROR((K263/I263)/(INDEX(Dim_Machine!$E$2:$E$8,MATCH(D263,Dim_Machine!$A$2:$A$8,0))*INDEX(Dim_Machine!$D$2:$D$8,MATCH(D263,Dim_Machine!$A$2:$A$8,0))),0)</f>
        <v>0.9219735425319181</v>
      </c>
      <c r="Q263" s="4">
        <f t="shared" si="32"/>
        <v>0.98171706638859924</v>
      </c>
      <c r="R263" s="4">
        <f t="shared" si="33"/>
        <v>0.89154040404040402</v>
      </c>
      <c r="S263" s="4">
        <f>T263/0.935</f>
        <v>3.7759358288770053</v>
      </c>
      <c r="T263" s="4">
        <f>M263*INDEX(Dim_Product!$C$2:$C$4,MATCH(F263,Dim_Product!$A$2:$A$4,0))/1000000</f>
        <v>3.5305</v>
      </c>
      <c r="U263" s="19">
        <f t="shared" si="34"/>
        <v>0.93500000000000005</v>
      </c>
    </row>
    <row r="264" spans="1:21" x14ac:dyDescent="0.25">
      <c r="A264" s="18" t="s">
        <v>405</v>
      </c>
      <c r="B264" s="4">
        <v>20260702</v>
      </c>
      <c r="C264" s="4">
        <v>13</v>
      </c>
      <c r="D264" s="4" t="s">
        <v>25</v>
      </c>
      <c r="E264" s="4" t="s">
        <v>16</v>
      </c>
      <c r="F264" s="4" t="s">
        <v>141</v>
      </c>
      <c r="G264" s="4">
        <v>60</v>
      </c>
      <c r="H264" s="4">
        <v>2.6</v>
      </c>
      <c r="I264" s="4">
        <f t="shared" si="28"/>
        <v>57.4</v>
      </c>
      <c r="J264" s="4">
        <f>INDEX(Dim_Machine!$E$2:$E$8,MATCH(D264,Dim_Machine!$A$2:$A$8,0))*INDEX(Dim_Machine!$D$2:$D$8,MATCH(D264,Dim_Machine!$A$2:$A$8,0))*I264</f>
        <v>41328</v>
      </c>
      <c r="K264" s="4">
        <f>ROUND(J264*0.81,0)</f>
        <v>33476</v>
      </c>
      <c r="L264" s="4">
        <f>ROUND(K264*0.0088,0)</f>
        <v>295</v>
      </c>
      <c r="M264" s="4">
        <f t="shared" si="29"/>
        <v>33181</v>
      </c>
      <c r="N264" s="4">
        <f t="shared" si="30"/>
        <v>0.81000774293457223</v>
      </c>
      <c r="O264" s="4">
        <f t="shared" si="31"/>
        <v>0.95666666666666667</v>
      </c>
      <c r="P264" s="4">
        <f>IFERROR((K264/I264)/(INDEX(Dim_Machine!$E$2:$E$8,MATCH(D264,Dim_Machine!$A$2:$A$8,0))*INDEX(Dim_Machine!$D$2:$D$8,MATCH(D264,Dim_Machine!$A$2:$A$8,0))),0)</f>
        <v>0.81000774293457212</v>
      </c>
      <c r="Q264" s="4">
        <f t="shared" si="32"/>
        <v>0.99118771657306726</v>
      </c>
      <c r="R264" s="4">
        <f t="shared" si="33"/>
        <v>0.76807870370370368</v>
      </c>
      <c r="S264" s="4">
        <f>T264/0.894</f>
        <v>9.2788031319910509</v>
      </c>
      <c r="T264" s="4">
        <f>M264*INDEX(Dim_Product!$C$2:$C$4,MATCH(F264,Dim_Product!$A$2:$A$4,0))/1000000</f>
        <v>8.2952499999999993</v>
      </c>
      <c r="U264" s="19">
        <f t="shared" si="34"/>
        <v>0.89400000000000002</v>
      </c>
    </row>
    <row r="265" spans="1:21" x14ac:dyDescent="0.25">
      <c r="A265" s="18" t="s">
        <v>406</v>
      </c>
      <c r="B265" s="4">
        <v>20260702</v>
      </c>
      <c r="C265" s="4">
        <v>13</v>
      </c>
      <c r="D265" s="4" t="s">
        <v>27</v>
      </c>
      <c r="E265" s="4" t="s">
        <v>16</v>
      </c>
      <c r="F265" s="4" t="s">
        <v>143</v>
      </c>
      <c r="G265" s="4">
        <v>60</v>
      </c>
      <c r="H265" s="4">
        <v>4.7</v>
      </c>
      <c r="I265" s="4">
        <f t="shared" si="28"/>
        <v>55.3</v>
      </c>
      <c r="J265" s="4">
        <f>INDEX(Dim_Machine!$E$2:$E$8,MATCH(D265,Dim_Machine!$A$2:$A$8,0))*INDEX(Dim_Machine!$D$2:$D$8,MATCH(D265,Dim_Machine!$A$2:$A$8,0))*I265</f>
        <v>23004.799999999999</v>
      </c>
      <c r="K265" s="4">
        <f>ROUND(J265*0.922,0)</f>
        <v>21210</v>
      </c>
      <c r="L265" s="4">
        <f>ROUND(K265*0.0164,0)</f>
        <v>348</v>
      </c>
      <c r="M265" s="4">
        <f t="shared" si="29"/>
        <v>20862</v>
      </c>
      <c r="N265" s="4">
        <f t="shared" si="30"/>
        <v>0.92198149951314512</v>
      </c>
      <c r="O265" s="4">
        <f t="shared" si="31"/>
        <v>0.92166666666666663</v>
      </c>
      <c r="P265" s="4">
        <f>IFERROR((K265/I265)/(INDEX(Dim_Machine!$E$2:$E$8,MATCH(D265,Dim_Machine!$A$2:$A$8,0))*INDEX(Dim_Machine!$D$2:$D$8,MATCH(D265,Dim_Machine!$A$2:$A$8,0))),0)</f>
        <v>0.92198149951314512</v>
      </c>
      <c r="Q265" s="4">
        <f t="shared" si="32"/>
        <v>0.98359264497878363</v>
      </c>
      <c r="R265" s="4">
        <f t="shared" si="33"/>
        <v>0.83581730769230778</v>
      </c>
      <c r="S265" s="4">
        <f>T265/0.89</f>
        <v>4.6880898876404489</v>
      </c>
      <c r="T265" s="4">
        <f>M265*INDEX(Dim_Product!$C$2:$C$4,MATCH(F265,Dim_Product!$A$2:$A$4,0))/1000000</f>
        <v>4.1723999999999997</v>
      </c>
      <c r="U265" s="19">
        <f t="shared" si="34"/>
        <v>0.89</v>
      </c>
    </row>
    <row r="266" spans="1:21" x14ac:dyDescent="0.25">
      <c r="A266" s="18" t="s">
        <v>407</v>
      </c>
      <c r="B266" s="4">
        <v>20260702</v>
      </c>
      <c r="C266" s="4">
        <v>13</v>
      </c>
      <c r="D266" s="4" t="s">
        <v>29</v>
      </c>
      <c r="E266" s="4" t="s">
        <v>16</v>
      </c>
      <c r="F266" s="4" t="s">
        <v>143</v>
      </c>
      <c r="G266" s="4">
        <v>60</v>
      </c>
      <c r="H266" s="4">
        <v>2.4</v>
      </c>
      <c r="I266" s="4">
        <f t="shared" si="28"/>
        <v>57.6</v>
      </c>
      <c r="J266" s="4">
        <f>INDEX(Dim_Machine!$E$2:$E$8,MATCH(D266,Dim_Machine!$A$2:$A$8,0))*INDEX(Dim_Machine!$D$2:$D$8,MATCH(D266,Dim_Machine!$A$2:$A$8,0))*I266</f>
        <v>16588.8</v>
      </c>
      <c r="K266" s="4">
        <f>ROUND(J266*0.881,0)</f>
        <v>14615</v>
      </c>
      <c r="L266" s="4">
        <f>ROUND(K266*0.0179,0)</f>
        <v>262</v>
      </c>
      <c r="M266" s="4">
        <f t="shared" si="29"/>
        <v>14353</v>
      </c>
      <c r="N266" s="4">
        <f t="shared" si="30"/>
        <v>0.88101610725308643</v>
      </c>
      <c r="O266" s="4">
        <f t="shared" si="31"/>
        <v>0.96000000000000008</v>
      </c>
      <c r="P266" s="4">
        <f>IFERROR((K266/I266)/(INDEX(Dim_Machine!$E$2:$E$8,MATCH(D266,Dim_Machine!$A$2:$A$8,0))*INDEX(Dim_Machine!$D$2:$D$8,MATCH(D266,Dim_Machine!$A$2:$A$8,0))),0)</f>
        <v>0.88101610725308643</v>
      </c>
      <c r="Q266" s="4">
        <f t="shared" si="32"/>
        <v>0.98207321245295931</v>
      </c>
      <c r="R266" s="4">
        <f t="shared" si="33"/>
        <v>0.83061342592592602</v>
      </c>
      <c r="S266" s="4">
        <f>T266/0.919</f>
        <v>3.1236126224156693</v>
      </c>
      <c r="T266" s="4">
        <f>M266*INDEX(Dim_Product!$C$2:$C$4,MATCH(F266,Dim_Product!$A$2:$A$4,0))/1000000</f>
        <v>2.8706</v>
      </c>
      <c r="U266" s="19">
        <f t="shared" si="34"/>
        <v>0.91900000000000004</v>
      </c>
    </row>
    <row r="267" spans="1:21" x14ac:dyDescent="0.25">
      <c r="A267" s="18" t="s">
        <v>408</v>
      </c>
      <c r="B267" s="4">
        <v>20260702</v>
      </c>
      <c r="C267" s="4">
        <v>13</v>
      </c>
      <c r="D267" s="4" t="s">
        <v>31</v>
      </c>
      <c r="E267" s="4" t="s">
        <v>16</v>
      </c>
      <c r="F267" s="4" t="s">
        <v>143</v>
      </c>
      <c r="G267" s="4">
        <v>60</v>
      </c>
      <c r="H267" s="4">
        <v>0.9</v>
      </c>
      <c r="I267" s="4">
        <f t="shared" si="28"/>
        <v>59.1</v>
      </c>
      <c r="J267" s="4">
        <f>INDEX(Dim_Machine!$E$2:$E$8,MATCH(D267,Dim_Machine!$A$2:$A$8,0))*INDEX(Dim_Machine!$D$2:$D$8,MATCH(D267,Dim_Machine!$A$2:$A$8,0))*I267</f>
        <v>38296.800000000003</v>
      </c>
      <c r="K267" s="4">
        <f>ROUND(J267*0.911,0)</f>
        <v>34888</v>
      </c>
      <c r="L267" s="4">
        <f>ROUND(K267*0.0313,0)</f>
        <v>1092</v>
      </c>
      <c r="M267" s="4">
        <f t="shared" si="29"/>
        <v>33796</v>
      </c>
      <c r="N267" s="4">
        <f t="shared" si="30"/>
        <v>0.91098995216310497</v>
      </c>
      <c r="O267" s="4">
        <f t="shared" si="31"/>
        <v>0.98499999999999999</v>
      </c>
      <c r="P267" s="4">
        <f>IFERROR((K267/I267)/(INDEX(Dim_Machine!$E$2:$E$8,MATCH(D267,Dim_Machine!$A$2:$A$8,0))*INDEX(Dim_Machine!$D$2:$D$8,MATCH(D267,Dim_Machine!$A$2:$A$8,0))),0)</f>
        <v>0.91098995216310497</v>
      </c>
      <c r="Q267" s="4">
        <f t="shared" si="32"/>
        <v>0.9686998394863563</v>
      </c>
      <c r="R267" s="4">
        <f t="shared" si="33"/>
        <v>0.86923868312757191</v>
      </c>
      <c r="S267" s="4">
        <f>T267/0.883</f>
        <v>7.6548131370328427</v>
      </c>
      <c r="T267" s="4">
        <f>M267*INDEX(Dim_Product!$C$2:$C$4,MATCH(F267,Dim_Product!$A$2:$A$4,0))/1000000</f>
        <v>6.7591999999999999</v>
      </c>
      <c r="U267" s="19">
        <f t="shared" si="34"/>
        <v>0.88300000000000001</v>
      </c>
    </row>
    <row r="268" spans="1:21" x14ac:dyDescent="0.25">
      <c r="A268" s="18" t="s">
        <v>409</v>
      </c>
      <c r="B268" s="4">
        <v>20260702</v>
      </c>
      <c r="C268" s="4">
        <v>14</v>
      </c>
      <c r="D268" s="4" t="s">
        <v>15</v>
      </c>
      <c r="E268" s="4" t="s">
        <v>16</v>
      </c>
      <c r="F268" s="4" t="s">
        <v>143</v>
      </c>
      <c r="G268" s="4">
        <v>60</v>
      </c>
      <c r="H268" s="4">
        <v>6.9</v>
      </c>
      <c r="I268" s="4">
        <f t="shared" si="28"/>
        <v>53.1</v>
      </c>
      <c r="J268" s="4">
        <f>INDEX(Dim_Machine!$E$2:$E$8,MATCH(D268,Dim_Machine!$A$2:$A$8,0))*INDEX(Dim_Machine!$D$2:$D$8,MATCH(D268,Dim_Machine!$A$2:$A$8,0))*I268</f>
        <v>21240</v>
      </c>
      <c r="K268" s="4">
        <f>ROUND(J268*0.866,0)</f>
        <v>18394</v>
      </c>
      <c r="L268" s="4">
        <f>ROUND(K268*0.0316,0)</f>
        <v>581</v>
      </c>
      <c r="M268" s="4">
        <f t="shared" si="29"/>
        <v>17813</v>
      </c>
      <c r="N268" s="4">
        <f t="shared" si="30"/>
        <v>0.86600753295668553</v>
      </c>
      <c r="O268" s="4">
        <f t="shared" si="31"/>
        <v>0.88500000000000001</v>
      </c>
      <c r="P268" s="4">
        <f>IFERROR((K268/I268)/(INDEX(Dim_Machine!$E$2:$E$8,MATCH(D268,Dim_Machine!$A$2:$A$8,0))*INDEX(Dim_Machine!$D$2:$D$8,MATCH(D268,Dim_Machine!$A$2:$A$8,0))),0)</f>
        <v>0.86600753295668553</v>
      </c>
      <c r="Q268" s="4">
        <f t="shared" si="32"/>
        <v>0.96841361313471785</v>
      </c>
      <c r="R268" s="4">
        <f t="shared" si="33"/>
        <v>0.74220833333333347</v>
      </c>
      <c r="S268" s="4">
        <f>T268/0.862</f>
        <v>4.1329466357308586</v>
      </c>
      <c r="T268" s="4">
        <f>M268*INDEX(Dim_Product!$C$2:$C$4,MATCH(F268,Dim_Product!$A$2:$A$4,0))/1000000</f>
        <v>3.5626000000000002</v>
      </c>
      <c r="U268" s="19">
        <f t="shared" si="34"/>
        <v>0.86199999999999999</v>
      </c>
    </row>
    <row r="269" spans="1:21" x14ac:dyDescent="0.25">
      <c r="A269" s="18" t="s">
        <v>410</v>
      </c>
      <c r="B269" s="4">
        <v>20260702</v>
      </c>
      <c r="C269" s="4">
        <v>14</v>
      </c>
      <c r="D269" s="4" t="s">
        <v>19</v>
      </c>
      <c r="E269" s="4" t="s">
        <v>16</v>
      </c>
      <c r="F269" s="4" t="s">
        <v>141</v>
      </c>
      <c r="G269" s="4">
        <v>60</v>
      </c>
      <c r="H269" s="4">
        <v>6.6</v>
      </c>
      <c r="I269" s="4">
        <f t="shared" si="28"/>
        <v>53.4</v>
      </c>
      <c r="J269" s="4">
        <f>INDEX(Dim_Machine!$E$2:$E$8,MATCH(D269,Dim_Machine!$A$2:$A$8,0))*INDEX(Dim_Machine!$D$2:$D$8,MATCH(D269,Dim_Machine!$A$2:$A$8,0))*I269</f>
        <v>35884.799999999996</v>
      </c>
      <c r="K269" s="4">
        <f>ROUND(J269*0.86,0)</f>
        <v>30861</v>
      </c>
      <c r="L269" s="4">
        <f>ROUND(K269*0.0269,0)</f>
        <v>830</v>
      </c>
      <c r="M269" s="4">
        <f t="shared" si="29"/>
        <v>30031</v>
      </c>
      <c r="N269" s="4">
        <f t="shared" si="30"/>
        <v>0.86000200642054581</v>
      </c>
      <c r="O269" s="4">
        <f t="shared" si="31"/>
        <v>0.89</v>
      </c>
      <c r="P269" s="4">
        <f>IFERROR((K269/I269)/(INDEX(Dim_Machine!$E$2:$E$8,MATCH(D269,Dim_Machine!$A$2:$A$8,0))*INDEX(Dim_Machine!$D$2:$D$8,MATCH(D269,Dim_Machine!$A$2:$A$8,0))),0)</f>
        <v>0.86000200642054581</v>
      </c>
      <c r="Q269" s="4">
        <f t="shared" si="32"/>
        <v>0.97310521370013936</v>
      </c>
      <c r="R269" s="4">
        <f t="shared" si="33"/>
        <v>0.7448164682539683</v>
      </c>
      <c r="S269" s="4">
        <f>T269/0.847</f>
        <v>8.8639315230224316</v>
      </c>
      <c r="T269" s="4">
        <f>M269*INDEX(Dim_Product!$C$2:$C$4,MATCH(F269,Dim_Product!$A$2:$A$4,0))/1000000</f>
        <v>7.5077499999999997</v>
      </c>
      <c r="U269" s="19">
        <f t="shared" si="34"/>
        <v>0.84699999999999998</v>
      </c>
    </row>
    <row r="270" spans="1:21" x14ac:dyDescent="0.25">
      <c r="A270" s="18" t="s">
        <v>411</v>
      </c>
      <c r="B270" s="4">
        <v>20260702</v>
      </c>
      <c r="C270" s="4">
        <v>14</v>
      </c>
      <c r="D270" s="4" t="s">
        <v>23</v>
      </c>
      <c r="E270" s="4" t="s">
        <v>16</v>
      </c>
      <c r="F270" s="4" t="s">
        <v>141</v>
      </c>
      <c r="G270" s="4">
        <v>60</v>
      </c>
      <c r="H270" s="4">
        <v>2.5</v>
      </c>
      <c r="I270" s="4">
        <f t="shared" si="28"/>
        <v>57.5</v>
      </c>
      <c r="J270" s="4">
        <f>INDEX(Dim_Machine!$E$2:$E$8,MATCH(D270,Dim_Machine!$A$2:$A$8,0))*INDEX(Dim_Machine!$D$2:$D$8,MATCH(D270,Dim_Machine!$A$2:$A$8,0))*I270</f>
        <v>15180</v>
      </c>
      <c r="K270" s="4">
        <f>ROUND(J270*0.831,0)</f>
        <v>12615</v>
      </c>
      <c r="L270" s="4">
        <f>ROUND(K270*0.0336,0)</f>
        <v>424</v>
      </c>
      <c r="M270" s="4">
        <f t="shared" si="29"/>
        <v>12191</v>
      </c>
      <c r="N270" s="4">
        <f t="shared" si="30"/>
        <v>0.8310276679841897</v>
      </c>
      <c r="O270" s="4">
        <f t="shared" si="31"/>
        <v>0.95833333333333337</v>
      </c>
      <c r="P270" s="4">
        <f>IFERROR((K270/I270)/(INDEX(Dim_Machine!$E$2:$E$8,MATCH(D270,Dim_Machine!$A$2:$A$8,0))*INDEX(Dim_Machine!$D$2:$D$8,MATCH(D270,Dim_Machine!$A$2:$A$8,0))),0)</f>
        <v>0.8310276679841897</v>
      </c>
      <c r="Q270" s="4">
        <f t="shared" si="32"/>
        <v>0.96638921918351173</v>
      </c>
      <c r="R270" s="4">
        <f t="shared" si="33"/>
        <v>0.76963383838383836</v>
      </c>
      <c r="S270" s="4">
        <f>T270/0.903</f>
        <v>3.3751384274640088</v>
      </c>
      <c r="T270" s="4">
        <f>M270*INDEX(Dim_Product!$C$2:$C$4,MATCH(F270,Dim_Product!$A$2:$A$4,0))/1000000</f>
        <v>3.0477500000000002</v>
      </c>
      <c r="U270" s="19">
        <f t="shared" si="34"/>
        <v>0.90300000000000002</v>
      </c>
    </row>
    <row r="271" spans="1:21" x14ac:dyDescent="0.25">
      <c r="A271" s="18" t="s">
        <v>412</v>
      </c>
      <c r="B271" s="4">
        <v>20260702</v>
      </c>
      <c r="C271" s="4">
        <v>14</v>
      </c>
      <c r="D271" s="4" t="s">
        <v>25</v>
      </c>
      <c r="E271" s="4" t="s">
        <v>16</v>
      </c>
      <c r="F271" s="4" t="s">
        <v>141</v>
      </c>
      <c r="G271" s="4">
        <v>60</v>
      </c>
      <c r="H271" s="4">
        <v>3.8</v>
      </c>
      <c r="I271" s="4">
        <f t="shared" si="28"/>
        <v>56.2</v>
      </c>
      <c r="J271" s="4">
        <f>INDEX(Dim_Machine!$E$2:$E$8,MATCH(D271,Dim_Machine!$A$2:$A$8,0))*INDEX(Dim_Machine!$D$2:$D$8,MATCH(D271,Dim_Machine!$A$2:$A$8,0))*I271</f>
        <v>40464</v>
      </c>
      <c r="K271" s="4">
        <f>ROUND(J271*0.798,0)</f>
        <v>32290</v>
      </c>
      <c r="L271" s="4">
        <f>ROUND(K271*0.0076,0)</f>
        <v>245</v>
      </c>
      <c r="M271" s="4">
        <f t="shared" si="29"/>
        <v>32045</v>
      </c>
      <c r="N271" s="4">
        <f t="shared" si="30"/>
        <v>0.79799327797548436</v>
      </c>
      <c r="O271" s="4">
        <f t="shared" si="31"/>
        <v>0.93666666666666676</v>
      </c>
      <c r="P271" s="4">
        <f>IFERROR((K271/I271)/(INDEX(Dim_Machine!$E$2:$E$8,MATCH(D271,Dim_Machine!$A$2:$A$8,0))*INDEX(Dim_Machine!$D$2:$D$8,MATCH(D271,Dim_Machine!$A$2:$A$8,0))),0)</f>
        <v>0.79799327797548436</v>
      </c>
      <c r="Q271" s="4">
        <f t="shared" si="32"/>
        <v>0.99241251161350263</v>
      </c>
      <c r="R271" s="4">
        <f t="shared" si="33"/>
        <v>0.74178240740740753</v>
      </c>
      <c r="S271" s="4">
        <f>T271/0.865</f>
        <v>9.2615606936416199</v>
      </c>
      <c r="T271" s="4">
        <f>M271*INDEX(Dim_Product!$C$2:$C$4,MATCH(F271,Dim_Product!$A$2:$A$4,0))/1000000</f>
        <v>8.0112500000000004</v>
      </c>
      <c r="U271" s="19">
        <f t="shared" si="34"/>
        <v>0.86499999999999988</v>
      </c>
    </row>
    <row r="272" spans="1:21" x14ac:dyDescent="0.25">
      <c r="A272" s="18" t="s">
        <v>413</v>
      </c>
      <c r="B272" s="4">
        <v>20260702</v>
      </c>
      <c r="C272" s="4">
        <v>14</v>
      </c>
      <c r="D272" s="4" t="s">
        <v>27</v>
      </c>
      <c r="E272" s="4" t="s">
        <v>16</v>
      </c>
      <c r="F272" s="4" t="s">
        <v>143</v>
      </c>
      <c r="G272" s="4">
        <v>60</v>
      </c>
      <c r="H272" s="4">
        <v>6</v>
      </c>
      <c r="I272" s="4">
        <f t="shared" si="28"/>
        <v>54</v>
      </c>
      <c r="J272" s="4">
        <f>INDEX(Dim_Machine!$E$2:$E$8,MATCH(D272,Dim_Machine!$A$2:$A$8,0))*INDEX(Dim_Machine!$D$2:$D$8,MATCH(D272,Dim_Machine!$A$2:$A$8,0))*I272</f>
        <v>22464</v>
      </c>
      <c r="K272" s="4">
        <f>ROUND(J272*0.855,0)</f>
        <v>19207</v>
      </c>
      <c r="L272" s="4">
        <f>ROUND(K272*0.0089,0)</f>
        <v>171</v>
      </c>
      <c r="M272" s="4">
        <f t="shared" si="29"/>
        <v>19036</v>
      </c>
      <c r="N272" s="4">
        <f t="shared" si="30"/>
        <v>0.85501246438746437</v>
      </c>
      <c r="O272" s="4">
        <f t="shared" si="31"/>
        <v>0.9</v>
      </c>
      <c r="P272" s="4">
        <f>IFERROR((K272/I272)/(INDEX(Dim_Machine!$E$2:$E$8,MATCH(D272,Dim_Machine!$A$2:$A$8,0))*INDEX(Dim_Machine!$D$2:$D$8,MATCH(D272,Dim_Machine!$A$2:$A$8,0))),0)</f>
        <v>0.85501246438746437</v>
      </c>
      <c r="Q272" s="4">
        <f t="shared" si="32"/>
        <v>0.99109699588691624</v>
      </c>
      <c r="R272" s="4">
        <f t="shared" si="33"/>
        <v>0.76266025641025637</v>
      </c>
      <c r="S272" s="4">
        <f>T272/0.809</f>
        <v>4.7060568603213841</v>
      </c>
      <c r="T272" s="4">
        <f>M272*INDEX(Dim_Product!$C$2:$C$4,MATCH(F272,Dim_Product!$A$2:$A$4,0))/1000000</f>
        <v>3.8071999999999999</v>
      </c>
      <c r="U272" s="19">
        <f t="shared" si="34"/>
        <v>0.80900000000000005</v>
      </c>
    </row>
    <row r="273" spans="1:21" x14ac:dyDescent="0.25">
      <c r="A273" s="18" t="s">
        <v>414</v>
      </c>
      <c r="B273" s="4">
        <v>20260702</v>
      </c>
      <c r="C273" s="4">
        <v>14</v>
      </c>
      <c r="D273" s="4" t="s">
        <v>29</v>
      </c>
      <c r="E273" s="4" t="s">
        <v>16</v>
      </c>
      <c r="F273" s="4" t="s">
        <v>143</v>
      </c>
      <c r="G273" s="4">
        <v>60</v>
      </c>
      <c r="H273" s="4">
        <v>7.7</v>
      </c>
      <c r="I273" s="4">
        <f t="shared" si="28"/>
        <v>52.3</v>
      </c>
      <c r="J273" s="4">
        <f>INDEX(Dim_Machine!$E$2:$E$8,MATCH(D273,Dim_Machine!$A$2:$A$8,0))*INDEX(Dim_Machine!$D$2:$D$8,MATCH(D273,Dim_Machine!$A$2:$A$8,0))*I273</f>
        <v>15062.4</v>
      </c>
      <c r="K273" s="4">
        <f>ROUND(J273*0.892,0)</f>
        <v>13436</v>
      </c>
      <c r="L273" s="4">
        <f>ROUND(K273*0.0251,0)</f>
        <v>337</v>
      </c>
      <c r="M273" s="4">
        <f t="shared" si="29"/>
        <v>13099</v>
      </c>
      <c r="N273" s="4">
        <f t="shared" si="30"/>
        <v>0.89202251965158275</v>
      </c>
      <c r="O273" s="4">
        <f t="shared" si="31"/>
        <v>0.87166666666666659</v>
      </c>
      <c r="P273" s="4">
        <f>IFERROR((K273/I273)/(INDEX(Dim_Machine!$E$2:$E$8,MATCH(D273,Dim_Machine!$A$2:$A$8,0))*INDEX(Dim_Machine!$D$2:$D$8,MATCH(D273,Dim_Machine!$A$2:$A$8,0))),0)</f>
        <v>0.89202251965158275</v>
      </c>
      <c r="Q273" s="4">
        <f t="shared" si="32"/>
        <v>0.97491813039595121</v>
      </c>
      <c r="R273" s="4">
        <f t="shared" si="33"/>
        <v>0.75804398148148144</v>
      </c>
      <c r="S273" s="4">
        <f>T273/0.862</f>
        <v>3.0392111368909513</v>
      </c>
      <c r="T273" s="4">
        <f>M273*INDEX(Dim_Product!$C$2:$C$4,MATCH(F273,Dim_Product!$A$2:$A$4,0))/1000000</f>
        <v>2.6198000000000001</v>
      </c>
      <c r="U273" s="19">
        <f t="shared" si="34"/>
        <v>0.86199999999999999</v>
      </c>
    </row>
    <row r="274" spans="1:21" x14ac:dyDescent="0.25">
      <c r="A274" s="18" t="s">
        <v>415</v>
      </c>
      <c r="B274" s="4">
        <v>20260702</v>
      </c>
      <c r="C274" s="4">
        <v>14</v>
      </c>
      <c r="D274" s="4" t="s">
        <v>31</v>
      </c>
      <c r="E274" s="4" t="s">
        <v>16</v>
      </c>
      <c r="F274" s="4" t="s">
        <v>143</v>
      </c>
      <c r="G274" s="4">
        <v>60</v>
      </c>
      <c r="H274" s="4">
        <v>7</v>
      </c>
      <c r="I274" s="4">
        <f t="shared" si="28"/>
        <v>53</v>
      </c>
      <c r="J274" s="4">
        <f>INDEX(Dim_Machine!$E$2:$E$8,MATCH(D274,Dim_Machine!$A$2:$A$8,0))*INDEX(Dim_Machine!$D$2:$D$8,MATCH(D274,Dim_Machine!$A$2:$A$8,0))*I274</f>
        <v>34344</v>
      </c>
      <c r="K274" s="4">
        <f>ROUND(J274*0.968,0)</f>
        <v>33245</v>
      </c>
      <c r="L274" s="4">
        <f>ROUND(K274*0.0177,0)</f>
        <v>588</v>
      </c>
      <c r="M274" s="4">
        <f t="shared" si="29"/>
        <v>32657</v>
      </c>
      <c r="N274" s="4">
        <f t="shared" si="30"/>
        <v>0.96800023293733983</v>
      </c>
      <c r="O274" s="4">
        <f t="shared" si="31"/>
        <v>0.8833333333333333</v>
      </c>
      <c r="P274" s="4">
        <f>IFERROR((K274/I274)/(INDEX(Dim_Machine!$E$2:$E$8,MATCH(D274,Dim_Machine!$A$2:$A$8,0))*INDEX(Dim_Machine!$D$2:$D$8,MATCH(D274,Dim_Machine!$A$2:$A$8,0))),0)</f>
        <v>0.96800023293733983</v>
      </c>
      <c r="Q274" s="4">
        <f t="shared" si="32"/>
        <v>0.98231312979395402</v>
      </c>
      <c r="R274" s="4">
        <f t="shared" si="33"/>
        <v>0.83994341563786012</v>
      </c>
      <c r="S274" s="4">
        <f>T274/0.937</f>
        <v>6.9705442902881529</v>
      </c>
      <c r="T274" s="4">
        <f>M274*INDEX(Dim_Product!$C$2:$C$4,MATCH(F274,Dim_Product!$A$2:$A$4,0))/1000000</f>
        <v>6.5313999999999997</v>
      </c>
      <c r="U274" s="19">
        <f t="shared" si="34"/>
        <v>0.93700000000000006</v>
      </c>
    </row>
    <row r="275" spans="1:21" x14ac:dyDescent="0.25">
      <c r="A275" s="18" t="s">
        <v>416</v>
      </c>
      <c r="B275" s="4">
        <v>20260702</v>
      </c>
      <c r="C275" s="4">
        <v>15</v>
      </c>
      <c r="D275" s="4" t="s">
        <v>15</v>
      </c>
      <c r="E275" s="4" t="s">
        <v>16</v>
      </c>
      <c r="F275" s="4" t="s">
        <v>143</v>
      </c>
      <c r="G275" s="4">
        <v>60</v>
      </c>
      <c r="H275" s="4">
        <v>0.4</v>
      </c>
      <c r="I275" s="4">
        <f t="shared" si="28"/>
        <v>59.6</v>
      </c>
      <c r="J275" s="4">
        <f>INDEX(Dim_Machine!$E$2:$E$8,MATCH(D275,Dim_Machine!$A$2:$A$8,0))*INDEX(Dim_Machine!$D$2:$D$8,MATCH(D275,Dim_Machine!$A$2:$A$8,0))*I275</f>
        <v>23840</v>
      </c>
      <c r="K275" s="4">
        <f>ROUND(J275*0.838,0)</f>
        <v>19978</v>
      </c>
      <c r="L275" s="4">
        <f>ROUND(K275*0.0144,0)</f>
        <v>288</v>
      </c>
      <c r="M275" s="4">
        <f t="shared" si="29"/>
        <v>19690</v>
      </c>
      <c r="N275" s="4">
        <f t="shared" si="30"/>
        <v>0.83800335570469797</v>
      </c>
      <c r="O275" s="4">
        <f t="shared" si="31"/>
        <v>0.9933333333333334</v>
      </c>
      <c r="P275" s="4">
        <f>IFERROR((K275/I275)/(INDEX(Dim_Machine!$E$2:$E$8,MATCH(D275,Dim_Machine!$A$2:$A$8,0))*INDEX(Dim_Machine!$D$2:$D$8,MATCH(D275,Dim_Machine!$A$2:$A$8,0))),0)</f>
        <v>0.83800335570469797</v>
      </c>
      <c r="Q275" s="4">
        <f t="shared" si="32"/>
        <v>0.98558414255681248</v>
      </c>
      <c r="R275" s="4">
        <f t="shared" si="33"/>
        <v>0.82041666666666668</v>
      </c>
      <c r="S275" s="4">
        <f>T275/0.816</f>
        <v>4.8259803921568629</v>
      </c>
      <c r="T275" s="4">
        <f>M275*INDEX(Dim_Product!$C$2:$C$4,MATCH(F275,Dim_Product!$A$2:$A$4,0))/1000000</f>
        <v>3.9380000000000002</v>
      </c>
      <c r="U275" s="19">
        <f t="shared" si="34"/>
        <v>0.81600000000000006</v>
      </c>
    </row>
    <row r="276" spans="1:21" x14ac:dyDescent="0.25">
      <c r="A276" s="18" t="s">
        <v>417</v>
      </c>
      <c r="B276" s="4">
        <v>20260702</v>
      </c>
      <c r="C276" s="4">
        <v>15</v>
      </c>
      <c r="D276" s="4" t="s">
        <v>19</v>
      </c>
      <c r="E276" s="4" t="s">
        <v>16</v>
      </c>
      <c r="F276" s="4" t="s">
        <v>141</v>
      </c>
      <c r="G276" s="4">
        <v>60</v>
      </c>
      <c r="H276" s="4">
        <v>4.0999999999999996</v>
      </c>
      <c r="I276" s="4">
        <f t="shared" si="28"/>
        <v>55.9</v>
      </c>
      <c r="J276" s="4">
        <f>INDEX(Dim_Machine!$E$2:$E$8,MATCH(D276,Dim_Machine!$A$2:$A$8,0))*INDEX(Dim_Machine!$D$2:$D$8,MATCH(D276,Dim_Machine!$A$2:$A$8,0))*I276</f>
        <v>37564.799999999996</v>
      </c>
      <c r="K276" s="4">
        <f>ROUND(J276*0.811,0)</f>
        <v>30465</v>
      </c>
      <c r="L276" s="4">
        <f>ROUND(K276*0.0195,0)</f>
        <v>594</v>
      </c>
      <c r="M276" s="4">
        <f t="shared" si="29"/>
        <v>29871</v>
      </c>
      <c r="N276" s="4">
        <f t="shared" si="30"/>
        <v>0.81099859442882705</v>
      </c>
      <c r="O276" s="4">
        <f t="shared" si="31"/>
        <v>0.93166666666666664</v>
      </c>
      <c r="P276" s="4">
        <f>IFERROR((K276/I276)/(INDEX(Dim_Machine!$E$2:$E$8,MATCH(D276,Dim_Machine!$A$2:$A$8,0))*INDEX(Dim_Machine!$D$2:$D$8,MATCH(D276,Dim_Machine!$A$2:$A$8,0))),0)</f>
        <v>0.81099859442882694</v>
      </c>
      <c r="Q276" s="4">
        <f t="shared" si="32"/>
        <v>0.98050221565731166</v>
      </c>
      <c r="R276" s="4">
        <f t="shared" si="33"/>
        <v>0.74084821428571423</v>
      </c>
      <c r="S276" s="4">
        <f>T276/0.927</f>
        <v>8.0558252427184467</v>
      </c>
      <c r="T276" s="4">
        <f>M276*INDEX(Dim_Product!$C$2:$C$4,MATCH(F276,Dim_Product!$A$2:$A$4,0))/1000000</f>
        <v>7.4677499999999997</v>
      </c>
      <c r="U276" s="19">
        <f t="shared" si="34"/>
        <v>0.92699999999999994</v>
      </c>
    </row>
    <row r="277" spans="1:21" x14ac:dyDescent="0.25">
      <c r="A277" s="18" t="s">
        <v>418</v>
      </c>
      <c r="B277" s="4">
        <v>20260702</v>
      </c>
      <c r="C277" s="4">
        <v>15</v>
      </c>
      <c r="D277" s="4" t="s">
        <v>23</v>
      </c>
      <c r="E277" s="4" t="s">
        <v>16</v>
      </c>
      <c r="F277" s="4" t="s">
        <v>141</v>
      </c>
      <c r="G277" s="4">
        <v>60</v>
      </c>
      <c r="H277" s="4">
        <v>2.8</v>
      </c>
      <c r="I277" s="4">
        <f t="shared" si="28"/>
        <v>57.2</v>
      </c>
      <c r="J277" s="4">
        <f>INDEX(Dim_Machine!$E$2:$E$8,MATCH(D277,Dim_Machine!$A$2:$A$8,0))*INDEX(Dim_Machine!$D$2:$D$8,MATCH(D277,Dim_Machine!$A$2:$A$8,0))*I277</f>
        <v>15100.800000000001</v>
      </c>
      <c r="K277" s="4">
        <f>ROUND(J277*0.891,0)</f>
        <v>13455</v>
      </c>
      <c r="L277" s="4">
        <f>ROUND(K277*0.0084,0)</f>
        <v>113</v>
      </c>
      <c r="M277" s="4">
        <f t="shared" si="29"/>
        <v>13342</v>
      </c>
      <c r="N277" s="4">
        <f t="shared" si="30"/>
        <v>0.89101239669421484</v>
      </c>
      <c r="O277" s="4">
        <f t="shared" si="31"/>
        <v>0.95333333333333337</v>
      </c>
      <c r="P277" s="4">
        <f>IFERROR((K277/I277)/(INDEX(Dim_Machine!$E$2:$E$8,MATCH(D277,Dim_Machine!$A$2:$A$8,0))*INDEX(Dim_Machine!$D$2:$D$8,MATCH(D277,Dim_Machine!$A$2:$A$8,0))),0)</f>
        <v>0.89101239669421484</v>
      </c>
      <c r="Q277" s="4">
        <f t="shared" si="32"/>
        <v>0.99160163507989596</v>
      </c>
      <c r="R277" s="4">
        <f t="shared" si="33"/>
        <v>0.84229797979797971</v>
      </c>
      <c r="S277" s="4">
        <f>T277/0.842</f>
        <v>3.9614014251781478</v>
      </c>
      <c r="T277" s="4">
        <f>M277*INDEX(Dim_Product!$C$2:$C$4,MATCH(F277,Dim_Product!$A$2:$A$4,0))/1000000</f>
        <v>3.3355000000000001</v>
      </c>
      <c r="U277" s="19">
        <f t="shared" si="34"/>
        <v>0.84199999999999997</v>
      </c>
    </row>
    <row r="278" spans="1:21" x14ac:dyDescent="0.25">
      <c r="A278" s="18" t="s">
        <v>419</v>
      </c>
      <c r="B278" s="4">
        <v>20260702</v>
      </c>
      <c r="C278" s="4">
        <v>15</v>
      </c>
      <c r="D278" s="4" t="s">
        <v>25</v>
      </c>
      <c r="E278" s="4" t="s">
        <v>16</v>
      </c>
      <c r="F278" s="4" t="s">
        <v>141</v>
      </c>
      <c r="G278" s="4">
        <v>60</v>
      </c>
      <c r="H278" s="4">
        <v>1.8</v>
      </c>
      <c r="I278" s="4">
        <f t="shared" si="28"/>
        <v>58.2</v>
      </c>
      <c r="J278" s="4">
        <f>INDEX(Dim_Machine!$E$2:$E$8,MATCH(D278,Dim_Machine!$A$2:$A$8,0))*INDEX(Dim_Machine!$D$2:$D$8,MATCH(D278,Dim_Machine!$A$2:$A$8,0))*I278</f>
        <v>41904</v>
      </c>
      <c r="K278" s="4">
        <f>ROUND(J278*0.866,0)</f>
        <v>36289</v>
      </c>
      <c r="L278" s="4">
        <f>ROUND(K278*0.0218,0)</f>
        <v>791</v>
      </c>
      <c r="M278" s="4">
        <f t="shared" si="29"/>
        <v>35498</v>
      </c>
      <c r="N278" s="4">
        <f t="shared" si="30"/>
        <v>0.86600324551355479</v>
      </c>
      <c r="O278" s="4">
        <f t="shared" si="31"/>
        <v>0.97000000000000008</v>
      </c>
      <c r="P278" s="4">
        <f>IFERROR((K278/I278)/(INDEX(Dim_Machine!$E$2:$E$8,MATCH(D278,Dim_Machine!$A$2:$A$8,0))*INDEX(Dim_Machine!$D$2:$D$8,MATCH(D278,Dim_Machine!$A$2:$A$8,0))),0)</f>
        <v>0.86600324551355468</v>
      </c>
      <c r="Q278" s="4">
        <f t="shared" si="32"/>
        <v>0.97820276116729588</v>
      </c>
      <c r="R278" s="4">
        <f t="shared" si="33"/>
        <v>0.82171296296296292</v>
      </c>
      <c r="S278" s="4">
        <f>T278/0.915</f>
        <v>9.6989071038251353</v>
      </c>
      <c r="T278" s="4">
        <f>M278*INDEX(Dim_Product!$C$2:$C$4,MATCH(F278,Dim_Product!$A$2:$A$4,0))/1000000</f>
        <v>8.8744999999999994</v>
      </c>
      <c r="U278" s="19">
        <f t="shared" si="34"/>
        <v>0.91500000000000004</v>
      </c>
    </row>
    <row r="279" spans="1:21" x14ac:dyDescent="0.25">
      <c r="A279" s="18" t="s">
        <v>420</v>
      </c>
      <c r="B279" s="4">
        <v>20260702</v>
      </c>
      <c r="C279" s="4">
        <v>15</v>
      </c>
      <c r="D279" s="4" t="s">
        <v>27</v>
      </c>
      <c r="E279" s="4" t="s">
        <v>16</v>
      </c>
      <c r="F279" s="4" t="s">
        <v>143</v>
      </c>
      <c r="G279" s="4">
        <v>60</v>
      </c>
      <c r="H279" s="4">
        <v>5</v>
      </c>
      <c r="I279" s="4">
        <f t="shared" si="28"/>
        <v>55</v>
      </c>
      <c r="J279" s="4">
        <f>INDEX(Dim_Machine!$E$2:$E$8,MATCH(D279,Dim_Machine!$A$2:$A$8,0))*INDEX(Dim_Machine!$D$2:$D$8,MATCH(D279,Dim_Machine!$A$2:$A$8,0))*I279</f>
        <v>22880</v>
      </c>
      <c r="K279" s="4">
        <f>ROUND(J279*0.915,0)</f>
        <v>20935</v>
      </c>
      <c r="L279" s="4">
        <f>ROUND(K279*0.0217,0)</f>
        <v>454</v>
      </c>
      <c r="M279" s="4">
        <f t="shared" si="29"/>
        <v>20481</v>
      </c>
      <c r="N279" s="4">
        <f t="shared" si="30"/>
        <v>0.91499125874125875</v>
      </c>
      <c r="O279" s="4">
        <f t="shared" si="31"/>
        <v>0.91666666666666663</v>
      </c>
      <c r="P279" s="4">
        <f>IFERROR((K279/I279)/(INDEX(Dim_Machine!$E$2:$E$8,MATCH(D279,Dim_Machine!$A$2:$A$8,0))*INDEX(Dim_Machine!$D$2:$D$8,MATCH(D279,Dim_Machine!$A$2:$A$8,0))),0)</f>
        <v>0.91499125874125875</v>
      </c>
      <c r="Q279" s="4">
        <f t="shared" si="32"/>
        <v>0.97831382851683779</v>
      </c>
      <c r="R279" s="4">
        <f t="shared" si="33"/>
        <v>0.82055288461538456</v>
      </c>
      <c r="S279" s="4">
        <f>T279/0.891</f>
        <v>4.5973063973063972</v>
      </c>
      <c r="T279" s="4">
        <f>M279*INDEX(Dim_Product!$C$2:$C$4,MATCH(F279,Dim_Product!$A$2:$A$4,0))/1000000</f>
        <v>4.0961999999999996</v>
      </c>
      <c r="U279" s="19">
        <f t="shared" si="34"/>
        <v>0.8909999999999999</v>
      </c>
    </row>
    <row r="280" spans="1:21" x14ac:dyDescent="0.25">
      <c r="A280" s="18" t="s">
        <v>421</v>
      </c>
      <c r="B280" s="4">
        <v>20260702</v>
      </c>
      <c r="C280" s="4">
        <v>15</v>
      </c>
      <c r="D280" s="4" t="s">
        <v>29</v>
      </c>
      <c r="E280" s="4" t="s">
        <v>16</v>
      </c>
      <c r="F280" s="4" t="s">
        <v>143</v>
      </c>
      <c r="G280" s="4">
        <v>60</v>
      </c>
      <c r="H280" s="4">
        <v>5.3</v>
      </c>
      <c r="I280" s="4">
        <f t="shared" si="28"/>
        <v>54.7</v>
      </c>
      <c r="J280" s="4">
        <f>INDEX(Dim_Machine!$E$2:$E$8,MATCH(D280,Dim_Machine!$A$2:$A$8,0))*INDEX(Dim_Machine!$D$2:$D$8,MATCH(D280,Dim_Machine!$A$2:$A$8,0))*I280</f>
        <v>15753.6</v>
      </c>
      <c r="K280" s="4">
        <f>ROUND(J280*0.919,0)</f>
        <v>14478</v>
      </c>
      <c r="L280" s="4">
        <f>ROUND(K280*0.0059,0)</f>
        <v>85</v>
      </c>
      <c r="M280" s="4">
        <f t="shared" si="29"/>
        <v>14393</v>
      </c>
      <c r="N280" s="4">
        <f t="shared" si="30"/>
        <v>0.91902803168799507</v>
      </c>
      <c r="O280" s="4">
        <f t="shared" si="31"/>
        <v>0.91166666666666674</v>
      </c>
      <c r="P280" s="4">
        <f>IFERROR((K280/I280)/(INDEX(Dim_Machine!$E$2:$E$8,MATCH(D280,Dim_Machine!$A$2:$A$8,0))*INDEX(Dim_Machine!$D$2:$D$8,MATCH(D280,Dim_Machine!$A$2:$A$8,0))),0)</f>
        <v>0.91902803168799507</v>
      </c>
      <c r="Q280" s="4">
        <f t="shared" si="32"/>
        <v>0.99412902334576603</v>
      </c>
      <c r="R280" s="4">
        <f t="shared" si="33"/>
        <v>0.83292824074074079</v>
      </c>
      <c r="S280" s="4">
        <f>T280/0.841</f>
        <v>3.422829964328181</v>
      </c>
      <c r="T280" s="4">
        <f>M280*INDEX(Dim_Product!$C$2:$C$4,MATCH(F280,Dim_Product!$A$2:$A$4,0))/1000000</f>
        <v>2.8786</v>
      </c>
      <c r="U280" s="19">
        <f t="shared" si="34"/>
        <v>0.84099999999999997</v>
      </c>
    </row>
    <row r="281" spans="1:21" x14ac:dyDescent="0.25">
      <c r="A281" s="18" t="s">
        <v>422</v>
      </c>
      <c r="B281" s="4">
        <v>20260702</v>
      </c>
      <c r="C281" s="4">
        <v>15</v>
      </c>
      <c r="D281" s="4" t="s">
        <v>31</v>
      </c>
      <c r="E281" s="4" t="s">
        <v>16</v>
      </c>
      <c r="F281" s="4" t="s">
        <v>143</v>
      </c>
      <c r="G281" s="4">
        <v>60</v>
      </c>
      <c r="H281" s="4">
        <v>6.1</v>
      </c>
      <c r="I281" s="4">
        <f t="shared" si="28"/>
        <v>53.9</v>
      </c>
      <c r="J281" s="4">
        <f>INDEX(Dim_Machine!$E$2:$E$8,MATCH(D281,Dim_Machine!$A$2:$A$8,0))*INDEX(Dim_Machine!$D$2:$D$8,MATCH(D281,Dim_Machine!$A$2:$A$8,0))*I281</f>
        <v>34927.199999999997</v>
      </c>
      <c r="K281" s="4">
        <f>ROUND(J281*0.964,0)</f>
        <v>33670</v>
      </c>
      <c r="L281" s="4">
        <f>ROUND(K281*0.0155,0)</f>
        <v>522</v>
      </c>
      <c r="M281" s="4">
        <f t="shared" si="29"/>
        <v>33148</v>
      </c>
      <c r="N281" s="4">
        <f t="shared" si="30"/>
        <v>0.96400513067179738</v>
      </c>
      <c r="O281" s="4">
        <f t="shared" si="31"/>
        <v>0.89833333333333332</v>
      </c>
      <c r="P281" s="4">
        <f>IFERROR((K281/I281)/(INDEX(Dim_Machine!$E$2:$E$8,MATCH(D281,Dim_Machine!$A$2:$A$8,0))*INDEX(Dim_Machine!$D$2:$D$8,MATCH(D281,Dim_Machine!$A$2:$A$8,0))),0)</f>
        <v>0.96400513067179727</v>
      </c>
      <c r="Q281" s="4">
        <f t="shared" si="32"/>
        <v>0.9844965844965845</v>
      </c>
      <c r="R281" s="4">
        <f t="shared" si="33"/>
        <v>0.8525720164609053</v>
      </c>
      <c r="S281" s="4">
        <f>T281/0.827</f>
        <v>8.0164449818621524</v>
      </c>
      <c r="T281" s="4">
        <f>M281*INDEX(Dim_Product!$C$2:$C$4,MATCH(F281,Dim_Product!$A$2:$A$4,0))/1000000</f>
        <v>6.6295999999999999</v>
      </c>
      <c r="U281" s="19">
        <f t="shared" si="34"/>
        <v>0.82699999999999996</v>
      </c>
    </row>
    <row r="282" spans="1:21" x14ac:dyDescent="0.25">
      <c r="A282" s="18" t="s">
        <v>423</v>
      </c>
      <c r="B282" s="4">
        <v>20260702</v>
      </c>
      <c r="C282" s="4">
        <v>16</v>
      </c>
      <c r="D282" s="4" t="s">
        <v>15</v>
      </c>
      <c r="E282" s="4" t="s">
        <v>16</v>
      </c>
      <c r="F282" s="4" t="s">
        <v>143</v>
      </c>
      <c r="G282" s="4">
        <v>60</v>
      </c>
      <c r="H282" s="4">
        <v>1.1000000000000001</v>
      </c>
      <c r="I282" s="4">
        <f t="shared" si="28"/>
        <v>58.9</v>
      </c>
      <c r="J282" s="4">
        <f>INDEX(Dim_Machine!$E$2:$E$8,MATCH(D282,Dim_Machine!$A$2:$A$8,0))*INDEX(Dim_Machine!$D$2:$D$8,MATCH(D282,Dim_Machine!$A$2:$A$8,0))*I282</f>
        <v>23560</v>
      </c>
      <c r="K282" s="4">
        <f>ROUND(J282*0.911,0)</f>
        <v>21463</v>
      </c>
      <c r="L282" s="4">
        <f>ROUND(K282*0.0071,0)</f>
        <v>152</v>
      </c>
      <c r="M282" s="4">
        <f t="shared" si="29"/>
        <v>21311</v>
      </c>
      <c r="N282" s="4">
        <f t="shared" si="30"/>
        <v>0.91099320882852297</v>
      </c>
      <c r="O282" s="4">
        <f t="shared" si="31"/>
        <v>0.98166666666666669</v>
      </c>
      <c r="P282" s="4">
        <f>IFERROR((K282/I282)/(INDEX(Dim_Machine!$E$2:$E$8,MATCH(D282,Dim_Machine!$A$2:$A$8,0))*INDEX(Dim_Machine!$D$2:$D$8,MATCH(D282,Dim_Machine!$A$2:$A$8,0))),0)</f>
        <v>0.91099320882852297</v>
      </c>
      <c r="Q282" s="4">
        <f t="shared" si="32"/>
        <v>0.99291804500768766</v>
      </c>
      <c r="R282" s="4">
        <f t="shared" si="33"/>
        <v>0.8879583333333334</v>
      </c>
      <c r="S282" s="4">
        <f>T282/0.911</f>
        <v>4.6785949506037321</v>
      </c>
      <c r="T282" s="4">
        <f>M282*INDEX(Dim_Product!$C$2:$C$4,MATCH(F282,Dim_Product!$A$2:$A$4,0))/1000000</f>
        <v>4.2622</v>
      </c>
      <c r="U282" s="19">
        <f t="shared" si="34"/>
        <v>0.91100000000000003</v>
      </c>
    </row>
    <row r="283" spans="1:21" x14ac:dyDescent="0.25">
      <c r="A283" s="18" t="s">
        <v>424</v>
      </c>
      <c r="B283" s="4">
        <v>20260702</v>
      </c>
      <c r="C283" s="4">
        <v>16</v>
      </c>
      <c r="D283" s="4" t="s">
        <v>19</v>
      </c>
      <c r="E283" s="4" t="s">
        <v>16</v>
      </c>
      <c r="F283" s="4" t="s">
        <v>141</v>
      </c>
      <c r="G283" s="4">
        <v>60</v>
      </c>
      <c r="H283" s="4">
        <v>7.8</v>
      </c>
      <c r="I283" s="4">
        <f t="shared" si="28"/>
        <v>52.2</v>
      </c>
      <c r="J283" s="4">
        <f>INDEX(Dim_Machine!$E$2:$E$8,MATCH(D283,Dim_Machine!$A$2:$A$8,0))*INDEX(Dim_Machine!$D$2:$D$8,MATCH(D283,Dim_Machine!$A$2:$A$8,0))*I283</f>
        <v>35078.400000000001</v>
      </c>
      <c r="K283" s="4">
        <f>ROUND(J283*0.798,0)</f>
        <v>27993</v>
      </c>
      <c r="L283" s="4">
        <f>ROUND(K283*0.0209,0)</f>
        <v>585</v>
      </c>
      <c r="M283" s="4">
        <f t="shared" si="29"/>
        <v>27408</v>
      </c>
      <c r="N283" s="4">
        <f t="shared" si="30"/>
        <v>0.79801245210727967</v>
      </c>
      <c r="O283" s="4">
        <f t="shared" si="31"/>
        <v>0.87</v>
      </c>
      <c r="P283" s="4">
        <f>IFERROR((K283/I283)/(INDEX(Dim_Machine!$E$2:$E$8,MATCH(D283,Dim_Machine!$A$2:$A$8,0))*INDEX(Dim_Machine!$D$2:$D$8,MATCH(D283,Dim_Machine!$A$2:$A$8,0))),0)</f>
        <v>0.79801245210727978</v>
      </c>
      <c r="Q283" s="4">
        <f t="shared" si="32"/>
        <v>0.979101918336727</v>
      </c>
      <c r="R283" s="4">
        <f t="shared" si="33"/>
        <v>0.67976190476190479</v>
      </c>
      <c r="S283" s="4">
        <f>T283/0.856</f>
        <v>8.0046728971962615</v>
      </c>
      <c r="T283" s="4">
        <f>M283*INDEX(Dim_Product!$C$2:$C$4,MATCH(F283,Dim_Product!$A$2:$A$4,0))/1000000</f>
        <v>6.8520000000000003</v>
      </c>
      <c r="U283" s="19">
        <f t="shared" si="34"/>
        <v>0.85600000000000009</v>
      </c>
    </row>
    <row r="284" spans="1:21" x14ac:dyDescent="0.25">
      <c r="A284" s="18" t="s">
        <v>425</v>
      </c>
      <c r="B284" s="4">
        <v>20260702</v>
      </c>
      <c r="C284" s="4">
        <v>16</v>
      </c>
      <c r="D284" s="4" t="s">
        <v>23</v>
      </c>
      <c r="E284" s="4" t="s">
        <v>16</v>
      </c>
      <c r="F284" s="4" t="s">
        <v>141</v>
      </c>
      <c r="G284" s="4">
        <v>60</v>
      </c>
      <c r="H284" s="4">
        <v>3.6</v>
      </c>
      <c r="I284" s="4">
        <f t="shared" si="28"/>
        <v>56.4</v>
      </c>
      <c r="J284" s="4">
        <f>INDEX(Dim_Machine!$E$2:$E$8,MATCH(D284,Dim_Machine!$A$2:$A$8,0))*INDEX(Dim_Machine!$D$2:$D$8,MATCH(D284,Dim_Machine!$A$2:$A$8,0))*I284</f>
        <v>14889.6</v>
      </c>
      <c r="K284" s="4">
        <f>ROUND(J284*0.811,0)</f>
        <v>12075</v>
      </c>
      <c r="L284" s="4">
        <f>ROUND(K284*0.0143,0)</f>
        <v>173</v>
      </c>
      <c r="M284" s="4">
        <f t="shared" si="29"/>
        <v>11902</v>
      </c>
      <c r="N284" s="4">
        <f t="shared" si="30"/>
        <v>0.81096872985170854</v>
      </c>
      <c r="O284" s="4">
        <f t="shared" si="31"/>
        <v>0.94</v>
      </c>
      <c r="P284" s="4">
        <f>IFERROR((K284/I284)/(INDEX(Dim_Machine!$E$2:$E$8,MATCH(D284,Dim_Machine!$A$2:$A$8,0))*INDEX(Dim_Machine!$D$2:$D$8,MATCH(D284,Dim_Machine!$A$2:$A$8,0))),0)</f>
        <v>0.81096872985170854</v>
      </c>
      <c r="Q284" s="4">
        <f t="shared" si="32"/>
        <v>0.98567287784679092</v>
      </c>
      <c r="R284" s="4">
        <f t="shared" si="33"/>
        <v>0.75138888888888877</v>
      </c>
      <c r="S284" s="4">
        <f>T284/0.849</f>
        <v>3.5047114252061249</v>
      </c>
      <c r="T284" s="4">
        <f>M284*INDEX(Dim_Product!$C$2:$C$4,MATCH(F284,Dim_Product!$A$2:$A$4,0))/1000000</f>
        <v>2.9754999999999998</v>
      </c>
      <c r="U284" s="19">
        <f t="shared" si="34"/>
        <v>0.84899999999999998</v>
      </c>
    </row>
    <row r="285" spans="1:21" x14ac:dyDescent="0.25">
      <c r="A285" s="18" t="s">
        <v>426</v>
      </c>
      <c r="B285" s="4">
        <v>20260702</v>
      </c>
      <c r="C285" s="4">
        <v>16</v>
      </c>
      <c r="D285" s="4" t="s">
        <v>25</v>
      </c>
      <c r="E285" s="4" t="s">
        <v>16</v>
      </c>
      <c r="F285" s="4" t="s">
        <v>141</v>
      </c>
      <c r="G285" s="4">
        <v>60</v>
      </c>
      <c r="H285" s="4">
        <v>7.5</v>
      </c>
      <c r="I285" s="4">
        <f t="shared" si="28"/>
        <v>52.5</v>
      </c>
      <c r="J285" s="4">
        <f>INDEX(Dim_Machine!$E$2:$E$8,MATCH(D285,Dim_Machine!$A$2:$A$8,0))*INDEX(Dim_Machine!$D$2:$D$8,MATCH(D285,Dim_Machine!$A$2:$A$8,0))*I285</f>
        <v>37800</v>
      </c>
      <c r="K285" s="4">
        <f>ROUND(J285*0.899,0)</f>
        <v>33982</v>
      </c>
      <c r="L285" s="4">
        <f>ROUND(K285*0.0315,0)</f>
        <v>1070</v>
      </c>
      <c r="M285" s="4">
        <f t="shared" si="29"/>
        <v>32912</v>
      </c>
      <c r="N285" s="4">
        <f t="shared" si="30"/>
        <v>0.89899470899470901</v>
      </c>
      <c r="O285" s="4">
        <f t="shared" si="31"/>
        <v>0.875</v>
      </c>
      <c r="P285" s="4">
        <f>IFERROR((K285/I285)/(INDEX(Dim_Machine!$E$2:$E$8,MATCH(D285,Dim_Machine!$A$2:$A$8,0))*INDEX(Dim_Machine!$D$2:$D$8,MATCH(D285,Dim_Machine!$A$2:$A$8,0))),0)</f>
        <v>0.8989947089947089</v>
      </c>
      <c r="Q285" s="4">
        <f t="shared" si="32"/>
        <v>0.96851274203990345</v>
      </c>
      <c r="R285" s="4">
        <f t="shared" si="33"/>
        <v>0.76185185185185167</v>
      </c>
      <c r="S285" s="4">
        <f>T285/0.823</f>
        <v>9.9975698663426495</v>
      </c>
      <c r="T285" s="4">
        <f>M285*INDEX(Dim_Product!$C$2:$C$4,MATCH(F285,Dim_Product!$A$2:$A$4,0))/1000000</f>
        <v>8.2279999999999998</v>
      </c>
      <c r="U285" s="19">
        <f t="shared" si="34"/>
        <v>0.82299999999999995</v>
      </c>
    </row>
    <row r="286" spans="1:21" x14ac:dyDescent="0.25">
      <c r="A286" s="18" t="s">
        <v>427</v>
      </c>
      <c r="B286" s="4">
        <v>20260702</v>
      </c>
      <c r="C286" s="4">
        <v>16</v>
      </c>
      <c r="D286" s="4" t="s">
        <v>27</v>
      </c>
      <c r="E286" s="4" t="s">
        <v>16</v>
      </c>
      <c r="F286" s="4" t="s">
        <v>143</v>
      </c>
      <c r="G286" s="4">
        <v>60</v>
      </c>
      <c r="H286" s="4">
        <v>6</v>
      </c>
      <c r="I286" s="4">
        <f t="shared" si="28"/>
        <v>54</v>
      </c>
      <c r="J286" s="4">
        <f>INDEX(Dim_Machine!$E$2:$E$8,MATCH(D286,Dim_Machine!$A$2:$A$8,0))*INDEX(Dim_Machine!$D$2:$D$8,MATCH(D286,Dim_Machine!$A$2:$A$8,0))*I286</f>
        <v>22464</v>
      </c>
      <c r="K286" s="4">
        <f>ROUND(J286*0.79,0)</f>
        <v>17747</v>
      </c>
      <c r="L286" s="4">
        <f>ROUND(K286*0.0074,0)</f>
        <v>131</v>
      </c>
      <c r="M286" s="4">
        <f t="shared" si="29"/>
        <v>17616</v>
      </c>
      <c r="N286" s="4">
        <f t="shared" si="30"/>
        <v>0.79001958689458684</v>
      </c>
      <c r="O286" s="4">
        <f t="shared" si="31"/>
        <v>0.9</v>
      </c>
      <c r="P286" s="4">
        <f>IFERROR((K286/I286)/(INDEX(Dim_Machine!$E$2:$E$8,MATCH(D286,Dim_Machine!$A$2:$A$8,0))*INDEX(Dim_Machine!$D$2:$D$8,MATCH(D286,Dim_Machine!$A$2:$A$8,0))),0)</f>
        <v>0.79001958689458696</v>
      </c>
      <c r="Q286" s="4">
        <f t="shared" si="32"/>
        <v>0.99261847072744691</v>
      </c>
      <c r="R286" s="4">
        <f t="shared" si="33"/>
        <v>0.70576923076923082</v>
      </c>
      <c r="S286" s="4">
        <f>T286/0.866</f>
        <v>4.068360277136259</v>
      </c>
      <c r="T286" s="4">
        <f>M286*INDEX(Dim_Product!$C$2:$C$4,MATCH(F286,Dim_Product!$A$2:$A$4,0))/1000000</f>
        <v>3.5232000000000001</v>
      </c>
      <c r="U286" s="19">
        <f t="shared" si="34"/>
        <v>0.86599999999999999</v>
      </c>
    </row>
    <row r="287" spans="1:21" x14ac:dyDescent="0.25">
      <c r="A287" s="18" t="s">
        <v>428</v>
      </c>
      <c r="B287" s="4">
        <v>20260702</v>
      </c>
      <c r="C287" s="4">
        <v>16</v>
      </c>
      <c r="D287" s="4" t="s">
        <v>29</v>
      </c>
      <c r="E287" s="4" t="s">
        <v>16</v>
      </c>
      <c r="F287" s="4" t="s">
        <v>143</v>
      </c>
      <c r="G287" s="4">
        <v>60</v>
      </c>
      <c r="H287" s="4">
        <v>3.4</v>
      </c>
      <c r="I287" s="4">
        <f t="shared" si="28"/>
        <v>56.6</v>
      </c>
      <c r="J287" s="4">
        <f>INDEX(Dim_Machine!$E$2:$E$8,MATCH(D287,Dim_Machine!$A$2:$A$8,0))*INDEX(Dim_Machine!$D$2:$D$8,MATCH(D287,Dim_Machine!$A$2:$A$8,0))*I287</f>
        <v>16300.800000000001</v>
      </c>
      <c r="K287" s="4">
        <f>ROUND(J287*0.901,0)</f>
        <v>14687</v>
      </c>
      <c r="L287" s="4">
        <f>ROUND(K287*0.0174,0)</f>
        <v>256</v>
      </c>
      <c r="M287" s="4">
        <f t="shared" si="29"/>
        <v>14431</v>
      </c>
      <c r="N287" s="4">
        <f t="shared" si="30"/>
        <v>0.9009987239890066</v>
      </c>
      <c r="O287" s="4">
        <f t="shared" si="31"/>
        <v>0.94333333333333336</v>
      </c>
      <c r="P287" s="4">
        <f>IFERROR((K287/I287)/(INDEX(Dim_Machine!$E$2:$E$8,MATCH(D287,Dim_Machine!$A$2:$A$8,0))*INDEX(Dim_Machine!$D$2:$D$8,MATCH(D287,Dim_Machine!$A$2:$A$8,0))),0)</f>
        <v>0.90099872398900671</v>
      </c>
      <c r="Q287" s="4">
        <f t="shared" si="32"/>
        <v>0.98256961939129839</v>
      </c>
      <c r="R287" s="4">
        <f t="shared" si="33"/>
        <v>0.83512731481481484</v>
      </c>
      <c r="S287" s="4">
        <f>T287/0.832</f>
        <v>3.4689903846153851</v>
      </c>
      <c r="T287" s="4">
        <f>M287*INDEX(Dim_Product!$C$2:$C$4,MATCH(F287,Dim_Product!$A$2:$A$4,0))/1000000</f>
        <v>2.8862000000000001</v>
      </c>
      <c r="U287" s="19">
        <f t="shared" si="34"/>
        <v>0.83199999999999996</v>
      </c>
    </row>
    <row r="288" spans="1:21" x14ac:dyDescent="0.25">
      <c r="A288" s="18" t="s">
        <v>429</v>
      </c>
      <c r="B288" s="4">
        <v>20260702</v>
      </c>
      <c r="C288" s="4">
        <v>16</v>
      </c>
      <c r="D288" s="4" t="s">
        <v>31</v>
      </c>
      <c r="E288" s="4" t="s">
        <v>16</v>
      </c>
      <c r="F288" s="4" t="s">
        <v>143</v>
      </c>
      <c r="G288" s="4">
        <v>60</v>
      </c>
      <c r="H288" s="4">
        <v>4.0999999999999996</v>
      </c>
      <c r="I288" s="4">
        <f t="shared" si="28"/>
        <v>55.9</v>
      </c>
      <c r="J288" s="4">
        <f>INDEX(Dim_Machine!$E$2:$E$8,MATCH(D288,Dim_Machine!$A$2:$A$8,0))*INDEX(Dim_Machine!$D$2:$D$8,MATCH(D288,Dim_Machine!$A$2:$A$8,0))*I288</f>
        <v>36223.199999999997</v>
      </c>
      <c r="K288" s="4">
        <f>ROUND(J288*0.849,0)</f>
        <v>30753</v>
      </c>
      <c r="L288" s="4">
        <f>ROUND(K288*0.0083,0)</f>
        <v>255</v>
      </c>
      <c r="M288" s="4">
        <f t="shared" si="29"/>
        <v>30498</v>
      </c>
      <c r="N288" s="4">
        <f t="shared" si="30"/>
        <v>0.84898628503279672</v>
      </c>
      <c r="O288" s="4">
        <f t="shared" si="31"/>
        <v>0.93166666666666664</v>
      </c>
      <c r="P288" s="4">
        <f>IFERROR((K288/I288)/(INDEX(Dim_Machine!$E$2:$E$8,MATCH(D288,Dim_Machine!$A$2:$A$8,0))*INDEX(Dim_Machine!$D$2:$D$8,MATCH(D288,Dim_Machine!$A$2:$A$8,0))),0)</f>
        <v>0.84898628503279661</v>
      </c>
      <c r="Q288" s="4">
        <f t="shared" si="32"/>
        <v>0.99170812603648428</v>
      </c>
      <c r="R288" s="4">
        <f t="shared" si="33"/>
        <v>0.78441358024691354</v>
      </c>
      <c r="S288" s="4">
        <f>T288/0.902</f>
        <v>6.7623059866962301</v>
      </c>
      <c r="T288" s="4">
        <f>M288*INDEX(Dim_Product!$C$2:$C$4,MATCH(F288,Dim_Product!$A$2:$A$4,0))/1000000</f>
        <v>6.0995999999999997</v>
      </c>
      <c r="U288" s="19">
        <f t="shared" si="34"/>
        <v>0.90200000000000002</v>
      </c>
    </row>
    <row r="289" spans="1:21" x14ac:dyDescent="0.25">
      <c r="A289" s="18" t="s">
        <v>430</v>
      </c>
      <c r="B289" s="4">
        <v>20260702</v>
      </c>
      <c r="C289" s="4">
        <v>17</v>
      </c>
      <c r="D289" s="4" t="s">
        <v>15</v>
      </c>
      <c r="E289" s="4" t="s">
        <v>16</v>
      </c>
      <c r="F289" s="4" t="s">
        <v>143</v>
      </c>
      <c r="G289" s="4">
        <v>60</v>
      </c>
      <c r="H289" s="4">
        <v>4.7</v>
      </c>
      <c r="I289" s="4">
        <f t="shared" si="28"/>
        <v>55.3</v>
      </c>
      <c r="J289" s="4">
        <f>INDEX(Dim_Machine!$E$2:$E$8,MATCH(D289,Dim_Machine!$A$2:$A$8,0))*INDEX(Dim_Machine!$D$2:$D$8,MATCH(D289,Dim_Machine!$A$2:$A$8,0))*I289</f>
        <v>22120</v>
      </c>
      <c r="K289" s="4">
        <f>ROUND(J289*0.885,0)</f>
        <v>19576</v>
      </c>
      <c r="L289" s="4">
        <f>ROUND(K289*0.0143,0)</f>
        <v>280</v>
      </c>
      <c r="M289" s="4">
        <f t="shared" si="29"/>
        <v>19296</v>
      </c>
      <c r="N289" s="4">
        <f t="shared" si="30"/>
        <v>0.88499095840867992</v>
      </c>
      <c r="O289" s="4">
        <f t="shared" si="31"/>
        <v>0.92166666666666663</v>
      </c>
      <c r="P289" s="4">
        <f>IFERROR((K289/I289)/(INDEX(Dim_Machine!$E$2:$E$8,MATCH(D289,Dim_Machine!$A$2:$A$8,0))*INDEX(Dim_Machine!$D$2:$D$8,MATCH(D289,Dim_Machine!$A$2:$A$8,0))),0)</f>
        <v>0.88499095840867992</v>
      </c>
      <c r="Q289" s="4">
        <f t="shared" si="32"/>
        <v>0.98569677155700863</v>
      </c>
      <c r="R289" s="4">
        <f t="shared" si="33"/>
        <v>0.80400000000000005</v>
      </c>
      <c r="S289" s="4">
        <f>T289/0.833</f>
        <v>4.6328931572629051</v>
      </c>
      <c r="T289" s="4">
        <f>M289*INDEX(Dim_Product!$C$2:$C$4,MATCH(F289,Dim_Product!$A$2:$A$4,0))/1000000</f>
        <v>3.8592</v>
      </c>
      <c r="U289" s="19">
        <f t="shared" si="34"/>
        <v>0.83299999999999996</v>
      </c>
    </row>
    <row r="290" spans="1:21" x14ac:dyDescent="0.25">
      <c r="A290" s="18" t="s">
        <v>431</v>
      </c>
      <c r="B290" s="4">
        <v>20260702</v>
      </c>
      <c r="C290" s="4">
        <v>17</v>
      </c>
      <c r="D290" s="4" t="s">
        <v>19</v>
      </c>
      <c r="E290" s="4" t="s">
        <v>16</v>
      </c>
      <c r="F290" s="4" t="s">
        <v>141</v>
      </c>
      <c r="G290" s="4">
        <v>60</v>
      </c>
      <c r="H290" s="4">
        <v>7.9</v>
      </c>
      <c r="I290" s="4">
        <f t="shared" si="28"/>
        <v>52.1</v>
      </c>
      <c r="J290" s="4">
        <f>INDEX(Dim_Machine!$E$2:$E$8,MATCH(D290,Dim_Machine!$A$2:$A$8,0))*INDEX(Dim_Machine!$D$2:$D$8,MATCH(D290,Dim_Machine!$A$2:$A$8,0))*I290</f>
        <v>35011.200000000004</v>
      </c>
      <c r="K290" s="4">
        <f>ROUND(J290*0.791,0)</f>
        <v>27694</v>
      </c>
      <c r="L290" s="4">
        <f>ROUND(K290*0.0111,0)</f>
        <v>307</v>
      </c>
      <c r="M290" s="4">
        <f t="shared" si="29"/>
        <v>27387</v>
      </c>
      <c r="N290" s="4">
        <f t="shared" si="30"/>
        <v>0.7910040215702403</v>
      </c>
      <c r="O290" s="4">
        <f t="shared" si="31"/>
        <v>0.8683333333333334</v>
      </c>
      <c r="P290" s="4">
        <f>IFERROR((K290/I290)/(INDEX(Dim_Machine!$E$2:$E$8,MATCH(D290,Dim_Machine!$A$2:$A$8,0))*INDEX(Dim_Machine!$D$2:$D$8,MATCH(D290,Dim_Machine!$A$2:$A$8,0))),0)</f>
        <v>0.7910040215702403</v>
      </c>
      <c r="Q290" s="4">
        <f t="shared" si="32"/>
        <v>0.98891456633205743</v>
      </c>
      <c r="R290" s="4">
        <f t="shared" si="33"/>
        <v>0.67924107142857137</v>
      </c>
      <c r="S290" s="4">
        <f>T290/0.942</f>
        <v>7.2683121019108281</v>
      </c>
      <c r="T290" s="4">
        <f>M290*INDEX(Dim_Product!$C$2:$C$4,MATCH(F290,Dim_Product!$A$2:$A$4,0))/1000000</f>
        <v>6.8467500000000001</v>
      </c>
      <c r="U290" s="19">
        <f t="shared" si="34"/>
        <v>0.94200000000000006</v>
      </c>
    </row>
    <row r="291" spans="1:21" x14ac:dyDescent="0.25">
      <c r="A291" s="18" t="s">
        <v>432</v>
      </c>
      <c r="B291" s="4">
        <v>20260702</v>
      </c>
      <c r="C291" s="4">
        <v>17</v>
      </c>
      <c r="D291" s="4" t="s">
        <v>23</v>
      </c>
      <c r="E291" s="4" t="s">
        <v>16</v>
      </c>
      <c r="F291" s="4" t="s">
        <v>141</v>
      </c>
      <c r="G291" s="4">
        <v>60</v>
      </c>
      <c r="H291" s="4">
        <v>6.1</v>
      </c>
      <c r="I291" s="4">
        <f t="shared" si="28"/>
        <v>53.9</v>
      </c>
      <c r="J291" s="4">
        <f>INDEX(Dim_Machine!$E$2:$E$8,MATCH(D291,Dim_Machine!$A$2:$A$8,0))*INDEX(Dim_Machine!$D$2:$D$8,MATCH(D291,Dim_Machine!$A$2:$A$8,0))*I291</f>
        <v>14229.6</v>
      </c>
      <c r="K291" s="4">
        <f>ROUND(J291*0.933,0)</f>
        <v>13276</v>
      </c>
      <c r="L291" s="4">
        <f>ROUND(K291*0.0137,0)</f>
        <v>182</v>
      </c>
      <c r="M291" s="4">
        <f t="shared" si="29"/>
        <v>13094</v>
      </c>
      <c r="N291" s="4">
        <f t="shared" si="30"/>
        <v>0.93298476415359533</v>
      </c>
      <c r="O291" s="4">
        <f t="shared" si="31"/>
        <v>0.89833333333333332</v>
      </c>
      <c r="P291" s="4">
        <f>IFERROR((K291/I291)/(INDEX(Dim_Machine!$E$2:$E$8,MATCH(D291,Dim_Machine!$A$2:$A$8,0))*INDEX(Dim_Machine!$D$2:$D$8,MATCH(D291,Dim_Machine!$A$2:$A$8,0))),0)</f>
        <v>0.93298476415359533</v>
      </c>
      <c r="Q291" s="4">
        <f t="shared" si="32"/>
        <v>0.98629105152154262</v>
      </c>
      <c r="R291" s="4">
        <f t="shared" si="33"/>
        <v>0.82664141414141412</v>
      </c>
      <c r="S291" s="4">
        <f>T291/0.818</f>
        <v>4.0018337408312963</v>
      </c>
      <c r="T291" s="4">
        <f>M291*INDEX(Dim_Product!$C$2:$C$4,MATCH(F291,Dim_Product!$A$2:$A$4,0))/1000000</f>
        <v>3.2734999999999999</v>
      </c>
      <c r="U291" s="19">
        <f t="shared" si="34"/>
        <v>0.81799999999999984</v>
      </c>
    </row>
    <row r="292" spans="1:21" x14ac:dyDescent="0.25">
      <c r="A292" s="18" t="s">
        <v>433</v>
      </c>
      <c r="B292" s="4">
        <v>20260702</v>
      </c>
      <c r="C292" s="4">
        <v>17</v>
      </c>
      <c r="D292" s="4" t="s">
        <v>25</v>
      </c>
      <c r="E292" s="4" t="s">
        <v>16</v>
      </c>
      <c r="F292" s="4" t="s">
        <v>141</v>
      </c>
      <c r="G292" s="4">
        <v>60</v>
      </c>
      <c r="H292" s="4">
        <v>4</v>
      </c>
      <c r="I292" s="4">
        <f t="shared" si="28"/>
        <v>56</v>
      </c>
      <c r="J292" s="4">
        <f>INDEX(Dim_Machine!$E$2:$E$8,MATCH(D292,Dim_Machine!$A$2:$A$8,0))*INDEX(Dim_Machine!$D$2:$D$8,MATCH(D292,Dim_Machine!$A$2:$A$8,0))*I292</f>
        <v>40320</v>
      </c>
      <c r="K292" s="4">
        <f>ROUND(J292*0.866,0)</f>
        <v>34917</v>
      </c>
      <c r="L292" s="4">
        <f>ROUND(K292*0.0089,0)</f>
        <v>311</v>
      </c>
      <c r="M292" s="4">
        <f t="shared" si="29"/>
        <v>34606</v>
      </c>
      <c r="N292" s="4">
        <f t="shared" si="30"/>
        <v>0.86599702380952381</v>
      </c>
      <c r="O292" s="4">
        <f t="shared" si="31"/>
        <v>0.93333333333333335</v>
      </c>
      <c r="P292" s="4">
        <f>IFERROR((K292/I292)/(INDEX(Dim_Machine!$E$2:$E$8,MATCH(D292,Dim_Machine!$A$2:$A$8,0))*INDEX(Dim_Machine!$D$2:$D$8,MATCH(D292,Dim_Machine!$A$2:$A$8,0))),0)</f>
        <v>0.86599702380952381</v>
      </c>
      <c r="Q292" s="4">
        <f t="shared" si="32"/>
        <v>0.9910931637884125</v>
      </c>
      <c r="R292" s="4">
        <f t="shared" si="33"/>
        <v>0.80106481481481484</v>
      </c>
      <c r="S292" s="4">
        <f>T292/0.88</f>
        <v>9.8312500000000007</v>
      </c>
      <c r="T292" s="4">
        <f>M292*INDEX(Dim_Product!$C$2:$C$4,MATCH(F292,Dim_Product!$A$2:$A$4,0))/1000000</f>
        <v>8.6515000000000004</v>
      </c>
      <c r="U292" s="19">
        <f t="shared" si="34"/>
        <v>0.88</v>
      </c>
    </row>
    <row r="293" spans="1:21" x14ac:dyDescent="0.25">
      <c r="A293" s="18" t="s">
        <v>434</v>
      </c>
      <c r="B293" s="4">
        <v>20260702</v>
      </c>
      <c r="C293" s="4">
        <v>17</v>
      </c>
      <c r="D293" s="4" t="s">
        <v>27</v>
      </c>
      <c r="E293" s="4" t="s">
        <v>16</v>
      </c>
      <c r="F293" s="4" t="s">
        <v>143</v>
      </c>
      <c r="G293" s="4">
        <v>60</v>
      </c>
      <c r="H293" s="4">
        <v>1.8</v>
      </c>
      <c r="I293" s="4">
        <f t="shared" si="28"/>
        <v>58.2</v>
      </c>
      <c r="J293" s="4">
        <f>INDEX(Dim_Machine!$E$2:$E$8,MATCH(D293,Dim_Machine!$A$2:$A$8,0))*INDEX(Dim_Machine!$D$2:$D$8,MATCH(D293,Dim_Machine!$A$2:$A$8,0))*I293</f>
        <v>24211.200000000001</v>
      </c>
      <c r="K293" s="4">
        <f>ROUND(J293*0.892,0)</f>
        <v>21596</v>
      </c>
      <c r="L293" s="4">
        <f>ROUND(K293*0.025,0)</f>
        <v>540</v>
      </c>
      <c r="M293" s="4">
        <f t="shared" si="29"/>
        <v>21056</v>
      </c>
      <c r="N293" s="4">
        <f t="shared" si="30"/>
        <v>0.89198387523129785</v>
      </c>
      <c r="O293" s="4">
        <f t="shared" si="31"/>
        <v>0.97000000000000008</v>
      </c>
      <c r="P293" s="4">
        <f>IFERROR((K293/I293)/(INDEX(Dim_Machine!$E$2:$E$8,MATCH(D293,Dim_Machine!$A$2:$A$8,0))*INDEX(Dim_Machine!$D$2:$D$8,MATCH(D293,Dim_Machine!$A$2:$A$8,0))),0)</f>
        <v>0.89198387523129796</v>
      </c>
      <c r="Q293" s="4">
        <f t="shared" si="32"/>
        <v>0.9749953695128728</v>
      </c>
      <c r="R293" s="4">
        <f t="shared" si="33"/>
        <v>0.84358974358974381</v>
      </c>
      <c r="S293" s="4">
        <f>T293/0.853</f>
        <v>4.936928487690504</v>
      </c>
      <c r="T293" s="4">
        <f>M293*INDEX(Dim_Product!$C$2:$C$4,MATCH(F293,Dim_Product!$A$2:$A$4,0))/1000000</f>
        <v>4.2111999999999998</v>
      </c>
      <c r="U293" s="19">
        <f t="shared" si="34"/>
        <v>0.85299999999999998</v>
      </c>
    </row>
    <row r="294" spans="1:21" x14ac:dyDescent="0.25">
      <c r="A294" s="18" t="s">
        <v>435</v>
      </c>
      <c r="B294" s="4">
        <v>20260702</v>
      </c>
      <c r="C294" s="4">
        <v>17</v>
      </c>
      <c r="D294" s="4" t="s">
        <v>29</v>
      </c>
      <c r="E294" s="4" t="s">
        <v>16</v>
      </c>
      <c r="F294" s="4" t="s">
        <v>143</v>
      </c>
      <c r="G294" s="4">
        <v>60</v>
      </c>
      <c r="H294" s="4">
        <v>3.2</v>
      </c>
      <c r="I294" s="4">
        <f t="shared" si="28"/>
        <v>56.8</v>
      </c>
      <c r="J294" s="4">
        <f>INDEX(Dim_Machine!$E$2:$E$8,MATCH(D294,Dim_Machine!$A$2:$A$8,0))*INDEX(Dim_Machine!$D$2:$D$8,MATCH(D294,Dim_Machine!$A$2:$A$8,0))*I294</f>
        <v>16358.4</v>
      </c>
      <c r="K294" s="4">
        <f>ROUND(J294*0.928,0)</f>
        <v>15181</v>
      </c>
      <c r="L294" s="4">
        <f>ROUND(K294*0.0181,0)</f>
        <v>275</v>
      </c>
      <c r="M294" s="4">
        <f t="shared" si="29"/>
        <v>14906</v>
      </c>
      <c r="N294" s="4">
        <f t="shared" si="30"/>
        <v>0.9280247456964007</v>
      </c>
      <c r="O294" s="4">
        <f t="shared" si="31"/>
        <v>0.94666666666666666</v>
      </c>
      <c r="P294" s="4">
        <f>IFERROR((K294/I294)/(INDEX(Dim_Machine!$E$2:$E$8,MATCH(D294,Dim_Machine!$A$2:$A$8,0))*INDEX(Dim_Machine!$D$2:$D$8,MATCH(D294,Dim_Machine!$A$2:$A$8,0))),0)</f>
        <v>0.9280247456964007</v>
      </c>
      <c r="Q294" s="4">
        <f t="shared" si="32"/>
        <v>0.98188525130096826</v>
      </c>
      <c r="R294" s="4">
        <f t="shared" si="33"/>
        <v>0.86261574074074077</v>
      </c>
      <c r="S294" s="4">
        <f>T294/0.869</f>
        <v>3.430609896432681</v>
      </c>
      <c r="T294" s="4">
        <f>M294*INDEX(Dim_Product!$C$2:$C$4,MATCH(F294,Dim_Product!$A$2:$A$4,0))/1000000</f>
        <v>2.9811999999999999</v>
      </c>
      <c r="U294" s="19">
        <f t="shared" si="34"/>
        <v>0.86899999999999999</v>
      </c>
    </row>
    <row r="295" spans="1:21" x14ac:dyDescent="0.25">
      <c r="A295" s="18" t="s">
        <v>436</v>
      </c>
      <c r="B295" s="4">
        <v>20260702</v>
      </c>
      <c r="C295" s="4">
        <v>17</v>
      </c>
      <c r="D295" s="4" t="s">
        <v>31</v>
      </c>
      <c r="E295" s="4" t="s">
        <v>16</v>
      </c>
      <c r="F295" s="4" t="s">
        <v>143</v>
      </c>
      <c r="G295" s="4">
        <v>60</v>
      </c>
      <c r="H295" s="4">
        <v>0.6</v>
      </c>
      <c r="I295" s="4">
        <f t="shared" si="28"/>
        <v>59.4</v>
      </c>
      <c r="J295" s="4">
        <f>INDEX(Dim_Machine!$E$2:$E$8,MATCH(D295,Dim_Machine!$A$2:$A$8,0))*INDEX(Dim_Machine!$D$2:$D$8,MATCH(D295,Dim_Machine!$A$2:$A$8,0))*I295</f>
        <v>38491.199999999997</v>
      </c>
      <c r="K295" s="4">
        <f>ROUND(J295*0.843,0)</f>
        <v>32448</v>
      </c>
      <c r="L295" s="4">
        <f>ROUND(K295*0.0179,0)</f>
        <v>581</v>
      </c>
      <c r="M295" s="4">
        <f t="shared" si="29"/>
        <v>31867</v>
      </c>
      <c r="N295" s="4">
        <f t="shared" si="30"/>
        <v>0.84299788003491716</v>
      </c>
      <c r="O295" s="4">
        <f t="shared" si="31"/>
        <v>0.99</v>
      </c>
      <c r="P295" s="4">
        <f>IFERROR((K295/I295)/(INDEX(Dim_Machine!$E$2:$E$8,MATCH(D295,Dim_Machine!$A$2:$A$8,0))*INDEX(Dim_Machine!$D$2:$D$8,MATCH(D295,Dim_Machine!$A$2:$A$8,0))),0)</f>
        <v>0.84299788003491716</v>
      </c>
      <c r="Q295" s="4">
        <f t="shared" si="32"/>
        <v>0.9820944280078896</v>
      </c>
      <c r="R295" s="4">
        <f t="shared" si="33"/>
        <v>0.81962448559670797</v>
      </c>
      <c r="S295" s="4">
        <f>T295/0.861</f>
        <v>7.4023228803716608</v>
      </c>
      <c r="T295" s="4">
        <f>M295*INDEX(Dim_Product!$C$2:$C$4,MATCH(F295,Dim_Product!$A$2:$A$4,0))/1000000</f>
        <v>6.3734000000000002</v>
      </c>
      <c r="U295" s="19">
        <f t="shared" si="34"/>
        <v>0.86099999999999999</v>
      </c>
    </row>
    <row r="296" spans="1:21" x14ac:dyDescent="0.25">
      <c r="A296" s="18" t="s">
        <v>437</v>
      </c>
      <c r="B296" s="4">
        <v>20260702</v>
      </c>
      <c r="C296" s="4">
        <v>18</v>
      </c>
      <c r="D296" s="4" t="s">
        <v>15</v>
      </c>
      <c r="E296" s="4" t="s">
        <v>20</v>
      </c>
      <c r="F296" s="4" t="s">
        <v>187</v>
      </c>
      <c r="G296" s="4">
        <v>60</v>
      </c>
      <c r="H296" s="4">
        <v>5.0999999999999996</v>
      </c>
      <c r="I296" s="4">
        <f t="shared" si="28"/>
        <v>54.9</v>
      </c>
      <c r="J296" s="4">
        <f>INDEX(Dim_Machine!$E$2:$E$8,MATCH(D296,Dim_Machine!$A$2:$A$8,0))*INDEX(Dim_Machine!$D$2:$D$8,MATCH(D296,Dim_Machine!$A$2:$A$8,0))*I296</f>
        <v>21960</v>
      </c>
      <c r="K296" s="4">
        <f>ROUND(J296*0.838,0)</f>
        <v>18402</v>
      </c>
      <c r="L296" s="4">
        <f>ROUND(K296*0.0172,0)</f>
        <v>317</v>
      </c>
      <c r="M296" s="4">
        <f t="shared" si="29"/>
        <v>18085</v>
      </c>
      <c r="N296" s="4">
        <f t="shared" si="30"/>
        <v>0.83797814207650279</v>
      </c>
      <c r="O296" s="4">
        <f t="shared" si="31"/>
        <v>0.91499999999999992</v>
      </c>
      <c r="P296" s="4">
        <f>IFERROR((K296/I296)/(INDEX(Dim_Machine!$E$2:$E$8,MATCH(D296,Dim_Machine!$A$2:$A$8,0))*INDEX(Dim_Machine!$D$2:$D$8,MATCH(D296,Dim_Machine!$A$2:$A$8,0))),0)</f>
        <v>0.83797814207650279</v>
      </c>
      <c r="Q296" s="4">
        <f t="shared" si="32"/>
        <v>0.98277361156396048</v>
      </c>
      <c r="R296" s="4">
        <f t="shared" si="33"/>
        <v>0.75354166666666667</v>
      </c>
      <c r="S296" s="4">
        <f>T296/0.945</f>
        <v>5.7412698412698422</v>
      </c>
      <c r="T296" s="4">
        <f>M296*INDEX(Dim_Product!$C$2:$C$4,MATCH(F296,Dim_Product!$A$2:$A$4,0))/1000000</f>
        <v>5.4255000000000004</v>
      </c>
      <c r="U296" s="19">
        <f t="shared" si="34"/>
        <v>0.94499999999999995</v>
      </c>
    </row>
    <row r="297" spans="1:21" x14ac:dyDescent="0.25">
      <c r="A297" s="18" t="s">
        <v>438</v>
      </c>
      <c r="B297" s="4">
        <v>20260702</v>
      </c>
      <c r="C297" s="4">
        <v>18</v>
      </c>
      <c r="D297" s="4" t="s">
        <v>19</v>
      </c>
      <c r="E297" s="4" t="s">
        <v>20</v>
      </c>
      <c r="F297" s="4" t="s">
        <v>141</v>
      </c>
      <c r="G297" s="4">
        <v>60</v>
      </c>
      <c r="H297" s="4">
        <v>1.4</v>
      </c>
      <c r="I297" s="4">
        <f t="shared" si="28"/>
        <v>58.6</v>
      </c>
      <c r="J297" s="4">
        <f>INDEX(Dim_Machine!$E$2:$E$8,MATCH(D297,Dim_Machine!$A$2:$A$8,0))*INDEX(Dim_Machine!$D$2:$D$8,MATCH(D297,Dim_Machine!$A$2:$A$8,0))*I297</f>
        <v>39379.200000000004</v>
      </c>
      <c r="K297" s="4">
        <f>ROUND(J297*0.97,0)</f>
        <v>38198</v>
      </c>
      <c r="L297" s="4">
        <f>ROUND(K297*0.0188,0)</f>
        <v>718</v>
      </c>
      <c r="M297" s="4">
        <f t="shared" si="29"/>
        <v>37480</v>
      </c>
      <c r="N297" s="4">
        <f t="shared" si="30"/>
        <v>0.97000446936453755</v>
      </c>
      <c r="O297" s="4">
        <f t="shared" si="31"/>
        <v>0.97666666666666668</v>
      </c>
      <c r="P297" s="4">
        <f>IFERROR((K297/I297)/(INDEX(Dim_Machine!$E$2:$E$8,MATCH(D297,Dim_Machine!$A$2:$A$8,0))*INDEX(Dim_Machine!$D$2:$D$8,MATCH(D297,Dim_Machine!$A$2:$A$8,0))),0)</f>
        <v>0.97000446936453766</v>
      </c>
      <c r="Q297" s="4">
        <f t="shared" si="32"/>
        <v>0.98120320435624897</v>
      </c>
      <c r="R297" s="4">
        <f t="shared" si="33"/>
        <v>0.92956349206349209</v>
      </c>
      <c r="S297" s="4">
        <f>T297/0.903</f>
        <v>10.376522702104097</v>
      </c>
      <c r="T297" s="4">
        <f>M297*INDEX(Dim_Product!$C$2:$C$4,MATCH(F297,Dim_Product!$A$2:$A$4,0))/1000000</f>
        <v>9.3699999999999992</v>
      </c>
      <c r="U297" s="19">
        <f t="shared" si="34"/>
        <v>0.90299999999999991</v>
      </c>
    </row>
    <row r="298" spans="1:21" x14ac:dyDescent="0.25">
      <c r="A298" s="18" t="s">
        <v>439</v>
      </c>
      <c r="B298" s="4">
        <v>20260702</v>
      </c>
      <c r="C298" s="4">
        <v>18</v>
      </c>
      <c r="D298" s="4" t="s">
        <v>23</v>
      </c>
      <c r="E298" s="4" t="s">
        <v>20</v>
      </c>
      <c r="F298" s="4" t="s">
        <v>141</v>
      </c>
      <c r="G298" s="4">
        <v>60</v>
      </c>
      <c r="H298" s="4">
        <v>2.9</v>
      </c>
      <c r="I298" s="4">
        <f t="shared" si="28"/>
        <v>57.1</v>
      </c>
      <c r="J298" s="4">
        <f>INDEX(Dim_Machine!$E$2:$E$8,MATCH(D298,Dim_Machine!$A$2:$A$8,0))*INDEX(Dim_Machine!$D$2:$D$8,MATCH(D298,Dim_Machine!$A$2:$A$8,0))*I298</f>
        <v>15074.4</v>
      </c>
      <c r="K298" s="4">
        <f>ROUND(J298*0.867,0)</f>
        <v>13070</v>
      </c>
      <c r="L298" s="4">
        <f>ROUND(K298*0.0082,0)</f>
        <v>107</v>
      </c>
      <c r="M298" s="4">
        <f t="shared" si="29"/>
        <v>12963</v>
      </c>
      <c r="N298" s="4">
        <f t="shared" si="30"/>
        <v>0.86703285039537226</v>
      </c>
      <c r="O298" s="4">
        <f t="shared" si="31"/>
        <v>0.95166666666666666</v>
      </c>
      <c r="P298" s="4">
        <f>IFERROR((K298/I298)/(INDEX(Dim_Machine!$E$2:$E$8,MATCH(D298,Dim_Machine!$A$2:$A$8,0))*INDEX(Dim_Machine!$D$2:$D$8,MATCH(D298,Dim_Machine!$A$2:$A$8,0))),0)</f>
        <v>0.86703285039537226</v>
      </c>
      <c r="Q298" s="4">
        <f t="shared" si="32"/>
        <v>0.99181331293037489</v>
      </c>
      <c r="R298" s="4">
        <f t="shared" si="33"/>
        <v>0.818371212121212</v>
      </c>
      <c r="S298" s="4">
        <f>T298/0.865</f>
        <v>3.7465317919075143</v>
      </c>
      <c r="T298" s="4">
        <f>M298*INDEX(Dim_Product!$C$2:$C$4,MATCH(F298,Dim_Product!$A$2:$A$4,0))/1000000</f>
        <v>3.2407499999999998</v>
      </c>
      <c r="U298" s="19">
        <f t="shared" si="34"/>
        <v>0.86499999999999999</v>
      </c>
    </row>
    <row r="299" spans="1:21" x14ac:dyDescent="0.25">
      <c r="A299" s="18" t="s">
        <v>440</v>
      </c>
      <c r="B299" s="4">
        <v>20260702</v>
      </c>
      <c r="C299" s="4">
        <v>18</v>
      </c>
      <c r="D299" s="4" t="s">
        <v>25</v>
      </c>
      <c r="E299" s="4" t="s">
        <v>20</v>
      </c>
      <c r="F299" s="4" t="s">
        <v>143</v>
      </c>
      <c r="G299" s="4">
        <v>60</v>
      </c>
      <c r="H299" s="4">
        <v>3.2</v>
      </c>
      <c r="I299" s="4">
        <f t="shared" si="28"/>
        <v>56.8</v>
      </c>
      <c r="J299" s="4">
        <f>INDEX(Dim_Machine!$E$2:$E$8,MATCH(D299,Dim_Machine!$A$2:$A$8,0))*INDEX(Dim_Machine!$D$2:$D$8,MATCH(D299,Dim_Machine!$A$2:$A$8,0))*I299</f>
        <v>40896</v>
      </c>
      <c r="K299" s="4">
        <f>ROUND(J299*0.796,0)</f>
        <v>32553</v>
      </c>
      <c r="L299" s="4">
        <f>ROUND(K299*0.0311,0)</f>
        <v>1012</v>
      </c>
      <c r="M299" s="4">
        <f t="shared" si="29"/>
        <v>31541</v>
      </c>
      <c r="N299" s="4">
        <f t="shared" si="30"/>
        <v>0.79599471830985913</v>
      </c>
      <c r="O299" s="4">
        <f t="shared" si="31"/>
        <v>0.94666666666666666</v>
      </c>
      <c r="P299" s="4">
        <f>IFERROR((K299/I299)/(INDEX(Dim_Machine!$E$2:$E$8,MATCH(D299,Dim_Machine!$A$2:$A$8,0))*INDEX(Dim_Machine!$D$2:$D$8,MATCH(D299,Dim_Machine!$A$2:$A$8,0))),0)</f>
        <v>0.79599471830985924</v>
      </c>
      <c r="Q299" s="4">
        <f t="shared" si="32"/>
        <v>0.96891223543145022</v>
      </c>
      <c r="R299" s="4">
        <f t="shared" si="33"/>
        <v>0.73011574074074082</v>
      </c>
      <c r="S299" s="4">
        <f>T299/0.912</f>
        <v>6.9168859649122805</v>
      </c>
      <c r="T299" s="4">
        <f>M299*INDEX(Dim_Product!$C$2:$C$4,MATCH(F299,Dim_Product!$A$2:$A$4,0))/1000000</f>
        <v>6.3082000000000003</v>
      </c>
      <c r="U299" s="19">
        <f t="shared" si="34"/>
        <v>0.91200000000000003</v>
      </c>
    </row>
    <row r="300" spans="1:21" x14ac:dyDescent="0.25">
      <c r="A300" s="18" t="s">
        <v>441</v>
      </c>
      <c r="B300" s="4">
        <v>20260702</v>
      </c>
      <c r="C300" s="4">
        <v>18</v>
      </c>
      <c r="D300" s="4" t="s">
        <v>27</v>
      </c>
      <c r="E300" s="4" t="s">
        <v>20</v>
      </c>
      <c r="F300" s="4" t="s">
        <v>141</v>
      </c>
      <c r="G300" s="4">
        <v>60</v>
      </c>
      <c r="H300" s="4">
        <v>1.8</v>
      </c>
      <c r="I300" s="4">
        <f t="shared" si="28"/>
        <v>58.2</v>
      </c>
      <c r="J300" s="4">
        <f>INDEX(Dim_Machine!$E$2:$E$8,MATCH(D300,Dim_Machine!$A$2:$A$8,0))*INDEX(Dim_Machine!$D$2:$D$8,MATCH(D300,Dim_Machine!$A$2:$A$8,0))*I300</f>
        <v>24211.200000000001</v>
      </c>
      <c r="K300" s="4">
        <f>ROUND(J300*0.936,0)</f>
        <v>22662</v>
      </c>
      <c r="L300" s="4">
        <f>ROUND(K300*0.0073,0)</f>
        <v>165</v>
      </c>
      <c r="M300" s="4">
        <f t="shared" si="29"/>
        <v>22497</v>
      </c>
      <c r="N300" s="4">
        <f t="shared" si="30"/>
        <v>0.93601308485329104</v>
      </c>
      <c r="O300" s="4">
        <f t="shared" si="31"/>
        <v>0.97000000000000008</v>
      </c>
      <c r="P300" s="4">
        <f>IFERROR((K300/I300)/(INDEX(Dim_Machine!$E$2:$E$8,MATCH(D300,Dim_Machine!$A$2:$A$8,0))*INDEX(Dim_Machine!$D$2:$D$8,MATCH(D300,Dim_Machine!$A$2:$A$8,0))),0)</f>
        <v>0.93601308485329093</v>
      </c>
      <c r="Q300" s="4">
        <f t="shared" si="32"/>
        <v>0.992719089224252</v>
      </c>
      <c r="R300" s="4">
        <f t="shared" si="33"/>
        <v>0.90132211538461526</v>
      </c>
      <c r="S300" s="4">
        <f>T300/0.895</f>
        <v>6.2840782122905026</v>
      </c>
      <c r="T300" s="4">
        <f>M300*INDEX(Dim_Product!$C$2:$C$4,MATCH(F300,Dim_Product!$A$2:$A$4,0))/1000000</f>
        <v>5.62425</v>
      </c>
      <c r="U300" s="19">
        <f t="shared" si="34"/>
        <v>0.89500000000000002</v>
      </c>
    </row>
    <row r="301" spans="1:21" x14ac:dyDescent="0.25">
      <c r="A301" s="18" t="s">
        <v>442</v>
      </c>
      <c r="B301" s="4">
        <v>20260702</v>
      </c>
      <c r="C301" s="4">
        <v>18</v>
      </c>
      <c r="D301" s="4" t="s">
        <v>29</v>
      </c>
      <c r="E301" s="4" t="s">
        <v>20</v>
      </c>
      <c r="F301" s="4" t="s">
        <v>141</v>
      </c>
      <c r="G301" s="4">
        <v>60</v>
      </c>
      <c r="H301" s="4">
        <v>4.2</v>
      </c>
      <c r="I301" s="4">
        <f t="shared" si="28"/>
        <v>55.8</v>
      </c>
      <c r="J301" s="4">
        <f>INDEX(Dim_Machine!$E$2:$E$8,MATCH(D301,Dim_Machine!$A$2:$A$8,0))*INDEX(Dim_Machine!$D$2:$D$8,MATCH(D301,Dim_Machine!$A$2:$A$8,0))*I301</f>
        <v>16070.4</v>
      </c>
      <c r="K301" s="4">
        <f>ROUND(J301*0.819,0)</f>
        <v>13162</v>
      </c>
      <c r="L301" s="4">
        <f>ROUND(K301*0.0283,0)</f>
        <v>372</v>
      </c>
      <c r="M301" s="4">
        <f t="shared" si="29"/>
        <v>12790</v>
      </c>
      <c r="N301" s="4">
        <f t="shared" si="30"/>
        <v>0.81902130625248903</v>
      </c>
      <c r="O301" s="4">
        <f t="shared" si="31"/>
        <v>0.92999999999999994</v>
      </c>
      <c r="P301" s="4">
        <f>IFERROR((K301/I301)/(INDEX(Dim_Machine!$E$2:$E$8,MATCH(D301,Dim_Machine!$A$2:$A$8,0))*INDEX(Dim_Machine!$D$2:$D$8,MATCH(D301,Dim_Machine!$A$2:$A$8,0))),0)</f>
        <v>0.81902130625248903</v>
      </c>
      <c r="Q301" s="4">
        <f t="shared" si="32"/>
        <v>0.97173681811274881</v>
      </c>
      <c r="R301" s="4">
        <f t="shared" si="33"/>
        <v>0.74016203703703698</v>
      </c>
      <c r="S301" s="4">
        <f>T301/0.853</f>
        <v>3.7485345838218054</v>
      </c>
      <c r="T301" s="4">
        <f>M301*INDEX(Dim_Product!$C$2:$C$4,MATCH(F301,Dim_Product!$A$2:$A$4,0))/1000000</f>
        <v>3.1974999999999998</v>
      </c>
      <c r="U301" s="19">
        <f t="shared" si="34"/>
        <v>0.85299999999999998</v>
      </c>
    </row>
    <row r="302" spans="1:21" x14ac:dyDescent="0.25">
      <c r="A302" s="18" t="s">
        <v>443</v>
      </c>
      <c r="B302" s="4">
        <v>20260702</v>
      </c>
      <c r="C302" s="4">
        <v>18</v>
      </c>
      <c r="D302" s="4" t="s">
        <v>31</v>
      </c>
      <c r="E302" s="4" t="s">
        <v>20</v>
      </c>
      <c r="F302" s="4" t="s">
        <v>143</v>
      </c>
      <c r="G302" s="4">
        <v>60</v>
      </c>
      <c r="H302" s="4">
        <v>7.7</v>
      </c>
      <c r="I302" s="4">
        <f t="shared" si="28"/>
        <v>52.3</v>
      </c>
      <c r="J302" s="4">
        <f>INDEX(Dim_Machine!$E$2:$E$8,MATCH(D302,Dim_Machine!$A$2:$A$8,0))*INDEX(Dim_Machine!$D$2:$D$8,MATCH(D302,Dim_Machine!$A$2:$A$8,0))*I302</f>
        <v>33890.400000000001</v>
      </c>
      <c r="K302" s="4">
        <f>ROUND(J302*0.909,0)</f>
        <v>30806</v>
      </c>
      <c r="L302" s="4">
        <f>ROUND(K302*0.0094,0)</f>
        <v>290</v>
      </c>
      <c r="M302" s="4">
        <f t="shared" si="29"/>
        <v>30516</v>
      </c>
      <c r="N302" s="4">
        <f t="shared" si="30"/>
        <v>0.90898897622925667</v>
      </c>
      <c r="O302" s="4">
        <f t="shared" si="31"/>
        <v>0.87166666666666659</v>
      </c>
      <c r="P302" s="4">
        <f>IFERROR((K302/I302)/(INDEX(Dim_Machine!$E$2:$E$8,MATCH(D302,Dim_Machine!$A$2:$A$8,0))*INDEX(Dim_Machine!$D$2:$D$8,MATCH(D302,Dim_Machine!$A$2:$A$8,0))),0)</f>
        <v>0.90898897622925678</v>
      </c>
      <c r="Q302" s="4">
        <f t="shared" si="32"/>
        <v>0.99058624943192886</v>
      </c>
      <c r="R302" s="4">
        <f t="shared" si="33"/>
        <v>0.78487654320987654</v>
      </c>
      <c r="S302" s="4">
        <f>T302/0.815</f>
        <v>7.4885889570552155</v>
      </c>
      <c r="T302" s="4">
        <f>M302*INDEX(Dim_Product!$C$2:$C$4,MATCH(F302,Dim_Product!$A$2:$A$4,0))/1000000</f>
        <v>6.1032000000000002</v>
      </c>
      <c r="U302" s="19">
        <f t="shared" si="34"/>
        <v>0.81499999999999995</v>
      </c>
    </row>
    <row r="303" spans="1:21" x14ac:dyDescent="0.25">
      <c r="A303" s="18" t="s">
        <v>444</v>
      </c>
      <c r="B303" s="4">
        <v>20260702</v>
      </c>
      <c r="C303" s="4">
        <v>19</v>
      </c>
      <c r="D303" s="4" t="s">
        <v>15</v>
      </c>
      <c r="E303" s="4" t="s">
        <v>20</v>
      </c>
      <c r="F303" s="4" t="s">
        <v>187</v>
      </c>
      <c r="G303" s="4">
        <v>60</v>
      </c>
      <c r="H303" s="4">
        <v>2</v>
      </c>
      <c r="I303" s="4">
        <f t="shared" si="28"/>
        <v>58</v>
      </c>
      <c r="J303" s="4">
        <f>INDEX(Dim_Machine!$E$2:$E$8,MATCH(D303,Dim_Machine!$A$2:$A$8,0))*INDEX(Dim_Machine!$D$2:$D$8,MATCH(D303,Dim_Machine!$A$2:$A$8,0))*I303</f>
        <v>23200</v>
      </c>
      <c r="K303" s="4">
        <f>ROUND(J303*0.815,0)</f>
        <v>18908</v>
      </c>
      <c r="L303" s="4">
        <f>ROUND(K303*0.0096,0)</f>
        <v>182</v>
      </c>
      <c r="M303" s="4">
        <f t="shared" si="29"/>
        <v>18726</v>
      </c>
      <c r="N303" s="4">
        <f t="shared" si="30"/>
        <v>0.81499999999999995</v>
      </c>
      <c r="O303" s="4">
        <f t="shared" si="31"/>
        <v>0.96666666666666667</v>
      </c>
      <c r="P303" s="4">
        <f>IFERROR((K303/I303)/(INDEX(Dim_Machine!$E$2:$E$8,MATCH(D303,Dim_Machine!$A$2:$A$8,0))*INDEX(Dim_Machine!$D$2:$D$8,MATCH(D303,Dim_Machine!$A$2:$A$8,0))),0)</f>
        <v>0.81499999999999995</v>
      </c>
      <c r="Q303" s="4">
        <f t="shared" si="32"/>
        <v>0.99037444467950075</v>
      </c>
      <c r="R303" s="4">
        <f t="shared" si="33"/>
        <v>0.78025</v>
      </c>
      <c r="S303" s="4">
        <f>T303/0.914</f>
        <v>6.1463894967177239</v>
      </c>
      <c r="T303" s="4">
        <f>M303*INDEX(Dim_Product!$C$2:$C$4,MATCH(F303,Dim_Product!$A$2:$A$4,0))/1000000</f>
        <v>5.6177999999999999</v>
      </c>
      <c r="U303" s="19">
        <f t="shared" si="34"/>
        <v>0.91400000000000003</v>
      </c>
    </row>
    <row r="304" spans="1:21" x14ac:dyDescent="0.25">
      <c r="A304" s="18" t="s">
        <v>445</v>
      </c>
      <c r="B304" s="4">
        <v>20260702</v>
      </c>
      <c r="C304" s="4">
        <v>19</v>
      </c>
      <c r="D304" s="4" t="s">
        <v>19</v>
      </c>
      <c r="E304" s="4" t="s">
        <v>20</v>
      </c>
      <c r="F304" s="4" t="s">
        <v>141</v>
      </c>
      <c r="G304" s="4">
        <v>60</v>
      </c>
      <c r="H304" s="4">
        <v>0.6</v>
      </c>
      <c r="I304" s="4">
        <f t="shared" si="28"/>
        <v>59.4</v>
      </c>
      <c r="J304" s="4">
        <f>INDEX(Dim_Machine!$E$2:$E$8,MATCH(D304,Dim_Machine!$A$2:$A$8,0))*INDEX(Dim_Machine!$D$2:$D$8,MATCH(D304,Dim_Machine!$A$2:$A$8,0))*I304</f>
        <v>39916.799999999996</v>
      </c>
      <c r="K304" s="4">
        <f>ROUND(J304*0.97,0)</f>
        <v>38719</v>
      </c>
      <c r="L304" s="4">
        <f>ROUND(K304*0.0238,0)</f>
        <v>922</v>
      </c>
      <c r="M304" s="4">
        <f t="shared" si="29"/>
        <v>37797</v>
      </c>
      <c r="N304" s="4">
        <f t="shared" si="30"/>
        <v>0.96999258457591797</v>
      </c>
      <c r="O304" s="4">
        <f t="shared" si="31"/>
        <v>0.99</v>
      </c>
      <c r="P304" s="4">
        <f>IFERROR((K304/I304)/(INDEX(Dim_Machine!$E$2:$E$8,MATCH(D304,Dim_Machine!$A$2:$A$8,0))*INDEX(Dim_Machine!$D$2:$D$8,MATCH(D304,Dim_Machine!$A$2:$A$8,0))),0)</f>
        <v>0.96999258457591797</v>
      </c>
      <c r="Q304" s="4">
        <f t="shared" si="32"/>
        <v>0.97618740153413053</v>
      </c>
      <c r="R304" s="4">
        <f t="shared" si="33"/>
        <v>0.93742559523809532</v>
      </c>
      <c r="S304" s="4">
        <f>T304/0.87</f>
        <v>10.861206896551723</v>
      </c>
      <c r="T304" s="4">
        <f>M304*INDEX(Dim_Product!$C$2:$C$4,MATCH(F304,Dim_Product!$A$2:$A$4,0))/1000000</f>
        <v>9.4492499999999993</v>
      </c>
      <c r="U304" s="19">
        <f t="shared" si="34"/>
        <v>0.87</v>
      </c>
    </row>
    <row r="305" spans="1:21" x14ac:dyDescent="0.25">
      <c r="A305" s="18" t="s">
        <v>446</v>
      </c>
      <c r="B305" s="4">
        <v>20260702</v>
      </c>
      <c r="C305" s="4">
        <v>19</v>
      </c>
      <c r="D305" s="4" t="s">
        <v>23</v>
      </c>
      <c r="E305" s="4" t="s">
        <v>20</v>
      </c>
      <c r="F305" s="4" t="s">
        <v>141</v>
      </c>
      <c r="G305" s="4">
        <v>60</v>
      </c>
      <c r="H305" s="4">
        <v>4.5</v>
      </c>
      <c r="I305" s="4">
        <f t="shared" si="28"/>
        <v>55.5</v>
      </c>
      <c r="J305" s="4">
        <f>INDEX(Dim_Machine!$E$2:$E$8,MATCH(D305,Dim_Machine!$A$2:$A$8,0))*INDEX(Dim_Machine!$D$2:$D$8,MATCH(D305,Dim_Machine!$A$2:$A$8,0))*I305</f>
        <v>14652</v>
      </c>
      <c r="K305" s="4">
        <f>ROUND(J305*0.896,0)</f>
        <v>13128</v>
      </c>
      <c r="L305" s="4">
        <f>ROUND(K305*0.0254,0)</f>
        <v>333</v>
      </c>
      <c r="M305" s="4">
        <f t="shared" si="29"/>
        <v>12795</v>
      </c>
      <c r="N305" s="4">
        <f t="shared" si="30"/>
        <v>0.89598689598689596</v>
      </c>
      <c r="O305" s="4">
        <f t="shared" si="31"/>
        <v>0.92500000000000004</v>
      </c>
      <c r="P305" s="4">
        <f>IFERROR((K305/I305)/(INDEX(Dim_Machine!$E$2:$E$8,MATCH(D305,Dim_Machine!$A$2:$A$8,0))*INDEX(Dim_Machine!$D$2:$D$8,MATCH(D305,Dim_Machine!$A$2:$A$8,0))),0)</f>
        <v>0.89598689598689596</v>
      </c>
      <c r="Q305" s="4">
        <f t="shared" si="32"/>
        <v>0.97463436928702007</v>
      </c>
      <c r="R305" s="4">
        <f t="shared" si="33"/>
        <v>0.8077651515151516</v>
      </c>
      <c r="S305" s="4">
        <f>T305/0.932</f>
        <v>3.432135193133047</v>
      </c>
      <c r="T305" s="4">
        <f>M305*INDEX(Dim_Product!$C$2:$C$4,MATCH(F305,Dim_Product!$A$2:$A$4,0))/1000000</f>
        <v>3.19875</v>
      </c>
      <c r="U305" s="19">
        <f t="shared" si="34"/>
        <v>0.93200000000000005</v>
      </c>
    </row>
    <row r="306" spans="1:21" x14ac:dyDescent="0.25">
      <c r="A306" s="18" t="s">
        <v>447</v>
      </c>
      <c r="B306" s="4">
        <v>20260702</v>
      </c>
      <c r="C306" s="4">
        <v>19</v>
      </c>
      <c r="D306" s="4" t="s">
        <v>25</v>
      </c>
      <c r="E306" s="4" t="s">
        <v>20</v>
      </c>
      <c r="F306" s="4" t="s">
        <v>143</v>
      </c>
      <c r="G306" s="4">
        <v>60</v>
      </c>
      <c r="H306" s="4">
        <v>5.0999999999999996</v>
      </c>
      <c r="I306" s="4">
        <f t="shared" si="28"/>
        <v>54.9</v>
      </c>
      <c r="J306" s="4">
        <f>INDEX(Dim_Machine!$E$2:$E$8,MATCH(D306,Dim_Machine!$A$2:$A$8,0))*INDEX(Dim_Machine!$D$2:$D$8,MATCH(D306,Dim_Machine!$A$2:$A$8,0))*I306</f>
        <v>39528</v>
      </c>
      <c r="K306" s="4">
        <f>ROUND(J306*0.977,0)</f>
        <v>38619</v>
      </c>
      <c r="L306" s="4">
        <f>ROUND(K306*0.0147,0)</f>
        <v>568</v>
      </c>
      <c r="M306" s="4">
        <f t="shared" si="29"/>
        <v>38051</v>
      </c>
      <c r="N306" s="4">
        <f t="shared" si="30"/>
        <v>0.97700364298724951</v>
      </c>
      <c r="O306" s="4">
        <f t="shared" si="31"/>
        <v>0.91499999999999992</v>
      </c>
      <c r="P306" s="4">
        <f>IFERROR((K306/I306)/(INDEX(Dim_Machine!$E$2:$E$8,MATCH(D306,Dim_Machine!$A$2:$A$8,0))*INDEX(Dim_Machine!$D$2:$D$8,MATCH(D306,Dim_Machine!$A$2:$A$8,0))),0)</f>
        <v>0.97700364298724951</v>
      </c>
      <c r="Q306" s="4">
        <f t="shared" si="32"/>
        <v>0.98529221367720554</v>
      </c>
      <c r="R306" s="4">
        <f t="shared" si="33"/>
        <v>0.88081018518518506</v>
      </c>
      <c r="S306" s="4">
        <f>T306/0.946</f>
        <v>8.0446088794925998</v>
      </c>
      <c r="T306" s="4">
        <f>M306*INDEX(Dim_Product!$C$2:$C$4,MATCH(F306,Dim_Product!$A$2:$A$4,0))/1000000</f>
        <v>7.6101999999999999</v>
      </c>
      <c r="U306" s="19">
        <f t="shared" si="34"/>
        <v>0.94600000000000006</v>
      </c>
    </row>
    <row r="307" spans="1:21" x14ac:dyDescent="0.25">
      <c r="A307" s="18" t="s">
        <v>448</v>
      </c>
      <c r="B307" s="4">
        <v>20260702</v>
      </c>
      <c r="C307" s="4">
        <v>19</v>
      </c>
      <c r="D307" s="4" t="s">
        <v>27</v>
      </c>
      <c r="E307" s="4" t="s">
        <v>20</v>
      </c>
      <c r="F307" s="4" t="s">
        <v>141</v>
      </c>
      <c r="G307" s="4">
        <v>60</v>
      </c>
      <c r="H307" s="4">
        <v>2.5</v>
      </c>
      <c r="I307" s="4">
        <f t="shared" si="28"/>
        <v>57.5</v>
      </c>
      <c r="J307" s="4">
        <f>INDEX(Dim_Machine!$E$2:$E$8,MATCH(D307,Dim_Machine!$A$2:$A$8,0))*INDEX(Dim_Machine!$D$2:$D$8,MATCH(D307,Dim_Machine!$A$2:$A$8,0))*I307</f>
        <v>23920</v>
      </c>
      <c r="K307" s="4">
        <f>ROUND(J307*0.868,0)</f>
        <v>20763</v>
      </c>
      <c r="L307" s="4">
        <f>ROUND(K307*0.0191,0)</f>
        <v>397</v>
      </c>
      <c r="M307" s="4">
        <f t="shared" si="29"/>
        <v>20366</v>
      </c>
      <c r="N307" s="4">
        <f t="shared" si="30"/>
        <v>0.86801839464882946</v>
      </c>
      <c r="O307" s="4">
        <f t="shared" si="31"/>
        <v>0.95833333333333337</v>
      </c>
      <c r="P307" s="4">
        <f>IFERROR((K307/I307)/(INDEX(Dim_Machine!$E$2:$E$8,MATCH(D307,Dim_Machine!$A$2:$A$8,0))*INDEX(Dim_Machine!$D$2:$D$8,MATCH(D307,Dim_Machine!$A$2:$A$8,0))),0)</f>
        <v>0.86801839464882946</v>
      </c>
      <c r="Q307" s="4">
        <f t="shared" si="32"/>
        <v>0.9808794490198911</v>
      </c>
      <c r="R307" s="4">
        <f t="shared" si="33"/>
        <v>0.81594551282051286</v>
      </c>
      <c r="S307" s="4">
        <f>T307/0.895</f>
        <v>5.6888268156424582</v>
      </c>
      <c r="T307" s="4">
        <f>M307*INDEX(Dim_Product!$C$2:$C$4,MATCH(F307,Dim_Product!$A$2:$A$4,0))/1000000</f>
        <v>5.0914999999999999</v>
      </c>
      <c r="U307" s="19">
        <f t="shared" si="34"/>
        <v>0.89500000000000002</v>
      </c>
    </row>
    <row r="308" spans="1:21" x14ac:dyDescent="0.25">
      <c r="A308" s="18" t="s">
        <v>449</v>
      </c>
      <c r="B308" s="4">
        <v>20260702</v>
      </c>
      <c r="C308" s="4">
        <v>19</v>
      </c>
      <c r="D308" s="4" t="s">
        <v>29</v>
      </c>
      <c r="E308" s="4" t="s">
        <v>20</v>
      </c>
      <c r="F308" s="4" t="s">
        <v>141</v>
      </c>
      <c r="G308" s="4">
        <v>60</v>
      </c>
      <c r="H308" s="4">
        <v>6.4</v>
      </c>
      <c r="I308" s="4">
        <f t="shared" si="28"/>
        <v>53.6</v>
      </c>
      <c r="J308" s="4">
        <f>INDEX(Dim_Machine!$E$2:$E$8,MATCH(D308,Dim_Machine!$A$2:$A$8,0))*INDEX(Dim_Machine!$D$2:$D$8,MATCH(D308,Dim_Machine!$A$2:$A$8,0))*I308</f>
        <v>15436.800000000001</v>
      </c>
      <c r="K308" s="4">
        <f>ROUND(J308*0.898,0)</f>
        <v>13862</v>
      </c>
      <c r="L308" s="4">
        <f>ROUND(K308*0.0156,0)</f>
        <v>216</v>
      </c>
      <c r="M308" s="4">
        <f t="shared" si="29"/>
        <v>13646</v>
      </c>
      <c r="N308" s="4">
        <f t="shared" si="30"/>
        <v>0.89798403814262018</v>
      </c>
      <c r="O308" s="4">
        <f t="shared" si="31"/>
        <v>0.89333333333333331</v>
      </c>
      <c r="P308" s="4">
        <f>IFERROR((K308/I308)/(INDEX(Dim_Machine!$E$2:$E$8,MATCH(D308,Dim_Machine!$A$2:$A$8,0))*INDEX(Dim_Machine!$D$2:$D$8,MATCH(D308,Dim_Machine!$A$2:$A$8,0))),0)</f>
        <v>0.89798403814262018</v>
      </c>
      <c r="Q308" s="4">
        <f t="shared" si="32"/>
        <v>0.98441783292454188</v>
      </c>
      <c r="R308" s="4">
        <f t="shared" si="33"/>
        <v>0.78969907407407391</v>
      </c>
      <c r="S308" s="4">
        <f>T308/0.811</f>
        <v>4.2065351418002468</v>
      </c>
      <c r="T308" s="4">
        <f>M308*INDEX(Dim_Product!$C$2:$C$4,MATCH(F308,Dim_Product!$A$2:$A$4,0))/1000000</f>
        <v>3.4115000000000002</v>
      </c>
      <c r="U308" s="19">
        <f t="shared" si="34"/>
        <v>0.81100000000000005</v>
      </c>
    </row>
    <row r="309" spans="1:21" x14ac:dyDescent="0.25">
      <c r="A309" s="18" t="s">
        <v>450</v>
      </c>
      <c r="B309" s="4">
        <v>20260702</v>
      </c>
      <c r="C309" s="4">
        <v>19</v>
      </c>
      <c r="D309" s="4" t="s">
        <v>31</v>
      </c>
      <c r="E309" s="4" t="s">
        <v>20</v>
      </c>
      <c r="F309" s="4" t="s">
        <v>143</v>
      </c>
      <c r="G309" s="4">
        <v>60</v>
      </c>
      <c r="H309" s="4">
        <v>3.7</v>
      </c>
      <c r="I309" s="4">
        <f t="shared" si="28"/>
        <v>56.3</v>
      </c>
      <c r="J309" s="4">
        <f>INDEX(Dim_Machine!$E$2:$E$8,MATCH(D309,Dim_Machine!$A$2:$A$8,0))*INDEX(Dim_Machine!$D$2:$D$8,MATCH(D309,Dim_Machine!$A$2:$A$8,0))*I309</f>
        <v>36482.400000000001</v>
      </c>
      <c r="K309" s="4">
        <f>ROUND(J309*0.788,0)</f>
        <v>28748</v>
      </c>
      <c r="L309" s="4">
        <f>ROUND(K309*0.0161,0)</f>
        <v>463</v>
      </c>
      <c r="M309" s="4">
        <f t="shared" si="29"/>
        <v>28285</v>
      </c>
      <c r="N309" s="4">
        <f t="shared" si="30"/>
        <v>0.78799640374536761</v>
      </c>
      <c r="O309" s="4">
        <f t="shared" si="31"/>
        <v>0.93833333333333324</v>
      </c>
      <c r="P309" s="4">
        <f>IFERROR((K309/I309)/(INDEX(Dim_Machine!$E$2:$E$8,MATCH(D309,Dim_Machine!$A$2:$A$8,0))*INDEX(Dim_Machine!$D$2:$D$8,MATCH(D309,Dim_Machine!$A$2:$A$8,0))),0)</f>
        <v>0.78799640374536772</v>
      </c>
      <c r="Q309" s="4">
        <f t="shared" si="32"/>
        <v>0.98389453179351605</v>
      </c>
      <c r="R309" s="4">
        <f t="shared" si="33"/>
        <v>0.72749485596707819</v>
      </c>
      <c r="S309" s="4">
        <f>T309/0.843</f>
        <v>6.71055753262159</v>
      </c>
      <c r="T309" s="4">
        <f>M309*INDEX(Dim_Product!$C$2:$C$4,MATCH(F309,Dim_Product!$A$2:$A$4,0))/1000000</f>
        <v>5.657</v>
      </c>
      <c r="U309" s="19">
        <f t="shared" si="34"/>
        <v>0.84299999999999997</v>
      </c>
    </row>
    <row r="310" spans="1:21" x14ac:dyDescent="0.25">
      <c r="A310" s="18" t="s">
        <v>451</v>
      </c>
      <c r="B310" s="4">
        <v>20260702</v>
      </c>
      <c r="C310" s="4">
        <v>20</v>
      </c>
      <c r="D310" s="4" t="s">
        <v>15</v>
      </c>
      <c r="E310" s="4" t="s">
        <v>20</v>
      </c>
      <c r="F310" s="4" t="s">
        <v>187</v>
      </c>
      <c r="G310" s="4">
        <v>60</v>
      </c>
      <c r="H310" s="4">
        <v>5.2</v>
      </c>
      <c r="I310" s="4">
        <f t="shared" si="28"/>
        <v>54.8</v>
      </c>
      <c r="J310" s="4">
        <f>INDEX(Dim_Machine!$E$2:$E$8,MATCH(D310,Dim_Machine!$A$2:$A$8,0))*INDEX(Dim_Machine!$D$2:$D$8,MATCH(D310,Dim_Machine!$A$2:$A$8,0))*I310</f>
        <v>21920</v>
      </c>
      <c r="K310" s="4">
        <f>ROUND(J310*0.975,0)</f>
        <v>21372</v>
      </c>
      <c r="L310" s="4">
        <f>ROUND(K310*0.0077,0)</f>
        <v>165</v>
      </c>
      <c r="M310" s="4">
        <f t="shared" si="29"/>
        <v>21207</v>
      </c>
      <c r="N310" s="4">
        <f t="shared" si="30"/>
        <v>0.97499999999999998</v>
      </c>
      <c r="O310" s="4">
        <f t="shared" si="31"/>
        <v>0.91333333333333333</v>
      </c>
      <c r="P310" s="4">
        <f>IFERROR((K310/I310)/(INDEX(Dim_Machine!$E$2:$E$8,MATCH(D310,Dim_Machine!$A$2:$A$8,0))*INDEX(Dim_Machine!$D$2:$D$8,MATCH(D310,Dim_Machine!$A$2:$A$8,0))),0)</f>
        <v>0.97499999999999998</v>
      </c>
      <c r="Q310" s="4">
        <f t="shared" si="32"/>
        <v>0.99227961819202692</v>
      </c>
      <c r="R310" s="4">
        <f t="shared" si="33"/>
        <v>0.88362499999999988</v>
      </c>
      <c r="S310" s="4">
        <f>T310/0.889</f>
        <v>7.1564679415073114</v>
      </c>
      <c r="T310" s="4">
        <f>M310*INDEX(Dim_Product!$C$2:$C$4,MATCH(F310,Dim_Product!$A$2:$A$4,0))/1000000</f>
        <v>6.3620999999999999</v>
      </c>
      <c r="U310" s="19">
        <f t="shared" si="34"/>
        <v>0.88900000000000001</v>
      </c>
    </row>
    <row r="311" spans="1:21" x14ac:dyDescent="0.25">
      <c r="A311" s="18" t="s">
        <v>452</v>
      </c>
      <c r="B311" s="4">
        <v>20260702</v>
      </c>
      <c r="C311" s="4">
        <v>20</v>
      </c>
      <c r="D311" s="4" t="s">
        <v>19</v>
      </c>
      <c r="E311" s="4" t="s">
        <v>20</v>
      </c>
      <c r="F311" s="4" t="s">
        <v>141</v>
      </c>
      <c r="G311" s="4">
        <v>60</v>
      </c>
      <c r="H311" s="4">
        <v>3.1</v>
      </c>
      <c r="I311" s="4">
        <f t="shared" si="28"/>
        <v>56.9</v>
      </c>
      <c r="J311" s="4">
        <f>INDEX(Dim_Machine!$E$2:$E$8,MATCH(D311,Dim_Machine!$A$2:$A$8,0))*INDEX(Dim_Machine!$D$2:$D$8,MATCH(D311,Dim_Machine!$A$2:$A$8,0))*I311</f>
        <v>38236.799999999996</v>
      </c>
      <c r="K311" s="4">
        <f>ROUND(J311*0.896,0)</f>
        <v>34260</v>
      </c>
      <c r="L311" s="4">
        <f>ROUND(K311*0.0336,0)</f>
        <v>1151</v>
      </c>
      <c r="M311" s="4">
        <f t="shared" si="29"/>
        <v>33109</v>
      </c>
      <c r="N311" s="4">
        <f t="shared" si="30"/>
        <v>0.89599548079337188</v>
      </c>
      <c r="O311" s="4">
        <f t="shared" si="31"/>
        <v>0.94833333333333336</v>
      </c>
      <c r="P311" s="4">
        <f>IFERROR((K311/I311)/(INDEX(Dim_Machine!$E$2:$E$8,MATCH(D311,Dim_Machine!$A$2:$A$8,0))*INDEX(Dim_Machine!$D$2:$D$8,MATCH(D311,Dim_Machine!$A$2:$A$8,0))),0)</f>
        <v>0.89599548079337188</v>
      </c>
      <c r="Q311" s="4">
        <f t="shared" si="32"/>
        <v>0.96640396964389963</v>
      </c>
      <c r="R311" s="4">
        <f t="shared" si="33"/>
        <v>0.82115575396825413</v>
      </c>
      <c r="S311" s="4">
        <f>T311/0.911</f>
        <v>9.0858946212952798</v>
      </c>
      <c r="T311" s="4">
        <f>M311*INDEX(Dim_Product!$C$2:$C$4,MATCH(F311,Dim_Product!$A$2:$A$4,0))/1000000</f>
        <v>8.2772500000000004</v>
      </c>
      <c r="U311" s="19">
        <f t="shared" si="34"/>
        <v>0.91100000000000003</v>
      </c>
    </row>
    <row r="312" spans="1:21" x14ac:dyDescent="0.25">
      <c r="A312" s="18" t="s">
        <v>453</v>
      </c>
      <c r="B312" s="4">
        <v>20260702</v>
      </c>
      <c r="C312" s="4">
        <v>20</v>
      </c>
      <c r="D312" s="4" t="s">
        <v>23</v>
      </c>
      <c r="E312" s="4" t="s">
        <v>20</v>
      </c>
      <c r="F312" s="4" t="s">
        <v>141</v>
      </c>
      <c r="G312" s="4">
        <v>60</v>
      </c>
      <c r="H312" s="4">
        <v>0.3</v>
      </c>
      <c r="I312" s="4">
        <f t="shared" si="28"/>
        <v>59.7</v>
      </c>
      <c r="J312" s="4">
        <f>INDEX(Dim_Machine!$E$2:$E$8,MATCH(D312,Dim_Machine!$A$2:$A$8,0))*INDEX(Dim_Machine!$D$2:$D$8,MATCH(D312,Dim_Machine!$A$2:$A$8,0))*I312</f>
        <v>15760.800000000001</v>
      </c>
      <c r="K312" s="4">
        <f>ROUND(J312*0.962,0)</f>
        <v>15162</v>
      </c>
      <c r="L312" s="4">
        <f>ROUND(K312*0.0221,0)</f>
        <v>335</v>
      </c>
      <c r="M312" s="4">
        <f t="shared" si="29"/>
        <v>14827</v>
      </c>
      <c r="N312" s="4">
        <f t="shared" si="30"/>
        <v>0.96200700472057254</v>
      </c>
      <c r="O312" s="4">
        <f t="shared" si="31"/>
        <v>0.995</v>
      </c>
      <c r="P312" s="4">
        <f>IFERROR((K312/I312)/(INDEX(Dim_Machine!$E$2:$E$8,MATCH(D312,Dim_Machine!$A$2:$A$8,0))*INDEX(Dim_Machine!$D$2:$D$8,MATCH(D312,Dim_Machine!$A$2:$A$8,0))),0)</f>
        <v>0.96200700472057254</v>
      </c>
      <c r="Q312" s="4">
        <f t="shared" si="32"/>
        <v>0.97790528953963862</v>
      </c>
      <c r="R312" s="4">
        <f t="shared" si="33"/>
        <v>0.93604797979797982</v>
      </c>
      <c r="S312" s="4">
        <f>T312/0.828</f>
        <v>4.4767512077294684</v>
      </c>
      <c r="T312" s="4">
        <f>M312*INDEX(Dim_Product!$C$2:$C$4,MATCH(F312,Dim_Product!$A$2:$A$4,0))/1000000</f>
        <v>3.70675</v>
      </c>
      <c r="U312" s="19">
        <f t="shared" si="34"/>
        <v>0.82800000000000007</v>
      </c>
    </row>
    <row r="313" spans="1:21" x14ac:dyDescent="0.25">
      <c r="A313" s="18" t="s">
        <v>454</v>
      </c>
      <c r="B313" s="4">
        <v>20260702</v>
      </c>
      <c r="C313" s="4">
        <v>20</v>
      </c>
      <c r="D313" s="4" t="s">
        <v>25</v>
      </c>
      <c r="E313" s="4" t="s">
        <v>20</v>
      </c>
      <c r="F313" s="4" t="s">
        <v>143</v>
      </c>
      <c r="G313" s="4">
        <v>60</v>
      </c>
      <c r="H313" s="4">
        <v>4.8</v>
      </c>
      <c r="I313" s="4">
        <f t="shared" si="28"/>
        <v>55.2</v>
      </c>
      <c r="J313" s="4">
        <f>INDEX(Dim_Machine!$E$2:$E$8,MATCH(D313,Dim_Machine!$A$2:$A$8,0))*INDEX(Dim_Machine!$D$2:$D$8,MATCH(D313,Dim_Machine!$A$2:$A$8,0))*I313</f>
        <v>39744</v>
      </c>
      <c r="K313" s="4">
        <f>ROUND(J313*0.88,0)</f>
        <v>34975</v>
      </c>
      <c r="L313" s="4">
        <f>ROUND(K313*0.0337,0)</f>
        <v>1179</v>
      </c>
      <c r="M313" s="4">
        <f t="shared" si="29"/>
        <v>33796</v>
      </c>
      <c r="N313" s="4">
        <f t="shared" si="30"/>
        <v>0.88000704508856686</v>
      </c>
      <c r="O313" s="4">
        <f t="shared" si="31"/>
        <v>0.92</v>
      </c>
      <c r="P313" s="4">
        <f>IFERROR((K313/I313)/(INDEX(Dim_Machine!$E$2:$E$8,MATCH(D313,Dim_Machine!$A$2:$A$8,0))*INDEX(Dim_Machine!$D$2:$D$8,MATCH(D313,Dim_Machine!$A$2:$A$8,0))),0)</f>
        <v>0.88000704508856686</v>
      </c>
      <c r="Q313" s="4">
        <f t="shared" si="32"/>
        <v>0.96629020729092208</v>
      </c>
      <c r="R313" s="4">
        <f t="shared" si="33"/>
        <v>0.7823148148148148</v>
      </c>
      <c r="S313" s="4">
        <f>T313/0.868</f>
        <v>7.7870967741935484</v>
      </c>
      <c r="T313" s="4">
        <f>M313*INDEX(Dim_Product!$C$2:$C$4,MATCH(F313,Dim_Product!$A$2:$A$4,0))/1000000</f>
        <v>6.7591999999999999</v>
      </c>
      <c r="U313" s="19">
        <f t="shared" si="34"/>
        <v>0.86799999999999999</v>
      </c>
    </row>
    <row r="314" spans="1:21" x14ac:dyDescent="0.25">
      <c r="A314" s="18" t="s">
        <v>455</v>
      </c>
      <c r="B314" s="4">
        <v>20260702</v>
      </c>
      <c r="C314" s="4">
        <v>20</v>
      </c>
      <c r="D314" s="4" t="s">
        <v>27</v>
      </c>
      <c r="E314" s="4" t="s">
        <v>20</v>
      </c>
      <c r="F314" s="4" t="s">
        <v>141</v>
      </c>
      <c r="G314" s="4">
        <v>60</v>
      </c>
      <c r="H314" s="4">
        <v>6.5</v>
      </c>
      <c r="I314" s="4">
        <f t="shared" si="28"/>
        <v>53.5</v>
      </c>
      <c r="J314" s="4">
        <f>INDEX(Dim_Machine!$E$2:$E$8,MATCH(D314,Dim_Machine!$A$2:$A$8,0))*INDEX(Dim_Machine!$D$2:$D$8,MATCH(D314,Dim_Machine!$A$2:$A$8,0))*I314</f>
        <v>22256</v>
      </c>
      <c r="K314" s="4">
        <f>ROUND(J314*0.947,0)</f>
        <v>21076</v>
      </c>
      <c r="L314" s="4">
        <f>ROUND(K314*0.0345,0)</f>
        <v>727</v>
      </c>
      <c r="M314" s="4">
        <f t="shared" si="29"/>
        <v>20349</v>
      </c>
      <c r="N314" s="4">
        <f t="shared" si="30"/>
        <v>0.94698058950395403</v>
      </c>
      <c r="O314" s="4">
        <f t="shared" si="31"/>
        <v>0.89166666666666672</v>
      </c>
      <c r="P314" s="4">
        <f>IFERROR((K314/I314)/(INDEX(Dim_Machine!$E$2:$E$8,MATCH(D314,Dim_Machine!$A$2:$A$8,0))*INDEX(Dim_Machine!$D$2:$D$8,MATCH(D314,Dim_Machine!$A$2:$A$8,0))),0)</f>
        <v>0.94698058950395392</v>
      </c>
      <c r="Q314" s="4">
        <f t="shared" si="32"/>
        <v>0.96550578857468206</v>
      </c>
      <c r="R314" s="4">
        <f t="shared" si="33"/>
        <v>0.81526442307692304</v>
      </c>
      <c r="S314" s="4">
        <f>T314/0.813</f>
        <v>6.2573800738007384</v>
      </c>
      <c r="T314" s="4">
        <f>M314*INDEX(Dim_Product!$C$2:$C$4,MATCH(F314,Dim_Product!$A$2:$A$4,0))/1000000</f>
        <v>5.08725</v>
      </c>
      <c r="U314" s="19">
        <f t="shared" si="34"/>
        <v>0.81299999999999994</v>
      </c>
    </row>
    <row r="315" spans="1:21" x14ac:dyDescent="0.25">
      <c r="A315" s="18" t="s">
        <v>456</v>
      </c>
      <c r="B315" s="4">
        <v>20260702</v>
      </c>
      <c r="C315" s="4">
        <v>20</v>
      </c>
      <c r="D315" s="4" t="s">
        <v>29</v>
      </c>
      <c r="E315" s="4" t="s">
        <v>20</v>
      </c>
      <c r="F315" s="4" t="s">
        <v>141</v>
      </c>
      <c r="G315" s="4">
        <v>60</v>
      </c>
      <c r="H315" s="4">
        <v>5.2</v>
      </c>
      <c r="I315" s="4">
        <f t="shared" si="28"/>
        <v>54.8</v>
      </c>
      <c r="J315" s="4">
        <f>INDEX(Dim_Machine!$E$2:$E$8,MATCH(D315,Dim_Machine!$A$2:$A$8,0))*INDEX(Dim_Machine!$D$2:$D$8,MATCH(D315,Dim_Machine!$A$2:$A$8,0))*I315</f>
        <v>15782.4</v>
      </c>
      <c r="K315" s="4">
        <f>ROUND(J315*0.788,0)</f>
        <v>12437</v>
      </c>
      <c r="L315" s="4">
        <f>ROUND(K315*0.0262,0)</f>
        <v>326</v>
      </c>
      <c r="M315" s="4">
        <f t="shared" si="29"/>
        <v>12111</v>
      </c>
      <c r="N315" s="4">
        <f t="shared" si="30"/>
        <v>0.78802970397404704</v>
      </c>
      <c r="O315" s="4">
        <f t="shared" si="31"/>
        <v>0.91333333333333333</v>
      </c>
      <c r="P315" s="4">
        <f>IFERROR((K315/I315)/(INDEX(Dim_Machine!$E$2:$E$8,MATCH(D315,Dim_Machine!$A$2:$A$8,0))*INDEX(Dim_Machine!$D$2:$D$8,MATCH(D315,Dim_Machine!$A$2:$A$8,0))),0)</f>
        <v>0.78802970397404715</v>
      </c>
      <c r="Q315" s="4">
        <f t="shared" si="32"/>
        <v>0.97378789097049123</v>
      </c>
      <c r="R315" s="4">
        <f t="shared" si="33"/>
        <v>0.70086805555555565</v>
      </c>
      <c r="S315" s="4">
        <f>T315/0.949</f>
        <v>3.1904636459430984</v>
      </c>
      <c r="T315" s="4">
        <f>M315*INDEX(Dim_Product!$C$2:$C$4,MATCH(F315,Dim_Product!$A$2:$A$4,0))/1000000</f>
        <v>3.0277500000000002</v>
      </c>
      <c r="U315" s="19">
        <f t="shared" si="34"/>
        <v>0.94899999999999995</v>
      </c>
    </row>
    <row r="316" spans="1:21" x14ac:dyDescent="0.25">
      <c r="A316" s="18" t="s">
        <v>457</v>
      </c>
      <c r="B316" s="4">
        <v>20260702</v>
      </c>
      <c r="C316" s="4">
        <v>20</v>
      </c>
      <c r="D316" s="4" t="s">
        <v>31</v>
      </c>
      <c r="E316" s="4" t="s">
        <v>20</v>
      </c>
      <c r="F316" s="4" t="s">
        <v>143</v>
      </c>
      <c r="G316" s="4">
        <v>60</v>
      </c>
      <c r="H316" s="4">
        <v>4.2</v>
      </c>
      <c r="I316" s="4">
        <f t="shared" si="28"/>
        <v>55.8</v>
      </c>
      <c r="J316" s="4">
        <f>INDEX(Dim_Machine!$E$2:$E$8,MATCH(D316,Dim_Machine!$A$2:$A$8,0))*INDEX(Dim_Machine!$D$2:$D$8,MATCH(D316,Dim_Machine!$A$2:$A$8,0))*I316</f>
        <v>36158.400000000001</v>
      </c>
      <c r="K316" s="4">
        <f>ROUND(J316*0.902,0)</f>
        <v>32615</v>
      </c>
      <c r="L316" s="4">
        <f>ROUND(K316*0.0159,0)</f>
        <v>519</v>
      </c>
      <c r="M316" s="4">
        <f t="shared" si="29"/>
        <v>32096</v>
      </c>
      <c r="N316" s="4">
        <f t="shared" si="30"/>
        <v>0.90200340723040839</v>
      </c>
      <c r="O316" s="4">
        <f t="shared" si="31"/>
        <v>0.92999999999999994</v>
      </c>
      <c r="P316" s="4">
        <f>IFERROR((K316/I316)/(INDEX(Dim_Machine!$E$2:$E$8,MATCH(D316,Dim_Machine!$A$2:$A$8,0))*INDEX(Dim_Machine!$D$2:$D$8,MATCH(D316,Dim_Machine!$A$2:$A$8,0))),0)</f>
        <v>0.9020034072304085</v>
      </c>
      <c r="Q316" s="4">
        <f t="shared" si="32"/>
        <v>0.98408707649854366</v>
      </c>
      <c r="R316" s="4">
        <f t="shared" si="33"/>
        <v>0.82551440329218118</v>
      </c>
      <c r="S316" s="4">
        <f>T316/0.938</f>
        <v>6.8434968017057569</v>
      </c>
      <c r="T316" s="4">
        <f>M316*INDEX(Dim_Product!$C$2:$C$4,MATCH(F316,Dim_Product!$A$2:$A$4,0))/1000000</f>
        <v>6.4192</v>
      </c>
      <c r="U316" s="19">
        <f t="shared" si="34"/>
        <v>0.93800000000000006</v>
      </c>
    </row>
    <row r="317" spans="1:21" x14ac:dyDescent="0.25">
      <c r="A317" s="18" t="s">
        <v>458</v>
      </c>
      <c r="B317" s="4">
        <v>20260702</v>
      </c>
      <c r="C317" s="4">
        <v>21</v>
      </c>
      <c r="D317" s="4" t="s">
        <v>15</v>
      </c>
      <c r="E317" s="4" t="s">
        <v>20</v>
      </c>
      <c r="F317" s="4" t="s">
        <v>187</v>
      </c>
      <c r="G317" s="4">
        <v>60</v>
      </c>
      <c r="H317" s="4">
        <v>3.1</v>
      </c>
      <c r="I317" s="4">
        <f t="shared" si="28"/>
        <v>56.9</v>
      </c>
      <c r="J317" s="4">
        <f>INDEX(Dim_Machine!$E$2:$E$8,MATCH(D317,Dim_Machine!$A$2:$A$8,0))*INDEX(Dim_Machine!$D$2:$D$8,MATCH(D317,Dim_Machine!$A$2:$A$8,0))*I317</f>
        <v>22760</v>
      </c>
      <c r="K317" s="4">
        <f>ROUND(J317*0.935,0)</f>
        <v>21281</v>
      </c>
      <c r="L317" s="4">
        <f>ROUND(K317*0.0254,0)</f>
        <v>541</v>
      </c>
      <c r="M317" s="4">
        <f t="shared" si="29"/>
        <v>20740</v>
      </c>
      <c r="N317" s="4">
        <f t="shared" si="30"/>
        <v>0.93501757469244284</v>
      </c>
      <c r="O317" s="4">
        <f t="shared" si="31"/>
        <v>0.94833333333333336</v>
      </c>
      <c r="P317" s="4">
        <f>IFERROR((K317/I317)/(INDEX(Dim_Machine!$E$2:$E$8,MATCH(D317,Dim_Machine!$A$2:$A$8,0))*INDEX(Dim_Machine!$D$2:$D$8,MATCH(D317,Dim_Machine!$A$2:$A$8,0))),0)</f>
        <v>0.93501757469244295</v>
      </c>
      <c r="Q317" s="4">
        <f t="shared" si="32"/>
        <v>0.97457826229970401</v>
      </c>
      <c r="R317" s="4">
        <f t="shared" si="33"/>
        <v>0.86416666666666686</v>
      </c>
      <c r="S317" s="4">
        <f>T317/0.808</f>
        <v>7.7004950495049505</v>
      </c>
      <c r="T317" s="4">
        <f>M317*INDEX(Dim_Product!$C$2:$C$4,MATCH(F317,Dim_Product!$A$2:$A$4,0))/1000000</f>
        <v>6.2220000000000004</v>
      </c>
      <c r="U317" s="19">
        <f t="shared" si="34"/>
        <v>0.80800000000000005</v>
      </c>
    </row>
    <row r="318" spans="1:21" x14ac:dyDescent="0.25">
      <c r="A318" s="18" t="s">
        <v>459</v>
      </c>
      <c r="B318" s="4">
        <v>20260702</v>
      </c>
      <c r="C318" s="4">
        <v>21</v>
      </c>
      <c r="D318" s="4" t="s">
        <v>19</v>
      </c>
      <c r="E318" s="4" t="s">
        <v>20</v>
      </c>
      <c r="F318" s="4" t="s">
        <v>141</v>
      </c>
      <c r="G318" s="4">
        <v>60</v>
      </c>
      <c r="H318" s="4">
        <v>5</v>
      </c>
      <c r="I318" s="4">
        <f t="shared" si="28"/>
        <v>55</v>
      </c>
      <c r="J318" s="4">
        <f>INDEX(Dim_Machine!$E$2:$E$8,MATCH(D318,Dim_Machine!$A$2:$A$8,0))*INDEX(Dim_Machine!$D$2:$D$8,MATCH(D318,Dim_Machine!$A$2:$A$8,0))*I318</f>
        <v>36960</v>
      </c>
      <c r="K318" s="4">
        <f>ROUND(J318*0.847,0)</f>
        <v>31305</v>
      </c>
      <c r="L318" s="4">
        <f>ROUND(K318*0.0149,0)</f>
        <v>466</v>
      </c>
      <c r="M318" s="4">
        <f t="shared" si="29"/>
        <v>30839</v>
      </c>
      <c r="N318" s="4">
        <f t="shared" si="30"/>
        <v>0.84699675324675328</v>
      </c>
      <c r="O318" s="4">
        <f t="shared" si="31"/>
        <v>0.91666666666666663</v>
      </c>
      <c r="P318" s="4">
        <f>IFERROR((K318/I318)/(INDEX(Dim_Machine!$E$2:$E$8,MATCH(D318,Dim_Machine!$A$2:$A$8,0))*INDEX(Dim_Machine!$D$2:$D$8,MATCH(D318,Dim_Machine!$A$2:$A$8,0))),0)</f>
        <v>0.84699675324675316</v>
      </c>
      <c r="Q318" s="4">
        <f t="shared" si="32"/>
        <v>0.98511419900974284</v>
      </c>
      <c r="R318" s="4">
        <f t="shared" si="33"/>
        <v>0.76485615079365066</v>
      </c>
      <c r="S318" s="4">
        <f>T318/0.884</f>
        <v>8.7214366515837103</v>
      </c>
      <c r="T318" s="4">
        <f>M318*INDEX(Dim_Product!$C$2:$C$4,MATCH(F318,Dim_Product!$A$2:$A$4,0))/1000000</f>
        <v>7.7097499999999997</v>
      </c>
      <c r="U318" s="19">
        <f t="shared" si="34"/>
        <v>0.88400000000000001</v>
      </c>
    </row>
    <row r="319" spans="1:21" x14ac:dyDescent="0.25">
      <c r="A319" s="18" t="s">
        <v>460</v>
      </c>
      <c r="B319" s="4">
        <v>20260702</v>
      </c>
      <c r="C319" s="4">
        <v>21</v>
      </c>
      <c r="D319" s="4" t="s">
        <v>23</v>
      </c>
      <c r="E319" s="4" t="s">
        <v>20</v>
      </c>
      <c r="F319" s="4" t="s">
        <v>141</v>
      </c>
      <c r="G319" s="4">
        <v>60</v>
      </c>
      <c r="H319" s="4">
        <v>3.1</v>
      </c>
      <c r="I319" s="4">
        <f t="shared" si="28"/>
        <v>56.9</v>
      </c>
      <c r="J319" s="4">
        <f>INDEX(Dim_Machine!$E$2:$E$8,MATCH(D319,Dim_Machine!$A$2:$A$8,0))*INDEX(Dim_Machine!$D$2:$D$8,MATCH(D319,Dim_Machine!$A$2:$A$8,0))*I319</f>
        <v>15021.6</v>
      </c>
      <c r="K319" s="4">
        <f>ROUND(J319*0.83,0)</f>
        <v>12468</v>
      </c>
      <c r="L319" s="4">
        <f>ROUND(K319*0.0305,0)</f>
        <v>380</v>
      </c>
      <c r="M319" s="4">
        <f t="shared" si="29"/>
        <v>12088</v>
      </c>
      <c r="N319" s="4">
        <f t="shared" si="30"/>
        <v>0.83000479309793895</v>
      </c>
      <c r="O319" s="4">
        <f t="shared" si="31"/>
        <v>0.94833333333333336</v>
      </c>
      <c r="P319" s="4">
        <f>IFERROR((K319/I319)/(INDEX(Dim_Machine!$E$2:$E$8,MATCH(D319,Dim_Machine!$A$2:$A$8,0))*INDEX(Dim_Machine!$D$2:$D$8,MATCH(D319,Dim_Machine!$A$2:$A$8,0))),0)</f>
        <v>0.83000479309793906</v>
      </c>
      <c r="Q319" s="4">
        <f t="shared" si="32"/>
        <v>0.96952197625922365</v>
      </c>
      <c r="R319" s="4">
        <f t="shared" si="33"/>
        <v>0.76313131313131322</v>
      </c>
      <c r="S319" s="4">
        <f>T319/0.945</f>
        <v>3.1978835978835978</v>
      </c>
      <c r="T319" s="4">
        <f>M319*INDEX(Dim_Product!$C$2:$C$4,MATCH(F319,Dim_Product!$A$2:$A$4,0))/1000000</f>
        <v>3.0219999999999998</v>
      </c>
      <c r="U319" s="19">
        <f t="shared" si="34"/>
        <v>0.94499999999999995</v>
      </c>
    </row>
    <row r="320" spans="1:21" x14ac:dyDescent="0.25">
      <c r="A320" s="18" t="s">
        <v>461</v>
      </c>
      <c r="B320" s="4">
        <v>20260702</v>
      </c>
      <c r="C320" s="4">
        <v>21</v>
      </c>
      <c r="D320" s="4" t="s">
        <v>25</v>
      </c>
      <c r="E320" s="4" t="s">
        <v>20</v>
      </c>
      <c r="F320" s="4" t="s">
        <v>143</v>
      </c>
      <c r="G320" s="4">
        <v>60</v>
      </c>
      <c r="H320" s="4">
        <v>4.8</v>
      </c>
      <c r="I320" s="4">
        <f t="shared" si="28"/>
        <v>55.2</v>
      </c>
      <c r="J320" s="4">
        <f>INDEX(Dim_Machine!$E$2:$E$8,MATCH(D320,Dim_Machine!$A$2:$A$8,0))*INDEX(Dim_Machine!$D$2:$D$8,MATCH(D320,Dim_Machine!$A$2:$A$8,0))*I320</f>
        <v>39744</v>
      </c>
      <c r="K320" s="4">
        <f>ROUND(J320*0.81,0)</f>
        <v>32193</v>
      </c>
      <c r="L320" s="4">
        <f>ROUND(K320*0.0074,0)</f>
        <v>238</v>
      </c>
      <c r="M320" s="4">
        <f t="shared" si="29"/>
        <v>31955</v>
      </c>
      <c r="N320" s="4">
        <f t="shared" si="30"/>
        <v>0.81000905797101452</v>
      </c>
      <c r="O320" s="4">
        <f t="shared" si="31"/>
        <v>0.92</v>
      </c>
      <c r="P320" s="4">
        <f>IFERROR((K320/I320)/(INDEX(Dim_Machine!$E$2:$E$8,MATCH(D320,Dim_Machine!$A$2:$A$8,0))*INDEX(Dim_Machine!$D$2:$D$8,MATCH(D320,Dim_Machine!$A$2:$A$8,0))),0)</f>
        <v>0.81000905797101441</v>
      </c>
      <c r="Q320" s="4">
        <f t="shared" si="32"/>
        <v>0.99260708849749946</v>
      </c>
      <c r="R320" s="4">
        <f t="shared" si="33"/>
        <v>0.73969907407407398</v>
      </c>
      <c r="S320" s="4">
        <f>T320/0.9</f>
        <v>7.1011111111111109</v>
      </c>
      <c r="T320" s="4">
        <f>M320*INDEX(Dim_Product!$C$2:$C$4,MATCH(F320,Dim_Product!$A$2:$A$4,0))/1000000</f>
        <v>6.391</v>
      </c>
      <c r="U320" s="19">
        <f t="shared" si="34"/>
        <v>0.9</v>
      </c>
    </row>
    <row r="321" spans="1:21" x14ac:dyDescent="0.25">
      <c r="A321" s="18" t="s">
        <v>462</v>
      </c>
      <c r="B321" s="4">
        <v>20260702</v>
      </c>
      <c r="C321" s="4">
        <v>21</v>
      </c>
      <c r="D321" s="4" t="s">
        <v>27</v>
      </c>
      <c r="E321" s="4" t="s">
        <v>20</v>
      </c>
      <c r="F321" s="4" t="s">
        <v>141</v>
      </c>
      <c r="G321" s="4">
        <v>60</v>
      </c>
      <c r="H321" s="4">
        <v>7.3</v>
      </c>
      <c r="I321" s="4">
        <f t="shared" si="28"/>
        <v>52.7</v>
      </c>
      <c r="J321" s="4">
        <f>INDEX(Dim_Machine!$E$2:$E$8,MATCH(D321,Dim_Machine!$A$2:$A$8,0))*INDEX(Dim_Machine!$D$2:$D$8,MATCH(D321,Dim_Machine!$A$2:$A$8,0))*I321</f>
        <v>21923.200000000001</v>
      </c>
      <c r="K321" s="4">
        <f>ROUND(J321*0.842,0)</f>
        <v>18459</v>
      </c>
      <c r="L321" s="4">
        <f>ROUND(K321*0.0247,0)</f>
        <v>456</v>
      </c>
      <c r="M321" s="4">
        <f t="shared" si="29"/>
        <v>18003</v>
      </c>
      <c r="N321" s="4">
        <f t="shared" si="30"/>
        <v>0.84198474675229895</v>
      </c>
      <c r="O321" s="4">
        <f t="shared" si="31"/>
        <v>0.87833333333333341</v>
      </c>
      <c r="P321" s="4">
        <f>IFERROR((K321/I321)/(INDEX(Dim_Machine!$E$2:$E$8,MATCH(D321,Dim_Machine!$A$2:$A$8,0))*INDEX(Dim_Machine!$D$2:$D$8,MATCH(D321,Dim_Machine!$A$2:$A$8,0))),0)</f>
        <v>0.84198474675229895</v>
      </c>
      <c r="Q321" s="4">
        <f t="shared" si="32"/>
        <v>0.97529660328295142</v>
      </c>
      <c r="R321" s="4">
        <f t="shared" si="33"/>
        <v>0.72127403846153859</v>
      </c>
      <c r="S321" s="4">
        <f>T321/0.899</f>
        <v>5.0063959955506121</v>
      </c>
      <c r="T321" s="4">
        <f>M321*INDEX(Dim_Product!$C$2:$C$4,MATCH(F321,Dim_Product!$A$2:$A$4,0))/1000000</f>
        <v>4.50075</v>
      </c>
      <c r="U321" s="19">
        <f t="shared" si="34"/>
        <v>0.89899999999999991</v>
      </c>
    </row>
    <row r="322" spans="1:21" x14ac:dyDescent="0.25">
      <c r="A322" s="18" t="s">
        <v>463</v>
      </c>
      <c r="B322" s="4">
        <v>20260702</v>
      </c>
      <c r="C322" s="4">
        <v>21</v>
      </c>
      <c r="D322" s="4" t="s">
        <v>29</v>
      </c>
      <c r="E322" s="4" t="s">
        <v>20</v>
      </c>
      <c r="F322" s="4" t="s">
        <v>141</v>
      </c>
      <c r="G322" s="4">
        <v>60</v>
      </c>
      <c r="H322" s="4">
        <v>1</v>
      </c>
      <c r="I322" s="4">
        <f t="shared" ref="I322:I337" si="35">G322-H322</f>
        <v>59</v>
      </c>
      <c r="J322" s="4">
        <f>INDEX(Dim_Machine!$E$2:$E$8,MATCH(D322,Dim_Machine!$A$2:$A$8,0))*INDEX(Dim_Machine!$D$2:$D$8,MATCH(D322,Dim_Machine!$A$2:$A$8,0))*I322</f>
        <v>16992</v>
      </c>
      <c r="K322" s="4">
        <f>ROUND(J322*0.922,0)</f>
        <v>15667</v>
      </c>
      <c r="L322" s="4">
        <f>ROUND(K322*0.0075,0)</f>
        <v>118</v>
      </c>
      <c r="M322" s="4">
        <f t="shared" ref="M322:M337" si="36">K322-L322</f>
        <v>15549</v>
      </c>
      <c r="N322" s="4">
        <f t="shared" ref="N322:N337" si="37">IFERROR(K322/J322,0)</f>
        <v>0.92202212806026362</v>
      </c>
      <c r="O322" s="4">
        <f t="shared" ref="O322:O337" si="38">IFERROR(I322/G322,0)</f>
        <v>0.98333333333333328</v>
      </c>
      <c r="P322" s="4">
        <f>IFERROR((K322/I322)/(INDEX(Dim_Machine!$E$2:$E$8,MATCH(D322,Dim_Machine!$A$2:$A$8,0))*INDEX(Dim_Machine!$D$2:$D$8,MATCH(D322,Dim_Machine!$A$2:$A$8,0))),0)</f>
        <v>0.92202212806026373</v>
      </c>
      <c r="Q322" s="4">
        <f t="shared" ref="Q322:Q337" si="39">IFERROR(M322/K322,0)</f>
        <v>0.99246824535648182</v>
      </c>
      <c r="R322" s="4">
        <f t="shared" ref="R322:R337" si="40">O322*P322*Q322</f>
        <v>0.89982638888888888</v>
      </c>
      <c r="S322" s="4">
        <f>T322/0.884</f>
        <v>4.3973416289592757</v>
      </c>
      <c r="T322" s="4">
        <f>M322*INDEX(Dim_Product!$C$2:$C$4,MATCH(F322,Dim_Product!$A$2:$A$4,0))/1000000</f>
        <v>3.8872499999999999</v>
      </c>
      <c r="U322" s="19">
        <f t="shared" ref="U322:U337" si="41">IFERROR(T322/S322,0)</f>
        <v>0.88400000000000001</v>
      </c>
    </row>
    <row r="323" spans="1:21" x14ac:dyDescent="0.25">
      <c r="A323" s="18" t="s">
        <v>464</v>
      </c>
      <c r="B323" s="4">
        <v>20260702</v>
      </c>
      <c r="C323" s="4">
        <v>21</v>
      </c>
      <c r="D323" s="4" t="s">
        <v>31</v>
      </c>
      <c r="E323" s="4" t="s">
        <v>20</v>
      </c>
      <c r="F323" s="4" t="s">
        <v>143</v>
      </c>
      <c r="G323" s="4">
        <v>60</v>
      </c>
      <c r="H323" s="4">
        <v>5.0999999999999996</v>
      </c>
      <c r="I323" s="4">
        <f t="shared" si="35"/>
        <v>54.9</v>
      </c>
      <c r="J323" s="4">
        <f>INDEX(Dim_Machine!$E$2:$E$8,MATCH(D323,Dim_Machine!$A$2:$A$8,0))*INDEX(Dim_Machine!$D$2:$D$8,MATCH(D323,Dim_Machine!$A$2:$A$8,0))*I323</f>
        <v>35575.199999999997</v>
      </c>
      <c r="K323" s="4">
        <f>ROUND(J323*0.846,0)</f>
        <v>30097</v>
      </c>
      <c r="L323" s="4">
        <f>ROUND(K323*0.0088,0)</f>
        <v>265</v>
      </c>
      <c r="M323" s="4">
        <f t="shared" si="36"/>
        <v>29832</v>
      </c>
      <c r="N323" s="4">
        <f t="shared" si="37"/>
        <v>0.84601070408599255</v>
      </c>
      <c r="O323" s="4">
        <f t="shared" si="38"/>
        <v>0.91499999999999992</v>
      </c>
      <c r="P323" s="4">
        <f>IFERROR((K323/I323)/(INDEX(Dim_Machine!$E$2:$E$8,MATCH(D323,Dim_Machine!$A$2:$A$8,0))*INDEX(Dim_Machine!$D$2:$D$8,MATCH(D323,Dim_Machine!$A$2:$A$8,0))),0)</f>
        <v>0.84601070408599244</v>
      </c>
      <c r="Q323" s="4">
        <f t="shared" si="39"/>
        <v>0.99119513572781337</v>
      </c>
      <c r="R323" s="4">
        <f t="shared" si="40"/>
        <v>0.76728395061728383</v>
      </c>
      <c r="S323" s="4">
        <f>T323/0.905</f>
        <v>6.5927071823204422</v>
      </c>
      <c r="T323" s="4">
        <f>M323*INDEX(Dim_Product!$C$2:$C$4,MATCH(F323,Dim_Product!$A$2:$A$4,0))/1000000</f>
        <v>5.9664000000000001</v>
      </c>
      <c r="U323" s="19">
        <f t="shared" si="41"/>
        <v>0.90500000000000003</v>
      </c>
    </row>
    <row r="324" spans="1:21" x14ac:dyDescent="0.25">
      <c r="A324" s="18" t="s">
        <v>465</v>
      </c>
      <c r="B324" s="4">
        <v>20260702</v>
      </c>
      <c r="C324" s="4">
        <v>22</v>
      </c>
      <c r="D324" s="4" t="s">
        <v>15</v>
      </c>
      <c r="E324" s="4" t="s">
        <v>20</v>
      </c>
      <c r="F324" s="4" t="s">
        <v>187</v>
      </c>
      <c r="G324" s="4">
        <v>60</v>
      </c>
      <c r="H324" s="4">
        <v>7.6</v>
      </c>
      <c r="I324" s="4">
        <f t="shared" si="35"/>
        <v>52.4</v>
      </c>
      <c r="J324" s="4">
        <f>INDEX(Dim_Machine!$E$2:$E$8,MATCH(D324,Dim_Machine!$A$2:$A$8,0))*INDEX(Dim_Machine!$D$2:$D$8,MATCH(D324,Dim_Machine!$A$2:$A$8,0))*I324</f>
        <v>20960</v>
      </c>
      <c r="K324" s="4">
        <f>ROUND(J324*0.979,0)</f>
        <v>20520</v>
      </c>
      <c r="L324" s="4">
        <f>ROUND(K324*0.0324,0)</f>
        <v>665</v>
      </c>
      <c r="M324" s="4">
        <f t="shared" si="36"/>
        <v>19855</v>
      </c>
      <c r="N324" s="4">
        <f t="shared" si="37"/>
        <v>0.97900763358778631</v>
      </c>
      <c r="O324" s="4">
        <f t="shared" si="38"/>
        <v>0.87333333333333329</v>
      </c>
      <c r="P324" s="4">
        <f>IFERROR((K324/I324)/(INDEX(Dim_Machine!$E$2:$E$8,MATCH(D324,Dim_Machine!$A$2:$A$8,0))*INDEX(Dim_Machine!$D$2:$D$8,MATCH(D324,Dim_Machine!$A$2:$A$8,0))),0)</f>
        <v>0.97900763358778631</v>
      </c>
      <c r="Q324" s="4">
        <f t="shared" si="39"/>
        <v>0.96759259259259256</v>
      </c>
      <c r="R324" s="4">
        <f t="shared" si="40"/>
        <v>0.82729166666666665</v>
      </c>
      <c r="S324" s="4">
        <f>T324/0.814</f>
        <v>7.3175675675675684</v>
      </c>
      <c r="T324" s="4">
        <f>M324*INDEX(Dim_Product!$C$2:$C$4,MATCH(F324,Dim_Product!$A$2:$A$4,0))/1000000</f>
        <v>5.9565000000000001</v>
      </c>
      <c r="U324" s="19">
        <f t="shared" si="41"/>
        <v>0.81399999999999995</v>
      </c>
    </row>
    <row r="325" spans="1:21" x14ac:dyDescent="0.25">
      <c r="A325" s="18" t="s">
        <v>466</v>
      </c>
      <c r="B325" s="4">
        <v>20260702</v>
      </c>
      <c r="C325" s="4">
        <v>22</v>
      </c>
      <c r="D325" s="4" t="s">
        <v>19</v>
      </c>
      <c r="E325" s="4" t="s">
        <v>20</v>
      </c>
      <c r="F325" s="4" t="s">
        <v>141</v>
      </c>
      <c r="G325" s="4">
        <v>60</v>
      </c>
      <c r="H325" s="4">
        <v>5.4</v>
      </c>
      <c r="I325" s="4">
        <f t="shared" si="35"/>
        <v>54.6</v>
      </c>
      <c r="J325" s="4">
        <f>INDEX(Dim_Machine!$E$2:$E$8,MATCH(D325,Dim_Machine!$A$2:$A$8,0))*INDEX(Dim_Machine!$D$2:$D$8,MATCH(D325,Dim_Machine!$A$2:$A$8,0))*I325</f>
        <v>36691.200000000004</v>
      </c>
      <c r="K325" s="4">
        <f>ROUND(J325*0.882,0)</f>
        <v>32362</v>
      </c>
      <c r="L325" s="4">
        <f>ROUND(K325*0.0055,0)</f>
        <v>178</v>
      </c>
      <c r="M325" s="4">
        <f t="shared" si="36"/>
        <v>32184</v>
      </c>
      <c r="N325" s="4">
        <f t="shared" si="37"/>
        <v>0.88200985522414088</v>
      </c>
      <c r="O325" s="4">
        <f t="shared" si="38"/>
        <v>0.91</v>
      </c>
      <c r="P325" s="4">
        <f>IFERROR((K325/I325)/(INDEX(Dim_Machine!$E$2:$E$8,MATCH(D325,Dim_Machine!$A$2:$A$8,0))*INDEX(Dim_Machine!$D$2:$D$8,MATCH(D325,Dim_Machine!$A$2:$A$8,0))),0)</f>
        <v>0.88200985522414099</v>
      </c>
      <c r="Q325" s="4">
        <f t="shared" si="39"/>
        <v>0.99449972189605096</v>
      </c>
      <c r="R325" s="4">
        <f t="shared" si="40"/>
        <v>0.79821428571428588</v>
      </c>
      <c r="S325" s="4">
        <f>T325/0.846</f>
        <v>9.5106382978723403</v>
      </c>
      <c r="T325" s="4">
        <f>M325*INDEX(Dim_Product!$C$2:$C$4,MATCH(F325,Dim_Product!$A$2:$A$4,0))/1000000</f>
        <v>8.0459999999999994</v>
      </c>
      <c r="U325" s="19">
        <f t="shared" si="41"/>
        <v>0.84599999999999997</v>
      </c>
    </row>
    <row r="326" spans="1:21" x14ac:dyDescent="0.25">
      <c r="A326" s="18" t="s">
        <v>467</v>
      </c>
      <c r="B326" s="4">
        <v>20260702</v>
      </c>
      <c r="C326" s="4">
        <v>22</v>
      </c>
      <c r="D326" s="4" t="s">
        <v>23</v>
      </c>
      <c r="E326" s="4" t="s">
        <v>20</v>
      </c>
      <c r="F326" s="4" t="s">
        <v>141</v>
      </c>
      <c r="G326" s="4">
        <v>60</v>
      </c>
      <c r="H326" s="4">
        <v>7.6</v>
      </c>
      <c r="I326" s="4">
        <f t="shared" si="35"/>
        <v>52.4</v>
      </c>
      <c r="J326" s="4">
        <f>INDEX(Dim_Machine!$E$2:$E$8,MATCH(D326,Dim_Machine!$A$2:$A$8,0))*INDEX(Dim_Machine!$D$2:$D$8,MATCH(D326,Dim_Machine!$A$2:$A$8,0))*I326</f>
        <v>13833.6</v>
      </c>
      <c r="K326" s="4">
        <f>ROUND(J326*0.848,0)</f>
        <v>11731</v>
      </c>
      <c r="L326" s="4">
        <f>ROUND(K326*0.028,0)</f>
        <v>328</v>
      </c>
      <c r="M326" s="4">
        <f t="shared" si="36"/>
        <v>11403</v>
      </c>
      <c r="N326" s="4">
        <f t="shared" si="37"/>
        <v>0.84800774924820721</v>
      </c>
      <c r="O326" s="4">
        <f t="shared" si="38"/>
        <v>0.87333333333333329</v>
      </c>
      <c r="P326" s="4">
        <f>IFERROR((K326/I326)/(INDEX(Dim_Machine!$E$2:$E$8,MATCH(D326,Dim_Machine!$A$2:$A$8,0))*INDEX(Dim_Machine!$D$2:$D$8,MATCH(D326,Dim_Machine!$A$2:$A$8,0))),0)</f>
        <v>0.84800774924820732</v>
      </c>
      <c r="Q326" s="4">
        <f t="shared" si="39"/>
        <v>0.97203989429716142</v>
      </c>
      <c r="R326" s="4">
        <f t="shared" si="40"/>
        <v>0.71988636363636371</v>
      </c>
      <c r="S326" s="4">
        <f>T326/0.829</f>
        <v>3.4387816646562128</v>
      </c>
      <c r="T326" s="4">
        <f>M326*INDEX(Dim_Product!$C$2:$C$4,MATCH(F326,Dim_Product!$A$2:$A$4,0))/1000000</f>
        <v>2.8507500000000001</v>
      </c>
      <c r="U326" s="19">
        <f t="shared" si="41"/>
        <v>0.82899999999999996</v>
      </c>
    </row>
    <row r="327" spans="1:21" x14ac:dyDescent="0.25">
      <c r="A327" s="18" t="s">
        <v>468</v>
      </c>
      <c r="B327" s="4">
        <v>20260702</v>
      </c>
      <c r="C327" s="4">
        <v>22</v>
      </c>
      <c r="D327" s="4" t="s">
        <v>25</v>
      </c>
      <c r="E327" s="4" t="s">
        <v>20</v>
      </c>
      <c r="F327" s="4" t="s">
        <v>143</v>
      </c>
      <c r="G327" s="4">
        <v>60</v>
      </c>
      <c r="H327" s="4">
        <v>8</v>
      </c>
      <c r="I327" s="4">
        <f t="shared" si="35"/>
        <v>52</v>
      </c>
      <c r="J327" s="4">
        <f>INDEX(Dim_Machine!$E$2:$E$8,MATCH(D327,Dim_Machine!$A$2:$A$8,0))*INDEX(Dim_Machine!$D$2:$D$8,MATCH(D327,Dim_Machine!$A$2:$A$8,0))*I327</f>
        <v>37440</v>
      </c>
      <c r="K327" s="4">
        <f>ROUND(J327*0.811,0)</f>
        <v>30364</v>
      </c>
      <c r="L327" s="4">
        <f>ROUND(K327*0.0139,0)</f>
        <v>422</v>
      </c>
      <c r="M327" s="4">
        <f t="shared" si="36"/>
        <v>29942</v>
      </c>
      <c r="N327" s="4">
        <f t="shared" si="37"/>
        <v>0.81100427350427351</v>
      </c>
      <c r="O327" s="4">
        <f t="shared" si="38"/>
        <v>0.8666666666666667</v>
      </c>
      <c r="P327" s="4">
        <f>IFERROR((K327/I327)/(INDEX(Dim_Machine!$E$2:$E$8,MATCH(D327,Dim_Machine!$A$2:$A$8,0))*INDEX(Dim_Machine!$D$2:$D$8,MATCH(D327,Dim_Machine!$A$2:$A$8,0))),0)</f>
        <v>0.81100427350427351</v>
      </c>
      <c r="Q327" s="4">
        <f t="shared" si="39"/>
        <v>0.98610196285074425</v>
      </c>
      <c r="R327" s="4">
        <f t="shared" si="40"/>
        <v>0.6931018518518518</v>
      </c>
      <c r="S327" s="4">
        <f>T327/0.918</f>
        <v>6.5233115468409588</v>
      </c>
      <c r="T327" s="4">
        <f>M327*INDEX(Dim_Product!$C$2:$C$4,MATCH(F327,Dim_Product!$A$2:$A$4,0))/1000000</f>
        <v>5.9884000000000004</v>
      </c>
      <c r="U327" s="19">
        <f t="shared" si="41"/>
        <v>0.91800000000000004</v>
      </c>
    </row>
    <row r="328" spans="1:21" x14ac:dyDescent="0.25">
      <c r="A328" s="18" t="s">
        <v>469</v>
      </c>
      <c r="B328" s="4">
        <v>20260702</v>
      </c>
      <c r="C328" s="4">
        <v>22</v>
      </c>
      <c r="D328" s="4" t="s">
        <v>27</v>
      </c>
      <c r="E328" s="4" t="s">
        <v>20</v>
      </c>
      <c r="F328" s="4" t="s">
        <v>141</v>
      </c>
      <c r="G328" s="4">
        <v>60</v>
      </c>
      <c r="H328" s="4">
        <v>4.0999999999999996</v>
      </c>
      <c r="I328" s="4">
        <f t="shared" si="35"/>
        <v>55.9</v>
      </c>
      <c r="J328" s="4">
        <f>INDEX(Dim_Machine!$E$2:$E$8,MATCH(D328,Dim_Machine!$A$2:$A$8,0))*INDEX(Dim_Machine!$D$2:$D$8,MATCH(D328,Dim_Machine!$A$2:$A$8,0))*I328</f>
        <v>23254.399999999998</v>
      </c>
      <c r="K328" s="4">
        <f>ROUND(J328*0.888,0)</f>
        <v>20650</v>
      </c>
      <c r="L328" s="4">
        <f>ROUND(K328*0.0272,0)</f>
        <v>562</v>
      </c>
      <c r="M328" s="4">
        <f t="shared" si="36"/>
        <v>20088</v>
      </c>
      <c r="N328" s="4">
        <f t="shared" si="37"/>
        <v>0.88800399064263114</v>
      </c>
      <c r="O328" s="4">
        <f t="shared" si="38"/>
        <v>0.93166666666666664</v>
      </c>
      <c r="P328" s="4">
        <f>IFERROR((K328/I328)/(INDEX(Dim_Machine!$E$2:$E$8,MATCH(D328,Dim_Machine!$A$2:$A$8,0))*INDEX(Dim_Machine!$D$2:$D$8,MATCH(D328,Dim_Machine!$A$2:$A$8,0))),0)</f>
        <v>0.88800399064263114</v>
      </c>
      <c r="Q328" s="4">
        <f t="shared" si="39"/>
        <v>0.97278450363196123</v>
      </c>
      <c r="R328" s="4">
        <f t="shared" si="40"/>
        <v>0.80480769230769234</v>
      </c>
      <c r="S328" s="4">
        <f>T328/0.879</f>
        <v>5.7133105802047783</v>
      </c>
      <c r="T328" s="4">
        <f>M328*INDEX(Dim_Product!$C$2:$C$4,MATCH(F328,Dim_Product!$A$2:$A$4,0))/1000000</f>
        <v>5.0220000000000002</v>
      </c>
      <c r="U328" s="19">
        <f t="shared" si="41"/>
        <v>0.879</v>
      </c>
    </row>
    <row r="329" spans="1:21" x14ac:dyDescent="0.25">
      <c r="A329" s="18" t="s">
        <v>470</v>
      </c>
      <c r="B329" s="4">
        <v>20260702</v>
      </c>
      <c r="C329" s="4">
        <v>22</v>
      </c>
      <c r="D329" s="4" t="s">
        <v>29</v>
      </c>
      <c r="E329" s="4" t="s">
        <v>20</v>
      </c>
      <c r="F329" s="4" t="s">
        <v>141</v>
      </c>
      <c r="G329" s="4">
        <v>60</v>
      </c>
      <c r="H329" s="4">
        <v>5.3</v>
      </c>
      <c r="I329" s="4">
        <f t="shared" si="35"/>
        <v>54.7</v>
      </c>
      <c r="J329" s="4">
        <f>INDEX(Dim_Machine!$E$2:$E$8,MATCH(D329,Dim_Machine!$A$2:$A$8,0))*INDEX(Dim_Machine!$D$2:$D$8,MATCH(D329,Dim_Machine!$A$2:$A$8,0))*I329</f>
        <v>15753.6</v>
      </c>
      <c r="K329" s="4">
        <f>ROUND(J329*0.955,0)</f>
        <v>15045</v>
      </c>
      <c r="L329" s="4">
        <f>ROUND(K329*0.0235,0)</f>
        <v>354</v>
      </c>
      <c r="M329" s="4">
        <f t="shared" si="36"/>
        <v>14691</v>
      </c>
      <c r="N329" s="4">
        <f t="shared" si="37"/>
        <v>0.95501980499695305</v>
      </c>
      <c r="O329" s="4">
        <f t="shared" si="38"/>
        <v>0.91166666666666674</v>
      </c>
      <c r="P329" s="4">
        <f>IFERROR((K329/I329)/(INDEX(Dim_Machine!$E$2:$E$8,MATCH(D329,Dim_Machine!$A$2:$A$8,0))*INDEX(Dim_Machine!$D$2:$D$8,MATCH(D329,Dim_Machine!$A$2:$A$8,0))),0)</f>
        <v>0.95501980499695316</v>
      </c>
      <c r="Q329" s="4">
        <f t="shared" si="39"/>
        <v>0.97647058823529409</v>
      </c>
      <c r="R329" s="4">
        <f t="shared" si="40"/>
        <v>0.85017361111111123</v>
      </c>
      <c r="S329" s="4">
        <f>T329/0.89</f>
        <v>4.1266853932584269</v>
      </c>
      <c r="T329" s="4">
        <f>M329*INDEX(Dim_Product!$C$2:$C$4,MATCH(F329,Dim_Product!$A$2:$A$4,0))/1000000</f>
        <v>3.6727500000000002</v>
      </c>
      <c r="U329" s="19">
        <f t="shared" si="41"/>
        <v>0.89</v>
      </c>
    </row>
    <row r="330" spans="1:21" x14ac:dyDescent="0.25">
      <c r="A330" s="18" t="s">
        <v>471</v>
      </c>
      <c r="B330" s="4">
        <v>20260702</v>
      </c>
      <c r="C330" s="4">
        <v>22</v>
      </c>
      <c r="D330" s="4" t="s">
        <v>31</v>
      </c>
      <c r="E330" s="4" t="s">
        <v>20</v>
      </c>
      <c r="F330" s="4" t="s">
        <v>143</v>
      </c>
      <c r="G330" s="4">
        <v>60</v>
      </c>
      <c r="H330" s="4">
        <v>1.2</v>
      </c>
      <c r="I330" s="4">
        <f t="shared" si="35"/>
        <v>58.8</v>
      </c>
      <c r="J330" s="4">
        <f>INDEX(Dim_Machine!$E$2:$E$8,MATCH(D330,Dim_Machine!$A$2:$A$8,0))*INDEX(Dim_Machine!$D$2:$D$8,MATCH(D330,Dim_Machine!$A$2:$A$8,0))*I330</f>
        <v>38102.400000000001</v>
      </c>
      <c r="K330" s="4">
        <f>ROUND(J330*0.816,0)</f>
        <v>31092</v>
      </c>
      <c r="L330" s="4">
        <f>ROUND(K330*0.0258,0)</f>
        <v>802</v>
      </c>
      <c r="M330" s="4">
        <f t="shared" si="36"/>
        <v>30290</v>
      </c>
      <c r="N330" s="4">
        <f t="shared" si="37"/>
        <v>0.81601158982111355</v>
      </c>
      <c r="O330" s="4">
        <f t="shared" si="38"/>
        <v>0.98</v>
      </c>
      <c r="P330" s="4">
        <f>IFERROR((K330/I330)/(INDEX(Dim_Machine!$E$2:$E$8,MATCH(D330,Dim_Machine!$A$2:$A$8,0))*INDEX(Dim_Machine!$D$2:$D$8,MATCH(D330,Dim_Machine!$A$2:$A$8,0))),0)</f>
        <v>0.81601158982111366</v>
      </c>
      <c r="Q330" s="4">
        <f t="shared" si="39"/>
        <v>0.97420558342982122</v>
      </c>
      <c r="R330" s="4">
        <f t="shared" si="40"/>
        <v>0.77906378600823056</v>
      </c>
      <c r="S330" s="4">
        <f>T330/0.894</f>
        <v>6.7762863534675608</v>
      </c>
      <c r="T330" s="4">
        <f>M330*INDEX(Dim_Product!$C$2:$C$4,MATCH(F330,Dim_Product!$A$2:$A$4,0))/1000000</f>
        <v>6.0579999999999998</v>
      </c>
      <c r="U330" s="19">
        <f t="shared" si="41"/>
        <v>0.89400000000000002</v>
      </c>
    </row>
    <row r="331" spans="1:21" x14ac:dyDescent="0.25">
      <c r="A331" s="18" t="s">
        <v>472</v>
      </c>
      <c r="B331" s="4">
        <v>20260702</v>
      </c>
      <c r="C331" s="4">
        <v>23</v>
      </c>
      <c r="D331" s="4" t="s">
        <v>15</v>
      </c>
      <c r="E331" s="4" t="s">
        <v>20</v>
      </c>
      <c r="F331" s="4" t="s">
        <v>187</v>
      </c>
      <c r="G331" s="4">
        <v>60</v>
      </c>
      <c r="H331" s="4">
        <v>7.2</v>
      </c>
      <c r="I331" s="4">
        <f t="shared" si="35"/>
        <v>52.8</v>
      </c>
      <c r="J331" s="4">
        <f>INDEX(Dim_Machine!$E$2:$E$8,MATCH(D331,Dim_Machine!$A$2:$A$8,0))*INDEX(Dim_Machine!$D$2:$D$8,MATCH(D331,Dim_Machine!$A$2:$A$8,0))*I331</f>
        <v>21120</v>
      </c>
      <c r="K331" s="4">
        <f>ROUND(J331*0.924,0)</f>
        <v>19515</v>
      </c>
      <c r="L331" s="4">
        <f>ROUND(K331*0.0063,0)</f>
        <v>123</v>
      </c>
      <c r="M331" s="4">
        <f t="shared" si="36"/>
        <v>19392</v>
      </c>
      <c r="N331" s="4">
        <f t="shared" si="37"/>
        <v>0.92400568181818177</v>
      </c>
      <c r="O331" s="4">
        <f t="shared" si="38"/>
        <v>0.88</v>
      </c>
      <c r="P331" s="4">
        <f>IFERROR((K331/I331)/(INDEX(Dim_Machine!$E$2:$E$8,MATCH(D331,Dim_Machine!$A$2:$A$8,0))*INDEX(Dim_Machine!$D$2:$D$8,MATCH(D331,Dim_Machine!$A$2:$A$8,0))),0)</f>
        <v>0.92400568181818188</v>
      </c>
      <c r="Q331" s="4">
        <f t="shared" si="39"/>
        <v>0.99369715603382014</v>
      </c>
      <c r="R331" s="4">
        <f t="shared" si="40"/>
        <v>0.80800000000000005</v>
      </c>
      <c r="S331" s="4">
        <f>T331/0.855</f>
        <v>6.8042105263157895</v>
      </c>
      <c r="T331" s="4">
        <f>M331*INDEX(Dim_Product!$C$2:$C$4,MATCH(F331,Dim_Product!$A$2:$A$4,0))/1000000</f>
        <v>5.8175999999999997</v>
      </c>
      <c r="U331" s="19">
        <f t="shared" si="41"/>
        <v>0.85499999999999998</v>
      </c>
    </row>
    <row r="332" spans="1:21" x14ac:dyDescent="0.25">
      <c r="A332" s="18" t="s">
        <v>473</v>
      </c>
      <c r="B332" s="4">
        <v>20260702</v>
      </c>
      <c r="C332" s="4">
        <v>23</v>
      </c>
      <c r="D332" s="4" t="s">
        <v>19</v>
      </c>
      <c r="E332" s="4" t="s">
        <v>20</v>
      </c>
      <c r="F332" s="4" t="s">
        <v>141</v>
      </c>
      <c r="G332" s="4">
        <v>60</v>
      </c>
      <c r="H332" s="4">
        <v>5.8</v>
      </c>
      <c r="I332" s="4">
        <f t="shared" si="35"/>
        <v>54.2</v>
      </c>
      <c r="J332" s="4">
        <f>INDEX(Dim_Machine!$E$2:$E$8,MATCH(D332,Dim_Machine!$A$2:$A$8,0))*INDEX(Dim_Machine!$D$2:$D$8,MATCH(D332,Dim_Machine!$A$2:$A$8,0))*I332</f>
        <v>36422.400000000001</v>
      </c>
      <c r="K332" s="4">
        <f>ROUND(J332*0.974,0)</f>
        <v>35475</v>
      </c>
      <c r="L332" s="4">
        <f>ROUND(K332*0.0233,0)</f>
        <v>827</v>
      </c>
      <c r="M332" s="4">
        <f t="shared" si="36"/>
        <v>34648</v>
      </c>
      <c r="N332" s="4">
        <f t="shared" si="37"/>
        <v>0.97398853452820233</v>
      </c>
      <c r="O332" s="4">
        <f t="shared" si="38"/>
        <v>0.90333333333333343</v>
      </c>
      <c r="P332" s="4">
        <f>IFERROR((K332/I332)/(INDEX(Dim_Machine!$E$2:$E$8,MATCH(D332,Dim_Machine!$A$2:$A$8,0))*INDEX(Dim_Machine!$D$2:$D$8,MATCH(D332,Dim_Machine!$A$2:$A$8,0))),0)</f>
        <v>0.97398853452820233</v>
      </c>
      <c r="Q332" s="4">
        <f t="shared" si="39"/>
        <v>0.97668780831571533</v>
      </c>
      <c r="R332" s="4">
        <f t="shared" si="40"/>
        <v>0.85932539682539688</v>
      </c>
      <c r="S332" s="4">
        <f>T332/0.913</f>
        <v>9.4874041621029583</v>
      </c>
      <c r="T332" s="4">
        <f>M332*INDEX(Dim_Product!$C$2:$C$4,MATCH(F332,Dim_Product!$A$2:$A$4,0))/1000000</f>
        <v>8.6620000000000008</v>
      </c>
      <c r="U332" s="19">
        <f t="shared" si="41"/>
        <v>0.91300000000000003</v>
      </c>
    </row>
    <row r="333" spans="1:21" x14ac:dyDescent="0.25">
      <c r="A333" s="18" t="s">
        <v>474</v>
      </c>
      <c r="B333" s="4">
        <v>20260702</v>
      </c>
      <c r="C333" s="4">
        <v>23</v>
      </c>
      <c r="D333" s="4" t="s">
        <v>23</v>
      </c>
      <c r="E333" s="4" t="s">
        <v>20</v>
      </c>
      <c r="F333" s="4" t="s">
        <v>141</v>
      </c>
      <c r="G333" s="4">
        <v>60</v>
      </c>
      <c r="H333" s="4">
        <v>6.3</v>
      </c>
      <c r="I333" s="4">
        <f t="shared" si="35"/>
        <v>53.7</v>
      </c>
      <c r="J333" s="4">
        <f>INDEX(Dim_Machine!$E$2:$E$8,MATCH(D333,Dim_Machine!$A$2:$A$8,0))*INDEX(Dim_Machine!$D$2:$D$8,MATCH(D333,Dim_Machine!$A$2:$A$8,0))*I333</f>
        <v>14176.800000000001</v>
      </c>
      <c r="K333" s="4">
        <f>ROUND(J333*0.827,0)</f>
        <v>11724</v>
      </c>
      <c r="L333" s="4">
        <f>ROUND(K333*0.0122,0)</f>
        <v>143</v>
      </c>
      <c r="M333" s="4">
        <f t="shared" si="36"/>
        <v>11581</v>
      </c>
      <c r="N333" s="4">
        <f t="shared" si="37"/>
        <v>0.82698493313018451</v>
      </c>
      <c r="O333" s="4">
        <f t="shared" si="38"/>
        <v>0.89500000000000002</v>
      </c>
      <c r="P333" s="4">
        <f>IFERROR((K333/I333)/(INDEX(Dim_Machine!$E$2:$E$8,MATCH(D333,Dim_Machine!$A$2:$A$8,0))*INDEX(Dim_Machine!$D$2:$D$8,MATCH(D333,Dim_Machine!$A$2:$A$8,0))),0)</f>
        <v>0.82698493313018451</v>
      </c>
      <c r="Q333" s="4">
        <f t="shared" si="39"/>
        <v>0.9878027976799727</v>
      </c>
      <c r="R333" s="4">
        <f t="shared" si="40"/>
        <v>0.73112373737373737</v>
      </c>
      <c r="S333" s="4">
        <f>T333/0.945</f>
        <v>3.0637566137566137</v>
      </c>
      <c r="T333" s="4">
        <f>M333*INDEX(Dim_Product!$C$2:$C$4,MATCH(F333,Dim_Product!$A$2:$A$4,0))/1000000</f>
        <v>2.8952499999999999</v>
      </c>
      <c r="U333" s="19">
        <f t="shared" si="41"/>
        <v>0.94499999999999995</v>
      </c>
    </row>
    <row r="334" spans="1:21" x14ac:dyDescent="0.25">
      <c r="A334" s="18" t="s">
        <v>475</v>
      </c>
      <c r="B334" s="4">
        <v>20260702</v>
      </c>
      <c r="C334" s="4">
        <v>23</v>
      </c>
      <c r="D334" s="4" t="s">
        <v>25</v>
      </c>
      <c r="E334" s="4" t="s">
        <v>20</v>
      </c>
      <c r="F334" s="4" t="s">
        <v>143</v>
      </c>
      <c r="G334" s="4">
        <v>60</v>
      </c>
      <c r="H334" s="4">
        <v>6.3</v>
      </c>
      <c r="I334" s="4">
        <f t="shared" si="35"/>
        <v>53.7</v>
      </c>
      <c r="J334" s="4">
        <f>INDEX(Dim_Machine!$E$2:$E$8,MATCH(D334,Dim_Machine!$A$2:$A$8,0))*INDEX(Dim_Machine!$D$2:$D$8,MATCH(D334,Dim_Machine!$A$2:$A$8,0))*I334</f>
        <v>38664</v>
      </c>
      <c r="K334" s="4">
        <f>ROUND(J334*0.961,0)</f>
        <v>37156</v>
      </c>
      <c r="L334" s="4">
        <f>ROUND(K334*0.0108,0)</f>
        <v>401</v>
      </c>
      <c r="M334" s="4">
        <f t="shared" si="36"/>
        <v>36755</v>
      </c>
      <c r="N334" s="4">
        <f t="shared" si="37"/>
        <v>0.96099731015932133</v>
      </c>
      <c r="O334" s="4">
        <f t="shared" si="38"/>
        <v>0.89500000000000002</v>
      </c>
      <c r="P334" s="4">
        <f>IFERROR((K334/I334)/(INDEX(Dim_Machine!$E$2:$E$8,MATCH(D334,Dim_Machine!$A$2:$A$8,0))*INDEX(Dim_Machine!$D$2:$D$8,MATCH(D334,Dim_Machine!$A$2:$A$8,0))),0)</f>
        <v>0.96099731015932122</v>
      </c>
      <c r="Q334" s="4">
        <f t="shared" si="39"/>
        <v>0.98920766498008394</v>
      </c>
      <c r="R334" s="4">
        <f t="shared" si="40"/>
        <v>0.85081018518518514</v>
      </c>
      <c r="S334" s="4">
        <f>T334/0.902</f>
        <v>8.1496674057649656</v>
      </c>
      <c r="T334" s="4">
        <f>M334*INDEX(Dim_Product!$C$2:$C$4,MATCH(F334,Dim_Product!$A$2:$A$4,0))/1000000</f>
        <v>7.351</v>
      </c>
      <c r="U334" s="19">
        <f t="shared" si="41"/>
        <v>0.90200000000000014</v>
      </c>
    </row>
    <row r="335" spans="1:21" x14ac:dyDescent="0.25">
      <c r="A335" s="18" t="s">
        <v>476</v>
      </c>
      <c r="B335" s="4">
        <v>20260702</v>
      </c>
      <c r="C335" s="4">
        <v>23</v>
      </c>
      <c r="D335" s="4" t="s">
        <v>27</v>
      </c>
      <c r="E335" s="4" t="s">
        <v>20</v>
      </c>
      <c r="F335" s="4" t="s">
        <v>141</v>
      </c>
      <c r="G335" s="4">
        <v>60</v>
      </c>
      <c r="H335" s="4">
        <v>4.5999999999999996</v>
      </c>
      <c r="I335" s="4">
        <f t="shared" si="35"/>
        <v>55.4</v>
      </c>
      <c r="J335" s="4">
        <f>INDEX(Dim_Machine!$E$2:$E$8,MATCH(D335,Dim_Machine!$A$2:$A$8,0))*INDEX(Dim_Machine!$D$2:$D$8,MATCH(D335,Dim_Machine!$A$2:$A$8,0))*I335</f>
        <v>23046.399999999998</v>
      </c>
      <c r="K335" s="4">
        <f>ROUND(J335*0.868,0)</f>
        <v>20004</v>
      </c>
      <c r="L335" s="4">
        <f>ROUND(K335*0.0281,0)</f>
        <v>562</v>
      </c>
      <c r="M335" s="4">
        <f t="shared" si="36"/>
        <v>19442</v>
      </c>
      <c r="N335" s="4">
        <f t="shared" si="37"/>
        <v>0.8679880588725355</v>
      </c>
      <c r="O335" s="4">
        <f t="shared" si="38"/>
        <v>0.92333333333333334</v>
      </c>
      <c r="P335" s="4">
        <f>IFERROR((K335/I335)/(INDEX(Dim_Machine!$E$2:$E$8,MATCH(D335,Dim_Machine!$A$2:$A$8,0))*INDEX(Dim_Machine!$D$2:$D$8,MATCH(D335,Dim_Machine!$A$2:$A$8,0))),0)</f>
        <v>0.8679880588725355</v>
      </c>
      <c r="Q335" s="4">
        <f t="shared" si="39"/>
        <v>0.97190561887622473</v>
      </c>
      <c r="R335" s="4">
        <f t="shared" si="40"/>
        <v>0.77892628205128212</v>
      </c>
      <c r="S335" s="4">
        <f>T335/0.917</f>
        <v>5.3004362050163571</v>
      </c>
      <c r="T335" s="4">
        <f>M335*INDEX(Dim_Product!$C$2:$C$4,MATCH(F335,Dim_Product!$A$2:$A$4,0))/1000000</f>
        <v>4.8605</v>
      </c>
      <c r="U335" s="19">
        <f t="shared" si="41"/>
        <v>0.91700000000000015</v>
      </c>
    </row>
    <row r="336" spans="1:21" x14ac:dyDescent="0.25">
      <c r="A336" s="18" t="s">
        <v>477</v>
      </c>
      <c r="B336" s="4">
        <v>20260702</v>
      </c>
      <c r="C336" s="4">
        <v>23</v>
      </c>
      <c r="D336" s="4" t="s">
        <v>29</v>
      </c>
      <c r="E336" s="4" t="s">
        <v>20</v>
      </c>
      <c r="F336" s="4" t="s">
        <v>141</v>
      </c>
      <c r="G336" s="4">
        <v>60</v>
      </c>
      <c r="H336" s="4">
        <v>4</v>
      </c>
      <c r="I336" s="4">
        <f t="shared" si="35"/>
        <v>56</v>
      </c>
      <c r="J336" s="4">
        <f>INDEX(Dim_Machine!$E$2:$E$8,MATCH(D336,Dim_Machine!$A$2:$A$8,0))*INDEX(Dim_Machine!$D$2:$D$8,MATCH(D336,Dim_Machine!$A$2:$A$8,0))*I336</f>
        <v>16128</v>
      </c>
      <c r="K336" s="4">
        <f>ROUND(J336*0.864,0)</f>
        <v>13935</v>
      </c>
      <c r="L336" s="4">
        <f>ROUND(K336*0.0099,0)</f>
        <v>138</v>
      </c>
      <c r="M336" s="4">
        <f t="shared" si="36"/>
        <v>13797</v>
      </c>
      <c r="N336" s="4">
        <f t="shared" si="37"/>
        <v>0.86402529761904767</v>
      </c>
      <c r="O336" s="4">
        <f t="shared" si="38"/>
        <v>0.93333333333333335</v>
      </c>
      <c r="P336" s="4">
        <f>IFERROR((K336/I336)/(INDEX(Dim_Machine!$E$2:$E$8,MATCH(D336,Dim_Machine!$A$2:$A$8,0))*INDEX(Dim_Machine!$D$2:$D$8,MATCH(D336,Dim_Machine!$A$2:$A$8,0))),0)</f>
        <v>0.86402529761904767</v>
      </c>
      <c r="Q336" s="4">
        <f t="shared" si="39"/>
        <v>0.99009687836383209</v>
      </c>
      <c r="R336" s="4">
        <f t="shared" si="40"/>
        <v>0.79843750000000002</v>
      </c>
      <c r="S336" s="4">
        <f>T336/0.83</f>
        <v>4.1557228915662652</v>
      </c>
      <c r="T336" s="4">
        <f>M336*INDEX(Dim_Product!$C$2:$C$4,MATCH(F336,Dim_Product!$A$2:$A$4,0))/1000000</f>
        <v>3.4492500000000001</v>
      </c>
      <c r="U336" s="19">
        <f t="shared" si="41"/>
        <v>0.83</v>
      </c>
    </row>
    <row r="337" spans="1:21" x14ac:dyDescent="0.25">
      <c r="A337" s="20" t="s">
        <v>478</v>
      </c>
      <c r="B337" s="21">
        <v>20260702</v>
      </c>
      <c r="C337" s="21">
        <v>23</v>
      </c>
      <c r="D337" s="21" t="s">
        <v>31</v>
      </c>
      <c r="E337" s="21" t="s">
        <v>20</v>
      </c>
      <c r="F337" s="21" t="s">
        <v>143</v>
      </c>
      <c r="G337" s="21">
        <v>60</v>
      </c>
      <c r="H337" s="21">
        <v>4.8</v>
      </c>
      <c r="I337" s="21">
        <f t="shared" si="35"/>
        <v>55.2</v>
      </c>
      <c r="J337" s="21">
        <f>INDEX(Dim_Machine!$E$2:$E$8,MATCH(D337,Dim_Machine!$A$2:$A$8,0))*INDEX(Dim_Machine!$D$2:$D$8,MATCH(D337,Dim_Machine!$A$2:$A$8,0))*I337</f>
        <v>35769.599999999999</v>
      </c>
      <c r="K337" s="21">
        <f>ROUND(J337*0.955,0)</f>
        <v>34160</v>
      </c>
      <c r="L337" s="21">
        <f>ROUND(K337*0.0066,0)</f>
        <v>225</v>
      </c>
      <c r="M337" s="21">
        <f t="shared" si="36"/>
        <v>33935</v>
      </c>
      <c r="N337" s="21">
        <f t="shared" si="37"/>
        <v>0.95500089461442117</v>
      </c>
      <c r="O337" s="21">
        <f t="shared" si="38"/>
        <v>0.92</v>
      </c>
      <c r="P337" s="21">
        <f>IFERROR((K337/I337)/(INDEX(Dim_Machine!$E$2:$E$8,MATCH(D337,Dim_Machine!$A$2:$A$8,0))*INDEX(Dim_Machine!$D$2:$D$8,MATCH(D337,Dim_Machine!$A$2:$A$8,0))),0)</f>
        <v>0.95500089461442106</v>
      </c>
      <c r="Q337" s="21">
        <f t="shared" si="39"/>
        <v>0.99341334894613587</v>
      </c>
      <c r="R337" s="21">
        <f t="shared" si="40"/>
        <v>0.87281378600823045</v>
      </c>
      <c r="S337" s="21">
        <f>T337/0.872</f>
        <v>7.7832568807339451</v>
      </c>
      <c r="T337" s="21">
        <f>M337*INDEX(Dim_Product!$C$2:$C$4,MATCH(F337,Dim_Product!$A$2:$A$4,0))/1000000</f>
        <v>6.7869999999999999</v>
      </c>
      <c r="U337" s="22">
        <f t="shared" si="41"/>
        <v>0.872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37"/>
  <sheetViews>
    <sheetView zoomScaleNormal="100" workbookViewId="0">
      <pane xSplit="5" ySplit="1" topLeftCell="G290" activePane="bottomRight" state="frozen"/>
      <selection pane="topRight" activeCell="F1" sqref="F1"/>
      <selection pane="bottomLeft" activeCell="A320" sqref="A320"/>
      <selection pane="bottomRight" activeCell="K290" sqref="K290"/>
    </sheetView>
  </sheetViews>
  <sheetFormatPr defaultColWidth="8.7109375" defaultRowHeight="15" x14ac:dyDescent="0.25"/>
  <cols>
    <col min="1" max="1" width="17.85546875" customWidth="1"/>
    <col min="2" max="2" width="14.85546875" customWidth="1"/>
    <col min="3" max="3" width="15" customWidth="1"/>
    <col min="4" max="4" width="18.42578125" customWidth="1"/>
    <col min="5" max="5" width="15" customWidth="1"/>
    <col min="6" max="6" width="17.7109375" customWidth="1"/>
    <col min="7" max="7" width="14.140625" customWidth="1"/>
    <col min="8" max="8" width="16.85546875" customWidth="1"/>
    <col min="9" max="9" width="15" customWidth="1"/>
    <col min="10" max="11" width="13.5703125" customWidth="1"/>
    <col min="12" max="12" width="21.140625" customWidth="1"/>
    <col min="13" max="13" width="15.140625" customWidth="1"/>
    <col min="14" max="14" width="18.5703125" customWidth="1"/>
    <col min="15" max="15" width="21.5703125" customWidth="1"/>
    <col min="16" max="16" width="19.28515625" customWidth="1"/>
    <col min="17" max="17" width="20.42578125" customWidth="1"/>
    <col min="18" max="18" width="23.42578125" customWidth="1"/>
    <col min="19" max="19" width="16.85546875" customWidth="1"/>
    <col min="20" max="20" width="18" customWidth="1"/>
    <col min="21" max="21" width="21" customWidth="1"/>
    <col min="22" max="22" width="15.85546875" customWidth="1"/>
    <col min="23" max="23" width="13" customWidth="1"/>
  </cols>
  <sheetData>
    <row r="1" spans="1:23" ht="30" customHeight="1" x14ac:dyDescent="0.25">
      <c r="A1" s="15" t="s">
        <v>479</v>
      </c>
      <c r="B1" s="16" t="s">
        <v>122</v>
      </c>
      <c r="C1" s="16" t="s">
        <v>123</v>
      </c>
      <c r="D1" s="16" t="s">
        <v>124</v>
      </c>
      <c r="E1" s="16" t="s">
        <v>125</v>
      </c>
      <c r="F1" s="16" t="s">
        <v>126</v>
      </c>
      <c r="G1" s="16" t="s">
        <v>480</v>
      </c>
      <c r="H1" s="16" t="s">
        <v>481</v>
      </c>
      <c r="I1" s="16" t="s">
        <v>482</v>
      </c>
      <c r="J1" s="16" t="s">
        <v>483</v>
      </c>
      <c r="K1" s="16" t="s">
        <v>484</v>
      </c>
      <c r="L1" s="16" t="s">
        <v>485</v>
      </c>
      <c r="M1" s="16" t="s">
        <v>486</v>
      </c>
      <c r="N1" s="16" t="s">
        <v>487</v>
      </c>
      <c r="O1" s="16" t="s">
        <v>488</v>
      </c>
      <c r="P1" s="16" t="s">
        <v>489</v>
      </c>
      <c r="Q1" s="16" t="s">
        <v>490</v>
      </c>
      <c r="R1" s="16" t="s">
        <v>491</v>
      </c>
      <c r="S1" s="16" t="s">
        <v>492</v>
      </c>
      <c r="T1" s="16" t="s">
        <v>493</v>
      </c>
      <c r="U1" s="16" t="s">
        <v>494</v>
      </c>
      <c r="V1" s="16" t="s">
        <v>495</v>
      </c>
      <c r="W1" s="17" t="s">
        <v>496</v>
      </c>
    </row>
    <row r="2" spans="1:23" x14ac:dyDescent="0.25">
      <c r="A2" s="18" t="s">
        <v>497</v>
      </c>
      <c r="B2" s="4">
        <f>Fact_Production_Hourly!B2</f>
        <v>20260701</v>
      </c>
      <c r="C2" s="4">
        <f>Fact_Production_Hourly!C2</f>
        <v>0</v>
      </c>
      <c r="D2" s="4" t="str">
        <f>Fact_Production_Hourly!D2</f>
        <v>M1</v>
      </c>
      <c r="E2" s="4" t="str">
        <f>Fact_Production_Hourly!E2</f>
        <v>B-PM</v>
      </c>
      <c r="F2" s="4" t="str">
        <f>Fact_Production_Hourly!F2</f>
        <v>A</v>
      </c>
      <c r="G2" s="4">
        <f>INDEX(Dim_Machine!$D$2:$D$8,MATCH(D2,Dim_Machine!$A$2:$A$8,0))*2</f>
        <v>32</v>
      </c>
      <c r="H2" s="4">
        <f>ROUND(G2*0.0323,0)</f>
        <v>1</v>
      </c>
      <c r="I2" s="4">
        <f t="shared" ref="I2:I65" si="0">ROUND(H2*0.15,0)</f>
        <v>0</v>
      </c>
      <c r="J2" s="4">
        <f t="shared" ref="J2:J65" si="1">ROUND(H2*0.45,0)</f>
        <v>0</v>
      </c>
      <c r="K2" s="4">
        <f t="shared" ref="K2:K65" si="2">MAX(H2-I2-J2,0)</f>
        <v>1</v>
      </c>
      <c r="L2" s="4" t="s">
        <v>498</v>
      </c>
      <c r="M2" s="4">
        <f>INDEX(Dim_Product!$C$2:$C$4,MATCH(F2,Dim_Product!$A$2:$A$4,0))+0.42</f>
        <v>250.42</v>
      </c>
      <c r="N2" s="4">
        <f>IF(AND(M2&gt;=INDEX(Dim_Product!$C$2:$C$4,MATCH(F2,Dim_Product!$A$2:$A$4,0))-INDEX(Dim_Product!$D$2:$D$4,MATCH(F2,Dim_Product!$A$2:$A$4,0)),M2&lt;=INDEX(Dim_Product!$C$2:$C$4,MATCH(F2,Dim_Product!$A$2:$A$4,0))+INDEX(Dim_Product!$D$2:$D$4,MATCH(F2,Dim_Product!$A$2:$A$4,0))),G2-H2,G2-H2-1)</f>
        <v>31</v>
      </c>
      <c r="O2" s="4">
        <f t="shared" ref="O2:O65" si="3">G2-N2</f>
        <v>1</v>
      </c>
      <c r="P2" s="4">
        <f>INDEX(Dim_Product!$G$2:$G$4,MATCH(F2,Dim_Product!$A$2:$A$4,0))+0.01</f>
        <v>70.010000000000005</v>
      </c>
      <c r="Q2" s="4">
        <f>IF(AND(P2&gt;=INDEX(Dim_Product!$G$2:$G$4,MATCH(F2,Dim_Product!$A$2:$A$4,0))-INDEX(Dim_Product!$H$2:$H$4,MATCH(F2,Dim_Product!$A$2:$A$4,0)),P2&lt;=INDEX(Dim_Product!$G$2:$G$4,MATCH(F2,Dim_Product!$A$2:$A$4,0))+INDEX(Dim_Product!$H$2:$H$4,MATCH(F2,Dim_Product!$A$2:$A$4,0))),G2-H2,G2-H2-1)</f>
        <v>31</v>
      </c>
      <c r="R2" s="4">
        <f t="shared" ref="R2:R65" si="4">G2-Q2</f>
        <v>1</v>
      </c>
      <c r="S2" s="4">
        <f>INDEX(Dim_Product!$K$2:$K$4,MATCH(F2,Dim_Product!$A$2:$A$4,0))+-0.3</f>
        <v>119.7</v>
      </c>
      <c r="T2" s="4">
        <f>IF(AND(S2&gt;=INDEX(Dim_Product!$K$2:$K$4,MATCH(F2,Dim_Product!$A$2:$A$4,0))-INDEX(Dim_Product!$L$2:$L$4,MATCH(F2,Dim_Product!$A$2:$A$4,0)),S2&lt;=INDEX(Dim_Product!$K$2:$K$4,MATCH(F2,Dim_Product!$A$2:$A$4,0))+INDEX(Dim_Product!$L$2:$L$4,MATCH(F2,Dim_Product!$A$2:$A$4,0))),G2-H2,G2-H2-1)</f>
        <v>31</v>
      </c>
      <c r="U2" s="4">
        <f t="shared" ref="U2:U65" si="5">G2-T2</f>
        <v>1</v>
      </c>
      <c r="V2" s="4">
        <f t="shared" ref="V2:V65" si="6">IFERROR(H2/G2,0)</f>
        <v>3.125E-2</v>
      </c>
      <c r="W2" s="19">
        <f t="shared" ref="W2:W65" si="7">1-V2</f>
        <v>0.96875</v>
      </c>
    </row>
    <row r="3" spans="1:23" x14ac:dyDescent="0.25">
      <c r="A3" s="18" t="s">
        <v>499</v>
      </c>
      <c r="B3" s="4">
        <f>Fact_Production_Hourly!B3</f>
        <v>20260701</v>
      </c>
      <c r="C3" s="4">
        <f>Fact_Production_Hourly!C3</f>
        <v>0</v>
      </c>
      <c r="D3" s="4" t="str">
        <f>Fact_Production_Hourly!D3</f>
        <v>M2</v>
      </c>
      <c r="E3" s="4" t="str">
        <f>Fact_Production_Hourly!E3</f>
        <v>B-PM</v>
      </c>
      <c r="F3" s="4" t="str">
        <f>Fact_Production_Hourly!F3</f>
        <v>C</v>
      </c>
      <c r="G3" s="4">
        <f>INDEX(Dim_Machine!$D$2:$D$8,MATCH(D3,Dim_Machine!$A$2:$A$8,0))*2</f>
        <v>48</v>
      </c>
      <c r="H3" s="4">
        <f>ROUND(G3*0.015,0)</f>
        <v>1</v>
      </c>
      <c r="I3" s="4">
        <f t="shared" si="0"/>
        <v>0</v>
      </c>
      <c r="J3" s="4">
        <f t="shared" si="1"/>
        <v>0</v>
      </c>
      <c r="K3" s="4">
        <f t="shared" si="2"/>
        <v>1</v>
      </c>
      <c r="L3" s="4" t="s">
        <v>500</v>
      </c>
      <c r="M3" s="4">
        <f>INDEX(Dim_Product!$C$2:$C$4,MATCH(F3,Dim_Product!$A$2:$A$4,0))+-0.45</f>
        <v>199.55</v>
      </c>
      <c r="N3" s="4">
        <f>IF(AND(M3&gt;=INDEX(Dim_Product!$C$2:$C$4,MATCH(F3,Dim_Product!$A$2:$A$4,0))-INDEX(Dim_Product!$D$2:$D$4,MATCH(F3,Dim_Product!$A$2:$A$4,0)),M3&lt;=INDEX(Dim_Product!$C$2:$C$4,MATCH(F3,Dim_Product!$A$2:$A$4,0))+INDEX(Dim_Product!$D$2:$D$4,MATCH(F3,Dim_Product!$A$2:$A$4,0))),G3-H3,G3-H3-1)</f>
        <v>47</v>
      </c>
      <c r="O3" s="4">
        <f t="shared" si="3"/>
        <v>1</v>
      </c>
      <c r="P3" s="4">
        <f>INDEX(Dim_Product!$G$2:$G$4,MATCH(F3,Dim_Product!$A$2:$A$4,0))+0.24</f>
        <v>65.239999999999995</v>
      </c>
      <c r="Q3" s="4">
        <f>IF(AND(P3&gt;=INDEX(Dim_Product!$G$2:$G$4,MATCH(F3,Dim_Product!$A$2:$A$4,0))-INDEX(Dim_Product!$H$2:$H$4,MATCH(F3,Dim_Product!$A$2:$A$4,0)),P3&lt;=INDEX(Dim_Product!$G$2:$G$4,MATCH(F3,Dim_Product!$A$2:$A$4,0))+INDEX(Dim_Product!$H$2:$H$4,MATCH(F3,Dim_Product!$A$2:$A$4,0))),G3-H3,G3-H3-1)</f>
        <v>47</v>
      </c>
      <c r="R3" s="4">
        <f t="shared" si="4"/>
        <v>1</v>
      </c>
      <c r="S3" s="4">
        <f>INDEX(Dim_Product!$K$2:$K$4,MATCH(F3,Dim_Product!$A$2:$A$4,0))+-0.28</f>
        <v>109.72</v>
      </c>
      <c r="T3" s="4">
        <f>IF(AND(S3&gt;=INDEX(Dim_Product!$K$2:$K$4,MATCH(F3,Dim_Product!$A$2:$A$4,0))-INDEX(Dim_Product!$L$2:$L$4,MATCH(F3,Dim_Product!$A$2:$A$4,0)),S3&lt;=INDEX(Dim_Product!$K$2:$K$4,MATCH(F3,Dim_Product!$A$2:$A$4,0))+INDEX(Dim_Product!$L$2:$L$4,MATCH(F3,Dim_Product!$A$2:$A$4,0))),G3-H3,G3-H3-1)</f>
        <v>47</v>
      </c>
      <c r="U3" s="4">
        <f t="shared" si="5"/>
        <v>1</v>
      </c>
      <c r="V3" s="4">
        <f t="shared" si="6"/>
        <v>2.0833333333333332E-2</v>
      </c>
      <c r="W3" s="19">
        <f t="shared" si="7"/>
        <v>0.97916666666666663</v>
      </c>
    </row>
    <row r="4" spans="1:23" x14ac:dyDescent="0.25">
      <c r="A4" s="18" t="s">
        <v>501</v>
      </c>
      <c r="B4" s="4">
        <f>Fact_Production_Hourly!B4</f>
        <v>20260701</v>
      </c>
      <c r="C4" s="4">
        <f>Fact_Production_Hourly!C4</f>
        <v>0</v>
      </c>
      <c r="D4" s="4" t="str">
        <f>Fact_Production_Hourly!D4</f>
        <v>M3</v>
      </c>
      <c r="E4" s="4" t="str">
        <f>Fact_Production_Hourly!E4</f>
        <v>B-PM</v>
      </c>
      <c r="F4" s="4" t="str">
        <f>Fact_Production_Hourly!F4</f>
        <v>A</v>
      </c>
      <c r="G4" s="4">
        <f>INDEX(Dim_Machine!$D$2:$D$8,MATCH(D4,Dim_Machine!$A$2:$A$8,0))*2</f>
        <v>24</v>
      </c>
      <c r="H4" s="4">
        <f>ROUND(G4*0.0362,0)</f>
        <v>1</v>
      </c>
      <c r="I4" s="4">
        <f t="shared" si="0"/>
        <v>0</v>
      </c>
      <c r="J4" s="4">
        <f t="shared" si="1"/>
        <v>0</v>
      </c>
      <c r="K4" s="4">
        <f t="shared" si="2"/>
        <v>1</v>
      </c>
      <c r="L4" s="4" t="s">
        <v>500</v>
      </c>
      <c r="M4" s="4">
        <f>INDEX(Dim_Product!$C$2:$C$4,MATCH(F4,Dim_Product!$A$2:$A$4,0))+0.63</f>
        <v>250.63</v>
      </c>
      <c r="N4" s="4">
        <f>IF(AND(M4&gt;=INDEX(Dim_Product!$C$2:$C$4,MATCH(F4,Dim_Product!$A$2:$A$4,0))-INDEX(Dim_Product!$D$2:$D$4,MATCH(F4,Dim_Product!$A$2:$A$4,0)),M4&lt;=INDEX(Dim_Product!$C$2:$C$4,MATCH(F4,Dim_Product!$A$2:$A$4,0))+INDEX(Dim_Product!$D$2:$D$4,MATCH(F4,Dim_Product!$A$2:$A$4,0))),G4-H4,G4-H4-1)</f>
        <v>23</v>
      </c>
      <c r="O4" s="4">
        <f t="shared" si="3"/>
        <v>1</v>
      </c>
      <c r="P4" s="4">
        <f>INDEX(Dim_Product!$G$2:$G$4,MATCH(F4,Dim_Product!$A$2:$A$4,0))+0.23</f>
        <v>70.23</v>
      </c>
      <c r="Q4" s="4">
        <f>IF(AND(P4&gt;=INDEX(Dim_Product!$G$2:$G$4,MATCH(F4,Dim_Product!$A$2:$A$4,0))-INDEX(Dim_Product!$H$2:$H$4,MATCH(F4,Dim_Product!$A$2:$A$4,0)),P4&lt;=INDEX(Dim_Product!$G$2:$G$4,MATCH(F4,Dim_Product!$A$2:$A$4,0))+INDEX(Dim_Product!$H$2:$H$4,MATCH(F4,Dim_Product!$A$2:$A$4,0))),G4-H4,G4-H4-1)</f>
        <v>23</v>
      </c>
      <c r="R4" s="4">
        <f t="shared" si="4"/>
        <v>1</v>
      </c>
      <c r="S4" s="4">
        <f>INDEX(Dim_Product!$K$2:$K$4,MATCH(F4,Dim_Product!$A$2:$A$4,0))+0.34</f>
        <v>120.34</v>
      </c>
      <c r="T4" s="4">
        <f>IF(AND(S4&gt;=INDEX(Dim_Product!$K$2:$K$4,MATCH(F4,Dim_Product!$A$2:$A$4,0))-INDEX(Dim_Product!$L$2:$L$4,MATCH(F4,Dim_Product!$A$2:$A$4,0)),S4&lt;=INDEX(Dim_Product!$K$2:$K$4,MATCH(F4,Dim_Product!$A$2:$A$4,0))+INDEX(Dim_Product!$L$2:$L$4,MATCH(F4,Dim_Product!$A$2:$A$4,0))),G4-H4,G4-H4-1)</f>
        <v>23</v>
      </c>
      <c r="U4" s="4">
        <f t="shared" si="5"/>
        <v>1</v>
      </c>
      <c r="V4" s="4">
        <f t="shared" si="6"/>
        <v>4.1666666666666664E-2</v>
      </c>
      <c r="W4" s="19">
        <f t="shared" si="7"/>
        <v>0.95833333333333337</v>
      </c>
    </row>
    <row r="5" spans="1:23" x14ac:dyDescent="0.25">
      <c r="A5" s="18" t="s">
        <v>502</v>
      </c>
      <c r="B5" s="4">
        <f>Fact_Production_Hourly!B5</f>
        <v>20260701</v>
      </c>
      <c r="C5" s="4">
        <f>Fact_Production_Hourly!C5</f>
        <v>0</v>
      </c>
      <c r="D5" s="4" t="str">
        <f>Fact_Production_Hourly!D5</f>
        <v>M4</v>
      </c>
      <c r="E5" s="4" t="str">
        <f>Fact_Production_Hourly!E5</f>
        <v>B-PM</v>
      </c>
      <c r="F5" s="4" t="str">
        <f>Fact_Production_Hourly!F5</f>
        <v>A</v>
      </c>
      <c r="G5" s="4">
        <f>INDEX(Dim_Machine!$D$2:$D$8,MATCH(D5,Dim_Machine!$A$2:$A$8,0))*2</f>
        <v>48</v>
      </c>
      <c r="H5" s="4">
        <f>ROUND(G5*0.0349,0)</f>
        <v>2</v>
      </c>
      <c r="I5" s="4">
        <f t="shared" si="0"/>
        <v>0</v>
      </c>
      <c r="J5" s="4">
        <f t="shared" si="1"/>
        <v>1</v>
      </c>
      <c r="K5" s="4">
        <f t="shared" si="2"/>
        <v>1</v>
      </c>
      <c r="L5" s="4" t="s">
        <v>503</v>
      </c>
      <c r="M5" s="4">
        <f>INDEX(Dim_Product!$C$2:$C$4,MATCH(F5,Dim_Product!$A$2:$A$4,0))+0</f>
        <v>250</v>
      </c>
      <c r="N5" s="4">
        <f>IF(AND(M5&gt;=INDEX(Dim_Product!$C$2:$C$4,MATCH(F5,Dim_Product!$A$2:$A$4,0))-INDEX(Dim_Product!$D$2:$D$4,MATCH(F5,Dim_Product!$A$2:$A$4,0)),M5&lt;=INDEX(Dim_Product!$C$2:$C$4,MATCH(F5,Dim_Product!$A$2:$A$4,0))+INDEX(Dim_Product!$D$2:$D$4,MATCH(F5,Dim_Product!$A$2:$A$4,0))),G5-H5,G5-H5-1)</f>
        <v>46</v>
      </c>
      <c r="O5" s="4">
        <f t="shared" si="3"/>
        <v>2</v>
      </c>
      <c r="P5" s="4">
        <f>INDEX(Dim_Product!$G$2:$G$4,MATCH(F5,Dim_Product!$A$2:$A$4,0))+-0.16</f>
        <v>69.84</v>
      </c>
      <c r="Q5" s="4">
        <f>IF(AND(P5&gt;=INDEX(Dim_Product!$G$2:$G$4,MATCH(F5,Dim_Product!$A$2:$A$4,0))-INDEX(Dim_Product!$H$2:$H$4,MATCH(F5,Dim_Product!$A$2:$A$4,0)),P5&lt;=INDEX(Dim_Product!$G$2:$G$4,MATCH(F5,Dim_Product!$A$2:$A$4,0))+INDEX(Dim_Product!$H$2:$H$4,MATCH(F5,Dim_Product!$A$2:$A$4,0))),G5-H5,G5-H5-1)</f>
        <v>46</v>
      </c>
      <c r="R5" s="4">
        <f t="shared" si="4"/>
        <v>2</v>
      </c>
      <c r="S5" s="4">
        <f>INDEX(Dim_Product!$K$2:$K$4,MATCH(F5,Dim_Product!$A$2:$A$4,0))+0.4</f>
        <v>120.4</v>
      </c>
      <c r="T5" s="4">
        <f>IF(AND(S5&gt;=INDEX(Dim_Product!$K$2:$K$4,MATCH(F5,Dim_Product!$A$2:$A$4,0))-INDEX(Dim_Product!$L$2:$L$4,MATCH(F5,Dim_Product!$A$2:$A$4,0)),S5&lt;=INDEX(Dim_Product!$K$2:$K$4,MATCH(F5,Dim_Product!$A$2:$A$4,0))+INDEX(Dim_Product!$L$2:$L$4,MATCH(F5,Dim_Product!$A$2:$A$4,0))),G5-H5,G5-H5-1)</f>
        <v>46</v>
      </c>
      <c r="U5" s="4">
        <f t="shared" si="5"/>
        <v>2</v>
      </c>
      <c r="V5" s="4">
        <f t="shared" si="6"/>
        <v>4.1666666666666664E-2</v>
      </c>
      <c r="W5" s="19">
        <f t="shared" si="7"/>
        <v>0.95833333333333337</v>
      </c>
    </row>
    <row r="6" spans="1:23" x14ac:dyDescent="0.25">
      <c r="A6" s="18" t="s">
        <v>504</v>
      </c>
      <c r="B6" s="4">
        <f>Fact_Production_Hourly!B6</f>
        <v>20260701</v>
      </c>
      <c r="C6" s="4">
        <f>Fact_Production_Hourly!C6</f>
        <v>0</v>
      </c>
      <c r="D6" s="4" t="str">
        <f>Fact_Production_Hourly!D6</f>
        <v>M5</v>
      </c>
      <c r="E6" s="4" t="str">
        <f>Fact_Production_Hourly!E6</f>
        <v>B-PM</v>
      </c>
      <c r="F6" s="4" t="str">
        <f>Fact_Production_Hourly!F6</f>
        <v>A</v>
      </c>
      <c r="G6" s="4">
        <f>INDEX(Dim_Machine!$D$2:$D$8,MATCH(D6,Dim_Machine!$A$2:$A$8,0))*2</f>
        <v>32</v>
      </c>
      <c r="H6" s="4">
        <f>ROUND(G6*0.0325,0)</f>
        <v>1</v>
      </c>
      <c r="I6" s="4">
        <f t="shared" si="0"/>
        <v>0</v>
      </c>
      <c r="J6" s="4">
        <f t="shared" si="1"/>
        <v>0</v>
      </c>
      <c r="K6" s="4">
        <f t="shared" si="2"/>
        <v>1</v>
      </c>
      <c r="L6" s="4" t="s">
        <v>498</v>
      </c>
      <c r="M6" s="4">
        <f>INDEX(Dim_Product!$C$2:$C$4,MATCH(F6,Dim_Product!$A$2:$A$4,0))+-0.36</f>
        <v>249.64</v>
      </c>
      <c r="N6" s="4">
        <f>IF(AND(M6&gt;=INDEX(Dim_Product!$C$2:$C$4,MATCH(F6,Dim_Product!$A$2:$A$4,0))-INDEX(Dim_Product!$D$2:$D$4,MATCH(F6,Dim_Product!$A$2:$A$4,0)),M6&lt;=INDEX(Dim_Product!$C$2:$C$4,MATCH(F6,Dim_Product!$A$2:$A$4,0))+INDEX(Dim_Product!$D$2:$D$4,MATCH(F6,Dim_Product!$A$2:$A$4,0))),G6-H6,G6-H6-1)</f>
        <v>31</v>
      </c>
      <c r="O6" s="4">
        <f t="shared" si="3"/>
        <v>1</v>
      </c>
      <c r="P6" s="4">
        <f>INDEX(Dim_Product!$G$2:$G$4,MATCH(F6,Dim_Product!$A$2:$A$4,0))+-0.24</f>
        <v>69.760000000000005</v>
      </c>
      <c r="Q6" s="4">
        <f>IF(AND(P6&gt;=INDEX(Dim_Product!$G$2:$G$4,MATCH(F6,Dim_Product!$A$2:$A$4,0))-INDEX(Dim_Product!$H$2:$H$4,MATCH(F6,Dim_Product!$A$2:$A$4,0)),P6&lt;=INDEX(Dim_Product!$G$2:$G$4,MATCH(F6,Dim_Product!$A$2:$A$4,0))+INDEX(Dim_Product!$H$2:$H$4,MATCH(F6,Dim_Product!$A$2:$A$4,0))),G6-H6,G6-H6-1)</f>
        <v>31</v>
      </c>
      <c r="R6" s="4">
        <f t="shared" si="4"/>
        <v>1</v>
      </c>
      <c r="S6" s="4">
        <f>INDEX(Dim_Product!$K$2:$K$4,MATCH(F6,Dim_Product!$A$2:$A$4,0))+0.17</f>
        <v>120.17</v>
      </c>
      <c r="T6" s="4">
        <f>IF(AND(S6&gt;=INDEX(Dim_Product!$K$2:$K$4,MATCH(F6,Dim_Product!$A$2:$A$4,0))-INDEX(Dim_Product!$L$2:$L$4,MATCH(F6,Dim_Product!$A$2:$A$4,0)),S6&lt;=INDEX(Dim_Product!$K$2:$K$4,MATCH(F6,Dim_Product!$A$2:$A$4,0))+INDEX(Dim_Product!$L$2:$L$4,MATCH(F6,Dim_Product!$A$2:$A$4,0))),G6-H6,G6-H6-1)</f>
        <v>31</v>
      </c>
      <c r="U6" s="4">
        <f t="shared" si="5"/>
        <v>1</v>
      </c>
      <c r="V6" s="4">
        <f t="shared" si="6"/>
        <v>3.125E-2</v>
      </c>
      <c r="W6" s="19">
        <f t="shared" si="7"/>
        <v>0.96875</v>
      </c>
    </row>
    <row r="7" spans="1:23" x14ac:dyDescent="0.25">
      <c r="A7" s="18" t="s">
        <v>505</v>
      </c>
      <c r="B7" s="4">
        <f>Fact_Production_Hourly!B7</f>
        <v>20260701</v>
      </c>
      <c r="C7" s="4">
        <f>Fact_Production_Hourly!C7</f>
        <v>0</v>
      </c>
      <c r="D7" s="4" t="str">
        <f>Fact_Production_Hourly!D7</f>
        <v>M6</v>
      </c>
      <c r="E7" s="4" t="str">
        <f>Fact_Production_Hourly!E7</f>
        <v>B-PM</v>
      </c>
      <c r="F7" s="4" t="str">
        <f>Fact_Production_Hourly!F7</f>
        <v>C</v>
      </c>
      <c r="G7" s="4">
        <f>INDEX(Dim_Machine!$D$2:$D$8,MATCH(D7,Dim_Machine!$A$2:$A$8,0))*2</f>
        <v>24</v>
      </c>
      <c r="H7" s="4">
        <f>ROUND(G7*0.0301,0)</f>
        <v>1</v>
      </c>
      <c r="I7" s="4">
        <f t="shared" si="0"/>
        <v>0</v>
      </c>
      <c r="J7" s="4">
        <f t="shared" si="1"/>
        <v>0</v>
      </c>
      <c r="K7" s="4">
        <f t="shared" si="2"/>
        <v>1</v>
      </c>
      <c r="L7" s="4" t="s">
        <v>500</v>
      </c>
      <c r="M7" s="4">
        <f>INDEX(Dim_Product!$C$2:$C$4,MATCH(F7,Dim_Product!$A$2:$A$4,0))+-0.72</f>
        <v>199.28</v>
      </c>
      <c r="N7" s="4">
        <f>IF(AND(M7&gt;=INDEX(Dim_Product!$C$2:$C$4,MATCH(F7,Dim_Product!$A$2:$A$4,0))-INDEX(Dim_Product!$D$2:$D$4,MATCH(F7,Dim_Product!$A$2:$A$4,0)),M7&lt;=INDEX(Dim_Product!$C$2:$C$4,MATCH(F7,Dim_Product!$A$2:$A$4,0))+INDEX(Dim_Product!$D$2:$D$4,MATCH(F7,Dim_Product!$A$2:$A$4,0))),G7-H7,G7-H7-1)</f>
        <v>23</v>
      </c>
      <c r="O7" s="4">
        <f t="shared" si="3"/>
        <v>1</v>
      </c>
      <c r="P7" s="4">
        <f>INDEX(Dim_Product!$G$2:$G$4,MATCH(F7,Dim_Product!$A$2:$A$4,0))+-0.13</f>
        <v>64.87</v>
      </c>
      <c r="Q7" s="4">
        <f>IF(AND(P7&gt;=INDEX(Dim_Product!$G$2:$G$4,MATCH(F7,Dim_Product!$A$2:$A$4,0))-INDEX(Dim_Product!$H$2:$H$4,MATCH(F7,Dim_Product!$A$2:$A$4,0)),P7&lt;=INDEX(Dim_Product!$G$2:$G$4,MATCH(F7,Dim_Product!$A$2:$A$4,0))+INDEX(Dim_Product!$H$2:$H$4,MATCH(F7,Dim_Product!$A$2:$A$4,0))),G7-H7,G7-H7-1)</f>
        <v>23</v>
      </c>
      <c r="R7" s="4">
        <f t="shared" si="4"/>
        <v>1</v>
      </c>
      <c r="S7" s="4">
        <f>INDEX(Dim_Product!$K$2:$K$4,MATCH(F7,Dim_Product!$A$2:$A$4,0))+0.26</f>
        <v>110.26</v>
      </c>
      <c r="T7" s="4">
        <f>IF(AND(S7&gt;=INDEX(Dim_Product!$K$2:$K$4,MATCH(F7,Dim_Product!$A$2:$A$4,0))-INDEX(Dim_Product!$L$2:$L$4,MATCH(F7,Dim_Product!$A$2:$A$4,0)),S7&lt;=INDEX(Dim_Product!$K$2:$K$4,MATCH(F7,Dim_Product!$A$2:$A$4,0))+INDEX(Dim_Product!$L$2:$L$4,MATCH(F7,Dim_Product!$A$2:$A$4,0))),G7-H7,G7-H7-1)</f>
        <v>23</v>
      </c>
      <c r="U7" s="4">
        <f t="shared" si="5"/>
        <v>1</v>
      </c>
      <c r="V7" s="4">
        <f t="shared" si="6"/>
        <v>4.1666666666666664E-2</v>
      </c>
      <c r="W7" s="19">
        <f t="shared" si="7"/>
        <v>0.95833333333333337</v>
      </c>
    </row>
    <row r="8" spans="1:23" x14ac:dyDescent="0.25">
      <c r="A8" s="18" t="s">
        <v>506</v>
      </c>
      <c r="B8" s="4">
        <f>Fact_Production_Hourly!B8</f>
        <v>20260701</v>
      </c>
      <c r="C8" s="4">
        <f>Fact_Production_Hourly!C8</f>
        <v>0</v>
      </c>
      <c r="D8" s="4" t="str">
        <f>Fact_Production_Hourly!D8</f>
        <v>M7</v>
      </c>
      <c r="E8" s="4" t="str">
        <f>Fact_Production_Hourly!E8</f>
        <v>B-PM</v>
      </c>
      <c r="F8" s="4" t="str">
        <f>Fact_Production_Hourly!F8</f>
        <v>A</v>
      </c>
      <c r="G8" s="4">
        <f>INDEX(Dim_Machine!$D$2:$D$8,MATCH(D8,Dim_Machine!$A$2:$A$8,0))*2</f>
        <v>48</v>
      </c>
      <c r="H8" s="4">
        <f>ROUND(G8*0.0518,0)</f>
        <v>2</v>
      </c>
      <c r="I8" s="4">
        <f t="shared" si="0"/>
        <v>0</v>
      </c>
      <c r="J8" s="4">
        <f t="shared" si="1"/>
        <v>1</v>
      </c>
      <c r="K8" s="4">
        <f t="shared" si="2"/>
        <v>1</v>
      </c>
      <c r="L8" s="4" t="s">
        <v>500</v>
      </c>
      <c r="M8" s="4">
        <f>INDEX(Dim_Product!$C$2:$C$4,MATCH(F8,Dim_Product!$A$2:$A$4,0))+0.52</f>
        <v>250.52</v>
      </c>
      <c r="N8" s="4">
        <f>IF(AND(M8&gt;=INDEX(Dim_Product!$C$2:$C$4,MATCH(F8,Dim_Product!$A$2:$A$4,0))-INDEX(Dim_Product!$D$2:$D$4,MATCH(F8,Dim_Product!$A$2:$A$4,0)),M8&lt;=INDEX(Dim_Product!$C$2:$C$4,MATCH(F8,Dim_Product!$A$2:$A$4,0))+INDEX(Dim_Product!$D$2:$D$4,MATCH(F8,Dim_Product!$A$2:$A$4,0))),G8-H8,G8-H8-1)</f>
        <v>46</v>
      </c>
      <c r="O8" s="4">
        <f t="shared" si="3"/>
        <v>2</v>
      </c>
      <c r="P8" s="4">
        <f>INDEX(Dim_Product!$G$2:$G$4,MATCH(F8,Dim_Product!$A$2:$A$4,0))+-0.02</f>
        <v>69.98</v>
      </c>
      <c r="Q8" s="4">
        <f>IF(AND(P8&gt;=INDEX(Dim_Product!$G$2:$G$4,MATCH(F8,Dim_Product!$A$2:$A$4,0))-INDEX(Dim_Product!$H$2:$H$4,MATCH(F8,Dim_Product!$A$2:$A$4,0)),P8&lt;=INDEX(Dim_Product!$G$2:$G$4,MATCH(F8,Dim_Product!$A$2:$A$4,0))+INDEX(Dim_Product!$H$2:$H$4,MATCH(F8,Dim_Product!$A$2:$A$4,0))),G8-H8,G8-H8-1)</f>
        <v>46</v>
      </c>
      <c r="R8" s="4">
        <f t="shared" si="4"/>
        <v>2</v>
      </c>
      <c r="S8" s="4">
        <f>INDEX(Dim_Product!$K$2:$K$4,MATCH(F8,Dim_Product!$A$2:$A$4,0))+0.09</f>
        <v>120.09</v>
      </c>
      <c r="T8" s="4">
        <f>IF(AND(S8&gt;=INDEX(Dim_Product!$K$2:$K$4,MATCH(F8,Dim_Product!$A$2:$A$4,0))-INDEX(Dim_Product!$L$2:$L$4,MATCH(F8,Dim_Product!$A$2:$A$4,0)),S8&lt;=INDEX(Dim_Product!$K$2:$K$4,MATCH(F8,Dim_Product!$A$2:$A$4,0))+INDEX(Dim_Product!$L$2:$L$4,MATCH(F8,Dim_Product!$A$2:$A$4,0))),G8-H8,G8-H8-1)</f>
        <v>46</v>
      </c>
      <c r="U8" s="4">
        <f t="shared" si="5"/>
        <v>2</v>
      </c>
      <c r="V8" s="4">
        <f t="shared" si="6"/>
        <v>4.1666666666666664E-2</v>
      </c>
      <c r="W8" s="19">
        <f t="shared" si="7"/>
        <v>0.95833333333333337</v>
      </c>
    </row>
    <row r="9" spans="1:23" x14ac:dyDescent="0.25">
      <c r="A9" s="18" t="s">
        <v>507</v>
      </c>
      <c r="B9" s="4">
        <f>Fact_Production_Hourly!B9</f>
        <v>20260701</v>
      </c>
      <c r="C9" s="4">
        <f>Fact_Production_Hourly!C9</f>
        <v>1</v>
      </c>
      <c r="D9" s="4" t="str">
        <f>Fact_Production_Hourly!D9</f>
        <v>M1</v>
      </c>
      <c r="E9" s="4" t="str">
        <f>Fact_Production_Hourly!E9</f>
        <v>B-PM</v>
      </c>
      <c r="F9" s="4" t="str">
        <f>Fact_Production_Hourly!F9</f>
        <v>A</v>
      </c>
      <c r="G9" s="4">
        <f>INDEX(Dim_Machine!$D$2:$D$8,MATCH(D9,Dim_Machine!$A$2:$A$8,0))*2</f>
        <v>32</v>
      </c>
      <c r="H9" s="4">
        <f>ROUND(G9*0.0644,0)</f>
        <v>2</v>
      </c>
      <c r="I9" s="4">
        <f t="shared" si="0"/>
        <v>0</v>
      </c>
      <c r="J9" s="4">
        <f t="shared" si="1"/>
        <v>1</v>
      </c>
      <c r="K9" s="4">
        <f t="shared" si="2"/>
        <v>1</v>
      </c>
      <c r="L9" s="4" t="s">
        <v>498</v>
      </c>
      <c r="M9" s="4">
        <f>INDEX(Dim_Product!$C$2:$C$4,MATCH(F9,Dim_Product!$A$2:$A$4,0))+-0.49</f>
        <v>249.51</v>
      </c>
      <c r="N9" s="4">
        <f>IF(AND(M9&gt;=INDEX(Dim_Product!$C$2:$C$4,MATCH(F9,Dim_Product!$A$2:$A$4,0))-INDEX(Dim_Product!$D$2:$D$4,MATCH(F9,Dim_Product!$A$2:$A$4,0)),M9&lt;=INDEX(Dim_Product!$C$2:$C$4,MATCH(F9,Dim_Product!$A$2:$A$4,0))+INDEX(Dim_Product!$D$2:$D$4,MATCH(F9,Dim_Product!$A$2:$A$4,0))),G9-H9,G9-H9-1)</f>
        <v>30</v>
      </c>
      <c r="O9" s="4">
        <f t="shared" si="3"/>
        <v>2</v>
      </c>
      <c r="P9" s="4">
        <f>INDEX(Dim_Product!$G$2:$G$4,MATCH(F9,Dim_Product!$A$2:$A$4,0))+0.2</f>
        <v>70.2</v>
      </c>
      <c r="Q9" s="4">
        <f>IF(AND(P9&gt;=INDEX(Dim_Product!$G$2:$G$4,MATCH(F9,Dim_Product!$A$2:$A$4,0))-INDEX(Dim_Product!$H$2:$H$4,MATCH(F9,Dim_Product!$A$2:$A$4,0)),P9&lt;=INDEX(Dim_Product!$G$2:$G$4,MATCH(F9,Dim_Product!$A$2:$A$4,0))+INDEX(Dim_Product!$H$2:$H$4,MATCH(F9,Dim_Product!$A$2:$A$4,0))),G9-H9,G9-H9-1)</f>
        <v>30</v>
      </c>
      <c r="R9" s="4">
        <f t="shared" si="4"/>
        <v>2</v>
      </c>
      <c r="S9" s="4">
        <f>INDEX(Dim_Product!$K$2:$K$4,MATCH(F9,Dim_Product!$A$2:$A$4,0))+0.04</f>
        <v>120.04</v>
      </c>
      <c r="T9" s="4">
        <f>IF(AND(S9&gt;=INDEX(Dim_Product!$K$2:$K$4,MATCH(F9,Dim_Product!$A$2:$A$4,0))-INDEX(Dim_Product!$L$2:$L$4,MATCH(F9,Dim_Product!$A$2:$A$4,0)),S9&lt;=INDEX(Dim_Product!$K$2:$K$4,MATCH(F9,Dim_Product!$A$2:$A$4,0))+INDEX(Dim_Product!$L$2:$L$4,MATCH(F9,Dim_Product!$A$2:$A$4,0))),G9-H9,G9-H9-1)</f>
        <v>30</v>
      </c>
      <c r="U9" s="4">
        <f t="shared" si="5"/>
        <v>2</v>
      </c>
      <c r="V9" s="4">
        <f t="shared" si="6"/>
        <v>6.25E-2</v>
      </c>
      <c r="W9" s="19">
        <f t="shared" si="7"/>
        <v>0.9375</v>
      </c>
    </row>
    <row r="10" spans="1:23" x14ac:dyDescent="0.25">
      <c r="A10" s="18" t="s">
        <v>508</v>
      </c>
      <c r="B10" s="4">
        <f>Fact_Production_Hourly!B10</f>
        <v>20260701</v>
      </c>
      <c r="C10" s="4">
        <f>Fact_Production_Hourly!C10</f>
        <v>1</v>
      </c>
      <c r="D10" s="4" t="str">
        <f>Fact_Production_Hourly!D10</f>
        <v>M2</v>
      </c>
      <c r="E10" s="4" t="str">
        <f>Fact_Production_Hourly!E10</f>
        <v>B-PM</v>
      </c>
      <c r="F10" s="4" t="str">
        <f>Fact_Production_Hourly!F10</f>
        <v>C</v>
      </c>
      <c r="G10" s="4">
        <f>INDEX(Dim_Machine!$D$2:$D$8,MATCH(D10,Dim_Machine!$A$2:$A$8,0))*2</f>
        <v>48</v>
      </c>
      <c r="H10" s="4">
        <f>ROUND(G10*0.0536,0)</f>
        <v>3</v>
      </c>
      <c r="I10" s="4">
        <f t="shared" si="0"/>
        <v>0</v>
      </c>
      <c r="J10" s="4">
        <f t="shared" si="1"/>
        <v>1</v>
      </c>
      <c r="K10" s="4">
        <f t="shared" si="2"/>
        <v>2</v>
      </c>
      <c r="L10" s="4" t="s">
        <v>509</v>
      </c>
      <c r="M10" s="4">
        <f>INDEX(Dim_Product!$C$2:$C$4,MATCH(F10,Dim_Product!$A$2:$A$4,0))+-0.15</f>
        <v>199.85</v>
      </c>
      <c r="N10" s="4">
        <f>IF(AND(M10&gt;=INDEX(Dim_Product!$C$2:$C$4,MATCH(F10,Dim_Product!$A$2:$A$4,0))-INDEX(Dim_Product!$D$2:$D$4,MATCH(F10,Dim_Product!$A$2:$A$4,0)),M10&lt;=INDEX(Dim_Product!$C$2:$C$4,MATCH(F10,Dim_Product!$A$2:$A$4,0))+INDEX(Dim_Product!$D$2:$D$4,MATCH(F10,Dim_Product!$A$2:$A$4,0))),G10-H10,G10-H10-1)</f>
        <v>45</v>
      </c>
      <c r="O10" s="4">
        <f t="shared" si="3"/>
        <v>3</v>
      </c>
      <c r="P10" s="4">
        <f>INDEX(Dim_Product!$G$2:$G$4,MATCH(F10,Dim_Product!$A$2:$A$4,0))+0.17</f>
        <v>65.17</v>
      </c>
      <c r="Q10" s="4">
        <f>IF(AND(P10&gt;=INDEX(Dim_Product!$G$2:$G$4,MATCH(F10,Dim_Product!$A$2:$A$4,0))-INDEX(Dim_Product!$H$2:$H$4,MATCH(F10,Dim_Product!$A$2:$A$4,0)),P10&lt;=INDEX(Dim_Product!$G$2:$G$4,MATCH(F10,Dim_Product!$A$2:$A$4,0))+INDEX(Dim_Product!$H$2:$H$4,MATCH(F10,Dim_Product!$A$2:$A$4,0))),G10-H10,G10-H10-1)</f>
        <v>45</v>
      </c>
      <c r="R10" s="4">
        <f t="shared" si="4"/>
        <v>3</v>
      </c>
      <c r="S10" s="4">
        <f>INDEX(Dim_Product!$K$2:$K$4,MATCH(F10,Dim_Product!$A$2:$A$4,0))+-0.21</f>
        <v>109.79</v>
      </c>
      <c r="T10" s="4">
        <f>IF(AND(S10&gt;=INDEX(Dim_Product!$K$2:$K$4,MATCH(F10,Dim_Product!$A$2:$A$4,0))-INDEX(Dim_Product!$L$2:$L$4,MATCH(F10,Dim_Product!$A$2:$A$4,0)),S10&lt;=INDEX(Dim_Product!$K$2:$K$4,MATCH(F10,Dim_Product!$A$2:$A$4,0))+INDEX(Dim_Product!$L$2:$L$4,MATCH(F10,Dim_Product!$A$2:$A$4,0))),G10-H10,G10-H10-1)</f>
        <v>45</v>
      </c>
      <c r="U10" s="4">
        <f t="shared" si="5"/>
        <v>3</v>
      </c>
      <c r="V10" s="4">
        <f t="shared" si="6"/>
        <v>6.25E-2</v>
      </c>
      <c r="W10" s="19">
        <f t="shared" si="7"/>
        <v>0.9375</v>
      </c>
    </row>
    <row r="11" spans="1:23" x14ac:dyDescent="0.25">
      <c r="A11" s="18" t="s">
        <v>510</v>
      </c>
      <c r="B11" s="4">
        <f>Fact_Production_Hourly!B11</f>
        <v>20260701</v>
      </c>
      <c r="C11" s="4">
        <f>Fact_Production_Hourly!C11</f>
        <v>1</v>
      </c>
      <c r="D11" s="4" t="str">
        <f>Fact_Production_Hourly!D11</f>
        <v>M3</v>
      </c>
      <c r="E11" s="4" t="str">
        <f>Fact_Production_Hourly!E11</f>
        <v>B-PM</v>
      </c>
      <c r="F11" s="4" t="str">
        <f>Fact_Production_Hourly!F11</f>
        <v>A</v>
      </c>
      <c r="G11" s="4">
        <f>INDEX(Dim_Machine!$D$2:$D$8,MATCH(D11,Dim_Machine!$A$2:$A$8,0))*2</f>
        <v>24</v>
      </c>
      <c r="H11" s="4">
        <f>ROUND(G11*0.0173,0)</f>
        <v>0</v>
      </c>
      <c r="I11" s="4">
        <f t="shared" si="0"/>
        <v>0</v>
      </c>
      <c r="J11" s="4">
        <f t="shared" si="1"/>
        <v>0</v>
      </c>
      <c r="K11" s="4">
        <f t="shared" si="2"/>
        <v>0</v>
      </c>
      <c r="L11" s="4" t="s">
        <v>500</v>
      </c>
      <c r="M11" s="4">
        <f>INDEX(Dim_Product!$C$2:$C$4,MATCH(F11,Dim_Product!$A$2:$A$4,0))+-0.16</f>
        <v>249.84</v>
      </c>
      <c r="N11" s="4">
        <f>IF(AND(M11&gt;=INDEX(Dim_Product!$C$2:$C$4,MATCH(F11,Dim_Product!$A$2:$A$4,0))-INDEX(Dim_Product!$D$2:$D$4,MATCH(F11,Dim_Product!$A$2:$A$4,0)),M11&lt;=INDEX(Dim_Product!$C$2:$C$4,MATCH(F11,Dim_Product!$A$2:$A$4,0))+INDEX(Dim_Product!$D$2:$D$4,MATCH(F11,Dim_Product!$A$2:$A$4,0))),G11-H11,G11-H11-1)</f>
        <v>24</v>
      </c>
      <c r="O11" s="4">
        <f t="shared" si="3"/>
        <v>0</v>
      </c>
      <c r="P11" s="4">
        <f>INDEX(Dim_Product!$G$2:$G$4,MATCH(F11,Dim_Product!$A$2:$A$4,0))+0.18</f>
        <v>70.180000000000007</v>
      </c>
      <c r="Q11" s="4">
        <f>IF(AND(P11&gt;=INDEX(Dim_Product!$G$2:$G$4,MATCH(F11,Dim_Product!$A$2:$A$4,0))-INDEX(Dim_Product!$H$2:$H$4,MATCH(F11,Dim_Product!$A$2:$A$4,0)),P11&lt;=INDEX(Dim_Product!$G$2:$G$4,MATCH(F11,Dim_Product!$A$2:$A$4,0))+INDEX(Dim_Product!$H$2:$H$4,MATCH(F11,Dim_Product!$A$2:$A$4,0))),G11-H11,G11-H11-1)</f>
        <v>24</v>
      </c>
      <c r="R11" s="4">
        <f t="shared" si="4"/>
        <v>0</v>
      </c>
      <c r="S11" s="4">
        <f>INDEX(Dim_Product!$K$2:$K$4,MATCH(F11,Dim_Product!$A$2:$A$4,0))+-0.03</f>
        <v>119.97</v>
      </c>
      <c r="T11" s="4">
        <f>IF(AND(S11&gt;=INDEX(Dim_Product!$K$2:$K$4,MATCH(F11,Dim_Product!$A$2:$A$4,0))-INDEX(Dim_Product!$L$2:$L$4,MATCH(F11,Dim_Product!$A$2:$A$4,0)),S11&lt;=INDEX(Dim_Product!$K$2:$K$4,MATCH(F11,Dim_Product!$A$2:$A$4,0))+INDEX(Dim_Product!$L$2:$L$4,MATCH(F11,Dim_Product!$A$2:$A$4,0))),G11-H11,G11-H11-1)</f>
        <v>24</v>
      </c>
      <c r="U11" s="4">
        <f t="shared" si="5"/>
        <v>0</v>
      </c>
      <c r="V11" s="4">
        <f t="shared" si="6"/>
        <v>0</v>
      </c>
      <c r="W11" s="19">
        <f t="shared" si="7"/>
        <v>1</v>
      </c>
    </row>
    <row r="12" spans="1:23" x14ac:dyDescent="0.25">
      <c r="A12" s="18" t="s">
        <v>511</v>
      </c>
      <c r="B12" s="4">
        <f>Fact_Production_Hourly!B12</f>
        <v>20260701</v>
      </c>
      <c r="C12" s="4">
        <f>Fact_Production_Hourly!C12</f>
        <v>1</v>
      </c>
      <c r="D12" s="4" t="str">
        <f>Fact_Production_Hourly!D12</f>
        <v>M4</v>
      </c>
      <c r="E12" s="4" t="str">
        <f>Fact_Production_Hourly!E12</f>
        <v>B-PM</v>
      </c>
      <c r="F12" s="4" t="str">
        <f>Fact_Production_Hourly!F12</f>
        <v>A</v>
      </c>
      <c r="G12" s="4">
        <f>INDEX(Dim_Machine!$D$2:$D$8,MATCH(D12,Dim_Machine!$A$2:$A$8,0))*2</f>
        <v>48</v>
      </c>
      <c r="H12" s="4">
        <f>ROUND(G12*0.0167,0)</f>
        <v>1</v>
      </c>
      <c r="I12" s="4">
        <f t="shared" si="0"/>
        <v>0</v>
      </c>
      <c r="J12" s="4">
        <f t="shared" si="1"/>
        <v>0</v>
      </c>
      <c r="K12" s="4">
        <f t="shared" si="2"/>
        <v>1</v>
      </c>
      <c r="L12" s="4" t="s">
        <v>503</v>
      </c>
      <c r="M12" s="4">
        <f>INDEX(Dim_Product!$C$2:$C$4,MATCH(F12,Dim_Product!$A$2:$A$4,0))+0.19</f>
        <v>250.19</v>
      </c>
      <c r="N12" s="4">
        <f>IF(AND(M12&gt;=INDEX(Dim_Product!$C$2:$C$4,MATCH(F12,Dim_Product!$A$2:$A$4,0))-INDEX(Dim_Product!$D$2:$D$4,MATCH(F12,Dim_Product!$A$2:$A$4,0)),M12&lt;=INDEX(Dim_Product!$C$2:$C$4,MATCH(F12,Dim_Product!$A$2:$A$4,0))+INDEX(Dim_Product!$D$2:$D$4,MATCH(F12,Dim_Product!$A$2:$A$4,0))),G12-H12,G12-H12-1)</f>
        <v>47</v>
      </c>
      <c r="O12" s="4">
        <f t="shared" si="3"/>
        <v>1</v>
      </c>
      <c r="P12" s="4">
        <f>INDEX(Dim_Product!$G$2:$G$4,MATCH(F12,Dim_Product!$A$2:$A$4,0))+-0.29</f>
        <v>69.709999999999994</v>
      </c>
      <c r="Q12" s="4">
        <f>IF(AND(P12&gt;=INDEX(Dim_Product!$G$2:$G$4,MATCH(F12,Dim_Product!$A$2:$A$4,0))-INDEX(Dim_Product!$H$2:$H$4,MATCH(F12,Dim_Product!$A$2:$A$4,0)),P12&lt;=INDEX(Dim_Product!$G$2:$G$4,MATCH(F12,Dim_Product!$A$2:$A$4,0))+INDEX(Dim_Product!$H$2:$H$4,MATCH(F12,Dim_Product!$A$2:$A$4,0))),G12-H12,G12-H12-1)</f>
        <v>47</v>
      </c>
      <c r="R12" s="4">
        <f t="shared" si="4"/>
        <v>1</v>
      </c>
      <c r="S12" s="4">
        <f>INDEX(Dim_Product!$K$2:$K$4,MATCH(F12,Dim_Product!$A$2:$A$4,0))+0.01</f>
        <v>120.01</v>
      </c>
      <c r="T12" s="4">
        <f>IF(AND(S12&gt;=INDEX(Dim_Product!$K$2:$K$4,MATCH(F12,Dim_Product!$A$2:$A$4,0))-INDEX(Dim_Product!$L$2:$L$4,MATCH(F12,Dim_Product!$A$2:$A$4,0)),S12&lt;=INDEX(Dim_Product!$K$2:$K$4,MATCH(F12,Dim_Product!$A$2:$A$4,0))+INDEX(Dim_Product!$L$2:$L$4,MATCH(F12,Dim_Product!$A$2:$A$4,0))),G12-H12,G12-H12-1)</f>
        <v>47</v>
      </c>
      <c r="U12" s="4">
        <f t="shared" si="5"/>
        <v>1</v>
      </c>
      <c r="V12" s="4">
        <f t="shared" si="6"/>
        <v>2.0833333333333332E-2</v>
      </c>
      <c r="W12" s="19">
        <f t="shared" si="7"/>
        <v>0.97916666666666663</v>
      </c>
    </row>
    <row r="13" spans="1:23" x14ac:dyDescent="0.25">
      <c r="A13" s="18" t="s">
        <v>512</v>
      </c>
      <c r="B13" s="4">
        <f>Fact_Production_Hourly!B13</f>
        <v>20260701</v>
      </c>
      <c r="C13" s="4">
        <f>Fact_Production_Hourly!C13</f>
        <v>1</v>
      </c>
      <c r="D13" s="4" t="str">
        <f>Fact_Production_Hourly!D13</f>
        <v>M5</v>
      </c>
      <c r="E13" s="4" t="str">
        <f>Fact_Production_Hourly!E13</f>
        <v>B-PM</v>
      </c>
      <c r="F13" s="4" t="str">
        <f>Fact_Production_Hourly!F13</f>
        <v>A</v>
      </c>
      <c r="G13" s="4">
        <f>INDEX(Dim_Machine!$D$2:$D$8,MATCH(D13,Dim_Machine!$A$2:$A$8,0))*2</f>
        <v>32</v>
      </c>
      <c r="H13" s="4">
        <f>ROUND(G13*0.0245,0)</f>
        <v>1</v>
      </c>
      <c r="I13" s="4">
        <f t="shared" si="0"/>
        <v>0</v>
      </c>
      <c r="J13" s="4">
        <f t="shared" si="1"/>
        <v>0</v>
      </c>
      <c r="K13" s="4">
        <f t="shared" si="2"/>
        <v>1</v>
      </c>
      <c r="L13" s="4" t="s">
        <v>500</v>
      </c>
      <c r="M13" s="4">
        <f>INDEX(Dim_Product!$C$2:$C$4,MATCH(F13,Dim_Product!$A$2:$A$4,0))+-0.42</f>
        <v>249.58</v>
      </c>
      <c r="N13" s="4">
        <f>IF(AND(M13&gt;=INDEX(Dim_Product!$C$2:$C$4,MATCH(F13,Dim_Product!$A$2:$A$4,0))-INDEX(Dim_Product!$D$2:$D$4,MATCH(F13,Dim_Product!$A$2:$A$4,0)),M13&lt;=INDEX(Dim_Product!$C$2:$C$4,MATCH(F13,Dim_Product!$A$2:$A$4,0))+INDEX(Dim_Product!$D$2:$D$4,MATCH(F13,Dim_Product!$A$2:$A$4,0))),G13-H13,G13-H13-1)</f>
        <v>31</v>
      </c>
      <c r="O13" s="4">
        <f t="shared" si="3"/>
        <v>1</v>
      </c>
      <c r="P13" s="4">
        <f>INDEX(Dim_Product!$G$2:$G$4,MATCH(F13,Dim_Product!$A$2:$A$4,0))+-0.3</f>
        <v>69.7</v>
      </c>
      <c r="Q13" s="4">
        <f>IF(AND(P13&gt;=INDEX(Dim_Product!$G$2:$G$4,MATCH(F13,Dim_Product!$A$2:$A$4,0))-INDEX(Dim_Product!$H$2:$H$4,MATCH(F13,Dim_Product!$A$2:$A$4,0)),P13&lt;=INDEX(Dim_Product!$G$2:$G$4,MATCH(F13,Dim_Product!$A$2:$A$4,0))+INDEX(Dim_Product!$H$2:$H$4,MATCH(F13,Dim_Product!$A$2:$A$4,0))),G13-H13,G13-H13-1)</f>
        <v>31</v>
      </c>
      <c r="R13" s="4">
        <f t="shared" si="4"/>
        <v>1</v>
      </c>
      <c r="S13" s="4">
        <f>INDEX(Dim_Product!$K$2:$K$4,MATCH(F13,Dim_Product!$A$2:$A$4,0))+-0.12</f>
        <v>119.88</v>
      </c>
      <c r="T13" s="4">
        <f>IF(AND(S13&gt;=INDEX(Dim_Product!$K$2:$K$4,MATCH(F13,Dim_Product!$A$2:$A$4,0))-INDEX(Dim_Product!$L$2:$L$4,MATCH(F13,Dim_Product!$A$2:$A$4,0)),S13&lt;=INDEX(Dim_Product!$K$2:$K$4,MATCH(F13,Dim_Product!$A$2:$A$4,0))+INDEX(Dim_Product!$L$2:$L$4,MATCH(F13,Dim_Product!$A$2:$A$4,0))),G13-H13,G13-H13-1)</f>
        <v>31</v>
      </c>
      <c r="U13" s="4">
        <f t="shared" si="5"/>
        <v>1</v>
      </c>
      <c r="V13" s="4">
        <f t="shared" si="6"/>
        <v>3.125E-2</v>
      </c>
      <c r="W13" s="19">
        <f t="shared" si="7"/>
        <v>0.96875</v>
      </c>
    </row>
    <row r="14" spans="1:23" x14ac:dyDescent="0.25">
      <c r="A14" s="18" t="s">
        <v>513</v>
      </c>
      <c r="B14" s="4">
        <f>Fact_Production_Hourly!B14</f>
        <v>20260701</v>
      </c>
      <c r="C14" s="4">
        <f>Fact_Production_Hourly!C14</f>
        <v>1</v>
      </c>
      <c r="D14" s="4" t="str">
        <f>Fact_Production_Hourly!D14</f>
        <v>M6</v>
      </c>
      <c r="E14" s="4" t="str">
        <f>Fact_Production_Hourly!E14</f>
        <v>B-PM</v>
      </c>
      <c r="F14" s="4" t="str">
        <f>Fact_Production_Hourly!F14</f>
        <v>C</v>
      </c>
      <c r="G14" s="4">
        <f>INDEX(Dim_Machine!$D$2:$D$8,MATCH(D14,Dim_Machine!$A$2:$A$8,0))*2</f>
        <v>24</v>
      </c>
      <c r="H14" s="4">
        <f>ROUND(G14*0.0442,0)</f>
        <v>1</v>
      </c>
      <c r="I14" s="4">
        <f t="shared" si="0"/>
        <v>0</v>
      </c>
      <c r="J14" s="4">
        <f t="shared" si="1"/>
        <v>0</v>
      </c>
      <c r="K14" s="4">
        <f t="shared" si="2"/>
        <v>1</v>
      </c>
      <c r="L14" s="4" t="s">
        <v>500</v>
      </c>
      <c r="M14" s="4">
        <f>INDEX(Dim_Product!$C$2:$C$4,MATCH(F14,Dim_Product!$A$2:$A$4,0))+0.33</f>
        <v>200.33</v>
      </c>
      <c r="N14" s="4">
        <f>IF(AND(M14&gt;=INDEX(Dim_Product!$C$2:$C$4,MATCH(F14,Dim_Product!$A$2:$A$4,0))-INDEX(Dim_Product!$D$2:$D$4,MATCH(F14,Dim_Product!$A$2:$A$4,0)),M14&lt;=INDEX(Dim_Product!$C$2:$C$4,MATCH(F14,Dim_Product!$A$2:$A$4,0))+INDEX(Dim_Product!$D$2:$D$4,MATCH(F14,Dim_Product!$A$2:$A$4,0))),G14-H14,G14-H14-1)</f>
        <v>23</v>
      </c>
      <c r="O14" s="4">
        <f t="shared" si="3"/>
        <v>1</v>
      </c>
      <c r="P14" s="4">
        <f>INDEX(Dim_Product!$G$2:$G$4,MATCH(F14,Dim_Product!$A$2:$A$4,0))+-0.25</f>
        <v>64.75</v>
      </c>
      <c r="Q14" s="4">
        <f>IF(AND(P14&gt;=INDEX(Dim_Product!$G$2:$G$4,MATCH(F14,Dim_Product!$A$2:$A$4,0))-INDEX(Dim_Product!$H$2:$H$4,MATCH(F14,Dim_Product!$A$2:$A$4,0)),P14&lt;=INDEX(Dim_Product!$G$2:$G$4,MATCH(F14,Dim_Product!$A$2:$A$4,0))+INDEX(Dim_Product!$H$2:$H$4,MATCH(F14,Dim_Product!$A$2:$A$4,0))),G14-H14,G14-H14-1)</f>
        <v>23</v>
      </c>
      <c r="R14" s="4">
        <f t="shared" si="4"/>
        <v>1</v>
      </c>
      <c r="S14" s="4">
        <f>INDEX(Dim_Product!$K$2:$K$4,MATCH(F14,Dim_Product!$A$2:$A$4,0))+0.38</f>
        <v>110.38</v>
      </c>
      <c r="T14" s="4">
        <f>IF(AND(S14&gt;=INDEX(Dim_Product!$K$2:$K$4,MATCH(F14,Dim_Product!$A$2:$A$4,0))-INDEX(Dim_Product!$L$2:$L$4,MATCH(F14,Dim_Product!$A$2:$A$4,0)),S14&lt;=INDEX(Dim_Product!$K$2:$K$4,MATCH(F14,Dim_Product!$A$2:$A$4,0))+INDEX(Dim_Product!$L$2:$L$4,MATCH(F14,Dim_Product!$A$2:$A$4,0))),G14-H14,G14-H14-1)</f>
        <v>23</v>
      </c>
      <c r="U14" s="4">
        <f t="shared" si="5"/>
        <v>1</v>
      </c>
      <c r="V14" s="4">
        <f t="shared" si="6"/>
        <v>4.1666666666666664E-2</v>
      </c>
      <c r="W14" s="19">
        <f t="shared" si="7"/>
        <v>0.95833333333333337</v>
      </c>
    </row>
    <row r="15" spans="1:23" x14ac:dyDescent="0.25">
      <c r="A15" s="18" t="s">
        <v>514</v>
      </c>
      <c r="B15" s="4">
        <f>Fact_Production_Hourly!B15</f>
        <v>20260701</v>
      </c>
      <c r="C15" s="4">
        <f>Fact_Production_Hourly!C15</f>
        <v>1</v>
      </c>
      <c r="D15" s="4" t="str">
        <f>Fact_Production_Hourly!D15</f>
        <v>M7</v>
      </c>
      <c r="E15" s="4" t="str">
        <f>Fact_Production_Hourly!E15</f>
        <v>B-PM</v>
      </c>
      <c r="F15" s="4" t="str">
        <f>Fact_Production_Hourly!F15</f>
        <v>A</v>
      </c>
      <c r="G15" s="4">
        <f>INDEX(Dim_Machine!$D$2:$D$8,MATCH(D15,Dim_Machine!$A$2:$A$8,0))*2</f>
        <v>48</v>
      </c>
      <c r="H15" s="4">
        <f>ROUND(G15*0.0141,0)</f>
        <v>1</v>
      </c>
      <c r="I15" s="4">
        <f t="shared" si="0"/>
        <v>0</v>
      </c>
      <c r="J15" s="4">
        <f t="shared" si="1"/>
        <v>0</v>
      </c>
      <c r="K15" s="4">
        <f t="shared" si="2"/>
        <v>1</v>
      </c>
      <c r="L15" s="4" t="s">
        <v>509</v>
      </c>
      <c r="M15" s="4">
        <f>INDEX(Dim_Product!$C$2:$C$4,MATCH(F15,Dim_Product!$A$2:$A$4,0))+0.09</f>
        <v>250.09</v>
      </c>
      <c r="N15" s="4">
        <f>IF(AND(M15&gt;=INDEX(Dim_Product!$C$2:$C$4,MATCH(F15,Dim_Product!$A$2:$A$4,0))-INDEX(Dim_Product!$D$2:$D$4,MATCH(F15,Dim_Product!$A$2:$A$4,0)),M15&lt;=INDEX(Dim_Product!$C$2:$C$4,MATCH(F15,Dim_Product!$A$2:$A$4,0))+INDEX(Dim_Product!$D$2:$D$4,MATCH(F15,Dim_Product!$A$2:$A$4,0))),G15-H15,G15-H15-1)</f>
        <v>47</v>
      </c>
      <c r="O15" s="4">
        <f t="shared" si="3"/>
        <v>1</v>
      </c>
      <c r="P15" s="4">
        <f>INDEX(Dim_Product!$G$2:$G$4,MATCH(F15,Dim_Product!$A$2:$A$4,0))+0.17</f>
        <v>70.17</v>
      </c>
      <c r="Q15" s="4">
        <f>IF(AND(P15&gt;=INDEX(Dim_Product!$G$2:$G$4,MATCH(F15,Dim_Product!$A$2:$A$4,0))-INDEX(Dim_Product!$H$2:$H$4,MATCH(F15,Dim_Product!$A$2:$A$4,0)),P15&lt;=INDEX(Dim_Product!$G$2:$G$4,MATCH(F15,Dim_Product!$A$2:$A$4,0))+INDEX(Dim_Product!$H$2:$H$4,MATCH(F15,Dim_Product!$A$2:$A$4,0))),G15-H15,G15-H15-1)</f>
        <v>47</v>
      </c>
      <c r="R15" s="4">
        <f t="shared" si="4"/>
        <v>1</v>
      </c>
      <c r="S15" s="4">
        <f>INDEX(Dim_Product!$K$2:$K$4,MATCH(F15,Dim_Product!$A$2:$A$4,0))+0.01</f>
        <v>120.01</v>
      </c>
      <c r="T15" s="4">
        <f>IF(AND(S15&gt;=INDEX(Dim_Product!$K$2:$K$4,MATCH(F15,Dim_Product!$A$2:$A$4,0))-INDEX(Dim_Product!$L$2:$L$4,MATCH(F15,Dim_Product!$A$2:$A$4,0)),S15&lt;=INDEX(Dim_Product!$K$2:$K$4,MATCH(F15,Dim_Product!$A$2:$A$4,0))+INDEX(Dim_Product!$L$2:$L$4,MATCH(F15,Dim_Product!$A$2:$A$4,0))),G15-H15,G15-H15-1)</f>
        <v>47</v>
      </c>
      <c r="U15" s="4">
        <f t="shared" si="5"/>
        <v>1</v>
      </c>
      <c r="V15" s="4">
        <f t="shared" si="6"/>
        <v>2.0833333333333332E-2</v>
      </c>
      <c r="W15" s="19">
        <f t="shared" si="7"/>
        <v>0.97916666666666663</v>
      </c>
    </row>
    <row r="16" spans="1:23" x14ac:dyDescent="0.25">
      <c r="A16" s="18" t="s">
        <v>515</v>
      </c>
      <c r="B16" s="4">
        <f>Fact_Production_Hourly!B16</f>
        <v>20260701</v>
      </c>
      <c r="C16" s="4">
        <f>Fact_Production_Hourly!C16</f>
        <v>2</v>
      </c>
      <c r="D16" s="4" t="str">
        <f>Fact_Production_Hourly!D16</f>
        <v>M1</v>
      </c>
      <c r="E16" s="4" t="str">
        <f>Fact_Production_Hourly!E16</f>
        <v>B-PM</v>
      </c>
      <c r="F16" s="4" t="str">
        <f>Fact_Production_Hourly!F16</f>
        <v>A</v>
      </c>
      <c r="G16" s="4">
        <f>INDEX(Dim_Machine!$D$2:$D$8,MATCH(D16,Dim_Machine!$A$2:$A$8,0))*2</f>
        <v>32</v>
      </c>
      <c r="H16" s="4">
        <f>ROUND(G16*0.0112,0)</f>
        <v>0</v>
      </c>
      <c r="I16" s="4">
        <f t="shared" si="0"/>
        <v>0</v>
      </c>
      <c r="J16" s="4">
        <f t="shared" si="1"/>
        <v>0</v>
      </c>
      <c r="K16" s="4">
        <f t="shared" si="2"/>
        <v>0</v>
      </c>
      <c r="L16" s="4" t="s">
        <v>503</v>
      </c>
      <c r="M16" s="4">
        <f>INDEX(Dim_Product!$C$2:$C$4,MATCH(F16,Dim_Product!$A$2:$A$4,0))+-0.91</f>
        <v>249.09</v>
      </c>
      <c r="N16" s="4">
        <f>IF(AND(M16&gt;=INDEX(Dim_Product!$C$2:$C$4,MATCH(F16,Dim_Product!$A$2:$A$4,0))-INDEX(Dim_Product!$D$2:$D$4,MATCH(F16,Dim_Product!$A$2:$A$4,0)),M16&lt;=INDEX(Dim_Product!$C$2:$C$4,MATCH(F16,Dim_Product!$A$2:$A$4,0))+INDEX(Dim_Product!$D$2:$D$4,MATCH(F16,Dim_Product!$A$2:$A$4,0))),G16-H16,G16-H16-1)</f>
        <v>32</v>
      </c>
      <c r="O16" s="4">
        <f t="shared" si="3"/>
        <v>0</v>
      </c>
      <c r="P16" s="4">
        <f>INDEX(Dim_Product!$G$2:$G$4,MATCH(F16,Dim_Product!$A$2:$A$4,0))+-0.07</f>
        <v>69.930000000000007</v>
      </c>
      <c r="Q16" s="4">
        <f>IF(AND(P16&gt;=INDEX(Dim_Product!$G$2:$G$4,MATCH(F16,Dim_Product!$A$2:$A$4,0))-INDEX(Dim_Product!$H$2:$H$4,MATCH(F16,Dim_Product!$A$2:$A$4,0)),P16&lt;=INDEX(Dim_Product!$G$2:$G$4,MATCH(F16,Dim_Product!$A$2:$A$4,0))+INDEX(Dim_Product!$H$2:$H$4,MATCH(F16,Dim_Product!$A$2:$A$4,0))),G16-H16,G16-H16-1)</f>
        <v>32</v>
      </c>
      <c r="R16" s="4">
        <f t="shared" si="4"/>
        <v>0</v>
      </c>
      <c r="S16" s="4">
        <f>INDEX(Dim_Product!$K$2:$K$4,MATCH(F16,Dim_Product!$A$2:$A$4,0))+-0.1</f>
        <v>119.9</v>
      </c>
      <c r="T16" s="4">
        <f>IF(AND(S16&gt;=INDEX(Dim_Product!$K$2:$K$4,MATCH(F16,Dim_Product!$A$2:$A$4,0))-INDEX(Dim_Product!$L$2:$L$4,MATCH(F16,Dim_Product!$A$2:$A$4,0)),S16&lt;=INDEX(Dim_Product!$K$2:$K$4,MATCH(F16,Dim_Product!$A$2:$A$4,0))+INDEX(Dim_Product!$L$2:$L$4,MATCH(F16,Dim_Product!$A$2:$A$4,0))),G16-H16,G16-H16-1)</f>
        <v>32</v>
      </c>
      <c r="U16" s="4">
        <f t="shared" si="5"/>
        <v>0</v>
      </c>
      <c r="V16" s="4">
        <f t="shared" si="6"/>
        <v>0</v>
      </c>
      <c r="W16" s="19">
        <f t="shared" si="7"/>
        <v>1</v>
      </c>
    </row>
    <row r="17" spans="1:23" x14ac:dyDescent="0.25">
      <c r="A17" s="18" t="s">
        <v>516</v>
      </c>
      <c r="B17" s="4">
        <f>Fact_Production_Hourly!B17</f>
        <v>20260701</v>
      </c>
      <c r="C17" s="4">
        <f>Fact_Production_Hourly!C17</f>
        <v>2</v>
      </c>
      <c r="D17" s="4" t="str">
        <f>Fact_Production_Hourly!D17</f>
        <v>M2</v>
      </c>
      <c r="E17" s="4" t="str">
        <f>Fact_Production_Hourly!E17</f>
        <v>B-PM</v>
      </c>
      <c r="F17" s="4" t="str">
        <f>Fact_Production_Hourly!F17</f>
        <v>C</v>
      </c>
      <c r="G17" s="4">
        <f>INDEX(Dim_Machine!$D$2:$D$8,MATCH(D17,Dim_Machine!$A$2:$A$8,0))*2</f>
        <v>48</v>
      </c>
      <c r="H17" s="4">
        <f>ROUND(G17*0.0548,0)</f>
        <v>3</v>
      </c>
      <c r="I17" s="4">
        <f t="shared" si="0"/>
        <v>0</v>
      </c>
      <c r="J17" s="4">
        <f t="shared" si="1"/>
        <v>1</v>
      </c>
      <c r="K17" s="4">
        <f t="shared" si="2"/>
        <v>2</v>
      </c>
      <c r="L17" s="4" t="s">
        <v>517</v>
      </c>
      <c r="M17" s="4">
        <f>INDEX(Dim_Product!$C$2:$C$4,MATCH(F17,Dim_Product!$A$2:$A$4,0))+0.58</f>
        <v>200.58</v>
      </c>
      <c r="N17" s="4">
        <f>IF(AND(M17&gt;=INDEX(Dim_Product!$C$2:$C$4,MATCH(F17,Dim_Product!$A$2:$A$4,0))-INDEX(Dim_Product!$D$2:$D$4,MATCH(F17,Dim_Product!$A$2:$A$4,0)),M17&lt;=INDEX(Dim_Product!$C$2:$C$4,MATCH(F17,Dim_Product!$A$2:$A$4,0))+INDEX(Dim_Product!$D$2:$D$4,MATCH(F17,Dim_Product!$A$2:$A$4,0))),G17-H17,G17-H17-1)</f>
        <v>45</v>
      </c>
      <c r="O17" s="4">
        <f t="shared" si="3"/>
        <v>3</v>
      </c>
      <c r="P17" s="4">
        <f>INDEX(Dim_Product!$G$2:$G$4,MATCH(F17,Dim_Product!$A$2:$A$4,0))+-0.09</f>
        <v>64.91</v>
      </c>
      <c r="Q17" s="4">
        <f>IF(AND(P17&gt;=INDEX(Dim_Product!$G$2:$G$4,MATCH(F17,Dim_Product!$A$2:$A$4,0))-INDEX(Dim_Product!$H$2:$H$4,MATCH(F17,Dim_Product!$A$2:$A$4,0)),P17&lt;=INDEX(Dim_Product!$G$2:$G$4,MATCH(F17,Dim_Product!$A$2:$A$4,0))+INDEX(Dim_Product!$H$2:$H$4,MATCH(F17,Dim_Product!$A$2:$A$4,0))),G17-H17,G17-H17-1)</f>
        <v>45</v>
      </c>
      <c r="R17" s="4">
        <f t="shared" si="4"/>
        <v>3</v>
      </c>
      <c r="S17" s="4">
        <f>INDEX(Dim_Product!$K$2:$K$4,MATCH(F17,Dim_Product!$A$2:$A$4,0))+0.19</f>
        <v>110.19</v>
      </c>
      <c r="T17" s="4">
        <f>IF(AND(S17&gt;=INDEX(Dim_Product!$K$2:$K$4,MATCH(F17,Dim_Product!$A$2:$A$4,0))-INDEX(Dim_Product!$L$2:$L$4,MATCH(F17,Dim_Product!$A$2:$A$4,0)),S17&lt;=INDEX(Dim_Product!$K$2:$K$4,MATCH(F17,Dim_Product!$A$2:$A$4,0))+INDEX(Dim_Product!$L$2:$L$4,MATCH(F17,Dim_Product!$A$2:$A$4,0))),G17-H17,G17-H17-1)</f>
        <v>45</v>
      </c>
      <c r="U17" s="4">
        <f t="shared" si="5"/>
        <v>3</v>
      </c>
      <c r="V17" s="4">
        <f t="shared" si="6"/>
        <v>6.25E-2</v>
      </c>
      <c r="W17" s="19">
        <f t="shared" si="7"/>
        <v>0.9375</v>
      </c>
    </row>
    <row r="18" spans="1:23" x14ac:dyDescent="0.25">
      <c r="A18" s="18" t="s">
        <v>518</v>
      </c>
      <c r="B18" s="4">
        <f>Fact_Production_Hourly!B18</f>
        <v>20260701</v>
      </c>
      <c r="C18" s="4">
        <f>Fact_Production_Hourly!C18</f>
        <v>2</v>
      </c>
      <c r="D18" s="4" t="str">
        <f>Fact_Production_Hourly!D18</f>
        <v>M3</v>
      </c>
      <c r="E18" s="4" t="str">
        <f>Fact_Production_Hourly!E18</f>
        <v>B-PM</v>
      </c>
      <c r="F18" s="4" t="str">
        <f>Fact_Production_Hourly!F18</f>
        <v>A</v>
      </c>
      <c r="G18" s="4">
        <f>INDEX(Dim_Machine!$D$2:$D$8,MATCH(D18,Dim_Machine!$A$2:$A$8,0))*2</f>
        <v>24</v>
      </c>
      <c r="H18" s="4">
        <f>ROUND(G18*0.0477,0)</f>
        <v>1</v>
      </c>
      <c r="I18" s="4">
        <f t="shared" si="0"/>
        <v>0</v>
      </c>
      <c r="J18" s="4">
        <f t="shared" si="1"/>
        <v>0</v>
      </c>
      <c r="K18" s="4">
        <f t="shared" si="2"/>
        <v>1</v>
      </c>
      <c r="L18" s="4" t="s">
        <v>509</v>
      </c>
      <c r="M18" s="4">
        <f>INDEX(Dim_Product!$C$2:$C$4,MATCH(F18,Dim_Product!$A$2:$A$4,0))+0.47</f>
        <v>250.47</v>
      </c>
      <c r="N18" s="4">
        <f>IF(AND(M18&gt;=INDEX(Dim_Product!$C$2:$C$4,MATCH(F18,Dim_Product!$A$2:$A$4,0))-INDEX(Dim_Product!$D$2:$D$4,MATCH(F18,Dim_Product!$A$2:$A$4,0)),M18&lt;=INDEX(Dim_Product!$C$2:$C$4,MATCH(F18,Dim_Product!$A$2:$A$4,0))+INDEX(Dim_Product!$D$2:$D$4,MATCH(F18,Dim_Product!$A$2:$A$4,0))),G18-H18,G18-H18-1)</f>
        <v>23</v>
      </c>
      <c r="O18" s="4">
        <f t="shared" si="3"/>
        <v>1</v>
      </c>
      <c r="P18" s="4">
        <f>INDEX(Dim_Product!$G$2:$G$4,MATCH(F18,Dim_Product!$A$2:$A$4,0))+-0.1</f>
        <v>69.900000000000006</v>
      </c>
      <c r="Q18" s="4">
        <f>IF(AND(P18&gt;=INDEX(Dim_Product!$G$2:$G$4,MATCH(F18,Dim_Product!$A$2:$A$4,0))-INDEX(Dim_Product!$H$2:$H$4,MATCH(F18,Dim_Product!$A$2:$A$4,0)),P18&lt;=INDEX(Dim_Product!$G$2:$G$4,MATCH(F18,Dim_Product!$A$2:$A$4,0))+INDEX(Dim_Product!$H$2:$H$4,MATCH(F18,Dim_Product!$A$2:$A$4,0))),G18-H18,G18-H18-1)</f>
        <v>23</v>
      </c>
      <c r="R18" s="4">
        <f t="shared" si="4"/>
        <v>1</v>
      </c>
      <c r="S18" s="4">
        <f>INDEX(Dim_Product!$K$2:$K$4,MATCH(F18,Dim_Product!$A$2:$A$4,0))+-0.36</f>
        <v>119.64</v>
      </c>
      <c r="T18" s="4">
        <f>IF(AND(S18&gt;=INDEX(Dim_Product!$K$2:$K$4,MATCH(F18,Dim_Product!$A$2:$A$4,0))-INDEX(Dim_Product!$L$2:$L$4,MATCH(F18,Dim_Product!$A$2:$A$4,0)),S18&lt;=INDEX(Dim_Product!$K$2:$K$4,MATCH(F18,Dim_Product!$A$2:$A$4,0))+INDEX(Dim_Product!$L$2:$L$4,MATCH(F18,Dim_Product!$A$2:$A$4,0))),G18-H18,G18-H18-1)</f>
        <v>23</v>
      </c>
      <c r="U18" s="4">
        <f t="shared" si="5"/>
        <v>1</v>
      </c>
      <c r="V18" s="4">
        <f t="shared" si="6"/>
        <v>4.1666666666666664E-2</v>
      </c>
      <c r="W18" s="19">
        <f t="shared" si="7"/>
        <v>0.95833333333333337</v>
      </c>
    </row>
    <row r="19" spans="1:23" x14ac:dyDescent="0.25">
      <c r="A19" s="18" t="s">
        <v>519</v>
      </c>
      <c r="B19" s="4">
        <f>Fact_Production_Hourly!B19</f>
        <v>20260701</v>
      </c>
      <c r="C19" s="4">
        <f>Fact_Production_Hourly!C19</f>
        <v>2</v>
      </c>
      <c r="D19" s="4" t="str">
        <f>Fact_Production_Hourly!D19</f>
        <v>M4</v>
      </c>
      <c r="E19" s="4" t="str">
        <f>Fact_Production_Hourly!E19</f>
        <v>B-PM</v>
      </c>
      <c r="F19" s="4" t="str">
        <f>Fact_Production_Hourly!F19</f>
        <v>A</v>
      </c>
      <c r="G19" s="4">
        <f>INDEX(Dim_Machine!$D$2:$D$8,MATCH(D19,Dim_Machine!$A$2:$A$8,0))*2</f>
        <v>48</v>
      </c>
      <c r="H19" s="4">
        <f>ROUND(G19*0.0428,0)</f>
        <v>2</v>
      </c>
      <c r="I19" s="4">
        <f t="shared" si="0"/>
        <v>0</v>
      </c>
      <c r="J19" s="4">
        <f t="shared" si="1"/>
        <v>1</v>
      </c>
      <c r="K19" s="4">
        <f t="shared" si="2"/>
        <v>1</v>
      </c>
      <c r="L19" s="4" t="s">
        <v>520</v>
      </c>
      <c r="M19" s="4">
        <f>INDEX(Dim_Product!$C$2:$C$4,MATCH(F19,Dim_Product!$A$2:$A$4,0))+-0.65</f>
        <v>249.35</v>
      </c>
      <c r="N19" s="4">
        <f>IF(AND(M19&gt;=INDEX(Dim_Product!$C$2:$C$4,MATCH(F19,Dim_Product!$A$2:$A$4,0))-INDEX(Dim_Product!$D$2:$D$4,MATCH(F19,Dim_Product!$A$2:$A$4,0)),M19&lt;=INDEX(Dim_Product!$C$2:$C$4,MATCH(F19,Dim_Product!$A$2:$A$4,0))+INDEX(Dim_Product!$D$2:$D$4,MATCH(F19,Dim_Product!$A$2:$A$4,0))),G19-H19,G19-H19-1)</f>
        <v>46</v>
      </c>
      <c r="O19" s="4">
        <f t="shared" si="3"/>
        <v>2</v>
      </c>
      <c r="P19" s="4">
        <f>INDEX(Dim_Product!$G$2:$G$4,MATCH(F19,Dim_Product!$A$2:$A$4,0))+0.17</f>
        <v>70.17</v>
      </c>
      <c r="Q19" s="4">
        <f>IF(AND(P19&gt;=INDEX(Dim_Product!$G$2:$G$4,MATCH(F19,Dim_Product!$A$2:$A$4,0))-INDEX(Dim_Product!$H$2:$H$4,MATCH(F19,Dim_Product!$A$2:$A$4,0)),P19&lt;=INDEX(Dim_Product!$G$2:$G$4,MATCH(F19,Dim_Product!$A$2:$A$4,0))+INDEX(Dim_Product!$H$2:$H$4,MATCH(F19,Dim_Product!$A$2:$A$4,0))),G19-H19,G19-H19-1)</f>
        <v>46</v>
      </c>
      <c r="R19" s="4">
        <f t="shared" si="4"/>
        <v>2</v>
      </c>
      <c r="S19" s="4">
        <f>INDEX(Dim_Product!$K$2:$K$4,MATCH(F19,Dim_Product!$A$2:$A$4,0))+-0.03</f>
        <v>119.97</v>
      </c>
      <c r="T19" s="4">
        <f>IF(AND(S19&gt;=INDEX(Dim_Product!$K$2:$K$4,MATCH(F19,Dim_Product!$A$2:$A$4,0))-INDEX(Dim_Product!$L$2:$L$4,MATCH(F19,Dim_Product!$A$2:$A$4,0)),S19&lt;=INDEX(Dim_Product!$K$2:$K$4,MATCH(F19,Dim_Product!$A$2:$A$4,0))+INDEX(Dim_Product!$L$2:$L$4,MATCH(F19,Dim_Product!$A$2:$A$4,0))),G19-H19,G19-H19-1)</f>
        <v>46</v>
      </c>
      <c r="U19" s="4">
        <f t="shared" si="5"/>
        <v>2</v>
      </c>
      <c r="V19" s="4">
        <f t="shared" si="6"/>
        <v>4.1666666666666664E-2</v>
      </c>
      <c r="W19" s="19">
        <f t="shared" si="7"/>
        <v>0.95833333333333337</v>
      </c>
    </row>
    <row r="20" spans="1:23" x14ac:dyDescent="0.25">
      <c r="A20" s="18" t="s">
        <v>521</v>
      </c>
      <c r="B20" s="4">
        <f>Fact_Production_Hourly!B20</f>
        <v>20260701</v>
      </c>
      <c r="C20" s="4">
        <f>Fact_Production_Hourly!C20</f>
        <v>2</v>
      </c>
      <c r="D20" s="4" t="str">
        <f>Fact_Production_Hourly!D20</f>
        <v>M5</v>
      </c>
      <c r="E20" s="4" t="str">
        <f>Fact_Production_Hourly!E20</f>
        <v>B-PM</v>
      </c>
      <c r="F20" s="4" t="str">
        <f>Fact_Production_Hourly!F20</f>
        <v>A</v>
      </c>
      <c r="G20" s="4">
        <f>INDEX(Dim_Machine!$D$2:$D$8,MATCH(D20,Dim_Machine!$A$2:$A$8,0))*2</f>
        <v>32</v>
      </c>
      <c r="H20" s="4">
        <f>ROUND(G20*0.0517,0)</f>
        <v>2</v>
      </c>
      <c r="I20" s="4">
        <f t="shared" si="0"/>
        <v>0</v>
      </c>
      <c r="J20" s="4">
        <f t="shared" si="1"/>
        <v>1</v>
      </c>
      <c r="K20" s="4">
        <f t="shared" si="2"/>
        <v>1</v>
      </c>
      <c r="L20" s="4" t="s">
        <v>520</v>
      </c>
      <c r="M20" s="4">
        <f>INDEX(Dim_Product!$C$2:$C$4,MATCH(F20,Dim_Product!$A$2:$A$4,0))+-0.64</f>
        <v>249.36</v>
      </c>
      <c r="N20" s="4">
        <f>IF(AND(M20&gt;=INDEX(Dim_Product!$C$2:$C$4,MATCH(F20,Dim_Product!$A$2:$A$4,0))-INDEX(Dim_Product!$D$2:$D$4,MATCH(F20,Dim_Product!$A$2:$A$4,0)),M20&lt;=INDEX(Dim_Product!$C$2:$C$4,MATCH(F20,Dim_Product!$A$2:$A$4,0))+INDEX(Dim_Product!$D$2:$D$4,MATCH(F20,Dim_Product!$A$2:$A$4,0))),G20-H20,G20-H20-1)</f>
        <v>30</v>
      </c>
      <c r="O20" s="4">
        <f t="shared" si="3"/>
        <v>2</v>
      </c>
      <c r="P20" s="4">
        <f>INDEX(Dim_Product!$G$2:$G$4,MATCH(F20,Dim_Product!$A$2:$A$4,0))+-0.22</f>
        <v>69.78</v>
      </c>
      <c r="Q20" s="4">
        <f>IF(AND(P20&gt;=INDEX(Dim_Product!$G$2:$G$4,MATCH(F20,Dim_Product!$A$2:$A$4,0))-INDEX(Dim_Product!$H$2:$H$4,MATCH(F20,Dim_Product!$A$2:$A$4,0)),P20&lt;=INDEX(Dim_Product!$G$2:$G$4,MATCH(F20,Dim_Product!$A$2:$A$4,0))+INDEX(Dim_Product!$H$2:$H$4,MATCH(F20,Dim_Product!$A$2:$A$4,0))),G20-H20,G20-H20-1)</f>
        <v>30</v>
      </c>
      <c r="R20" s="4">
        <f t="shared" si="4"/>
        <v>2</v>
      </c>
      <c r="S20" s="4">
        <f>INDEX(Dim_Product!$K$2:$K$4,MATCH(F20,Dim_Product!$A$2:$A$4,0))+0.17</f>
        <v>120.17</v>
      </c>
      <c r="T20" s="4">
        <f>IF(AND(S20&gt;=INDEX(Dim_Product!$K$2:$K$4,MATCH(F20,Dim_Product!$A$2:$A$4,0))-INDEX(Dim_Product!$L$2:$L$4,MATCH(F20,Dim_Product!$A$2:$A$4,0)),S20&lt;=INDEX(Dim_Product!$K$2:$K$4,MATCH(F20,Dim_Product!$A$2:$A$4,0))+INDEX(Dim_Product!$L$2:$L$4,MATCH(F20,Dim_Product!$A$2:$A$4,0))),G20-H20,G20-H20-1)</f>
        <v>30</v>
      </c>
      <c r="U20" s="4">
        <f t="shared" si="5"/>
        <v>2</v>
      </c>
      <c r="V20" s="4">
        <f t="shared" si="6"/>
        <v>6.25E-2</v>
      </c>
      <c r="W20" s="19">
        <f t="shared" si="7"/>
        <v>0.9375</v>
      </c>
    </row>
    <row r="21" spans="1:23" x14ac:dyDescent="0.25">
      <c r="A21" s="18" t="s">
        <v>522</v>
      </c>
      <c r="B21" s="4">
        <f>Fact_Production_Hourly!B21</f>
        <v>20260701</v>
      </c>
      <c r="C21" s="4">
        <f>Fact_Production_Hourly!C21</f>
        <v>2</v>
      </c>
      <c r="D21" s="4" t="str">
        <f>Fact_Production_Hourly!D21</f>
        <v>M6</v>
      </c>
      <c r="E21" s="4" t="str">
        <f>Fact_Production_Hourly!E21</f>
        <v>B-PM</v>
      </c>
      <c r="F21" s="4" t="str">
        <f>Fact_Production_Hourly!F21</f>
        <v>C</v>
      </c>
      <c r="G21" s="4">
        <f>INDEX(Dim_Machine!$D$2:$D$8,MATCH(D21,Dim_Machine!$A$2:$A$8,0))*2</f>
        <v>24</v>
      </c>
      <c r="H21" s="4">
        <f>ROUND(G21*0.0666,0)</f>
        <v>2</v>
      </c>
      <c r="I21" s="4">
        <f t="shared" si="0"/>
        <v>0</v>
      </c>
      <c r="J21" s="4">
        <f t="shared" si="1"/>
        <v>1</v>
      </c>
      <c r="K21" s="4">
        <f t="shared" si="2"/>
        <v>1</v>
      </c>
      <c r="L21" s="4" t="s">
        <v>498</v>
      </c>
      <c r="M21" s="4">
        <f>INDEX(Dim_Product!$C$2:$C$4,MATCH(F21,Dim_Product!$A$2:$A$4,0))+-0.41</f>
        <v>199.59</v>
      </c>
      <c r="N21" s="4">
        <f>IF(AND(M21&gt;=INDEX(Dim_Product!$C$2:$C$4,MATCH(F21,Dim_Product!$A$2:$A$4,0))-INDEX(Dim_Product!$D$2:$D$4,MATCH(F21,Dim_Product!$A$2:$A$4,0)),M21&lt;=INDEX(Dim_Product!$C$2:$C$4,MATCH(F21,Dim_Product!$A$2:$A$4,0))+INDEX(Dim_Product!$D$2:$D$4,MATCH(F21,Dim_Product!$A$2:$A$4,0))),G21-H21,G21-H21-1)</f>
        <v>22</v>
      </c>
      <c r="O21" s="4">
        <f t="shared" si="3"/>
        <v>2</v>
      </c>
      <c r="P21" s="4">
        <f>INDEX(Dim_Product!$G$2:$G$4,MATCH(F21,Dim_Product!$A$2:$A$4,0))+-0.27</f>
        <v>64.73</v>
      </c>
      <c r="Q21" s="4">
        <f>IF(AND(P21&gt;=INDEX(Dim_Product!$G$2:$G$4,MATCH(F21,Dim_Product!$A$2:$A$4,0))-INDEX(Dim_Product!$H$2:$H$4,MATCH(F21,Dim_Product!$A$2:$A$4,0)),P21&lt;=INDEX(Dim_Product!$G$2:$G$4,MATCH(F21,Dim_Product!$A$2:$A$4,0))+INDEX(Dim_Product!$H$2:$H$4,MATCH(F21,Dim_Product!$A$2:$A$4,0))),G21-H21,G21-H21-1)</f>
        <v>22</v>
      </c>
      <c r="R21" s="4">
        <f t="shared" si="4"/>
        <v>2</v>
      </c>
      <c r="S21" s="4">
        <f>INDEX(Dim_Product!$K$2:$K$4,MATCH(F21,Dim_Product!$A$2:$A$4,0))+-0.24</f>
        <v>109.76</v>
      </c>
      <c r="T21" s="4">
        <f>IF(AND(S21&gt;=INDEX(Dim_Product!$K$2:$K$4,MATCH(F21,Dim_Product!$A$2:$A$4,0))-INDEX(Dim_Product!$L$2:$L$4,MATCH(F21,Dim_Product!$A$2:$A$4,0)),S21&lt;=INDEX(Dim_Product!$K$2:$K$4,MATCH(F21,Dim_Product!$A$2:$A$4,0))+INDEX(Dim_Product!$L$2:$L$4,MATCH(F21,Dim_Product!$A$2:$A$4,0))),G21-H21,G21-H21-1)</f>
        <v>22</v>
      </c>
      <c r="U21" s="4">
        <f t="shared" si="5"/>
        <v>2</v>
      </c>
      <c r="V21" s="4">
        <f t="shared" si="6"/>
        <v>8.3333333333333329E-2</v>
      </c>
      <c r="W21" s="19">
        <f t="shared" si="7"/>
        <v>0.91666666666666663</v>
      </c>
    </row>
    <row r="22" spans="1:23" x14ac:dyDescent="0.25">
      <c r="A22" s="18" t="s">
        <v>523</v>
      </c>
      <c r="B22" s="4">
        <f>Fact_Production_Hourly!B22</f>
        <v>20260701</v>
      </c>
      <c r="C22" s="4">
        <f>Fact_Production_Hourly!C22</f>
        <v>2</v>
      </c>
      <c r="D22" s="4" t="str">
        <f>Fact_Production_Hourly!D22</f>
        <v>M7</v>
      </c>
      <c r="E22" s="4" t="str">
        <f>Fact_Production_Hourly!E22</f>
        <v>B-PM</v>
      </c>
      <c r="F22" s="4" t="str">
        <f>Fact_Production_Hourly!F22</f>
        <v>A</v>
      </c>
      <c r="G22" s="4">
        <f>INDEX(Dim_Machine!$D$2:$D$8,MATCH(D22,Dim_Machine!$A$2:$A$8,0))*2</f>
        <v>48</v>
      </c>
      <c r="H22" s="4">
        <f>ROUND(G22*0.0125,0)</f>
        <v>1</v>
      </c>
      <c r="I22" s="4">
        <f t="shared" si="0"/>
        <v>0</v>
      </c>
      <c r="J22" s="4">
        <f t="shared" si="1"/>
        <v>0</v>
      </c>
      <c r="K22" s="4">
        <f t="shared" si="2"/>
        <v>1</v>
      </c>
      <c r="L22" s="4" t="s">
        <v>517</v>
      </c>
      <c r="M22" s="4">
        <f>INDEX(Dim_Product!$C$2:$C$4,MATCH(F22,Dim_Product!$A$2:$A$4,0))+0.03</f>
        <v>250.03</v>
      </c>
      <c r="N22" s="4">
        <f>IF(AND(M22&gt;=INDEX(Dim_Product!$C$2:$C$4,MATCH(F22,Dim_Product!$A$2:$A$4,0))-INDEX(Dim_Product!$D$2:$D$4,MATCH(F22,Dim_Product!$A$2:$A$4,0)),M22&lt;=INDEX(Dim_Product!$C$2:$C$4,MATCH(F22,Dim_Product!$A$2:$A$4,0))+INDEX(Dim_Product!$D$2:$D$4,MATCH(F22,Dim_Product!$A$2:$A$4,0))),G22-H22,G22-H22-1)</f>
        <v>47</v>
      </c>
      <c r="O22" s="4">
        <f t="shared" si="3"/>
        <v>1</v>
      </c>
      <c r="P22" s="4">
        <f>INDEX(Dim_Product!$G$2:$G$4,MATCH(F22,Dim_Product!$A$2:$A$4,0))+0.29</f>
        <v>70.290000000000006</v>
      </c>
      <c r="Q22" s="4">
        <f>IF(AND(P22&gt;=INDEX(Dim_Product!$G$2:$G$4,MATCH(F22,Dim_Product!$A$2:$A$4,0))-INDEX(Dim_Product!$H$2:$H$4,MATCH(F22,Dim_Product!$A$2:$A$4,0)),P22&lt;=INDEX(Dim_Product!$G$2:$G$4,MATCH(F22,Dim_Product!$A$2:$A$4,0))+INDEX(Dim_Product!$H$2:$H$4,MATCH(F22,Dim_Product!$A$2:$A$4,0))),G22-H22,G22-H22-1)</f>
        <v>47</v>
      </c>
      <c r="R22" s="4">
        <f t="shared" si="4"/>
        <v>1</v>
      </c>
      <c r="S22" s="4">
        <f>INDEX(Dim_Product!$K$2:$K$4,MATCH(F22,Dim_Product!$A$2:$A$4,0))+0.03</f>
        <v>120.03</v>
      </c>
      <c r="T22" s="4">
        <f>IF(AND(S22&gt;=INDEX(Dim_Product!$K$2:$K$4,MATCH(F22,Dim_Product!$A$2:$A$4,0))-INDEX(Dim_Product!$L$2:$L$4,MATCH(F22,Dim_Product!$A$2:$A$4,0)),S22&lt;=INDEX(Dim_Product!$K$2:$K$4,MATCH(F22,Dim_Product!$A$2:$A$4,0))+INDEX(Dim_Product!$L$2:$L$4,MATCH(F22,Dim_Product!$A$2:$A$4,0))),G22-H22,G22-H22-1)</f>
        <v>47</v>
      </c>
      <c r="U22" s="4">
        <f t="shared" si="5"/>
        <v>1</v>
      </c>
      <c r="V22" s="4">
        <f t="shared" si="6"/>
        <v>2.0833333333333332E-2</v>
      </c>
      <c r="W22" s="19">
        <f t="shared" si="7"/>
        <v>0.97916666666666663</v>
      </c>
    </row>
    <row r="23" spans="1:23" x14ac:dyDescent="0.25">
      <c r="A23" s="18" t="s">
        <v>524</v>
      </c>
      <c r="B23" s="4">
        <f>Fact_Production_Hourly!B23</f>
        <v>20260701</v>
      </c>
      <c r="C23" s="4">
        <f>Fact_Production_Hourly!C23</f>
        <v>3</v>
      </c>
      <c r="D23" s="4" t="str">
        <f>Fact_Production_Hourly!D23</f>
        <v>M1</v>
      </c>
      <c r="E23" s="4" t="str">
        <f>Fact_Production_Hourly!E23</f>
        <v>B-PM</v>
      </c>
      <c r="F23" s="4" t="str">
        <f>Fact_Production_Hourly!F23</f>
        <v>A</v>
      </c>
      <c r="G23" s="4">
        <f>INDEX(Dim_Machine!$D$2:$D$8,MATCH(D23,Dim_Machine!$A$2:$A$8,0))*2</f>
        <v>32</v>
      </c>
      <c r="H23" s="4">
        <f>ROUND(G23*0.0252,0)</f>
        <v>1</v>
      </c>
      <c r="I23" s="4">
        <f t="shared" si="0"/>
        <v>0</v>
      </c>
      <c r="J23" s="4">
        <f t="shared" si="1"/>
        <v>0</v>
      </c>
      <c r="K23" s="4">
        <f t="shared" si="2"/>
        <v>1</v>
      </c>
      <c r="L23" s="4" t="s">
        <v>520</v>
      </c>
      <c r="M23" s="4">
        <f>INDEX(Dim_Product!$C$2:$C$4,MATCH(F23,Dim_Product!$A$2:$A$4,0))+-0.62</f>
        <v>249.38</v>
      </c>
      <c r="N23" s="4">
        <f>IF(AND(M23&gt;=INDEX(Dim_Product!$C$2:$C$4,MATCH(F23,Dim_Product!$A$2:$A$4,0))-INDEX(Dim_Product!$D$2:$D$4,MATCH(F23,Dim_Product!$A$2:$A$4,0)),M23&lt;=INDEX(Dim_Product!$C$2:$C$4,MATCH(F23,Dim_Product!$A$2:$A$4,0))+INDEX(Dim_Product!$D$2:$D$4,MATCH(F23,Dim_Product!$A$2:$A$4,0))),G23-H23,G23-H23-1)</f>
        <v>31</v>
      </c>
      <c r="O23" s="4">
        <f t="shared" si="3"/>
        <v>1</v>
      </c>
      <c r="P23" s="4">
        <f>INDEX(Dim_Product!$G$2:$G$4,MATCH(F23,Dim_Product!$A$2:$A$4,0))+-0.09</f>
        <v>69.91</v>
      </c>
      <c r="Q23" s="4">
        <f>IF(AND(P23&gt;=INDEX(Dim_Product!$G$2:$G$4,MATCH(F23,Dim_Product!$A$2:$A$4,0))-INDEX(Dim_Product!$H$2:$H$4,MATCH(F23,Dim_Product!$A$2:$A$4,0)),P23&lt;=INDEX(Dim_Product!$G$2:$G$4,MATCH(F23,Dim_Product!$A$2:$A$4,0))+INDEX(Dim_Product!$H$2:$H$4,MATCH(F23,Dim_Product!$A$2:$A$4,0))),G23-H23,G23-H23-1)</f>
        <v>31</v>
      </c>
      <c r="R23" s="4">
        <f t="shared" si="4"/>
        <v>1</v>
      </c>
      <c r="S23" s="4">
        <f>INDEX(Dim_Product!$K$2:$K$4,MATCH(F23,Dim_Product!$A$2:$A$4,0))+0.22</f>
        <v>120.22</v>
      </c>
      <c r="T23" s="4">
        <f>IF(AND(S23&gt;=INDEX(Dim_Product!$K$2:$K$4,MATCH(F23,Dim_Product!$A$2:$A$4,0))-INDEX(Dim_Product!$L$2:$L$4,MATCH(F23,Dim_Product!$A$2:$A$4,0)),S23&lt;=INDEX(Dim_Product!$K$2:$K$4,MATCH(F23,Dim_Product!$A$2:$A$4,0))+INDEX(Dim_Product!$L$2:$L$4,MATCH(F23,Dim_Product!$A$2:$A$4,0))),G23-H23,G23-H23-1)</f>
        <v>31</v>
      </c>
      <c r="U23" s="4">
        <f t="shared" si="5"/>
        <v>1</v>
      </c>
      <c r="V23" s="4">
        <f t="shared" si="6"/>
        <v>3.125E-2</v>
      </c>
      <c r="W23" s="19">
        <f t="shared" si="7"/>
        <v>0.96875</v>
      </c>
    </row>
    <row r="24" spans="1:23" x14ac:dyDescent="0.25">
      <c r="A24" s="18" t="s">
        <v>525</v>
      </c>
      <c r="B24" s="4">
        <f>Fact_Production_Hourly!B24</f>
        <v>20260701</v>
      </c>
      <c r="C24" s="4">
        <f>Fact_Production_Hourly!C24</f>
        <v>3</v>
      </c>
      <c r="D24" s="4" t="str">
        <f>Fact_Production_Hourly!D24</f>
        <v>M2</v>
      </c>
      <c r="E24" s="4" t="str">
        <f>Fact_Production_Hourly!E24</f>
        <v>B-PM</v>
      </c>
      <c r="F24" s="4" t="str">
        <f>Fact_Production_Hourly!F24</f>
        <v>C</v>
      </c>
      <c r="G24" s="4">
        <f>INDEX(Dim_Machine!$D$2:$D$8,MATCH(D24,Dim_Machine!$A$2:$A$8,0))*2</f>
        <v>48</v>
      </c>
      <c r="H24" s="4">
        <f>ROUND(G24*0.0619,0)</f>
        <v>3</v>
      </c>
      <c r="I24" s="4">
        <f t="shared" si="0"/>
        <v>0</v>
      </c>
      <c r="J24" s="4">
        <f t="shared" si="1"/>
        <v>1</v>
      </c>
      <c r="K24" s="4">
        <f t="shared" si="2"/>
        <v>2</v>
      </c>
      <c r="L24" s="4" t="s">
        <v>517</v>
      </c>
      <c r="M24" s="4">
        <f>INDEX(Dim_Product!$C$2:$C$4,MATCH(F24,Dim_Product!$A$2:$A$4,0))+-0.45</f>
        <v>199.55</v>
      </c>
      <c r="N24" s="4">
        <f>IF(AND(M24&gt;=INDEX(Dim_Product!$C$2:$C$4,MATCH(F24,Dim_Product!$A$2:$A$4,0))-INDEX(Dim_Product!$D$2:$D$4,MATCH(F24,Dim_Product!$A$2:$A$4,0)),M24&lt;=INDEX(Dim_Product!$C$2:$C$4,MATCH(F24,Dim_Product!$A$2:$A$4,0))+INDEX(Dim_Product!$D$2:$D$4,MATCH(F24,Dim_Product!$A$2:$A$4,0))),G24-H24,G24-H24-1)</f>
        <v>45</v>
      </c>
      <c r="O24" s="4">
        <f t="shared" si="3"/>
        <v>3</v>
      </c>
      <c r="P24" s="4">
        <f>INDEX(Dim_Product!$G$2:$G$4,MATCH(F24,Dim_Product!$A$2:$A$4,0))+0.18</f>
        <v>65.180000000000007</v>
      </c>
      <c r="Q24" s="4">
        <f>IF(AND(P24&gt;=INDEX(Dim_Product!$G$2:$G$4,MATCH(F24,Dim_Product!$A$2:$A$4,0))-INDEX(Dim_Product!$H$2:$H$4,MATCH(F24,Dim_Product!$A$2:$A$4,0)),P24&lt;=INDEX(Dim_Product!$G$2:$G$4,MATCH(F24,Dim_Product!$A$2:$A$4,0))+INDEX(Dim_Product!$H$2:$H$4,MATCH(F24,Dim_Product!$A$2:$A$4,0))),G24-H24,G24-H24-1)</f>
        <v>45</v>
      </c>
      <c r="R24" s="4">
        <f t="shared" si="4"/>
        <v>3</v>
      </c>
      <c r="S24" s="4">
        <f>INDEX(Dim_Product!$K$2:$K$4,MATCH(F24,Dim_Product!$A$2:$A$4,0))+-0.05</f>
        <v>109.95</v>
      </c>
      <c r="T24" s="4">
        <f>IF(AND(S24&gt;=INDEX(Dim_Product!$K$2:$K$4,MATCH(F24,Dim_Product!$A$2:$A$4,0))-INDEX(Dim_Product!$L$2:$L$4,MATCH(F24,Dim_Product!$A$2:$A$4,0)),S24&lt;=INDEX(Dim_Product!$K$2:$K$4,MATCH(F24,Dim_Product!$A$2:$A$4,0))+INDEX(Dim_Product!$L$2:$L$4,MATCH(F24,Dim_Product!$A$2:$A$4,0))),G24-H24,G24-H24-1)</f>
        <v>45</v>
      </c>
      <c r="U24" s="4">
        <f t="shared" si="5"/>
        <v>3</v>
      </c>
      <c r="V24" s="4">
        <f t="shared" si="6"/>
        <v>6.25E-2</v>
      </c>
      <c r="W24" s="19">
        <f t="shared" si="7"/>
        <v>0.9375</v>
      </c>
    </row>
    <row r="25" spans="1:23" x14ac:dyDescent="0.25">
      <c r="A25" s="18" t="s">
        <v>526</v>
      </c>
      <c r="B25" s="4">
        <f>Fact_Production_Hourly!B25</f>
        <v>20260701</v>
      </c>
      <c r="C25" s="4">
        <f>Fact_Production_Hourly!C25</f>
        <v>3</v>
      </c>
      <c r="D25" s="4" t="str">
        <f>Fact_Production_Hourly!D25</f>
        <v>M3</v>
      </c>
      <c r="E25" s="4" t="str">
        <f>Fact_Production_Hourly!E25</f>
        <v>B-PM</v>
      </c>
      <c r="F25" s="4" t="str">
        <f>Fact_Production_Hourly!F25</f>
        <v>A</v>
      </c>
      <c r="G25" s="4">
        <f>INDEX(Dim_Machine!$D$2:$D$8,MATCH(D25,Dim_Machine!$A$2:$A$8,0))*2</f>
        <v>24</v>
      </c>
      <c r="H25" s="4">
        <f>ROUND(G25*0.034,0)</f>
        <v>1</v>
      </c>
      <c r="I25" s="4">
        <f t="shared" si="0"/>
        <v>0</v>
      </c>
      <c r="J25" s="4">
        <f t="shared" si="1"/>
        <v>0</v>
      </c>
      <c r="K25" s="4">
        <f t="shared" si="2"/>
        <v>1</v>
      </c>
      <c r="L25" s="4" t="s">
        <v>503</v>
      </c>
      <c r="M25" s="4">
        <f>INDEX(Dim_Product!$C$2:$C$4,MATCH(F25,Dim_Product!$A$2:$A$4,0))+0.79</f>
        <v>250.79</v>
      </c>
      <c r="N25" s="4">
        <f>IF(AND(M25&gt;=INDEX(Dim_Product!$C$2:$C$4,MATCH(F25,Dim_Product!$A$2:$A$4,0))-INDEX(Dim_Product!$D$2:$D$4,MATCH(F25,Dim_Product!$A$2:$A$4,0)),M25&lt;=INDEX(Dim_Product!$C$2:$C$4,MATCH(F25,Dim_Product!$A$2:$A$4,0))+INDEX(Dim_Product!$D$2:$D$4,MATCH(F25,Dim_Product!$A$2:$A$4,0))),G25-H25,G25-H25-1)</f>
        <v>23</v>
      </c>
      <c r="O25" s="4">
        <f t="shared" si="3"/>
        <v>1</v>
      </c>
      <c r="P25" s="4">
        <f>INDEX(Dim_Product!$G$2:$G$4,MATCH(F25,Dim_Product!$A$2:$A$4,0))+-0.07</f>
        <v>69.930000000000007</v>
      </c>
      <c r="Q25" s="4">
        <f>IF(AND(P25&gt;=INDEX(Dim_Product!$G$2:$G$4,MATCH(F25,Dim_Product!$A$2:$A$4,0))-INDEX(Dim_Product!$H$2:$H$4,MATCH(F25,Dim_Product!$A$2:$A$4,0)),P25&lt;=INDEX(Dim_Product!$G$2:$G$4,MATCH(F25,Dim_Product!$A$2:$A$4,0))+INDEX(Dim_Product!$H$2:$H$4,MATCH(F25,Dim_Product!$A$2:$A$4,0))),G25-H25,G25-H25-1)</f>
        <v>23</v>
      </c>
      <c r="R25" s="4">
        <f t="shared" si="4"/>
        <v>1</v>
      </c>
      <c r="S25" s="4">
        <f>INDEX(Dim_Product!$K$2:$K$4,MATCH(F25,Dim_Product!$A$2:$A$4,0))+0.38</f>
        <v>120.38</v>
      </c>
      <c r="T25" s="4">
        <f>IF(AND(S25&gt;=INDEX(Dim_Product!$K$2:$K$4,MATCH(F25,Dim_Product!$A$2:$A$4,0))-INDEX(Dim_Product!$L$2:$L$4,MATCH(F25,Dim_Product!$A$2:$A$4,0)),S25&lt;=INDEX(Dim_Product!$K$2:$K$4,MATCH(F25,Dim_Product!$A$2:$A$4,0))+INDEX(Dim_Product!$L$2:$L$4,MATCH(F25,Dim_Product!$A$2:$A$4,0))),G25-H25,G25-H25-1)</f>
        <v>23</v>
      </c>
      <c r="U25" s="4">
        <f t="shared" si="5"/>
        <v>1</v>
      </c>
      <c r="V25" s="4">
        <f t="shared" si="6"/>
        <v>4.1666666666666664E-2</v>
      </c>
      <c r="W25" s="19">
        <f t="shared" si="7"/>
        <v>0.95833333333333337</v>
      </c>
    </row>
    <row r="26" spans="1:23" x14ac:dyDescent="0.25">
      <c r="A26" s="18" t="s">
        <v>527</v>
      </c>
      <c r="B26" s="4">
        <f>Fact_Production_Hourly!B26</f>
        <v>20260701</v>
      </c>
      <c r="C26" s="4">
        <f>Fact_Production_Hourly!C26</f>
        <v>3</v>
      </c>
      <c r="D26" s="4" t="str">
        <f>Fact_Production_Hourly!D26</f>
        <v>M4</v>
      </c>
      <c r="E26" s="4" t="str">
        <f>Fact_Production_Hourly!E26</f>
        <v>B-PM</v>
      </c>
      <c r="F26" s="4" t="str">
        <f>Fact_Production_Hourly!F26</f>
        <v>A</v>
      </c>
      <c r="G26" s="4">
        <f>INDEX(Dim_Machine!$D$2:$D$8,MATCH(D26,Dim_Machine!$A$2:$A$8,0))*2</f>
        <v>48</v>
      </c>
      <c r="H26" s="4">
        <f>ROUND(G26*0.0398,0)</f>
        <v>2</v>
      </c>
      <c r="I26" s="4">
        <f t="shared" si="0"/>
        <v>0</v>
      </c>
      <c r="J26" s="4">
        <f t="shared" si="1"/>
        <v>1</v>
      </c>
      <c r="K26" s="4">
        <f t="shared" si="2"/>
        <v>1</v>
      </c>
      <c r="L26" s="4" t="s">
        <v>503</v>
      </c>
      <c r="M26" s="4">
        <f>INDEX(Dim_Product!$C$2:$C$4,MATCH(F26,Dim_Product!$A$2:$A$4,0))+-0.27</f>
        <v>249.73</v>
      </c>
      <c r="N26" s="4">
        <f>IF(AND(M26&gt;=INDEX(Dim_Product!$C$2:$C$4,MATCH(F26,Dim_Product!$A$2:$A$4,0))-INDEX(Dim_Product!$D$2:$D$4,MATCH(F26,Dim_Product!$A$2:$A$4,0)),M26&lt;=INDEX(Dim_Product!$C$2:$C$4,MATCH(F26,Dim_Product!$A$2:$A$4,0))+INDEX(Dim_Product!$D$2:$D$4,MATCH(F26,Dim_Product!$A$2:$A$4,0))),G26-H26,G26-H26-1)</f>
        <v>46</v>
      </c>
      <c r="O26" s="4">
        <f t="shared" si="3"/>
        <v>2</v>
      </c>
      <c r="P26" s="4">
        <f>INDEX(Dim_Product!$G$2:$G$4,MATCH(F26,Dim_Product!$A$2:$A$4,0))+0.18</f>
        <v>70.180000000000007</v>
      </c>
      <c r="Q26" s="4">
        <f>IF(AND(P26&gt;=INDEX(Dim_Product!$G$2:$G$4,MATCH(F26,Dim_Product!$A$2:$A$4,0))-INDEX(Dim_Product!$H$2:$H$4,MATCH(F26,Dim_Product!$A$2:$A$4,0)),P26&lt;=INDEX(Dim_Product!$G$2:$G$4,MATCH(F26,Dim_Product!$A$2:$A$4,0))+INDEX(Dim_Product!$H$2:$H$4,MATCH(F26,Dim_Product!$A$2:$A$4,0))),G26-H26,G26-H26-1)</f>
        <v>46</v>
      </c>
      <c r="R26" s="4">
        <f t="shared" si="4"/>
        <v>2</v>
      </c>
      <c r="S26" s="4">
        <f>INDEX(Dim_Product!$K$2:$K$4,MATCH(F26,Dim_Product!$A$2:$A$4,0))+-0.19</f>
        <v>119.81</v>
      </c>
      <c r="T26" s="4">
        <f>IF(AND(S26&gt;=INDEX(Dim_Product!$K$2:$K$4,MATCH(F26,Dim_Product!$A$2:$A$4,0))-INDEX(Dim_Product!$L$2:$L$4,MATCH(F26,Dim_Product!$A$2:$A$4,0)),S26&lt;=INDEX(Dim_Product!$K$2:$K$4,MATCH(F26,Dim_Product!$A$2:$A$4,0))+INDEX(Dim_Product!$L$2:$L$4,MATCH(F26,Dim_Product!$A$2:$A$4,0))),G26-H26,G26-H26-1)</f>
        <v>46</v>
      </c>
      <c r="U26" s="4">
        <f t="shared" si="5"/>
        <v>2</v>
      </c>
      <c r="V26" s="4">
        <f t="shared" si="6"/>
        <v>4.1666666666666664E-2</v>
      </c>
      <c r="W26" s="19">
        <f t="shared" si="7"/>
        <v>0.95833333333333337</v>
      </c>
    </row>
    <row r="27" spans="1:23" x14ac:dyDescent="0.25">
      <c r="A27" s="18" t="s">
        <v>528</v>
      </c>
      <c r="B27" s="4">
        <f>Fact_Production_Hourly!B27</f>
        <v>20260701</v>
      </c>
      <c r="C27" s="4">
        <f>Fact_Production_Hourly!C27</f>
        <v>3</v>
      </c>
      <c r="D27" s="4" t="str">
        <f>Fact_Production_Hourly!D27</f>
        <v>M5</v>
      </c>
      <c r="E27" s="4" t="str">
        <f>Fact_Production_Hourly!E27</f>
        <v>B-PM</v>
      </c>
      <c r="F27" s="4" t="str">
        <f>Fact_Production_Hourly!F27</f>
        <v>A</v>
      </c>
      <c r="G27" s="4">
        <f>INDEX(Dim_Machine!$D$2:$D$8,MATCH(D27,Dim_Machine!$A$2:$A$8,0))*2</f>
        <v>32</v>
      </c>
      <c r="H27" s="4">
        <f>ROUND(G27*0.015,0)</f>
        <v>0</v>
      </c>
      <c r="I27" s="4">
        <f t="shared" si="0"/>
        <v>0</v>
      </c>
      <c r="J27" s="4">
        <f t="shared" si="1"/>
        <v>0</v>
      </c>
      <c r="K27" s="4">
        <f t="shared" si="2"/>
        <v>0</v>
      </c>
      <c r="L27" s="4" t="s">
        <v>503</v>
      </c>
      <c r="M27" s="4">
        <f>INDEX(Dim_Product!$C$2:$C$4,MATCH(F27,Dim_Product!$A$2:$A$4,0))+-0.84</f>
        <v>249.16</v>
      </c>
      <c r="N27" s="4">
        <f>IF(AND(M27&gt;=INDEX(Dim_Product!$C$2:$C$4,MATCH(F27,Dim_Product!$A$2:$A$4,0))-INDEX(Dim_Product!$D$2:$D$4,MATCH(F27,Dim_Product!$A$2:$A$4,0)),M27&lt;=INDEX(Dim_Product!$C$2:$C$4,MATCH(F27,Dim_Product!$A$2:$A$4,0))+INDEX(Dim_Product!$D$2:$D$4,MATCH(F27,Dim_Product!$A$2:$A$4,0))),G27-H27,G27-H27-1)</f>
        <v>32</v>
      </c>
      <c r="O27" s="4">
        <f t="shared" si="3"/>
        <v>0</v>
      </c>
      <c r="P27" s="4">
        <f>INDEX(Dim_Product!$G$2:$G$4,MATCH(F27,Dim_Product!$A$2:$A$4,0))+0.06</f>
        <v>70.06</v>
      </c>
      <c r="Q27" s="4">
        <f>IF(AND(P27&gt;=INDEX(Dim_Product!$G$2:$G$4,MATCH(F27,Dim_Product!$A$2:$A$4,0))-INDEX(Dim_Product!$H$2:$H$4,MATCH(F27,Dim_Product!$A$2:$A$4,0)),P27&lt;=INDEX(Dim_Product!$G$2:$G$4,MATCH(F27,Dim_Product!$A$2:$A$4,0))+INDEX(Dim_Product!$H$2:$H$4,MATCH(F27,Dim_Product!$A$2:$A$4,0))),G27-H27,G27-H27-1)</f>
        <v>32</v>
      </c>
      <c r="R27" s="4">
        <f t="shared" si="4"/>
        <v>0</v>
      </c>
      <c r="S27" s="4">
        <f>INDEX(Dim_Product!$K$2:$K$4,MATCH(F27,Dim_Product!$A$2:$A$4,0))+0.26</f>
        <v>120.26</v>
      </c>
      <c r="T27" s="4">
        <f>IF(AND(S27&gt;=INDEX(Dim_Product!$K$2:$K$4,MATCH(F27,Dim_Product!$A$2:$A$4,0))-INDEX(Dim_Product!$L$2:$L$4,MATCH(F27,Dim_Product!$A$2:$A$4,0)),S27&lt;=INDEX(Dim_Product!$K$2:$K$4,MATCH(F27,Dim_Product!$A$2:$A$4,0))+INDEX(Dim_Product!$L$2:$L$4,MATCH(F27,Dim_Product!$A$2:$A$4,0))),G27-H27,G27-H27-1)</f>
        <v>32</v>
      </c>
      <c r="U27" s="4">
        <f t="shared" si="5"/>
        <v>0</v>
      </c>
      <c r="V27" s="4">
        <f t="shared" si="6"/>
        <v>0</v>
      </c>
      <c r="W27" s="19">
        <f t="shared" si="7"/>
        <v>1</v>
      </c>
    </row>
    <row r="28" spans="1:23" x14ac:dyDescent="0.25">
      <c r="A28" s="18" t="s">
        <v>529</v>
      </c>
      <c r="B28" s="4">
        <f>Fact_Production_Hourly!B28</f>
        <v>20260701</v>
      </c>
      <c r="C28" s="4">
        <f>Fact_Production_Hourly!C28</f>
        <v>3</v>
      </c>
      <c r="D28" s="4" t="str">
        <f>Fact_Production_Hourly!D28</f>
        <v>M6</v>
      </c>
      <c r="E28" s="4" t="str">
        <f>Fact_Production_Hourly!E28</f>
        <v>B-PM</v>
      </c>
      <c r="F28" s="4" t="str">
        <f>Fact_Production_Hourly!F28</f>
        <v>C</v>
      </c>
      <c r="G28" s="4">
        <f>INDEX(Dim_Machine!$D$2:$D$8,MATCH(D28,Dim_Machine!$A$2:$A$8,0))*2</f>
        <v>24</v>
      </c>
      <c r="H28" s="4">
        <f>ROUND(G28*0.0427,0)</f>
        <v>1</v>
      </c>
      <c r="I28" s="4">
        <f t="shared" si="0"/>
        <v>0</v>
      </c>
      <c r="J28" s="4">
        <f t="shared" si="1"/>
        <v>0</v>
      </c>
      <c r="K28" s="4">
        <f t="shared" si="2"/>
        <v>1</v>
      </c>
      <c r="L28" s="4" t="s">
        <v>517</v>
      </c>
      <c r="M28" s="4">
        <f>INDEX(Dim_Product!$C$2:$C$4,MATCH(F28,Dim_Product!$A$2:$A$4,0))+-0.79</f>
        <v>199.21</v>
      </c>
      <c r="N28" s="4">
        <f>IF(AND(M28&gt;=INDEX(Dim_Product!$C$2:$C$4,MATCH(F28,Dim_Product!$A$2:$A$4,0))-INDEX(Dim_Product!$D$2:$D$4,MATCH(F28,Dim_Product!$A$2:$A$4,0)),M28&lt;=INDEX(Dim_Product!$C$2:$C$4,MATCH(F28,Dim_Product!$A$2:$A$4,0))+INDEX(Dim_Product!$D$2:$D$4,MATCH(F28,Dim_Product!$A$2:$A$4,0))),G28-H28,G28-H28-1)</f>
        <v>23</v>
      </c>
      <c r="O28" s="4">
        <f t="shared" si="3"/>
        <v>1</v>
      </c>
      <c r="P28" s="4">
        <f>INDEX(Dim_Product!$G$2:$G$4,MATCH(F28,Dim_Product!$A$2:$A$4,0))+-0.1</f>
        <v>64.900000000000006</v>
      </c>
      <c r="Q28" s="4">
        <f>IF(AND(P28&gt;=INDEX(Dim_Product!$G$2:$G$4,MATCH(F28,Dim_Product!$A$2:$A$4,0))-INDEX(Dim_Product!$H$2:$H$4,MATCH(F28,Dim_Product!$A$2:$A$4,0)),P28&lt;=INDEX(Dim_Product!$G$2:$G$4,MATCH(F28,Dim_Product!$A$2:$A$4,0))+INDEX(Dim_Product!$H$2:$H$4,MATCH(F28,Dim_Product!$A$2:$A$4,0))),G28-H28,G28-H28-1)</f>
        <v>23</v>
      </c>
      <c r="R28" s="4">
        <f t="shared" si="4"/>
        <v>1</v>
      </c>
      <c r="S28" s="4">
        <f>INDEX(Dim_Product!$K$2:$K$4,MATCH(F28,Dim_Product!$A$2:$A$4,0))+-0.16</f>
        <v>109.84</v>
      </c>
      <c r="T28" s="4">
        <f>IF(AND(S28&gt;=INDEX(Dim_Product!$K$2:$K$4,MATCH(F28,Dim_Product!$A$2:$A$4,0))-INDEX(Dim_Product!$L$2:$L$4,MATCH(F28,Dim_Product!$A$2:$A$4,0)),S28&lt;=INDEX(Dim_Product!$K$2:$K$4,MATCH(F28,Dim_Product!$A$2:$A$4,0))+INDEX(Dim_Product!$L$2:$L$4,MATCH(F28,Dim_Product!$A$2:$A$4,0))),G28-H28,G28-H28-1)</f>
        <v>23</v>
      </c>
      <c r="U28" s="4">
        <f t="shared" si="5"/>
        <v>1</v>
      </c>
      <c r="V28" s="4">
        <f t="shared" si="6"/>
        <v>4.1666666666666664E-2</v>
      </c>
      <c r="W28" s="19">
        <f t="shared" si="7"/>
        <v>0.95833333333333337</v>
      </c>
    </row>
    <row r="29" spans="1:23" x14ac:dyDescent="0.25">
      <c r="A29" s="18" t="s">
        <v>530</v>
      </c>
      <c r="B29" s="4">
        <f>Fact_Production_Hourly!B29</f>
        <v>20260701</v>
      </c>
      <c r="C29" s="4">
        <f>Fact_Production_Hourly!C29</f>
        <v>3</v>
      </c>
      <c r="D29" s="4" t="str">
        <f>Fact_Production_Hourly!D29</f>
        <v>M7</v>
      </c>
      <c r="E29" s="4" t="str">
        <f>Fact_Production_Hourly!E29</f>
        <v>B-PM</v>
      </c>
      <c r="F29" s="4" t="str">
        <f>Fact_Production_Hourly!F29</f>
        <v>A</v>
      </c>
      <c r="G29" s="4">
        <f>INDEX(Dim_Machine!$D$2:$D$8,MATCH(D29,Dim_Machine!$A$2:$A$8,0))*2</f>
        <v>48</v>
      </c>
      <c r="H29" s="4">
        <f>ROUND(G29*0.0368,0)</f>
        <v>2</v>
      </c>
      <c r="I29" s="4">
        <f t="shared" si="0"/>
        <v>0</v>
      </c>
      <c r="J29" s="4">
        <f t="shared" si="1"/>
        <v>1</v>
      </c>
      <c r="K29" s="4">
        <f t="shared" si="2"/>
        <v>1</v>
      </c>
      <c r="L29" s="4" t="s">
        <v>520</v>
      </c>
      <c r="M29" s="4">
        <f>INDEX(Dim_Product!$C$2:$C$4,MATCH(F29,Dim_Product!$A$2:$A$4,0))+-0.15</f>
        <v>249.85</v>
      </c>
      <c r="N29" s="4">
        <f>IF(AND(M29&gt;=INDEX(Dim_Product!$C$2:$C$4,MATCH(F29,Dim_Product!$A$2:$A$4,0))-INDEX(Dim_Product!$D$2:$D$4,MATCH(F29,Dim_Product!$A$2:$A$4,0)),M29&lt;=INDEX(Dim_Product!$C$2:$C$4,MATCH(F29,Dim_Product!$A$2:$A$4,0))+INDEX(Dim_Product!$D$2:$D$4,MATCH(F29,Dim_Product!$A$2:$A$4,0))),G29-H29,G29-H29-1)</f>
        <v>46</v>
      </c>
      <c r="O29" s="4">
        <f t="shared" si="3"/>
        <v>2</v>
      </c>
      <c r="P29" s="4">
        <f>INDEX(Dim_Product!$G$2:$G$4,MATCH(F29,Dim_Product!$A$2:$A$4,0))+0.11</f>
        <v>70.11</v>
      </c>
      <c r="Q29" s="4">
        <f>IF(AND(P29&gt;=INDEX(Dim_Product!$G$2:$G$4,MATCH(F29,Dim_Product!$A$2:$A$4,0))-INDEX(Dim_Product!$H$2:$H$4,MATCH(F29,Dim_Product!$A$2:$A$4,0)),P29&lt;=INDEX(Dim_Product!$G$2:$G$4,MATCH(F29,Dim_Product!$A$2:$A$4,0))+INDEX(Dim_Product!$H$2:$H$4,MATCH(F29,Dim_Product!$A$2:$A$4,0))),G29-H29,G29-H29-1)</f>
        <v>46</v>
      </c>
      <c r="R29" s="4">
        <f t="shared" si="4"/>
        <v>2</v>
      </c>
      <c r="S29" s="4">
        <f>INDEX(Dim_Product!$K$2:$K$4,MATCH(F29,Dim_Product!$A$2:$A$4,0))+-0.12</f>
        <v>119.88</v>
      </c>
      <c r="T29" s="4">
        <f>IF(AND(S29&gt;=INDEX(Dim_Product!$K$2:$K$4,MATCH(F29,Dim_Product!$A$2:$A$4,0))-INDEX(Dim_Product!$L$2:$L$4,MATCH(F29,Dim_Product!$A$2:$A$4,0)),S29&lt;=INDEX(Dim_Product!$K$2:$K$4,MATCH(F29,Dim_Product!$A$2:$A$4,0))+INDEX(Dim_Product!$L$2:$L$4,MATCH(F29,Dim_Product!$A$2:$A$4,0))),G29-H29,G29-H29-1)</f>
        <v>46</v>
      </c>
      <c r="U29" s="4">
        <f t="shared" si="5"/>
        <v>2</v>
      </c>
      <c r="V29" s="4">
        <f t="shared" si="6"/>
        <v>4.1666666666666664E-2</v>
      </c>
      <c r="W29" s="19">
        <f t="shared" si="7"/>
        <v>0.95833333333333337</v>
      </c>
    </row>
    <row r="30" spans="1:23" x14ac:dyDescent="0.25">
      <c r="A30" s="18" t="s">
        <v>531</v>
      </c>
      <c r="B30" s="4">
        <f>Fact_Production_Hourly!B30</f>
        <v>20260701</v>
      </c>
      <c r="C30" s="4">
        <f>Fact_Production_Hourly!C30</f>
        <v>4</v>
      </c>
      <c r="D30" s="4" t="str">
        <f>Fact_Production_Hourly!D30</f>
        <v>M1</v>
      </c>
      <c r="E30" s="4" t="str">
        <f>Fact_Production_Hourly!E30</f>
        <v>B-PM</v>
      </c>
      <c r="F30" s="4" t="str">
        <f>Fact_Production_Hourly!F30</f>
        <v>A</v>
      </c>
      <c r="G30" s="4">
        <f>INDEX(Dim_Machine!$D$2:$D$8,MATCH(D30,Dim_Machine!$A$2:$A$8,0))*2</f>
        <v>32</v>
      </c>
      <c r="H30" s="4">
        <f>ROUND(G30*0.0125,0)</f>
        <v>0</v>
      </c>
      <c r="I30" s="4">
        <f t="shared" si="0"/>
        <v>0</v>
      </c>
      <c r="J30" s="4">
        <f t="shared" si="1"/>
        <v>0</v>
      </c>
      <c r="K30" s="4">
        <f t="shared" si="2"/>
        <v>0</v>
      </c>
      <c r="L30" s="4" t="s">
        <v>517</v>
      </c>
      <c r="M30" s="4">
        <f>INDEX(Dim_Product!$C$2:$C$4,MATCH(F30,Dim_Product!$A$2:$A$4,0))+0.23</f>
        <v>250.23</v>
      </c>
      <c r="N30" s="4">
        <f>IF(AND(M30&gt;=INDEX(Dim_Product!$C$2:$C$4,MATCH(F30,Dim_Product!$A$2:$A$4,0))-INDEX(Dim_Product!$D$2:$D$4,MATCH(F30,Dim_Product!$A$2:$A$4,0)),M30&lt;=INDEX(Dim_Product!$C$2:$C$4,MATCH(F30,Dim_Product!$A$2:$A$4,0))+INDEX(Dim_Product!$D$2:$D$4,MATCH(F30,Dim_Product!$A$2:$A$4,0))),G30-H30,G30-H30-1)</f>
        <v>32</v>
      </c>
      <c r="O30" s="4">
        <f t="shared" si="3"/>
        <v>0</v>
      </c>
      <c r="P30" s="4">
        <f>INDEX(Dim_Product!$G$2:$G$4,MATCH(F30,Dim_Product!$A$2:$A$4,0))+-0.04</f>
        <v>69.959999999999994</v>
      </c>
      <c r="Q30" s="4">
        <f>IF(AND(P30&gt;=INDEX(Dim_Product!$G$2:$G$4,MATCH(F30,Dim_Product!$A$2:$A$4,0))-INDEX(Dim_Product!$H$2:$H$4,MATCH(F30,Dim_Product!$A$2:$A$4,0)),P30&lt;=INDEX(Dim_Product!$G$2:$G$4,MATCH(F30,Dim_Product!$A$2:$A$4,0))+INDEX(Dim_Product!$H$2:$H$4,MATCH(F30,Dim_Product!$A$2:$A$4,0))),G30-H30,G30-H30-1)</f>
        <v>32</v>
      </c>
      <c r="R30" s="4">
        <f t="shared" si="4"/>
        <v>0</v>
      </c>
      <c r="S30" s="4">
        <f>INDEX(Dim_Product!$K$2:$K$4,MATCH(F30,Dim_Product!$A$2:$A$4,0))+0.11</f>
        <v>120.11</v>
      </c>
      <c r="T30" s="4">
        <f>IF(AND(S30&gt;=INDEX(Dim_Product!$K$2:$K$4,MATCH(F30,Dim_Product!$A$2:$A$4,0))-INDEX(Dim_Product!$L$2:$L$4,MATCH(F30,Dim_Product!$A$2:$A$4,0)),S30&lt;=INDEX(Dim_Product!$K$2:$K$4,MATCH(F30,Dim_Product!$A$2:$A$4,0))+INDEX(Dim_Product!$L$2:$L$4,MATCH(F30,Dim_Product!$A$2:$A$4,0))),G30-H30,G30-H30-1)</f>
        <v>32</v>
      </c>
      <c r="U30" s="4">
        <f t="shared" si="5"/>
        <v>0</v>
      </c>
      <c r="V30" s="4">
        <f t="shared" si="6"/>
        <v>0</v>
      </c>
      <c r="W30" s="19">
        <f t="shared" si="7"/>
        <v>1</v>
      </c>
    </row>
    <row r="31" spans="1:23" x14ac:dyDescent="0.25">
      <c r="A31" s="18" t="s">
        <v>532</v>
      </c>
      <c r="B31" s="4">
        <f>Fact_Production_Hourly!B31</f>
        <v>20260701</v>
      </c>
      <c r="C31" s="4">
        <f>Fact_Production_Hourly!C31</f>
        <v>4</v>
      </c>
      <c r="D31" s="4" t="str">
        <f>Fact_Production_Hourly!D31</f>
        <v>M2</v>
      </c>
      <c r="E31" s="4" t="str">
        <f>Fact_Production_Hourly!E31</f>
        <v>B-PM</v>
      </c>
      <c r="F31" s="4" t="str">
        <f>Fact_Production_Hourly!F31</f>
        <v>C</v>
      </c>
      <c r="G31" s="4">
        <f>INDEX(Dim_Machine!$D$2:$D$8,MATCH(D31,Dim_Machine!$A$2:$A$8,0))*2</f>
        <v>48</v>
      </c>
      <c r="H31" s="4">
        <f>ROUND(G31*0.0575,0)</f>
        <v>3</v>
      </c>
      <c r="I31" s="4">
        <f t="shared" si="0"/>
        <v>0</v>
      </c>
      <c r="J31" s="4">
        <f t="shared" si="1"/>
        <v>1</v>
      </c>
      <c r="K31" s="4">
        <f t="shared" si="2"/>
        <v>2</v>
      </c>
      <c r="L31" s="4" t="s">
        <v>498</v>
      </c>
      <c r="M31" s="4">
        <f>INDEX(Dim_Product!$C$2:$C$4,MATCH(F31,Dim_Product!$A$2:$A$4,0))+-0.85</f>
        <v>199.15</v>
      </c>
      <c r="N31" s="4">
        <f>IF(AND(M31&gt;=INDEX(Dim_Product!$C$2:$C$4,MATCH(F31,Dim_Product!$A$2:$A$4,0))-INDEX(Dim_Product!$D$2:$D$4,MATCH(F31,Dim_Product!$A$2:$A$4,0)),M31&lt;=INDEX(Dim_Product!$C$2:$C$4,MATCH(F31,Dim_Product!$A$2:$A$4,0))+INDEX(Dim_Product!$D$2:$D$4,MATCH(F31,Dim_Product!$A$2:$A$4,0))),G31-H31,G31-H31-1)</f>
        <v>45</v>
      </c>
      <c r="O31" s="4">
        <f t="shared" si="3"/>
        <v>3</v>
      </c>
      <c r="P31" s="4">
        <f>INDEX(Dim_Product!$G$2:$G$4,MATCH(F31,Dim_Product!$A$2:$A$4,0))+0.08</f>
        <v>65.08</v>
      </c>
      <c r="Q31" s="4">
        <f>IF(AND(P31&gt;=INDEX(Dim_Product!$G$2:$G$4,MATCH(F31,Dim_Product!$A$2:$A$4,0))-INDEX(Dim_Product!$H$2:$H$4,MATCH(F31,Dim_Product!$A$2:$A$4,0)),P31&lt;=INDEX(Dim_Product!$G$2:$G$4,MATCH(F31,Dim_Product!$A$2:$A$4,0))+INDEX(Dim_Product!$H$2:$H$4,MATCH(F31,Dim_Product!$A$2:$A$4,0))),G31-H31,G31-H31-1)</f>
        <v>45</v>
      </c>
      <c r="R31" s="4">
        <f t="shared" si="4"/>
        <v>3</v>
      </c>
      <c r="S31" s="4">
        <f>INDEX(Dim_Product!$K$2:$K$4,MATCH(F31,Dim_Product!$A$2:$A$4,0))+-0.11</f>
        <v>109.89</v>
      </c>
      <c r="T31" s="4">
        <f>IF(AND(S31&gt;=INDEX(Dim_Product!$K$2:$K$4,MATCH(F31,Dim_Product!$A$2:$A$4,0))-INDEX(Dim_Product!$L$2:$L$4,MATCH(F31,Dim_Product!$A$2:$A$4,0)),S31&lt;=INDEX(Dim_Product!$K$2:$K$4,MATCH(F31,Dim_Product!$A$2:$A$4,0))+INDEX(Dim_Product!$L$2:$L$4,MATCH(F31,Dim_Product!$A$2:$A$4,0))),G31-H31,G31-H31-1)</f>
        <v>45</v>
      </c>
      <c r="U31" s="4">
        <f t="shared" si="5"/>
        <v>3</v>
      </c>
      <c r="V31" s="4">
        <f t="shared" si="6"/>
        <v>6.25E-2</v>
      </c>
      <c r="W31" s="19">
        <f t="shared" si="7"/>
        <v>0.9375</v>
      </c>
    </row>
    <row r="32" spans="1:23" x14ac:dyDescent="0.25">
      <c r="A32" s="18" t="s">
        <v>533</v>
      </c>
      <c r="B32" s="4">
        <f>Fact_Production_Hourly!B32</f>
        <v>20260701</v>
      </c>
      <c r="C32" s="4">
        <f>Fact_Production_Hourly!C32</f>
        <v>4</v>
      </c>
      <c r="D32" s="4" t="str">
        <f>Fact_Production_Hourly!D32</f>
        <v>M3</v>
      </c>
      <c r="E32" s="4" t="str">
        <f>Fact_Production_Hourly!E32</f>
        <v>B-PM</v>
      </c>
      <c r="F32" s="4" t="str">
        <f>Fact_Production_Hourly!F32</f>
        <v>A</v>
      </c>
      <c r="G32" s="4">
        <f>INDEX(Dim_Machine!$D$2:$D$8,MATCH(D32,Dim_Machine!$A$2:$A$8,0))*2</f>
        <v>24</v>
      </c>
      <c r="H32" s="4">
        <f>ROUND(G32*0.0581,0)</f>
        <v>1</v>
      </c>
      <c r="I32" s="4">
        <f t="shared" si="0"/>
        <v>0</v>
      </c>
      <c r="J32" s="4">
        <f t="shared" si="1"/>
        <v>0</v>
      </c>
      <c r="K32" s="4">
        <f t="shared" si="2"/>
        <v>1</v>
      </c>
      <c r="L32" s="4" t="s">
        <v>520</v>
      </c>
      <c r="M32" s="4">
        <f>INDEX(Dim_Product!$C$2:$C$4,MATCH(F32,Dim_Product!$A$2:$A$4,0))+-0.68</f>
        <v>249.32</v>
      </c>
      <c r="N32" s="4">
        <f>IF(AND(M32&gt;=INDEX(Dim_Product!$C$2:$C$4,MATCH(F32,Dim_Product!$A$2:$A$4,0))-INDEX(Dim_Product!$D$2:$D$4,MATCH(F32,Dim_Product!$A$2:$A$4,0)),M32&lt;=INDEX(Dim_Product!$C$2:$C$4,MATCH(F32,Dim_Product!$A$2:$A$4,0))+INDEX(Dim_Product!$D$2:$D$4,MATCH(F32,Dim_Product!$A$2:$A$4,0))),G32-H32,G32-H32-1)</f>
        <v>23</v>
      </c>
      <c r="O32" s="4">
        <f t="shared" si="3"/>
        <v>1</v>
      </c>
      <c r="P32" s="4">
        <f>INDEX(Dim_Product!$G$2:$G$4,MATCH(F32,Dim_Product!$A$2:$A$4,0))+-0.28</f>
        <v>69.72</v>
      </c>
      <c r="Q32" s="4">
        <f>IF(AND(P32&gt;=INDEX(Dim_Product!$G$2:$G$4,MATCH(F32,Dim_Product!$A$2:$A$4,0))-INDEX(Dim_Product!$H$2:$H$4,MATCH(F32,Dim_Product!$A$2:$A$4,0)),P32&lt;=INDEX(Dim_Product!$G$2:$G$4,MATCH(F32,Dim_Product!$A$2:$A$4,0))+INDEX(Dim_Product!$H$2:$H$4,MATCH(F32,Dim_Product!$A$2:$A$4,0))),G32-H32,G32-H32-1)</f>
        <v>23</v>
      </c>
      <c r="R32" s="4">
        <f t="shared" si="4"/>
        <v>1</v>
      </c>
      <c r="S32" s="4">
        <f>INDEX(Dim_Product!$K$2:$K$4,MATCH(F32,Dim_Product!$A$2:$A$4,0))+0.28</f>
        <v>120.28</v>
      </c>
      <c r="T32" s="4">
        <f>IF(AND(S32&gt;=INDEX(Dim_Product!$K$2:$K$4,MATCH(F32,Dim_Product!$A$2:$A$4,0))-INDEX(Dim_Product!$L$2:$L$4,MATCH(F32,Dim_Product!$A$2:$A$4,0)),S32&lt;=INDEX(Dim_Product!$K$2:$K$4,MATCH(F32,Dim_Product!$A$2:$A$4,0))+INDEX(Dim_Product!$L$2:$L$4,MATCH(F32,Dim_Product!$A$2:$A$4,0))),G32-H32,G32-H32-1)</f>
        <v>23</v>
      </c>
      <c r="U32" s="4">
        <f t="shared" si="5"/>
        <v>1</v>
      </c>
      <c r="V32" s="4">
        <f t="shared" si="6"/>
        <v>4.1666666666666664E-2</v>
      </c>
      <c r="W32" s="19">
        <f t="shared" si="7"/>
        <v>0.95833333333333337</v>
      </c>
    </row>
    <row r="33" spans="1:23" x14ac:dyDescent="0.25">
      <c r="A33" s="18" t="s">
        <v>534</v>
      </c>
      <c r="B33" s="4">
        <f>Fact_Production_Hourly!B33</f>
        <v>20260701</v>
      </c>
      <c r="C33" s="4">
        <f>Fact_Production_Hourly!C33</f>
        <v>4</v>
      </c>
      <c r="D33" s="4" t="str">
        <f>Fact_Production_Hourly!D33</f>
        <v>M4</v>
      </c>
      <c r="E33" s="4" t="str">
        <f>Fact_Production_Hourly!E33</f>
        <v>B-PM</v>
      </c>
      <c r="F33" s="4" t="str">
        <f>Fact_Production_Hourly!F33</f>
        <v>A</v>
      </c>
      <c r="G33" s="4">
        <f>INDEX(Dim_Machine!$D$2:$D$8,MATCH(D33,Dim_Machine!$A$2:$A$8,0))*2</f>
        <v>48</v>
      </c>
      <c r="H33" s="4">
        <f>ROUND(G33*0.0507,0)</f>
        <v>2</v>
      </c>
      <c r="I33" s="4">
        <f t="shared" si="0"/>
        <v>0</v>
      </c>
      <c r="J33" s="4">
        <f t="shared" si="1"/>
        <v>1</v>
      </c>
      <c r="K33" s="4">
        <f t="shared" si="2"/>
        <v>1</v>
      </c>
      <c r="L33" s="4" t="s">
        <v>503</v>
      </c>
      <c r="M33" s="4">
        <f>INDEX(Dim_Product!$C$2:$C$4,MATCH(F33,Dim_Product!$A$2:$A$4,0))+-0.93</f>
        <v>249.07</v>
      </c>
      <c r="N33" s="4">
        <f>IF(AND(M33&gt;=INDEX(Dim_Product!$C$2:$C$4,MATCH(F33,Dim_Product!$A$2:$A$4,0))-INDEX(Dim_Product!$D$2:$D$4,MATCH(F33,Dim_Product!$A$2:$A$4,0)),M33&lt;=INDEX(Dim_Product!$C$2:$C$4,MATCH(F33,Dim_Product!$A$2:$A$4,0))+INDEX(Dim_Product!$D$2:$D$4,MATCH(F33,Dim_Product!$A$2:$A$4,0))),G33-H33,G33-H33-1)</f>
        <v>46</v>
      </c>
      <c r="O33" s="4">
        <f t="shared" si="3"/>
        <v>2</v>
      </c>
      <c r="P33" s="4">
        <f>INDEX(Dim_Product!$G$2:$G$4,MATCH(F33,Dim_Product!$A$2:$A$4,0))+-0.26</f>
        <v>69.739999999999995</v>
      </c>
      <c r="Q33" s="4">
        <f>IF(AND(P33&gt;=INDEX(Dim_Product!$G$2:$G$4,MATCH(F33,Dim_Product!$A$2:$A$4,0))-INDEX(Dim_Product!$H$2:$H$4,MATCH(F33,Dim_Product!$A$2:$A$4,0)),P33&lt;=INDEX(Dim_Product!$G$2:$G$4,MATCH(F33,Dim_Product!$A$2:$A$4,0))+INDEX(Dim_Product!$H$2:$H$4,MATCH(F33,Dim_Product!$A$2:$A$4,0))),G33-H33,G33-H33-1)</f>
        <v>46</v>
      </c>
      <c r="R33" s="4">
        <f t="shared" si="4"/>
        <v>2</v>
      </c>
      <c r="S33" s="4">
        <f>INDEX(Dim_Product!$K$2:$K$4,MATCH(F33,Dim_Product!$A$2:$A$4,0))+0.22</f>
        <v>120.22</v>
      </c>
      <c r="T33" s="4">
        <f>IF(AND(S33&gt;=INDEX(Dim_Product!$K$2:$K$4,MATCH(F33,Dim_Product!$A$2:$A$4,0))-INDEX(Dim_Product!$L$2:$L$4,MATCH(F33,Dim_Product!$A$2:$A$4,0)),S33&lt;=INDEX(Dim_Product!$K$2:$K$4,MATCH(F33,Dim_Product!$A$2:$A$4,0))+INDEX(Dim_Product!$L$2:$L$4,MATCH(F33,Dim_Product!$A$2:$A$4,0))),G33-H33,G33-H33-1)</f>
        <v>46</v>
      </c>
      <c r="U33" s="4">
        <f t="shared" si="5"/>
        <v>2</v>
      </c>
      <c r="V33" s="4">
        <f t="shared" si="6"/>
        <v>4.1666666666666664E-2</v>
      </c>
      <c r="W33" s="19">
        <f t="shared" si="7"/>
        <v>0.95833333333333337</v>
      </c>
    </row>
    <row r="34" spans="1:23" x14ac:dyDescent="0.25">
      <c r="A34" s="18" t="s">
        <v>535</v>
      </c>
      <c r="B34" s="4">
        <f>Fact_Production_Hourly!B34</f>
        <v>20260701</v>
      </c>
      <c r="C34" s="4">
        <f>Fact_Production_Hourly!C34</f>
        <v>4</v>
      </c>
      <c r="D34" s="4" t="str">
        <f>Fact_Production_Hourly!D34</f>
        <v>M5</v>
      </c>
      <c r="E34" s="4" t="str">
        <f>Fact_Production_Hourly!E34</f>
        <v>B-PM</v>
      </c>
      <c r="F34" s="4" t="str">
        <f>Fact_Production_Hourly!F34</f>
        <v>A</v>
      </c>
      <c r="G34" s="4">
        <f>INDEX(Dim_Machine!$D$2:$D$8,MATCH(D34,Dim_Machine!$A$2:$A$8,0))*2</f>
        <v>32</v>
      </c>
      <c r="H34" s="4">
        <f>ROUND(G34*0.032,0)</f>
        <v>1</v>
      </c>
      <c r="I34" s="4">
        <f t="shared" si="0"/>
        <v>0</v>
      </c>
      <c r="J34" s="4">
        <f t="shared" si="1"/>
        <v>0</v>
      </c>
      <c r="K34" s="4">
        <f t="shared" si="2"/>
        <v>1</v>
      </c>
      <c r="L34" s="4" t="s">
        <v>503</v>
      </c>
      <c r="M34" s="4">
        <f>INDEX(Dim_Product!$C$2:$C$4,MATCH(F34,Dim_Product!$A$2:$A$4,0))+0.9</f>
        <v>250.9</v>
      </c>
      <c r="N34" s="4">
        <f>IF(AND(M34&gt;=INDEX(Dim_Product!$C$2:$C$4,MATCH(F34,Dim_Product!$A$2:$A$4,0))-INDEX(Dim_Product!$D$2:$D$4,MATCH(F34,Dim_Product!$A$2:$A$4,0)),M34&lt;=INDEX(Dim_Product!$C$2:$C$4,MATCH(F34,Dim_Product!$A$2:$A$4,0))+INDEX(Dim_Product!$D$2:$D$4,MATCH(F34,Dim_Product!$A$2:$A$4,0))),G34-H34,G34-H34-1)</f>
        <v>31</v>
      </c>
      <c r="O34" s="4">
        <f t="shared" si="3"/>
        <v>1</v>
      </c>
      <c r="P34" s="4">
        <f>INDEX(Dim_Product!$G$2:$G$4,MATCH(F34,Dim_Product!$A$2:$A$4,0))+-0.28</f>
        <v>69.72</v>
      </c>
      <c r="Q34" s="4">
        <f>IF(AND(P34&gt;=INDEX(Dim_Product!$G$2:$G$4,MATCH(F34,Dim_Product!$A$2:$A$4,0))-INDEX(Dim_Product!$H$2:$H$4,MATCH(F34,Dim_Product!$A$2:$A$4,0)),P34&lt;=INDEX(Dim_Product!$G$2:$G$4,MATCH(F34,Dim_Product!$A$2:$A$4,0))+INDEX(Dim_Product!$H$2:$H$4,MATCH(F34,Dim_Product!$A$2:$A$4,0))),G34-H34,G34-H34-1)</f>
        <v>31</v>
      </c>
      <c r="R34" s="4">
        <f t="shared" si="4"/>
        <v>1</v>
      </c>
      <c r="S34" s="4">
        <f>INDEX(Dim_Product!$K$2:$K$4,MATCH(F34,Dim_Product!$A$2:$A$4,0))+-0.28</f>
        <v>119.72</v>
      </c>
      <c r="T34" s="4">
        <f>IF(AND(S34&gt;=INDEX(Dim_Product!$K$2:$K$4,MATCH(F34,Dim_Product!$A$2:$A$4,0))-INDEX(Dim_Product!$L$2:$L$4,MATCH(F34,Dim_Product!$A$2:$A$4,0)),S34&lt;=INDEX(Dim_Product!$K$2:$K$4,MATCH(F34,Dim_Product!$A$2:$A$4,0))+INDEX(Dim_Product!$L$2:$L$4,MATCH(F34,Dim_Product!$A$2:$A$4,0))),G34-H34,G34-H34-1)</f>
        <v>31</v>
      </c>
      <c r="U34" s="4">
        <f t="shared" si="5"/>
        <v>1</v>
      </c>
      <c r="V34" s="4">
        <f t="shared" si="6"/>
        <v>3.125E-2</v>
      </c>
      <c r="W34" s="19">
        <f t="shared" si="7"/>
        <v>0.96875</v>
      </c>
    </row>
    <row r="35" spans="1:23" x14ac:dyDescent="0.25">
      <c r="A35" s="18" t="s">
        <v>536</v>
      </c>
      <c r="B35" s="4">
        <f>Fact_Production_Hourly!B35</f>
        <v>20260701</v>
      </c>
      <c r="C35" s="4">
        <f>Fact_Production_Hourly!C35</f>
        <v>4</v>
      </c>
      <c r="D35" s="4" t="str">
        <f>Fact_Production_Hourly!D35</f>
        <v>M6</v>
      </c>
      <c r="E35" s="4" t="str">
        <f>Fact_Production_Hourly!E35</f>
        <v>B-PM</v>
      </c>
      <c r="F35" s="4" t="str">
        <f>Fact_Production_Hourly!F35</f>
        <v>C</v>
      </c>
      <c r="G35" s="4">
        <f>INDEX(Dim_Machine!$D$2:$D$8,MATCH(D35,Dim_Machine!$A$2:$A$8,0))*2</f>
        <v>24</v>
      </c>
      <c r="H35" s="4">
        <f>ROUND(G35*0.037,0)</f>
        <v>1</v>
      </c>
      <c r="I35" s="4">
        <f t="shared" si="0"/>
        <v>0</v>
      </c>
      <c r="J35" s="4">
        <f t="shared" si="1"/>
        <v>0</v>
      </c>
      <c r="K35" s="4">
        <f t="shared" si="2"/>
        <v>1</v>
      </c>
      <c r="L35" s="4" t="s">
        <v>517</v>
      </c>
      <c r="M35" s="4">
        <f>INDEX(Dim_Product!$C$2:$C$4,MATCH(F35,Dim_Product!$A$2:$A$4,0))+-0.26</f>
        <v>199.74</v>
      </c>
      <c r="N35" s="4">
        <f>IF(AND(M35&gt;=INDEX(Dim_Product!$C$2:$C$4,MATCH(F35,Dim_Product!$A$2:$A$4,0))-INDEX(Dim_Product!$D$2:$D$4,MATCH(F35,Dim_Product!$A$2:$A$4,0)),M35&lt;=INDEX(Dim_Product!$C$2:$C$4,MATCH(F35,Dim_Product!$A$2:$A$4,0))+INDEX(Dim_Product!$D$2:$D$4,MATCH(F35,Dim_Product!$A$2:$A$4,0))),G35-H35,G35-H35-1)</f>
        <v>23</v>
      </c>
      <c r="O35" s="4">
        <f t="shared" si="3"/>
        <v>1</v>
      </c>
      <c r="P35" s="4">
        <f>INDEX(Dim_Product!$G$2:$G$4,MATCH(F35,Dim_Product!$A$2:$A$4,0))+0.16</f>
        <v>65.16</v>
      </c>
      <c r="Q35" s="4">
        <f>IF(AND(P35&gt;=INDEX(Dim_Product!$G$2:$G$4,MATCH(F35,Dim_Product!$A$2:$A$4,0))-INDEX(Dim_Product!$H$2:$H$4,MATCH(F35,Dim_Product!$A$2:$A$4,0)),P35&lt;=INDEX(Dim_Product!$G$2:$G$4,MATCH(F35,Dim_Product!$A$2:$A$4,0))+INDEX(Dim_Product!$H$2:$H$4,MATCH(F35,Dim_Product!$A$2:$A$4,0))),G35-H35,G35-H35-1)</f>
        <v>23</v>
      </c>
      <c r="R35" s="4">
        <f t="shared" si="4"/>
        <v>1</v>
      </c>
      <c r="S35" s="4">
        <f>INDEX(Dim_Product!$K$2:$K$4,MATCH(F35,Dim_Product!$A$2:$A$4,0))+0.06</f>
        <v>110.06</v>
      </c>
      <c r="T35" s="4">
        <f>IF(AND(S35&gt;=INDEX(Dim_Product!$K$2:$K$4,MATCH(F35,Dim_Product!$A$2:$A$4,0))-INDEX(Dim_Product!$L$2:$L$4,MATCH(F35,Dim_Product!$A$2:$A$4,0)),S35&lt;=INDEX(Dim_Product!$K$2:$K$4,MATCH(F35,Dim_Product!$A$2:$A$4,0))+INDEX(Dim_Product!$L$2:$L$4,MATCH(F35,Dim_Product!$A$2:$A$4,0))),G35-H35,G35-H35-1)</f>
        <v>23</v>
      </c>
      <c r="U35" s="4">
        <f t="shared" si="5"/>
        <v>1</v>
      </c>
      <c r="V35" s="4">
        <f t="shared" si="6"/>
        <v>4.1666666666666664E-2</v>
      </c>
      <c r="W35" s="19">
        <f t="shared" si="7"/>
        <v>0.95833333333333337</v>
      </c>
    </row>
    <row r="36" spans="1:23" x14ac:dyDescent="0.25">
      <c r="A36" s="18" t="s">
        <v>537</v>
      </c>
      <c r="B36" s="4">
        <f>Fact_Production_Hourly!B36</f>
        <v>20260701</v>
      </c>
      <c r="C36" s="4">
        <f>Fact_Production_Hourly!C36</f>
        <v>4</v>
      </c>
      <c r="D36" s="4" t="str">
        <f>Fact_Production_Hourly!D36</f>
        <v>M7</v>
      </c>
      <c r="E36" s="4" t="str">
        <f>Fact_Production_Hourly!E36</f>
        <v>B-PM</v>
      </c>
      <c r="F36" s="4" t="str">
        <f>Fact_Production_Hourly!F36</f>
        <v>A</v>
      </c>
      <c r="G36" s="4">
        <f>INDEX(Dim_Machine!$D$2:$D$8,MATCH(D36,Dim_Machine!$A$2:$A$8,0))*2</f>
        <v>48</v>
      </c>
      <c r="H36" s="4">
        <f>ROUND(G36*0.0418,0)</f>
        <v>2</v>
      </c>
      <c r="I36" s="4">
        <f t="shared" si="0"/>
        <v>0</v>
      </c>
      <c r="J36" s="4">
        <f t="shared" si="1"/>
        <v>1</v>
      </c>
      <c r="K36" s="4">
        <f t="shared" si="2"/>
        <v>1</v>
      </c>
      <c r="L36" s="4" t="s">
        <v>503</v>
      </c>
      <c r="M36" s="4">
        <f>INDEX(Dim_Product!$C$2:$C$4,MATCH(F36,Dim_Product!$A$2:$A$4,0))+-0.37</f>
        <v>249.63</v>
      </c>
      <c r="N36" s="4">
        <f>IF(AND(M36&gt;=INDEX(Dim_Product!$C$2:$C$4,MATCH(F36,Dim_Product!$A$2:$A$4,0))-INDEX(Dim_Product!$D$2:$D$4,MATCH(F36,Dim_Product!$A$2:$A$4,0)),M36&lt;=INDEX(Dim_Product!$C$2:$C$4,MATCH(F36,Dim_Product!$A$2:$A$4,0))+INDEX(Dim_Product!$D$2:$D$4,MATCH(F36,Dim_Product!$A$2:$A$4,0))),G36-H36,G36-H36-1)</f>
        <v>46</v>
      </c>
      <c r="O36" s="4">
        <f t="shared" si="3"/>
        <v>2</v>
      </c>
      <c r="P36" s="4">
        <f>INDEX(Dim_Product!$G$2:$G$4,MATCH(F36,Dim_Product!$A$2:$A$4,0))+-0.13</f>
        <v>69.87</v>
      </c>
      <c r="Q36" s="4">
        <f>IF(AND(P36&gt;=INDEX(Dim_Product!$G$2:$G$4,MATCH(F36,Dim_Product!$A$2:$A$4,0))-INDEX(Dim_Product!$H$2:$H$4,MATCH(F36,Dim_Product!$A$2:$A$4,0)),P36&lt;=INDEX(Dim_Product!$G$2:$G$4,MATCH(F36,Dim_Product!$A$2:$A$4,0))+INDEX(Dim_Product!$H$2:$H$4,MATCH(F36,Dim_Product!$A$2:$A$4,0))),G36-H36,G36-H36-1)</f>
        <v>46</v>
      </c>
      <c r="R36" s="4">
        <f t="shared" si="4"/>
        <v>2</v>
      </c>
      <c r="S36" s="4">
        <f>INDEX(Dim_Product!$K$2:$K$4,MATCH(F36,Dim_Product!$A$2:$A$4,0))+0.37</f>
        <v>120.37</v>
      </c>
      <c r="T36" s="4">
        <f>IF(AND(S36&gt;=INDEX(Dim_Product!$K$2:$K$4,MATCH(F36,Dim_Product!$A$2:$A$4,0))-INDEX(Dim_Product!$L$2:$L$4,MATCH(F36,Dim_Product!$A$2:$A$4,0)),S36&lt;=INDEX(Dim_Product!$K$2:$K$4,MATCH(F36,Dim_Product!$A$2:$A$4,0))+INDEX(Dim_Product!$L$2:$L$4,MATCH(F36,Dim_Product!$A$2:$A$4,0))),G36-H36,G36-H36-1)</f>
        <v>46</v>
      </c>
      <c r="U36" s="4">
        <f t="shared" si="5"/>
        <v>2</v>
      </c>
      <c r="V36" s="4">
        <f t="shared" si="6"/>
        <v>4.1666666666666664E-2</v>
      </c>
      <c r="W36" s="19">
        <f t="shared" si="7"/>
        <v>0.95833333333333337</v>
      </c>
    </row>
    <row r="37" spans="1:23" x14ac:dyDescent="0.25">
      <c r="A37" s="18" t="s">
        <v>538</v>
      </c>
      <c r="B37" s="4">
        <f>Fact_Production_Hourly!B37</f>
        <v>20260701</v>
      </c>
      <c r="C37" s="4">
        <f>Fact_Production_Hourly!C37</f>
        <v>5</v>
      </c>
      <c r="D37" s="4" t="str">
        <f>Fact_Production_Hourly!D37</f>
        <v>M1</v>
      </c>
      <c r="E37" s="4" t="str">
        <f>Fact_Production_Hourly!E37</f>
        <v>B-PM</v>
      </c>
      <c r="F37" s="4" t="str">
        <f>Fact_Production_Hourly!F37</f>
        <v>A</v>
      </c>
      <c r="G37" s="4">
        <f>INDEX(Dim_Machine!$D$2:$D$8,MATCH(D37,Dim_Machine!$A$2:$A$8,0))*2</f>
        <v>32</v>
      </c>
      <c r="H37" s="4">
        <f>ROUND(G37*0.0116,0)</f>
        <v>0</v>
      </c>
      <c r="I37" s="4">
        <f t="shared" si="0"/>
        <v>0</v>
      </c>
      <c r="J37" s="4">
        <f t="shared" si="1"/>
        <v>0</v>
      </c>
      <c r="K37" s="4">
        <f t="shared" si="2"/>
        <v>0</v>
      </c>
      <c r="L37" s="4" t="s">
        <v>500</v>
      </c>
      <c r="M37" s="4">
        <f>INDEX(Dim_Product!$C$2:$C$4,MATCH(F37,Dim_Product!$A$2:$A$4,0))+0</f>
        <v>250</v>
      </c>
      <c r="N37" s="4">
        <f>IF(AND(M37&gt;=INDEX(Dim_Product!$C$2:$C$4,MATCH(F37,Dim_Product!$A$2:$A$4,0))-INDEX(Dim_Product!$D$2:$D$4,MATCH(F37,Dim_Product!$A$2:$A$4,0)),M37&lt;=INDEX(Dim_Product!$C$2:$C$4,MATCH(F37,Dim_Product!$A$2:$A$4,0))+INDEX(Dim_Product!$D$2:$D$4,MATCH(F37,Dim_Product!$A$2:$A$4,0))),G37-H37,G37-H37-1)</f>
        <v>32</v>
      </c>
      <c r="O37" s="4">
        <f t="shared" si="3"/>
        <v>0</v>
      </c>
      <c r="P37" s="4">
        <f>INDEX(Dim_Product!$G$2:$G$4,MATCH(F37,Dim_Product!$A$2:$A$4,0))+-0.07</f>
        <v>69.930000000000007</v>
      </c>
      <c r="Q37" s="4">
        <f>IF(AND(P37&gt;=INDEX(Dim_Product!$G$2:$G$4,MATCH(F37,Dim_Product!$A$2:$A$4,0))-INDEX(Dim_Product!$H$2:$H$4,MATCH(F37,Dim_Product!$A$2:$A$4,0)),P37&lt;=INDEX(Dim_Product!$G$2:$G$4,MATCH(F37,Dim_Product!$A$2:$A$4,0))+INDEX(Dim_Product!$H$2:$H$4,MATCH(F37,Dim_Product!$A$2:$A$4,0))),G37-H37,G37-H37-1)</f>
        <v>32</v>
      </c>
      <c r="R37" s="4">
        <f t="shared" si="4"/>
        <v>0</v>
      </c>
      <c r="S37" s="4">
        <f>INDEX(Dim_Product!$K$2:$K$4,MATCH(F37,Dim_Product!$A$2:$A$4,0))+0.05</f>
        <v>120.05</v>
      </c>
      <c r="T37" s="4">
        <f>IF(AND(S37&gt;=INDEX(Dim_Product!$K$2:$K$4,MATCH(F37,Dim_Product!$A$2:$A$4,0))-INDEX(Dim_Product!$L$2:$L$4,MATCH(F37,Dim_Product!$A$2:$A$4,0)),S37&lt;=INDEX(Dim_Product!$K$2:$K$4,MATCH(F37,Dim_Product!$A$2:$A$4,0))+INDEX(Dim_Product!$L$2:$L$4,MATCH(F37,Dim_Product!$A$2:$A$4,0))),G37-H37,G37-H37-1)</f>
        <v>32</v>
      </c>
      <c r="U37" s="4">
        <f t="shared" si="5"/>
        <v>0</v>
      </c>
      <c r="V37" s="4">
        <f t="shared" si="6"/>
        <v>0</v>
      </c>
      <c r="W37" s="19">
        <f t="shared" si="7"/>
        <v>1</v>
      </c>
    </row>
    <row r="38" spans="1:23" x14ac:dyDescent="0.25">
      <c r="A38" s="18" t="s">
        <v>539</v>
      </c>
      <c r="B38" s="4">
        <f>Fact_Production_Hourly!B38</f>
        <v>20260701</v>
      </c>
      <c r="C38" s="4">
        <f>Fact_Production_Hourly!C38</f>
        <v>5</v>
      </c>
      <c r="D38" s="4" t="str">
        <f>Fact_Production_Hourly!D38</f>
        <v>M2</v>
      </c>
      <c r="E38" s="4" t="str">
        <f>Fact_Production_Hourly!E38</f>
        <v>B-PM</v>
      </c>
      <c r="F38" s="4" t="str">
        <f>Fact_Production_Hourly!F38</f>
        <v>C</v>
      </c>
      <c r="G38" s="4">
        <f>INDEX(Dim_Machine!$D$2:$D$8,MATCH(D38,Dim_Machine!$A$2:$A$8,0))*2</f>
        <v>48</v>
      </c>
      <c r="H38" s="4">
        <f>ROUND(G38*0.0257,0)</f>
        <v>1</v>
      </c>
      <c r="I38" s="4">
        <f t="shared" si="0"/>
        <v>0</v>
      </c>
      <c r="J38" s="4">
        <f t="shared" si="1"/>
        <v>0</v>
      </c>
      <c r="K38" s="4">
        <f t="shared" si="2"/>
        <v>1</v>
      </c>
      <c r="L38" s="4" t="s">
        <v>517</v>
      </c>
      <c r="M38" s="4">
        <f>INDEX(Dim_Product!$C$2:$C$4,MATCH(F38,Dim_Product!$A$2:$A$4,0))+0.41</f>
        <v>200.41</v>
      </c>
      <c r="N38" s="4">
        <f>IF(AND(M38&gt;=INDEX(Dim_Product!$C$2:$C$4,MATCH(F38,Dim_Product!$A$2:$A$4,0))-INDEX(Dim_Product!$D$2:$D$4,MATCH(F38,Dim_Product!$A$2:$A$4,0)),M38&lt;=INDEX(Dim_Product!$C$2:$C$4,MATCH(F38,Dim_Product!$A$2:$A$4,0))+INDEX(Dim_Product!$D$2:$D$4,MATCH(F38,Dim_Product!$A$2:$A$4,0))),G38-H38,G38-H38-1)</f>
        <v>47</v>
      </c>
      <c r="O38" s="4">
        <f t="shared" si="3"/>
        <v>1</v>
      </c>
      <c r="P38" s="4">
        <f>INDEX(Dim_Product!$G$2:$G$4,MATCH(F38,Dim_Product!$A$2:$A$4,0))+-0.17</f>
        <v>64.83</v>
      </c>
      <c r="Q38" s="4">
        <f>IF(AND(P38&gt;=INDEX(Dim_Product!$G$2:$G$4,MATCH(F38,Dim_Product!$A$2:$A$4,0))-INDEX(Dim_Product!$H$2:$H$4,MATCH(F38,Dim_Product!$A$2:$A$4,0)),P38&lt;=INDEX(Dim_Product!$G$2:$G$4,MATCH(F38,Dim_Product!$A$2:$A$4,0))+INDEX(Dim_Product!$H$2:$H$4,MATCH(F38,Dim_Product!$A$2:$A$4,0))),G38-H38,G38-H38-1)</f>
        <v>47</v>
      </c>
      <c r="R38" s="4">
        <f t="shared" si="4"/>
        <v>1</v>
      </c>
      <c r="S38" s="4">
        <f>INDEX(Dim_Product!$K$2:$K$4,MATCH(F38,Dim_Product!$A$2:$A$4,0))+0.09</f>
        <v>110.09</v>
      </c>
      <c r="T38" s="4">
        <f>IF(AND(S38&gt;=INDEX(Dim_Product!$K$2:$K$4,MATCH(F38,Dim_Product!$A$2:$A$4,0))-INDEX(Dim_Product!$L$2:$L$4,MATCH(F38,Dim_Product!$A$2:$A$4,0)),S38&lt;=INDEX(Dim_Product!$K$2:$K$4,MATCH(F38,Dim_Product!$A$2:$A$4,0))+INDEX(Dim_Product!$L$2:$L$4,MATCH(F38,Dim_Product!$A$2:$A$4,0))),G38-H38,G38-H38-1)</f>
        <v>47</v>
      </c>
      <c r="U38" s="4">
        <f t="shared" si="5"/>
        <v>1</v>
      </c>
      <c r="V38" s="4">
        <f t="shared" si="6"/>
        <v>2.0833333333333332E-2</v>
      </c>
      <c r="W38" s="19">
        <f t="shared" si="7"/>
        <v>0.97916666666666663</v>
      </c>
    </row>
    <row r="39" spans="1:23" x14ac:dyDescent="0.25">
      <c r="A39" s="18" t="s">
        <v>540</v>
      </c>
      <c r="B39" s="4">
        <f>Fact_Production_Hourly!B39</f>
        <v>20260701</v>
      </c>
      <c r="C39" s="4">
        <f>Fact_Production_Hourly!C39</f>
        <v>5</v>
      </c>
      <c r="D39" s="4" t="str">
        <f>Fact_Production_Hourly!D39</f>
        <v>M3</v>
      </c>
      <c r="E39" s="4" t="str">
        <f>Fact_Production_Hourly!E39</f>
        <v>B-PM</v>
      </c>
      <c r="F39" s="4" t="str">
        <f>Fact_Production_Hourly!F39</f>
        <v>A</v>
      </c>
      <c r="G39" s="4">
        <f>INDEX(Dim_Machine!$D$2:$D$8,MATCH(D39,Dim_Machine!$A$2:$A$8,0))*2</f>
        <v>24</v>
      </c>
      <c r="H39" s="4">
        <f>ROUND(G39*0.0516,0)</f>
        <v>1</v>
      </c>
      <c r="I39" s="4">
        <f t="shared" si="0"/>
        <v>0</v>
      </c>
      <c r="J39" s="4">
        <f t="shared" si="1"/>
        <v>0</v>
      </c>
      <c r="K39" s="4">
        <f t="shared" si="2"/>
        <v>1</v>
      </c>
      <c r="L39" s="4" t="s">
        <v>503</v>
      </c>
      <c r="M39" s="4">
        <f>INDEX(Dim_Product!$C$2:$C$4,MATCH(F39,Dim_Product!$A$2:$A$4,0))+-0.6</f>
        <v>249.4</v>
      </c>
      <c r="N39" s="4">
        <f>IF(AND(M39&gt;=INDEX(Dim_Product!$C$2:$C$4,MATCH(F39,Dim_Product!$A$2:$A$4,0))-INDEX(Dim_Product!$D$2:$D$4,MATCH(F39,Dim_Product!$A$2:$A$4,0)),M39&lt;=INDEX(Dim_Product!$C$2:$C$4,MATCH(F39,Dim_Product!$A$2:$A$4,0))+INDEX(Dim_Product!$D$2:$D$4,MATCH(F39,Dim_Product!$A$2:$A$4,0))),G39-H39,G39-H39-1)</f>
        <v>23</v>
      </c>
      <c r="O39" s="4">
        <f t="shared" si="3"/>
        <v>1</v>
      </c>
      <c r="P39" s="4">
        <f>INDEX(Dim_Product!$G$2:$G$4,MATCH(F39,Dim_Product!$A$2:$A$4,0))+-0.22</f>
        <v>69.78</v>
      </c>
      <c r="Q39" s="4">
        <f>IF(AND(P39&gt;=INDEX(Dim_Product!$G$2:$G$4,MATCH(F39,Dim_Product!$A$2:$A$4,0))-INDEX(Dim_Product!$H$2:$H$4,MATCH(F39,Dim_Product!$A$2:$A$4,0)),P39&lt;=INDEX(Dim_Product!$G$2:$G$4,MATCH(F39,Dim_Product!$A$2:$A$4,0))+INDEX(Dim_Product!$H$2:$H$4,MATCH(F39,Dim_Product!$A$2:$A$4,0))),G39-H39,G39-H39-1)</f>
        <v>23</v>
      </c>
      <c r="R39" s="4">
        <f t="shared" si="4"/>
        <v>1</v>
      </c>
      <c r="S39" s="4">
        <f>INDEX(Dim_Product!$K$2:$K$4,MATCH(F39,Dim_Product!$A$2:$A$4,0))+-0.34</f>
        <v>119.66</v>
      </c>
      <c r="T39" s="4">
        <f>IF(AND(S39&gt;=INDEX(Dim_Product!$K$2:$K$4,MATCH(F39,Dim_Product!$A$2:$A$4,0))-INDEX(Dim_Product!$L$2:$L$4,MATCH(F39,Dim_Product!$A$2:$A$4,0)),S39&lt;=INDEX(Dim_Product!$K$2:$K$4,MATCH(F39,Dim_Product!$A$2:$A$4,0))+INDEX(Dim_Product!$L$2:$L$4,MATCH(F39,Dim_Product!$A$2:$A$4,0))),G39-H39,G39-H39-1)</f>
        <v>23</v>
      </c>
      <c r="U39" s="4">
        <f t="shared" si="5"/>
        <v>1</v>
      </c>
      <c r="V39" s="4">
        <f t="shared" si="6"/>
        <v>4.1666666666666664E-2</v>
      </c>
      <c r="W39" s="19">
        <f t="shared" si="7"/>
        <v>0.95833333333333337</v>
      </c>
    </row>
    <row r="40" spans="1:23" x14ac:dyDescent="0.25">
      <c r="A40" s="18" t="s">
        <v>541</v>
      </c>
      <c r="B40" s="4">
        <f>Fact_Production_Hourly!B40</f>
        <v>20260701</v>
      </c>
      <c r="C40" s="4">
        <f>Fact_Production_Hourly!C40</f>
        <v>5</v>
      </c>
      <c r="D40" s="4" t="str">
        <f>Fact_Production_Hourly!D40</f>
        <v>M4</v>
      </c>
      <c r="E40" s="4" t="str">
        <f>Fact_Production_Hourly!E40</f>
        <v>B-PM</v>
      </c>
      <c r="F40" s="4" t="str">
        <f>Fact_Production_Hourly!F40</f>
        <v>A</v>
      </c>
      <c r="G40" s="4">
        <f>INDEX(Dim_Machine!$D$2:$D$8,MATCH(D40,Dim_Machine!$A$2:$A$8,0))*2</f>
        <v>48</v>
      </c>
      <c r="H40" s="4">
        <f>ROUND(G40*0.0204,0)</f>
        <v>1</v>
      </c>
      <c r="I40" s="4">
        <f t="shared" si="0"/>
        <v>0</v>
      </c>
      <c r="J40" s="4">
        <f t="shared" si="1"/>
        <v>0</v>
      </c>
      <c r="K40" s="4">
        <f t="shared" si="2"/>
        <v>1</v>
      </c>
      <c r="L40" s="4" t="s">
        <v>520</v>
      </c>
      <c r="M40" s="4">
        <f>INDEX(Dim_Product!$C$2:$C$4,MATCH(F40,Dim_Product!$A$2:$A$4,0))+-0.11</f>
        <v>249.89</v>
      </c>
      <c r="N40" s="4">
        <f>IF(AND(M40&gt;=INDEX(Dim_Product!$C$2:$C$4,MATCH(F40,Dim_Product!$A$2:$A$4,0))-INDEX(Dim_Product!$D$2:$D$4,MATCH(F40,Dim_Product!$A$2:$A$4,0)),M40&lt;=INDEX(Dim_Product!$C$2:$C$4,MATCH(F40,Dim_Product!$A$2:$A$4,0))+INDEX(Dim_Product!$D$2:$D$4,MATCH(F40,Dim_Product!$A$2:$A$4,0))),G40-H40,G40-H40-1)</f>
        <v>47</v>
      </c>
      <c r="O40" s="4">
        <f t="shared" si="3"/>
        <v>1</v>
      </c>
      <c r="P40" s="4">
        <f>INDEX(Dim_Product!$G$2:$G$4,MATCH(F40,Dim_Product!$A$2:$A$4,0))+-0.25</f>
        <v>69.75</v>
      </c>
      <c r="Q40" s="4">
        <f>IF(AND(P40&gt;=INDEX(Dim_Product!$G$2:$G$4,MATCH(F40,Dim_Product!$A$2:$A$4,0))-INDEX(Dim_Product!$H$2:$H$4,MATCH(F40,Dim_Product!$A$2:$A$4,0)),P40&lt;=INDEX(Dim_Product!$G$2:$G$4,MATCH(F40,Dim_Product!$A$2:$A$4,0))+INDEX(Dim_Product!$H$2:$H$4,MATCH(F40,Dim_Product!$A$2:$A$4,0))),G40-H40,G40-H40-1)</f>
        <v>47</v>
      </c>
      <c r="R40" s="4">
        <f t="shared" si="4"/>
        <v>1</v>
      </c>
      <c r="S40" s="4">
        <f>INDEX(Dim_Product!$K$2:$K$4,MATCH(F40,Dim_Product!$A$2:$A$4,0))+0.15</f>
        <v>120.15</v>
      </c>
      <c r="T40" s="4">
        <f>IF(AND(S40&gt;=INDEX(Dim_Product!$K$2:$K$4,MATCH(F40,Dim_Product!$A$2:$A$4,0))-INDEX(Dim_Product!$L$2:$L$4,MATCH(F40,Dim_Product!$A$2:$A$4,0)),S40&lt;=INDEX(Dim_Product!$K$2:$K$4,MATCH(F40,Dim_Product!$A$2:$A$4,0))+INDEX(Dim_Product!$L$2:$L$4,MATCH(F40,Dim_Product!$A$2:$A$4,0))),G40-H40,G40-H40-1)</f>
        <v>47</v>
      </c>
      <c r="U40" s="4">
        <f t="shared" si="5"/>
        <v>1</v>
      </c>
      <c r="V40" s="4">
        <f t="shared" si="6"/>
        <v>2.0833333333333332E-2</v>
      </c>
      <c r="W40" s="19">
        <f t="shared" si="7"/>
        <v>0.97916666666666663</v>
      </c>
    </row>
    <row r="41" spans="1:23" x14ac:dyDescent="0.25">
      <c r="A41" s="18" t="s">
        <v>542</v>
      </c>
      <c r="B41" s="4">
        <f>Fact_Production_Hourly!B41</f>
        <v>20260701</v>
      </c>
      <c r="C41" s="4">
        <f>Fact_Production_Hourly!C41</f>
        <v>5</v>
      </c>
      <c r="D41" s="4" t="str">
        <f>Fact_Production_Hourly!D41</f>
        <v>M5</v>
      </c>
      <c r="E41" s="4" t="str">
        <f>Fact_Production_Hourly!E41</f>
        <v>B-PM</v>
      </c>
      <c r="F41" s="4" t="str">
        <f>Fact_Production_Hourly!F41</f>
        <v>A</v>
      </c>
      <c r="G41" s="4">
        <f>INDEX(Dim_Machine!$D$2:$D$8,MATCH(D41,Dim_Machine!$A$2:$A$8,0))*2</f>
        <v>32</v>
      </c>
      <c r="H41" s="4">
        <f>ROUND(G41*0.0607,0)</f>
        <v>2</v>
      </c>
      <c r="I41" s="4">
        <f t="shared" si="0"/>
        <v>0</v>
      </c>
      <c r="J41" s="4">
        <f t="shared" si="1"/>
        <v>1</v>
      </c>
      <c r="K41" s="4">
        <f t="shared" si="2"/>
        <v>1</v>
      </c>
      <c r="L41" s="4" t="s">
        <v>517</v>
      </c>
      <c r="M41" s="4">
        <f>INDEX(Dim_Product!$C$2:$C$4,MATCH(F41,Dim_Product!$A$2:$A$4,0))+0.34</f>
        <v>250.34</v>
      </c>
      <c r="N41" s="4">
        <f>IF(AND(M41&gt;=INDEX(Dim_Product!$C$2:$C$4,MATCH(F41,Dim_Product!$A$2:$A$4,0))-INDEX(Dim_Product!$D$2:$D$4,MATCH(F41,Dim_Product!$A$2:$A$4,0)),M41&lt;=INDEX(Dim_Product!$C$2:$C$4,MATCH(F41,Dim_Product!$A$2:$A$4,0))+INDEX(Dim_Product!$D$2:$D$4,MATCH(F41,Dim_Product!$A$2:$A$4,0))),G41-H41,G41-H41-1)</f>
        <v>30</v>
      </c>
      <c r="O41" s="4">
        <f t="shared" si="3"/>
        <v>2</v>
      </c>
      <c r="P41" s="4">
        <f>INDEX(Dim_Product!$G$2:$G$4,MATCH(F41,Dim_Product!$A$2:$A$4,0))+0.13</f>
        <v>70.13</v>
      </c>
      <c r="Q41" s="4">
        <f>IF(AND(P41&gt;=INDEX(Dim_Product!$G$2:$G$4,MATCH(F41,Dim_Product!$A$2:$A$4,0))-INDEX(Dim_Product!$H$2:$H$4,MATCH(F41,Dim_Product!$A$2:$A$4,0)),P41&lt;=INDEX(Dim_Product!$G$2:$G$4,MATCH(F41,Dim_Product!$A$2:$A$4,0))+INDEX(Dim_Product!$H$2:$H$4,MATCH(F41,Dim_Product!$A$2:$A$4,0))),G41-H41,G41-H41-1)</f>
        <v>30</v>
      </c>
      <c r="R41" s="4">
        <f t="shared" si="4"/>
        <v>2</v>
      </c>
      <c r="S41" s="4">
        <f>INDEX(Dim_Product!$K$2:$K$4,MATCH(F41,Dim_Product!$A$2:$A$4,0))+0.04</f>
        <v>120.04</v>
      </c>
      <c r="T41" s="4">
        <f>IF(AND(S41&gt;=INDEX(Dim_Product!$K$2:$K$4,MATCH(F41,Dim_Product!$A$2:$A$4,0))-INDEX(Dim_Product!$L$2:$L$4,MATCH(F41,Dim_Product!$A$2:$A$4,0)),S41&lt;=INDEX(Dim_Product!$K$2:$K$4,MATCH(F41,Dim_Product!$A$2:$A$4,0))+INDEX(Dim_Product!$L$2:$L$4,MATCH(F41,Dim_Product!$A$2:$A$4,0))),G41-H41,G41-H41-1)</f>
        <v>30</v>
      </c>
      <c r="U41" s="4">
        <f t="shared" si="5"/>
        <v>2</v>
      </c>
      <c r="V41" s="4">
        <f t="shared" si="6"/>
        <v>6.25E-2</v>
      </c>
      <c r="W41" s="19">
        <f t="shared" si="7"/>
        <v>0.9375</v>
      </c>
    </row>
    <row r="42" spans="1:23" x14ac:dyDescent="0.25">
      <c r="A42" s="18" t="s">
        <v>543</v>
      </c>
      <c r="B42" s="4">
        <f>Fact_Production_Hourly!B42</f>
        <v>20260701</v>
      </c>
      <c r="C42" s="4">
        <f>Fact_Production_Hourly!C42</f>
        <v>5</v>
      </c>
      <c r="D42" s="4" t="str">
        <f>Fact_Production_Hourly!D42</f>
        <v>M6</v>
      </c>
      <c r="E42" s="4" t="str">
        <f>Fact_Production_Hourly!E42</f>
        <v>B-PM</v>
      </c>
      <c r="F42" s="4" t="str">
        <f>Fact_Production_Hourly!F42</f>
        <v>C</v>
      </c>
      <c r="G42" s="4">
        <f>INDEX(Dim_Machine!$D$2:$D$8,MATCH(D42,Dim_Machine!$A$2:$A$8,0))*2</f>
        <v>24</v>
      </c>
      <c r="H42" s="4">
        <f>ROUND(G42*0.0274,0)</f>
        <v>1</v>
      </c>
      <c r="I42" s="4">
        <f t="shared" si="0"/>
        <v>0</v>
      </c>
      <c r="J42" s="4">
        <f t="shared" si="1"/>
        <v>0</v>
      </c>
      <c r="K42" s="4">
        <f t="shared" si="2"/>
        <v>1</v>
      </c>
      <c r="L42" s="4" t="s">
        <v>517</v>
      </c>
      <c r="M42" s="4">
        <f>INDEX(Dim_Product!$C$2:$C$4,MATCH(F42,Dim_Product!$A$2:$A$4,0))+0.7</f>
        <v>200.7</v>
      </c>
      <c r="N42" s="4">
        <f>IF(AND(M42&gt;=INDEX(Dim_Product!$C$2:$C$4,MATCH(F42,Dim_Product!$A$2:$A$4,0))-INDEX(Dim_Product!$D$2:$D$4,MATCH(F42,Dim_Product!$A$2:$A$4,0)),M42&lt;=INDEX(Dim_Product!$C$2:$C$4,MATCH(F42,Dim_Product!$A$2:$A$4,0))+INDEX(Dim_Product!$D$2:$D$4,MATCH(F42,Dim_Product!$A$2:$A$4,0))),G42-H42,G42-H42-1)</f>
        <v>23</v>
      </c>
      <c r="O42" s="4">
        <f t="shared" si="3"/>
        <v>1</v>
      </c>
      <c r="P42" s="4">
        <f>INDEX(Dim_Product!$G$2:$G$4,MATCH(F42,Dim_Product!$A$2:$A$4,0))+0.13</f>
        <v>65.13</v>
      </c>
      <c r="Q42" s="4">
        <f>IF(AND(P42&gt;=INDEX(Dim_Product!$G$2:$G$4,MATCH(F42,Dim_Product!$A$2:$A$4,0))-INDEX(Dim_Product!$H$2:$H$4,MATCH(F42,Dim_Product!$A$2:$A$4,0)),P42&lt;=INDEX(Dim_Product!$G$2:$G$4,MATCH(F42,Dim_Product!$A$2:$A$4,0))+INDEX(Dim_Product!$H$2:$H$4,MATCH(F42,Dim_Product!$A$2:$A$4,0))),G42-H42,G42-H42-1)</f>
        <v>23</v>
      </c>
      <c r="R42" s="4">
        <f t="shared" si="4"/>
        <v>1</v>
      </c>
      <c r="S42" s="4">
        <f>INDEX(Dim_Product!$K$2:$K$4,MATCH(F42,Dim_Product!$A$2:$A$4,0))+0.34</f>
        <v>110.34</v>
      </c>
      <c r="T42" s="4">
        <f>IF(AND(S42&gt;=INDEX(Dim_Product!$K$2:$K$4,MATCH(F42,Dim_Product!$A$2:$A$4,0))-INDEX(Dim_Product!$L$2:$L$4,MATCH(F42,Dim_Product!$A$2:$A$4,0)),S42&lt;=INDEX(Dim_Product!$K$2:$K$4,MATCH(F42,Dim_Product!$A$2:$A$4,0))+INDEX(Dim_Product!$L$2:$L$4,MATCH(F42,Dim_Product!$A$2:$A$4,0))),G42-H42,G42-H42-1)</f>
        <v>23</v>
      </c>
      <c r="U42" s="4">
        <f t="shared" si="5"/>
        <v>1</v>
      </c>
      <c r="V42" s="4">
        <f t="shared" si="6"/>
        <v>4.1666666666666664E-2</v>
      </c>
      <c r="W42" s="19">
        <f t="shared" si="7"/>
        <v>0.95833333333333337</v>
      </c>
    </row>
    <row r="43" spans="1:23" x14ac:dyDescent="0.25">
      <c r="A43" s="18" t="s">
        <v>544</v>
      </c>
      <c r="B43" s="4">
        <f>Fact_Production_Hourly!B43</f>
        <v>20260701</v>
      </c>
      <c r="C43" s="4">
        <f>Fact_Production_Hourly!C43</f>
        <v>5</v>
      </c>
      <c r="D43" s="4" t="str">
        <f>Fact_Production_Hourly!D43</f>
        <v>M7</v>
      </c>
      <c r="E43" s="4" t="str">
        <f>Fact_Production_Hourly!E43</f>
        <v>B-PM</v>
      </c>
      <c r="F43" s="4" t="str">
        <f>Fact_Production_Hourly!F43</f>
        <v>A</v>
      </c>
      <c r="G43" s="4">
        <f>INDEX(Dim_Machine!$D$2:$D$8,MATCH(D43,Dim_Machine!$A$2:$A$8,0))*2</f>
        <v>48</v>
      </c>
      <c r="H43" s="4">
        <f>ROUND(G43*0.0483,0)</f>
        <v>2</v>
      </c>
      <c r="I43" s="4">
        <f t="shared" si="0"/>
        <v>0</v>
      </c>
      <c r="J43" s="4">
        <f t="shared" si="1"/>
        <v>1</v>
      </c>
      <c r="K43" s="4">
        <f t="shared" si="2"/>
        <v>1</v>
      </c>
      <c r="L43" s="4" t="s">
        <v>517</v>
      </c>
      <c r="M43" s="4">
        <f>INDEX(Dim_Product!$C$2:$C$4,MATCH(F43,Dim_Product!$A$2:$A$4,0))+0.02</f>
        <v>250.02</v>
      </c>
      <c r="N43" s="4">
        <f>IF(AND(M43&gt;=INDEX(Dim_Product!$C$2:$C$4,MATCH(F43,Dim_Product!$A$2:$A$4,0))-INDEX(Dim_Product!$D$2:$D$4,MATCH(F43,Dim_Product!$A$2:$A$4,0)),M43&lt;=INDEX(Dim_Product!$C$2:$C$4,MATCH(F43,Dim_Product!$A$2:$A$4,0))+INDEX(Dim_Product!$D$2:$D$4,MATCH(F43,Dim_Product!$A$2:$A$4,0))),G43-H43,G43-H43-1)</f>
        <v>46</v>
      </c>
      <c r="O43" s="4">
        <f t="shared" si="3"/>
        <v>2</v>
      </c>
      <c r="P43" s="4">
        <f>INDEX(Dim_Product!$G$2:$G$4,MATCH(F43,Dim_Product!$A$2:$A$4,0))+-0.23</f>
        <v>69.77</v>
      </c>
      <c r="Q43" s="4">
        <f>IF(AND(P43&gt;=INDEX(Dim_Product!$G$2:$G$4,MATCH(F43,Dim_Product!$A$2:$A$4,0))-INDEX(Dim_Product!$H$2:$H$4,MATCH(F43,Dim_Product!$A$2:$A$4,0)),P43&lt;=INDEX(Dim_Product!$G$2:$G$4,MATCH(F43,Dim_Product!$A$2:$A$4,0))+INDEX(Dim_Product!$H$2:$H$4,MATCH(F43,Dim_Product!$A$2:$A$4,0))),G43-H43,G43-H43-1)</f>
        <v>46</v>
      </c>
      <c r="R43" s="4">
        <f t="shared" si="4"/>
        <v>2</v>
      </c>
      <c r="S43" s="4">
        <f>INDEX(Dim_Product!$K$2:$K$4,MATCH(F43,Dim_Product!$A$2:$A$4,0))+-0.24</f>
        <v>119.76</v>
      </c>
      <c r="T43" s="4">
        <f>IF(AND(S43&gt;=INDEX(Dim_Product!$K$2:$K$4,MATCH(F43,Dim_Product!$A$2:$A$4,0))-INDEX(Dim_Product!$L$2:$L$4,MATCH(F43,Dim_Product!$A$2:$A$4,0)),S43&lt;=INDEX(Dim_Product!$K$2:$K$4,MATCH(F43,Dim_Product!$A$2:$A$4,0))+INDEX(Dim_Product!$L$2:$L$4,MATCH(F43,Dim_Product!$A$2:$A$4,0))),G43-H43,G43-H43-1)</f>
        <v>46</v>
      </c>
      <c r="U43" s="4">
        <f t="shared" si="5"/>
        <v>2</v>
      </c>
      <c r="V43" s="4">
        <f t="shared" si="6"/>
        <v>4.1666666666666664E-2</v>
      </c>
      <c r="W43" s="19">
        <f t="shared" si="7"/>
        <v>0.95833333333333337</v>
      </c>
    </row>
    <row r="44" spans="1:23" x14ac:dyDescent="0.25">
      <c r="A44" s="18" t="s">
        <v>545</v>
      </c>
      <c r="B44" s="4">
        <f>Fact_Production_Hourly!B44</f>
        <v>20260701</v>
      </c>
      <c r="C44" s="4">
        <f>Fact_Production_Hourly!C44</f>
        <v>6</v>
      </c>
      <c r="D44" s="4" t="str">
        <f>Fact_Production_Hourly!D44</f>
        <v>M1</v>
      </c>
      <c r="E44" s="4" t="str">
        <f>Fact_Production_Hourly!E44</f>
        <v>A-AM</v>
      </c>
      <c r="F44" s="4" t="str">
        <f>Fact_Production_Hourly!F44</f>
        <v>C</v>
      </c>
      <c r="G44" s="4">
        <f>INDEX(Dim_Machine!$D$2:$D$8,MATCH(D44,Dim_Machine!$A$2:$A$8,0))*2</f>
        <v>32</v>
      </c>
      <c r="H44" s="4">
        <f>ROUND(G44*0.0183,0)</f>
        <v>1</v>
      </c>
      <c r="I44" s="4">
        <f t="shared" si="0"/>
        <v>0</v>
      </c>
      <c r="J44" s="4">
        <f t="shared" si="1"/>
        <v>0</v>
      </c>
      <c r="K44" s="4">
        <f t="shared" si="2"/>
        <v>1</v>
      </c>
      <c r="L44" s="4" t="s">
        <v>503</v>
      </c>
      <c r="M44" s="4">
        <f>INDEX(Dim_Product!$C$2:$C$4,MATCH(F44,Dim_Product!$A$2:$A$4,0))+-0.95</f>
        <v>199.05</v>
      </c>
      <c r="N44" s="4">
        <f>IF(AND(M44&gt;=INDEX(Dim_Product!$C$2:$C$4,MATCH(F44,Dim_Product!$A$2:$A$4,0))-INDEX(Dim_Product!$D$2:$D$4,MATCH(F44,Dim_Product!$A$2:$A$4,0)),M44&lt;=INDEX(Dim_Product!$C$2:$C$4,MATCH(F44,Dim_Product!$A$2:$A$4,0))+INDEX(Dim_Product!$D$2:$D$4,MATCH(F44,Dim_Product!$A$2:$A$4,0))),G44-H44,G44-H44-1)</f>
        <v>31</v>
      </c>
      <c r="O44" s="4">
        <f t="shared" si="3"/>
        <v>1</v>
      </c>
      <c r="P44" s="4">
        <f>INDEX(Dim_Product!$G$2:$G$4,MATCH(F44,Dim_Product!$A$2:$A$4,0))+0.03</f>
        <v>65.03</v>
      </c>
      <c r="Q44" s="4">
        <f>IF(AND(P44&gt;=INDEX(Dim_Product!$G$2:$G$4,MATCH(F44,Dim_Product!$A$2:$A$4,0))-INDEX(Dim_Product!$H$2:$H$4,MATCH(F44,Dim_Product!$A$2:$A$4,0)),P44&lt;=INDEX(Dim_Product!$G$2:$G$4,MATCH(F44,Dim_Product!$A$2:$A$4,0))+INDEX(Dim_Product!$H$2:$H$4,MATCH(F44,Dim_Product!$A$2:$A$4,0))),G44-H44,G44-H44-1)</f>
        <v>31</v>
      </c>
      <c r="R44" s="4">
        <f t="shared" si="4"/>
        <v>1</v>
      </c>
      <c r="S44" s="4">
        <f>INDEX(Dim_Product!$K$2:$K$4,MATCH(F44,Dim_Product!$A$2:$A$4,0))+-0.1</f>
        <v>109.9</v>
      </c>
      <c r="T44" s="4">
        <f>IF(AND(S44&gt;=INDEX(Dim_Product!$K$2:$K$4,MATCH(F44,Dim_Product!$A$2:$A$4,0))-INDEX(Dim_Product!$L$2:$L$4,MATCH(F44,Dim_Product!$A$2:$A$4,0)),S44&lt;=INDEX(Dim_Product!$K$2:$K$4,MATCH(F44,Dim_Product!$A$2:$A$4,0))+INDEX(Dim_Product!$L$2:$L$4,MATCH(F44,Dim_Product!$A$2:$A$4,0))),G44-H44,G44-H44-1)</f>
        <v>31</v>
      </c>
      <c r="U44" s="4">
        <f t="shared" si="5"/>
        <v>1</v>
      </c>
      <c r="V44" s="4">
        <f t="shared" si="6"/>
        <v>3.125E-2</v>
      </c>
      <c r="W44" s="19">
        <f t="shared" si="7"/>
        <v>0.96875</v>
      </c>
    </row>
    <row r="45" spans="1:23" x14ac:dyDescent="0.25">
      <c r="A45" s="18" t="s">
        <v>546</v>
      </c>
      <c r="B45" s="4">
        <f>Fact_Production_Hourly!B45</f>
        <v>20260701</v>
      </c>
      <c r="C45" s="4">
        <f>Fact_Production_Hourly!C45</f>
        <v>6</v>
      </c>
      <c r="D45" s="4" t="str">
        <f>Fact_Production_Hourly!D45</f>
        <v>M2</v>
      </c>
      <c r="E45" s="4" t="str">
        <f>Fact_Production_Hourly!E45</f>
        <v>A-AM</v>
      </c>
      <c r="F45" s="4" t="str">
        <f>Fact_Production_Hourly!F45</f>
        <v>A</v>
      </c>
      <c r="G45" s="4">
        <f>INDEX(Dim_Machine!$D$2:$D$8,MATCH(D45,Dim_Machine!$A$2:$A$8,0))*2</f>
        <v>48</v>
      </c>
      <c r="H45" s="4">
        <f>ROUND(G45*0.0582,0)</f>
        <v>3</v>
      </c>
      <c r="I45" s="4">
        <f t="shared" si="0"/>
        <v>0</v>
      </c>
      <c r="J45" s="4">
        <f t="shared" si="1"/>
        <v>1</v>
      </c>
      <c r="K45" s="4">
        <f t="shared" si="2"/>
        <v>2</v>
      </c>
      <c r="L45" s="4" t="s">
        <v>509</v>
      </c>
      <c r="M45" s="4">
        <f>INDEX(Dim_Product!$C$2:$C$4,MATCH(F45,Dim_Product!$A$2:$A$4,0))+-0.74</f>
        <v>249.26</v>
      </c>
      <c r="N45" s="4">
        <f>IF(AND(M45&gt;=INDEX(Dim_Product!$C$2:$C$4,MATCH(F45,Dim_Product!$A$2:$A$4,0))-INDEX(Dim_Product!$D$2:$D$4,MATCH(F45,Dim_Product!$A$2:$A$4,0)),M45&lt;=INDEX(Dim_Product!$C$2:$C$4,MATCH(F45,Dim_Product!$A$2:$A$4,0))+INDEX(Dim_Product!$D$2:$D$4,MATCH(F45,Dim_Product!$A$2:$A$4,0))),G45-H45,G45-H45-1)</f>
        <v>45</v>
      </c>
      <c r="O45" s="4">
        <f t="shared" si="3"/>
        <v>3</v>
      </c>
      <c r="P45" s="4">
        <f>INDEX(Dim_Product!$G$2:$G$4,MATCH(F45,Dim_Product!$A$2:$A$4,0))+0.23</f>
        <v>70.23</v>
      </c>
      <c r="Q45" s="4">
        <f>IF(AND(P45&gt;=INDEX(Dim_Product!$G$2:$G$4,MATCH(F45,Dim_Product!$A$2:$A$4,0))-INDEX(Dim_Product!$H$2:$H$4,MATCH(F45,Dim_Product!$A$2:$A$4,0)),P45&lt;=INDEX(Dim_Product!$G$2:$G$4,MATCH(F45,Dim_Product!$A$2:$A$4,0))+INDEX(Dim_Product!$H$2:$H$4,MATCH(F45,Dim_Product!$A$2:$A$4,0))),G45-H45,G45-H45-1)</f>
        <v>45</v>
      </c>
      <c r="R45" s="4">
        <f t="shared" si="4"/>
        <v>3</v>
      </c>
      <c r="S45" s="4">
        <f>INDEX(Dim_Product!$K$2:$K$4,MATCH(F45,Dim_Product!$A$2:$A$4,0))+-0.35</f>
        <v>119.65</v>
      </c>
      <c r="T45" s="4">
        <f>IF(AND(S45&gt;=INDEX(Dim_Product!$K$2:$K$4,MATCH(F45,Dim_Product!$A$2:$A$4,0))-INDEX(Dim_Product!$L$2:$L$4,MATCH(F45,Dim_Product!$A$2:$A$4,0)),S45&lt;=INDEX(Dim_Product!$K$2:$K$4,MATCH(F45,Dim_Product!$A$2:$A$4,0))+INDEX(Dim_Product!$L$2:$L$4,MATCH(F45,Dim_Product!$A$2:$A$4,0))),G45-H45,G45-H45-1)</f>
        <v>45</v>
      </c>
      <c r="U45" s="4">
        <f t="shared" si="5"/>
        <v>3</v>
      </c>
      <c r="V45" s="4">
        <f t="shared" si="6"/>
        <v>6.25E-2</v>
      </c>
      <c r="W45" s="19">
        <f t="shared" si="7"/>
        <v>0.9375</v>
      </c>
    </row>
    <row r="46" spans="1:23" x14ac:dyDescent="0.25">
      <c r="A46" s="18" t="s">
        <v>547</v>
      </c>
      <c r="B46" s="4">
        <f>Fact_Production_Hourly!B46</f>
        <v>20260701</v>
      </c>
      <c r="C46" s="4">
        <f>Fact_Production_Hourly!C46</f>
        <v>6</v>
      </c>
      <c r="D46" s="4" t="str">
        <f>Fact_Production_Hourly!D46</f>
        <v>M3</v>
      </c>
      <c r="E46" s="4" t="str">
        <f>Fact_Production_Hourly!E46</f>
        <v>A-AM</v>
      </c>
      <c r="F46" s="4" t="str">
        <f>Fact_Production_Hourly!F46</f>
        <v>B</v>
      </c>
      <c r="G46" s="4">
        <f>INDEX(Dim_Machine!$D$2:$D$8,MATCH(D46,Dim_Machine!$A$2:$A$8,0))*2</f>
        <v>24</v>
      </c>
      <c r="H46" s="4">
        <f>ROUND(G46*0.0339,0)</f>
        <v>1</v>
      </c>
      <c r="I46" s="4">
        <f t="shared" si="0"/>
        <v>0</v>
      </c>
      <c r="J46" s="4">
        <f t="shared" si="1"/>
        <v>0</v>
      </c>
      <c r="K46" s="4">
        <f t="shared" si="2"/>
        <v>1</v>
      </c>
      <c r="L46" s="4" t="s">
        <v>520</v>
      </c>
      <c r="M46" s="4">
        <f>INDEX(Dim_Product!$C$2:$C$4,MATCH(F46,Dim_Product!$A$2:$A$4,0))+0.44</f>
        <v>300.44</v>
      </c>
      <c r="N46" s="4">
        <f>IF(AND(M46&gt;=INDEX(Dim_Product!$C$2:$C$4,MATCH(F46,Dim_Product!$A$2:$A$4,0))-INDEX(Dim_Product!$D$2:$D$4,MATCH(F46,Dim_Product!$A$2:$A$4,0)),M46&lt;=INDEX(Dim_Product!$C$2:$C$4,MATCH(F46,Dim_Product!$A$2:$A$4,0))+INDEX(Dim_Product!$D$2:$D$4,MATCH(F46,Dim_Product!$A$2:$A$4,0))),G46-H46,G46-H46-1)</f>
        <v>23</v>
      </c>
      <c r="O46" s="4">
        <f t="shared" si="3"/>
        <v>1</v>
      </c>
      <c r="P46" s="4">
        <f>INDEX(Dim_Product!$G$2:$G$4,MATCH(F46,Dim_Product!$A$2:$A$4,0))+0.02</f>
        <v>75.02</v>
      </c>
      <c r="Q46" s="4">
        <f>IF(AND(P46&gt;=INDEX(Dim_Product!$G$2:$G$4,MATCH(F46,Dim_Product!$A$2:$A$4,0))-INDEX(Dim_Product!$H$2:$H$4,MATCH(F46,Dim_Product!$A$2:$A$4,0)),P46&lt;=INDEX(Dim_Product!$G$2:$G$4,MATCH(F46,Dim_Product!$A$2:$A$4,0))+INDEX(Dim_Product!$H$2:$H$4,MATCH(F46,Dim_Product!$A$2:$A$4,0))),G46-H46,G46-H46-1)</f>
        <v>23</v>
      </c>
      <c r="R46" s="4">
        <f t="shared" si="4"/>
        <v>1</v>
      </c>
      <c r="S46" s="4">
        <f>INDEX(Dim_Product!$K$2:$K$4,MATCH(F46,Dim_Product!$A$2:$A$4,0))+0.22</f>
        <v>130.22</v>
      </c>
      <c r="T46" s="4">
        <f>IF(AND(S46&gt;=INDEX(Dim_Product!$K$2:$K$4,MATCH(F46,Dim_Product!$A$2:$A$4,0))-INDEX(Dim_Product!$L$2:$L$4,MATCH(F46,Dim_Product!$A$2:$A$4,0)),S46&lt;=INDEX(Dim_Product!$K$2:$K$4,MATCH(F46,Dim_Product!$A$2:$A$4,0))+INDEX(Dim_Product!$L$2:$L$4,MATCH(F46,Dim_Product!$A$2:$A$4,0))),G46-H46,G46-H46-1)</f>
        <v>23</v>
      </c>
      <c r="U46" s="4">
        <f t="shared" si="5"/>
        <v>1</v>
      </c>
      <c r="V46" s="4">
        <f t="shared" si="6"/>
        <v>4.1666666666666664E-2</v>
      </c>
      <c r="W46" s="19">
        <f t="shared" si="7"/>
        <v>0.95833333333333337</v>
      </c>
    </row>
    <row r="47" spans="1:23" x14ac:dyDescent="0.25">
      <c r="A47" s="18" t="s">
        <v>548</v>
      </c>
      <c r="B47" s="4">
        <f>Fact_Production_Hourly!B47</f>
        <v>20260701</v>
      </c>
      <c r="C47" s="4">
        <f>Fact_Production_Hourly!C47</f>
        <v>6</v>
      </c>
      <c r="D47" s="4" t="str">
        <f>Fact_Production_Hourly!D47</f>
        <v>M4</v>
      </c>
      <c r="E47" s="4" t="str">
        <f>Fact_Production_Hourly!E47</f>
        <v>A-AM</v>
      </c>
      <c r="F47" s="4" t="str">
        <f>Fact_Production_Hourly!F47</f>
        <v>A</v>
      </c>
      <c r="G47" s="4">
        <f>INDEX(Dim_Machine!$D$2:$D$8,MATCH(D47,Dim_Machine!$A$2:$A$8,0))*2</f>
        <v>48</v>
      </c>
      <c r="H47" s="4">
        <f>ROUND(G47*0.0594,0)</f>
        <v>3</v>
      </c>
      <c r="I47" s="4">
        <f t="shared" si="0"/>
        <v>0</v>
      </c>
      <c r="J47" s="4">
        <f t="shared" si="1"/>
        <v>1</v>
      </c>
      <c r="K47" s="4">
        <f t="shared" si="2"/>
        <v>2</v>
      </c>
      <c r="L47" s="4" t="s">
        <v>498</v>
      </c>
      <c r="M47" s="4">
        <f>INDEX(Dim_Product!$C$2:$C$4,MATCH(F47,Dim_Product!$A$2:$A$4,0))+-0.75</f>
        <v>249.25</v>
      </c>
      <c r="N47" s="4">
        <f>IF(AND(M47&gt;=INDEX(Dim_Product!$C$2:$C$4,MATCH(F47,Dim_Product!$A$2:$A$4,0))-INDEX(Dim_Product!$D$2:$D$4,MATCH(F47,Dim_Product!$A$2:$A$4,0)),M47&lt;=INDEX(Dim_Product!$C$2:$C$4,MATCH(F47,Dim_Product!$A$2:$A$4,0))+INDEX(Dim_Product!$D$2:$D$4,MATCH(F47,Dim_Product!$A$2:$A$4,0))),G47-H47,G47-H47-1)</f>
        <v>45</v>
      </c>
      <c r="O47" s="4">
        <f t="shared" si="3"/>
        <v>3</v>
      </c>
      <c r="P47" s="4">
        <f>INDEX(Dim_Product!$G$2:$G$4,MATCH(F47,Dim_Product!$A$2:$A$4,0))+-0.11</f>
        <v>69.89</v>
      </c>
      <c r="Q47" s="4">
        <f>IF(AND(P47&gt;=INDEX(Dim_Product!$G$2:$G$4,MATCH(F47,Dim_Product!$A$2:$A$4,0))-INDEX(Dim_Product!$H$2:$H$4,MATCH(F47,Dim_Product!$A$2:$A$4,0)),P47&lt;=INDEX(Dim_Product!$G$2:$G$4,MATCH(F47,Dim_Product!$A$2:$A$4,0))+INDEX(Dim_Product!$H$2:$H$4,MATCH(F47,Dim_Product!$A$2:$A$4,0))),G47-H47,G47-H47-1)</f>
        <v>45</v>
      </c>
      <c r="R47" s="4">
        <f t="shared" si="4"/>
        <v>3</v>
      </c>
      <c r="S47" s="4">
        <f>INDEX(Dim_Product!$K$2:$K$4,MATCH(F47,Dim_Product!$A$2:$A$4,0))+-0.34</f>
        <v>119.66</v>
      </c>
      <c r="T47" s="4">
        <f>IF(AND(S47&gt;=INDEX(Dim_Product!$K$2:$K$4,MATCH(F47,Dim_Product!$A$2:$A$4,0))-INDEX(Dim_Product!$L$2:$L$4,MATCH(F47,Dim_Product!$A$2:$A$4,0)),S47&lt;=INDEX(Dim_Product!$K$2:$K$4,MATCH(F47,Dim_Product!$A$2:$A$4,0))+INDEX(Dim_Product!$L$2:$L$4,MATCH(F47,Dim_Product!$A$2:$A$4,0))),G47-H47,G47-H47-1)</f>
        <v>45</v>
      </c>
      <c r="U47" s="4">
        <f t="shared" si="5"/>
        <v>3</v>
      </c>
      <c r="V47" s="4">
        <f t="shared" si="6"/>
        <v>6.25E-2</v>
      </c>
      <c r="W47" s="19">
        <f t="shared" si="7"/>
        <v>0.9375</v>
      </c>
    </row>
    <row r="48" spans="1:23" x14ac:dyDescent="0.25">
      <c r="A48" s="18" t="s">
        <v>549</v>
      </c>
      <c r="B48" s="4">
        <f>Fact_Production_Hourly!B48</f>
        <v>20260701</v>
      </c>
      <c r="C48" s="4">
        <f>Fact_Production_Hourly!C48</f>
        <v>6</v>
      </c>
      <c r="D48" s="4" t="str">
        <f>Fact_Production_Hourly!D48</f>
        <v>M5</v>
      </c>
      <c r="E48" s="4" t="str">
        <f>Fact_Production_Hourly!E48</f>
        <v>A-AM</v>
      </c>
      <c r="F48" s="4" t="str">
        <f>Fact_Production_Hourly!F48</f>
        <v>C</v>
      </c>
      <c r="G48" s="4">
        <f>INDEX(Dim_Machine!$D$2:$D$8,MATCH(D48,Dim_Machine!$A$2:$A$8,0))*2</f>
        <v>32</v>
      </c>
      <c r="H48" s="4">
        <f>ROUND(G48*0.0379,0)</f>
        <v>1</v>
      </c>
      <c r="I48" s="4">
        <f t="shared" si="0"/>
        <v>0</v>
      </c>
      <c r="J48" s="4">
        <f t="shared" si="1"/>
        <v>0</v>
      </c>
      <c r="K48" s="4">
        <f t="shared" si="2"/>
        <v>1</v>
      </c>
      <c r="L48" s="4" t="s">
        <v>509</v>
      </c>
      <c r="M48" s="4">
        <f>INDEX(Dim_Product!$C$2:$C$4,MATCH(F48,Dim_Product!$A$2:$A$4,0))+-0.31</f>
        <v>199.69</v>
      </c>
      <c r="N48" s="4">
        <f>IF(AND(M48&gt;=INDEX(Dim_Product!$C$2:$C$4,MATCH(F48,Dim_Product!$A$2:$A$4,0))-INDEX(Dim_Product!$D$2:$D$4,MATCH(F48,Dim_Product!$A$2:$A$4,0)),M48&lt;=INDEX(Dim_Product!$C$2:$C$4,MATCH(F48,Dim_Product!$A$2:$A$4,0))+INDEX(Dim_Product!$D$2:$D$4,MATCH(F48,Dim_Product!$A$2:$A$4,0))),G48-H48,G48-H48-1)</f>
        <v>31</v>
      </c>
      <c r="O48" s="4">
        <f t="shared" si="3"/>
        <v>1</v>
      </c>
      <c r="P48" s="4">
        <f>INDEX(Dim_Product!$G$2:$G$4,MATCH(F48,Dim_Product!$A$2:$A$4,0))+0.23</f>
        <v>65.23</v>
      </c>
      <c r="Q48" s="4">
        <f>IF(AND(P48&gt;=INDEX(Dim_Product!$G$2:$G$4,MATCH(F48,Dim_Product!$A$2:$A$4,0))-INDEX(Dim_Product!$H$2:$H$4,MATCH(F48,Dim_Product!$A$2:$A$4,0)),P48&lt;=INDEX(Dim_Product!$G$2:$G$4,MATCH(F48,Dim_Product!$A$2:$A$4,0))+INDEX(Dim_Product!$H$2:$H$4,MATCH(F48,Dim_Product!$A$2:$A$4,0))),G48-H48,G48-H48-1)</f>
        <v>31</v>
      </c>
      <c r="R48" s="4">
        <f t="shared" si="4"/>
        <v>1</v>
      </c>
      <c r="S48" s="4">
        <f>INDEX(Dim_Product!$K$2:$K$4,MATCH(F48,Dim_Product!$A$2:$A$4,0))+0.22</f>
        <v>110.22</v>
      </c>
      <c r="T48" s="4">
        <f>IF(AND(S48&gt;=INDEX(Dim_Product!$K$2:$K$4,MATCH(F48,Dim_Product!$A$2:$A$4,0))-INDEX(Dim_Product!$L$2:$L$4,MATCH(F48,Dim_Product!$A$2:$A$4,0)),S48&lt;=INDEX(Dim_Product!$K$2:$K$4,MATCH(F48,Dim_Product!$A$2:$A$4,0))+INDEX(Dim_Product!$L$2:$L$4,MATCH(F48,Dim_Product!$A$2:$A$4,0))),G48-H48,G48-H48-1)</f>
        <v>31</v>
      </c>
      <c r="U48" s="4">
        <f t="shared" si="5"/>
        <v>1</v>
      </c>
      <c r="V48" s="4">
        <f t="shared" si="6"/>
        <v>3.125E-2</v>
      </c>
      <c r="W48" s="19">
        <f t="shared" si="7"/>
        <v>0.96875</v>
      </c>
    </row>
    <row r="49" spans="1:23" x14ac:dyDescent="0.25">
      <c r="A49" s="18" t="s">
        <v>550</v>
      </c>
      <c r="B49" s="4">
        <f>Fact_Production_Hourly!B49</f>
        <v>20260701</v>
      </c>
      <c r="C49" s="4">
        <f>Fact_Production_Hourly!C49</f>
        <v>6</v>
      </c>
      <c r="D49" s="4" t="str">
        <f>Fact_Production_Hourly!D49</f>
        <v>M6</v>
      </c>
      <c r="E49" s="4" t="str">
        <f>Fact_Production_Hourly!E49</f>
        <v>A-AM</v>
      </c>
      <c r="F49" s="4" t="str">
        <f>Fact_Production_Hourly!F49</f>
        <v>C</v>
      </c>
      <c r="G49" s="4">
        <f>INDEX(Dim_Machine!$D$2:$D$8,MATCH(D49,Dim_Machine!$A$2:$A$8,0))*2</f>
        <v>24</v>
      </c>
      <c r="H49" s="4">
        <f>ROUND(G49*0.0484,0)</f>
        <v>1</v>
      </c>
      <c r="I49" s="4">
        <f t="shared" si="0"/>
        <v>0</v>
      </c>
      <c r="J49" s="4">
        <f t="shared" si="1"/>
        <v>0</v>
      </c>
      <c r="K49" s="4">
        <f t="shared" si="2"/>
        <v>1</v>
      </c>
      <c r="L49" s="4" t="s">
        <v>500</v>
      </c>
      <c r="M49" s="4">
        <f>INDEX(Dim_Product!$C$2:$C$4,MATCH(F49,Dim_Product!$A$2:$A$4,0))+0.54</f>
        <v>200.54</v>
      </c>
      <c r="N49" s="4">
        <f>IF(AND(M49&gt;=INDEX(Dim_Product!$C$2:$C$4,MATCH(F49,Dim_Product!$A$2:$A$4,0))-INDEX(Dim_Product!$D$2:$D$4,MATCH(F49,Dim_Product!$A$2:$A$4,0)),M49&lt;=INDEX(Dim_Product!$C$2:$C$4,MATCH(F49,Dim_Product!$A$2:$A$4,0))+INDEX(Dim_Product!$D$2:$D$4,MATCH(F49,Dim_Product!$A$2:$A$4,0))),G49-H49,G49-H49-1)</f>
        <v>23</v>
      </c>
      <c r="O49" s="4">
        <f t="shared" si="3"/>
        <v>1</v>
      </c>
      <c r="P49" s="4">
        <f>INDEX(Dim_Product!$G$2:$G$4,MATCH(F49,Dim_Product!$A$2:$A$4,0))+-0.22</f>
        <v>64.78</v>
      </c>
      <c r="Q49" s="4">
        <f>IF(AND(P49&gt;=INDEX(Dim_Product!$G$2:$G$4,MATCH(F49,Dim_Product!$A$2:$A$4,0))-INDEX(Dim_Product!$H$2:$H$4,MATCH(F49,Dim_Product!$A$2:$A$4,0)),P49&lt;=INDEX(Dim_Product!$G$2:$G$4,MATCH(F49,Dim_Product!$A$2:$A$4,0))+INDEX(Dim_Product!$H$2:$H$4,MATCH(F49,Dim_Product!$A$2:$A$4,0))),G49-H49,G49-H49-1)</f>
        <v>23</v>
      </c>
      <c r="R49" s="4">
        <f t="shared" si="4"/>
        <v>1</v>
      </c>
      <c r="S49" s="4">
        <f>INDEX(Dim_Product!$K$2:$K$4,MATCH(F49,Dim_Product!$A$2:$A$4,0))+0</f>
        <v>110</v>
      </c>
      <c r="T49" s="4">
        <f>IF(AND(S49&gt;=INDEX(Dim_Product!$K$2:$K$4,MATCH(F49,Dim_Product!$A$2:$A$4,0))-INDEX(Dim_Product!$L$2:$L$4,MATCH(F49,Dim_Product!$A$2:$A$4,0)),S49&lt;=INDEX(Dim_Product!$K$2:$K$4,MATCH(F49,Dim_Product!$A$2:$A$4,0))+INDEX(Dim_Product!$L$2:$L$4,MATCH(F49,Dim_Product!$A$2:$A$4,0))),G49-H49,G49-H49-1)</f>
        <v>23</v>
      </c>
      <c r="U49" s="4">
        <f t="shared" si="5"/>
        <v>1</v>
      </c>
      <c r="V49" s="4">
        <f t="shared" si="6"/>
        <v>4.1666666666666664E-2</v>
      </c>
      <c r="W49" s="19">
        <f t="shared" si="7"/>
        <v>0.95833333333333337</v>
      </c>
    </row>
    <row r="50" spans="1:23" x14ac:dyDescent="0.25">
      <c r="A50" s="18" t="s">
        <v>551</v>
      </c>
      <c r="B50" s="4">
        <f>Fact_Production_Hourly!B50</f>
        <v>20260701</v>
      </c>
      <c r="C50" s="4">
        <f>Fact_Production_Hourly!C50</f>
        <v>6</v>
      </c>
      <c r="D50" s="4" t="str">
        <f>Fact_Production_Hourly!D50</f>
        <v>M7</v>
      </c>
      <c r="E50" s="4" t="str">
        <f>Fact_Production_Hourly!E50</f>
        <v>A-AM</v>
      </c>
      <c r="F50" s="4" t="str">
        <f>Fact_Production_Hourly!F50</f>
        <v>C</v>
      </c>
      <c r="G50" s="4">
        <f>INDEX(Dim_Machine!$D$2:$D$8,MATCH(D50,Dim_Machine!$A$2:$A$8,0))*2</f>
        <v>48</v>
      </c>
      <c r="H50" s="4">
        <f>ROUND(G50*0.0621,0)</f>
        <v>3</v>
      </c>
      <c r="I50" s="4">
        <f t="shared" si="0"/>
        <v>0</v>
      </c>
      <c r="J50" s="4">
        <f t="shared" si="1"/>
        <v>1</v>
      </c>
      <c r="K50" s="4">
        <f t="shared" si="2"/>
        <v>2</v>
      </c>
      <c r="L50" s="4" t="s">
        <v>498</v>
      </c>
      <c r="M50" s="4">
        <f>INDEX(Dim_Product!$C$2:$C$4,MATCH(F50,Dim_Product!$A$2:$A$4,0))+0.04</f>
        <v>200.04</v>
      </c>
      <c r="N50" s="4">
        <f>IF(AND(M50&gt;=INDEX(Dim_Product!$C$2:$C$4,MATCH(F50,Dim_Product!$A$2:$A$4,0))-INDEX(Dim_Product!$D$2:$D$4,MATCH(F50,Dim_Product!$A$2:$A$4,0)),M50&lt;=INDEX(Dim_Product!$C$2:$C$4,MATCH(F50,Dim_Product!$A$2:$A$4,0))+INDEX(Dim_Product!$D$2:$D$4,MATCH(F50,Dim_Product!$A$2:$A$4,0))),G50-H50,G50-H50-1)</f>
        <v>45</v>
      </c>
      <c r="O50" s="4">
        <f t="shared" si="3"/>
        <v>3</v>
      </c>
      <c r="P50" s="4">
        <f>INDEX(Dim_Product!$G$2:$G$4,MATCH(F50,Dim_Product!$A$2:$A$4,0))+-0.12</f>
        <v>64.88</v>
      </c>
      <c r="Q50" s="4">
        <f>IF(AND(P50&gt;=INDEX(Dim_Product!$G$2:$G$4,MATCH(F50,Dim_Product!$A$2:$A$4,0))-INDEX(Dim_Product!$H$2:$H$4,MATCH(F50,Dim_Product!$A$2:$A$4,0)),P50&lt;=INDEX(Dim_Product!$G$2:$G$4,MATCH(F50,Dim_Product!$A$2:$A$4,0))+INDEX(Dim_Product!$H$2:$H$4,MATCH(F50,Dim_Product!$A$2:$A$4,0))),G50-H50,G50-H50-1)</f>
        <v>45</v>
      </c>
      <c r="R50" s="4">
        <f t="shared" si="4"/>
        <v>3</v>
      </c>
      <c r="S50" s="4">
        <f>INDEX(Dim_Product!$K$2:$K$4,MATCH(F50,Dim_Product!$A$2:$A$4,0))+-0.27</f>
        <v>109.73</v>
      </c>
      <c r="T50" s="4">
        <f>IF(AND(S50&gt;=INDEX(Dim_Product!$K$2:$K$4,MATCH(F50,Dim_Product!$A$2:$A$4,0))-INDEX(Dim_Product!$L$2:$L$4,MATCH(F50,Dim_Product!$A$2:$A$4,0)),S50&lt;=INDEX(Dim_Product!$K$2:$K$4,MATCH(F50,Dim_Product!$A$2:$A$4,0))+INDEX(Dim_Product!$L$2:$L$4,MATCH(F50,Dim_Product!$A$2:$A$4,0))),G50-H50,G50-H50-1)</f>
        <v>45</v>
      </c>
      <c r="U50" s="4">
        <f t="shared" si="5"/>
        <v>3</v>
      </c>
      <c r="V50" s="4">
        <f t="shared" si="6"/>
        <v>6.25E-2</v>
      </c>
      <c r="W50" s="19">
        <f t="shared" si="7"/>
        <v>0.9375</v>
      </c>
    </row>
    <row r="51" spans="1:23" x14ac:dyDescent="0.25">
      <c r="A51" s="18" t="s">
        <v>552</v>
      </c>
      <c r="B51" s="4">
        <f>Fact_Production_Hourly!B51</f>
        <v>20260701</v>
      </c>
      <c r="C51" s="4">
        <f>Fact_Production_Hourly!C51</f>
        <v>7</v>
      </c>
      <c r="D51" s="4" t="str">
        <f>Fact_Production_Hourly!D51</f>
        <v>M1</v>
      </c>
      <c r="E51" s="4" t="str">
        <f>Fact_Production_Hourly!E51</f>
        <v>A-AM</v>
      </c>
      <c r="F51" s="4" t="str">
        <f>Fact_Production_Hourly!F51</f>
        <v>C</v>
      </c>
      <c r="G51" s="4">
        <f>INDEX(Dim_Machine!$D$2:$D$8,MATCH(D51,Dim_Machine!$A$2:$A$8,0))*2</f>
        <v>32</v>
      </c>
      <c r="H51" s="4">
        <f>ROUND(G51*0.0661,0)</f>
        <v>2</v>
      </c>
      <c r="I51" s="4">
        <f t="shared" si="0"/>
        <v>0</v>
      </c>
      <c r="J51" s="4">
        <f t="shared" si="1"/>
        <v>1</v>
      </c>
      <c r="K51" s="4">
        <f t="shared" si="2"/>
        <v>1</v>
      </c>
      <c r="L51" s="4" t="s">
        <v>500</v>
      </c>
      <c r="M51" s="4">
        <f>INDEX(Dim_Product!$C$2:$C$4,MATCH(F51,Dim_Product!$A$2:$A$4,0))+-0.31</f>
        <v>199.69</v>
      </c>
      <c r="N51" s="4">
        <f>IF(AND(M51&gt;=INDEX(Dim_Product!$C$2:$C$4,MATCH(F51,Dim_Product!$A$2:$A$4,0))-INDEX(Dim_Product!$D$2:$D$4,MATCH(F51,Dim_Product!$A$2:$A$4,0)),M51&lt;=INDEX(Dim_Product!$C$2:$C$4,MATCH(F51,Dim_Product!$A$2:$A$4,0))+INDEX(Dim_Product!$D$2:$D$4,MATCH(F51,Dim_Product!$A$2:$A$4,0))),G51-H51,G51-H51-1)</f>
        <v>30</v>
      </c>
      <c r="O51" s="4">
        <f t="shared" si="3"/>
        <v>2</v>
      </c>
      <c r="P51" s="4">
        <f>INDEX(Dim_Product!$G$2:$G$4,MATCH(F51,Dim_Product!$A$2:$A$4,0))+0.26</f>
        <v>65.260000000000005</v>
      </c>
      <c r="Q51" s="4">
        <f>IF(AND(P51&gt;=INDEX(Dim_Product!$G$2:$G$4,MATCH(F51,Dim_Product!$A$2:$A$4,0))-INDEX(Dim_Product!$H$2:$H$4,MATCH(F51,Dim_Product!$A$2:$A$4,0)),P51&lt;=INDEX(Dim_Product!$G$2:$G$4,MATCH(F51,Dim_Product!$A$2:$A$4,0))+INDEX(Dim_Product!$H$2:$H$4,MATCH(F51,Dim_Product!$A$2:$A$4,0))),G51-H51,G51-H51-1)</f>
        <v>30</v>
      </c>
      <c r="R51" s="4">
        <f t="shared" si="4"/>
        <v>2</v>
      </c>
      <c r="S51" s="4">
        <f>INDEX(Dim_Product!$K$2:$K$4,MATCH(F51,Dim_Product!$A$2:$A$4,0))+0.32</f>
        <v>110.32</v>
      </c>
      <c r="T51" s="4">
        <f>IF(AND(S51&gt;=INDEX(Dim_Product!$K$2:$K$4,MATCH(F51,Dim_Product!$A$2:$A$4,0))-INDEX(Dim_Product!$L$2:$L$4,MATCH(F51,Dim_Product!$A$2:$A$4,0)),S51&lt;=INDEX(Dim_Product!$K$2:$K$4,MATCH(F51,Dim_Product!$A$2:$A$4,0))+INDEX(Dim_Product!$L$2:$L$4,MATCH(F51,Dim_Product!$A$2:$A$4,0))),G51-H51,G51-H51-1)</f>
        <v>30</v>
      </c>
      <c r="U51" s="4">
        <f t="shared" si="5"/>
        <v>2</v>
      </c>
      <c r="V51" s="4">
        <f t="shared" si="6"/>
        <v>6.25E-2</v>
      </c>
      <c r="W51" s="19">
        <f t="shared" si="7"/>
        <v>0.9375</v>
      </c>
    </row>
    <row r="52" spans="1:23" x14ac:dyDescent="0.25">
      <c r="A52" s="18" t="s">
        <v>553</v>
      </c>
      <c r="B52" s="4">
        <f>Fact_Production_Hourly!B52</f>
        <v>20260701</v>
      </c>
      <c r="C52" s="4">
        <f>Fact_Production_Hourly!C52</f>
        <v>7</v>
      </c>
      <c r="D52" s="4" t="str">
        <f>Fact_Production_Hourly!D52</f>
        <v>M2</v>
      </c>
      <c r="E52" s="4" t="str">
        <f>Fact_Production_Hourly!E52</f>
        <v>A-AM</v>
      </c>
      <c r="F52" s="4" t="str">
        <f>Fact_Production_Hourly!F52</f>
        <v>A</v>
      </c>
      <c r="G52" s="4">
        <f>INDEX(Dim_Machine!$D$2:$D$8,MATCH(D52,Dim_Machine!$A$2:$A$8,0))*2</f>
        <v>48</v>
      </c>
      <c r="H52" s="4">
        <f>ROUND(G52*0.0608,0)</f>
        <v>3</v>
      </c>
      <c r="I52" s="4">
        <f t="shared" si="0"/>
        <v>0</v>
      </c>
      <c r="J52" s="4">
        <f t="shared" si="1"/>
        <v>1</v>
      </c>
      <c r="K52" s="4">
        <f t="shared" si="2"/>
        <v>2</v>
      </c>
      <c r="L52" s="4" t="s">
        <v>517</v>
      </c>
      <c r="M52" s="4">
        <f>INDEX(Dim_Product!$C$2:$C$4,MATCH(F52,Dim_Product!$A$2:$A$4,0))+-0.61</f>
        <v>249.39</v>
      </c>
      <c r="N52" s="4">
        <f>IF(AND(M52&gt;=INDEX(Dim_Product!$C$2:$C$4,MATCH(F52,Dim_Product!$A$2:$A$4,0))-INDEX(Dim_Product!$D$2:$D$4,MATCH(F52,Dim_Product!$A$2:$A$4,0)),M52&lt;=INDEX(Dim_Product!$C$2:$C$4,MATCH(F52,Dim_Product!$A$2:$A$4,0))+INDEX(Dim_Product!$D$2:$D$4,MATCH(F52,Dim_Product!$A$2:$A$4,0))),G52-H52,G52-H52-1)</f>
        <v>45</v>
      </c>
      <c r="O52" s="4">
        <f t="shared" si="3"/>
        <v>3</v>
      </c>
      <c r="P52" s="4">
        <f>INDEX(Dim_Product!$G$2:$G$4,MATCH(F52,Dim_Product!$A$2:$A$4,0))+0.27</f>
        <v>70.27</v>
      </c>
      <c r="Q52" s="4">
        <f>IF(AND(P52&gt;=INDEX(Dim_Product!$G$2:$G$4,MATCH(F52,Dim_Product!$A$2:$A$4,0))-INDEX(Dim_Product!$H$2:$H$4,MATCH(F52,Dim_Product!$A$2:$A$4,0)),P52&lt;=INDEX(Dim_Product!$G$2:$G$4,MATCH(F52,Dim_Product!$A$2:$A$4,0))+INDEX(Dim_Product!$H$2:$H$4,MATCH(F52,Dim_Product!$A$2:$A$4,0))),G52-H52,G52-H52-1)</f>
        <v>45</v>
      </c>
      <c r="R52" s="4">
        <f t="shared" si="4"/>
        <v>3</v>
      </c>
      <c r="S52" s="4">
        <f>INDEX(Dim_Product!$K$2:$K$4,MATCH(F52,Dim_Product!$A$2:$A$4,0))+-0.18</f>
        <v>119.82</v>
      </c>
      <c r="T52" s="4">
        <f>IF(AND(S52&gt;=INDEX(Dim_Product!$K$2:$K$4,MATCH(F52,Dim_Product!$A$2:$A$4,0))-INDEX(Dim_Product!$L$2:$L$4,MATCH(F52,Dim_Product!$A$2:$A$4,0)),S52&lt;=INDEX(Dim_Product!$K$2:$K$4,MATCH(F52,Dim_Product!$A$2:$A$4,0))+INDEX(Dim_Product!$L$2:$L$4,MATCH(F52,Dim_Product!$A$2:$A$4,0))),G52-H52,G52-H52-1)</f>
        <v>45</v>
      </c>
      <c r="U52" s="4">
        <f t="shared" si="5"/>
        <v>3</v>
      </c>
      <c r="V52" s="4">
        <f t="shared" si="6"/>
        <v>6.25E-2</v>
      </c>
      <c r="W52" s="19">
        <f t="shared" si="7"/>
        <v>0.9375</v>
      </c>
    </row>
    <row r="53" spans="1:23" x14ac:dyDescent="0.25">
      <c r="A53" s="18" t="s">
        <v>554</v>
      </c>
      <c r="B53" s="4">
        <f>Fact_Production_Hourly!B53</f>
        <v>20260701</v>
      </c>
      <c r="C53" s="4">
        <f>Fact_Production_Hourly!C53</f>
        <v>7</v>
      </c>
      <c r="D53" s="4" t="str">
        <f>Fact_Production_Hourly!D53</f>
        <v>M3</v>
      </c>
      <c r="E53" s="4" t="str">
        <f>Fact_Production_Hourly!E53</f>
        <v>A-AM</v>
      </c>
      <c r="F53" s="4" t="str">
        <f>Fact_Production_Hourly!F53</f>
        <v>B</v>
      </c>
      <c r="G53" s="4">
        <f>INDEX(Dim_Machine!$D$2:$D$8,MATCH(D53,Dim_Machine!$A$2:$A$8,0))*2</f>
        <v>24</v>
      </c>
      <c r="H53" s="4">
        <f>ROUND(G53*0.0475,0)</f>
        <v>1</v>
      </c>
      <c r="I53" s="4">
        <f t="shared" si="0"/>
        <v>0</v>
      </c>
      <c r="J53" s="4">
        <f t="shared" si="1"/>
        <v>0</v>
      </c>
      <c r="K53" s="4">
        <f t="shared" si="2"/>
        <v>1</v>
      </c>
      <c r="L53" s="4" t="s">
        <v>509</v>
      </c>
      <c r="M53" s="4">
        <f>INDEX(Dim_Product!$C$2:$C$4,MATCH(F53,Dim_Product!$A$2:$A$4,0))+0.07</f>
        <v>300.07</v>
      </c>
      <c r="N53" s="4">
        <f>IF(AND(M53&gt;=INDEX(Dim_Product!$C$2:$C$4,MATCH(F53,Dim_Product!$A$2:$A$4,0))-INDEX(Dim_Product!$D$2:$D$4,MATCH(F53,Dim_Product!$A$2:$A$4,0)),M53&lt;=INDEX(Dim_Product!$C$2:$C$4,MATCH(F53,Dim_Product!$A$2:$A$4,0))+INDEX(Dim_Product!$D$2:$D$4,MATCH(F53,Dim_Product!$A$2:$A$4,0))),G53-H53,G53-H53-1)</f>
        <v>23</v>
      </c>
      <c r="O53" s="4">
        <f t="shared" si="3"/>
        <v>1</v>
      </c>
      <c r="P53" s="4">
        <f>INDEX(Dim_Product!$G$2:$G$4,MATCH(F53,Dim_Product!$A$2:$A$4,0))+0</f>
        <v>75</v>
      </c>
      <c r="Q53" s="4">
        <f>IF(AND(P53&gt;=INDEX(Dim_Product!$G$2:$G$4,MATCH(F53,Dim_Product!$A$2:$A$4,0))-INDEX(Dim_Product!$H$2:$H$4,MATCH(F53,Dim_Product!$A$2:$A$4,0)),P53&lt;=INDEX(Dim_Product!$G$2:$G$4,MATCH(F53,Dim_Product!$A$2:$A$4,0))+INDEX(Dim_Product!$H$2:$H$4,MATCH(F53,Dim_Product!$A$2:$A$4,0))),G53-H53,G53-H53-1)</f>
        <v>23</v>
      </c>
      <c r="R53" s="4">
        <f t="shared" si="4"/>
        <v>1</v>
      </c>
      <c r="S53" s="4">
        <f>INDEX(Dim_Product!$K$2:$K$4,MATCH(F53,Dim_Product!$A$2:$A$4,0))+-0.27</f>
        <v>129.72999999999999</v>
      </c>
      <c r="T53" s="4">
        <f>IF(AND(S53&gt;=INDEX(Dim_Product!$K$2:$K$4,MATCH(F53,Dim_Product!$A$2:$A$4,0))-INDEX(Dim_Product!$L$2:$L$4,MATCH(F53,Dim_Product!$A$2:$A$4,0)),S53&lt;=INDEX(Dim_Product!$K$2:$K$4,MATCH(F53,Dim_Product!$A$2:$A$4,0))+INDEX(Dim_Product!$L$2:$L$4,MATCH(F53,Dim_Product!$A$2:$A$4,0))),G53-H53,G53-H53-1)</f>
        <v>23</v>
      </c>
      <c r="U53" s="4">
        <f t="shared" si="5"/>
        <v>1</v>
      </c>
      <c r="V53" s="4">
        <f t="shared" si="6"/>
        <v>4.1666666666666664E-2</v>
      </c>
      <c r="W53" s="19">
        <f t="shared" si="7"/>
        <v>0.95833333333333337</v>
      </c>
    </row>
    <row r="54" spans="1:23" x14ac:dyDescent="0.25">
      <c r="A54" s="18" t="s">
        <v>555</v>
      </c>
      <c r="B54" s="4">
        <f>Fact_Production_Hourly!B54</f>
        <v>20260701</v>
      </c>
      <c r="C54" s="4">
        <f>Fact_Production_Hourly!C54</f>
        <v>7</v>
      </c>
      <c r="D54" s="4" t="str">
        <f>Fact_Production_Hourly!D54</f>
        <v>M4</v>
      </c>
      <c r="E54" s="4" t="str">
        <f>Fact_Production_Hourly!E54</f>
        <v>A-AM</v>
      </c>
      <c r="F54" s="4" t="str">
        <f>Fact_Production_Hourly!F54</f>
        <v>A</v>
      </c>
      <c r="G54" s="4">
        <f>INDEX(Dim_Machine!$D$2:$D$8,MATCH(D54,Dim_Machine!$A$2:$A$8,0))*2</f>
        <v>48</v>
      </c>
      <c r="H54" s="4">
        <f>ROUND(G54*0.0665,0)</f>
        <v>3</v>
      </c>
      <c r="I54" s="4">
        <f t="shared" si="0"/>
        <v>0</v>
      </c>
      <c r="J54" s="4">
        <f t="shared" si="1"/>
        <v>1</v>
      </c>
      <c r="K54" s="4">
        <f t="shared" si="2"/>
        <v>2</v>
      </c>
      <c r="L54" s="4" t="s">
        <v>500</v>
      </c>
      <c r="M54" s="4">
        <f>INDEX(Dim_Product!$C$2:$C$4,MATCH(F54,Dim_Product!$A$2:$A$4,0))+-0.66</f>
        <v>249.34</v>
      </c>
      <c r="N54" s="4">
        <f>IF(AND(M54&gt;=INDEX(Dim_Product!$C$2:$C$4,MATCH(F54,Dim_Product!$A$2:$A$4,0))-INDEX(Dim_Product!$D$2:$D$4,MATCH(F54,Dim_Product!$A$2:$A$4,0)),M54&lt;=INDEX(Dim_Product!$C$2:$C$4,MATCH(F54,Dim_Product!$A$2:$A$4,0))+INDEX(Dim_Product!$D$2:$D$4,MATCH(F54,Dim_Product!$A$2:$A$4,0))),G54-H54,G54-H54-1)</f>
        <v>45</v>
      </c>
      <c r="O54" s="4">
        <f t="shared" si="3"/>
        <v>3</v>
      </c>
      <c r="P54" s="4">
        <f>INDEX(Dim_Product!$G$2:$G$4,MATCH(F54,Dim_Product!$A$2:$A$4,0))+0.07</f>
        <v>70.069999999999993</v>
      </c>
      <c r="Q54" s="4">
        <f>IF(AND(P54&gt;=INDEX(Dim_Product!$G$2:$G$4,MATCH(F54,Dim_Product!$A$2:$A$4,0))-INDEX(Dim_Product!$H$2:$H$4,MATCH(F54,Dim_Product!$A$2:$A$4,0)),P54&lt;=INDEX(Dim_Product!$G$2:$G$4,MATCH(F54,Dim_Product!$A$2:$A$4,0))+INDEX(Dim_Product!$H$2:$H$4,MATCH(F54,Dim_Product!$A$2:$A$4,0))),G54-H54,G54-H54-1)</f>
        <v>45</v>
      </c>
      <c r="R54" s="4">
        <f t="shared" si="4"/>
        <v>3</v>
      </c>
      <c r="S54" s="4">
        <f>INDEX(Dim_Product!$K$2:$K$4,MATCH(F54,Dim_Product!$A$2:$A$4,0))+0.32</f>
        <v>120.32</v>
      </c>
      <c r="T54" s="4">
        <f>IF(AND(S54&gt;=INDEX(Dim_Product!$K$2:$K$4,MATCH(F54,Dim_Product!$A$2:$A$4,0))-INDEX(Dim_Product!$L$2:$L$4,MATCH(F54,Dim_Product!$A$2:$A$4,0)),S54&lt;=INDEX(Dim_Product!$K$2:$K$4,MATCH(F54,Dim_Product!$A$2:$A$4,0))+INDEX(Dim_Product!$L$2:$L$4,MATCH(F54,Dim_Product!$A$2:$A$4,0))),G54-H54,G54-H54-1)</f>
        <v>45</v>
      </c>
      <c r="U54" s="4">
        <f t="shared" si="5"/>
        <v>3</v>
      </c>
      <c r="V54" s="4">
        <f t="shared" si="6"/>
        <v>6.25E-2</v>
      </c>
      <c r="W54" s="19">
        <f t="shared" si="7"/>
        <v>0.9375</v>
      </c>
    </row>
    <row r="55" spans="1:23" x14ac:dyDescent="0.25">
      <c r="A55" s="18" t="s">
        <v>556</v>
      </c>
      <c r="B55" s="4">
        <f>Fact_Production_Hourly!B55</f>
        <v>20260701</v>
      </c>
      <c r="C55" s="4">
        <f>Fact_Production_Hourly!C55</f>
        <v>7</v>
      </c>
      <c r="D55" s="4" t="str">
        <f>Fact_Production_Hourly!D55</f>
        <v>M5</v>
      </c>
      <c r="E55" s="4" t="str">
        <f>Fact_Production_Hourly!E55</f>
        <v>A-AM</v>
      </c>
      <c r="F55" s="4" t="str">
        <f>Fact_Production_Hourly!F55</f>
        <v>C</v>
      </c>
      <c r="G55" s="4">
        <f>INDEX(Dim_Machine!$D$2:$D$8,MATCH(D55,Dim_Machine!$A$2:$A$8,0))*2</f>
        <v>32</v>
      </c>
      <c r="H55" s="4">
        <f>ROUND(G55*0.0303,0)</f>
        <v>1</v>
      </c>
      <c r="I55" s="4">
        <f t="shared" si="0"/>
        <v>0</v>
      </c>
      <c r="J55" s="4">
        <f t="shared" si="1"/>
        <v>0</v>
      </c>
      <c r="K55" s="4">
        <f t="shared" si="2"/>
        <v>1</v>
      </c>
      <c r="L55" s="4" t="s">
        <v>509</v>
      </c>
      <c r="M55" s="4">
        <f>INDEX(Dim_Product!$C$2:$C$4,MATCH(F55,Dim_Product!$A$2:$A$4,0))+-0.92</f>
        <v>199.08</v>
      </c>
      <c r="N55" s="4">
        <f>IF(AND(M55&gt;=INDEX(Dim_Product!$C$2:$C$4,MATCH(F55,Dim_Product!$A$2:$A$4,0))-INDEX(Dim_Product!$D$2:$D$4,MATCH(F55,Dim_Product!$A$2:$A$4,0)),M55&lt;=INDEX(Dim_Product!$C$2:$C$4,MATCH(F55,Dim_Product!$A$2:$A$4,0))+INDEX(Dim_Product!$D$2:$D$4,MATCH(F55,Dim_Product!$A$2:$A$4,0))),G55-H55,G55-H55-1)</f>
        <v>31</v>
      </c>
      <c r="O55" s="4">
        <f t="shared" si="3"/>
        <v>1</v>
      </c>
      <c r="P55" s="4">
        <f>INDEX(Dim_Product!$G$2:$G$4,MATCH(F55,Dim_Product!$A$2:$A$4,0))+0.22</f>
        <v>65.22</v>
      </c>
      <c r="Q55" s="4">
        <f>IF(AND(P55&gt;=INDEX(Dim_Product!$G$2:$G$4,MATCH(F55,Dim_Product!$A$2:$A$4,0))-INDEX(Dim_Product!$H$2:$H$4,MATCH(F55,Dim_Product!$A$2:$A$4,0)),P55&lt;=INDEX(Dim_Product!$G$2:$G$4,MATCH(F55,Dim_Product!$A$2:$A$4,0))+INDEX(Dim_Product!$H$2:$H$4,MATCH(F55,Dim_Product!$A$2:$A$4,0))),G55-H55,G55-H55-1)</f>
        <v>31</v>
      </c>
      <c r="R55" s="4">
        <f t="shared" si="4"/>
        <v>1</v>
      </c>
      <c r="S55" s="4">
        <f>INDEX(Dim_Product!$K$2:$K$4,MATCH(F55,Dim_Product!$A$2:$A$4,0))+-0.34</f>
        <v>109.66</v>
      </c>
      <c r="T55" s="4">
        <f>IF(AND(S55&gt;=INDEX(Dim_Product!$K$2:$K$4,MATCH(F55,Dim_Product!$A$2:$A$4,0))-INDEX(Dim_Product!$L$2:$L$4,MATCH(F55,Dim_Product!$A$2:$A$4,0)),S55&lt;=INDEX(Dim_Product!$K$2:$K$4,MATCH(F55,Dim_Product!$A$2:$A$4,0))+INDEX(Dim_Product!$L$2:$L$4,MATCH(F55,Dim_Product!$A$2:$A$4,0))),G55-H55,G55-H55-1)</f>
        <v>31</v>
      </c>
      <c r="U55" s="4">
        <f t="shared" si="5"/>
        <v>1</v>
      </c>
      <c r="V55" s="4">
        <f t="shared" si="6"/>
        <v>3.125E-2</v>
      </c>
      <c r="W55" s="19">
        <f t="shared" si="7"/>
        <v>0.96875</v>
      </c>
    </row>
    <row r="56" spans="1:23" x14ac:dyDescent="0.25">
      <c r="A56" s="18" t="s">
        <v>557</v>
      </c>
      <c r="B56" s="4">
        <f>Fact_Production_Hourly!B56</f>
        <v>20260701</v>
      </c>
      <c r="C56" s="4">
        <f>Fact_Production_Hourly!C56</f>
        <v>7</v>
      </c>
      <c r="D56" s="4" t="str">
        <f>Fact_Production_Hourly!D56</f>
        <v>M6</v>
      </c>
      <c r="E56" s="4" t="str">
        <f>Fact_Production_Hourly!E56</f>
        <v>A-AM</v>
      </c>
      <c r="F56" s="4" t="str">
        <f>Fact_Production_Hourly!F56</f>
        <v>C</v>
      </c>
      <c r="G56" s="4">
        <f>INDEX(Dim_Machine!$D$2:$D$8,MATCH(D56,Dim_Machine!$A$2:$A$8,0))*2</f>
        <v>24</v>
      </c>
      <c r="H56" s="4">
        <f>ROUND(G56*0.0669,0)</f>
        <v>2</v>
      </c>
      <c r="I56" s="4">
        <f t="shared" si="0"/>
        <v>0</v>
      </c>
      <c r="J56" s="4">
        <f t="shared" si="1"/>
        <v>1</v>
      </c>
      <c r="K56" s="4">
        <f t="shared" si="2"/>
        <v>1</v>
      </c>
      <c r="L56" s="4" t="s">
        <v>509</v>
      </c>
      <c r="M56" s="4">
        <f>INDEX(Dim_Product!$C$2:$C$4,MATCH(F56,Dim_Product!$A$2:$A$4,0))+-0.47</f>
        <v>199.53</v>
      </c>
      <c r="N56" s="4">
        <f>IF(AND(M56&gt;=INDEX(Dim_Product!$C$2:$C$4,MATCH(F56,Dim_Product!$A$2:$A$4,0))-INDEX(Dim_Product!$D$2:$D$4,MATCH(F56,Dim_Product!$A$2:$A$4,0)),M56&lt;=INDEX(Dim_Product!$C$2:$C$4,MATCH(F56,Dim_Product!$A$2:$A$4,0))+INDEX(Dim_Product!$D$2:$D$4,MATCH(F56,Dim_Product!$A$2:$A$4,0))),G56-H56,G56-H56-1)</f>
        <v>22</v>
      </c>
      <c r="O56" s="4">
        <f t="shared" si="3"/>
        <v>2</v>
      </c>
      <c r="P56" s="4">
        <f>INDEX(Dim_Product!$G$2:$G$4,MATCH(F56,Dim_Product!$A$2:$A$4,0))+-0.17</f>
        <v>64.83</v>
      </c>
      <c r="Q56" s="4">
        <f>IF(AND(P56&gt;=INDEX(Dim_Product!$G$2:$G$4,MATCH(F56,Dim_Product!$A$2:$A$4,0))-INDEX(Dim_Product!$H$2:$H$4,MATCH(F56,Dim_Product!$A$2:$A$4,0)),P56&lt;=INDEX(Dim_Product!$G$2:$G$4,MATCH(F56,Dim_Product!$A$2:$A$4,0))+INDEX(Dim_Product!$H$2:$H$4,MATCH(F56,Dim_Product!$A$2:$A$4,0))),G56-H56,G56-H56-1)</f>
        <v>22</v>
      </c>
      <c r="R56" s="4">
        <f t="shared" si="4"/>
        <v>2</v>
      </c>
      <c r="S56" s="4">
        <f>INDEX(Dim_Product!$K$2:$K$4,MATCH(F56,Dim_Product!$A$2:$A$4,0))+0.06</f>
        <v>110.06</v>
      </c>
      <c r="T56" s="4">
        <f>IF(AND(S56&gt;=INDEX(Dim_Product!$K$2:$K$4,MATCH(F56,Dim_Product!$A$2:$A$4,0))-INDEX(Dim_Product!$L$2:$L$4,MATCH(F56,Dim_Product!$A$2:$A$4,0)),S56&lt;=INDEX(Dim_Product!$K$2:$K$4,MATCH(F56,Dim_Product!$A$2:$A$4,0))+INDEX(Dim_Product!$L$2:$L$4,MATCH(F56,Dim_Product!$A$2:$A$4,0))),G56-H56,G56-H56-1)</f>
        <v>22</v>
      </c>
      <c r="U56" s="4">
        <f t="shared" si="5"/>
        <v>2</v>
      </c>
      <c r="V56" s="4">
        <f t="shared" si="6"/>
        <v>8.3333333333333329E-2</v>
      </c>
      <c r="W56" s="19">
        <f t="shared" si="7"/>
        <v>0.91666666666666663</v>
      </c>
    </row>
    <row r="57" spans="1:23" x14ac:dyDescent="0.25">
      <c r="A57" s="18" t="s">
        <v>558</v>
      </c>
      <c r="B57" s="4">
        <f>Fact_Production_Hourly!B57</f>
        <v>20260701</v>
      </c>
      <c r="C57" s="4">
        <f>Fact_Production_Hourly!C57</f>
        <v>7</v>
      </c>
      <c r="D57" s="4" t="str">
        <f>Fact_Production_Hourly!D57</f>
        <v>M7</v>
      </c>
      <c r="E57" s="4" t="str">
        <f>Fact_Production_Hourly!E57</f>
        <v>A-AM</v>
      </c>
      <c r="F57" s="4" t="str">
        <f>Fact_Production_Hourly!F57</f>
        <v>C</v>
      </c>
      <c r="G57" s="4">
        <f>INDEX(Dim_Machine!$D$2:$D$8,MATCH(D57,Dim_Machine!$A$2:$A$8,0))*2</f>
        <v>48</v>
      </c>
      <c r="H57" s="4">
        <f>ROUND(G57*0.0471,0)</f>
        <v>2</v>
      </c>
      <c r="I57" s="4">
        <f t="shared" si="0"/>
        <v>0</v>
      </c>
      <c r="J57" s="4">
        <f t="shared" si="1"/>
        <v>1</v>
      </c>
      <c r="K57" s="4">
        <f t="shared" si="2"/>
        <v>1</v>
      </c>
      <c r="L57" s="4" t="s">
        <v>498</v>
      </c>
      <c r="M57" s="4">
        <f>INDEX(Dim_Product!$C$2:$C$4,MATCH(F57,Dim_Product!$A$2:$A$4,0))+0</f>
        <v>200</v>
      </c>
      <c r="N57" s="4">
        <f>IF(AND(M57&gt;=INDEX(Dim_Product!$C$2:$C$4,MATCH(F57,Dim_Product!$A$2:$A$4,0))-INDEX(Dim_Product!$D$2:$D$4,MATCH(F57,Dim_Product!$A$2:$A$4,0)),M57&lt;=INDEX(Dim_Product!$C$2:$C$4,MATCH(F57,Dim_Product!$A$2:$A$4,0))+INDEX(Dim_Product!$D$2:$D$4,MATCH(F57,Dim_Product!$A$2:$A$4,0))),G57-H57,G57-H57-1)</f>
        <v>46</v>
      </c>
      <c r="O57" s="4">
        <f t="shared" si="3"/>
        <v>2</v>
      </c>
      <c r="P57" s="4">
        <f>INDEX(Dim_Product!$G$2:$G$4,MATCH(F57,Dim_Product!$A$2:$A$4,0))+0.08</f>
        <v>65.08</v>
      </c>
      <c r="Q57" s="4">
        <f>IF(AND(P57&gt;=INDEX(Dim_Product!$G$2:$G$4,MATCH(F57,Dim_Product!$A$2:$A$4,0))-INDEX(Dim_Product!$H$2:$H$4,MATCH(F57,Dim_Product!$A$2:$A$4,0)),P57&lt;=INDEX(Dim_Product!$G$2:$G$4,MATCH(F57,Dim_Product!$A$2:$A$4,0))+INDEX(Dim_Product!$H$2:$H$4,MATCH(F57,Dim_Product!$A$2:$A$4,0))),G57-H57,G57-H57-1)</f>
        <v>46</v>
      </c>
      <c r="R57" s="4">
        <f t="shared" si="4"/>
        <v>2</v>
      </c>
      <c r="S57" s="4">
        <f>INDEX(Dim_Product!$K$2:$K$4,MATCH(F57,Dim_Product!$A$2:$A$4,0))+-0.17</f>
        <v>109.83</v>
      </c>
      <c r="T57" s="4">
        <f>IF(AND(S57&gt;=INDEX(Dim_Product!$K$2:$K$4,MATCH(F57,Dim_Product!$A$2:$A$4,0))-INDEX(Dim_Product!$L$2:$L$4,MATCH(F57,Dim_Product!$A$2:$A$4,0)),S57&lt;=INDEX(Dim_Product!$K$2:$K$4,MATCH(F57,Dim_Product!$A$2:$A$4,0))+INDEX(Dim_Product!$L$2:$L$4,MATCH(F57,Dim_Product!$A$2:$A$4,0))),G57-H57,G57-H57-1)</f>
        <v>46</v>
      </c>
      <c r="U57" s="4">
        <f t="shared" si="5"/>
        <v>2</v>
      </c>
      <c r="V57" s="4">
        <f t="shared" si="6"/>
        <v>4.1666666666666664E-2</v>
      </c>
      <c r="W57" s="19">
        <f t="shared" si="7"/>
        <v>0.95833333333333337</v>
      </c>
    </row>
    <row r="58" spans="1:23" x14ac:dyDescent="0.25">
      <c r="A58" s="18" t="s">
        <v>559</v>
      </c>
      <c r="B58" s="4">
        <f>Fact_Production_Hourly!B58</f>
        <v>20260701</v>
      </c>
      <c r="C58" s="4">
        <f>Fact_Production_Hourly!C58</f>
        <v>8</v>
      </c>
      <c r="D58" s="4" t="str">
        <f>Fact_Production_Hourly!D58</f>
        <v>M1</v>
      </c>
      <c r="E58" s="4" t="str">
        <f>Fact_Production_Hourly!E58</f>
        <v>A-AM</v>
      </c>
      <c r="F58" s="4" t="str">
        <f>Fact_Production_Hourly!F58</f>
        <v>C</v>
      </c>
      <c r="G58" s="4">
        <f>INDEX(Dim_Machine!$D$2:$D$8,MATCH(D58,Dim_Machine!$A$2:$A$8,0))*2</f>
        <v>32</v>
      </c>
      <c r="H58" s="4">
        <f>ROUND(G58*0.0674,0)</f>
        <v>2</v>
      </c>
      <c r="I58" s="4">
        <f t="shared" si="0"/>
        <v>0</v>
      </c>
      <c r="J58" s="4">
        <f t="shared" si="1"/>
        <v>1</v>
      </c>
      <c r="K58" s="4">
        <f t="shared" si="2"/>
        <v>1</v>
      </c>
      <c r="L58" s="4" t="s">
        <v>503</v>
      </c>
      <c r="M58" s="4">
        <f>INDEX(Dim_Product!$C$2:$C$4,MATCH(F58,Dim_Product!$A$2:$A$4,0))+-0.51</f>
        <v>199.49</v>
      </c>
      <c r="N58" s="4">
        <f>IF(AND(M58&gt;=INDEX(Dim_Product!$C$2:$C$4,MATCH(F58,Dim_Product!$A$2:$A$4,0))-INDEX(Dim_Product!$D$2:$D$4,MATCH(F58,Dim_Product!$A$2:$A$4,0)),M58&lt;=INDEX(Dim_Product!$C$2:$C$4,MATCH(F58,Dim_Product!$A$2:$A$4,0))+INDEX(Dim_Product!$D$2:$D$4,MATCH(F58,Dim_Product!$A$2:$A$4,0))),G58-H58,G58-H58-1)</f>
        <v>30</v>
      </c>
      <c r="O58" s="4">
        <f t="shared" si="3"/>
        <v>2</v>
      </c>
      <c r="P58" s="4">
        <f>INDEX(Dim_Product!$G$2:$G$4,MATCH(F58,Dim_Product!$A$2:$A$4,0))+0.18</f>
        <v>65.180000000000007</v>
      </c>
      <c r="Q58" s="4">
        <f>IF(AND(P58&gt;=INDEX(Dim_Product!$G$2:$G$4,MATCH(F58,Dim_Product!$A$2:$A$4,0))-INDEX(Dim_Product!$H$2:$H$4,MATCH(F58,Dim_Product!$A$2:$A$4,0)),P58&lt;=INDEX(Dim_Product!$G$2:$G$4,MATCH(F58,Dim_Product!$A$2:$A$4,0))+INDEX(Dim_Product!$H$2:$H$4,MATCH(F58,Dim_Product!$A$2:$A$4,0))),G58-H58,G58-H58-1)</f>
        <v>30</v>
      </c>
      <c r="R58" s="4">
        <f t="shared" si="4"/>
        <v>2</v>
      </c>
      <c r="S58" s="4">
        <f>INDEX(Dim_Product!$K$2:$K$4,MATCH(F58,Dim_Product!$A$2:$A$4,0))+-0.08</f>
        <v>109.92</v>
      </c>
      <c r="T58" s="4">
        <f>IF(AND(S58&gt;=INDEX(Dim_Product!$K$2:$K$4,MATCH(F58,Dim_Product!$A$2:$A$4,0))-INDEX(Dim_Product!$L$2:$L$4,MATCH(F58,Dim_Product!$A$2:$A$4,0)),S58&lt;=INDEX(Dim_Product!$K$2:$K$4,MATCH(F58,Dim_Product!$A$2:$A$4,0))+INDEX(Dim_Product!$L$2:$L$4,MATCH(F58,Dim_Product!$A$2:$A$4,0))),G58-H58,G58-H58-1)</f>
        <v>30</v>
      </c>
      <c r="U58" s="4">
        <f t="shared" si="5"/>
        <v>2</v>
      </c>
      <c r="V58" s="4">
        <f t="shared" si="6"/>
        <v>6.25E-2</v>
      </c>
      <c r="W58" s="19">
        <f t="shared" si="7"/>
        <v>0.9375</v>
      </c>
    </row>
    <row r="59" spans="1:23" x14ac:dyDescent="0.25">
      <c r="A59" s="18" t="s">
        <v>560</v>
      </c>
      <c r="B59" s="4">
        <f>Fact_Production_Hourly!B59</f>
        <v>20260701</v>
      </c>
      <c r="C59" s="4">
        <f>Fact_Production_Hourly!C59</f>
        <v>8</v>
      </c>
      <c r="D59" s="4" t="str">
        <f>Fact_Production_Hourly!D59</f>
        <v>M2</v>
      </c>
      <c r="E59" s="4" t="str">
        <f>Fact_Production_Hourly!E59</f>
        <v>A-AM</v>
      </c>
      <c r="F59" s="4" t="str">
        <f>Fact_Production_Hourly!F59</f>
        <v>A</v>
      </c>
      <c r="G59" s="4">
        <f>INDEX(Dim_Machine!$D$2:$D$8,MATCH(D59,Dim_Machine!$A$2:$A$8,0))*2</f>
        <v>48</v>
      </c>
      <c r="H59" s="4">
        <f>ROUND(G59*0.0372,0)</f>
        <v>2</v>
      </c>
      <c r="I59" s="4">
        <f t="shared" si="0"/>
        <v>0</v>
      </c>
      <c r="J59" s="4">
        <f t="shared" si="1"/>
        <v>1</v>
      </c>
      <c r="K59" s="4">
        <f t="shared" si="2"/>
        <v>1</v>
      </c>
      <c r="L59" s="4" t="s">
        <v>520</v>
      </c>
      <c r="M59" s="4">
        <f>INDEX(Dim_Product!$C$2:$C$4,MATCH(F59,Dim_Product!$A$2:$A$4,0))+-0.88</f>
        <v>249.12</v>
      </c>
      <c r="N59" s="4">
        <f>IF(AND(M59&gt;=INDEX(Dim_Product!$C$2:$C$4,MATCH(F59,Dim_Product!$A$2:$A$4,0))-INDEX(Dim_Product!$D$2:$D$4,MATCH(F59,Dim_Product!$A$2:$A$4,0)),M59&lt;=INDEX(Dim_Product!$C$2:$C$4,MATCH(F59,Dim_Product!$A$2:$A$4,0))+INDEX(Dim_Product!$D$2:$D$4,MATCH(F59,Dim_Product!$A$2:$A$4,0))),G59-H59,G59-H59-1)</f>
        <v>46</v>
      </c>
      <c r="O59" s="4">
        <f t="shared" si="3"/>
        <v>2</v>
      </c>
      <c r="P59" s="4">
        <f>INDEX(Dim_Product!$G$2:$G$4,MATCH(F59,Dim_Product!$A$2:$A$4,0))+-0.04</f>
        <v>69.959999999999994</v>
      </c>
      <c r="Q59" s="4">
        <f>IF(AND(P59&gt;=INDEX(Dim_Product!$G$2:$G$4,MATCH(F59,Dim_Product!$A$2:$A$4,0))-INDEX(Dim_Product!$H$2:$H$4,MATCH(F59,Dim_Product!$A$2:$A$4,0)),P59&lt;=INDEX(Dim_Product!$G$2:$G$4,MATCH(F59,Dim_Product!$A$2:$A$4,0))+INDEX(Dim_Product!$H$2:$H$4,MATCH(F59,Dim_Product!$A$2:$A$4,0))),G59-H59,G59-H59-1)</f>
        <v>46</v>
      </c>
      <c r="R59" s="4">
        <f t="shared" si="4"/>
        <v>2</v>
      </c>
      <c r="S59" s="4">
        <f>INDEX(Dim_Product!$K$2:$K$4,MATCH(F59,Dim_Product!$A$2:$A$4,0))+-0.01</f>
        <v>119.99</v>
      </c>
      <c r="T59" s="4">
        <f>IF(AND(S59&gt;=INDEX(Dim_Product!$K$2:$K$4,MATCH(F59,Dim_Product!$A$2:$A$4,0))-INDEX(Dim_Product!$L$2:$L$4,MATCH(F59,Dim_Product!$A$2:$A$4,0)),S59&lt;=INDEX(Dim_Product!$K$2:$K$4,MATCH(F59,Dim_Product!$A$2:$A$4,0))+INDEX(Dim_Product!$L$2:$L$4,MATCH(F59,Dim_Product!$A$2:$A$4,0))),G59-H59,G59-H59-1)</f>
        <v>46</v>
      </c>
      <c r="U59" s="4">
        <f t="shared" si="5"/>
        <v>2</v>
      </c>
      <c r="V59" s="4">
        <f t="shared" si="6"/>
        <v>4.1666666666666664E-2</v>
      </c>
      <c r="W59" s="19">
        <f t="shared" si="7"/>
        <v>0.95833333333333337</v>
      </c>
    </row>
    <row r="60" spans="1:23" x14ac:dyDescent="0.25">
      <c r="A60" s="18" t="s">
        <v>561</v>
      </c>
      <c r="B60" s="4">
        <f>Fact_Production_Hourly!B60</f>
        <v>20260701</v>
      </c>
      <c r="C60" s="4">
        <f>Fact_Production_Hourly!C60</f>
        <v>8</v>
      </c>
      <c r="D60" s="4" t="str">
        <f>Fact_Production_Hourly!D60</f>
        <v>M3</v>
      </c>
      <c r="E60" s="4" t="str">
        <f>Fact_Production_Hourly!E60</f>
        <v>A-AM</v>
      </c>
      <c r="F60" s="4" t="str">
        <f>Fact_Production_Hourly!F60</f>
        <v>B</v>
      </c>
      <c r="G60" s="4">
        <f>INDEX(Dim_Machine!$D$2:$D$8,MATCH(D60,Dim_Machine!$A$2:$A$8,0))*2</f>
        <v>24</v>
      </c>
      <c r="H60" s="4">
        <f>ROUND(G60*0.0222,0)</f>
        <v>1</v>
      </c>
      <c r="I60" s="4">
        <f t="shared" si="0"/>
        <v>0</v>
      </c>
      <c r="J60" s="4">
        <f t="shared" si="1"/>
        <v>0</v>
      </c>
      <c r="K60" s="4">
        <f t="shared" si="2"/>
        <v>1</v>
      </c>
      <c r="L60" s="4" t="s">
        <v>509</v>
      </c>
      <c r="M60" s="4">
        <f>INDEX(Dim_Product!$C$2:$C$4,MATCH(F60,Dim_Product!$A$2:$A$4,0))+-0.71</f>
        <v>299.29000000000002</v>
      </c>
      <c r="N60" s="4">
        <f>IF(AND(M60&gt;=INDEX(Dim_Product!$C$2:$C$4,MATCH(F60,Dim_Product!$A$2:$A$4,0))-INDEX(Dim_Product!$D$2:$D$4,MATCH(F60,Dim_Product!$A$2:$A$4,0)),M60&lt;=INDEX(Dim_Product!$C$2:$C$4,MATCH(F60,Dim_Product!$A$2:$A$4,0))+INDEX(Dim_Product!$D$2:$D$4,MATCH(F60,Dim_Product!$A$2:$A$4,0))),G60-H60,G60-H60-1)</f>
        <v>23</v>
      </c>
      <c r="O60" s="4">
        <f t="shared" si="3"/>
        <v>1</v>
      </c>
      <c r="P60" s="4">
        <f>INDEX(Dim_Product!$G$2:$G$4,MATCH(F60,Dim_Product!$A$2:$A$4,0))+0.22</f>
        <v>75.22</v>
      </c>
      <c r="Q60" s="4">
        <f>IF(AND(P60&gt;=INDEX(Dim_Product!$G$2:$G$4,MATCH(F60,Dim_Product!$A$2:$A$4,0))-INDEX(Dim_Product!$H$2:$H$4,MATCH(F60,Dim_Product!$A$2:$A$4,0)),P60&lt;=INDEX(Dim_Product!$G$2:$G$4,MATCH(F60,Dim_Product!$A$2:$A$4,0))+INDEX(Dim_Product!$H$2:$H$4,MATCH(F60,Dim_Product!$A$2:$A$4,0))),G60-H60,G60-H60-1)</f>
        <v>23</v>
      </c>
      <c r="R60" s="4">
        <f t="shared" si="4"/>
        <v>1</v>
      </c>
      <c r="S60" s="4">
        <f>INDEX(Dim_Product!$K$2:$K$4,MATCH(F60,Dim_Product!$A$2:$A$4,0))+-0.14</f>
        <v>129.86000000000001</v>
      </c>
      <c r="T60" s="4">
        <f>IF(AND(S60&gt;=INDEX(Dim_Product!$K$2:$K$4,MATCH(F60,Dim_Product!$A$2:$A$4,0))-INDEX(Dim_Product!$L$2:$L$4,MATCH(F60,Dim_Product!$A$2:$A$4,0)),S60&lt;=INDEX(Dim_Product!$K$2:$K$4,MATCH(F60,Dim_Product!$A$2:$A$4,0))+INDEX(Dim_Product!$L$2:$L$4,MATCH(F60,Dim_Product!$A$2:$A$4,0))),G60-H60,G60-H60-1)</f>
        <v>23</v>
      </c>
      <c r="U60" s="4">
        <f t="shared" si="5"/>
        <v>1</v>
      </c>
      <c r="V60" s="4">
        <f t="shared" si="6"/>
        <v>4.1666666666666664E-2</v>
      </c>
      <c r="W60" s="19">
        <f t="shared" si="7"/>
        <v>0.95833333333333337</v>
      </c>
    </row>
    <row r="61" spans="1:23" x14ac:dyDescent="0.25">
      <c r="A61" s="18" t="s">
        <v>562</v>
      </c>
      <c r="B61" s="4">
        <f>Fact_Production_Hourly!B61</f>
        <v>20260701</v>
      </c>
      <c r="C61" s="4">
        <f>Fact_Production_Hourly!C61</f>
        <v>8</v>
      </c>
      <c r="D61" s="4" t="str">
        <f>Fact_Production_Hourly!D61</f>
        <v>M4</v>
      </c>
      <c r="E61" s="4" t="str">
        <f>Fact_Production_Hourly!E61</f>
        <v>A-AM</v>
      </c>
      <c r="F61" s="4" t="str">
        <f>Fact_Production_Hourly!F61</f>
        <v>A</v>
      </c>
      <c r="G61" s="4">
        <f>INDEX(Dim_Machine!$D$2:$D$8,MATCH(D61,Dim_Machine!$A$2:$A$8,0))*2</f>
        <v>48</v>
      </c>
      <c r="H61" s="4">
        <f>ROUND(G61*0.0693,0)</f>
        <v>3</v>
      </c>
      <c r="I61" s="4">
        <f t="shared" si="0"/>
        <v>0</v>
      </c>
      <c r="J61" s="4">
        <f t="shared" si="1"/>
        <v>1</v>
      </c>
      <c r="K61" s="4">
        <f t="shared" si="2"/>
        <v>2</v>
      </c>
      <c r="L61" s="4" t="s">
        <v>517</v>
      </c>
      <c r="M61" s="4">
        <f>INDEX(Dim_Product!$C$2:$C$4,MATCH(F61,Dim_Product!$A$2:$A$4,0))+0.95</f>
        <v>250.95</v>
      </c>
      <c r="N61" s="4">
        <f>IF(AND(M61&gt;=INDEX(Dim_Product!$C$2:$C$4,MATCH(F61,Dim_Product!$A$2:$A$4,0))-INDEX(Dim_Product!$D$2:$D$4,MATCH(F61,Dim_Product!$A$2:$A$4,0)),M61&lt;=INDEX(Dim_Product!$C$2:$C$4,MATCH(F61,Dim_Product!$A$2:$A$4,0))+INDEX(Dim_Product!$D$2:$D$4,MATCH(F61,Dim_Product!$A$2:$A$4,0))),G61-H61,G61-H61-1)</f>
        <v>45</v>
      </c>
      <c r="O61" s="4">
        <f t="shared" si="3"/>
        <v>3</v>
      </c>
      <c r="P61" s="4">
        <f>INDEX(Dim_Product!$G$2:$G$4,MATCH(F61,Dim_Product!$A$2:$A$4,0))+-0.22</f>
        <v>69.78</v>
      </c>
      <c r="Q61" s="4">
        <f>IF(AND(P61&gt;=INDEX(Dim_Product!$G$2:$G$4,MATCH(F61,Dim_Product!$A$2:$A$4,0))-INDEX(Dim_Product!$H$2:$H$4,MATCH(F61,Dim_Product!$A$2:$A$4,0)),P61&lt;=INDEX(Dim_Product!$G$2:$G$4,MATCH(F61,Dim_Product!$A$2:$A$4,0))+INDEX(Dim_Product!$H$2:$H$4,MATCH(F61,Dim_Product!$A$2:$A$4,0))),G61-H61,G61-H61-1)</f>
        <v>45</v>
      </c>
      <c r="R61" s="4">
        <f t="shared" si="4"/>
        <v>3</v>
      </c>
      <c r="S61" s="4">
        <f>INDEX(Dim_Product!$K$2:$K$4,MATCH(F61,Dim_Product!$A$2:$A$4,0))+-0.1</f>
        <v>119.9</v>
      </c>
      <c r="T61" s="4">
        <f>IF(AND(S61&gt;=INDEX(Dim_Product!$K$2:$K$4,MATCH(F61,Dim_Product!$A$2:$A$4,0))-INDEX(Dim_Product!$L$2:$L$4,MATCH(F61,Dim_Product!$A$2:$A$4,0)),S61&lt;=INDEX(Dim_Product!$K$2:$K$4,MATCH(F61,Dim_Product!$A$2:$A$4,0))+INDEX(Dim_Product!$L$2:$L$4,MATCH(F61,Dim_Product!$A$2:$A$4,0))),G61-H61,G61-H61-1)</f>
        <v>45</v>
      </c>
      <c r="U61" s="4">
        <f t="shared" si="5"/>
        <v>3</v>
      </c>
      <c r="V61" s="4">
        <f t="shared" si="6"/>
        <v>6.25E-2</v>
      </c>
      <c r="W61" s="19">
        <f t="shared" si="7"/>
        <v>0.9375</v>
      </c>
    </row>
    <row r="62" spans="1:23" x14ac:dyDescent="0.25">
      <c r="A62" s="18" t="s">
        <v>563</v>
      </c>
      <c r="B62" s="4">
        <f>Fact_Production_Hourly!B62</f>
        <v>20260701</v>
      </c>
      <c r="C62" s="4">
        <f>Fact_Production_Hourly!C62</f>
        <v>8</v>
      </c>
      <c r="D62" s="4" t="str">
        <f>Fact_Production_Hourly!D62</f>
        <v>M5</v>
      </c>
      <c r="E62" s="4" t="str">
        <f>Fact_Production_Hourly!E62</f>
        <v>A-AM</v>
      </c>
      <c r="F62" s="4" t="str">
        <f>Fact_Production_Hourly!F62</f>
        <v>C</v>
      </c>
      <c r="G62" s="4">
        <f>INDEX(Dim_Machine!$D$2:$D$8,MATCH(D62,Dim_Machine!$A$2:$A$8,0))*2</f>
        <v>32</v>
      </c>
      <c r="H62" s="4">
        <f>ROUND(G62*0.0437,0)</f>
        <v>1</v>
      </c>
      <c r="I62" s="4">
        <f t="shared" si="0"/>
        <v>0</v>
      </c>
      <c r="J62" s="4">
        <f t="shared" si="1"/>
        <v>0</v>
      </c>
      <c r="K62" s="4">
        <f t="shared" si="2"/>
        <v>1</v>
      </c>
      <c r="L62" s="4" t="s">
        <v>517</v>
      </c>
      <c r="M62" s="4">
        <f>INDEX(Dim_Product!$C$2:$C$4,MATCH(F62,Dim_Product!$A$2:$A$4,0))+-0.52</f>
        <v>199.48</v>
      </c>
      <c r="N62" s="4">
        <f>IF(AND(M62&gt;=INDEX(Dim_Product!$C$2:$C$4,MATCH(F62,Dim_Product!$A$2:$A$4,0))-INDEX(Dim_Product!$D$2:$D$4,MATCH(F62,Dim_Product!$A$2:$A$4,0)),M62&lt;=INDEX(Dim_Product!$C$2:$C$4,MATCH(F62,Dim_Product!$A$2:$A$4,0))+INDEX(Dim_Product!$D$2:$D$4,MATCH(F62,Dim_Product!$A$2:$A$4,0))),G62-H62,G62-H62-1)</f>
        <v>31</v>
      </c>
      <c r="O62" s="4">
        <f t="shared" si="3"/>
        <v>1</v>
      </c>
      <c r="P62" s="4">
        <f>INDEX(Dim_Product!$G$2:$G$4,MATCH(F62,Dim_Product!$A$2:$A$4,0))+-0.23</f>
        <v>64.77</v>
      </c>
      <c r="Q62" s="4">
        <f>IF(AND(P62&gt;=INDEX(Dim_Product!$G$2:$G$4,MATCH(F62,Dim_Product!$A$2:$A$4,0))-INDEX(Dim_Product!$H$2:$H$4,MATCH(F62,Dim_Product!$A$2:$A$4,0)),P62&lt;=INDEX(Dim_Product!$G$2:$G$4,MATCH(F62,Dim_Product!$A$2:$A$4,0))+INDEX(Dim_Product!$H$2:$H$4,MATCH(F62,Dim_Product!$A$2:$A$4,0))),G62-H62,G62-H62-1)</f>
        <v>31</v>
      </c>
      <c r="R62" s="4">
        <f t="shared" si="4"/>
        <v>1</v>
      </c>
      <c r="S62" s="4">
        <f>INDEX(Dim_Product!$K$2:$K$4,MATCH(F62,Dim_Product!$A$2:$A$4,0))+-0.04</f>
        <v>109.96</v>
      </c>
      <c r="T62" s="4">
        <f>IF(AND(S62&gt;=INDEX(Dim_Product!$K$2:$K$4,MATCH(F62,Dim_Product!$A$2:$A$4,0))-INDEX(Dim_Product!$L$2:$L$4,MATCH(F62,Dim_Product!$A$2:$A$4,0)),S62&lt;=INDEX(Dim_Product!$K$2:$K$4,MATCH(F62,Dim_Product!$A$2:$A$4,0))+INDEX(Dim_Product!$L$2:$L$4,MATCH(F62,Dim_Product!$A$2:$A$4,0))),G62-H62,G62-H62-1)</f>
        <v>31</v>
      </c>
      <c r="U62" s="4">
        <f t="shared" si="5"/>
        <v>1</v>
      </c>
      <c r="V62" s="4">
        <f t="shared" si="6"/>
        <v>3.125E-2</v>
      </c>
      <c r="W62" s="19">
        <f t="shared" si="7"/>
        <v>0.96875</v>
      </c>
    </row>
    <row r="63" spans="1:23" x14ac:dyDescent="0.25">
      <c r="A63" s="18" t="s">
        <v>564</v>
      </c>
      <c r="B63" s="4">
        <f>Fact_Production_Hourly!B63</f>
        <v>20260701</v>
      </c>
      <c r="C63" s="4">
        <f>Fact_Production_Hourly!C63</f>
        <v>8</v>
      </c>
      <c r="D63" s="4" t="str">
        <f>Fact_Production_Hourly!D63</f>
        <v>M6</v>
      </c>
      <c r="E63" s="4" t="str">
        <f>Fact_Production_Hourly!E63</f>
        <v>A-AM</v>
      </c>
      <c r="F63" s="4" t="str">
        <f>Fact_Production_Hourly!F63</f>
        <v>C</v>
      </c>
      <c r="G63" s="4">
        <f>INDEX(Dim_Machine!$D$2:$D$8,MATCH(D63,Dim_Machine!$A$2:$A$8,0))*2</f>
        <v>24</v>
      </c>
      <c r="H63" s="4">
        <f>ROUND(G63*0.0185,0)</f>
        <v>0</v>
      </c>
      <c r="I63" s="4">
        <f t="shared" si="0"/>
        <v>0</v>
      </c>
      <c r="J63" s="4">
        <f t="shared" si="1"/>
        <v>0</v>
      </c>
      <c r="K63" s="4">
        <f t="shared" si="2"/>
        <v>0</v>
      </c>
      <c r="L63" s="4" t="s">
        <v>498</v>
      </c>
      <c r="M63" s="4">
        <f>INDEX(Dim_Product!$C$2:$C$4,MATCH(F63,Dim_Product!$A$2:$A$4,0))+-0.42</f>
        <v>199.58</v>
      </c>
      <c r="N63" s="4">
        <f>IF(AND(M63&gt;=INDEX(Dim_Product!$C$2:$C$4,MATCH(F63,Dim_Product!$A$2:$A$4,0))-INDEX(Dim_Product!$D$2:$D$4,MATCH(F63,Dim_Product!$A$2:$A$4,0)),M63&lt;=INDEX(Dim_Product!$C$2:$C$4,MATCH(F63,Dim_Product!$A$2:$A$4,0))+INDEX(Dim_Product!$D$2:$D$4,MATCH(F63,Dim_Product!$A$2:$A$4,0))),G63-H63,G63-H63-1)</f>
        <v>24</v>
      </c>
      <c r="O63" s="4">
        <f t="shared" si="3"/>
        <v>0</v>
      </c>
      <c r="P63" s="4">
        <f>INDEX(Dim_Product!$G$2:$G$4,MATCH(F63,Dim_Product!$A$2:$A$4,0))+-0.07</f>
        <v>64.930000000000007</v>
      </c>
      <c r="Q63" s="4">
        <f>IF(AND(P63&gt;=INDEX(Dim_Product!$G$2:$G$4,MATCH(F63,Dim_Product!$A$2:$A$4,0))-INDEX(Dim_Product!$H$2:$H$4,MATCH(F63,Dim_Product!$A$2:$A$4,0)),P63&lt;=INDEX(Dim_Product!$G$2:$G$4,MATCH(F63,Dim_Product!$A$2:$A$4,0))+INDEX(Dim_Product!$H$2:$H$4,MATCH(F63,Dim_Product!$A$2:$A$4,0))),G63-H63,G63-H63-1)</f>
        <v>24</v>
      </c>
      <c r="R63" s="4">
        <f t="shared" si="4"/>
        <v>0</v>
      </c>
      <c r="S63" s="4">
        <f>INDEX(Dim_Product!$K$2:$K$4,MATCH(F63,Dim_Product!$A$2:$A$4,0))+0.09</f>
        <v>110.09</v>
      </c>
      <c r="T63" s="4">
        <f>IF(AND(S63&gt;=INDEX(Dim_Product!$K$2:$K$4,MATCH(F63,Dim_Product!$A$2:$A$4,0))-INDEX(Dim_Product!$L$2:$L$4,MATCH(F63,Dim_Product!$A$2:$A$4,0)),S63&lt;=INDEX(Dim_Product!$K$2:$K$4,MATCH(F63,Dim_Product!$A$2:$A$4,0))+INDEX(Dim_Product!$L$2:$L$4,MATCH(F63,Dim_Product!$A$2:$A$4,0))),G63-H63,G63-H63-1)</f>
        <v>24</v>
      </c>
      <c r="U63" s="4">
        <f t="shared" si="5"/>
        <v>0</v>
      </c>
      <c r="V63" s="4">
        <f t="shared" si="6"/>
        <v>0</v>
      </c>
      <c r="W63" s="19">
        <f t="shared" si="7"/>
        <v>1</v>
      </c>
    </row>
    <row r="64" spans="1:23" x14ac:dyDescent="0.25">
      <c r="A64" s="18" t="s">
        <v>565</v>
      </c>
      <c r="B64" s="4">
        <f>Fact_Production_Hourly!B64</f>
        <v>20260701</v>
      </c>
      <c r="C64" s="4">
        <f>Fact_Production_Hourly!C64</f>
        <v>8</v>
      </c>
      <c r="D64" s="4" t="str">
        <f>Fact_Production_Hourly!D64</f>
        <v>M7</v>
      </c>
      <c r="E64" s="4" t="str">
        <f>Fact_Production_Hourly!E64</f>
        <v>A-AM</v>
      </c>
      <c r="F64" s="4" t="str">
        <f>Fact_Production_Hourly!F64</f>
        <v>C</v>
      </c>
      <c r="G64" s="4">
        <f>INDEX(Dim_Machine!$D$2:$D$8,MATCH(D64,Dim_Machine!$A$2:$A$8,0))*2</f>
        <v>48</v>
      </c>
      <c r="H64" s="4">
        <f>ROUND(G64*0.0249,0)</f>
        <v>1</v>
      </c>
      <c r="I64" s="4">
        <f t="shared" si="0"/>
        <v>0</v>
      </c>
      <c r="J64" s="4">
        <f t="shared" si="1"/>
        <v>0</v>
      </c>
      <c r="K64" s="4">
        <f t="shared" si="2"/>
        <v>1</v>
      </c>
      <c r="L64" s="4" t="s">
        <v>500</v>
      </c>
      <c r="M64" s="4">
        <f>INDEX(Dim_Product!$C$2:$C$4,MATCH(F64,Dim_Product!$A$2:$A$4,0))+0.63</f>
        <v>200.63</v>
      </c>
      <c r="N64" s="4">
        <f>IF(AND(M64&gt;=INDEX(Dim_Product!$C$2:$C$4,MATCH(F64,Dim_Product!$A$2:$A$4,0))-INDEX(Dim_Product!$D$2:$D$4,MATCH(F64,Dim_Product!$A$2:$A$4,0)),M64&lt;=INDEX(Dim_Product!$C$2:$C$4,MATCH(F64,Dim_Product!$A$2:$A$4,0))+INDEX(Dim_Product!$D$2:$D$4,MATCH(F64,Dim_Product!$A$2:$A$4,0))),G64-H64,G64-H64-1)</f>
        <v>47</v>
      </c>
      <c r="O64" s="4">
        <f t="shared" si="3"/>
        <v>1</v>
      </c>
      <c r="P64" s="4">
        <f>INDEX(Dim_Product!$G$2:$G$4,MATCH(F64,Dim_Product!$A$2:$A$4,0))+0.26</f>
        <v>65.260000000000005</v>
      </c>
      <c r="Q64" s="4">
        <f>IF(AND(P64&gt;=INDEX(Dim_Product!$G$2:$G$4,MATCH(F64,Dim_Product!$A$2:$A$4,0))-INDEX(Dim_Product!$H$2:$H$4,MATCH(F64,Dim_Product!$A$2:$A$4,0)),P64&lt;=INDEX(Dim_Product!$G$2:$G$4,MATCH(F64,Dim_Product!$A$2:$A$4,0))+INDEX(Dim_Product!$H$2:$H$4,MATCH(F64,Dim_Product!$A$2:$A$4,0))),G64-H64,G64-H64-1)</f>
        <v>47</v>
      </c>
      <c r="R64" s="4">
        <f t="shared" si="4"/>
        <v>1</v>
      </c>
      <c r="S64" s="4">
        <f>INDEX(Dim_Product!$K$2:$K$4,MATCH(F64,Dim_Product!$A$2:$A$4,0))+0.18</f>
        <v>110.18</v>
      </c>
      <c r="T64" s="4">
        <f>IF(AND(S64&gt;=INDEX(Dim_Product!$K$2:$K$4,MATCH(F64,Dim_Product!$A$2:$A$4,0))-INDEX(Dim_Product!$L$2:$L$4,MATCH(F64,Dim_Product!$A$2:$A$4,0)),S64&lt;=INDEX(Dim_Product!$K$2:$K$4,MATCH(F64,Dim_Product!$A$2:$A$4,0))+INDEX(Dim_Product!$L$2:$L$4,MATCH(F64,Dim_Product!$A$2:$A$4,0))),G64-H64,G64-H64-1)</f>
        <v>47</v>
      </c>
      <c r="U64" s="4">
        <f t="shared" si="5"/>
        <v>1</v>
      </c>
      <c r="V64" s="4">
        <f t="shared" si="6"/>
        <v>2.0833333333333332E-2</v>
      </c>
      <c r="W64" s="19">
        <f t="shared" si="7"/>
        <v>0.97916666666666663</v>
      </c>
    </row>
    <row r="65" spans="1:23" x14ac:dyDescent="0.25">
      <c r="A65" s="18" t="s">
        <v>566</v>
      </c>
      <c r="B65" s="4">
        <f>Fact_Production_Hourly!B65</f>
        <v>20260701</v>
      </c>
      <c r="C65" s="4">
        <f>Fact_Production_Hourly!C65</f>
        <v>9</v>
      </c>
      <c r="D65" s="4" t="str">
        <f>Fact_Production_Hourly!D65</f>
        <v>M1</v>
      </c>
      <c r="E65" s="4" t="str">
        <f>Fact_Production_Hourly!E65</f>
        <v>A-AM</v>
      </c>
      <c r="F65" s="4" t="str">
        <f>Fact_Production_Hourly!F65</f>
        <v>C</v>
      </c>
      <c r="G65" s="4">
        <f>INDEX(Dim_Machine!$D$2:$D$8,MATCH(D65,Dim_Machine!$A$2:$A$8,0))*2</f>
        <v>32</v>
      </c>
      <c r="H65" s="4">
        <f>ROUND(G65*0.0214,0)</f>
        <v>1</v>
      </c>
      <c r="I65" s="4">
        <f t="shared" si="0"/>
        <v>0</v>
      </c>
      <c r="J65" s="4">
        <f t="shared" si="1"/>
        <v>0</v>
      </c>
      <c r="K65" s="4">
        <f t="shared" si="2"/>
        <v>1</v>
      </c>
      <c r="L65" s="4" t="s">
        <v>500</v>
      </c>
      <c r="M65" s="4">
        <f>INDEX(Dim_Product!$C$2:$C$4,MATCH(F65,Dim_Product!$A$2:$A$4,0))+0</f>
        <v>200</v>
      </c>
      <c r="N65" s="4">
        <f>IF(AND(M65&gt;=INDEX(Dim_Product!$C$2:$C$4,MATCH(F65,Dim_Product!$A$2:$A$4,0))-INDEX(Dim_Product!$D$2:$D$4,MATCH(F65,Dim_Product!$A$2:$A$4,0)),M65&lt;=INDEX(Dim_Product!$C$2:$C$4,MATCH(F65,Dim_Product!$A$2:$A$4,0))+INDEX(Dim_Product!$D$2:$D$4,MATCH(F65,Dim_Product!$A$2:$A$4,0))),G65-H65,G65-H65-1)</f>
        <v>31</v>
      </c>
      <c r="O65" s="4">
        <f t="shared" si="3"/>
        <v>1</v>
      </c>
      <c r="P65" s="4">
        <f>INDEX(Dim_Product!$G$2:$G$4,MATCH(F65,Dim_Product!$A$2:$A$4,0))+0.01</f>
        <v>65.010000000000005</v>
      </c>
      <c r="Q65" s="4">
        <f>IF(AND(P65&gt;=INDEX(Dim_Product!$G$2:$G$4,MATCH(F65,Dim_Product!$A$2:$A$4,0))-INDEX(Dim_Product!$H$2:$H$4,MATCH(F65,Dim_Product!$A$2:$A$4,0)),P65&lt;=INDEX(Dim_Product!$G$2:$G$4,MATCH(F65,Dim_Product!$A$2:$A$4,0))+INDEX(Dim_Product!$H$2:$H$4,MATCH(F65,Dim_Product!$A$2:$A$4,0))),G65-H65,G65-H65-1)</f>
        <v>31</v>
      </c>
      <c r="R65" s="4">
        <f t="shared" si="4"/>
        <v>1</v>
      </c>
      <c r="S65" s="4">
        <f>INDEX(Dim_Product!$K$2:$K$4,MATCH(F65,Dim_Product!$A$2:$A$4,0))+0</f>
        <v>110</v>
      </c>
      <c r="T65" s="4">
        <f>IF(AND(S65&gt;=INDEX(Dim_Product!$K$2:$K$4,MATCH(F65,Dim_Product!$A$2:$A$4,0))-INDEX(Dim_Product!$L$2:$L$4,MATCH(F65,Dim_Product!$A$2:$A$4,0)),S65&lt;=INDEX(Dim_Product!$K$2:$K$4,MATCH(F65,Dim_Product!$A$2:$A$4,0))+INDEX(Dim_Product!$L$2:$L$4,MATCH(F65,Dim_Product!$A$2:$A$4,0))),G65-H65,G65-H65-1)</f>
        <v>31</v>
      </c>
      <c r="U65" s="4">
        <f t="shared" si="5"/>
        <v>1</v>
      </c>
      <c r="V65" s="4">
        <f t="shared" si="6"/>
        <v>3.125E-2</v>
      </c>
      <c r="W65" s="19">
        <f t="shared" si="7"/>
        <v>0.96875</v>
      </c>
    </row>
    <row r="66" spans="1:23" x14ac:dyDescent="0.25">
      <c r="A66" s="18" t="s">
        <v>567</v>
      </c>
      <c r="B66" s="4">
        <f>Fact_Production_Hourly!B66</f>
        <v>20260701</v>
      </c>
      <c r="C66" s="4">
        <f>Fact_Production_Hourly!C66</f>
        <v>9</v>
      </c>
      <c r="D66" s="4" t="str">
        <f>Fact_Production_Hourly!D66</f>
        <v>M2</v>
      </c>
      <c r="E66" s="4" t="str">
        <f>Fact_Production_Hourly!E66</f>
        <v>A-AM</v>
      </c>
      <c r="F66" s="4" t="str">
        <f>Fact_Production_Hourly!F66</f>
        <v>A</v>
      </c>
      <c r="G66" s="4">
        <f>INDEX(Dim_Machine!$D$2:$D$8,MATCH(D66,Dim_Machine!$A$2:$A$8,0))*2</f>
        <v>48</v>
      </c>
      <c r="H66" s="4">
        <f>ROUND(G66*0.0285,0)</f>
        <v>1</v>
      </c>
      <c r="I66" s="4">
        <f t="shared" ref="I66:I129" si="8">ROUND(H66*0.15,0)</f>
        <v>0</v>
      </c>
      <c r="J66" s="4">
        <f t="shared" ref="J66:J129" si="9">ROUND(H66*0.45,0)</f>
        <v>0</v>
      </c>
      <c r="K66" s="4">
        <f t="shared" ref="K66:K129" si="10">MAX(H66-I66-J66,0)</f>
        <v>1</v>
      </c>
      <c r="L66" s="4" t="s">
        <v>498</v>
      </c>
      <c r="M66" s="4">
        <f>INDEX(Dim_Product!$C$2:$C$4,MATCH(F66,Dim_Product!$A$2:$A$4,0))+-0.82</f>
        <v>249.18</v>
      </c>
      <c r="N66" s="4">
        <f>IF(AND(M66&gt;=INDEX(Dim_Product!$C$2:$C$4,MATCH(F66,Dim_Product!$A$2:$A$4,0))-INDEX(Dim_Product!$D$2:$D$4,MATCH(F66,Dim_Product!$A$2:$A$4,0)),M66&lt;=INDEX(Dim_Product!$C$2:$C$4,MATCH(F66,Dim_Product!$A$2:$A$4,0))+INDEX(Dim_Product!$D$2:$D$4,MATCH(F66,Dim_Product!$A$2:$A$4,0))),G66-H66,G66-H66-1)</f>
        <v>47</v>
      </c>
      <c r="O66" s="4">
        <f t="shared" ref="O66:O129" si="11">G66-N66</f>
        <v>1</v>
      </c>
      <c r="P66" s="4">
        <f>INDEX(Dim_Product!$G$2:$G$4,MATCH(F66,Dim_Product!$A$2:$A$4,0))+-0.06</f>
        <v>69.94</v>
      </c>
      <c r="Q66" s="4">
        <f>IF(AND(P66&gt;=INDEX(Dim_Product!$G$2:$G$4,MATCH(F66,Dim_Product!$A$2:$A$4,0))-INDEX(Dim_Product!$H$2:$H$4,MATCH(F66,Dim_Product!$A$2:$A$4,0)),P66&lt;=INDEX(Dim_Product!$G$2:$G$4,MATCH(F66,Dim_Product!$A$2:$A$4,0))+INDEX(Dim_Product!$H$2:$H$4,MATCH(F66,Dim_Product!$A$2:$A$4,0))),G66-H66,G66-H66-1)</f>
        <v>47</v>
      </c>
      <c r="R66" s="4">
        <f t="shared" ref="R66:R129" si="12">G66-Q66</f>
        <v>1</v>
      </c>
      <c r="S66" s="4">
        <f>INDEX(Dim_Product!$K$2:$K$4,MATCH(F66,Dim_Product!$A$2:$A$4,0))+-0.03</f>
        <v>119.97</v>
      </c>
      <c r="T66" s="4">
        <f>IF(AND(S66&gt;=INDEX(Dim_Product!$K$2:$K$4,MATCH(F66,Dim_Product!$A$2:$A$4,0))-INDEX(Dim_Product!$L$2:$L$4,MATCH(F66,Dim_Product!$A$2:$A$4,0)),S66&lt;=INDEX(Dim_Product!$K$2:$K$4,MATCH(F66,Dim_Product!$A$2:$A$4,0))+INDEX(Dim_Product!$L$2:$L$4,MATCH(F66,Dim_Product!$A$2:$A$4,0))),G66-H66,G66-H66-1)</f>
        <v>47</v>
      </c>
      <c r="U66" s="4">
        <f t="shared" ref="U66:U129" si="13">G66-T66</f>
        <v>1</v>
      </c>
      <c r="V66" s="4">
        <f t="shared" ref="V66:V129" si="14">IFERROR(H66/G66,0)</f>
        <v>2.0833333333333332E-2</v>
      </c>
      <c r="W66" s="19">
        <f t="shared" ref="W66:W129" si="15">1-V66</f>
        <v>0.97916666666666663</v>
      </c>
    </row>
    <row r="67" spans="1:23" x14ac:dyDescent="0.25">
      <c r="A67" s="18" t="s">
        <v>568</v>
      </c>
      <c r="B67" s="4">
        <f>Fact_Production_Hourly!B67</f>
        <v>20260701</v>
      </c>
      <c r="C67" s="4">
        <f>Fact_Production_Hourly!C67</f>
        <v>9</v>
      </c>
      <c r="D67" s="4" t="str">
        <f>Fact_Production_Hourly!D67</f>
        <v>M3</v>
      </c>
      <c r="E67" s="4" t="str">
        <f>Fact_Production_Hourly!E67</f>
        <v>A-AM</v>
      </c>
      <c r="F67" s="4" t="str">
        <f>Fact_Production_Hourly!F67</f>
        <v>B</v>
      </c>
      <c r="G67" s="4">
        <f>INDEX(Dim_Machine!$D$2:$D$8,MATCH(D67,Dim_Machine!$A$2:$A$8,0))*2</f>
        <v>24</v>
      </c>
      <c r="H67" s="4">
        <f>ROUND(G67*0.0244,0)</f>
        <v>1</v>
      </c>
      <c r="I67" s="4">
        <f t="shared" si="8"/>
        <v>0</v>
      </c>
      <c r="J67" s="4">
        <f t="shared" si="9"/>
        <v>0</v>
      </c>
      <c r="K67" s="4">
        <f t="shared" si="10"/>
        <v>1</v>
      </c>
      <c r="L67" s="4" t="s">
        <v>509</v>
      </c>
      <c r="M67" s="4">
        <f>INDEX(Dim_Product!$C$2:$C$4,MATCH(F67,Dim_Product!$A$2:$A$4,0))+-0.29</f>
        <v>299.70999999999998</v>
      </c>
      <c r="N67" s="4">
        <f>IF(AND(M67&gt;=INDEX(Dim_Product!$C$2:$C$4,MATCH(F67,Dim_Product!$A$2:$A$4,0))-INDEX(Dim_Product!$D$2:$D$4,MATCH(F67,Dim_Product!$A$2:$A$4,0)),M67&lt;=INDEX(Dim_Product!$C$2:$C$4,MATCH(F67,Dim_Product!$A$2:$A$4,0))+INDEX(Dim_Product!$D$2:$D$4,MATCH(F67,Dim_Product!$A$2:$A$4,0))),G67-H67,G67-H67-1)</f>
        <v>23</v>
      </c>
      <c r="O67" s="4">
        <f t="shared" si="11"/>
        <v>1</v>
      </c>
      <c r="P67" s="4">
        <f>INDEX(Dim_Product!$G$2:$G$4,MATCH(F67,Dim_Product!$A$2:$A$4,0))+-0.27</f>
        <v>74.73</v>
      </c>
      <c r="Q67" s="4">
        <f>IF(AND(P67&gt;=INDEX(Dim_Product!$G$2:$G$4,MATCH(F67,Dim_Product!$A$2:$A$4,0))-INDEX(Dim_Product!$H$2:$H$4,MATCH(F67,Dim_Product!$A$2:$A$4,0)),P67&lt;=INDEX(Dim_Product!$G$2:$G$4,MATCH(F67,Dim_Product!$A$2:$A$4,0))+INDEX(Dim_Product!$H$2:$H$4,MATCH(F67,Dim_Product!$A$2:$A$4,0))),G67-H67,G67-H67-1)</f>
        <v>23</v>
      </c>
      <c r="R67" s="4">
        <f t="shared" si="12"/>
        <v>1</v>
      </c>
      <c r="S67" s="4">
        <f>INDEX(Dim_Product!$K$2:$K$4,MATCH(F67,Dim_Product!$A$2:$A$4,0))+0</f>
        <v>130</v>
      </c>
      <c r="T67" s="4">
        <f>IF(AND(S67&gt;=INDEX(Dim_Product!$K$2:$K$4,MATCH(F67,Dim_Product!$A$2:$A$4,0))-INDEX(Dim_Product!$L$2:$L$4,MATCH(F67,Dim_Product!$A$2:$A$4,0)),S67&lt;=INDEX(Dim_Product!$K$2:$K$4,MATCH(F67,Dim_Product!$A$2:$A$4,0))+INDEX(Dim_Product!$L$2:$L$4,MATCH(F67,Dim_Product!$A$2:$A$4,0))),G67-H67,G67-H67-1)</f>
        <v>23</v>
      </c>
      <c r="U67" s="4">
        <f t="shared" si="13"/>
        <v>1</v>
      </c>
      <c r="V67" s="4">
        <f t="shared" si="14"/>
        <v>4.1666666666666664E-2</v>
      </c>
      <c r="W67" s="19">
        <f t="shared" si="15"/>
        <v>0.95833333333333337</v>
      </c>
    </row>
    <row r="68" spans="1:23" x14ac:dyDescent="0.25">
      <c r="A68" s="18" t="s">
        <v>569</v>
      </c>
      <c r="B68" s="4">
        <f>Fact_Production_Hourly!B68</f>
        <v>20260701</v>
      </c>
      <c r="C68" s="4">
        <f>Fact_Production_Hourly!C68</f>
        <v>9</v>
      </c>
      <c r="D68" s="4" t="str">
        <f>Fact_Production_Hourly!D68</f>
        <v>M4</v>
      </c>
      <c r="E68" s="4" t="str">
        <f>Fact_Production_Hourly!E68</f>
        <v>A-AM</v>
      </c>
      <c r="F68" s="4" t="str">
        <f>Fact_Production_Hourly!F68</f>
        <v>A</v>
      </c>
      <c r="G68" s="4">
        <f>INDEX(Dim_Machine!$D$2:$D$8,MATCH(D68,Dim_Machine!$A$2:$A$8,0))*2</f>
        <v>48</v>
      </c>
      <c r="H68" s="4">
        <f>ROUND(G68*0.0629,0)</f>
        <v>3</v>
      </c>
      <c r="I68" s="4">
        <f t="shared" si="8"/>
        <v>0</v>
      </c>
      <c r="J68" s="4">
        <f t="shared" si="9"/>
        <v>1</v>
      </c>
      <c r="K68" s="4">
        <f t="shared" si="10"/>
        <v>2</v>
      </c>
      <c r="L68" s="4" t="s">
        <v>520</v>
      </c>
      <c r="M68" s="4">
        <f>INDEX(Dim_Product!$C$2:$C$4,MATCH(F68,Dim_Product!$A$2:$A$4,0))+0.35</f>
        <v>250.35</v>
      </c>
      <c r="N68" s="4">
        <f>IF(AND(M68&gt;=INDEX(Dim_Product!$C$2:$C$4,MATCH(F68,Dim_Product!$A$2:$A$4,0))-INDEX(Dim_Product!$D$2:$D$4,MATCH(F68,Dim_Product!$A$2:$A$4,0)),M68&lt;=INDEX(Dim_Product!$C$2:$C$4,MATCH(F68,Dim_Product!$A$2:$A$4,0))+INDEX(Dim_Product!$D$2:$D$4,MATCH(F68,Dim_Product!$A$2:$A$4,0))),G68-H68,G68-H68-1)</f>
        <v>45</v>
      </c>
      <c r="O68" s="4">
        <f t="shared" si="11"/>
        <v>3</v>
      </c>
      <c r="P68" s="4">
        <f>INDEX(Dim_Product!$G$2:$G$4,MATCH(F68,Dim_Product!$A$2:$A$4,0))+-0.13</f>
        <v>69.87</v>
      </c>
      <c r="Q68" s="4">
        <f>IF(AND(P68&gt;=INDEX(Dim_Product!$G$2:$G$4,MATCH(F68,Dim_Product!$A$2:$A$4,0))-INDEX(Dim_Product!$H$2:$H$4,MATCH(F68,Dim_Product!$A$2:$A$4,0)),P68&lt;=INDEX(Dim_Product!$G$2:$G$4,MATCH(F68,Dim_Product!$A$2:$A$4,0))+INDEX(Dim_Product!$H$2:$H$4,MATCH(F68,Dim_Product!$A$2:$A$4,0))),G68-H68,G68-H68-1)</f>
        <v>45</v>
      </c>
      <c r="R68" s="4">
        <f t="shared" si="12"/>
        <v>3</v>
      </c>
      <c r="S68" s="4">
        <f>INDEX(Dim_Product!$K$2:$K$4,MATCH(F68,Dim_Product!$A$2:$A$4,0))+-0.39</f>
        <v>119.61</v>
      </c>
      <c r="T68" s="4">
        <f>IF(AND(S68&gt;=INDEX(Dim_Product!$K$2:$K$4,MATCH(F68,Dim_Product!$A$2:$A$4,0))-INDEX(Dim_Product!$L$2:$L$4,MATCH(F68,Dim_Product!$A$2:$A$4,0)),S68&lt;=INDEX(Dim_Product!$K$2:$K$4,MATCH(F68,Dim_Product!$A$2:$A$4,0))+INDEX(Dim_Product!$L$2:$L$4,MATCH(F68,Dim_Product!$A$2:$A$4,0))),G68-H68,G68-H68-1)</f>
        <v>45</v>
      </c>
      <c r="U68" s="4">
        <f t="shared" si="13"/>
        <v>3</v>
      </c>
      <c r="V68" s="4">
        <f t="shared" si="14"/>
        <v>6.25E-2</v>
      </c>
      <c r="W68" s="19">
        <f t="shared" si="15"/>
        <v>0.9375</v>
      </c>
    </row>
    <row r="69" spans="1:23" x14ac:dyDescent="0.25">
      <c r="A69" s="18" t="s">
        <v>570</v>
      </c>
      <c r="B69" s="4">
        <f>Fact_Production_Hourly!B69</f>
        <v>20260701</v>
      </c>
      <c r="C69" s="4">
        <f>Fact_Production_Hourly!C69</f>
        <v>9</v>
      </c>
      <c r="D69" s="4" t="str">
        <f>Fact_Production_Hourly!D69</f>
        <v>M5</v>
      </c>
      <c r="E69" s="4" t="str">
        <f>Fact_Production_Hourly!E69</f>
        <v>A-AM</v>
      </c>
      <c r="F69" s="4" t="str">
        <f>Fact_Production_Hourly!F69</f>
        <v>C</v>
      </c>
      <c r="G69" s="4">
        <f>INDEX(Dim_Machine!$D$2:$D$8,MATCH(D69,Dim_Machine!$A$2:$A$8,0))*2</f>
        <v>32</v>
      </c>
      <c r="H69" s="4">
        <f>ROUND(G69*0.0164,0)</f>
        <v>1</v>
      </c>
      <c r="I69" s="4">
        <f t="shared" si="8"/>
        <v>0</v>
      </c>
      <c r="J69" s="4">
        <f t="shared" si="9"/>
        <v>0</v>
      </c>
      <c r="K69" s="4">
        <f t="shared" si="10"/>
        <v>1</v>
      </c>
      <c r="L69" s="4" t="s">
        <v>500</v>
      </c>
      <c r="M69" s="4">
        <f>INDEX(Dim_Product!$C$2:$C$4,MATCH(F69,Dim_Product!$A$2:$A$4,0))+0.76</f>
        <v>200.76</v>
      </c>
      <c r="N69" s="4">
        <f>IF(AND(M69&gt;=INDEX(Dim_Product!$C$2:$C$4,MATCH(F69,Dim_Product!$A$2:$A$4,0))-INDEX(Dim_Product!$D$2:$D$4,MATCH(F69,Dim_Product!$A$2:$A$4,0)),M69&lt;=INDEX(Dim_Product!$C$2:$C$4,MATCH(F69,Dim_Product!$A$2:$A$4,0))+INDEX(Dim_Product!$D$2:$D$4,MATCH(F69,Dim_Product!$A$2:$A$4,0))),G69-H69,G69-H69-1)</f>
        <v>31</v>
      </c>
      <c r="O69" s="4">
        <f t="shared" si="11"/>
        <v>1</v>
      </c>
      <c r="P69" s="4">
        <f>INDEX(Dim_Product!$G$2:$G$4,MATCH(F69,Dim_Product!$A$2:$A$4,0))+0.14</f>
        <v>65.14</v>
      </c>
      <c r="Q69" s="4">
        <f>IF(AND(P69&gt;=INDEX(Dim_Product!$G$2:$G$4,MATCH(F69,Dim_Product!$A$2:$A$4,0))-INDEX(Dim_Product!$H$2:$H$4,MATCH(F69,Dim_Product!$A$2:$A$4,0)),P69&lt;=INDEX(Dim_Product!$G$2:$G$4,MATCH(F69,Dim_Product!$A$2:$A$4,0))+INDEX(Dim_Product!$H$2:$H$4,MATCH(F69,Dim_Product!$A$2:$A$4,0))),G69-H69,G69-H69-1)</f>
        <v>31</v>
      </c>
      <c r="R69" s="4">
        <f t="shared" si="12"/>
        <v>1</v>
      </c>
      <c r="S69" s="4">
        <f>INDEX(Dim_Product!$K$2:$K$4,MATCH(F69,Dim_Product!$A$2:$A$4,0))+0.21</f>
        <v>110.21</v>
      </c>
      <c r="T69" s="4">
        <f>IF(AND(S69&gt;=INDEX(Dim_Product!$K$2:$K$4,MATCH(F69,Dim_Product!$A$2:$A$4,0))-INDEX(Dim_Product!$L$2:$L$4,MATCH(F69,Dim_Product!$A$2:$A$4,0)),S69&lt;=INDEX(Dim_Product!$K$2:$K$4,MATCH(F69,Dim_Product!$A$2:$A$4,0))+INDEX(Dim_Product!$L$2:$L$4,MATCH(F69,Dim_Product!$A$2:$A$4,0))),G69-H69,G69-H69-1)</f>
        <v>31</v>
      </c>
      <c r="U69" s="4">
        <f t="shared" si="13"/>
        <v>1</v>
      </c>
      <c r="V69" s="4">
        <f t="shared" si="14"/>
        <v>3.125E-2</v>
      </c>
      <c r="W69" s="19">
        <f t="shared" si="15"/>
        <v>0.96875</v>
      </c>
    </row>
    <row r="70" spans="1:23" x14ac:dyDescent="0.25">
      <c r="A70" s="18" t="s">
        <v>571</v>
      </c>
      <c r="B70" s="4">
        <f>Fact_Production_Hourly!B70</f>
        <v>20260701</v>
      </c>
      <c r="C70" s="4">
        <f>Fact_Production_Hourly!C70</f>
        <v>9</v>
      </c>
      <c r="D70" s="4" t="str">
        <f>Fact_Production_Hourly!D70</f>
        <v>M6</v>
      </c>
      <c r="E70" s="4" t="str">
        <f>Fact_Production_Hourly!E70</f>
        <v>A-AM</v>
      </c>
      <c r="F70" s="4" t="str">
        <f>Fact_Production_Hourly!F70</f>
        <v>C</v>
      </c>
      <c r="G70" s="4">
        <f>INDEX(Dim_Machine!$D$2:$D$8,MATCH(D70,Dim_Machine!$A$2:$A$8,0))*2</f>
        <v>24</v>
      </c>
      <c r="H70" s="4">
        <f>ROUND(G70*0.032,0)</f>
        <v>1</v>
      </c>
      <c r="I70" s="4">
        <f t="shared" si="8"/>
        <v>0</v>
      </c>
      <c r="J70" s="4">
        <f t="shared" si="9"/>
        <v>0</v>
      </c>
      <c r="K70" s="4">
        <f t="shared" si="10"/>
        <v>1</v>
      </c>
      <c r="L70" s="4" t="s">
        <v>503</v>
      </c>
      <c r="M70" s="4">
        <f>INDEX(Dim_Product!$C$2:$C$4,MATCH(F70,Dim_Product!$A$2:$A$4,0))+-0.9</f>
        <v>199.1</v>
      </c>
      <c r="N70" s="4">
        <f>IF(AND(M70&gt;=INDEX(Dim_Product!$C$2:$C$4,MATCH(F70,Dim_Product!$A$2:$A$4,0))-INDEX(Dim_Product!$D$2:$D$4,MATCH(F70,Dim_Product!$A$2:$A$4,0)),M70&lt;=INDEX(Dim_Product!$C$2:$C$4,MATCH(F70,Dim_Product!$A$2:$A$4,0))+INDEX(Dim_Product!$D$2:$D$4,MATCH(F70,Dim_Product!$A$2:$A$4,0))),G70-H70,G70-H70-1)</f>
        <v>23</v>
      </c>
      <c r="O70" s="4">
        <f t="shared" si="11"/>
        <v>1</v>
      </c>
      <c r="P70" s="4">
        <f>INDEX(Dim_Product!$G$2:$G$4,MATCH(F70,Dim_Product!$A$2:$A$4,0))+0.04</f>
        <v>65.040000000000006</v>
      </c>
      <c r="Q70" s="4">
        <f>IF(AND(P70&gt;=INDEX(Dim_Product!$G$2:$G$4,MATCH(F70,Dim_Product!$A$2:$A$4,0))-INDEX(Dim_Product!$H$2:$H$4,MATCH(F70,Dim_Product!$A$2:$A$4,0)),P70&lt;=INDEX(Dim_Product!$G$2:$G$4,MATCH(F70,Dim_Product!$A$2:$A$4,0))+INDEX(Dim_Product!$H$2:$H$4,MATCH(F70,Dim_Product!$A$2:$A$4,0))),G70-H70,G70-H70-1)</f>
        <v>23</v>
      </c>
      <c r="R70" s="4">
        <f t="shared" si="12"/>
        <v>1</v>
      </c>
      <c r="S70" s="4">
        <f>INDEX(Dim_Product!$K$2:$K$4,MATCH(F70,Dim_Product!$A$2:$A$4,0))+-0.11</f>
        <v>109.89</v>
      </c>
      <c r="T70" s="4">
        <f>IF(AND(S70&gt;=INDEX(Dim_Product!$K$2:$K$4,MATCH(F70,Dim_Product!$A$2:$A$4,0))-INDEX(Dim_Product!$L$2:$L$4,MATCH(F70,Dim_Product!$A$2:$A$4,0)),S70&lt;=INDEX(Dim_Product!$K$2:$K$4,MATCH(F70,Dim_Product!$A$2:$A$4,0))+INDEX(Dim_Product!$L$2:$L$4,MATCH(F70,Dim_Product!$A$2:$A$4,0))),G70-H70,G70-H70-1)</f>
        <v>23</v>
      </c>
      <c r="U70" s="4">
        <f t="shared" si="13"/>
        <v>1</v>
      </c>
      <c r="V70" s="4">
        <f t="shared" si="14"/>
        <v>4.1666666666666664E-2</v>
      </c>
      <c r="W70" s="19">
        <f t="shared" si="15"/>
        <v>0.95833333333333337</v>
      </c>
    </row>
    <row r="71" spans="1:23" x14ac:dyDescent="0.25">
      <c r="A71" s="18" t="s">
        <v>572</v>
      </c>
      <c r="B71" s="4">
        <f>Fact_Production_Hourly!B71</f>
        <v>20260701</v>
      </c>
      <c r="C71" s="4">
        <f>Fact_Production_Hourly!C71</f>
        <v>9</v>
      </c>
      <c r="D71" s="4" t="str">
        <f>Fact_Production_Hourly!D71</f>
        <v>M7</v>
      </c>
      <c r="E71" s="4" t="str">
        <f>Fact_Production_Hourly!E71</f>
        <v>A-AM</v>
      </c>
      <c r="F71" s="4" t="str">
        <f>Fact_Production_Hourly!F71</f>
        <v>C</v>
      </c>
      <c r="G71" s="4">
        <f>INDEX(Dim_Machine!$D$2:$D$8,MATCH(D71,Dim_Machine!$A$2:$A$8,0))*2</f>
        <v>48</v>
      </c>
      <c r="H71" s="4">
        <f>ROUND(G71*0.0273,0)</f>
        <v>1</v>
      </c>
      <c r="I71" s="4">
        <f t="shared" si="8"/>
        <v>0</v>
      </c>
      <c r="J71" s="4">
        <f t="shared" si="9"/>
        <v>0</v>
      </c>
      <c r="K71" s="4">
        <f t="shared" si="10"/>
        <v>1</v>
      </c>
      <c r="L71" s="4" t="s">
        <v>503</v>
      </c>
      <c r="M71" s="4">
        <f>INDEX(Dim_Product!$C$2:$C$4,MATCH(F71,Dim_Product!$A$2:$A$4,0))+0.01</f>
        <v>200.01</v>
      </c>
      <c r="N71" s="4">
        <f>IF(AND(M71&gt;=INDEX(Dim_Product!$C$2:$C$4,MATCH(F71,Dim_Product!$A$2:$A$4,0))-INDEX(Dim_Product!$D$2:$D$4,MATCH(F71,Dim_Product!$A$2:$A$4,0)),M71&lt;=INDEX(Dim_Product!$C$2:$C$4,MATCH(F71,Dim_Product!$A$2:$A$4,0))+INDEX(Dim_Product!$D$2:$D$4,MATCH(F71,Dim_Product!$A$2:$A$4,0))),G71-H71,G71-H71-1)</f>
        <v>47</v>
      </c>
      <c r="O71" s="4">
        <f t="shared" si="11"/>
        <v>1</v>
      </c>
      <c r="P71" s="4">
        <f>INDEX(Dim_Product!$G$2:$G$4,MATCH(F71,Dim_Product!$A$2:$A$4,0))+0.16</f>
        <v>65.16</v>
      </c>
      <c r="Q71" s="4">
        <f>IF(AND(P71&gt;=INDEX(Dim_Product!$G$2:$G$4,MATCH(F71,Dim_Product!$A$2:$A$4,0))-INDEX(Dim_Product!$H$2:$H$4,MATCH(F71,Dim_Product!$A$2:$A$4,0)),P71&lt;=INDEX(Dim_Product!$G$2:$G$4,MATCH(F71,Dim_Product!$A$2:$A$4,0))+INDEX(Dim_Product!$H$2:$H$4,MATCH(F71,Dim_Product!$A$2:$A$4,0))),G71-H71,G71-H71-1)</f>
        <v>47</v>
      </c>
      <c r="R71" s="4">
        <f t="shared" si="12"/>
        <v>1</v>
      </c>
      <c r="S71" s="4">
        <f>INDEX(Dim_Product!$K$2:$K$4,MATCH(F71,Dim_Product!$A$2:$A$4,0))+-0.18</f>
        <v>109.82</v>
      </c>
      <c r="T71" s="4">
        <f>IF(AND(S71&gt;=INDEX(Dim_Product!$K$2:$K$4,MATCH(F71,Dim_Product!$A$2:$A$4,0))-INDEX(Dim_Product!$L$2:$L$4,MATCH(F71,Dim_Product!$A$2:$A$4,0)),S71&lt;=INDEX(Dim_Product!$K$2:$K$4,MATCH(F71,Dim_Product!$A$2:$A$4,0))+INDEX(Dim_Product!$L$2:$L$4,MATCH(F71,Dim_Product!$A$2:$A$4,0))),G71-H71,G71-H71-1)</f>
        <v>47</v>
      </c>
      <c r="U71" s="4">
        <f t="shared" si="13"/>
        <v>1</v>
      </c>
      <c r="V71" s="4">
        <f t="shared" si="14"/>
        <v>2.0833333333333332E-2</v>
      </c>
      <c r="W71" s="19">
        <f t="shared" si="15"/>
        <v>0.97916666666666663</v>
      </c>
    </row>
    <row r="72" spans="1:23" x14ac:dyDescent="0.25">
      <c r="A72" s="18" t="s">
        <v>573</v>
      </c>
      <c r="B72" s="4">
        <f>Fact_Production_Hourly!B72</f>
        <v>20260701</v>
      </c>
      <c r="C72" s="4">
        <f>Fact_Production_Hourly!C72</f>
        <v>10</v>
      </c>
      <c r="D72" s="4" t="str">
        <f>Fact_Production_Hourly!D72</f>
        <v>M1</v>
      </c>
      <c r="E72" s="4" t="str">
        <f>Fact_Production_Hourly!E72</f>
        <v>A-AM</v>
      </c>
      <c r="F72" s="4" t="str">
        <f>Fact_Production_Hourly!F72</f>
        <v>C</v>
      </c>
      <c r="G72" s="4">
        <f>INDEX(Dim_Machine!$D$2:$D$8,MATCH(D72,Dim_Machine!$A$2:$A$8,0))*2</f>
        <v>32</v>
      </c>
      <c r="H72" s="4">
        <f>ROUND(G72*0.0693,0)</f>
        <v>2</v>
      </c>
      <c r="I72" s="4">
        <f t="shared" si="8"/>
        <v>0</v>
      </c>
      <c r="J72" s="4">
        <f t="shared" si="9"/>
        <v>1</v>
      </c>
      <c r="K72" s="4">
        <f t="shared" si="10"/>
        <v>1</v>
      </c>
      <c r="L72" s="4" t="s">
        <v>520</v>
      </c>
      <c r="M72" s="4">
        <f>INDEX(Dim_Product!$C$2:$C$4,MATCH(F72,Dim_Product!$A$2:$A$4,0))+0.22</f>
        <v>200.22</v>
      </c>
      <c r="N72" s="4">
        <f>IF(AND(M72&gt;=INDEX(Dim_Product!$C$2:$C$4,MATCH(F72,Dim_Product!$A$2:$A$4,0))-INDEX(Dim_Product!$D$2:$D$4,MATCH(F72,Dim_Product!$A$2:$A$4,0)),M72&lt;=INDEX(Dim_Product!$C$2:$C$4,MATCH(F72,Dim_Product!$A$2:$A$4,0))+INDEX(Dim_Product!$D$2:$D$4,MATCH(F72,Dim_Product!$A$2:$A$4,0))),G72-H72,G72-H72-1)</f>
        <v>30</v>
      </c>
      <c r="O72" s="4">
        <f t="shared" si="11"/>
        <v>2</v>
      </c>
      <c r="P72" s="4">
        <f>INDEX(Dim_Product!$G$2:$G$4,MATCH(F72,Dim_Product!$A$2:$A$4,0))+-0.22</f>
        <v>64.78</v>
      </c>
      <c r="Q72" s="4">
        <f>IF(AND(P72&gt;=INDEX(Dim_Product!$G$2:$G$4,MATCH(F72,Dim_Product!$A$2:$A$4,0))-INDEX(Dim_Product!$H$2:$H$4,MATCH(F72,Dim_Product!$A$2:$A$4,0)),P72&lt;=INDEX(Dim_Product!$G$2:$G$4,MATCH(F72,Dim_Product!$A$2:$A$4,0))+INDEX(Dim_Product!$H$2:$H$4,MATCH(F72,Dim_Product!$A$2:$A$4,0))),G72-H72,G72-H72-1)</f>
        <v>30</v>
      </c>
      <c r="R72" s="4">
        <f t="shared" si="12"/>
        <v>2</v>
      </c>
      <c r="S72" s="4">
        <f>INDEX(Dim_Product!$K$2:$K$4,MATCH(F72,Dim_Product!$A$2:$A$4,0))+-0.32</f>
        <v>109.68</v>
      </c>
      <c r="T72" s="4">
        <f>IF(AND(S72&gt;=INDEX(Dim_Product!$K$2:$K$4,MATCH(F72,Dim_Product!$A$2:$A$4,0))-INDEX(Dim_Product!$L$2:$L$4,MATCH(F72,Dim_Product!$A$2:$A$4,0)),S72&lt;=INDEX(Dim_Product!$K$2:$K$4,MATCH(F72,Dim_Product!$A$2:$A$4,0))+INDEX(Dim_Product!$L$2:$L$4,MATCH(F72,Dim_Product!$A$2:$A$4,0))),G72-H72,G72-H72-1)</f>
        <v>30</v>
      </c>
      <c r="U72" s="4">
        <f t="shared" si="13"/>
        <v>2</v>
      </c>
      <c r="V72" s="4">
        <f t="shared" si="14"/>
        <v>6.25E-2</v>
      </c>
      <c r="W72" s="19">
        <f t="shared" si="15"/>
        <v>0.9375</v>
      </c>
    </row>
    <row r="73" spans="1:23" x14ac:dyDescent="0.25">
      <c r="A73" s="18" t="s">
        <v>574</v>
      </c>
      <c r="B73" s="4">
        <f>Fact_Production_Hourly!B73</f>
        <v>20260701</v>
      </c>
      <c r="C73" s="4">
        <f>Fact_Production_Hourly!C73</f>
        <v>10</v>
      </c>
      <c r="D73" s="4" t="str">
        <f>Fact_Production_Hourly!D73</f>
        <v>M2</v>
      </c>
      <c r="E73" s="4" t="str">
        <f>Fact_Production_Hourly!E73</f>
        <v>A-AM</v>
      </c>
      <c r="F73" s="4" t="str">
        <f>Fact_Production_Hourly!F73</f>
        <v>A</v>
      </c>
      <c r="G73" s="4">
        <f>INDEX(Dim_Machine!$D$2:$D$8,MATCH(D73,Dim_Machine!$A$2:$A$8,0))*2</f>
        <v>48</v>
      </c>
      <c r="H73" s="4">
        <f>ROUND(G73*0.0324,0)</f>
        <v>2</v>
      </c>
      <c r="I73" s="4">
        <f t="shared" si="8"/>
        <v>0</v>
      </c>
      <c r="J73" s="4">
        <f t="shared" si="9"/>
        <v>1</v>
      </c>
      <c r="K73" s="4">
        <f t="shared" si="10"/>
        <v>1</v>
      </c>
      <c r="L73" s="4" t="s">
        <v>517</v>
      </c>
      <c r="M73" s="4">
        <f>INDEX(Dim_Product!$C$2:$C$4,MATCH(F73,Dim_Product!$A$2:$A$4,0))+0.12</f>
        <v>250.12</v>
      </c>
      <c r="N73" s="4">
        <f>IF(AND(M73&gt;=INDEX(Dim_Product!$C$2:$C$4,MATCH(F73,Dim_Product!$A$2:$A$4,0))-INDEX(Dim_Product!$D$2:$D$4,MATCH(F73,Dim_Product!$A$2:$A$4,0)),M73&lt;=INDEX(Dim_Product!$C$2:$C$4,MATCH(F73,Dim_Product!$A$2:$A$4,0))+INDEX(Dim_Product!$D$2:$D$4,MATCH(F73,Dim_Product!$A$2:$A$4,0))),G73-H73,G73-H73-1)</f>
        <v>46</v>
      </c>
      <c r="O73" s="4">
        <f t="shared" si="11"/>
        <v>2</v>
      </c>
      <c r="P73" s="4">
        <f>INDEX(Dim_Product!$G$2:$G$4,MATCH(F73,Dim_Product!$A$2:$A$4,0))+-0.08</f>
        <v>69.92</v>
      </c>
      <c r="Q73" s="4">
        <f>IF(AND(P73&gt;=INDEX(Dim_Product!$G$2:$G$4,MATCH(F73,Dim_Product!$A$2:$A$4,0))-INDEX(Dim_Product!$H$2:$H$4,MATCH(F73,Dim_Product!$A$2:$A$4,0)),P73&lt;=INDEX(Dim_Product!$G$2:$G$4,MATCH(F73,Dim_Product!$A$2:$A$4,0))+INDEX(Dim_Product!$H$2:$H$4,MATCH(F73,Dim_Product!$A$2:$A$4,0))),G73-H73,G73-H73-1)</f>
        <v>46</v>
      </c>
      <c r="R73" s="4">
        <f t="shared" si="12"/>
        <v>2</v>
      </c>
      <c r="S73" s="4">
        <f>INDEX(Dim_Product!$K$2:$K$4,MATCH(F73,Dim_Product!$A$2:$A$4,0))+-0.28</f>
        <v>119.72</v>
      </c>
      <c r="T73" s="4">
        <f>IF(AND(S73&gt;=INDEX(Dim_Product!$K$2:$K$4,MATCH(F73,Dim_Product!$A$2:$A$4,0))-INDEX(Dim_Product!$L$2:$L$4,MATCH(F73,Dim_Product!$A$2:$A$4,0)),S73&lt;=INDEX(Dim_Product!$K$2:$K$4,MATCH(F73,Dim_Product!$A$2:$A$4,0))+INDEX(Dim_Product!$L$2:$L$4,MATCH(F73,Dim_Product!$A$2:$A$4,0))),G73-H73,G73-H73-1)</f>
        <v>46</v>
      </c>
      <c r="U73" s="4">
        <f t="shared" si="13"/>
        <v>2</v>
      </c>
      <c r="V73" s="4">
        <f t="shared" si="14"/>
        <v>4.1666666666666664E-2</v>
      </c>
      <c r="W73" s="19">
        <f t="shared" si="15"/>
        <v>0.95833333333333337</v>
      </c>
    </row>
    <row r="74" spans="1:23" x14ac:dyDescent="0.25">
      <c r="A74" s="18" t="s">
        <v>575</v>
      </c>
      <c r="B74" s="4">
        <f>Fact_Production_Hourly!B74</f>
        <v>20260701</v>
      </c>
      <c r="C74" s="4">
        <f>Fact_Production_Hourly!C74</f>
        <v>10</v>
      </c>
      <c r="D74" s="4" t="str">
        <f>Fact_Production_Hourly!D74</f>
        <v>M3</v>
      </c>
      <c r="E74" s="4" t="str">
        <f>Fact_Production_Hourly!E74</f>
        <v>A-AM</v>
      </c>
      <c r="F74" s="4" t="str">
        <f>Fact_Production_Hourly!F74</f>
        <v>B</v>
      </c>
      <c r="G74" s="4">
        <f>INDEX(Dim_Machine!$D$2:$D$8,MATCH(D74,Dim_Machine!$A$2:$A$8,0))*2</f>
        <v>24</v>
      </c>
      <c r="H74" s="4">
        <f>ROUND(G74*0.0461,0)</f>
        <v>1</v>
      </c>
      <c r="I74" s="4">
        <f t="shared" si="8"/>
        <v>0</v>
      </c>
      <c r="J74" s="4">
        <f t="shared" si="9"/>
        <v>0</v>
      </c>
      <c r="K74" s="4">
        <f t="shared" si="10"/>
        <v>1</v>
      </c>
      <c r="L74" s="4" t="s">
        <v>503</v>
      </c>
      <c r="M74" s="4">
        <f>INDEX(Dim_Product!$C$2:$C$4,MATCH(F74,Dim_Product!$A$2:$A$4,0))+0</f>
        <v>300</v>
      </c>
      <c r="N74" s="4">
        <f>IF(AND(M74&gt;=INDEX(Dim_Product!$C$2:$C$4,MATCH(F74,Dim_Product!$A$2:$A$4,0))-INDEX(Dim_Product!$D$2:$D$4,MATCH(F74,Dim_Product!$A$2:$A$4,0)),M74&lt;=INDEX(Dim_Product!$C$2:$C$4,MATCH(F74,Dim_Product!$A$2:$A$4,0))+INDEX(Dim_Product!$D$2:$D$4,MATCH(F74,Dim_Product!$A$2:$A$4,0))),G74-H74,G74-H74-1)</f>
        <v>23</v>
      </c>
      <c r="O74" s="4">
        <f t="shared" si="11"/>
        <v>1</v>
      </c>
      <c r="P74" s="4">
        <f>INDEX(Dim_Product!$G$2:$G$4,MATCH(F74,Dim_Product!$A$2:$A$4,0))+-0.27</f>
        <v>74.73</v>
      </c>
      <c r="Q74" s="4">
        <f>IF(AND(P74&gt;=INDEX(Dim_Product!$G$2:$G$4,MATCH(F74,Dim_Product!$A$2:$A$4,0))-INDEX(Dim_Product!$H$2:$H$4,MATCH(F74,Dim_Product!$A$2:$A$4,0)),P74&lt;=INDEX(Dim_Product!$G$2:$G$4,MATCH(F74,Dim_Product!$A$2:$A$4,0))+INDEX(Dim_Product!$H$2:$H$4,MATCH(F74,Dim_Product!$A$2:$A$4,0))),G74-H74,G74-H74-1)</f>
        <v>23</v>
      </c>
      <c r="R74" s="4">
        <f t="shared" si="12"/>
        <v>1</v>
      </c>
      <c r="S74" s="4">
        <f>INDEX(Dim_Product!$K$2:$K$4,MATCH(F74,Dim_Product!$A$2:$A$4,0))+-0.29</f>
        <v>129.71</v>
      </c>
      <c r="T74" s="4">
        <f>IF(AND(S74&gt;=INDEX(Dim_Product!$K$2:$K$4,MATCH(F74,Dim_Product!$A$2:$A$4,0))-INDEX(Dim_Product!$L$2:$L$4,MATCH(F74,Dim_Product!$A$2:$A$4,0)),S74&lt;=INDEX(Dim_Product!$K$2:$K$4,MATCH(F74,Dim_Product!$A$2:$A$4,0))+INDEX(Dim_Product!$L$2:$L$4,MATCH(F74,Dim_Product!$A$2:$A$4,0))),G74-H74,G74-H74-1)</f>
        <v>23</v>
      </c>
      <c r="U74" s="4">
        <f t="shared" si="13"/>
        <v>1</v>
      </c>
      <c r="V74" s="4">
        <f t="shared" si="14"/>
        <v>4.1666666666666664E-2</v>
      </c>
      <c r="W74" s="19">
        <f t="shared" si="15"/>
        <v>0.95833333333333337</v>
      </c>
    </row>
    <row r="75" spans="1:23" x14ac:dyDescent="0.25">
      <c r="A75" s="18" t="s">
        <v>576</v>
      </c>
      <c r="B75" s="4">
        <f>Fact_Production_Hourly!B75</f>
        <v>20260701</v>
      </c>
      <c r="C75" s="4">
        <f>Fact_Production_Hourly!C75</f>
        <v>10</v>
      </c>
      <c r="D75" s="4" t="str">
        <f>Fact_Production_Hourly!D75</f>
        <v>M4</v>
      </c>
      <c r="E75" s="4" t="str">
        <f>Fact_Production_Hourly!E75</f>
        <v>A-AM</v>
      </c>
      <c r="F75" s="4" t="str">
        <f>Fact_Production_Hourly!F75</f>
        <v>A</v>
      </c>
      <c r="G75" s="4">
        <f>INDEX(Dim_Machine!$D$2:$D$8,MATCH(D75,Dim_Machine!$A$2:$A$8,0))*2</f>
        <v>48</v>
      </c>
      <c r="H75" s="4">
        <f>ROUND(G75*0.03,0)</f>
        <v>1</v>
      </c>
      <c r="I75" s="4">
        <f t="shared" si="8"/>
        <v>0</v>
      </c>
      <c r="J75" s="4">
        <f t="shared" si="9"/>
        <v>0</v>
      </c>
      <c r="K75" s="4">
        <f t="shared" si="10"/>
        <v>1</v>
      </c>
      <c r="L75" s="4" t="s">
        <v>503</v>
      </c>
      <c r="M75" s="4">
        <f>INDEX(Dim_Product!$C$2:$C$4,MATCH(F75,Dim_Product!$A$2:$A$4,0))+0.04</f>
        <v>250.04</v>
      </c>
      <c r="N75" s="4">
        <f>IF(AND(M75&gt;=INDEX(Dim_Product!$C$2:$C$4,MATCH(F75,Dim_Product!$A$2:$A$4,0))-INDEX(Dim_Product!$D$2:$D$4,MATCH(F75,Dim_Product!$A$2:$A$4,0)),M75&lt;=INDEX(Dim_Product!$C$2:$C$4,MATCH(F75,Dim_Product!$A$2:$A$4,0))+INDEX(Dim_Product!$D$2:$D$4,MATCH(F75,Dim_Product!$A$2:$A$4,0))),G75-H75,G75-H75-1)</f>
        <v>47</v>
      </c>
      <c r="O75" s="4">
        <f t="shared" si="11"/>
        <v>1</v>
      </c>
      <c r="P75" s="4">
        <f>INDEX(Dim_Product!$G$2:$G$4,MATCH(F75,Dim_Product!$A$2:$A$4,0))+-0.21</f>
        <v>69.790000000000006</v>
      </c>
      <c r="Q75" s="4">
        <f>IF(AND(P75&gt;=INDEX(Dim_Product!$G$2:$G$4,MATCH(F75,Dim_Product!$A$2:$A$4,0))-INDEX(Dim_Product!$H$2:$H$4,MATCH(F75,Dim_Product!$A$2:$A$4,0)),P75&lt;=INDEX(Dim_Product!$G$2:$G$4,MATCH(F75,Dim_Product!$A$2:$A$4,0))+INDEX(Dim_Product!$H$2:$H$4,MATCH(F75,Dim_Product!$A$2:$A$4,0))),G75-H75,G75-H75-1)</f>
        <v>47</v>
      </c>
      <c r="R75" s="4">
        <f t="shared" si="12"/>
        <v>1</v>
      </c>
      <c r="S75" s="4">
        <f>INDEX(Dim_Product!$K$2:$K$4,MATCH(F75,Dim_Product!$A$2:$A$4,0))+0.31</f>
        <v>120.31</v>
      </c>
      <c r="T75" s="4">
        <f>IF(AND(S75&gt;=INDEX(Dim_Product!$K$2:$K$4,MATCH(F75,Dim_Product!$A$2:$A$4,0))-INDEX(Dim_Product!$L$2:$L$4,MATCH(F75,Dim_Product!$A$2:$A$4,0)),S75&lt;=INDEX(Dim_Product!$K$2:$K$4,MATCH(F75,Dim_Product!$A$2:$A$4,0))+INDEX(Dim_Product!$L$2:$L$4,MATCH(F75,Dim_Product!$A$2:$A$4,0))),G75-H75,G75-H75-1)</f>
        <v>47</v>
      </c>
      <c r="U75" s="4">
        <f t="shared" si="13"/>
        <v>1</v>
      </c>
      <c r="V75" s="4">
        <f t="shared" si="14"/>
        <v>2.0833333333333332E-2</v>
      </c>
      <c r="W75" s="19">
        <f t="shared" si="15"/>
        <v>0.97916666666666663</v>
      </c>
    </row>
    <row r="76" spans="1:23" x14ac:dyDescent="0.25">
      <c r="A76" s="18" t="s">
        <v>577</v>
      </c>
      <c r="B76" s="4">
        <f>Fact_Production_Hourly!B76</f>
        <v>20260701</v>
      </c>
      <c r="C76" s="4">
        <f>Fact_Production_Hourly!C76</f>
        <v>10</v>
      </c>
      <c r="D76" s="4" t="str">
        <f>Fact_Production_Hourly!D76</f>
        <v>M5</v>
      </c>
      <c r="E76" s="4" t="str">
        <f>Fact_Production_Hourly!E76</f>
        <v>A-AM</v>
      </c>
      <c r="F76" s="4" t="str">
        <f>Fact_Production_Hourly!F76</f>
        <v>C</v>
      </c>
      <c r="G76" s="4">
        <f>INDEX(Dim_Machine!$D$2:$D$8,MATCH(D76,Dim_Machine!$A$2:$A$8,0))*2</f>
        <v>32</v>
      </c>
      <c r="H76" s="4">
        <f>ROUND(G76*0.0184,0)</f>
        <v>1</v>
      </c>
      <c r="I76" s="4">
        <f t="shared" si="8"/>
        <v>0</v>
      </c>
      <c r="J76" s="4">
        <f t="shared" si="9"/>
        <v>0</v>
      </c>
      <c r="K76" s="4">
        <f t="shared" si="10"/>
        <v>1</v>
      </c>
      <c r="L76" s="4" t="s">
        <v>509</v>
      </c>
      <c r="M76" s="4">
        <f>INDEX(Dim_Product!$C$2:$C$4,MATCH(F76,Dim_Product!$A$2:$A$4,0))+-0.36</f>
        <v>199.64</v>
      </c>
      <c r="N76" s="4">
        <f>IF(AND(M76&gt;=INDEX(Dim_Product!$C$2:$C$4,MATCH(F76,Dim_Product!$A$2:$A$4,0))-INDEX(Dim_Product!$D$2:$D$4,MATCH(F76,Dim_Product!$A$2:$A$4,0)),M76&lt;=INDEX(Dim_Product!$C$2:$C$4,MATCH(F76,Dim_Product!$A$2:$A$4,0))+INDEX(Dim_Product!$D$2:$D$4,MATCH(F76,Dim_Product!$A$2:$A$4,0))),G76-H76,G76-H76-1)</f>
        <v>31</v>
      </c>
      <c r="O76" s="4">
        <f t="shared" si="11"/>
        <v>1</v>
      </c>
      <c r="P76" s="4">
        <f>INDEX(Dim_Product!$G$2:$G$4,MATCH(F76,Dim_Product!$A$2:$A$4,0))+-0.06</f>
        <v>64.94</v>
      </c>
      <c r="Q76" s="4">
        <f>IF(AND(P76&gt;=INDEX(Dim_Product!$G$2:$G$4,MATCH(F76,Dim_Product!$A$2:$A$4,0))-INDEX(Dim_Product!$H$2:$H$4,MATCH(F76,Dim_Product!$A$2:$A$4,0)),P76&lt;=INDEX(Dim_Product!$G$2:$G$4,MATCH(F76,Dim_Product!$A$2:$A$4,0))+INDEX(Dim_Product!$H$2:$H$4,MATCH(F76,Dim_Product!$A$2:$A$4,0))),G76-H76,G76-H76-1)</f>
        <v>31</v>
      </c>
      <c r="R76" s="4">
        <f t="shared" si="12"/>
        <v>1</v>
      </c>
      <c r="S76" s="4">
        <f>INDEX(Dim_Product!$K$2:$K$4,MATCH(F76,Dim_Product!$A$2:$A$4,0))+0.09</f>
        <v>110.09</v>
      </c>
      <c r="T76" s="4">
        <f>IF(AND(S76&gt;=INDEX(Dim_Product!$K$2:$K$4,MATCH(F76,Dim_Product!$A$2:$A$4,0))-INDEX(Dim_Product!$L$2:$L$4,MATCH(F76,Dim_Product!$A$2:$A$4,0)),S76&lt;=INDEX(Dim_Product!$K$2:$K$4,MATCH(F76,Dim_Product!$A$2:$A$4,0))+INDEX(Dim_Product!$L$2:$L$4,MATCH(F76,Dim_Product!$A$2:$A$4,0))),G76-H76,G76-H76-1)</f>
        <v>31</v>
      </c>
      <c r="U76" s="4">
        <f t="shared" si="13"/>
        <v>1</v>
      </c>
      <c r="V76" s="4">
        <f t="shared" si="14"/>
        <v>3.125E-2</v>
      </c>
      <c r="W76" s="19">
        <f t="shared" si="15"/>
        <v>0.96875</v>
      </c>
    </row>
    <row r="77" spans="1:23" x14ac:dyDescent="0.25">
      <c r="A77" s="18" t="s">
        <v>578</v>
      </c>
      <c r="B77" s="4">
        <f>Fact_Production_Hourly!B77</f>
        <v>20260701</v>
      </c>
      <c r="C77" s="4">
        <f>Fact_Production_Hourly!C77</f>
        <v>10</v>
      </c>
      <c r="D77" s="4" t="str">
        <f>Fact_Production_Hourly!D77</f>
        <v>M6</v>
      </c>
      <c r="E77" s="4" t="str">
        <f>Fact_Production_Hourly!E77</f>
        <v>A-AM</v>
      </c>
      <c r="F77" s="4" t="str">
        <f>Fact_Production_Hourly!F77</f>
        <v>C</v>
      </c>
      <c r="G77" s="4">
        <f>INDEX(Dim_Machine!$D$2:$D$8,MATCH(D77,Dim_Machine!$A$2:$A$8,0))*2</f>
        <v>24</v>
      </c>
      <c r="H77" s="4">
        <f>ROUND(G77*0.0606,0)</f>
        <v>1</v>
      </c>
      <c r="I77" s="4">
        <f t="shared" si="8"/>
        <v>0</v>
      </c>
      <c r="J77" s="4">
        <f t="shared" si="9"/>
        <v>0</v>
      </c>
      <c r="K77" s="4">
        <f t="shared" si="10"/>
        <v>1</v>
      </c>
      <c r="L77" s="4" t="s">
        <v>509</v>
      </c>
      <c r="M77" s="4">
        <f>INDEX(Dim_Product!$C$2:$C$4,MATCH(F77,Dim_Product!$A$2:$A$4,0))+-0.33</f>
        <v>199.67</v>
      </c>
      <c r="N77" s="4">
        <f>IF(AND(M77&gt;=INDEX(Dim_Product!$C$2:$C$4,MATCH(F77,Dim_Product!$A$2:$A$4,0))-INDEX(Dim_Product!$D$2:$D$4,MATCH(F77,Dim_Product!$A$2:$A$4,0)),M77&lt;=INDEX(Dim_Product!$C$2:$C$4,MATCH(F77,Dim_Product!$A$2:$A$4,0))+INDEX(Dim_Product!$D$2:$D$4,MATCH(F77,Dim_Product!$A$2:$A$4,0))),G77-H77,G77-H77-1)</f>
        <v>23</v>
      </c>
      <c r="O77" s="4">
        <f t="shared" si="11"/>
        <v>1</v>
      </c>
      <c r="P77" s="4">
        <f>INDEX(Dim_Product!$G$2:$G$4,MATCH(F77,Dim_Product!$A$2:$A$4,0))+0.2</f>
        <v>65.2</v>
      </c>
      <c r="Q77" s="4">
        <f>IF(AND(P77&gt;=INDEX(Dim_Product!$G$2:$G$4,MATCH(F77,Dim_Product!$A$2:$A$4,0))-INDEX(Dim_Product!$H$2:$H$4,MATCH(F77,Dim_Product!$A$2:$A$4,0)),P77&lt;=INDEX(Dim_Product!$G$2:$G$4,MATCH(F77,Dim_Product!$A$2:$A$4,0))+INDEX(Dim_Product!$H$2:$H$4,MATCH(F77,Dim_Product!$A$2:$A$4,0))),G77-H77,G77-H77-1)</f>
        <v>23</v>
      </c>
      <c r="R77" s="4">
        <f t="shared" si="12"/>
        <v>1</v>
      </c>
      <c r="S77" s="4">
        <f>INDEX(Dim_Product!$K$2:$K$4,MATCH(F77,Dim_Product!$A$2:$A$4,0))+0.03</f>
        <v>110.03</v>
      </c>
      <c r="T77" s="4">
        <f>IF(AND(S77&gt;=INDEX(Dim_Product!$K$2:$K$4,MATCH(F77,Dim_Product!$A$2:$A$4,0))-INDEX(Dim_Product!$L$2:$L$4,MATCH(F77,Dim_Product!$A$2:$A$4,0)),S77&lt;=INDEX(Dim_Product!$K$2:$K$4,MATCH(F77,Dim_Product!$A$2:$A$4,0))+INDEX(Dim_Product!$L$2:$L$4,MATCH(F77,Dim_Product!$A$2:$A$4,0))),G77-H77,G77-H77-1)</f>
        <v>23</v>
      </c>
      <c r="U77" s="4">
        <f t="shared" si="13"/>
        <v>1</v>
      </c>
      <c r="V77" s="4">
        <f t="shared" si="14"/>
        <v>4.1666666666666664E-2</v>
      </c>
      <c r="W77" s="19">
        <f t="shared" si="15"/>
        <v>0.95833333333333337</v>
      </c>
    </row>
    <row r="78" spans="1:23" x14ac:dyDescent="0.25">
      <c r="A78" s="18" t="s">
        <v>579</v>
      </c>
      <c r="B78" s="4">
        <f>Fact_Production_Hourly!B78</f>
        <v>20260701</v>
      </c>
      <c r="C78" s="4">
        <f>Fact_Production_Hourly!C78</f>
        <v>10</v>
      </c>
      <c r="D78" s="4" t="str">
        <f>Fact_Production_Hourly!D78</f>
        <v>M7</v>
      </c>
      <c r="E78" s="4" t="str">
        <f>Fact_Production_Hourly!E78</f>
        <v>A-AM</v>
      </c>
      <c r="F78" s="4" t="str">
        <f>Fact_Production_Hourly!F78</f>
        <v>C</v>
      </c>
      <c r="G78" s="4">
        <f>INDEX(Dim_Machine!$D$2:$D$8,MATCH(D78,Dim_Machine!$A$2:$A$8,0))*2</f>
        <v>48</v>
      </c>
      <c r="H78" s="4">
        <f>ROUND(G78*0.0525,0)</f>
        <v>3</v>
      </c>
      <c r="I78" s="4">
        <f t="shared" si="8"/>
        <v>0</v>
      </c>
      <c r="J78" s="4">
        <f t="shared" si="9"/>
        <v>1</v>
      </c>
      <c r="K78" s="4">
        <f t="shared" si="10"/>
        <v>2</v>
      </c>
      <c r="L78" s="4" t="s">
        <v>517</v>
      </c>
      <c r="M78" s="4">
        <f>INDEX(Dim_Product!$C$2:$C$4,MATCH(F78,Dim_Product!$A$2:$A$4,0))+-0.05</f>
        <v>199.95</v>
      </c>
      <c r="N78" s="4">
        <f>IF(AND(M78&gt;=INDEX(Dim_Product!$C$2:$C$4,MATCH(F78,Dim_Product!$A$2:$A$4,0))-INDEX(Dim_Product!$D$2:$D$4,MATCH(F78,Dim_Product!$A$2:$A$4,0)),M78&lt;=INDEX(Dim_Product!$C$2:$C$4,MATCH(F78,Dim_Product!$A$2:$A$4,0))+INDEX(Dim_Product!$D$2:$D$4,MATCH(F78,Dim_Product!$A$2:$A$4,0))),G78-H78,G78-H78-1)</f>
        <v>45</v>
      </c>
      <c r="O78" s="4">
        <f t="shared" si="11"/>
        <v>3</v>
      </c>
      <c r="P78" s="4">
        <f>INDEX(Dim_Product!$G$2:$G$4,MATCH(F78,Dim_Product!$A$2:$A$4,0))+-0.29</f>
        <v>64.709999999999994</v>
      </c>
      <c r="Q78" s="4">
        <f>IF(AND(P78&gt;=INDEX(Dim_Product!$G$2:$G$4,MATCH(F78,Dim_Product!$A$2:$A$4,0))-INDEX(Dim_Product!$H$2:$H$4,MATCH(F78,Dim_Product!$A$2:$A$4,0)),P78&lt;=INDEX(Dim_Product!$G$2:$G$4,MATCH(F78,Dim_Product!$A$2:$A$4,0))+INDEX(Dim_Product!$H$2:$H$4,MATCH(F78,Dim_Product!$A$2:$A$4,0))),G78-H78,G78-H78-1)</f>
        <v>45</v>
      </c>
      <c r="R78" s="4">
        <f t="shared" si="12"/>
        <v>3</v>
      </c>
      <c r="S78" s="4">
        <f>INDEX(Dim_Product!$K$2:$K$4,MATCH(F78,Dim_Product!$A$2:$A$4,0))+-0.14</f>
        <v>109.86</v>
      </c>
      <c r="T78" s="4">
        <f>IF(AND(S78&gt;=INDEX(Dim_Product!$K$2:$K$4,MATCH(F78,Dim_Product!$A$2:$A$4,0))-INDEX(Dim_Product!$L$2:$L$4,MATCH(F78,Dim_Product!$A$2:$A$4,0)),S78&lt;=INDEX(Dim_Product!$K$2:$K$4,MATCH(F78,Dim_Product!$A$2:$A$4,0))+INDEX(Dim_Product!$L$2:$L$4,MATCH(F78,Dim_Product!$A$2:$A$4,0))),G78-H78,G78-H78-1)</f>
        <v>45</v>
      </c>
      <c r="U78" s="4">
        <f t="shared" si="13"/>
        <v>3</v>
      </c>
      <c r="V78" s="4">
        <f t="shared" si="14"/>
        <v>6.25E-2</v>
      </c>
      <c r="W78" s="19">
        <f t="shared" si="15"/>
        <v>0.9375</v>
      </c>
    </row>
    <row r="79" spans="1:23" x14ac:dyDescent="0.25">
      <c r="A79" s="18" t="s">
        <v>580</v>
      </c>
      <c r="B79" s="4">
        <f>Fact_Production_Hourly!B79</f>
        <v>20260701</v>
      </c>
      <c r="C79" s="4">
        <f>Fact_Production_Hourly!C79</f>
        <v>11</v>
      </c>
      <c r="D79" s="4" t="str">
        <f>Fact_Production_Hourly!D79</f>
        <v>M1</v>
      </c>
      <c r="E79" s="4" t="str">
        <f>Fact_Production_Hourly!E79</f>
        <v>A-AM</v>
      </c>
      <c r="F79" s="4" t="str">
        <f>Fact_Production_Hourly!F79</f>
        <v>C</v>
      </c>
      <c r="G79" s="4">
        <f>INDEX(Dim_Machine!$D$2:$D$8,MATCH(D79,Dim_Machine!$A$2:$A$8,0))*2</f>
        <v>32</v>
      </c>
      <c r="H79" s="4">
        <f>ROUND(G79*0.0166,0)</f>
        <v>1</v>
      </c>
      <c r="I79" s="4">
        <f t="shared" si="8"/>
        <v>0</v>
      </c>
      <c r="J79" s="4">
        <f t="shared" si="9"/>
        <v>0</v>
      </c>
      <c r="K79" s="4">
        <f t="shared" si="10"/>
        <v>1</v>
      </c>
      <c r="L79" s="4" t="s">
        <v>503</v>
      </c>
      <c r="M79" s="4">
        <f>INDEX(Dim_Product!$C$2:$C$4,MATCH(F79,Dim_Product!$A$2:$A$4,0))+0.17</f>
        <v>200.17</v>
      </c>
      <c r="N79" s="4">
        <f>IF(AND(M79&gt;=INDEX(Dim_Product!$C$2:$C$4,MATCH(F79,Dim_Product!$A$2:$A$4,0))-INDEX(Dim_Product!$D$2:$D$4,MATCH(F79,Dim_Product!$A$2:$A$4,0)),M79&lt;=INDEX(Dim_Product!$C$2:$C$4,MATCH(F79,Dim_Product!$A$2:$A$4,0))+INDEX(Dim_Product!$D$2:$D$4,MATCH(F79,Dim_Product!$A$2:$A$4,0))),G79-H79,G79-H79-1)</f>
        <v>31</v>
      </c>
      <c r="O79" s="4">
        <f t="shared" si="11"/>
        <v>1</v>
      </c>
      <c r="P79" s="4">
        <f>INDEX(Dim_Product!$G$2:$G$4,MATCH(F79,Dim_Product!$A$2:$A$4,0))+0.18</f>
        <v>65.180000000000007</v>
      </c>
      <c r="Q79" s="4">
        <f>IF(AND(P79&gt;=INDEX(Dim_Product!$G$2:$G$4,MATCH(F79,Dim_Product!$A$2:$A$4,0))-INDEX(Dim_Product!$H$2:$H$4,MATCH(F79,Dim_Product!$A$2:$A$4,0)),P79&lt;=INDEX(Dim_Product!$G$2:$G$4,MATCH(F79,Dim_Product!$A$2:$A$4,0))+INDEX(Dim_Product!$H$2:$H$4,MATCH(F79,Dim_Product!$A$2:$A$4,0))),G79-H79,G79-H79-1)</f>
        <v>31</v>
      </c>
      <c r="R79" s="4">
        <f t="shared" si="12"/>
        <v>1</v>
      </c>
      <c r="S79" s="4">
        <f>INDEX(Dim_Product!$K$2:$K$4,MATCH(F79,Dim_Product!$A$2:$A$4,0))+0.18</f>
        <v>110.18</v>
      </c>
      <c r="T79" s="4">
        <f>IF(AND(S79&gt;=INDEX(Dim_Product!$K$2:$K$4,MATCH(F79,Dim_Product!$A$2:$A$4,0))-INDEX(Dim_Product!$L$2:$L$4,MATCH(F79,Dim_Product!$A$2:$A$4,0)),S79&lt;=INDEX(Dim_Product!$K$2:$K$4,MATCH(F79,Dim_Product!$A$2:$A$4,0))+INDEX(Dim_Product!$L$2:$L$4,MATCH(F79,Dim_Product!$A$2:$A$4,0))),G79-H79,G79-H79-1)</f>
        <v>31</v>
      </c>
      <c r="U79" s="4">
        <f t="shared" si="13"/>
        <v>1</v>
      </c>
      <c r="V79" s="4">
        <f t="shared" si="14"/>
        <v>3.125E-2</v>
      </c>
      <c r="W79" s="19">
        <f t="shared" si="15"/>
        <v>0.96875</v>
      </c>
    </row>
    <row r="80" spans="1:23" x14ac:dyDescent="0.25">
      <c r="A80" s="18" t="s">
        <v>581</v>
      </c>
      <c r="B80" s="4">
        <f>Fact_Production_Hourly!B80</f>
        <v>20260701</v>
      </c>
      <c r="C80" s="4">
        <f>Fact_Production_Hourly!C80</f>
        <v>11</v>
      </c>
      <c r="D80" s="4" t="str">
        <f>Fact_Production_Hourly!D80</f>
        <v>M2</v>
      </c>
      <c r="E80" s="4" t="str">
        <f>Fact_Production_Hourly!E80</f>
        <v>A-AM</v>
      </c>
      <c r="F80" s="4" t="str">
        <f>Fact_Production_Hourly!F80</f>
        <v>A</v>
      </c>
      <c r="G80" s="4">
        <f>INDEX(Dim_Machine!$D$2:$D$8,MATCH(D80,Dim_Machine!$A$2:$A$8,0))*2</f>
        <v>48</v>
      </c>
      <c r="H80" s="4">
        <f>ROUND(G80*0.0513,0)</f>
        <v>2</v>
      </c>
      <c r="I80" s="4">
        <f t="shared" si="8"/>
        <v>0</v>
      </c>
      <c r="J80" s="4">
        <f t="shared" si="9"/>
        <v>1</v>
      </c>
      <c r="K80" s="4">
        <f t="shared" si="10"/>
        <v>1</v>
      </c>
      <c r="L80" s="4" t="s">
        <v>498</v>
      </c>
      <c r="M80" s="4">
        <f>INDEX(Dim_Product!$C$2:$C$4,MATCH(F80,Dim_Product!$A$2:$A$4,0))+0.19</f>
        <v>250.19</v>
      </c>
      <c r="N80" s="4">
        <f>IF(AND(M80&gt;=INDEX(Dim_Product!$C$2:$C$4,MATCH(F80,Dim_Product!$A$2:$A$4,0))-INDEX(Dim_Product!$D$2:$D$4,MATCH(F80,Dim_Product!$A$2:$A$4,0)),M80&lt;=INDEX(Dim_Product!$C$2:$C$4,MATCH(F80,Dim_Product!$A$2:$A$4,0))+INDEX(Dim_Product!$D$2:$D$4,MATCH(F80,Dim_Product!$A$2:$A$4,0))),G80-H80,G80-H80-1)</f>
        <v>46</v>
      </c>
      <c r="O80" s="4">
        <f t="shared" si="11"/>
        <v>2</v>
      </c>
      <c r="P80" s="4">
        <f>INDEX(Dim_Product!$G$2:$G$4,MATCH(F80,Dim_Product!$A$2:$A$4,0))+-0.14</f>
        <v>69.86</v>
      </c>
      <c r="Q80" s="4">
        <f>IF(AND(P80&gt;=INDEX(Dim_Product!$G$2:$G$4,MATCH(F80,Dim_Product!$A$2:$A$4,0))-INDEX(Dim_Product!$H$2:$H$4,MATCH(F80,Dim_Product!$A$2:$A$4,0)),P80&lt;=INDEX(Dim_Product!$G$2:$G$4,MATCH(F80,Dim_Product!$A$2:$A$4,0))+INDEX(Dim_Product!$H$2:$H$4,MATCH(F80,Dim_Product!$A$2:$A$4,0))),G80-H80,G80-H80-1)</f>
        <v>46</v>
      </c>
      <c r="R80" s="4">
        <f t="shared" si="12"/>
        <v>2</v>
      </c>
      <c r="S80" s="4">
        <f>INDEX(Dim_Product!$K$2:$K$4,MATCH(F80,Dim_Product!$A$2:$A$4,0))+0.12</f>
        <v>120.12</v>
      </c>
      <c r="T80" s="4">
        <f>IF(AND(S80&gt;=INDEX(Dim_Product!$K$2:$K$4,MATCH(F80,Dim_Product!$A$2:$A$4,0))-INDEX(Dim_Product!$L$2:$L$4,MATCH(F80,Dim_Product!$A$2:$A$4,0)),S80&lt;=INDEX(Dim_Product!$K$2:$K$4,MATCH(F80,Dim_Product!$A$2:$A$4,0))+INDEX(Dim_Product!$L$2:$L$4,MATCH(F80,Dim_Product!$A$2:$A$4,0))),G80-H80,G80-H80-1)</f>
        <v>46</v>
      </c>
      <c r="U80" s="4">
        <f t="shared" si="13"/>
        <v>2</v>
      </c>
      <c r="V80" s="4">
        <f t="shared" si="14"/>
        <v>4.1666666666666664E-2</v>
      </c>
      <c r="W80" s="19">
        <f t="shared" si="15"/>
        <v>0.95833333333333337</v>
      </c>
    </row>
    <row r="81" spans="1:23" x14ac:dyDescent="0.25">
      <c r="A81" s="18" t="s">
        <v>582</v>
      </c>
      <c r="B81" s="4">
        <f>Fact_Production_Hourly!B81</f>
        <v>20260701</v>
      </c>
      <c r="C81" s="4">
        <f>Fact_Production_Hourly!C81</f>
        <v>11</v>
      </c>
      <c r="D81" s="4" t="str">
        <f>Fact_Production_Hourly!D81</f>
        <v>M3</v>
      </c>
      <c r="E81" s="4" t="str">
        <f>Fact_Production_Hourly!E81</f>
        <v>A-AM</v>
      </c>
      <c r="F81" s="4" t="str">
        <f>Fact_Production_Hourly!F81</f>
        <v>B</v>
      </c>
      <c r="G81" s="4">
        <f>INDEX(Dim_Machine!$D$2:$D$8,MATCH(D81,Dim_Machine!$A$2:$A$8,0))*2</f>
        <v>24</v>
      </c>
      <c r="H81" s="4">
        <f>ROUND(G81*0.0683,0)</f>
        <v>2</v>
      </c>
      <c r="I81" s="4">
        <f t="shared" si="8"/>
        <v>0</v>
      </c>
      <c r="J81" s="4">
        <f t="shared" si="9"/>
        <v>1</v>
      </c>
      <c r="K81" s="4">
        <f t="shared" si="10"/>
        <v>1</v>
      </c>
      <c r="L81" s="4" t="s">
        <v>509</v>
      </c>
      <c r="M81" s="4">
        <f>INDEX(Dim_Product!$C$2:$C$4,MATCH(F81,Dim_Product!$A$2:$A$4,0))+0.16</f>
        <v>300.16000000000003</v>
      </c>
      <c r="N81" s="4">
        <f>IF(AND(M81&gt;=INDEX(Dim_Product!$C$2:$C$4,MATCH(F81,Dim_Product!$A$2:$A$4,0))-INDEX(Dim_Product!$D$2:$D$4,MATCH(F81,Dim_Product!$A$2:$A$4,0)),M81&lt;=INDEX(Dim_Product!$C$2:$C$4,MATCH(F81,Dim_Product!$A$2:$A$4,0))+INDEX(Dim_Product!$D$2:$D$4,MATCH(F81,Dim_Product!$A$2:$A$4,0))),G81-H81,G81-H81-1)</f>
        <v>22</v>
      </c>
      <c r="O81" s="4">
        <f t="shared" si="11"/>
        <v>2</v>
      </c>
      <c r="P81" s="4">
        <f>INDEX(Dim_Product!$G$2:$G$4,MATCH(F81,Dim_Product!$A$2:$A$4,0))+0.13</f>
        <v>75.13</v>
      </c>
      <c r="Q81" s="4">
        <f>IF(AND(P81&gt;=INDEX(Dim_Product!$G$2:$G$4,MATCH(F81,Dim_Product!$A$2:$A$4,0))-INDEX(Dim_Product!$H$2:$H$4,MATCH(F81,Dim_Product!$A$2:$A$4,0)),P81&lt;=INDEX(Dim_Product!$G$2:$G$4,MATCH(F81,Dim_Product!$A$2:$A$4,0))+INDEX(Dim_Product!$H$2:$H$4,MATCH(F81,Dim_Product!$A$2:$A$4,0))),G81-H81,G81-H81-1)</f>
        <v>22</v>
      </c>
      <c r="R81" s="4">
        <f t="shared" si="12"/>
        <v>2</v>
      </c>
      <c r="S81" s="4">
        <f>INDEX(Dim_Product!$K$2:$K$4,MATCH(F81,Dim_Product!$A$2:$A$4,0))+0.07</f>
        <v>130.07</v>
      </c>
      <c r="T81" s="4">
        <f>IF(AND(S81&gt;=INDEX(Dim_Product!$K$2:$K$4,MATCH(F81,Dim_Product!$A$2:$A$4,0))-INDEX(Dim_Product!$L$2:$L$4,MATCH(F81,Dim_Product!$A$2:$A$4,0)),S81&lt;=INDEX(Dim_Product!$K$2:$K$4,MATCH(F81,Dim_Product!$A$2:$A$4,0))+INDEX(Dim_Product!$L$2:$L$4,MATCH(F81,Dim_Product!$A$2:$A$4,0))),G81-H81,G81-H81-1)</f>
        <v>22</v>
      </c>
      <c r="U81" s="4">
        <f t="shared" si="13"/>
        <v>2</v>
      </c>
      <c r="V81" s="4">
        <f t="shared" si="14"/>
        <v>8.3333333333333329E-2</v>
      </c>
      <c r="W81" s="19">
        <f t="shared" si="15"/>
        <v>0.91666666666666663</v>
      </c>
    </row>
    <row r="82" spans="1:23" x14ac:dyDescent="0.25">
      <c r="A82" s="18" t="s">
        <v>583</v>
      </c>
      <c r="B82" s="4">
        <f>Fact_Production_Hourly!B82</f>
        <v>20260701</v>
      </c>
      <c r="C82" s="4">
        <f>Fact_Production_Hourly!C82</f>
        <v>11</v>
      </c>
      <c r="D82" s="4" t="str">
        <f>Fact_Production_Hourly!D82</f>
        <v>M4</v>
      </c>
      <c r="E82" s="4" t="str">
        <f>Fact_Production_Hourly!E82</f>
        <v>A-AM</v>
      </c>
      <c r="F82" s="4" t="str">
        <f>Fact_Production_Hourly!F82</f>
        <v>A</v>
      </c>
      <c r="G82" s="4">
        <f>INDEX(Dim_Machine!$D$2:$D$8,MATCH(D82,Dim_Machine!$A$2:$A$8,0))*2</f>
        <v>48</v>
      </c>
      <c r="H82" s="4">
        <f>ROUND(G82*0.0202,0)</f>
        <v>1</v>
      </c>
      <c r="I82" s="4">
        <f t="shared" si="8"/>
        <v>0</v>
      </c>
      <c r="J82" s="4">
        <f t="shared" si="9"/>
        <v>0</v>
      </c>
      <c r="K82" s="4">
        <f t="shared" si="10"/>
        <v>1</v>
      </c>
      <c r="L82" s="4" t="s">
        <v>520</v>
      </c>
      <c r="M82" s="4">
        <f>INDEX(Dim_Product!$C$2:$C$4,MATCH(F82,Dim_Product!$A$2:$A$4,0))+0.44</f>
        <v>250.44</v>
      </c>
      <c r="N82" s="4">
        <f>IF(AND(M82&gt;=INDEX(Dim_Product!$C$2:$C$4,MATCH(F82,Dim_Product!$A$2:$A$4,0))-INDEX(Dim_Product!$D$2:$D$4,MATCH(F82,Dim_Product!$A$2:$A$4,0)),M82&lt;=INDEX(Dim_Product!$C$2:$C$4,MATCH(F82,Dim_Product!$A$2:$A$4,0))+INDEX(Dim_Product!$D$2:$D$4,MATCH(F82,Dim_Product!$A$2:$A$4,0))),G82-H82,G82-H82-1)</f>
        <v>47</v>
      </c>
      <c r="O82" s="4">
        <f t="shared" si="11"/>
        <v>1</v>
      </c>
      <c r="P82" s="4">
        <f>INDEX(Dim_Product!$G$2:$G$4,MATCH(F82,Dim_Product!$A$2:$A$4,0))+0.16</f>
        <v>70.16</v>
      </c>
      <c r="Q82" s="4">
        <f>IF(AND(P82&gt;=INDEX(Dim_Product!$G$2:$G$4,MATCH(F82,Dim_Product!$A$2:$A$4,0))-INDEX(Dim_Product!$H$2:$H$4,MATCH(F82,Dim_Product!$A$2:$A$4,0)),P82&lt;=INDEX(Dim_Product!$G$2:$G$4,MATCH(F82,Dim_Product!$A$2:$A$4,0))+INDEX(Dim_Product!$H$2:$H$4,MATCH(F82,Dim_Product!$A$2:$A$4,0))),G82-H82,G82-H82-1)</f>
        <v>47</v>
      </c>
      <c r="R82" s="4">
        <f t="shared" si="12"/>
        <v>1</v>
      </c>
      <c r="S82" s="4">
        <f>INDEX(Dim_Product!$K$2:$K$4,MATCH(F82,Dim_Product!$A$2:$A$4,0))+-0.1</f>
        <v>119.9</v>
      </c>
      <c r="T82" s="4">
        <f>IF(AND(S82&gt;=INDEX(Dim_Product!$K$2:$K$4,MATCH(F82,Dim_Product!$A$2:$A$4,0))-INDEX(Dim_Product!$L$2:$L$4,MATCH(F82,Dim_Product!$A$2:$A$4,0)),S82&lt;=INDEX(Dim_Product!$K$2:$K$4,MATCH(F82,Dim_Product!$A$2:$A$4,0))+INDEX(Dim_Product!$L$2:$L$4,MATCH(F82,Dim_Product!$A$2:$A$4,0))),G82-H82,G82-H82-1)</f>
        <v>47</v>
      </c>
      <c r="U82" s="4">
        <f t="shared" si="13"/>
        <v>1</v>
      </c>
      <c r="V82" s="4">
        <f t="shared" si="14"/>
        <v>2.0833333333333332E-2</v>
      </c>
      <c r="W82" s="19">
        <f t="shared" si="15"/>
        <v>0.97916666666666663</v>
      </c>
    </row>
    <row r="83" spans="1:23" x14ac:dyDescent="0.25">
      <c r="A83" s="18" t="s">
        <v>584</v>
      </c>
      <c r="B83" s="4">
        <f>Fact_Production_Hourly!B83</f>
        <v>20260701</v>
      </c>
      <c r="C83" s="4">
        <f>Fact_Production_Hourly!C83</f>
        <v>11</v>
      </c>
      <c r="D83" s="4" t="str">
        <f>Fact_Production_Hourly!D83</f>
        <v>M5</v>
      </c>
      <c r="E83" s="4" t="str">
        <f>Fact_Production_Hourly!E83</f>
        <v>A-AM</v>
      </c>
      <c r="F83" s="4" t="str">
        <f>Fact_Production_Hourly!F83</f>
        <v>C</v>
      </c>
      <c r="G83" s="4">
        <f>INDEX(Dim_Machine!$D$2:$D$8,MATCH(D83,Dim_Machine!$A$2:$A$8,0))*2</f>
        <v>32</v>
      </c>
      <c r="H83" s="4">
        <f>ROUND(G83*0.0593,0)</f>
        <v>2</v>
      </c>
      <c r="I83" s="4">
        <f t="shared" si="8"/>
        <v>0</v>
      </c>
      <c r="J83" s="4">
        <f t="shared" si="9"/>
        <v>1</v>
      </c>
      <c r="K83" s="4">
        <f t="shared" si="10"/>
        <v>1</v>
      </c>
      <c r="L83" s="4" t="s">
        <v>500</v>
      </c>
      <c r="M83" s="4">
        <f>INDEX(Dim_Product!$C$2:$C$4,MATCH(F83,Dim_Product!$A$2:$A$4,0))+-0.94</f>
        <v>199.06</v>
      </c>
      <c r="N83" s="4">
        <f>IF(AND(M83&gt;=INDEX(Dim_Product!$C$2:$C$4,MATCH(F83,Dim_Product!$A$2:$A$4,0))-INDEX(Dim_Product!$D$2:$D$4,MATCH(F83,Dim_Product!$A$2:$A$4,0)),M83&lt;=INDEX(Dim_Product!$C$2:$C$4,MATCH(F83,Dim_Product!$A$2:$A$4,0))+INDEX(Dim_Product!$D$2:$D$4,MATCH(F83,Dim_Product!$A$2:$A$4,0))),G83-H83,G83-H83-1)</f>
        <v>30</v>
      </c>
      <c r="O83" s="4">
        <f t="shared" si="11"/>
        <v>2</v>
      </c>
      <c r="P83" s="4">
        <f>INDEX(Dim_Product!$G$2:$G$4,MATCH(F83,Dim_Product!$A$2:$A$4,0))+0.27</f>
        <v>65.27</v>
      </c>
      <c r="Q83" s="4">
        <f>IF(AND(P83&gt;=INDEX(Dim_Product!$G$2:$G$4,MATCH(F83,Dim_Product!$A$2:$A$4,0))-INDEX(Dim_Product!$H$2:$H$4,MATCH(F83,Dim_Product!$A$2:$A$4,0)),P83&lt;=INDEX(Dim_Product!$G$2:$G$4,MATCH(F83,Dim_Product!$A$2:$A$4,0))+INDEX(Dim_Product!$H$2:$H$4,MATCH(F83,Dim_Product!$A$2:$A$4,0))),G83-H83,G83-H83-1)</f>
        <v>30</v>
      </c>
      <c r="R83" s="4">
        <f t="shared" si="12"/>
        <v>2</v>
      </c>
      <c r="S83" s="4">
        <f>INDEX(Dim_Product!$K$2:$K$4,MATCH(F83,Dim_Product!$A$2:$A$4,0))+-0.31</f>
        <v>109.69</v>
      </c>
      <c r="T83" s="4">
        <f>IF(AND(S83&gt;=INDEX(Dim_Product!$K$2:$K$4,MATCH(F83,Dim_Product!$A$2:$A$4,0))-INDEX(Dim_Product!$L$2:$L$4,MATCH(F83,Dim_Product!$A$2:$A$4,0)),S83&lt;=INDEX(Dim_Product!$K$2:$K$4,MATCH(F83,Dim_Product!$A$2:$A$4,0))+INDEX(Dim_Product!$L$2:$L$4,MATCH(F83,Dim_Product!$A$2:$A$4,0))),G83-H83,G83-H83-1)</f>
        <v>30</v>
      </c>
      <c r="U83" s="4">
        <f t="shared" si="13"/>
        <v>2</v>
      </c>
      <c r="V83" s="4">
        <f t="shared" si="14"/>
        <v>6.25E-2</v>
      </c>
      <c r="W83" s="19">
        <f t="shared" si="15"/>
        <v>0.9375</v>
      </c>
    </row>
    <row r="84" spans="1:23" x14ac:dyDescent="0.25">
      <c r="A84" s="18" t="s">
        <v>585</v>
      </c>
      <c r="B84" s="4">
        <f>Fact_Production_Hourly!B84</f>
        <v>20260701</v>
      </c>
      <c r="C84" s="4">
        <f>Fact_Production_Hourly!C84</f>
        <v>11</v>
      </c>
      <c r="D84" s="4" t="str">
        <f>Fact_Production_Hourly!D84</f>
        <v>M6</v>
      </c>
      <c r="E84" s="4" t="str">
        <f>Fact_Production_Hourly!E84</f>
        <v>A-AM</v>
      </c>
      <c r="F84" s="4" t="str">
        <f>Fact_Production_Hourly!F84</f>
        <v>C</v>
      </c>
      <c r="G84" s="4">
        <f>INDEX(Dim_Machine!$D$2:$D$8,MATCH(D84,Dim_Machine!$A$2:$A$8,0))*2</f>
        <v>24</v>
      </c>
      <c r="H84" s="4">
        <f>ROUND(G84*0.0111,0)</f>
        <v>0</v>
      </c>
      <c r="I84" s="4">
        <f t="shared" si="8"/>
        <v>0</v>
      </c>
      <c r="J84" s="4">
        <f t="shared" si="9"/>
        <v>0</v>
      </c>
      <c r="K84" s="4">
        <f t="shared" si="10"/>
        <v>0</v>
      </c>
      <c r="L84" s="4" t="s">
        <v>517</v>
      </c>
      <c r="M84" s="4">
        <f>INDEX(Dim_Product!$C$2:$C$4,MATCH(F84,Dim_Product!$A$2:$A$4,0))+-0.16</f>
        <v>199.84</v>
      </c>
      <c r="N84" s="4">
        <f>IF(AND(M84&gt;=INDEX(Dim_Product!$C$2:$C$4,MATCH(F84,Dim_Product!$A$2:$A$4,0))-INDEX(Dim_Product!$D$2:$D$4,MATCH(F84,Dim_Product!$A$2:$A$4,0)),M84&lt;=INDEX(Dim_Product!$C$2:$C$4,MATCH(F84,Dim_Product!$A$2:$A$4,0))+INDEX(Dim_Product!$D$2:$D$4,MATCH(F84,Dim_Product!$A$2:$A$4,0))),G84-H84,G84-H84-1)</f>
        <v>24</v>
      </c>
      <c r="O84" s="4">
        <f t="shared" si="11"/>
        <v>0</v>
      </c>
      <c r="P84" s="4">
        <f>INDEX(Dim_Product!$G$2:$G$4,MATCH(F84,Dim_Product!$A$2:$A$4,0))+-0.05</f>
        <v>64.95</v>
      </c>
      <c r="Q84" s="4">
        <f>IF(AND(P84&gt;=INDEX(Dim_Product!$G$2:$G$4,MATCH(F84,Dim_Product!$A$2:$A$4,0))-INDEX(Dim_Product!$H$2:$H$4,MATCH(F84,Dim_Product!$A$2:$A$4,0)),P84&lt;=INDEX(Dim_Product!$G$2:$G$4,MATCH(F84,Dim_Product!$A$2:$A$4,0))+INDEX(Dim_Product!$H$2:$H$4,MATCH(F84,Dim_Product!$A$2:$A$4,0))),G84-H84,G84-H84-1)</f>
        <v>24</v>
      </c>
      <c r="R84" s="4">
        <f t="shared" si="12"/>
        <v>0</v>
      </c>
      <c r="S84" s="4">
        <f>INDEX(Dim_Product!$K$2:$K$4,MATCH(F84,Dim_Product!$A$2:$A$4,0))+-0.24</f>
        <v>109.76</v>
      </c>
      <c r="T84" s="4">
        <f>IF(AND(S84&gt;=INDEX(Dim_Product!$K$2:$K$4,MATCH(F84,Dim_Product!$A$2:$A$4,0))-INDEX(Dim_Product!$L$2:$L$4,MATCH(F84,Dim_Product!$A$2:$A$4,0)),S84&lt;=INDEX(Dim_Product!$K$2:$K$4,MATCH(F84,Dim_Product!$A$2:$A$4,0))+INDEX(Dim_Product!$L$2:$L$4,MATCH(F84,Dim_Product!$A$2:$A$4,0))),G84-H84,G84-H84-1)</f>
        <v>24</v>
      </c>
      <c r="U84" s="4">
        <f t="shared" si="13"/>
        <v>0</v>
      </c>
      <c r="V84" s="4">
        <f t="shared" si="14"/>
        <v>0</v>
      </c>
      <c r="W84" s="19">
        <f t="shared" si="15"/>
        <v>1</v>
      </c>
    </row>
    <row r="85" spans="1:23" x14ac:dyDescent="0.25">
      <c r="A85" s="18" t="s">
        <v>586</v>
      </c>
      <c r="B85" s="4">
        <f>Fact_Production_Hourly!B85</f>
        <v>20260701</v>
      </c>
      <c r="C85" s="4">
        <f>Fact_Production_Hourly!C85</f>
        <v>11</v>
      </c>
      <c r="D85" s="4" t="str">
        <f>Fact_Production_Hourly!D85</f>
        <v>M7</v>
      </c>
      <c r="E85" s="4" t="str">
        <f>Fact_Production_Hourly!E85</f>
        <v>A-AM</v>
      </c>
      <c r="F85" s="4" t="str">
        <f>Fact_Production_Hourly!F85</f>
        <v>C</v>
      </c>
      <c r="G85" s="4">
        <f>INDEX(Dim_Machine!$D$2:$D$8,MATCH(D85,Dim_Machine!$A$2:$A$8,0))*2</f>
        <v>48</v>
      </c>
      <c r="H85" s="4">
        <f>ROUND(G85*0.0401,0)</f>
        <v>2</v>
      </c>
      <c r="I85" s="4">
        <f t="shared" si="8"/>
        <v>0</v>
      </c>
      <c r="J85" s="4">
        <f t="shared" si="9"/>
        <v>1</v>
      </c>
      <c r="K85" s="4">
        <f t="shared" si="10"/>
        <v>1</v>
      </c>
      <c r="L85" s="4" t="s">
        <v>509</v>
      </c>
      <c r="M85" s="4">
        <f>INDEX(Dim_Product!$C$2:$C$4,MATCH(F85,Dim_Product!$A$2:$A$4,0))+0.84</f>
        <v>200.84</v>
      </c>
      <c r="N85" s="4">
        <f>IF(AND(M85&gt;=INDEX(Dim_Product!$C$2:$C$4,MATCH(F85,Dim_Product!$A$2:$A$4,0))-INDEX(Dim_Product!$D$2:$D$4,MATCH(F85,Dim_Product!$A$2:$A$4,0)),M85&lt;=INDEX(Dim_Product!$C$2:$C$4,MATCH(F85,Dim_Product!$A$2:$A$4,0))+INDEX(Dim_Product!$D$2:$D$4,MATCH(F85,Dim_Product!$A$2:$A$4,0))),G85-H85,G85-H85-1)</f>
        <v>46</v>
      </c>
      <c r="O85" s="4">
        <f t="shared" si="11"/>
        <v>2</v>
      </c>
      <c r="P85" s="4">
        <f>INDEX(Dim_Product!$G$2:$G$4,MATCH(F85,Dim_Product!$A$2:$A$4,0))+0.22</f>
        <v>65.22</v>
      </c>
      <c r="Q85" s="4">
        <f>IF(AND(P85&gt;=INDEX(Dim_Product!$G$2:$G$4,MATCH(F85,Dim_Product!$A$2:$A$4,0))-INDEX(Dim_Product!$H$2:$H$4,MATCH(F85,Dim_Product!$A$2:$A$4,0)),P85&lt;=INDEX(Dim_Product!$G$2:$G$4,MATCH(F85,Dim_Product!$A$2:$A$4,0))+INDEX(Dim_Product!$H$2:$H$4,MATCH(F85,Dim_Product!$A$2:$A$4,0))),G85-H85,G85-H85-1)</f>
        <v>46</v>
      </c>
      <c r="R85" s="4">
        <f t="shared" si="12"/>
        <v>2</v>
      </c>
      <c r="S85" s="4">
        <f>INDEX(Dim_Product!$K$2:$K$4,MATCH(F85,Dim_Product!$A$2:$A$4,0))+0.19</f>
        <v>110.19</v>
      </c>
      <c r="T85" s="4">
        <f>IF(AND(S85&gt;=INDEX(Dim_Product!$K$2:$K$4,MATCH(F85,Dim_Product!$A$2:$A$4,0))-INDEX(Dim_Product!$L$2:$L$4,MATCH(F85,Dim_Product!$A$2:$A$4,0)),S85&lt;=INDEX(Dim_Product!$K$2:$K$4,MATCH(F85,Dim_Product!$A$2:$A$4,0))+INDEX(Dim_Product!$L$2:$L$4,MATCH(F85,Dim_Product!$A$2:$A$4,0))),G85-H85,G85-H85-1)</f>
        <v>46</v>
      </c>
      <c r="U85" s="4">
        <f t="shared" si="13"/>
        <v>2</v>
      </c>
      <c r="V85" s="4">
        <f t="shared" si="14"/>
        <v>4.1666666666666664E-2</v>
      </c>
      <c r="W85" s="19">
        <f t="shared" si="15"/>
        <v>0.95833333333333337</v>
      </c>
    </row>
    <row r="86" spans="1:23" x14ac:dyDescent="0.25">
      <c r="A86" s="18" t="s">
        <v>587</v>
      </c>
      <c r="B86" s="4">
        <f>Fact_Production_Hourly!B86</f>
        <v>20260701</v>
      </c>
      <c r="C86" s="4">
        <f>Fact_Production_Hourly!C86</f>
        <v>12</v>
      </c>
      <c r="D86" s="4" t="str">
        <f>Fact_Production_Hourly!D86</f>
        <v>M1</v>
      </c>
      <c r="E86" s="4" t="str">
        <f>Fact_Production_Hourly!E86</f>
        <v>A-AM</v>
      </c>
      <c r="F86" s="4" t="str">
        <f>Fact_Production_Hourly!F86</f>
        <v>C</v>
      </c>
      <c r="G86" s="4">
        <f>INDEX(Dim_Machine!$D$2:$D$8,MATCH(D86,Dim_Machine!$A$2:$A$8,0))*2</f>
        <v>32</v>
      </c>
      <c r="H86" s="4">
        <f>ROUND(G86*0.0137,0)</f>
        <v>0</v>
      </c>
      <c r="I86" s="4">
        <f t="shared" si="8"/>
        <v>0</v>
      </c>
      <c r="J86" s="4">
        <f t="shared" si="9"/>
        <v>0</v>
      </c>
      <c r="K86" s="4">
        <f t="shared" si="10"/>
        <v>0</v>
      </c>
      <c r="L86" s="4" t="s">
        <v>500</v>
      </c>
      <c r="M86" s="4">
        <f>INDEX(Dim_Product!$C$2:$C$4,MATCH(F86,Dim_Product!$A$2:$A$4,0))+0.04</f>
        <v>200.04</v>
      </c>
      <c r="N86" s="4">
        <f>IF(AND(M86&gt;=INDEX(Dim_Product!$C$2:$C$4,MATCH(F86,Dim_Product!$A$2:$A$4,0))-INDEX(Dim_Product!$D$2:$D$4,MATCH(F86,Dim_Product!$A$2:$A$4,0)),M86&lt;=INDEX(Dim_Product!$C$2:$C$4,MATCH(F86,Dim_Product!$A$2:$A$4,0))+INDEX(Dim_Product!$D$2:$D$4,MATCH(F86,Dim_Product!$A$2:$A$4,0))),G86-H86,G86-H86-1)</f>
        <v>32</v>
      </c>
      <c r="O86" s="4">
        <f t="shared" si="11"/>
        <v>0</v>
      </c>
      <c r="P86" s="4">
        <f>INDEX(Dim_Product!$G$2:$G$4,MATCH(F86,Dim_Product!$A$2:$A$4,0))+0.04</f>
        <v>65.040000000000006</v>
      </c>
      <c r="Q86" s="4">
        <f>IF(AND(P86&gt;=INDEX(Dim_Product!$G$2:$G$4,MATCH(F86,Dim_Product!$A$2:$A$4,0))-INDEX(Dim_Product!$H$2:$H$4,MATCH(F86,Dim_Product!$A$2:$A$4,0)),P86&lt;=INDEX(Dim_Product!$G$2:$G$4,MATCH(F86,Dim_Product!$A$2:$A$4,0))+INDEX(Dim_Product!$H$2:$H$4,MATCH(F86,Dim_Product!$A$2:$A$4,0))),G86-H86,G86-H86-1)</f>
        <v>32</v>
      </c>
      <c r="R86" s="4">
        <f t="shared" si="12"/>
        <v>0</v>
      </c>
      <c r="S86" s="4">
        <f>INDEX(Dim_Product!$K$2:$K$4,MATCH(F86,Dim_Product!$A$2:$A$4,0))+0.4</f>
        <v>110.4</v>
      </c>
      <c r="T86" s="4">
        <f>IF(AND(S86&gt;=INDEX(Dim_Product!$K$2:$K$4,MATCH(F86,Dim_Product!$A$2:$A$4,0))-INDEX(Dim_Product!$L$2:$L$4,MATCH(F86,Dim_Product!$A$2:$A$4,0)),S86&lt;=INDEX(Dim_Product!$K$2:$K$4,MATCH(F86,Dim_Product!$A$2:$A$4,0))+INDEX(Dim_Product!$L$2:$L$4,MATCH(F86,Dim_Product!$A$2:$A$4,0))),G86-H86,G86-H86-1)</f>
        <v>32</v>
      </c>
      <c r="U86" s="4">
        <f t="shared" si="13"/>
        <v>0</v>
      </c>
      <c r="V86" s="4">
        <f t="shared" si="14"/>
        <v>0</v>
      </c>
      <c r="W86" s="19">
        <f t="shared" si="15"/>
        <v>1</v>
      </c>
    </row>
    <row r="87" spans="1:23" x14ac:dyDescent="0.25">
      <c r="A87" s="18" t="s">
        <v>588</v>
      </c>
      <c r="B87" s="4">
        <f>Fact_Production_Hourly!B87</f>
        <v>20260701</v>
      </c>
      <c r="C87" s="4">
        <f>Fact_Production_Hourly!C87</f>
        <v>12</v>
      </c>
      <c r="D87" s="4" t="str">
        <f>Fact_Production_Hourly!D87</f>
        <v>M2</v>
      </c>
      <c r="E87" s="4" t="str">
        <f>Fact_Production_Hourly!E87</f>
        <v>A-AM</v>
      </c>
      <c r="F87" s="4" t="str">
        <f>Fact_Production_Hourly!F87</f>
        <v>A</v>
      </c>
      <c r="G87" s="4">
        <f>INDEX(Dim_Machine!$D$2:$D$8,MATCH(D87,Dim_Machine!$A$2:$A$8,0))*2</f>
        <v>48</v>
      </c>
      <c r="H87" s="4">
        <f>ROUND(G87*0.0387,0)</f>
        <v>2</v>
      </c>
      <c r="I87" s="4">
        <f t="shared" si="8"/>
        <v>0</v>
      </c>
      <c r="J87" s="4">
        <f t="shared" si="9"/>
        <v>1</v>
      </c>
      <c r="K87" s="4">
        <f t="shared" si="10"/>
        <v>1</v>
      </c>
      <c r="L87" s="4" t="s">
        <v>503</v>
      </c>
      <c r="M87" s="4">
        <f>INDEX(Dim_Product!$C$2:$C$4,MATCH(F87,Dim_Product!$A$2:$A$4,0))+-0.37</f>
        <v>249.63</v>
      </c>
      <c r="N87" s="4">
        <f>IF(AND(M87&gt;=INDEX(Dim_Product!$C$2:$C$4,MATCH(F87,Dim_Product!$A$2:$A$4,0))-INDEX(Dim_Product!$D$2:$D$4,MATCH(F87,Dim_Product!$A$2:$A$4,0)),M87&lt;=INDEX(Dim_Product!$C$2:$C$4,MATCH(F87,Dim_Product!$A$2:$A$4,0))+INDEX(Dim_Product!$D$2:$D$4,MATCH(F87,Dim_Product!$A$2:$A$4,0))),G87-H87,G87-H87-1)</f>
        <v>46</v>
      </c>
      <c r="O87" s="4">
        <f t="shared" si="11"/>
        <v>2</v>
      </c>
      <c r="P87" s="4">
        <f>INDEX(Dim_Product!$G$2:$G$4,MATCH(F87,Dim_Product!$A$2:$A$4,0))+-0.2</f>
        <v>69.8</v>
      </c>
      <c r="Q87" s="4">
        <f>IF(AND(P87&gt;=INDEX(Dim_Product!$G$2:$G$4,MATCH(F87,Dim_Product!$A$2:$A$4,0))-INDEX(Dim_Product!$H$2:$H$4,MATCH(F87,Dim_Product!$A$2:$A$4,0)),P87&lt;=INDEX(Dim_Product!$G$2:$G$4,MATCH(F87,Dim_Product!$A$2:$A$4,0))+INDEX(Dim_Product!$H$2:$H$4,MATCH(F87,Dim_Product!$A$2:$A$4,0))),G87-H87,G87-H87-1)</f>
        <v>46</v>
      </c>
      <c r="R87" s="4">
        <f t="shared" si="12"/>
        <v>2</v>
      </c>
      <c r="S87" s="4">
        <f>INDEX(Dim_Product!$K$2:$K$4,MATCH(F87,Dim_Product!$A$2:$A$4,0))+0.33</f>
        <v>120.33</v>
      </c>
      <c r="T87" s="4">
        <f>IF(AND(S87&gt;=INDEX(Dim_Product!$K$2:$K$4,MATCH(F87,Dim_Product!$A$2:$A$4,0))-INDEX(Dim_Product!$L$2:$L$4,MATCH(F87,Dim_Product!$A$2:$A$4,0)),S87&lt;=INDEX(Dim_Product!$K$2:$K$4,MATCH(F87,Dim_Product!$A$2:$A$4,0))+INDEX(Dim_Product!$L$2:$L$4,MATCH(F87,Dim_Product!$A$2:$A$4,0))),G87-H87,G87-H87-1)</f>
        <v>46</v>
      </c>
      <c r="U87" s="4">
        <f t="shared" si="13"/>
        <v>2</v>
      </c>
      <c r="V87" s="4">
        <f t="shared" si="14"/>
        <v>4.1666666666666664E-2</v>
      </c>
      <c r="W87" s="19">
        <f t="shared" si="15"/>
        <v>0.95833333333333337</v>
      </c>
    </row>
    <row r="88" spans="1:23" x14ac:dyDescent="0.25">
      <c r="A88" s="18" t="s">
        <v>589</v>
      </c>
      <c r="B88" s="4">
        <f>Fact_Production_Hourly!B88</f>
        <v>20260701</v>
      </c>
      <c r="C88" s="4">
        <f>Fact_Production_Hourly!C88</f>
        <v>12</v>
      </c>
      <c r="D88" s="4" t="str">
        <f>Fact_Production_Hourly!D88</f>
        <v>M3</v>
      </c>
      <c r="E88" s="4" t="str">
        <f>Fact_Production_Hourly!E88</f>
        <v>A-AM</v>
      </c>
      <c r="F88" s="4" t="str">
        <f>Fact_Production_Hourly!F88</f>
        <v>B</v>
      </c>
      <c r="G88" s="4">
        <f>INDEX(Dim_Machine!$D$2:$D$8,MATCH(D88,Dim_Machine!$A$2:$A$8,0))*2</f>
        <v>24</v>
      </c>
      <c r="H88" s="4">
        <f>ROUND(G88*0.0305,0)</f>
        <v>1</v>
      </c>
      <c r="I88" s="4">
        <f t="shared" si="8"/>
        <v>0</v>
      </c>
      <c r="J88" s="4">
        <f t="shared" si="9"/>
        <v>0</v>
      </c>
      <c r="K88" s="4">
        <f t="shared" si="10"/>
        <v>1</v>
      </c>
      <c r="L88" s="4" t="s">
        <v>517</v>
      </c>
      <c r="M88" s="4">
        <f>INDEX(Dim_Product!$C$2:$C$4,MATCH(F88,Dim_Product!$A$2:$A$4,0))+0.35</f>
        <v>300.35000000000002</v>
      </c>
      <c r="N88" s="4">
        <f>IF(AND(M88&gt;=INDEX(Dim_Product!$C$2:$C$4,MATCH(F88,Dim_Product!$A$2:$A$4,0))-INDEX(Dim_Product!$D$2:$D$4,MATCH(F88,Dim_Product!$A$2:$A$4,0)),M88&lt;=INDEX(Dim_Product!$C$2:$C$4,MATCH(F88,Dim_Product!$A$2:$A$4,0))+INDEX(Dim_Product!$D$2:$D$4,MATCH(F88,Dim_Product!$A$2:$A$4,0))),G88-H88,G88-H88-1)</f>
        <v>23</v>
      </c>
      <c r="O88" s="4">
        <f t="shared" si="11"/>
        <v>1</v>
      </c>
      <c r="P88" s="4">
        <f>INDEX(Dim_Product!$G$2:$G$4,MATCH(F88,Dim_Product!$A$2:$A$4,0))+0.22</f>
        <v>75.22</v>
      </c>
      <c r="Q88" s="4">
        <f>IF(AND(P88&gt;=INDEX(Dim_Product!$G$2:$G$4,MATCH(F88,Dim_Product!$A$2:$A$4,0))-INDEX(Dim_Product!$H$2:$H$4,MATCH(F88,Dim_Product!$A$2:$A$4,0)),P88&lt;=INDEX(Dim_Product!$G$2:$G$4,MATCH(F88,Dim_Product!$A$2:$A$4,0))+INDEX(Dim_Product!$H$2:$H$4,MATCH(F88,Dim_Product!$A$2:$A$4,0))),G88-H88,G88-H88-1)</f>
        <v>23</v>
      </c>
      <c r="R88" s="4">
        <f t="shared" si="12"/>
        <v>1</v>
      </c>
      <c r="S88" s="4">
        <f>INDEX(Dim_Product!$K$2:$K$4,MATCH(F88,Dim_Product!$A$2:$A$4,0))+0.14</f>
        <v>130.13999999999999</v>
      </c>
      <c r="T88" s="4">
        <f>IF(AND(S88&gt;=INDEX(Dim_Product!$K$2:$K$4,MATCH(F88,Dim_Product!$A$2:$A$4,0))-INDEX(Dim_Product!$L$2:$L$4,MATCH(F88,Dim_Product!$A$2:$A$4,0)),S88&lt;=INDEX(Dim_Product!$K$2:$K$4,MATCH(F88,Dim_Product!$A$2:$A$4,0))+INDEX(Dim_Product!$L$2:$L$4,MATCH(F88,Dim_Product!$A$2:$A$4,0))),G88-H88,G88-H88-1)</f>
        <v>23</v>
      </c>
      <c r="U88" s="4">
        <f t="shared" si="13"/>
        <v>1</v>
      </c>
      <c r="V88" s="4">
        <f t="shared" si="14"/>
        <v>4.1666666666666664E-2</v>
      </c>
      <c r="W88" s="19">
        <f t="shared" si="15"/>
        <v>0.95833333333333337</v>
      </c>
    </row>
    <row r="89" spans="1:23" x14ac:dyDescent="0.25">
      <c r="A89" s="18" t="s">
        <v>590</v>
      </c>
      <c r="B89" s="4">
        <f>Fact_Production_Hourly!B89</f>
        <v>20260701</v>
      </c>
      <c r="C89" s="4">
        <f>Fact_Production_Hourly!C89</f>
        <v>12</v>
      </c>
      <c r="D89" s="4" t="str">
        <f>Fact_Production_Hourly!D89</f>
        <v>M4</v>
      </c>
      <c r="E89" s="4" t="str">
        <f>Fact_Production_Hourly!E89</f>
        <v>A-AM</v>
      </c>
      <c r="F89" s="4" t="str">
        <f>Fact_Production_Hourly!F89</f>
        <v>A</v>
      </c>
      <c r="G89" s="4">
        <f>INDEX(Dim_Machine!$D$2:$D$8,MATCH(D89,Dim_Machine!$A$2:$A$8,0))*2</f>
        <v>48</v>
      </c>
      <c r="H89" s="4">
        <f>ROUND(G89*0.0582,0)</f>
        <v>3</v>
      </c>
      <c r="I89" s="4">
        <f t="shared" si="8"/>
        <v>0</v>
      </c>
      <c r="J89" s="4">
        <f t="shared" si="9"/>
        <v>1</v>
      </c>
      <c r="K89" s="4">
        <f t="shared" si="10"/>
        <v>2</v>
      </c>
      <c r="L89" s="4" t="s">
        <v>517</v>
      </c>
      <c r="M89" s="4">
        <f>INDEX(Dim_Product!$C$2:$C$4,MATCH(F89,Dim_Product!$A$2:$A$4,0))+0.22</f>
        <v>250.22</v>
      </c>
      <c r="N89" s="4">
        <f>IF(AND(M89&gt;=INDEX(Dim_Product!$C$2:$C$4,MATCH(F89,Dim_Product!$A$2:$A$4,0))-INDEX(Dim_Product!$D$2:$D$4,MATCH(F89,Dim_Product!$A$2:$A$4,0)),M89&lt;=INDEX(Dim_Product!$C$2:$C$4,MATCH(F89,Dim_Product!$A$2:$A$4,0))+INDEX(Dim_Product!$D$2:$D$4,MATCH(F89,Dim_Product!$A$2:$A$4,0))),G89-H89,G89-H89-1)</f>
        <v>45</v>
      </c>
      <c r="O89" s="4">
        <f t="shared" si="11"/>
        <v>3</v>
      </c>
      <c r="P89" s="4">
        <f>INDEX(Dim_Product!$G$2:$G$4,MATCH(F89,Dim_Product!$A$2:$A$4,0))+-0.18</f>
        <v>69.819999999999993</v>
      </c>
      <c r="Q89" s="4">
        <f>IF(AND(P89&gt;=INDEX(Dim_Product!$G$2:$G$4,MATCH(F89,Dim_Product!$A$2:$A$4,0))-INDEX(Dim_Product!$H$2:$H$4,MATCH(F89,Dim_Product!$A$2:$A$4,0)),P89&lt;=INDEX(Dim_Product!$G$2:$G$4,MATCH(F89,Dim_Product!$A$2:$A$4,0))+INDEX(Dim_Product!$H$2:$H$4,MATCH(F89,Dim_Product!$A$2:$A$4,0))),G89-H89,G89-H89-1)</f>
        <v>45</v>
      </c>
      <c r="R89" s="4">
        <f t="shared" si="12"/>
        <v>3</v>
      </c>
      <c r="S89" s="4">
        <f>INDEX(Dim_Product!$K$2:$K$4,MATCH(F89,Dim_Product!$A$2:$A$4,0))+-0.2</f>
        <v>119.8</v>
      </c>
      <c r="T89" s="4">
        <f>IF(AND(S89&gt;=INDEX(Dim_Product!$K$2:$K$4,MATCH(F89,Dim_Product!$A$2:$A$4,0))-INDEX(Dim_Product!$L$2:$L$4,MATCH(F89,Dim_Product!$A$2:$A$4,0)),S89&lt;=INDEX(Dim_Product!$K$2:$K$4,MATCH(F89,Dim_Product!$A$2:$A$4,0))+INDEX(Dim_Product!$L$2:$L$4,MATCH(F89,Dim_Product!$A$2:$A$4,0))),G89-H89,G89-H89-1)</f>
        <v>45</v>
      </c>
      <c r="U89" s="4">
        <f t="shared" si="13"/>
        <v>3</v>
      </c>
      <c r="V89" s="4">
        <f t="shared" si="14"/>
        <v>6.25E-2</v>
      </c>
      <c r="W89" s="19">
        <f t="shared" si="15"/>
        <v>0.9375</v>
      </c>
    </row>
    <row r="90" spans="1:23" x14ac:dyDescent="0.25">
      <c r="A90" s="18" t="s">
        <v>591</v>
      </c>
      <c r="B90" s="4">
        <f>Fact_Production_Hourly!B90</f>
        <v>20260701</v>
      </c>
      <c r="C90" s="4">
        <f>Fact_Production_Hourly!C90</f>
        <v>12</v>
      </c>
      <c r="D90" s="4" t="str">
        <f>Fact_Production_Hourly!D90</f>
        <v>M5</v>
      </c>
      <c r="E90" s="4" t="str">
        <f>Fact_Production_Hourly!E90</f>
        <v>A-AM</v>
      </c>
      <c r="F90" s="4" t="str">
        <f>Fact_Production_Hourly!F90</f>
        <v>C</v>
      </c>
      <c r="G90" s="4">
        <f>INDEX(Dim_Machine!$D$2:$D$8,MATCH(D90,Dim_Machine!$A$2:$A$8,0))*2</f>
        <v>32</v>
      </c>
      <c r="H90" s="4">
        <f>ROUND(G90*0.0435,0)</f>
        <v>1</v>
      </c>
      <c r="I90" s="4">
        <f t="shared" si="8"/>
        <v>0</v>
      </c>
      <c r="J90" s="4">
        <f t="shared" si="9"/>
        <v>0</v>
      </c>
      <c r="K90" s="4">
        <f t="shared" si="10"/>
        <v>1</v>
      </c>
      <c r="L90" s="4" t="s">
        <v>500</v>
      </c>
      <c r="M90" s="4">
        <f>INDEX(Dim_Product!$C$2:$C$4,MATCH(F90,Dim_Product!$A$2:$A$4,0))+0.88</f>
        <v>200.88</v>
      </c>
      <c r="N90" s="4">
        <f>IF(AND(M90&gt;=INDEX(Dim_Product!$C$2:$C$4,MATCH(F90,Dim_Product!$A$2:$A$4,0))-INDEX(Dim_Product!$D$2:$D$4,MATCH(F90,Dim_Product!$A$2:$A$4,0)),M90&lt;=INDEX(Dim_Product!$C$2:$C$4,MATCH(F90,Dim_Product!$A$2:$A$4,0))+INDEX(Dim_Product!$D$2:$D$4,MATCH(F90,Dim_Product!$A$2:$A$4,0))),G90-H90,G90-H90-1)</f>
        <v>31</v>
      </c>
      <c r="O90" s="4">
        <f t="shared" si="11"/>
        <v>1</v>
      </c>
      <c r="P90" s="4">
        <f>INDEX(Dim_Product!$G$2:$G$4,MATCH(F90,Dim_Product!$A$2:$A$4,0))+0.29</f>
        <v>65.290000000000006</v>
      </c>
      <c r="Q90" s="4">
        <f>IF(AND(P90&gt;=INDEX(Dim_Product!$G$2:$G$4,MATCH(F90,Dim_Product!$A$2:$A$4,0))-INDEX(Dim_Product!$H$2:$H$4,MATCH(F90,Dim_Product!$A$2:$A$4,0)),P90&lt;=INDEX(Dim_Product!$G$2:$G$4,MATCH(F90,Dim_Product!$A$2:$A$4,0))+INDEX(Dim_Product!$H$2:$H$4,MATCH(F90,Dim_Product!$A$2:$A$4,0))),G90-H90,G90-H90-1)</f>
        <v>31</v>
      </c>
      <c r="R90" s="4">
        <f t="shared" si="12"/>
        <v>1</v>
      </c>
      <c r="S90" s="4">
        <f>INDEX(Dim_Product!$K$2:$K$4,MATCH(F90,Dim_Product!$A$2:$A$4,0))+0.22</f>
        <v>110.22</v>
      </c>
      <c r="T90" s="4">
        <f>IF(AND(S90&gt;=INDEX(Dim_Product!$K$2:$K$4,MATCH(F90,Dim_Product!$A$2:$A$4,0))-INDEX(Dim_Product!$L$2:$L$4,MATCH(F90,Dim_Product!$A$2:$A$4,0)),S90&lt;=INDEX(Dim_Product!$K$2:$K$4,MATCH(F90,Dim_Product!$A$2:$A$4,0))+INDEX(Dim_Product!$L$2:$L$4,MATCH(F90,Dim_Product!$A$2:$A$4,0))),G90-H90,G90-H90-1)</f>
        <v>31</v>
      </c>
      <c r="U90" s="4">
        <f t="shared" si="13"/>
        <v>1</v>
      </c>
      <c r="V90" s="4">
        <f t="shared" si="14"/>
        <v>3.125E-2</v>
      </c>
      <c r="W90" s="19">
        <f t="shared" si="15"/>
        <v>0.96875</v>
      </c>
    </row>
    <row r="91" spans="1:23" x14ac:dyDescent="0.25">
      <c r="A91" s="18" t="s">
        <v>592</v>
      </c>
      <c r="B91" s="4">
        <f>Fact_Production_Hourly!B91</f>
        <v>20260701</v>
      </c>
      <c r="C91" s="4">
        <f>Fact_Production_Hourly!C91</f>
        <v>12</v>
      </c>
      <c r="D91" s="4" t="str">
        <f>Fact_Production_Hourly!D91</f>
        <v>M6</v>
      </c>
      <c r="E91" s="4" t="str">
        <f>Fact_Production_Hourly!E91</f>
        <v>A-AM</v>
      </c>
      <c r="F91" s="4" t="str">
        <f>Fact_Production_Hourly!F91</f>
        <v>C</v>
      </c>
      <c r="G91" s="4">
        <f>INDEX(Dim_Machine!$D$2:$D$8,MATCH(D91,Dim_Machine!$A$2:$A$8,0))*2</f>
        <v>24</v>
      </c>
      <c r="H91" s="4">
        <f>ROUND(G91*0.0523,0)</f>
        <v>1</v>
      </c>
      <c r="I91" s="4">
        <f t="shared" si="8"/>
        <v>0</v>
      </c>
      <c r="J91" s="4">
        <f t="shared" si="9"/>
        <v>0</v>
      </c>
      <c r="K91" s="4">
        <f t="shared" si="10"/>
        <v>1</v>
      </c>
      <c r="L91" s="4" t="s">
        <v>520</v>
      </c>
      <c r="M91" s="4">
        <f>INDEX(Dim_Product!$C$2:$C$4,MATCH(F91,Dim_Product!$A$2:$A$4,0))+0.41</f>
        <v>200.41</v>
      </c>
      <c r="N91" s="4">
        <f>IF(AND(M91&gt;=INDEX(Dim_Product!$C$2:$C$4,MATCH(F91,Dim_Product!$A$2:$A$4,0))-INDEX(Dim_Product!$D$2:$D$4,MATCH(F91,Dim_Product!$A$2:$A$4,0)),M91&lt;=INDEX(Dim_Product!$C$2:$C$4,MATCH(F91,Dim_Product!$A$2:$A$4,0))+INDEX(Dim_Product!$D$2:$D$4,MATCH(F91,Dim_Product!$A$2:$A$4,0))),G91-H91,G91-H91-1)</f>
        <v>23</v>
      </c>
      <c r="O91" s="4">
        <f t="shared" si="11"/>
        <v>1</v>
      </c>
      <c r="P91" s="4">
        <f>INDEX(Dim_Product!$G$2:$G$4,MATCH(F91,Dim_Product!$A$2:$A$4,0))+-0.11</f>
        <v>64.89</v>
      </c>
      <c r="Q91" s="4">
        <f>IF(AND(P91&gt;=INDEX(Dim_Product!$G$2:$G$4,MATCH(F91,Dim_Product!$A$2:$A$4,0))-INDEX(Dim_Product!$H$2:$H$4,MATCH(F91,Dim_Product!$A$2:$A$4,0)),P91&lt;=INDEX(Dim_Product!$G$2:$G$4,MATCH(F91,Dim_Product!$A$2:$A$4,0))+INDEX(Dim_Product!$H$2:$H$4,MATCH(F91,Dim_Product!$A$2:$A$4,0))),G91-H91,G91-H91-1)</f>
        <v>23</v>
      </c>
      <c r="R91" s="4">
        <f t="shared" si="12"/>
        <v>1</v>
      </c>
      <c r="S91" s="4">
        <f>INDEX(Dim_Product!$K$2:$K$4,MATCH(F91,Dim_Product!$A$2:$A$4,0))+-0.12</f>
        <v>109.88</v>
      </c>
      <c r="T91" s="4">
        <f>IF(AND(S91&gt;=INDEX(Dim_Product!$K$2:$K$4,MATCH(F91,Dim_Product!$A$2:$A$4,0))-INDEX(Dim_Product!$L$2:$L$4,MATCH(F91,Dim_Product!$A$2:$A$4,0)),S91&lt;=INDEX(Dim_Product!$K$2:$K$4,MATCH(F91,Dim_Product!$A$2:$A$4,0))+INDEX(Dim_Product!$L$2:$L$4,MATCH(F91,Dim_Product!$A$2:$A$4,0))),G91-H91,G91-H91-1)</f>
        <v>23</v>
      </c>
      <c r="U91" s="4">
        <f t="shared" si="13"/>
        <v>1</v>
      </c>
      <c r="V91" s="4">
        <f t="shared" si="14"/>
        <v>4.1666666666666664E-2</v>
      </c>
      <c r="W91" s="19">
        <f t="shared" si="15"/>
        <v>0.95833333333333337</v>
      </c>
    </row>
    <row r="92" spans="1:23" x14ac:dyDescent="0.25">
      <c r="A92" s="18" t="s">
        <v>593</v>
      </c>
      <c r="B92" s="4">
        <f>Fact_Production_Hourly!B92</f>
        <v>20260701</v>
      </c>
      <c r="C92" s="4">
        <f>Fact_Production_Hourly!C92</f>
        <v>12</v>
      </c>
      <c r="D92" s="4" t="str">
        <f>Fact_Production_Hourly!D92</f>
        <v>M7</v>
      </c>
      <c r="E92" s="4" t="str">
        <f>Fact_Production_Hourly!E92</f>
        <v>A-AM</v>
      </c>
      <c r="F92" s="4" t="str">
        <f>Fact_Production_Hourly!F92</f>
        <v>C</v>
      </c>
      <c r="G92" s="4">
        <f>INDEX(Dim_Machine!$D$2:$D$8,MATCH(D92,Dim_Machine!$A$2:$A$8,0))*2</f>
        <v>48</v>
      </c>
      <c r="H92" s="4">
        <f>ROUND(G92*0.066,0)</f>
        <v>3</v>
      </c>
      <c r="I92" s="4">
        <f t="shared" si="8"/>
        <v>0</v>
      </c>
      <c r="J92" s="4">
        <f t="shared" si="9"/>
        <v>1</v>
      </c>
      <c r="K92" s="4">
        <f t="shared" si="10"/>
        <v>2</v>
      </c>
      <c r="L92" s="4" t="s">
        <v>520</v>
      </c>
      <c r="M92" s="4">
        <f>INDEX(Dim_Product!$C$2:$C$4,MATCH(F92,Dim_Product!$A$2:$A$4,0))+-0.45</f>
        <v>199.55</v>
      </c>
      <c r="N92" s="4">
        <f>IF(AND(M92&gt;=INDEX(Dim_Product!$C$2:$C$4,MATCH(F92,Dim_Product!$A$2:$A$4,0))-INDEX(Dim_Product!$D$2:$D$4,MATCH(F92,Dim_Product!$A$2:$A$4,0)),M92&lt;=INDEX(Dim_Product!$C$2:$C$4,MATCH(F92,Dim_Product!$A$2:$A$4,0))+INDEX(Dim_Product!$D$2:$D$4,MATCH(F92,Dim_Product!$A$2:$A$4,0))),G92-H92,G92-H92-1)</f>
        <v>45</v>
      </c>
      <c r="O92" s="4">
        <f t="shared" si="11"/>
        <v>3</v>
      </c>
      <c r="P92" s="4">
        <f>INDEX(Dim_Product!$G$2:$G$4,MATCH(F92,Dim_Product!$A$2:$A$4,0))+-0.23</f>
        <v>64.77</v>
      </c>
      <c r="Q92" s="4">
        <f>IF(AND(P92&gt;=INDEX(Dim_Product!$G$2:$G$4,MATCH(F92,Dim_Product!$A$2:$A$4,0))-INDEX(Dim_Product!$H$2:$H$4,MATCH(F92,Dim_Product!$A$2:$A$4,0)),P92&lt;=INDEX(Dim_Product!$G$2:$G$4,MATCH(F92,Dim_Product!$A$2:$A$4,0))+INDEX(Dim_Product!$H$2:$H$4,MATCH(F92,Dim_Product!$A$2:$A$4,0))),G92-H92,G92-H92-1)</f>
        <v>45</v>
      </c>
      <c r="R92" s="4">
        <f t="shared" si="12"/>
        <v>3</v>
      </c>
      <c r="S92" s="4">
        <f>INDEX(Dim_Product!$K$2:$K$4,MATCH(F92,Dim_Product!$A$2:$A$4,0))+0.14</f>
        <v>110.14</v>
      </c>
      <c r="T92" s="4">
        <f>IF(AND(S92&gt;=INDEX(Dim_Product!$K$2:$K$4,MATCH(F92,Dim_Product!$A$2:$A$4,0))-INDEX(Dim_Product!$L$2:$L$4,MATCH(F92,Dim_Product!$A$2:$A$4,0)),S92&lt;=INDEX(Dim_Product!$K$2:$K$4,MATCH(F92,Dim_Product!$A$2:$A$4,0))+INDEX(Dim_Product!$L$2:$L$4,MATCH(F92,Dim_Product!$A$2:$A$4,0))),G92-H92,G92-H92-1)</f>
        <v>45</v>
      </c>
      <c r="U92" s="4">
        <f t="shared" si="13"/>
        <v>3</v>
      </c>
      <c r="V92" s="4">
        <f t="shared" si="14"/>
        <v>6.25E-2</v>
      </c>
      <c r="W92" s="19">
        <f t="shared" si="15"/>
        <v>0.9375</v>
      </c>
    </row>
    <row r="93" spans="1:23" x14ac:dyDescent="0.25">
      <c r="A93" s="18" t="s">
        <v>594</v>
      </c>
      <c r="B93" s="4">
        <f>Fact_Production_Hourly!B93</f>
        <v>20260701</v>
      </c>
      <c r="C93" s="4">
        <f>Fact_Production_Hourly!C93</f>
        <v>13</v>
      </c>
      <c r="D93" s="4" t="str">
        <f>Fact_Production_Hourly!D93</f>
        <v>M1</v>
      </c>
      <c r="E93" s="4" t="str">
        <f>Fact_Production_Hourly!E93</f>
        <v>A-AM</v>
      </c>
      <c r="F93" s="4" t="str">
        <f>Fact_Production_Hourly!F93</f>
        <v>C</v>
      </c>
      <c r="G93" s="4">
        <f>INDEX(Dim_Machine!$D$2:$D$8,MATCH(D93,Dim_Machine!$A$2:$A$8,0))*2</f>
        <v>32</v>
      </c>
      <c r="H93" s="4">
        <f>ROUND(G93*0.0328,0)</f>
        <v>1</v>
      </c>
      <c r="I93" s="4">
        <f t="shared" si="8"/>
        <v>0</v>
      </c>
      <c r="J93" s="4">
        <f t="shared" si="9"/>
        <v>0</v>
      </c>
      <c r="K93" s="4">
        <f t="shared" si="10"/>
        <v>1</v>
      </c>
      <c r="L93" s="4" t="s">
        <v>503</v>
      </c>
      <c r="M93" s="4">
        <f>INDEX(Dim_Product!$C$2:$C$4,MATCH(F93,Dim_Product!$A$2:$A$4,0))+0.64</f>
        <v>200.64</v>
      </c>
      <c r="N93" s="4">
        <f>IF(AND(M93&gt;=INDEX(Dim_Product!$C$2:$C$4,MATCH(F93,Dim_Product!$A$2:$A$4,0))-INDEX(Dim_Product!$D$2:$D$4,MATCH(F93,Dim_Product!$A$2:$A$4,0)),M93&lt;=INDEX(Dim_Product!$C$2:$C$4,MATCH(F93,Dim_Product!$A$2:$A$4,0))+INDEX(Dim_Product!$D$2:$D$4,MATCH(F93,Dim_Product!$A$2:$A$4,0))),G93-H93,G93-H93-1)</f>
        <v>31</v>
      </c>
      <c r="O93" s="4">
        <f t="shared" si="11"/>
        <v>1</v>
      </c>
      <c r="P93" s="4">
        <f>INDEX(Dim_Product!$G$2:$G$4,MATCH(F93,Dim_Product!$A$2:$A$4,0))+0.27</f>
        <v>65.27</v>
      </c>
      <c r="Q93" s="4">
        <f>IF(AND(P93&gt;=INDEX(Dim_Product!$G$2:$G$4,MATCH(F93,Dim_Product!$A$2:$A$4,0))-INDEX(Dim_Product!$H$2:$H$4,MATCH(F93,Dim_Product!$A$2:$A$4,0)),P93&lt;=INDEX(Dim_Product!$G$2:$G$4,MATCH(F93,Dim_Product!$A$2:$A$4,0))+INDEX(Dim_Product!$H$2:$H$4,MATCH(F93,Dim_Product!$A$2:$A$4,0))),G93-H93,G93-H93-1)</f>
        <v>31</v>
      </c>
      <c r="R93" s="4">
        <f t="shared" si="12"/>
        <v>1</v>
      </c>
      <c r="S93" s="4">
        <f>INDEX(Dim_Product!$K$2:$K$4,MATCH(F93,Dim_Product!$A$2:$A$4,0))+0.24</f>
        <v>110.24</v>
      </c>
      <c r="T93" s="4">
        <f>IF(AND(S93&gt;=INDEX(Dim_Product!$K$2:$K$4,MATCH(F93,Dim_Product!$A$2:$A$4,0))-INDEX(Dim_Product!$L$2:$L$4,MATCH(F93,Dim_Product!$A$2:$A$4,0)),S93&lt;=INDEX(Dim_Product!$K$2:$K$4,MATCH(F93,Dim_Product!$A$2:$A$4,0))+INDEX(Dim_Product!$L$2:$L$4,MATCH(F93,Dim_Product!$A$2:$A$4,0))),G93-H93,G93-H93-1)</f>
        <v>31</v>
      </c>
      <c r="U93" s="4">
        <f t="shared" si="13"/>
        <v>1</v>
      </c>
      <c r="V93" s="4">
        <f t="shared" si="14"/>
        <v>3.125E-2</v>
      </c>
      <c r="W93" s="19">
        <f t="shared" si="15"/>
        <v>0.96875</v>
      </c>
    </row>
    <row r="94" spans="1:23" x14ac:dyDescent="0.25">
      <c r="A94" s="18" t="s">
        <v>595</v>
      </c>
      <c r="B94" s="4">
        <f>Fact_Production_Hourly!B94</f>
        <v>20260701</v>
      </c>
      <c r="C94" s="4">
        <f>Fact_Production_Hourly!C94</f>
        <v>13</v>
      </c>
      <c r="D94" s="4" t="str">
        <f>Fact_Production_Hourly!D94</f>
        <v>M2</v>
      </c>
      <c r="E94" s="4" t="str">
        <f>Fact_Production_Hourly!E94</f>
        <v>A-AM</v>
      </c>
      <c r="F94" s="4" t="str">
        <f>Fact_Production_Hourly!F94</f>
        <v>A</v>
      </c>
      <c r="G94" s="4">
        <f>INDEX(Dim_Machine!$D$2:$D$8,MATCH(D94,Dim_Machine!$A$2:$A$8,0))*2</f>
        <v>48</v>
      </c>
      <c r="H94" s="4">
        <f>ROUND(G94*0.0274,0)</f>
        <v>1</v>
      </c>
      <c r="I94" s="4">
        <f t="shared" si="8"/>
        <v>0</v>
      </c>
      <c r="J94" s="4">
        <f t="shared" si="9"/>
        <v>0</v>
      </c>
      <c r="K94" s="4">
        <f t="shared" si="10"/>
        <v>1</v>
      </c>
      <c r="L94" s="4" t="s">
        <v>517</v>
      </c>
      <c r="M94" s="4">
        <f>INDEX(Dim_Product!$C$2:$C$4,MATCH(F94,Dim_Product!$A$2:$A$4,0))+0.91</f>
        <v>250.91</v>
      </c>
      <c r="N94" s="4">
        <f>IF(AND(M94&gt;=INDEX(Dim_Product!$C$2:$C$4,MATCH(F94,Dim_Product!$A$2:$A$4,0))-INDEX(Dim_Product!$D$2:$D$4,MATCH(F94,Dim_Product!$A$2:$A$4,0)),M94&lt;=INDEX(Dim_Product!$C$2:$C$4,MATCH(F94,Dim_Product!$A$2:$A$4,0))+INDEX(Dim_Product!$D$2:$D$4,MATCH(F94,Dim_Product!$A$2:$A$4,0))),G94-H94,G94-H94-1)</f>
        <v>47</v>
      </c>
      <c r="O94" s="4">
        <f t="shared" si="11"/>
        <v>1</v>
      </c>
      <c r="P94" s="4">
        <f>INDEX(Dim_Product!$G$2:$G$4,MATCH(F94,Dim_Product!$A$2:$A$4,0))+-0.25</f>
        <v>69.75</v>
      </c>
      <c r="Q94" s="4">
        <f>IF(AND(P94&gt;=INDEX(Dim_Product!$G$2:$G$4,MATCH(F94,Dim_Product!$A$2:$A$4,0))-INDEX(Dim_Product!$H$2:$H$4,MATCH(F94,Dim_Product!$A$2:$A$4,0)),P94&lt;=INDEX(Dim_Product!$G$2:$G$4,MATCH(F94,Dim_Product!$A$2:$A$4,0))+INDEX(Dim_Product!$H$2:$H$4,MATCH(F94,Dim_Product!$A$2:$A$4,0))),G94-H94,G94-H94-1)</f>
        <v>47</v>
      </c>
      <c r="R94" s="4">
        <f t="shared" si="12"/>
        <v>1</v>
      </c>
      <c r="S94" s="4">
        <f>INDEX(Dim_Product!$K$2:$K$4,MATCH(F94,Dim_Product!$A$2:$A$4,0))+0.34</f>
        <v>120.34</v>
      </c>
      <c r="T94" s="4">
        <f>IF(AND(S94&gt;=INDEX(Dim_Product!$K$2:$K$4,MATCH(F94,Dim_Product!$A$2:$A$4,0))-INDEX(Dim_Product!$L$2:$L$4,MATCH(F94,Dim_Product!$A$2:$A$4,0)),S94&lt;=INDEX(Dim_Product!$K$2:$K$4,MATCH(F94,Dim_Product!$A$2:$A$4,0))+INDEX(Dim_Product!$L$2:$L$4,MATCH(F94,Dim_Product!$A$2:$A$4,0))),G94-H94,G94-H94-1)</f>
        <v>47</v>
      </c>
      <c r="U94" s="4">
        <f t="shared" si="13"/>
        <v>1</v>
      </c>
      <c r="V94" s="4">
        <f t="shared" si="14"/>
        <v>2.0833333333333332E-2</v>
      </c>
      <c r="W94" s="19">
        <f t="shared" si="15"/>
        <v>0.97916666666666663</v>
      </c>
    </row>
    <row r="95" spans="1:23" x14ac:dyDescent="0.25">
      <c r="A95" s="18" t="s">
        <v>596</v>
      </c>
      <c r="B95" s="4">
        <f>Fact_Production_Hourly!B95</f>
        <v>20260701</v>
      </c>
      <c r="C95" s="4">
        <f>Fact_Production_Hourly!C95</f>
        <v>13</v>
      </c>
      <c r="D95" s="4" t="str">
        <f>Fact_Production_Hourly!D95</f>
        <v>M3</v>
      </c>
      <c r="E95" s="4" t="str">
        <f>Fact_Production_Hourly!E95</f>
        <v>A-AM</v>
      </c>
      <c r="F95" s="4" t="str">
        <f>Fact_Production_Hourly!F95</f>
        <v>B</v>
      </c>
      <c r="G95" s="4">
        <f>INDEX(Dim_Machine!$D$2:$D$8,MATCH(D95,Dim_Machine!$A$2:$A$8,0))*2</f>
        <v>24</v>
      </c>
      <c r="H95" s="4">
        <f>ROUND(G95*0.0494,0)</f>
        <v>1</v>
      </c>
      <c r="I95" s="4">
        <f t="shared" si="8"/>
        <v>0</v>
      </c>
      <c r="J95" s="4">
        <f t="shared" si="9"/>
        <v>0</v>
      </c>
      <c r="K95" s="4">
        <f t="shared" si="10"/>
        <v>1</v>
      </c>
      <c r="L95" s="4" t="s">
        <v>520</v>
      </c>
      <c r="M95" s="4">
        <f>INDEX(Dim_Product!$C$2:$C$4,MATCH(F95,Dim_Product!$A$2:$A$4,0))+-0.04</f>
        <v>299.95999999999998</v>
      </c>
      <c r="N95" s="4">
        <f>IF(AND(M95&gt;=INDEX(Dim_Product!$C$2:$C$4,MATCH(F95,Dim_Product!$A$2:$A$4,0))-INDEX(Dim_Product!$D$2:$D$4,MATCH(F95,Dim_Product!$A$2:$A$4,0)),M95&lt;=INDEX(Dim_Product!$C$2:$C$4,MATCH(F95,Dim_Product!$A$2:$A$4,0))+INDEX(Dim_Product!$D$2:$D$4,MATCH(F95,Dim_Product!$A$2:$A$4,0))),G95-H95,G95-H95-1)</f>
        <v>23</v>
      </c>
      <c r="O95" s="4">
        <f t="shared" si="11"/>
        <v>1</v>
      </c>
      <c r="P95" s="4">
        <f>INDEX(Dim_Product!$G$2:$G$4,MATCH(F95,Dim_Product!$A$2:$A$4,0))+-0.18</f>
        <v>74.819999999999993</v>
      </c>
      <c r="Q95" s="4">
        <f>IF(AND(P95&gt;=INDEX(Dim_Product!$G$2:$G$4,MATCH(F95,Dim_Product!$A$2:$A$4,0))-INDEX(Dim_Product!$H$2:$H$4,MATCH(F95,Dim_Product!$A$2:$A$4,0)),P95&lt;=INDEX(Dim_Product!$G$2:$G$4,MATCH(F95,Dim_Product!$A$2:$A$4,0))+INDEX(Dim_Product!$H$2:$H$4,MATCH(F95,Dim_Product!$A$2:$A$4,0))),G95-H95,G95-H95-1)</f>
        <v>23</v>
      </c>
      <c r="R95" s="4">
        <f t="shared" si="12"/>
        <v>1</v>
      </c>
      <c r="S95" s="4">
        <f>INDEX(Dim_Product!$K$2:$K$4,MATCH(F95,Dim_Product!$A$2:$A$4,0))+0.03</f>
        <v>130.03</v>
      </c>
      <c r="T95" s="4">
        <f>IF(AND(S95&gt;=INDEX(Dim_Product!$K$2:$K$4,MATCH(F95,Dim_Product!$A$2:$A$4,0))-INDEX(Dim_Product!$L$2:$L$4,MATCH(F95,Dim_Product!$A$2:$A$4,0)),S95&lt;=INDEX(Dim_Product!$K$2:$K$4,MATCH(F95,Dim_Product!$A$2:$A$4,0))+INDEX(Dim_Product!$L$2:$L$4,MATCH(F95,Dim_Product!$A$2:$A$4,0))),G95-H95,G95-H95-1)</f>
        <v>23</v>
      </c>
      <c r="U95" s="4">
        <f t="shared" si="13"/>
        <v>1</v>
      </c>
      <c r="V95" s="4">
        <f t="shared" si="14"/>
        <v>4.1666666666666664E-2</v>
      </c>
      <c r="W95" s="19">
        <f t="shared" si="15"/>
        <v>0.95833333333333337</v>
      </c>
    </row>
    <row r="96" spans="1:23" x14ac:dyDescent="0.25">
      <c r="A96" s="18" t="s">
        <v>597</v>
      </c>
      <c r="B96" s="4">
        <f>Fact_Production_Hourly!B96</f>
        <v>20260701</v>
      </c>
      <c r="C96" s="4">
        <f>Fact_Production_Hourly!C96</f>
        <v>13</v>
      </c>
      <c r="D96" s="4" t="str">
        <f>Fact_Production_Hourly!D96</f>
        <v>M4</v>
      </c>
      <c r="E96" s="4" t="str">
        <f>Fact_Production_Hourly!E96</f>
        <v>A-AM</v>
      </c>
      <c r="F96" s="4" t="str">
        <f>Fact_Production_Hourly!F96</f>
        <v>A</v>
      </c>
      <c r="G96" s="4">
        <f>INDEX(Dim_Machine!$D$2:$D$8,MATCH(D96,Dim_Machine!$A$2:$A$8,0))*2</f>
        <v>48</v>
      </c>
      <c r="H96" s="4">
        <f>ROUND(G96*0.066,0)</f>
        <v>3</v>
      </c>
      <c r="I96" s="4">
        <f t="shared" si="8"/>
        <v>0</v>
      </c>
      <c r="J96" s="4">
        <f t="shared" si="9"/>
        <v>1</v>
      </c>
      <c r="K96" s="4">
        <f t="shared" si="10"/>
        <v>2</v>
      </c>
      <c r="L96" s="4" t="s">
        <v>520</v>
      </c>
      <c r="M96" s="4">
        <f>INDEX(Dim_Product!$C$2:$C$4,MATCH(F96,Dim_Product!$A$2:$A$4,0))+-0.46</f>
        <v>249.54</v>
      </c>
      <c r="N96" s="4">
        <f>IF(AND(M96&gt;=INDEX(Dim_Product!$C$2:$C$4,MATCH(F96,Dim_Product!$A$2:$A$4,0))-INDEX(Dim_Product!$D$2:$D$4,MATCH(F96,Dim_Product!$A$2:$A$4,0)),M96&lt;=INDEX(Dim_Product!$C$2:$C$4,MATCH(F96,Dim_Product!$A$2:$A$4,0))+INDEX(Dim_Product!$D$2:$D$4,MATCH(F96,Dim_Product!$A$2:$A$4,0))),G96-H96,G96-H96-1)</f>
        <v>45</v>
      </c>
      <c r="O96" s="4">
        <f t="shared" si="11"/>
        <v>3</v>
      </c>
      <c r="P96" s="4">
        <f>INDEX(Dim_Product!$G$2:$G$4,MATCH(F96,Dim_Product!$A$2:$A$4,0))+-0.23</f>
        <v>69.77</v>
      </c>
      <c r="Q96" s="4">
        <f>IF(AND(P96&gt;=INDEX(Dim_Product!$G$2:$G$4,MATCH(F96,Dim_Product!$A$2:$A$4,0))-INDEX(Dim_Product!$H$2:$H$4,MATCH(F96,Dim_Product!$A$2:$A$4,0)),P96&lt;=INDEX(Dim_Product!$G$2:$G$4,MATCH(F96,Dim_Product!$A$2:$A$4,0))+INDEX(Dim_Product!$H$2:$H$4,MATCH(F96,Dim_Product!$A$2:$A$4,0))),G96-H96,G96-H96-1)</f>
        <v>45</v>
      </c>
      <c r="R96" s="4">
        <f t="shared" si="12"/>
        <v>3</v>
      </c>
      <c r="S96" s="4">
        <f>INDEX(Dim_Product!$K$2:$K$4,MATCH(F96,Dim_Product!$A$2:$A$4,0))+0.19</f>
        <v>120.19</v>
      </c>
      <c r="T96" s="4">
        <f>IF(AND(S96&gt;=INDEX(Dim_Product!$K$2:$K$4,MATCH(F96,Dim_Product!$A$2:$A$4,0))-INDEX(Dim_Product!$L$2:$L$4,MATCH(F96,Dim_Product!$A$2:$A$4,0)),S96&lt;=INDEX(Dim_Product!$K$2:$K$4,MATCH(F96,Dim_Product!$A$2:$A$4,0))+INDEX(Dim_Product!$L$2:$L$4,MATCH(F96,Dim_Product!$A$2:$A$4,0))),G96-H96,G96-H96-1)</f>
        <v>45</v>
      </c>
      <c r="U96" s="4">
        <f t="shared" si="13"/>
        <v>3</v>
      </c>
      <c r="V96" s="4">
        <f t="shared" si="14"/>
        <v>6.25E-2</v>
      </c>
      <c r="W96" s="19">
        <f t="shared" si="15"/>
        <v>0.9375</v>
      </c>
    </row>
    <row r="97" spans="1:23" x14ac:dyDescent="0.25">
      <c r="A97" s="18" t="s">
        <v>598</v>
      </c>
      <c r="B97" s="4">
        <f>Fact_Production_Hourly!B97</f>
        <v>20260701</v>
      </c>
      <c r="C97" s="4">
        <f>Fact_Production_Hourly!C97</f>
        <v>13</v>
      </c>
      <c r="D97" s="4" t="str">
        <f>Fact_Production_Hourly!D97</f>
        <v>M5</v>
      </c>
      <c r="E97" s="4" t="str">
        <f>Fact_Production_Hourly!E97</f>
        <v>A-AM</v>
      </c>
      <c r="F97" s="4" t="str">
        <f>Fact_Production_Hourly!F97</f>
        <v>C</v>
      </c>
      <c r="G97" s="4">
        <f>INDEX(Dim_Machine!$D$2:$D$8,MATCH(D97,Dim_Machine!$A$2:$A$8,0))*2</f>
        <v>32</v>
      </c>
      <c r="H97" s="4">
        <f>ROUND(G97*0.0244,0)</f>
        <v>1</v>
      </c>
      <c r="I97" s="4">
        <f t="shared" si="8"/>
        <v>0</v>
      </c>
      <c r="J97" s="4">
        <f t="shared" si="9"/>
        <v>0</v>
      </c>
      <c r="K97" s="4">
        <f t="shared" si="10"/>
        <v>1</v>
      </c>
      <c r="L97" s="4" t="s">
        <v>498</v>
      </c>
      <c r="M97" s="4">
        <f>INDEX(Dim_Product!$C$2:$C$4,MATCH(F97,Dim_Product!$A$2:$A$4,0))+0.34</f>
        <v>200.34</v>
      </c>
      <c r="N97" s="4">
        <f>IF(AND(M97&gt;=INDEX(Dim_Product!$C$2:$C$4,MATCH(F97,Dim_Product!$A$2:$A$4,0))-INDEX(Dim_Product!$D$2:$D$4,MATCH(F97,Dim_Product!$A$2:$A$4,0)),M97&lt;=INDEX(Dim_Product!$C$2:$C$4,MATCH(F97,Dim_Product!$A$2:$A$4,0))+INDEX(Dim_Product!$D$2:$D$4,MATCH(F97,Dim_Product!$A$2:$A$4,0))),G97-H97,G97-H97-1)</f>
        <v>31</v>
      </c>
      <c r="O97" s="4">
        <f t="shared" si="11"/>
        <v>1</v>
      </c>
      <c r="P97" s="4">
        <f>INDEX(Dim_Product!$G$2:$G$4,MATCH(F97,Dim_Product!$A$2:$A$4,0))+0.02</f>
        <v>65.02</v>
      </c>
      <c r="Q97" s="4">
        <f>IF(AND(P97&gt;=INDEX(Dim_Product!$G$2:$G$4,MATCH(F97,Dim_Product!$A$2:$A$4,0))-INDEX(Dim_Product!$H$2:$H$4,MATCH(F97,Dim_Product!$A$2:$A$4,0)),P97&lt;=INDEX(Dim_Product!$G$2:$G$4,MATCH(F97,Dim_Product!$A$2:$A$4,0))+INDEX(Dim_Product!$H$2:$H$4,MATCH(F97,Dim_Product!$A$2:$A$4,0))),G97-H97,G97-H97-1)</f>
        <v>31</v>
      </c>
      <c r="R97" s="4">
        <f t="shared" si="12"/>
        <v>1</v>
      </c>
      <c r="S97" s="4">
        <f>INDEX(Dim_Product!$K$2:$K$4,MATCH(F97,Dim_Product!$A$2:$A$4,0))+0.11</f>
        <v>110.11</v>
      </c>
      <c r="T97" s="4">
        <f>IF(AND(S97&gt;=INDEX(Dim_Product!$K$2:$K$4,MATCH(F97,Dim_Product!$A$2:$A$4,0))-INDEX(Dim_Product!$L$2:$L$4,MATCH(F97,Dim_Product!$A$2:$A$4,0)),S97&lt;=INDEX(Dim_Product!$K$2:$K$4,MATCH(F97,Dim_Product!$A$2:$A$4,0))+INDEX(Dim_Product!$L$2:$L$4,MATCH(F97,Dim_Product!$A$2:$A$4,0))),G97-H97,G97-H97-1)</f>
        <v>31</v>
      </c>
      <c r="U97" s="4">
        <f t="shared" si="13"/>
        <v>1</v>
      </c>
      <c r="V97" s="4">
        <f t="shared" si="14"/>
        <v>3.125E-2</v>
      </c>
      <c r="W97" s="19">
        <f t="shared" si="15"/>
        <v>0.96875</v>
      </c>
    </row>
    <row r="98" spans="1:23" x14ac:dyDescent="0.25">
      <c r="A98" s="18" t="s">
        <v>599</v>
      </c>
      <c r="B98" s="4">
        <f>Fact_Production_Hourly!B98</f>
        <v>20260701</v>
      </c>
      <c r="C98" s="4">
        <f>Fact_Production_Hourly!C98</f>
        <v>13</v>
      </c>
      <c r="D98" s="4" t="str">
        <f>Fact_Production_Hourly!D98</f>
        <v>M6</v>
      </c>
      <c r="E98" s="4" t="str">
        <f>Fact_Production_Hourly!E98</f>
        <v>A-AM</v>
      </c>
      <c r="F98" s="4" t="str">
        <f>Fact_Production_Hourly!F98</f>
        <v>C</v>
      </c>
      <c r="G98" s="4">
        <f>INDEX(Dim_Machine!$D$2:$D$8,MATCH(D98,Dim_Machine!$A$2:$A$8,0))*2</f>
        <v>24</v>
      </c>
      <c r="H98" s="4">
        <f>ROUND(G98*0.0131,0)</f>
        <v>0</v>
      </c>
      <c r="I98" s="4">
        <f t="shared" si="8"/>
        <v>0</v>
      </c>
      <c r="J98" s="4">
        <f t="shared" si="9"/>
        <v>0</v>
      </c>
      <c r="K98" s="4">
        <f t="shared" si="10"/>
        <v>0</v>
      </c>
      <c r="L98" s="4" t="s">
        <v>503</v>
      </c>
      <c r="M98" s="4">
        <f>INDEX(Dim_Product!$C$2:$C$4,MATCH(F98,Dim_Product!$A$2:$A$4,0))+-0.34</f>
        <v>199.66</v>
      </c>
      <c r="N98" s="4">
        <f>IF(AND(M98&gt;=INDEX(Dim_Product!$C$2:$C$4,MATCH(F98,Dim_Product!$A$2:$A$4,0))-INDEX(Dim_Product!$D$2:$D$4,MATCH(F98,Dim_Product!$A$2:$A$4,0)),M98&lt;=INDEX(Dim_Product!$C$2:$C$4,MATCH(F98,Dim_Product!$A$2:$A$4,0))+INDEX(Dim_Product!$D$2:$D$4,MATCH(F98,Dim_Product!$A$2:$A$4,0))),G98-H98,G98-H98-1)</f>
        <v>24</v>
      </c>
      <c r="O98" s="4">
        <f t="shared" si="11"/>
        <v>0</v>
      </c>
      <c r="P98" s="4">
        <f>INDEX(Dim_Product!$G$2:$G$4,MATCH(F98,Dim_Product!$A$2:$A$4,0))+-0.02</f>
        <v>64.98</v>
      </c>
      <c r="Q98" s="4">
        <f>IF(AND(P98&gt;=INDEX(Dim_Product!$G$2:$G$4,MATCH(F98,Dim_Product!$A$2:$A$4,0))-INDEX(Dim_Product!$H$2:$H$4,MATCH(F98,Dim_Product!$A$2:$A$4,0)),P98&lt;=INDEX(Dim_Product!$G$2:$G$4,MATCH(F98,Dim_Product!$A$2:$A$4,0))+INDEX(Dim_Product!$H$2:$H$4,MATCH(F98,Dim_Product!$A$2:$A$4,0))),G98-H98,G98-H98-1)</f>
        <v>24</v>
      </c>
      <c r="R98" s="4">
        <f t="shared" si="12"/>
        <v>0</v>
      </c>
      <c r="S98" s="4">
        <f>INDEX(Dim_Product!$K$2:$K$4,MATCH(F98,Dim_Product!$A$2:$A$4,0))+0.14</f>
        <v>110.14</v>
      </c>
      <c r="T98" s="4">
        <f>IF(AND(S98&gt;=INDEX(Dim_Product!$K$2:$K$4,MATCH(F98,Dim_Product!$A$2:$A$4,0))-INDEX(Dim_Product!$L$2:$L$4,MATCH(F98,Dim_Product!$A$2:$A$4,0)),S98&lt;=INDEX(Dim_Product!$K$2:$K$4,MATCH(F98,Dim_Product!$A$2:$A$4,0))+INDEX(Dim_Product!$L$2:$L$4,MATCH(F98,Dim_Product!$A$2:$A$4,0))),G98-H98,G98-H98-1)</f>
        <v>24</v>
      </c>
      <c r="U98" s="4">
        <f t="shared" si="13"/>
        <v>0</v>
      </c>
      <c r="V98" s="4">
        <f t="shared" si="14"/>
        <v>0</v>
      </c>
      <c r="W98" s="19">
        <f t="shared" si="15"/>
        <v>1</v>
      </c>
    </row>
    <row r="99" spans="1:23" x14ac:dyDescent="0.25">
      <c r="A99" s="18" t="s">
        <v>600</v>
      </c>
      <c r="B99" s="4">
        <f>Fact_Production_Hourly!B99</f>
        <v>20260701</v>
      </c>
      <c r="C99" s="4">
        <f>Fact_Production_Hourly!C99</f>
        <v>13</v>
      </c>
      <c r="D99" s="4" t="str">
        <f>Fact_Production_Hourly!D99</f>
        <v>M7</v>
      </c>
      <c r="E99" s="4" t="str">
        <f>Fact_Production_Hourly!E99</f>
        <v>A-AM</v>
      </c>
      <c r="F99" s="4" t="str">
        <f>Fact_Production_Hourly!F99</f>
        <v>C</v>
      </c>
      <c r="G99" s="4">
        <f>INDEX(Dim_Machine!$D$2:$D$8,MATCH(D99,Dim_Machine!$A$2:$A$8,0))*2</f>
        <v>48</v>
      </c>
      <c r="H99" s="4">
        <f>ROUND(G99*0.0182,0)</f>
        <v>1</v>
      </c>
      <c r="I99" s="4">
        <f t="shared" si="8"/>
        <v>0</v>
      </c>
      <c r="J99" s="4">
        <f t="shared" si="9"/>
        <v>0</v>
      </c>
      <c r="K99" s="4">
        <f t="shared" si="10"/>
        <v>1</v>
      </c>
      <c r="L99" s="4" t="s">
        <v>509</v>
      </c>
      <c r="M99" s="4">
        <f>INDEX(Dim_Product!$C$2:$C$4,MATCH(F99,Dim_Product!$A$2:$A$4,0))+0.96</f>
        <v>200.96</v>
      </c>
      <c r="N99" s="4">
        <f>IF(AND(M99&gt;=INDEX(Dim_Product!$C$2:$C$4,MATCH(F99,Dim_Product!$A$2:$A$4,0))-INDEX(Dim_Product!$D$2:$D$4,MATCH(F99,Dim_Product!$A$2:$A$4,0)),M99&lt;=INDEX(Dim_Product!$C$2:$C$4,MATCH(F99,Dim_Product!$A$2:$A$4,0))+INDEX(Dim_Product!$D$2:$D$4,MATCH(F99,Dim_Product!$A$2:$A$4,0))),G99-H99,G99-H99-1)</f>
        <v>47</v>
      </c>
      <c r="O99" s="4">
        <f t="shared" si="11"/>
        <v>1</v>
      </c>
      <c r="P99" s="4">
        <f>INDEX(Dim_Product!$G$2:$G$4,MATCH(F99,Dim_Product!$A$2:$A$4,0))+-0.21</f>
        <v>64.790000000000006</v>
      </c>
      <c r="Q99" s="4">
        <f>IF(AND(P99&gt;=INDEX(Dim_Product!$G$2:$G$4,MATCH(F99,Dim_Product!$A$2:$A$4,0))-INDEX(Dim_Product!$H$2:$H$4,MATCH(F99,Dim_Product!$A$2:$A$4,0)),P99&lt;=INDEX(Dim_Product!$G$2:$G$4,MATCH(F99,Dim_Product!$A$2:$A$4,0))+INDEX(Dim_Product!$H$2:$H$4,MATCH(F99,Dim_Product!$A$2:$A$4,0))),G99-H99,G99-H99-1)</f>
        <v>47</v>
      </c>
      <c r="R99" s="4">
        <f t="shared" si="12"/>
        <v>1</v>
      </c>
      <c r="S99" s="4">
        <f>INDEX(Dim_Product!$K$2:$K$4,MATCH(F99,Dim_Product!$A$2:$A$4,0))+0.12</f>
        <v>110.12</v>
      </c>
      <c r="T99" s="4">
        <f>IF(AND(S99&gt;=INDEX(Dim_Product!$K$2:$K$4,MATCH(F99,Dim_Product!$A$2:$A$4,0))-INDEX(Dim_Product!$L$2:$L$4,MATCH(F99,Dim_Product!$A$2:$A$4,0)),S99&lt;=INDEX(Dim_Product!$K$2:$K$4,MATCH(F99,Dim_Product!$A$2:$A$4,0))+INDEX(Dim_Product!$L$2:$L$4,MATCH(F99,Dim_Product!$A$2:$A$4,0))),G99-H99,G99-H99-1)</f>
        <v>47</v>
      </c>
      <c r="U99" s="4">
        <f t="shared" si="13"/>
        <v>1</v>
      </c>
      <c r="V99" s="4">
        <f t="shared" si="14"/>
        <v>2.0833333333333332E-2</v>
      </c>
      <c r="W99" s="19">
        <f t="shared" si="15"/>
        <v>0.97916666666666663</v>
      </c>
    </row>
    <row r="100" spans="1:23" x14ac:dyDescent="0.25">
      <c r="A100" s="18" t="s">
        <v>601</v>
      </c>
      <c r="B100" s="4">
        <f>Fact_Production_Hourly!B100</f>
        <v>20260701</v>
      </c>
      <c r="C100" s="4">
        <f>Fact_Production_Hourly!C100</f>
        <v>14</v>
      </c>
      <c r="D100" s="4" t="str">
        <f>Fact_Production_Hourly!D100</f>
        <v>M1</v>
      </c>
      <c r="E100" s="4" t="str">
        <f>Fact_Production_Hourly!E100</f>
        <v>A-AM</v>
      </c>
      <c r="F100" s="4" t="str">
        <f>Fact_Production_Hourly!F100</f>
        <v>C</v>
      </c>
      <c r="G100" s="4">
        <f>INDEX(Dim_Machine!$D$2:$D$8,MATCH(D100,Dim_Machine!$A$2:$A$8,0))*2</f>
        <v>32</v>
      </c>
      <c r="H100" s="4">
        <f>ROUND(G100*0.0628,0)</f>
        <v>2</v>
      </c>
      <c r="I100" s="4">
        <f t="shared" si="8"/>
        <v>0</v>
      </c>
      <c r="J100" s="4">
        <f t="shared" si="9"/>
        <v>1</v>
      </c>
      <c r="K100" s="4">
        <f t="shared" si="10"/>
        <v>1</v>
      </c>
      <c r="L100" s="4" t="s">
        <v>503</v>
      </c>
      <c r="M100" s="4">
        <f>INDEX(Dim_Product!$C$2:$C$4,MATCH(F100,Dim_Product!$A$2:$A$4,0))+-0.05</f>
        <v>199.95</v>
      </c>
      <c r="N100" s="4">
        <f>IF(AND(M100&gt;=INDEX(Dim_Product!$C$2:$C$4,MATCH(F100,Dim_Product!$A$2:$A$4,0))-INDEX(Dim_Product!$D$2:$D$4,MATCH(F100,Dim_Product!$A$2:$A$4,0)),M100&lt;=INDEX(Dim_Product!$C$2:$C$4,MATCH(F100,Dim_Product!$A$2:$A$4,0))+INDEX(Dim_Product!$D$2:$D$4,MATCH(F100,Dim_Product!$A$2:$A$4,0))),G100-H100,G100-H100-1)</f>
        <v>30</v>
      </c>
      <c r="O100" s="4">
        <f t="shared" si="11"/>
        <v>2</v>
      </c>
      <c r="P100" s="4">
        <f>INDEX(Dim_Product!$G$2:$G$4,MATCH(F100,Dim_Product!$A$2:$A$4,0))+-0.18</f>
        <v>64.819999999999993</v>
      </c>
      <c r="Q100" s="4">
        <f>IF(AND(P100&gt;=INDEX(Dim_Product!$G$2:$G$4,MATCH(F100,Dim_Product!$A$2:$A$4,0))-INDEX(Dim_Product!$H$2:$H$4,MATCH(F100,Dim_Product!$A$2:$A$4,0)),P100&lt;=INDEX(Dim_Product!$G$2:$G$4,MATCH(F100,Dim_Product!$A$2:$A$4,0))+INDEX(Dim_Product!$H$2:$H$4,MATCH(F100,Dim_Product!$A$2:$A$4,0))),G100-H100,G100-H100-1)</f>
        <v>30</v>
      </c>
      <c r="R100" s="4">
        <f t="shared" si="12"/>
        <v>2</v>
      </c>
      <c r="S100" s="4">
        <f>INDEX(Dim_Product!$K$2:$K$4,MATCH(F100,Dim_Product!$A$2:$A$4,0))+0.37</f>
        <v>110.37</v>
      </c>
      <c r="T100" s="4">
        <f>IF(AND(S100&gt;=INDEX(Dim_Product!$K$2:$K$4,MATCH(F100,Dim_Product!$A$2:$A$4,0))-INDEX(Dim_Product!$L$2:$L$4,MATCH(F100,Dim_Product!$A$2:$A$4,0)),S100&lt;=INDEX(Dim_Product!$K$2:$K$4,MATCH(F100,Dim_Product!$A$2:$A$4,0))+INDEX(Dim_Product!$L$2:$L$4,MATCH(F100,Dim_Product!$A$2:$A$4,0))),G100-H100,G100-H100-1)</f>
        <v>30</v>
      </c>
      <c r="U100" s="4">
        <f t="shared" si="13"/>
        <v>2</v>
      </c>
      <c r="V100" s="4">
        <f t="shared" si="14"/>
        <v>6.25E-2</v>
      </c>
      <c r="W100" s="19">
        <f t="shared" si="15"/>
        <v>0.9375</v>
      </c>
    </row>
    <row r="101" spans="1:23" x14ac:dyDescent="0.25">
      <c r="A101" s="18" t="s">
        <v>602</v>
      </c>
      <c r="B101" s="4">
        <f>Fact_Production_Hourly!B101</f>
        <v>20260701</v>
      </c>
      <c r="C101" s="4">
        <f>Fact_Production_Hourly!C101</f>
        <v>14</v>
      </c>
      <c r="D101" s="4" t="str">
        <f>Fact_Production_Hourly!D101</f>
        <v>M2</v>
      </c>
      <c r="E101" s="4" t="str">
        <f>Fact_Production_Hourly!E101</f>
        <v>A-AM</v>
      </c>
      <c r="F101" s="4" t="str">
        <f>Fact_Production_Hourly!F101</f>
        <v>A</v>
      </c>
      <c r="G101" s="4">
        <f>INDEX(Dim_Machine!$D$2:$D$8,MATCH(D101,Dim_Machine!$A$2:$A$8,0))*2</f>
        <v>48</v>
      </c>
      <c r="H101" s="4">
        <f>ROUND(G101*0.0293,0)</f>
        <v>1</v>
      </c>
      <c r="I101" s="4">
        <f t="shared" si="8"/>
        <v>0</v>
      </c>
      <c r="J101" s="4">
        <f t="shared" si="9"/>
        <v>0</v>
      </c>
      <c r="K101" s="4">
        <f t="shared" si="10"/>
        <v>1</v>
      </c>
      <c r="L101" s="4" t="s">
        <v>520</v>
      </c>
      <c r="M101" s="4">
        <f>INDEX(Dim_Product!$C$2:$C$4,MATCH(F101,Dim_Product!$A$2:$A$4,0))+-0.88</f>
        <v>249.12</v>
      </c>
      <c r="N101" s="4">
        <f>IF(AND(M101&gt;=INDEX(Dim_Product!$C$2:$C$4,MATCH(F101,Dim_Product!$A$2:$A$4,0))-INDEX(Dim_Product!$D$2:$D$4,MATCH(F101,Dim_Product!$A$2:$A$4,0)),M101&lt;=INDEX(Dim_Product!$C$2:$C$4,MATCH(F101,Dim_Product!$A$2:$A$4,0))+INDEX(Dim_Product!$D$2:$D$4,MATCH(F101,Dim_Product!$A$2:$A$4,0))),G101-H101,G101-H101-1)</f>
        <v>47</v>
      </c>
      <c r="O101" s="4">
        <f t="shared" si="11"/>
        <v>1</v>
      </c>
      <c r="P101" s="4">
        <f>INDEX(Dim_Product!$G$2:$G$4,MATCH(F101,Dim_Product!$A$2:$A$4,0))+0.16</f>
        <v>70.16</v>
      </c>
      <c r="Q101" s="4">
        <f>IF(AND(P101&gt;=INDEX(Dim_Product!$G$2:$G$4,MATCH(F101,Dim_Product!$A$2:$A$4,0))-INDEX(Dim_Product!$H$2:$H$4,MATCH(F101,Dim_Product!$A$2:$A$4,0)),P101&lt;=INDEX(Dim_Product!$G$2:$G$4,MATCH(F101,Dim_Product!$A$2:$A$4,0))+INDEX(Dim_Product!$H$2:$H$4,MATCH(F101,Dim_Product!$A$2:$A$4,0))),G101-H101,G101-H101-1)</f>
        <v>47</v>
      </c>
      <c r="R101" s="4">
        <f t="shared" si="12"/>
        <v>1</v>
      </c>
      <c r="S101" s="4">
        <f>INDEX(Dim_Product!$K$2:$K$4,MATCH(F101,Dim_Product!$A$2:$A$4,0))+0.12</f>
        <v>120.12</v>
      </c>
      <c r="T101" s="4">
        <f>IF(AND(S101&gt;=INDEX(Dim_Product!$K$2:$K$4,MATCH(F101,Dim_Product!$A$2:$A$4,0))-INDEX(Dim_Product!$L$2:$L$4,MATCH(F101,Dim_Product!$A$2:$A$4,0)),S101&lt;=INDEX(Dim_Product!$K$2:$K$4,MATCH(F101,Dim_Product!$A$2:$A$4,0))+INDEX(Dim_Product!$L$2:$L$4,MATCH(F101,Dim_Product!$A$2:$A$4,0))),G101-H101,G101-H101-1)</f>
        <v>47</v>
      </c>
      <c r="U101" s="4">
        <f t="shared" si="13"/>
        <v>1</v>
      </c>
      <c r="V101" s="4">
        <f t="shared" si="14"/>
        <v>2.0833333333333332E-2</v>
      </c>
      <c r="W101" s="19">
        <f t="shared" si="15"/>
        <v>0.97916666666666663</v>
      </c>
    </row>
    <row r="102" spans="1:23" x14ac:dyDescent="0.25">
      <c r="A102" s="18" t="s">
        <v>603</v>
      </c>
      <c r="B102" s="4">
        <f>Fact_Production_Hourly!B102</f>
        <v>20260701</v>
      </c>
      <c r="C102" s="4">
        <f>Fact_Production_Hourly!C102</f>
        <v>14</v>
      </c>
      <c r="D102" s="4" t="str">
        <f>Fact_Production_Hourly!D102</f>
        <v>M3</v>
      </c>
      <c r="E102" s="4" t="str">
        <f>Fact_Production_Hourly!E102</f>
        <v>A-AM</v>
      </c>
      <c r="F102" s="4" t="str">
        <f>Fact_Production_Hourly!F102</f>
        <v>B</v>
      </c>
      <c r="G102" s="4">
        <f>INDEX(Dim_Machine!$D$2:$D$8,MATCH(D102,Dim_Machine!$A$2:$A$8,0))*2</f>
        <v>24</v>
      </c>
      <c r="H102" s="4">
        <f>ROUND(G102*0.0239,0)</f>
        <v>1</v>
      </c>
      <c r="I102" s="4">
        <f t="shared" si="8"/>
        <v>0</v>
      </c>
      <c r="J102" s="4">
        <f t="shared" si="9"/>
        <v>0</v>
      </c>
      <c r="K102" s="4">
        <f t="shared" si="10"/>
        <v>1</v>
      </c>
      <c r="L102" s="4" t="s">
        <v>520</v>
      </c>
      <c r="M102" s="4">
        <f>INDEX(Dim_Product!$C$2:$C$4,MATCH(F102,Dim_Product!$A$2:$A$4,0))+0.45</f>
        <v>300.45</v>
      </c>
      <c r="N102" s="4">
        <f>IF(AND(M102&gt;=INDEX(Dim_Product!$C$2:$C$4,MATCH(F102,Dim_Product!$A$2:$A$4,0))-INDEX(Dim_Product!$D$2:$D$4,MATCH(F102,Dim_Product!$A$2:$A$4,0)),M102&lt;=INDEX(Dim_Product!$C$2:$C$4,MATCH(F102,Dim_Product!$A$2:$A$4,0))+INDEX(Dim_Product!$D$2:$D$4,MATCH(F102,Dim_Product!$A$2:$A$4,0))),G102-H102,G102-H102-1)</f>
        <v>23</v>
      </c>
      <c r="O102" s="4">
        <f t="shared" si="11"/>
        <v>1</v>
      </c>
      <c r="P102" s="4">
        <f>INDEX(Dim_Product!$G$2:$G$4,MATCH(F102,Dim_Product!$A$2:$A$4,0))+0.26</f>
        <v>75.260000000000005</v>
      </c>
      <c r="Q102" s="4">
        <f>IF(AND(P102&gt;=INDEX(Dim_Product!$G$2:$G$4,MATCH(F102,Dim_Product!$A$2:$A$4,0))-INDEX(Dim_Product!$H$2:$H$4,MATCH(F102,Dim_Product!$A$2:$A$4,0)),P102&lt;=INDEX(Dim_Product!$G$2:$G$4,MATCH(F102,Dim_Product!$A$2:$A$4,0))+INDEX(Dim_Product!$H$2:$H$4,MATCH(F102,Dim_Product!$A$2:$A$4,0))),G102-H102,G102-H102-1)</f>
        <v>23</v>
      </c>
      <c r="R102" s="4">
        <f t="shared" si="12"/>
        <v>1</v>
      </c>
      <c r="S102" s="4">
        <f>INDEX(Dim_Product!$K$2:$K$4,MATCH(F102,Dim_Product!$A$2:$A$4,0))+0.33</f>
        <v>130.33000000000001</v>
      </c>
      <c r="T102" s="4">
        <f>IF(AND(S102&gt;=INDEX(Dim_Product!$K$2:$K$4,MATCH(F102,Dim_Product!$A$2:$A$4,0))-INDEX(Dim_Product!$L$2:$L$4,MATCH(F102,Dim_Product!$A$2:$A$4,0)),S102&lt;=INDEX(Dim_Product!$K$2:$K$4,MATCH(F102,Dim_Product!$A$2:$A$4,0))+INDEX(Dim_Product!$L$2:$L$4,MATCH(F102,Dim_Product!$A$2:$A$4,0))),G102-H102,G102-H102-1)</f>
        <v>23</v>
      </c>
      <c r="U102" s="4">
        <f t="shared" si="13"/>
        <v>1</v>
      </c>
      <c r="V102" s="4">
        <f t="shared" si="14"/>
        <v>4.1666666666666664E-2</v>
      </c>
      <c r="W102" s="19">
        <f t="shared" si="15"/>
        <v>0.95833333333333337</v>
      </c>
    </row>
    <row r="103" spans="1:23" x14ac:dyDescent="0.25">
      <c r="A103" s="18" t="s">
        <v>604</v>
      </c>
      <c r="B103" s="4">
        <f>Fact_Production_Hourly!B103</f>
        <v>20260701</v>
      </c>
      <c r="C103" s="4">
        <f>Fact_Production_Hourly!C103</f>
        <v>14</v>
      </c>
      <c r="D103" s="4" t="str">
        <f>Fact_Production_Hourly!D103</f>
        <v>M4</v>
      </c>
      <c r="E103" s="4" t="str">
        <f>Fact_Production_Hourly!E103</f>
        <v>A-AM</v>
      </c>
      <c r="F103" s="4" t="str">
        <f>Fact_Production_Hourly!F103</f>
        <v>A</v>
      </c>
      <c r="G103" s="4">
        <f>INDEX(Dim_Machine!$D$2:$D$8,MATCH(D103,Dim_Machine!$A$2:$A$8,0))*2</f>
        <v>48</v>
      </c>
      <c r="H103" s="4">
        <f>ROUND(G103*0.0205,0)</f>
        <v>1</v>
      </c>
      <c r="I103" s="4">
        <f t="shared" si="8"/>
        <v>0</v>
      </c>
      <c r="J103" s="4">
        <f t="shared" si="9"/>
        <v>0</v>
      </c>
      <c r="K103" s="4">
        <f t="shared" si="10"/>
        <v>1</v>
      </c>
      <c r="L103" s="4" t="s">
        <v>500</v>
      </c>
      <c r="M103" s="4">
        <f>INDEX(Dim_Product!$C$2:$C$4,MATCH(F103,Dim_Product!$A$2:$A$4,0))+0.87</f>
        <v>250.87</v>
      </c>
      <c r="N103" s="4">
        <f>IF(AND(M103&gt;=INDEX(Dim_Product!$C$2:$C$4,MATCH(F103,Dim_Product!$A$2:$A$4,0))-INDEX(Dim_Product!$D$2:$D$4,MATCH(F103,Dim_Product!$A$2:$A$4,0)),M103&lt;=INDEX(Dim_Product!$C$2:$C$4,MATCH(F103,Dim_Product!$A$2:$A$4,0))+INDEX(Dim_Product!$D$2:$D$4,MATCH(F103,Dim_Product!$A$2:$A$4,0))),G103-H103,G103-H103-1)</f>
        <v>47</v>
      </c>
      <c r="O103" s="4">
        <f t="shared" si="11"/>
        <v>1</v>
      </c>
      <c r="P103" s="4">
        <f>INDEX(Dim_Product!$G$2:$G$4,MATCH(F103,Dim_Product!$A$2:$A$4,0))+-0.28</f>
        <v>69.72</v>
      </c>
      <c r="Q103" s="4">
        <f>IF(AND(P103&gt;=INDEX(Dim_Product!$G$2:$G$4,MATCH(F103,Dim_Product!$A$2:$A$4,0))-INDEX(Dim_Product!$H$2:$H$4,MATCH(F103,Dim_Product!$A$2:$A$4,0)),P103&lt;=INDEX(Dim_Product!$G$2:$G$4,MATCH(F103,Dim_Product!$A$2:$A$4,0))+INDEX(Dim_Product!$H$2:$H$4,MATCH(F103,Dim_Product!$A$2:$A$4,0))),G103-H103,G103-H103-1)</f>
        <v>47</v>
      </c>
      <c r="R103" s="4">
        <f t="shared" si="12"/>
        <v>1</v>
      </c>
      <c r="S103" s="4">
        <f>INDEX(Dim_Product!$K$2:$K$4,MATCH(F103,Dim_Product!$A$2:$A$4,0))+0.27</f>
        <v>120.27</v>
      </c>
      <c r="T103" s="4">
        <f>IF(AND(S103&gt;=INDEX(Dim_Product!$K$2:$K$4,MATCH(F103,Dim_Product!$A$2:$A$4,0))-INDEX(Dim_Product!$L$2:$L$4,MATCH(F103,Dim_Product!$A$2:$A$4,0)),S103&lt;=INDEX(Dim_Product!$K$2:$K$4,MATCH(F103,Dim_Product!$A$2:$A$4,0))+INDEX(Dim_Product!$L$2:$L$4,MATCH(F103,Dim_Product!$A$2:$A$4,0))),G103-H103,G103-H103-1)</f>
        <v>47</v>
      </c>
      <c r="U103" s="4">
        <f t="shared" si="13"/>
        <v>1</v>
      </c>
      <c r="V103" s="4">
        <f t="shared" si="14"/>
        <v>2.0833333333333332E-2</v>
      </c>
      <c r="W103" s="19">
        <f t="shared" si="15"/>
        <v>0.97916666666666663</v>
      </c>
    </row>
    <row r="104" spans="1:23" x14ac:dyDescent="0.25">
      <c r="A104" s="18" t="s">
        <v>605</v>
      </c>
      <c r="B104" s="4">
        <f>Fact_Production_Hourly!B104</f>
        <v>20260701</v>
      </c>
      <c r="C104" s="4">
        <f>Fact_Production_Hourly!C104</f>
        <v>14</v>
      </c>
      <c r="D104" s="4" t="str">
        <f>Fact_Production_Hourly!D104</f>
        <v>M5</v>
      </c>
      <c r="E104" s="4" t="str">
        <f>Fact_Production_Hourly!E104</f>
        <v>A-AM</v>
      </c>
      <c r="F104" s="4" t="str">
        <f>Fact_Production_Hourly!F104</f>
        <v>C</v>
      </c>
      <c r="G104" s="4">
        <f>INDEX(Dim_Machine!$D$2:$D$8,MATCH(D104,Dim_Machine!$A$2:$A$8,0))*2</f>
        <v>32</v>
      </c>
      <c r="H104" s="4">
        <f>ROUND(G104*0.0573,0)</f>
        <v>2</v>
      </c>
      <c r="I104" s="4">
        <f t="shared" si="8"/>
        <v>0</v>
      </c>
      <c r="J104" s="4">
        <f t="shared" si="9"/>
        <v>1</v>
      </c>
      <c r="K104" s="4">
        <f t="shared" si="10"/>
        <v>1</v>
      </c>
      <c r="L104" s="4" t="s">
        <v>500</v>
      </c>
      <c r="M104" s="4">
        <f>INDEX(Dim_Product!$C$2:$C$4,MATCH(F104,Dim_Product!$A$2:$A$4,0))+0.87</f>
        <v>200.87</v>
      </c>
      <c r="N104" s="4">
        <f>IF(AND(M104&gt;=INDEX(Dim_Product!$C$2:$C$4,MATCH(F104,Dim_Product!$A$2:$A$4,0))-INDEX(Dim_Product!$D$2:$D$4,MATCH(F104,Dim_Product!$A$2:$A$4,0)),M104&lt;=INDEX(Dim_Product!$C$2:$C$4,MATCH(F104,Dim_Product!$A$2:$A$4,0))+INDEX(Dim_Product!$D$2:$D$4,MATCH(F104,Dim_Product!$A$2:$A$4,0))),G104-H104,G104-H104-1)</f>
        <v>30</v>
      </c>
      <c r="O104" s="4">
        <f t="shared" si="11"/>
        <v>2</v>
      </c>
      <c r="P104" s="4">
        <f>INDEX(Dim_Product!$G$2:$G$4,MATCH(F104,Dim_Product!$A$2:$A$4,0))+0.28</f>
        <v>65.28</v>
      </c>
      <c r="Q104" s="4">
        <f>IF(AND(P104&gt;=INDEX(Dim_Product!$G$2:$G$4,MATCH(F104,Dim_Product!$A$2:$A$4,0))-INDEX(Dim_Product!$H$2:$H$4,MATCH(F104,Dim_Product!$A$2:$A$4,0)),P104&lt;=INDEX(Dim_Product!$G$2:$G$4,MATCH(F104,Dim_Product!$A$2:$A$4,0))+INDEX(Dim_Product!$H$2:$H$4,MATCH(F104,Dim_Product!$A$2:$A$4,0))),G104-H104,G104-H104-1)</f>
        <v>30</v>
      </c>
      <c r="R104" s="4">
        <f t="shared" si="12"/>
        <v>2</v>
      </c>
      <c r="S104" s="4">
        <f>INDEX(Dim_Product!$K$2:$K$4,MATCH(F104,Dim_Product!$A$2:$A$4,0))+0.34</f>
        <v>110.34</v>
      </c>
      <c r="T104" s="4">
        <f>IF(AND(S104&gt;=INDEX(Dim_Product!$K$2:$K$4,MATCH(F104,Dim_Product!$A$2:$A$4,0))-INDEX(Dim_Product!$L$2:$L$4,MATCH(F104,Dim_Product!$A$2:$A$4,0)),S104&lt;=INDEX(Dim_Product!$K$2:$K$4,MATCH(F104,Dim_Product!$A$2:$A$4,0))+INDEX(Dim_Product!$L$2:$L$4,MATCH(F104,Dim_Product!$A$2:$A$4,0))),G104-H104,G104-H104-1)</f>
        <v>30</v>
      </c>
      <c r="U104" s="4">
        <f t="shared" si="13"/>
        <v>2</v>
      </c>
      <c r="V104" s="4">
        <f t="shared" si="14"/>
        <v>6.25E-2</v>
      </c>
      <c r="W104" s="19">
        <f t="shared" si="15"/>
        <v>0.9375</v>
      </c>
    </row>
    <row r="105" spans="1:23" x14ac:dyDescent="0.25">
      <c r="A105" s="18" t="s">
        <v>606</v>
      </c>
      <c r="B105" s="4">
        <f>Fact_Production_Hourly!B105</f>
        <v>20260701</v>
      </c>
      <c r="C105" s="4">
        <f>Fact_Production_Hourly!C105</f>
        <v>14</v>
      </c>
      <c r="D105" s="4" t="str">
        <f>Fact_Production_Hourly!D105</f>
        <v>M6</v>
      </c>
      <c r="E105" s="4" t="str">
        <f>Fact_Production_Hourly!E105</f>
        <v>A-AM</v>
      </c>
      <c r="F105" s="4" t="str">
        <f>Fact_Production_Hourly!F105</f>
        <v>C</v>
      </c>
      <c r="G105" s="4">
        <f>INDEX(Dim_Machine!$D$2:$D$8,MATCH(D105,Dim_Machine!$A$2:$A$8,0))*2</f>
        <v>24</v>
      </c>
      <c r="H105" s="4">
        <f>ROUND(G105*0.0626,0)</f>
        <v>2</v>
      </c>
      <c r="I105" s="4">
        <f t="shared" si="8"/>
        <v>0</v>
      </c>
      <c r="J105" s="4">
        <f t="shared" si="9"/>
        <v>1</v>
      </c>
      <c r="K105" s="4">
        <f t="shared" si="10"/>
        <v>1</v>
      </c>
      <c r="L105" s="4" t="s">
        <v>498</v>
      </c>
      <c r="M105" s="4">
        <f>INDEX(Dim_Product!$C$2:$C$4,MATCH(F105,Dim_Product!$A$2:$A$4,0))+-0.4</f>
        <v>199.6</v>
      </c>
      <c r="N105" s="4">
        <f>IF(AND(M105&gt;=INDEX(Dim_Product!$C$2:$C$4,MATCH(F105,Dim_Product!$A$2:$A$4,0))-INDEX(Dim_Product!$D$2:$D$4,MATCH(F105,Dim_Product!$A$2:$A$4,0)),M105&lt;=INDEX(Dim_Product!$C$2:$C$4,MATCH(F105,Dim_Product!$A$2:$A$4,0))+INDEX(Dim_Product!$D$2:$D$4,MATCH(F105,Dim_Product!$A$2:$A$4,0))),G105-H105,G105-H105-1)</f>
        <v>22</v>
      </c>
      <c r="O105" s="4">
        <f t="shared" si="11"/>
        <v>2</v>
      </c>
      <c r="P105" s="4">
        <f>INDEX(Dim_Product!$G$2:$G$4,MATCH(F105,Dim_Product!$A$2:$A$4,0))+0.06</f>
        <v>65.06</v>
      </c>
      <c r="Q105" s="4">
        <f>IF(AND(P105&gt;=INDEX(Dim_Product!$G$2:$G$4,MATCH(F105,Dim_Product!$A$2:$A$4,0))-INDEX(Dim_Product!$H$2:$H$4,MATCH(F105,Dim_Product!$A$2:$A$4,0)),P105&lt;=INDEX(Dim_Product!$G$2:$G$4,MATCH(F105,Dim_Product!$A$2:$A$4,0))+INDEX(Dim_Product!$H$2:$H$4,MATCH(F105,Dim_Product!$A$2:$A$4,0))),G105-H105,G105-H105-1)</f>
        <v>22</v>
      </c>
      <c r="R105" s="4">
        <f t="shared" si="12"/>
        <v>2</v>
      </c>
      <c r="S105" s="4">
        <f>INDEX(Dim_Product!$K$2:$K$4,MATCH(F105,Dim_Product!$A$2:$A$4,0))+0.34</f>
        <v>110.34</v>
      </c>
      <c r="T105" s="4">
        <f>IF(AND(S105&gt;=INDEX(Dim_Product!$K$2:$K$4,MATCH(F105,Dim_Product!$A$2:$A$4,0))-INDEX(Dim_Product!$L$2:$L$4,MATCH(F105,Dim_Product!$A$2:$A$4,0)),S105&lt;=INDEX(Dim_Product!$K$2:$K$4,MATCH(F105,Dim_Product!$A$2:$A$4,0))+INDEX(Dim_Product!$L$2:$L$4,MATCH(F105,Dim_Product!$A$2:$A$4,0))),G105-H105,G105-H105-1)</f>
        <v>22</v>
      </c>
      <c r="U105" s="4">
        <f t="shared" si="13"/>
        <v>2</v>
      </c>
      <c r="V105" s="4">
        <f t="shared" si="14"/>
        <v>8.3333333333333329E-2</v>
      </c>
      <c r="W105" s="19">
        <f t="shared" si="15"/>
        <v>0.91666666666666663</v>
      </c>
    </row>
    <row r="106" spans="1:23" x14ac:dyDescent="0.25">
      <c r="A106" s="18" t="s">
        <v>607</v>
      </c>
      <c r="B106" s="4">
        <f>Fact_Production_Hourly!B106</f>
        <v>20260701</v>
      </c>
      <c r="C106" s="4">
        <f>Fact_Production_Hourly!C106</f>
        <v>14</v>
      </c>
      <c r="D106" s="4" t="str">
        <f>Fact_Production_Hourly!D106</f>
        <v>M7</v>
      </c>
      <c r="E106" s="4" t="str">
        <f>Fact_Production_Hourly!E106</f>
        <v>A-AM</v>
      </c>
      <c r="F106" s="4" t="str">
        <f>Fact_Production_Hourly!F106</f>
        <v>C</v>
      </c>
      <c r="G106" s="4">
        <f>INDEX(Dim_Machine!$D$2:$D$8,MATCH(D106,Dim_Machine!$A$2:$A$8,0))*2</f>
        <v>48</v>
      </c>
      <c r="H106" s="4">
        <f>ROUND(G106*0.0301,0)</f>
        <v>1</v>
      </c>
      <c r="I106" s="4">
        <f t="shared" si="8"/>
        <v>0</v>
      </c>
      <c r="J106" s="4">
        <f t="shared" si="9"/>
        <v>0</v>
      </c>
      <c r="K106" s="4">
        <f t="shared" si="10"/>
        <v>1</v>
      </c>
      <c r="L106" s="4" t="s">
        <v>503</v>
      </c>
      <c r="M106" s="4">
        <f>INDEX(Dim_Product!$C$2:$C$4,MATCH(F106,Dim_Product!$A$2:$A$4,0))+0.98</f>
        <v>200.98</v>
      </c>
      <c r="N106" s="4">
        <f>IF(AND(M106&gt;=INDEX(Dim_Product!$C$2:$C$4,MATCH(F106,Dim_Product!$A$2:$A$4,0))-INDEX(Dim_Product!$D$2:$D$4,MATCH(F106,Dim_Product!$A$2:$A$4,0)),M106&lt;=INDEX(Dim_Product!$C$2:$C$4,MATCH(F106,Dim_Product!$A$2:$A$4,0))+INDEX(Dim_Product!$D$2:$D$4,MATCH(F106,Dim_Product!$A$2:$A$4,0))),G106-H106,G106-H106-1)</f>
        <v>47</v>
      </c>
      <c r="O106" s="4">
        <f t="shared" si="11"/>
        <v>1</v>
      </c>
      <c r="P106" s="4">
        <f>INDEX(Dim_Product!$G$2:$G$4,MATCH(F106,Dim_Product!$A$2:$A$4,0))+0.03</f>
        <v>65.03</v>
      </c>
      <c r="Q106" s="4">
        <f>IF(AND(P106&gt;=INDEX(Dim_Product!$G$2:$G$4,MATCH(F106,Dim_Product!$A$2:$A$4,0))-INDEX(Dim_Product!$H$2:$H$4,MATCH(F106,Dim_Product!$A$2:$A$4,0)),P106&lt;=INDEX(Dim_Product!$G$2:$G$4,MATCH(F106,Dim_Product!$A$2:$A$4,0))+INDEX(Dim_Product!$H$2:$H$4,MATCH(F106,Dim_Product!$A$2:$A$4,0))),G106-H106,G106-H106-1)</f>
        <v>47</v>
      </c>
      <c r="R106" s="4">
        <f t="shared" si="12"/>
        <v>1</v>
      </c>
      <c r="S106" s="4">
        <f>INDEX(Dim_Product!$K$2:$K$4,MATCH(F106,Dim_Product!$A$2:$A$4,0))+0</f>
        <v>110</v>
      </c>
      <c r="T106" s="4">
        <f>IF(AND(S106&gt;=INDEX(Dim_Product!$K$2:$K$4,MATCH(F106,Dim_Product!$A$2:$A$4,0))-INDEX(Dim_Product!$L$2:$L$4,MATCH(F106,Dim_Product!$A$2:$A$4,0)),S106&lt;=INDEX(Dim_Product!$K$2:$K$4,MATCH(F106,Dim_Product!$A$2:$A$4,0))+INDEX(Dim_Product!$L$2:$L$4,MATCH(F106,Dim_Product!$A$2:$A$4,0))),G106-H106,G106-H106-1)</f>
        <v>47</v>
      </c>
      <c r="U106" s="4">
        <f t="shared" si="13"/>
        <v>1</v>
      </c>
      <c r="V106" s="4">
        <f t="shared" si="14"/>
        <v>2.0833333333333332E-2</v>
      </c>
      <c r="W106" s="19">
        <f t="shared" si="15"/>
        <v>0.97916666666666663</v>
      </c>
    </row>
    <row r="107" spans="1:23" x14ac:dyDescent="0.25">
      <c r="A107" s="18" t="s">
        <v>608</v>
      </c>
      <c r="B107" s="4">
        <f>Fact_Production_Hourly!B107</f>
        <v>20260701</v>
      </c>
      <c r="C107" s="4">
        <f>Fact_Production_Hourly!C107</f>
        <v>15</v>
      </c>
      <c r="D107" s="4" t="str">
        <f>Fact_Production_Hourly!D107</f>
        <v>M1</v>
      </c>
      <c r="E107" s="4" t="str">
        <f>Fact_Production_Hourly!E107</f>
        <v>A-AM</v>
      </c>
      <c r="F107" s="4" t="str">
        <f>Fact_Production_Hourly!F107</f>
        <v>C</v>
      </c>
      <c r="G107" s="4">
        <f>INDEX(Dim_Machine!$D$2:$D$8,MATCH(D107,Dim_Machine!$A$2:$A$8,0))*2</f>
        <v>32</v>
      </c>
      <c r="H107" s="4">
        <f>ROUND(G107*0.0663,0)</f>
        <v>2</v>
      </c>
      <c r="I107" s="4">
        <f t="shared" si="8"/>
        <v>0</v>
      </c>
      <c r="J107" s="4">
        <f t="shared" si="9"/>
        <v>1</v>
      </c>
      <c r="K107" s="4">
        <f t="shared" si="10"/>
        <v>1</v>
      </c>
      <c r="L107" s="4" t="s">
        <v>509</v>
      </c>
      <c r="M107" s="4">
        <f>INDEX(Dim_Product!$C$2:$C$4,MATCH(F107,Dim_Product!$A$2:$A$4,0))+-0.06</f>
        <v>199.94</v>
      </c>
      <c r="N107" s="4">
        <f>IF(AND(M107&gt;=INDEX(Dim_Product!$C$2:$C$4,MATCH(F107,Dim_Product!$A$2:$A$4,0))-INDEX(Dim_Product!$D$2:$D$4,MATCH(F107,Dim_Product!$A$2:$A$4,0)),M107&lt;=INDEX(Dim_Product!$C$2:$C$4,MATCH(F107,Dim_Product!$A$2:$A$4,0))+INDEX(Dim_Product!$D$2:$D$4,MATCH(F107,Dim_Product!$A$2:$A$4,0))),G107-H107,G107-H107-1)</f>
        <v>30</v>
      </c>
      <c r="O107" s="4">
        <f t="shared" si="11"/>
        <v>2</v>
      </c>
      <c r="P107" s="4">
        <f>INDEX(Dim_Product!$G$2:$G$4,MATCH(F107,Dim_Product!$A$2:$A$4,0))+-0.18</f>
        <v>64.819999999999993</v>
      </c>
      <c r="Q107" s="4">
        <f>IF(AND(P107&gt;=INDEX(Dim_Product!$G$2:$G$4,MATCH(F107,Dim_Product!$A$2:$A$4,0))-INDEX(Dim_Product!$H$2:$H$4,MATCH(F107,Dim_Product!$A$2:$A$4,0)),P107&lt;=INDEX(Dim_Product!$G$2:$G$4,MATCH(F107,Dim_Product!$A$2:$A$4,0))+INDEX(Dim_Product!$H$2:$H$4,MATCH(F107,Dim_Product!$A$2:$A$4,0))),G107-H107,G107-H107-1)</f>
        <v>30</v>
      </c>
      <c r="R107" s="4">
        <f t="shared" si="12"/>
        <v>2</v>
      </c>
      <c r="S107" s="4">
        <f>INDEX(Dim_Product!$K$2:$K$4,MATCH(F107,Dim_Product!$A$2:$A$4,0))+-0.31</f>
        <v>109.69</v>
      </c>
      <c r="T107" s="4">
        <f>IF(AND(S107&gt;=INDEX(Dim_Product!$K$2:$K$4,MATCH(F107,Dim_Product!$A$2:$A$4,0))-INDEX(Dim_Product!$L$2:$L$4,MATCH(F107,Dim_Product!$A$2:$A$4,0)),S107&lt;=INDEX(Dim_Product!$K$2:$K$4,MATCH(F107,Dim_Product!$A$2:$A$4,0))+INDEX(Dim_Product!$L$2:$L$4,MATCH(F107,Dim_Product!$A$2:$A$4,0))),G107-H107,G107-H107-1)</f>
        <v>30</v>
      </c>
      <c r="U107" s="4">
        <f t="shared" si="13"/>
        <v>2</v>
      </c>
      <c r="V107" s="4">
        <f t="shared" si="14"/>
        <v>6.25E-2</v>
      </c>
      <c r="W107" s="19">
        <f t="shared" si="15"/>
        <v>0.9375</v>
      </c>
    </row>
    <row r="108" spans="1:23" x14ac:dyDescent="0.25">
      <c r="A108" s="18" t="s">
        <v>609</v>
      </c>
      <c r="B108" s="4">
        <f>Fact_Production_Hourly!B108</f>
        <v>20260701</v>
      </c>
      <c r="C108" s="4">
        <f>Fact_Production_Hourly!C108</f>
        <v>15</v>
      </c>
      <c r="D108" s="4" t="str">
        <f>Fact_Production_Hourly!D108</f>
        <v>M2</v>
      </c>
      <c r="E108" s="4" t="str">
        <f>Fact_Production_Hourly!E108</f>
        <v>A-AM</v>
      </c>
      <c r="F108" s="4" t="str">
        <f>Fact_Production_Hourly!F108</f>
        <v>A</v>
      </c>
      <c r="G108" s="4">
        <f>INDEX(Dim_Machine!$D$2:$D$8,MATCH(D108,Dim_Machine!$A$2:$A$8,0))*2</f>
        <v>48</v>
      </c>
      <c r="H108" s="4">
        <f>ROUND(G108*0.0197,0)</f>
        <v>1</v>
      </c>
      <c r="I108" s="4">
        <f t="shared" si="8"/>
        <v>0</v>
      </c>
      <c r="J108" s="4">
        <f t="shared" si="9"/>
        <v>0</v>
      </c>
      <c r="K108" s="4">
        <f t="shared" si="10"/>
        <v>1</v>
      </c>
      <c r="L108" s="4" t="s">
        <v>503</v>
      </c>
      <c r="M108" s="4">
        <f>INDEX(Dim_Product!$C$2:$C$4,MATCH(F108,Dim_Product!$A$2:$A$4,0))+0.3</f>
        <v>250.3</v>
      </c>
      <c r="N108" s="4">
        <f>IF(AND(M108&gt;=INDEX(Dim_Product!$C$2:$C$4,MATCH(F108,Dim_Product!$A$2:$A$4,0))-INDEX(Dim_Product!$D$2:$D$4,MATCH(F108,Dim_Product!$A$2:$A$4,0)),M108&lt;=INDEX(Dim_Product!$C$2:$C$4,MATCH(F108,Dim_Product!$A$2:$A$4,0))+INDEX(Dim_Product!$D$2:$D$4,MATCH(F108,Dim_Product!$A$2:$A$4,0))),G108-H108,G108-H108-1)</f>
        <v>47</v>
      </c>
      <c r="O108" s="4">
        <f t="shared" si="11"/>
        <v>1</v>
      </c>
      <c r="P108" s="4">
        <f>INDEX(Dim_Product!$G$2:$G$4,MATCH(F108,Dim_Product!$A$2:$A$4,0))+0.13</f>
        <v>70.13</v>
      </c>
      <c r="Q108" s="4">
        <f>IF(AND(P108&gt;=INDEX(Dim_Product!$G$2:$G$4,MATCH(F108,Dim_Product!$A$2:$A$4,0))-INDEX(Dim_Product!$H$2:$H$4,MATCH(F108,Dim_Product!$A$2:$A$4,0)),P108&lt;=INDEX(Dim_Product!$G$2:$G$4,MATCH(F108,Dim_Product!$A$2:$A$4,0))+INDEX(Dim_Product!$H$2:$H$4,MATCH(F108,Dim_Product!$A$2:$A$4,0))),G108-H108,G108-H108-1)</f>
        <v>47</v>
      </c>
      <c r="R108" s="4">
        <f t="shared" si="12"/>
        <v>1</v>
      </c>
      <c r="S108" s="4">
        <f>INDEX(Dim_Product!$K$2:$K$4,MATCH(F108,Dim_Product!$A$2:$A$4,0))+-0.39</f>
        <v>119.61</v>
      </c>
      <c r="T108" s="4">
        <f>IF(AND(S108&gt;=INDEX(Dim_Product!$K$2:$K$4,MATCH(F108,Dim_Product!$A$2:$A$4,0))-INDEX(Dim_Product!$L$2:$L$4,MATCH(F108,Dim_Product!$A$2:$A$4,0)),S108&lt;=INDEX(Dim_Product!$K$2:$K$4,MATCH(F108,Dim_Product!$A$2:$A$4,0))+INDEX(Dim_Product!$L$2:$L$4,MATCH(F108,Dim_Product!$A$2:$A$4,0))),G108-H108,G108-H108-1)</f>
        <v>47</v>
      </c>
      <c r="U108" s="4">
        <f t="shared" si="13"/>
        <v>1</v>
      </c>
      <c r="V108" s="4">
        <f t="shared" si="14"/>
        <v>2.0833333333333332E-2</v>
      </c>
      <c r="W108" s="19">
        <f t="shared" si="15"/>
        <v>0.97916666666666663</v>
      </c>
    </row>
    <row r="109" spans="1:23" x14ac:dyDescent="0.25">
      <c r="A109" s="18" t="s">
        <v>610</v>
      </c>
      <c r="B109" s="4">
        <f>Fact_Production_Hourly!B109</f>
        <v>20260701</v>
      </c>
      <c r="C109" s="4">
        <f>Fact_Production_Hourly!C109</f>
        <v>15</v>
      </c>
      <c r="D109" s="4" t="str">
        <f>Fact_Production_Hourly!D109</f>
        <v>M3</v>
      </c>
      <c r="E109" s="4" t="str">
        <f>Fact_Production_Hourly!E109</f>
        <v>A-AM</v>
      </c>
      <c r="F109" s="4" t="str">
        <f>Fact_Production_Hourly!F109</f>
        <v>B</v>
      </c>
      <c r="G109" s="4">
        <f>INDEX(Dim_Machine!$D$2:$D$8,MATCH(D109,Dim_Machine!$A$2:$A$8,0))*2</f>
        <v>24</v>
      </c>
      <c r="H109" s="4">
        <f>ROUND(G109*0.0302,0)</f>
        <v>1</v>
      </c>
      <c r="I109" s="4">
        <f t="shared" si="8"/>
        <v>0</v>
      </c>
      <c r="J109" s="4">
        <f t="shared" si="9"/>
        <v>0</v>
      </c>
      <c r="K109" s="4">
        <f t="shared" si="10"/>
        <v>1</v>
      </c>
      <c r="L109" s="4" t="s">
        <v>517</v>
      </c>
      <c r="M109" s="4">
        <f>INDEX(Dim_Product!$C$2:$C$4,MATCH(F109,Dim_Product!$A$2:$A$4,0))+0.14</f>
        <v>300.14</v>
      </c>
      <c r="N109" s="4">
        <f>IF(AND(M109&gt;=INDEX(Dim_Product!$C$2:$C$4,MATCH(F109,Dim_Product!$A$2:$A$4,0))-INDEX(Dim_Product!$D$2:$D$4,MATCH(F109,Dim_Product!$A$2:$A$4,0)),M109&lt;=INDEX(Dim_Product!$C$2:$C$4,MATCH(F109,Dim_Product!$A$2:$A$4,0))+INDEX(Dim_Product!$D$2:$D$4,MATCH(F109,Dim_Product!$A$2:$A$4,0))),G109-H109,G109-H109-1)</f>
        <v>23</v>
      </c>
      <c r="O109" s="4">
        <f t="shared" si="11"/>
        <v>1</v>
      </c>
      <c r="P109" s="4">
        <f>INDEX(Dim_Product!$G$2:$G$4,MATCH(F109,Dim_Product!$A$2:$A$4,0))+0.15</f>
        <v>75.150000000000006</v>
      </c>
      <c r="Q109" s="4">
        <f>IF(AND(P109&gt;=INDEX(Dim_Product!$G$2:$G$4,MATCH(F109,Dim_Product!$A$2:$A$4,0))-INDEX(Dim_Product!$H$2:$H$4,MATCH(F109,Dim_Product!$A$2:$A$4,0)),P109&lt;=INDEX(Dim_Product!$G$2:$G$4,MATCH(F109,Dim_Product!$A$2:$A$4,0))+INDEX(Dim_Product!$H$2:$H$4,MATCH(F109,Dim_Product!$A$2:$A$4,0))),G109-H109,G109-H109-1)</f>
        <v>23</v>
      </c>
      <c r="R109" s="4">
        <f t="shared" si="12"/>
        <v>1</v>
      </c>
      <c r="S109" s="4">
        <f>INDEX(Dim_Product!$K$2:$K$4,MATCH(F109,Dim_Product!$A$2:$A$4,0))+-0.26</f>
        <v>129.74</v>
      </c>
      <c r="T109" s="4">
        <f>IF(AND(S109&gt;=INDEX(Dim_Product!$K$2:$K$4,MATCH(F109,Dim_Product!$A$2:$A$4,0))-INDEX(Dim_Product!$L$2:$L$4,MATCH(F109,Dim_Product!$A$2:$A$4,0)),S109&lt;=INDEX(Dim_Product!$K$2:$K$4,MATCH(F109,Dim_Product!$A$2:$A$4,0))+INDEX(Dim_Product!$L$2:$L$4,MATCH(F109,Dim_Product!$A$2:$A$4,0))),G109-H109,G109-H109-1)</f>
        <v>23</v>
      </c>
      <c r="U109" s="4">
        <f t="shared" si="13"/>
        <v>1</v>
      </c>
      <c r="V109" s="4">
        <f t="shared" si="14"/>
        <v>4.1666666666666664E-2</v>
      </c>
      <c r="W109" s="19">
        <f t="shared" si="15"/>
        <v>0.95833333333333337</v>
      </c>
    </row>
    <row r="110" spans="1:23" x14ac:dyDescent="0.25">
      <c r="A110" s="18" t="s">
        <v>611</v>
      </c>
      <c r="B110" s="4">
        <f>Fact_Production_Hourly!B110</f>
        <v>20260701</v>
      </c>
      <c r="C110" s="4">
        <f>Fact_Production_Hourly!C110</f>
        <v>15</v>
      </c>
      <c r="D110" s="4" t="str">
        <f>Fact_Production_Hourly!D110</f>
        <v>M4</v>
      </c>
      <c r="E110" s="4" t="str">
        <f>Fact_Production_Hourly!E110</f>
        <v>A-AM</v>
      </c>
      <c r="F110" s="4" t="str">
        <f>Fact_Production_Hourly!F110</f>
        <v>A</v>
      </c>
      <c r="G110" s="4">
        <f>INDEX(Dim_Machine!$D$2:$D$8,MATCH(D110,Dim_Machine!$A$2:$A$8,0))*2</f>
        <v>48</v>
      </c>
      <c r="H110" s="4">
        <f>ROUND(G110*0.0614,0)</f>
        <v>3</v>
      </c>
      <c r="I110" s="4">
        <f t="shared" si="8"/>
        <v>0</v>
      </c>
      <c r="J110" s="4">
        <f t="shared" si="9"/>
        <v>1</v>
      </c>
      <c r="K110" s="4">
        <f t="shared" si="10"/>
        <v>2</v>
      </c>
      <c r="L110" s="4" t="s">
        <v>503</v>
      </c>
      <c r="M110" s="4">
        <f>INDEX(Dim_Product!$C$2:$C$4,MATCH(F110,Dim_Product!$A$2:$A$4,0))+0.65</f>
        <v>250.65</v>
      </c>
      <c r="N110" s="4">
        <f>IF(AND(M110&gt;=INDEX(Dim_Product!$C$2:$C$4,MATCH(F110,Dim_Product!$A$2:$A$4,0))-INDEX(Dim_Product!$D$2:$D$4,MATCH(F110,Dim_Product!$A$2:$A$4,0)),M110&lt;=INDEX(Dim_Product!$C$2:$C$4,MATCH(F110,Dim_Product!$A$2:$A$4,0))+INDEX(Dim_Product!$D$2:$D$4,MATCH(F110,Dim_Product!$A$2:$A$4,0))),G110-H110,G110-H110-1)</f>
        <v>45</v>
      </c>
      <c r="O110" s="4">
        <f t="shared" si="11"/>
        <v>3</v>
      </c>
      <c r="P110" s="4">
        <f>INDEX(Dim_Product!$G$2:$G$4,MATCH(F110,Dim_Product!$A$2:$A$4,0))+0.01</f>
        <v>70.010000000000005</v>
      </c>
      <c r="Q110" s="4">
        <f>IF(AND(P110&gt;=INDEX(Dim_Product!$G$2:$G$4,MATCH(F110,Dim_Product!$A$2:$A$4,0))-INDEX(Dim_Product!$H$2:$H$4,MATCH(F110,Dim_Product!$A$2:$A$4,0)),P110&lt;=INDEX(Dim_Product!$G$2:$G$4,MATCH(F110,Dim_Product!$A$2:$A$4,0))+INDEX(Dim_Product!$H$2:$H$4,MATCH(F110,Dim_Product!$A$2:$A$4,0))),G110-H110,G110-H110-1)</f>
        <v>45</v>
      </c>
      <c r="R110" s="4">
        <f t="shared" si="12"/>
        <v>3</v>
      </c>
      <c r="S110" s="4">
        <f>INDEX(Dim_Product!$K$2:$K$4,MATCH(F110,Dim_Product!$A$2:$A$4,0))+-0.33</f>
        <v>119.67</v>
      </c>
      <c r="T110" s="4">
        <f>IF(AND(S110&gt;=INDEX(Dim_Product!$K$2:$K$4,MATCH(F110,Dim_Product!$A$2:$A$4,0))-INDEX(Dim_Product!$L$2:$L$4,MATCH(F110,Dim_Product!$A$2:$A$4,0)),S110&lt;=INDEX(Dim_Product!$K$2:$K$4,MATCH(F110,Dim_Product!$A$2:$A$4,0))+INDEX(Dim_Product!$L$2:$L$4,MATCH(F110,Dim_Product!$A$2:$A$4,0))),G110-H110,G110-H110-1)</f>
        <v>45</v>
      </c>
      <c r="U110" s="4">
        <f t="shared" si="13"/>
        <v>3</v>
      </c>
      <c r="V110" s="4">
        <f t="shared" si="14"/>
        <v>6.25E-2</v>
      </c>
      <c r="W110" s="19">
        <f t="shared" si="15"/>
        <v>0.9375</v>
      </c>
    </row>
    <row r="111" spans="1:23" x14ac:dyDescent="0.25">
      <c r="A111" s="18" t="s">
        <v>612</v>
      </c>
      <c r="B111" s="4">
        <f>Fact_Production_Hourly!B111</f>
        <v>20260701</v>
      </c>
      <c r="C111" s="4">
        <f>Fact_Production_Hourly!C111</f>
        <v>15</v>
      </c>
      <c r="D111" s="4" t="str">
        <f>Fact_Production_Hourly!D111</f>
        <v>M5</v>
      </c>
      <c r="E111" s="4" t="str">
        <f>Fact_Production_Hourly!E111</f>
        <v>A-AM</v>
      </c>
      <c r="F111" s="4" t="str">
        <f>Fact_Production_Hourly!F111</f>
        <v>C</v>
      </c>
      <c r="G111" s="4">
        <f>INDEX(Dim_Machine!$D$2:$D$8,MATCH(D111,Dim_Machine!$A$2:$A$8,0))*2</f>
        <v>32</v>
      </c>
      <c r="H111" s="4">
        <f>ROUND(G111*0.0502,0)</f>
        <v>2</v>
      </c>
      <c r="I111" s="4">
        <f t="shared" si="8"/>
        <v>0</v>
      </c>
      <c r="J111" s="4">
        <f t="shared" si="9"/>
        <v>1</v>
      </c>
      <c r="K111" s="4">
        <f t="shared" si="10"/>
        <v>1</v>
      </c>
      <c r="L111" s="4" t="s">
        <v>500</v>
      </c>
      <c r="M111" s="4">
        <f>INDEX(Dim_Product!$C$2:$C$4,MATCH(F111,Dim_Product!$A$2:$A$4,0))+0.96</f>
        <v>200.96</v>
      </c>
      <c r="N111" s="4">
        <f>IF(AND(M111&gt;=INDEX(Dim_Product!$C$2:$C$4,MATCH(F111,Dim_Product!$A$2:$A$4,0))-INDEX(Dim_Product!$D$2:$D$4,MATCH(F111,Dim_Product!$A$2:$A$4,0)),M111&lt;=INDEX(Dim_Product!$C$2:$C$4,MATCH(F111,Dim_Product!$A$2:$A$4,0))+INDEX(Dim_Product!$D$2:$D$4,MATCH(F111,Dim_Product!$A$2:$A$4,0))),G111-H111,G111-H111-1)</f>
        <v>30</v>
      </c>
      <c r="O111" s="4">
        <f t="shared" si="11"/>
        <v>2</v>
      </c>
      <c r="P111" s="4">
        <f>INDEX(Dim_Product!$G$2:$G$4,MATCH(F111,Dim_Product!$A$2:$A$4,0))+-0.01</f>
        <v>64.989999999999995</v>
      </c>
      <c r="Q111" s="4">
        <f>IF(AND(P111&gt;=INDEX(Dim_Product!$G$2:$G$4,MATCH(F111,Dim_Product!$A$2:$A$4,0))-INDEX(Dim_Product!$H$2:$H$4,MATCH(F111,Dim_Product!$A$2:$A$4,0)),P111&lt;=INDEX(Dim_Product!$G$2:$G$4,MATCH(F111,Dim_Product!$A$2:$A$4,0))+INDEX(Dim_Product!$H$2:$H$4,MATCH(F111,Dim_Product!$A$2:$A$4,0))),G111-H111,G111-H111-1)</f>
        <v>30</v>
      </c>
      <c r="R111" s="4">
        <f t="shared" si="12"/>
        <v>2</v>
      </c>
      <c r="S111" s="4">
        <f>INDEX(Dim_Product!$K$2:$K$4,MATCH(F111,Dim_Product!$A$2:$A$4,0))+0.35</f>
        <v>110.35</v>
      </c>
      <c r="T111" s="4">
        <f>IF(AND(S111&gt;=INDEX(Dim_Product!$K$2:$K$4,MATCH(F111,Dim_Product!$A$2:$A$4,0))-INDEX(Dim_Product!$L$2:$L$4,MATCH(F111,Dim_Product!$A$2:$A$4,0)),S111&lt;=INDEX(Dim_Product!$K$2:$K$4,MATCH(F111,Dim_Product!$A$2:$A$4,0))+INDEX(Dim_Product!$L$2:$L$4,MATCH(F111,Dim_Product!$A$2:$A$4,0))),G111-H111,G111-H111-1)</f>
        <v>30</v>
      </c>
      <c r="U111" s="4">
        <f t="shared" si="13"/>
        <v>2</v>
      </c>
      <c r="V111" s="4">
        <f t="shared" si="14"/>
        <v>6.25E-2</v>
      </c>
      <c r="W111" s="19">
        <f t="shared" si="15"/>
        <v>0.9375</v>
      </c>
    </row>
    <row r="112" spans="1:23" x14ac:dyDescent="0.25">
      <c r="A112" s="18" t="s">
        <v>613</v>
      </c>
      <c r="B112" s="4">
        <f>Fact_Production_Hourly!B112</f>
        <v>20260701</v>
      </c>
      <c r="C112" s="4">
        <f>Fact_Production_Hourly!C112</f>
        <v>15</v>
      </c>
      <c r="D112" s="4" t="str">
        <f>Fact_Production_Hourly!D112</f>
        <v>M6</v>
      </c>
      <c r="E112" s="4" t="str">
        <f>Fact_Production_Hourly!E112</f>
        <v>A-AM</v>
      </c>
      <c r="F112" s="4" t="str">
        <f>Fact_Production_Hourly!F112</f>
        <v>C</v>
      </c>
      <c r="G112" s="4">
        <f>INDEX(Dim_Machine!$D$2:$D$8,MATCH(D112,Dim_Machine!$A$2:$A$8,0))*2</f>
        <v>24</v>
      </c>
      <c r="H112" s="4">
        <f>ROUND(G112*0.0104,0)</f>
        <v>0</v>
      </c>
      <c r="I112" s="4">
        <f t="shared" si="8"/>
        <v>0</v>
      </c>
      <c r="J112" s="4">
        <f t="shared" si="9"/>
        <v>0</v>
      </c>
      <c r="K112" s="4">
        <f t="shared" si="10"/>
        <v>0</v>
      </c>
      <c r="L112" s="4" t="s">
        <v>503</v>
      </c>
      <c r="M112" s="4">
        <f>INDEX(Dim_Product!$C$2:$C$4,MATCH(F112,Dim_Product!$A$2:$A$4,0))+-0.53</f>
        <v>199.47</v>
      </c>
      <c r="N112" s="4">
        <f>IF(AND(M112&gt;=INDEX(Dim_Product!$C$2:$C$4,MATCH(F112,Dim_Product!$A$2:$A$4,0))-INDEX(Dim_Product!$D$2:$D$4,MATCH(F112,Dim_Product!$A$2:$A$4,0)),M112&lt;=INDEX(Dim_Product!$C$2:$C$4,MATCH(F112,Dim_Product!$A$2:$A$4,0))+INDEX(Dim_Product!$D$2:$D$4,MATCH(F112,Dim_Product!$A$2:$A$4,0))),G112-H112,G112-H112-1)</f>
        <v>24</v>
      </c>
      <c r="O112" s="4">
        <f t="shared" si="11"/>
        <v>0</v>
      </c>
      <c r="P112" s="4">
        <f>INDEX(Dim_Product!$G$2:$G$4,MATCH(F112,Dim_Product!$A$2:$A$4,0))+0.15</f>
        <v>65.150000000000006</v>
      </c>
      <c r="Q112" s="4">
        <f>IF(AND(P112&gt;=INDEX(Dim_Product!$G$2:$G$4,MATCH(F112,Dim_Product!$A$2:$A$4,0))-INDEX(Dim_Product!$H$2:$H$4,MATCH(F112,Dim_Product!$A$2:$A$4,0)),P112&lt;=INDEX(Dim_Product!$G$2:$G$4,MATCH(F112,Dim_Product!$A$2:$A$4,0))+INDEX(Dim_Product!$H$2:$H$4,MATCH(F112,Dim_Product!$A$2:$A$4,0))),G112-H112,G112-H112-1)</f>
        <v>24</v>
      </c>
      <c r="R112" s="4">
        <f t="shared" si="12"/>
        <v>0</v>
      </c>
      <c r="S112" s="4">
        <f>INDEX(Dim_Product!$K$2:$K$4,MATCH(F112,Dim_Product!$A$2:$A$4,0))+0.36</f>
        <v>110.36</v>
      </c>
      <c r="T112" s="4">
        <f>IF(AND(S112&gt;=INDEX(Dim_Product!$K$2:$K$4,MATCH(F112,Dim_Product!$A$2:$A$4,0))-INDEX(Dim_Product!$L$2:$L$4,MATCH(F112,Dim_Product!$A$2:$A$4,0)),S112&lt;=INDEX(Dim_Product!$K$2:$K$4,MATCH(F112,Dim_Product!$A$2:$A$4,0))+INDEX(Dim_Product!$L$2:$L$4,MATCH(F112,Dim_Product!$A$2:$A$4,0))),G112-H112,G112-H112-1)</f>
        <v>24</v>
      </c>
      <c r="U112" s="4">
        <f t="shared" si="13"/>
        <v>0</v>
      </c>
      <c r="V112" s="4">
        <f t="shared" si="14"/>
        <v>0</v>
      </c>
      <c r="W112" s="19">
        <f t="shared" si="15"/>
        <v>1</v>
      </c>
    </row>
    <row r="113" spans="1:23" x14ac:dyDescent="0.25">
      <c r="A113" s="18" t="s">
        <v>614</v>
      </c>
      <c r="B113" s="4">
        <f>Fact_Production_Hourly!B113</f>
        <v>20260701</v>
      </c>
      <c r="C113" s="4">
        <f>Fact_Production_Hourly!C113</f>
        <v>15</v>
      </c>
      <c r="D113" s="4" t="str">
        <f>Fact_Production_Hourly!D113</f>
        <v>M7</v>
      </c>
      <c r="E113" s="4" t="str">
        <f>Fact_Production_Hourly!E113</f>
        <v>A-AM</v>
      </c>
      <c r="F113" s="4" t="str">
        <f>Fact_Production_Hourly!F113</f>
        <v>C</v>
      </c>
      <c r="G113" s="4">
        <f>INDEX(Dim_Machine!$D$2:$D$8,MATCH(D113,Dim_Machine!$A$2:$A$8,0))*2</f>
        <v>48</v>
      </c>
      <c r="H113" s="4">
        <f>ROUND(G113*0.0281,0)</f>
        <v>1</v>
      </c>
      <c r="I113" s="4">
        <f t="shared" si="8"/>
        <v>0</v>
      </c>
      <c r="J113" s="4">
        <f t="shared" si="9"/>
        <v>0</v>
      </c>
      <c r="K113" s="4">
        <f t="shared" si="10"/>
        <v>1</v>
      </c>
      <c r="L113" s="4" t="s">
        <v>520</v>
      </c>
      <c r="M113" s="4">
        <f>INDEX(Dim_Product!$C$2:$C$4,MATCH(F113,Dim_Product!$A$2:$A$4,0))+0.15</f>
        <v>200.15</v>
      </c>
      <c r="N113" s="4">
        <f>IF(AND(M113&gt;=INDEX(Dim_Product!$C$2:$C$4,MATCH(F113,Dim_Product!$A$2:$A$4,0))-INDEX(Dim_Product!$D$2:$D$4,MATCH(F113,Dim_Product!$A$2:$A$4,0)),M113&lt;=INDEX(Dim_Product!$C$2:$C$4,MATCH(F113,Dim_Product!$A$2:$A$4,0))+INDEX(Dim_Product!$D$2:$D$4,MATCH(F113,Dim_Product!$A$2:$A$4,0))),G113-H113,G113-H113-1)</f>
        <v>47</v>
      </c>
      <c r="O113" s="4">
        <f t="shared" si="11"/>
        <v>1</v>
      </c>
      <c r="P113" s="4">
        <f>INDEX(Dim_Product!$G$2:$G$4,MATCH(F113,Dim_Product!$A$2:$A$4,0))+-0.14</f>
        <v>64.86</v>
      </c>
      <c r="Q113" s="4">
        <f>IF(AND(P113&gt;=INDEX(Dim_Product!$G$2:$G$4,MATCH(F113,Dim_Product!$A$2:$A$4,0))-INDEX(Dim_Product!$H$2:$H$4,MATCH(F113,Dim_Product!$A$2:$A$4,0)),P113&lt;=INDEX(Dim_Product!$G$2:$G$4,MATCH(F113,Dim_Product!$A$2:$A$4,0))+INDEX(Dim_Product!$H$2:$H$4,MATCH(F113,Dim_Product!$A$2:$A$4,0))),G113-H113,G113-H113-1)</f>
        <v>47</v>
      </c>
      <c r="R113" s="4">
        <f t="shared" si="12"/>
        <v>1</v>
      </c>
      <c r="S113" s="4">
        <f>INDEX(Dim_Product!$K$2:$K$4,MATCH(F113,Dim_Product!$A$2:$A$4,0))+-0.11</f>
        <v>109.89</v>
      </c>
      <c r="T113" s="4">
        <f>IF(AND(S113&gt;=INDEX(Dim_Product!$K$2:$K$4,MATCH(F113,Dim_Product!$A$2:$A$4,0))-INDEX(Dim_Product!$L$2:$L$4,MATCH(F113,Dim_Product!$A$2:$A$4,0)),S113&lt;=INDEX(Dim_Product!$K$2:$K$4,MATCH(F113,Dim_Product!$A$2:$A$4,0))+INDEX(Dim_Product!$L$2:$L$4,MATCH(F113,Dim_Product!$A$2:$A$4,0))),G113-H113,G113-H113-1)</f>
        <v>47</v>
      </c>
      <c r="U113" s="4">
        <f t="shared" si="13"/>
        <v>1</v>
      </c>
      <c r="V113" s="4">
        <f t="shared" si="14"/>
        <v>2.0833333333333332E-2</v>
      </c>
      <c r="W113" s="19">
        <f t="shared" si="15"/>
        <v>0.97916666666666663</v>
      </c>
    </row>
    <row r="114" spans="1:23" x14ac:dyDescent="0.25">
      <c r="A114" s="18" t="s">
        <v>615</v>
      </c>
      <c r="B114" s="4">
        <f>Fact_Production_Hourly!B114</f>
        <v>20260701</v>
      </c>
      <c r="C114" s="4">
        <f>Fact_Production_Hourly!C114</f>
        <v>16</v>
      </c>
      <c r="D114" s="4" t="str">
        <f>Fact_Production_Hourly!D114</f>
        <v>M1</v>
      </c>
      <c r="E114" s="4" t="str">
        <f>Fact_Production_Hourly!E114</f>
        <v>A-AM</v>
      </c>
      <c r="F114" s="4" t="str">
        <f>Fact_Production_Hourly!F114</f>
        <v>C</v>
      </c>
      <c r="G114" s="4">
        <f>INDEX(Dim_Machine!$D$2:$D$8,MATCH(D114,Dim_Machine!$A$2:$A$8,0))*2</f>
        <v>32</v>
      </c>
      <c r="H114" s="4">
        <f>ROUND(G114*0.0242,0)</f>
        <v>1</v>
      </c>
      <c r="I114" s="4">
        <f t="shared" si="8"/>
        <v>0</v>
      </c>
      <c r="J114" s="4">
        <f t="shared" si="9"/>
        <v>0</v>
      </c>
      <c r="K114" s="4">
        <f t="shared" si="10"/>
        <v>1</v>
      </c>
      <c r="L114" s="4" t="s">
        <v>520</v>
      </c>
      <c r="M114" s="4">
        <f>INDEX(Dim_Product!$C$2:$C$4,MATCH(F114,Dim_Product!$A$2:$A$4,0))+-0.76</f>
        <v>199.24</v>
      </c>
      <c r="N114" s="4">
        <f>IF(AND(M114&gt;=INDEX(Dim_Product!$C$2:$C$4,MATCH(F114,Dim_Product!$A$2:$A$4,0))-INDEX(Dim_Product!$D$2:$D$4,MATCH(F114,Dim_Product!$A$2:$A$4,0)),M114&lt;=INDEX(Dim_Product!$C$2:$C$4,MATCH(F114,Dim_Product!$A$2:$A$4,0))+INDEX(Dim_Product!$D$2:$D$4,MATCH(F114,Dim_Product!$A$2:$A$4,0))),G114-H114,G114-H114-1)</f>
        <v>31</v>
      </c>
      <c r="O114" s="4">
        <f t="shared" si="11"/>
        <v>1</v>
      </c>
      <c r="P114" s="4">
        <f>INDEX(Dim_Product!$G$2:$G$4,MATCH(F114,Dim_Product!$A$2:$A$4,0))+-0.12</f>
        <v>64.88</v>
      </c>
      <c r="Q114" s="4">
        <f>IF(AND(P114&gt;=INDEX(Dim_Product!$G$2:$G$4,MATCH(F114,Dim_Product!$A$2:$A$4,0))-INDEX(Dim_Product!$H$2:$H$4,MATCH(F114,Dim_Product!$A$2:$A$4,0)),P114&lt;=INDEX(Dim_Product!$G$2:$G$4,MATCH(F114,Dim_Product!$A$2:$A$4,0))+INDEX(Dim_Product!$H$2:$H$4,MATCH(F114,Dim_Product!$A$2:$A$4,0))),G114-H114,G114-H114-1)</f>
        <v>31</v>
      </c>
      <c r="R114" s="4">
        <f t="shared" si="12"/>
        <v>1</v>
      </c>
      <c r="S114" s="4">
        <f>INDEX(Dim_Product!$K$2:$K$4,MATCH(F114,Dim_Product!$A$2:$A$4,0))+-0.08</f>
        <v>109.92</v>
      </c>
      <c r="T114" s="4">
        <f>IF(AND(S114&gt;=INDEX(Dim_Product!$K$2:$K$4,MATCH(F114,Dim_Product!$A$2:$A$4,0))-INDEX(Dim_Product!$L$2:$L$4,MATCH(F114,Dim_Product!$A$2:$A$4,0)),S114&lt;=INDEX(Dim_Product!$K$2:$K$4,MATCH(F114,Dim_Product!$A$2:$A$4,0))+INDEX(Dim_Product!$L$2:$L$4,MATCH(F114,Dim_Product!$A$2:$A$4,0))),G114-H114,G114-H114-1)</f>
        <v>31</v>
      </c>
      <c r="U114" s="4">
        <f t="shared" si="13"/>
        <v>1</v>
      </c>
      <c r="V114" s="4">
        <f t="shared" si="14"/>
        <v>3.125E-2</v>
      </c>
      <c r="W114" s="19">
        <f t="shared" si="15"/>
        <v>0.96875</v>
      </c>
    </row>
    <row r="115" spans="1:23" x14ac:dyDescent="0.25">
      <c r="A115" s="18" t="s">
        <v>616</v>
      </c>
      <c r="B115" s="4">
        <f>Fact_Production_Hourly!B115</f>
        <v>20260701</v>
      </c>
      <c r="C115" s="4">
        <f>Fact_Production_Hourly!C115</f>
        <v>16</v>
      </c>
      <c r="D115" s="4" t="str">
        <f>Fact_Production_Hourly!D115</f>
        <v>M2</v>
      </c>
      <c r="E115" s="4" t="str">
        <f>Fact_Production_Hourly!E115</f>
        <v>A-AM</v>
      </c>
      <c r="F115" s="4" t="str">
        <f>Fact_Production_Hourly!F115</f>
        <v>A</v>
      </c>
      <c r="G115" s="4">
        <f>INDEX(Dim_Machine!$D$2:$D$8,MATCH(D115,Dim_Machine!$A$2:$A$8,0))*2</f>
        <v>48</v>
      </c>
      <c r="H115" s="4">
        <f>ROUND(G115*0.0402,0)</f>
        <v>2</v>
      </c>
      <c r="I115" s="4">
        <f t="shared" si="8"/>
        <v>0</v>
      </c>
      <c r="J115" s="4">
        <f t="shared" si="9"/>
        <v>1</v>
      </c>
      <c r="K115" s="4">
        <f t="shared" si="10"/>
        <v>1</v>
      </c>
      <c r="L115" s="4" t="s">
        <v>520</v>
      </c>
      <c r="M115" s="4">
        <f>INDEX(Dim_Product!$C$2:$C$4,MATCH(F115,Dim_Product!$A$2:$A$4,0))+0.54</f>
        <v>250.54</v>
      </c>
      <c r="N115" s="4">
        <f>IF(AND(M115&gt;=INDEX(Dim_Product!$C$2:$C$4,MATCH(F115,Dim_Product!$A$2:$A$4,0))-INDEX(Dim_Product!$D$2:$D$4,MATCH(F115,Dim_Product!$A$2:$A$4,0)),M115&lt;=INDEX(Dim_Product!$C$2:$C$4,MATCH(F115,Dim_Product!$A$2:$A$4,0))+INDEX(Dim_Product!$D$2:$D$4,MATCH(F115,Dim_Product!$A$2:$A$4,0))),G115-H115,G115-H115-1)</f>
        <v>46</v>
      </c>
      <c r="O115" s="4">
        <f t="shared" si="11"/>
        <v>2</v>
      </c>
      <c r="P115" s="4">
        <f>INDEX(Dim_Product!$G$2:$G$4,MATCH(F115,Dim_Product!$A$2:$A$4,0))+0.11</f>
        <v>70.11</v>
      </c>
      <c r="Q115" s="4">
        <f>IF(AND(P115&gt;=INDEX(Dim_Product!$G$2:$G$4,MATCH(F115,Dim_Product!$A$2:$A$4,0))-INDEX(Dim_Product!$H$2:$H$4,MATCH(F115,Dim_Product!$A$2:$A$4,0)),P115&lt;=INDEX(Dim_Product!$G$2:$G$4,MATCH(F115,Dim_Product!$A$2:$A$4,0))+INDEX(Dim_Product!$H$2:$H$4,MATCH(F115,Dim_Product!$A$2:$A$4,0))),G115-H115,G115-H115-1)</f>
        <v>46</v>
      </c>
      <c r="R115" s="4">
        <f t="shared" si="12"/>
        <v>2</v>
      </c>
      <c r="S115" s="4">
        <f>INDEX(Dim_Product!$K$2:$K$4,MATCH(F115,Dim_Product!$A$2:$A$4,0))+0.11</f>
        <v>120.11</v>
      </c>
      <c r="T115" s="4">
        <f>IF(AND(S115&gt;=INDEX(Dim_Product!$K$2:$K$4,MATCH(F115,Dim_Product!$A$2:$A$4,0))-INDEX(Dim_Product!$L$2:$L$4,MATCH(F115,Dim_Product!$A$2:$A$4,0)),S115&lt;=INDEX(Dim_Product!$K$2:$K$4,MATCH(F115,Dim_Product!$A$2:$A$4,0))+INDEX(Dim_Product!$L$2:$L$4,MATCH(F115,Dim_Product!$A$2:$A$4,0))),G115-H115,G115-H115-1)</f>
        <v>46</v>
      </c>
      <c r="U115" s="4">
        <f t="shared" si="13"/>
        <v>2</v>
      </c>
      <c r="V115" s="4">
        <f t="shared" si="14"/>
        <v>4.1666666666666664E-2</v>
      </c>
      <c r="W115" s="19">
        <f t="shared" si="15"/>
        <v>0.95833333333333337</v>
      </c>
    </row>
    <row r="116" spans="1:23" x14ac:dyDescent="0.25">
      <c r="A116" s="18" t="s">
        <v>617</v>
      </c>
      <c r="B116" s="4">
        <f>Fact_Production_Hourly!B116</f>
        <v>20260701</v>
      </c>
      <c r="C116" s="4">
        <f>Fact_Production_Hourly!C116</f>
        <v>16</v>
      </c>
      <c r="D116" s="4" t="str">
        <f>Fact_Production_Hourly!D116</f>
        <v>M3</v>
      </c>
      <c r="E116" s="4" t="str">
        <f>Fact_Production_Hourly!E116</f>
        <v>A-AM</v>
      </c>
      <c r="F116" s="4" t="str">
        <f>Fact_Production_Hourly!F116</f>
        <v>B</v>
      </c>
      <c r="G116" s="4">
        <f>INDEX(Dim_Machine!$D$2:$D$8,MATCH(D116,Dim_Machine!$A$2:$A$8,0))*2</f>
        <v>24</v>
      </c>
      <c r="H116" s="4">
        <f>ROUND(G116*0.0664,0)</f>
        <v>2</v>
      </c>
      <c r="I116" s="4">
        <f t="shared" si="8"/>
        <v>0</v>
      </c>
      <c r="J116" s="4">
        <f t="shared" si="9"/>
        <v>1</v>
      </c>
      <c r="K116" s="4">
        <f t="shared" si="10"/>
        <v>1</v>
      </c>
      <c r="L116" s="4" t="s">
        <v>517</v>
      </c>
      <c r="M116" s="4">
        <f>INDEX(Dim_Product!$C$2:$C$4,MATCH(F116,Dim_Product!$A$2:$A$4,0))+0.23</f>
        <v>300.23</v>
      </c>
      <c r="N116" s="4">
        <f>IF(AND(M116&gt;=INDEX(Dim_Product!$C$2:$C$4,MATCH(F116,Dim_Product!$A$2:$A$4,0))-INDEX(Dim_Product!$D$2:$D$4,MATCH(F116,Dim_Product!$A$2:$A$4,0)),M116&lt;=INDEX(Dim_Product!$C$2:$C$4,MATCH(F116,Dim_Product!$A$2:$A$4,0))+INDEX(Dim_Product!$D$2:$D$4,MATCH(F116,Dim_Product!$A$2:$A$4,0))),G116-H116,G116-H116-1)</f>
        <v>22</v>
      </c>
      <c r="O116" s="4">
        <f t="shared" si="11"/>
        <v>2</v>
      </c>
      <c r="P116" s="4">
        <f>INDEX(Dim_Product!$G$2:$G$4,MATCH(F116,Dim_Product!$A$2:$A$4,0))+-0.17</f>
        <v>74.83</v>
      </c>
      <c r="Q116" s="4">
        <f>IF(AND(P116&gt;=INDEX(Dim_Product!$G$2:$G$4,MATCH(F116,Dim_Product!$A$2:$A$4,0))-INDEX(Dim_Product!$H$2:$H$4,MATCH(F116,Dim_Product!$A$2:$A$4,0)),P116&lt;=INDEX(Dim_Product!$G$2:$G$4,MATCH(F116,Dim_Product!$A$2:$A$4,0))+INDEX(Dim_Product!$H$2:$H$4,MATCH(F116,Dim_Product!$A$2:$A$4,0))),G116-H116,G116-H116-1)</f>
        <v>22</v>
      </c>
      <c r="R116" s="4">
        <f t="shared" si="12"/>
        <v>2</v>
      </c>
      <c r="S116" s="4">
        <f>INDEX(Dim_Product!$K$2:$K$4,MATCH(F116,Dim_Product!$A$2:$A$4,0))+-0.29</f>
        <v>129.71</v>
      </c>
      <c r="T116" s="4">
        <f>IF(AND(S116&gt;=INDEX(Dim_Product!$K$2:$K$4,MATCH(F116,Dim_Product!$A$2:$A$4,0))-INDEX(Dim_Product!$L$2:$L$4,MATCH(F116,Dim_Product!$A$2:$A$4,0)),S116&lt;=INDEX(Dim_Product!$K$2:$K$4,MATCH(F116,Dim_Product!$A$2:$A$4,0))+INDEX(Dim_Product!$L$2:$L$4,MATCH(F116,Dim_Product!$A$2:$A$4,0))),G116-H116,G116-H116-1)</f>
        <v>22</v>
      </c>
      <c r="U116" s="4">
        <f t="shared" si="13"/>
        <v>2</v>
      </c>
      <c r="V116" s="4">
        <f t="shared" si="14"/>
        <v>8.3333333333333329E-2</v>
      </c>
      <c r="W116" s="19">
        <f t="shared" si="15"/>
        <v>0.91666666666666663</v>
      </c>
    </row>
    <row r="117" spans="1:23" x14ac:dyDescent="0.25">
      <c r="A117" s="18" t="s">
        <v>618</v>
      </c>
      <c r="B117" s="4">
        <f>Fact_Production_Hourly!B117</f>
        <v>20260701</v>
      </c>
      <c r="C117" s="4">
        <f>Fact_Production_Hourly!C117</f>
        <v>16</v>
      </c>
      <c r="D117" s="4" t="str">
        <f>Fact_Production_Hourly!D117</f>
        <v>M4</v>
      </c>
      <c r="E117" s="4" t="str">
        <f>Fact_Production_Hourly!E117</f>
        <v>A-AM</v>
      </c>
      <c r="F117" s="4" t="str">
        <f>Fact_Production_Hourly!F117</f>
        <v>A</v>
      </c>
      <c r="G117" s="4">
        <f>INDEX(Dim_Machine!$D$2:$D$8,MATCH(D117,Dim_Machine!$A$2:$A$8,0))*2</f>
        <v>48</v>
      </c>
      <c r="H117" s="4">
        <f>ROUND(G117*0.0192,0)</f>
        <v>1</v>
      </c>
      <c r="I117" s="4">
        <f t="shared" si="8"/>
        <v>0</v>
      </c>
      <c r="J117" s="4">
        <f t="shared" si="9"/>
        <v>0</v>
      </c>
      <c r="K117" s="4">
        <f t="shared" si="10"/>
        <v>1</v>
      </c>
      <c r="L117" s="4" t="s">
        <v>520</v>
      </c>
      <c r="M117" s="4">
        <f>INDEX(Dim_Product!$C$2:$C$4,MATCH(F117,Dim_Product!$A$2:$A$4,0))+0.98</f>
        <v>250.98</v>
      </c>
      <c r="N117" s="4">
        <f>IF(AND(M117&gt;=INDEX(Dim_Product!$C$2:$C$4,MATCH(F117,Dim_Product!$A$2:$A$4,0))-INDEX(Dim_Product!$D$2:$D$4,MATCH(F117,Dim_Product!$A$2:$A$4,0)),M117&lt;=INDEX(Dim_Product!$C$2:$C$4,MATCH(F117,Dim_Product!$A$2:$A$4,0))+INDEX(Dim_Product!$D$2:$D$4,MATCH(F117,Dim_Product!$A$2:$A$4,0))),G117-H117,G117-H117-1)</f>
        <v>47</v>
      </c>
      <c r="O117" s="4">
        <f t="shared" si="11"/>
        <v>1</v>
      </c>
      <c r="P117" s="4">
        <f>INDEX(Dim_Product!$G$2:$G$4,MATCH(F117,Dim_Product!$A$2:$A$4,0))+-0.08</f>
        <v>69.92</v>
      </c>
      <c r="Q117" s="4">
        <f>IF(AND(P117&gt;=INDEX(Dim_Product!$G$2:$G$4,MATCH(F117,Dim_Product!$A$2:$A$4,0))-INDEX(Dim_Product!$H$2:$H$4,MATCH(F117,Dim_Product!$A$2:$A$4,0)),P117&lt;=INDEX(Dim_Product!$G$2:$G$4,MATCH(F117,Dim_Product!$A$2:$A$4,0))+INDEX(Dim_Product!$H$2:$H$4,MATCH(F117,Dim_Product!$A$2:$A$4,0))),G117-H117,G117-H117-1)</f>
        <v>47</v>
      </c>
      <c r="R117" s="4">
        <f t="shared" si="12"/>
        <v>1</v>
      </c>
      <c r="S117" s="4">
        <f>INDEX(Dim_Product!$K$2:$K$4,MATCH(F117,Dim_Product!$A$2:$A$4,0))+0.16</f>
        <v>120.16</v>
      </c>
      <c r="T117" s="4">
        <f>IF(AND(S117&gt;=INDEX(Dim_Product!$K$2:$K$4,MATCH(F117,Dim_Product!$A$2:$A$4,0))-INDEX(Dim_Product!$L$2:$L$4,MATCH(F117,Dim_Product!$A$2:$A$4,0)),S117&lt;=INDEX(Dim_Product!$K$2:$K$4,MATCH(F117,Dim_Product!$A$2:$A$4,0))+INDEX(Dim_Product!$L$2:$L$4,MATCH(F117,Dim_Product!$A$2:$A$4,0))),G117-H117,G117-H117-1)</f>
        <v>47</v>
      </c>
      <c r="U117" s="4">
        <f t="shared" si="13"/>
        <v>1</v>
      </c>
      <c r="V117" s="4">
        <f t="shared" si="14"/>
        <v>2.0833333333333332E-2</v>
      </c>
      <c r="W117" s="19">
        <f t="shared" si="15"/>
        <v>0.97916666666666663</v>
      </c>
    </row>
    <row r="118" spans="1:23" x14ac:dyDescent="0.25">
      <c r="A118" s="18" t="s">
        <v>619</v>
      </c>
      <c r="B118" s="4">
        <f>Fact_Production_Hourly!B118</f>
        <v>20260701</v>
      </c>
      <c r="C118" s="4">
        <f>Fact_Production_Hourly!C118</f>
        <v>16</v>
      </c>
      <c r="D118" s="4" t="str">
        <f>Fact_Production_Hourly!D118</f>
        <v>M5</v>
      </c>
      <c r="E118" s="4" t="str">
        <f>Fact_Production_Hourly!E118</f>
        <v>A-AM</v>
      </c>
      <c r="F118" s="4" t="str">
        <f>Fact_Production_Hourly!F118</f>
        <v>C</v>
      </c>
      <c r="G118" s="4">
        <f>INDEX(Dim_Machine!$D$2:$D$8,MATCH(D118,Dim_Machine!$A$2:$A$8,0))*2</f>
        <v>32</v>
      </c>
      <c r="H118" s="4">
        <f>ROUND(G118*0.0648,0)</f>
        <v>2</v>
      </c>
      <c r="I118" s="4">
        <f t="shared" si="8"/>
        <v>0</v>
      </c>
      <c r="J118" s="4">
        <f t="shared" si="9"/>
        <v>1</v>
      </c>
      <c r="K118" s="4">
        <f t="shared" si="10"/>
        <v>1</v>
      </c>
      <c r="L118" s="4" t="s">
        <v>509</v>
      </c>
      <c r="M118" s="4">
        <f>INDEX(Dim_Product!$C$2:$C$4,MATCH(F118,Dim_Product!$A$2:$A$4,0))+0.6</f>
        <v>200.6</v>
      </c>
      <c r="N118" s="4">
        <f>IF(AND(M118&gt;=INDEX(Dim_Product!$C$2:$C$4,MATCH(F118,Dim_Product!$A$2:$A$4,0))-INDEX(Dim_Product!$D$2:$D$4,MATCH(F118,Dim_Product!$A$2:$A$4,0)),M118&lt;=INDEX(Dim_Product!$C$2:$C$4,MATCH(F118,Dim_Product!$A$2:$A$4,0))+INDEX(Dim_Product!$D$2:$D$4,MATCH(F118,Dim_Product!$A$2:$A$4,0))),G118-H118,G118-H118-1)</f>
        <v>30</v>
      </c>
      <c r="O118" s="4">
        <f t="shared" si="11"/>
        <v>2</v>
      </c>
      <c r="P118" s="4">
        <f>INDEX(Dim_Product!$G$2:$G$4,MATCH(F118,Dim_Product!$A$2:$A$4,0))+0.2</f>
        <v>65.2</v>
      </c>
      <c r="Q118" s="4">
        <f>IF(AND(P118&gt;=INDEX(Dim_Product!$G$2:$G$4,MATCH(F118,Dim_Product!$A$2:$A$4,0))-INDEX(Dim_Product!$H$2:$H$4,MATCH(F118,Dim_Product!$A$2:$A$4,0)),P118&lt;=INDEX(Dim_Product!$G$2:$G$4,MATCH(F118,Dim_Product!$A$2:$A$4,0))+INDEX(Dim_Product!$H$2:$H$4,MATCH(F118,Dim_Product!$A$2:$A$4,0))),G118-H118,G118-H118-1)</f>
        <v>30</v>
      </c>
      <c r="R118" s="4">
        <f t="shared" si="12"/>
        <v>2</v>
      </c>
      <c r="S118" s="4">
        <f>INDEX(Dim_Product!$K$2:$K$4,MATCH(F118,Dim_Product!$A$2:$A$4,0))+0.21</f>
        <v>110.21</v>
      </c>
      <c r="T118" s="4">
        <f>IF(AND(S118&gt;=INDEX(Dim_Product!$K$2:$K$4,MATCH(F118,Dim_Product!$A$2:$A$4,0))-INDEX(Dim_Product!$L$2:$L$4,MATCH(F118,Dim_Product!$A$2:$A$4,0)),S118&lt;=INDEX(Dim_Product!$K$2:$K$4,MATCH(F118,Dim_Product!$A$2:$A$4,0))+INDEX(Dim_Product!$L$2:$L$4,MATCH(F118,Dim_Product!$A$2:$A$4,0))),G118-H118,G118-H118-1)</f>
        <v>30</v>
      </c>
      <c r="U118" s="4">
        <f t="shared" si="13"/>
        <v>2</v>
      </c>
      <c r="V118" s="4">
        <f t="shared" si="14"/>
        <v>6.25E-2</v>
      </c>
      <c r="W118" s="19">
        <f t="shared" si="15"/>
        <v>0.9375</v>
      </c>
    </row>
    <row r="119" spans="1:23" x14ac:dyDescent="0.25">
      <c r="A119" s="18" t="s">
        <v>620</v>
      </c>
      <c r="B119" s="4">
        <f>Fact_Production_Hourly!B119</f>
        <v>20260701</v>
      </c>
      <c r="C119" s="4">
        <f>Fact_Production_Hourly!C119</f>
        <v>16</v>
      </c>
      <c r="D119" s="4" t="str">
        <f>Fact_Production_Hourly!D119</f>
        <v>M6</v>
      </c>
      <c r="E119" s="4" t="str">
        <f>Fact_Production_Hourly!E119</f>
        <v>A-AM</v>
      </c>
      <c r="F119" s="4" t="str">
        <f>Fact_Production_Hourly!F119</f>
        <v>C</v>
      </c>
      <c r="G119" s="4">
        <f>INDEX(Dim_Machine!$D$2:$D$8,MATCH(D119,Dim_Machine!$A$2:$A$8,0))*2</f>
        <v>24</v>
      </c>
      <c r="H119" s="4">
        <f>ROUND(G119*0.0508,0)</f>
        <v>1</v>
      </c>
      <c r="I119" s="4">
        <f t="shared" si="8"/>
        <v>0</v>
      </c>
      <c r="J119" s="4">
        <f t="shared" si="9"/>
        <v>0</v>
      </c>
      <c r="K119" s="4">
        <f t="shared" si="10"/>
        <v>1</v>
      </c>
      <c r="L119" s="4" t="s">
        <v>509</v>
      </c>
      <c r="M119" s="4">
        <f>INDEX(Dim_Product!$C$2:$C$4,MATCH(F119,Dim_Product!$A$2:$A$4,0))+0.75</f>
        <v>200.75</v>
      </c>
      <c r="N119" s="4">
        <f>IF(AND(M119&gt;=INDEX(Dim_Product!$C$2:$C$4,MATCH(F119,Dim_Product!$A$2:$A$4,0))-INDEX(Dim_Product!$D$2:$D$4,MATCH(F119,Dim_Product!$A$2:$A$4,0)),M119&lt;=INDEX(Dim_Product!$C$2:$C$4,MATCH(F119,Dim_Product!$A$2:$A$4,0))+INDEX(Dim_Product!$D$2:$D$4,MATCH(F119,Dim_Product!$A$2:$A$4,0))),G119-H119,G119-H119-1)</f>
        <v>23</v>
      </c>
      <c r="O119" s="4">
        <f t="shared" si="11"/>
        <v>1</v>
      </c>
      <c r="P119" s="4">
        <f>INDEX(Dim_Product!$G$2:$G$4,MATCH(F119,Dim_Product!$A$2:$A$4,0))+-0.25</f>
        <v>64.75</v>
      </c>
      <c r="Q119" s="4">
        <f>IF(AND(P119&gt;=INDEX(Dim_Product!$G$2:$G$4,MATCH(F119,Dim_Product!$A$2:$A$4,0))-INDEX(Dim_Product!$H$2:$H$4,MATCH(F119,Dim_Product!$A$2:$A$4,0)),P119&lt;=INDEX(Dim_Product!$G$2:$G$4,MATCH(F119,Dim_Product!$A$2:$A$4,0))+INDEX(Dim_Product!$H$2:$H$4,MATCH(F119,Dim_Product!$A$2:$A$4,0))),G119-H119,G119-H119-1)</f>
        <v>23</v>
      </c>
      <c r="R119" s="4">
        <f t="shared" si="12"/>
        <v>1</v>
      </c>
      <c r="S119" s="4">
        <f>INDEX(Dim_Product!$K$2:$K$4,MATCH(F119,Dim_Product!$A$2:$A$4,0))+-0.04</f>
        <v>109.96</v>
      </c>
      <c r="T119" s="4">
        <f>IF(AND(S119&gt;=INDEX(Dim_Product!$K$2:$K$4,MATCH(F119,Dim_Product!$A$2:$A$4,0))-INDEX(Dim_Product!$L$2:$L$4,MATCH(F119,Dim_Product!$A$2:$A$4,0)),S119&lt;=INDEX(Dim_Product!$K$2:$K$4,MATCH(F119,Dim_Product!$A$2:$A$4,0))+INDEX(Dim_Product!$L$2:$L$4,MATCH(F119,Dim_Product!$A$2:$A$4,0))),G119-H119,G119-H119-1)</f>
        <v>23</v>
      </c>
      <c r="U119" s="4">
        <f t="shared" si="13"/>
        <v>1</v>
      </c>
      <c r="V119" s="4">
        <f t="shared" si="14"/>
        <v>4.1666666666666664E-2</v>
      </c>
      <c r="W119" s="19">
        <f t="shared" si="15"/>
        <v>0.95833333333333337</v>
      </c>
    </row>
    <row r="120" spans="1:23" x14ac:dyDescent="0.25">
      <c r="A120" s="18" t="s">
        <v>621</v>
      </c>
      <c r="B120" s="4">
        <f>Fact_Production_Hourly!B120</f>
        <v>20260701</v>
      </c>
      <c r="C120" s="4">
        <f>Fact_Production_Hourly!C120</f>
        <v>16</v>
      </c>
      <c r="D120" s="4" t="str">
        <f>Fact_Production_Hourly!D120</f>
        <v>M7</v>
      </c>
      <c r="E120" s="4" t="str">
        <f>Fact_Production_Hourly!E120</f>
        <v>A-AM</v>
      </c>
      <c r="F120" s="4" t="str">
        <f>Fact_Production_Hourly!F120</f>
        <v>C</v>
      </c>
      <c r="G120" s="4">
        <f>INDEX(Dim_Machine!$D$2:$D$8,MATCH(D120,Dim_Machine!$A$2:$A$8,0))*2</f>
        <v>48</v>
      </c>
      <c r="H120" s="4">
        <f>ROUND(G120*0.0522,0)</f>
        <v>3</v>
      </c>
      <c r="I120" s="4">
        <f t="shared" si="8"/>
        <v>0</v>
      </c>
      <c r="J120" s="4">
        <f t="shared" si="9"/>
        <v>1</v>
      </c>
      <c r="K120" s="4">
        <f t="shared" si="10"/>
        <v>2</v>
      </c>
      <c r="L120" s="4" t="s">
        <v>498</v>
      </c>
      <c r="M120" s="4">
        <f>INDEX(Dim_Product!$C$2:$C$4,MATCH(F120,Dim_Product!$A$2:$A$4,0))+0.83</f>
        <v>200.83</v>
      </c>
      <c r="N120" s="4">
        <f>IF(AND(M120&gt;=INDEX(Dim_Product!$C$2:$C$4,MATCH(F120,Dim_Product!$A$2:$A$4,0))-INDEX(Dim_Product!$D$2:$D$4,MATCH(F120,Dim_Product!$A$2:$A$4,0)),M120&lt;=INDEX(Dim_Product!$C$2:$C$4,MATCH(F120,Dim_Product!$A$2:$A$4,0))+INDEX(Dim_Product!$D$2:$D$4,MATCH(F120,Dim_Product!$A$2:$A$4,0))),G120-H120,G120-H120-1)</f>
        <v>45</v>
      </c>
      <c r="O120" s="4">
        <f t="shared" si="11"/>
        <v>3</v>
      </c>
      <c r="P120" s="4">
        <f>INDEX(Dim_Product!$G$2:$G$4,MATCH(F120,Dim_Product!$A$2:$A$4,0))+-0.23</f>
        <v>64.77</v>
      </c>
      <c r="Q120" s="4">
        <f>IF(AND(P120&gt;=INDEX(Dim_Product!$G$2:$G$4,MATCH(F120,Dim_Product!$A$2:$A$4,0))-INDEX(Dim_Product!$H$2:$H$4,MATCH(F120,Dim_Product!$A$2:$A$4,0)),P120&lt;=INDEX(Dim_Product!$G$2:$G$4,MATCH(F120,Dim_Product!$A$2:$A$4,0))+INDEX(Dim_Product!$H$2:$H$4,MATCH(F120,Dim_Product!$A$2:$A$4,0))),G120-H120,G120-H120-1)</f>
        <v>45</v>
      </c>
      <c r="R120" s="4">
        <f t="shared" si="12"/>
        <v>3</v>
      </c>
      <c r="S120" s="4">
        <f>INDEX(Dim_Product!$K$2:$K$4,MATCH(F120,Dim_Product!$A$2:$A$4,0))+0.26</f>
        <v>110.26</v>
      </c>
      <c r="T120" s="4">
        <f>IF(AND(S120&gt;=INDEX(Dim_Product!$K$2:$K$4,MATCH(F120,Dim_Product!$A$2:$A$4,0))-INDEX(Dim_Product!$L$2:$L$4,MATCH(F120,Dim_Product!$A$2:$A$4,0)),S120&lt;=INDEX(Dim_Product!$K$2:$K$4,MATCH(F120,Dim_Product!$A$2:$A$4,0))+INDEX(Dim_Product!$L$2:$L$4,MATCH(F120,Dim_Product!$A$2:$A$4,0))),G120-H120,G120-H120-1)</f>
        <v>45</v>
      </c>
      <c r="U120" s="4">
        <f t="shared" si="13"/>
        <v>3</v>
      </c>
      <c r="V120" s="4">
        <f t="shared" si="14"/>
        <v>6.25E-2</v>
      </c>
      <c r="W120" s="19">
        <f t="shared" si="15"/>
        <v>0.9375</v>
      </c>
    </row>
    <row r="121" spans="1:23" x14ac:dyDescent="0.25">
      <c r="A121" s="18" t="s">
        <v>622</v>
      </c>
      <c r="B121" s="4">
        <f>Fact_Production_Hourly!B121</f>
        <v>20260701</v>
      </c>
      <c r="C121" s="4">
        <f>Fact_Production_Hourly!C121</f>
        <v>17</v>
      </c>
      <c r="D121" s="4" t="str">
        <f>Fact_Production_Hourly!D121</f>
        <v>M1</v>
      </c>
      <c r="E121" s="4" t="str">
        <f>Fact_Production_Hourly!E121</f>
        <v>A-AM</v>
      </c>
      <c r="F121" s="4" t="str">
        <f>Fact_Production_Hourly!F121</f>
        <v>C</v>
      </c>
      <c r="G121" s="4">
        <f>INDEX(Dim_Machine!$D$2:$D$8,MATCH(D121,Dim_Machine!$A$2:$A$8,0))*2</f>
        <v>32</v>
      </c>
      <c r="H121" s="4">
        <f>ROUND(G121*0.0642,0)</f>
        <v>2</v>
      </c>
      <c r="I121" s="4">
        <f t="shared" si="8"/>
        <v>0</v>
      </c>
      <c r="J121" s="4">
        <f t="shared" si="9"/>
        <v>1</v>
      </c>
      <c r="K121" s="4">
        <f t="shared" si="10"/>
        <v>1</v>
      </c>
      <c r="L121" s="4" t="s">
        <v>500</v>
      </c>
      <c r="M121" s="4">
        <f>INDEX(Dim_Product!$C$2:$C$4,MATCH(F121,Dim_Product!$A$2:$A$4,0))+0.15</f>
        <v>200.15</v>
      </c>
      <c r="N121" s="4">
        <f>IF(AND(M121&gt;=INDEX(Dim_Product!$C$2:$C$4,MATCH(F121,Dim_Product!$A$2:$A$4,0))-INDEX(Dim_Product!$D$2:$D$4,MATCH(F121,Dim_Product!$A$2:$A$4,0)),M121&lt;=INDEX(Dim_Product!$C$2:$C$4,MATCH(F121,Dim_Product!$A$2:$A$4,0))+INDEX(Dim_Product!$D$2:$D$4,MATCH(F121,Dim_Product!$A$2:$A$4,0))),G121-H121,G121-H121-1)</f>
        <v>30</v>
      </c>
      <c r="O121" s="4">
        <f t="shared" si="11"/>
        <v>2</v>
      </c>
      <c r="P121" s="4">
        <f>INDEX(Dim_Product!$G$2:$G$4,MATCH(F121,Dim_Product!$A$2:$A$4,0))+-0.21</f>
        <v>64.790000000000006</v>
      </c>
      <c r="Q121" s="4">
        <f>IF(AND(P121&gt;=INDEX(Dim_Product!$G$2:$G$4,MATCH(F121,Dim_Product!$A$2:$A$4,0))-INDEX(Dim_Product!$H$2:$H$4,MATCH(F121,Dim_Product!$A$2:$A$4,0)),P121&lt;=INDEX(Dim_Product!$G$2:$G$4,MATCH(F121,Dim_Product!$A$2:$A$4,0))+INDEX(Dim_Product!$H$2:$H$4,MATCH(F121,Dim_Product!$A$2:$A$4,0))),G121-H121,G121-H121-1)</f>
        <v>30</v>
      </c>
      <c r="R121" s="4">
        <f t="shared" si="12"/>
        <v>2</v>
      </c>
      <c r="S121" s="4">
        <f>INDEX(Dim_Product!$K$2:$K$4,MATCH(F121,Dim_Product!$A$2:$A$4,0))+-0.14</f>
        <v>109.86</v>
      </c>
      <c r="T121" s="4">
        <f>IF(AND(S121&gt;=INDEX(Dim_Product!$K$2:$K$4,MATCH(F121,Dim_Product!$A$2:$A$4,0))-INDEX(Dim_Product!$L$2:$L$4,MATCH(F121,Dim_Product!$A$2:$A$4,0)),S121&lt;=INDEX(Dim_Product!$K$2:$K$4,MATCH(F121,Dim_Product!$A$2:$A$4,0))+INDEX(Dim_Product!$L$2:$L$4,MATCH(F121,Dim_Product!$A$2:$A$4,0))),G121-H121,G121-H121-1)</f>
        <v>30</v>
      </c>
      <c r="U121" s="4">
        <f t="shared" si="13"/>
        <v>2</v>
      </c>
      <c r="V121" s="4">
        <f t="shared" si="14"/>
        <v>6.25E-2</v>
      </c>
      <c r="W121" s="19">
        <f t="shared" si="15"/>
        <v>0.9375</v>
      </c>
    </row>
    <row r="122" spans="1:23" x14ac:dyDescent="0.25">
      <c r="A122" s="18" t="s">
        <v>623</v>
      </c>
      <c r="B122" s="4">
        <f>Fact_Production_Hourly!B122</f>
        <v>20260701</v>
      </c>
      <c r="C122" s="4">
        <f>Fact_Production_Hourly!C122</f>
        <v>17</v>
      </c>
      <c r="D122" s="4" t="str">
        <f>Fact_Production_Hourly!D122</f>
        <v>M2</v>
      </c>
      <c r="E122" s="4" t="str">
        <f>Fact_Production_Hourly!E122</f>
        <v>A-AM</v>
      </c>
      <c r="F122" s="4" t="str">
        <f>Fact_Production_Hourly!F122</f>
        <v>A</v>
      </c>
      <c r="G122" s="4">
        <f>INDEX(Dim_Machine!$D$2:$D$8,MATCH(D122,Dim_Machine!$A$2:$A$8,0))*2</f>
        <v>48</v>
      </c>
      <c r="H122" s="4">
        <f>ROUND(G122*0.0412,0)</f>
        <v>2</v>
      </c>
      <c r="I122" s="4">
        <f t="shared" si="8"/>
        <v>0</v>
      </c>
      <c r="J122" s="4">
        <f t="shared" si="9"/>
        <v>1</v>
      </c>
      <c r="K122" s="4">
        <f t="shared" si="10"/>
        <v>1</v>
      </c>
      <c r="L122" s="4" t="s">
        <v>498</v>
      </c>
      <c r="M122" s="4">
        <f>INDEX(Dim_Product!$C$2:$C$4,MATCH(F122,Dim_Product!$A$2:$A$4,0))+0.36</f>
        <v>250.36</v>
      </c>
      <c r="N122" s="4">
        <f>IF(AND(M122&gt;=INDEX(Dim_Product!$C$2:$C$4,MATCH(F122,Dim_Product!$A$2:$A$4,0))-INDEX(Dim_Product!$D$2:$D$4,MATCH(F122,Dim_Product!$A$2:$A$4,0)),M122&lt;=INDEX(Dim_Product!$C$2:$C$4,MATCH(F122,Dim_Product!$A$2:$A$4,0))+INDEX(Dim_Product!$D$2:$D$4,MATCH(F122,Dim_Product!$A$2:$A$4,0))),G122-H122,G122-H122-1)</f>
        <v>46</v>
      </c>
      <c r="O122" s="4">
        <f t="shared" si="11"/>
        <v>2</v>
      </c>
      <c r="P122" s="4">
        <f>INDEX(Dim_Product!$G$2:$G$4,MATCH(F122,Dim_Product!$A$2:$A$4,0))+0.13</f>
        <v>70.13</v>
      </c>
      <c r="Q122" s="4">
        <f>IF(AND(P122&gt;=INDEX(Dim_Product!$G$2:$G$4,MATCH(F122,Dim_Product!$A$2:$A$4,0))-INDEX(Dim_Product!$H$2:$H$4,MATCH(F122,Dim_Product!$A$2:$A$4,0)),P122&lt;=INDEX(Dim_Product!$G$2:$G$4,MATCH(F122,Dim_Product!$A$2:$A$4,0))+INDEX(Dim_Product!$H$2:$H$4,MATCH(F122,Dim_Product!$A$2:$A$4,0))),G122-H122,G122-H122-1)</f>
        <v>46</v>
      </c>
      <c r="R122" s="4">
        <f t="shared" si="12"/>
        <v>2</v>
      </c>
      <c r="S122" s="4">
        <f>INDEX(Dim_Product!$K$2:$K$4,MATCH(F122,Dim_Product!$A$2:$A$4,0))+-0.01</f>
        <v>119.99</v>
      </c>
      <c r="T122" s="4">
        <f>IF(AND(S122&gt;=INDEX(Dim_Product!$K$2:$K$4,MATCH(F122,Dim_Product!$A$2:$A$4,0))-INDEX(Dim_Product!$L$2:$L$4,MATCH(F122,Dim_Product!$A$2:$A$4,0)),S122&lt;=INDEX(Dim_Product!$K$2:$K$4,MATCH(F122,Dim_Product!$A$2:$A$4,0))+INDEX(Dim_Product!$L$2:$L$4,MATCH(F122,Dim_Product!$A$2:$A$4,0))),G122-H122,G122-H122-1)</f>
        <v>46</v>
      </c>
      <c r="U122" s="4">
        <f t="shared" si="13"/>
        <v>2</v>
      </c>
      <c r="V122" s="4">
        <f t="shared" si="14"/>
        <v>4.1666666666666664E-2</v>
      </c>
      <c r="W122" s="19">
        <f t="shared" si="15"/>
        <v>0.95833333333333337</v>
      </c>
    </row>
    <row r="123" spans="1:23" x14ac:dyDescent="0.25">
      <c r="A123" s="18" t="s">
        <v>624</v>
      </c>
      <c r="B123" s="4">
        <f>Fact_Production_Hourly!B123</f>
        <v>20260701</v>
      </c>
      <c r="C123" s="4">
        <f>Fact_Production_Hourly!C123</f>
        <v>17</v>
      </c>
      <c r="D123" s="4" t="str">
        <f>Fact_Production_Hourly!D123</f>
        <v>M3</v>
      </c>
      <c r="E123" s="4" t="str">
        <f>Fact_Production_Hourly!E123</f>
        <v>A-AM</v>
      </c>
      <c r="F123" s="4" t="str">
        <f>Fact_Production_Hourly!F123</f>
        <v>B</v>
      </c>
      <c r="G123" s="4">
        <f>INDEX(Dim_Machine!$D$2:$D$8,MATCH(D123,Dim_Machine!$A$2:$A$8,0))*2</f>
        <v>24</v>
      </c>
      <c r="H123" s="4">
        <f>ROUND(G123*0.0639,0)</f>
        <v>2</v>
      </c>
      <c r="I123" s="4">
        <f t="shared" si="8"/>
        <v>0</v>
      </c>
      <c r="J123" s="4">
        <f t="shared" si="9"/>
        <v>1</v>
      </c>
      <c r="K123" s="4">
        <f t="shared" si="10"/>
        <v>1</v>
      </c>
      <c r="L123" s="4" t="s">
        <v>503</v>
      </c>
      <c r="M123" s="4">
        <f>INDEX(Dim_Product!$C$2:$C$4,MATCH(F123,Dim_Product!$A$2:$A$4,0))+0.62</f>
        <v>300.62</v>
      </c>
      <c r="N123" s="4">
        <f>IF(AND(M123&gt;=INDEX(Dim_Product!$C$2:$C$4,MATCH(F123,Dim_Product!$A$2:$A$4,0))-INDEX(Dim_Product!$D$2:$D$4,MATCH(F123,Dim_Product!$A$2:$A$4,0)),M123&lt;=INDEX(Dim_Product!$C$2:$C$4,MATCH(F123,Dim_Product!$A$2:$A$4,0))+INDEX(Dim_Product!$D$2:$D$4,MATCH(F123,Dim_Product!$A$2:$A$4,0))),G123-H123,G123-H123-1)</f>
        <v>22</v>
      </c>
      <c r="O123" s="4">
        <f t="shared" si="11"/>
        <v>2</v>
      </c>
      <c r="P123" s="4">
        <f>INDEX(Dim_Product!$G$2:$G$4,MATCH(F123,Dim_Product!$A$2:$A$4,0))+-0.03</f>
        <v>74.97</v>
      </c>
      <c r="Q123" s="4">
        <f>IF(AND(P123&gt;=INDEX(Dim_Product!$G$2:$G$4,MATCH(F123,Dim_Product!$A$2:$A$4,0))-INDEX(Dim_Product!$H$2:$H$4,MATCH(F123,Dim_Product!$A$2:$A$4,0)),P123&lt;=INDEX(Dim_Product!$G$2:$G$4,MATCH(F123,Dim_Product!$A$2:$A$4,0))+INDEX(Dim_Product!$H$2:$H$4,MATCH(F123,Dim_Product!$A$2:$A$4,0))),G123-H123,G123-H123-1)</f>
        <v>22</v>
      </c>
      <c r="R123" s="4">
        <f t="shared" si="12"/>
        <v>2</v>
      </c>
      <c r="S123" s="4">
        <f>INDEX(Dim_Product!$K$2:$K$4,MATCH(F123,Dim_Product!$A$2:$A$4,0))+0.01</f>
        <v>130.01</v>
      </c>
      <c r="T123" s="4">
        <f>IF(AND(S123&gt;=INDEX(Dim_Product!$K$2:$K$4,MATCH(F123,Dim_Product!$A$2:$A$4,0))-INDEX(Dim_Product!$L$2:$L$4,MATCH(F123,Dim_Product!$A$2:$A$4,0)),S123&lt;=INDEX(Dim_Product!$K$2:$K$4,MATCH(F123,Dim_Product!$A$2:$A$4,0))+INDEX(Dim_Product!$L$2:$L$4,MATCH(F123,Dim_Product!$A$2:$A$4,0))),G123-H123,G123-H123-1)</f>
        <v>22</v>
      </c>
      <c r="U123" s="4">
        <f t="shared" si="13"/>
        <v>2</v>
      </c>
      <c r="V123" s="4">
        <f t="shared" si="14"/>
        <v>8.3333333333333329E-2</v>
      </c>
      <c r="W123" s="19">
        <f t="shared" si="15"/>
        <v>0.91666666666666663</v>
      </c>
    </row>
    <row r="124" spans="1:23" x14ac:dyDescent="0.25">
      <c r="A124" s="18" t="s">
        <v>625</v>
      </c>
      <c r="B124" s="4">
        <f>Fact_Production_Hourly!B124</f>
        <v>20260701</v>
      </c>
      <c r="C124" s="4">
        <f>Fact_Production_Hourly!C124</f>
        <v>17</v>
      </c>
      <c r="D124" s="4" t="str">
        <f>Fact_Production_Hourly!D124</f>
        <v>M4</v>
      </c>
      <c r="E124" s="4" t="str">
        <f>Fact_Production_Hourly!E124</f>
        <v>A-AM</v>
      </c>
      <c r="F124" s="4" t="str">
        <f>Fact_Production_Hourly!F124</f>
        <v>A</v>
      </c>
      <c r="G124" s="4">
        <f>INDEX(Dim_Machine!$D$2:$D$8,MATCH(D124,Dim_Machine!$A$2:$A$8,0))*2</f>
        <v>48</v>
      </c>
      <c r="H124" s="4">
        <f>ROUND(G124*0.0374,0)</f>
        <v>2</v>
      </c>
      <c r="I124" s="4">
        <f t="shared" si="8"/>
        <v>0</v>
      </c>
      <c r="J124" s="4">
        <f t="shared" si="9"/>
        <v>1</v>
      </c>
      <c r="K124" s="4">
        <f t="shared" si="10"/>
        <v>1</v>
      </c>
      <c r="L124" s="4" t="s">
        <v>498</v>
      </c>
      <c r="M124" s="4">
        <f>INDEX(Dim_Product!$C$2:$C$4,MATCH(F124,Dim_Product!$A$2:$A$4,0))+0.12</f>
        <v>250.12</v>
      </c>
      <c r="N124" s="4">
        <f>IF(AND(M124&gt;=INDEX(Dim_Product!$C$2:$C$4,MATCH(F124,Dim_Product!$A$2:$A$4,0))-INDEX(Dim_Product!$D$2:$D$4,MATCH(F124,Dim_Product!$A$2:$A$4,0)),M124&lt;=INDEX(Dim_Product!$C$2:$C$4,MATCH(F124,Dim_Product!$A$2:$A$4,0))+INDEX(Dim_Product!$D$2:$D$4,MATCH(F124,Dim_Product!$A$2:$A$4,0))),G124-H124,G124-H124-1)</f>
        <v>46</v>
      </c>
      <c r="O124" s="4">
        <f t="shared" si="11"/>
        <v>2</v>
      </c>
      <c r="P124" s="4">
        <f>INDEX(Dim_Product!$G$2:$G$4,MATCH(F124,Dim_Product!$A$2:$A$4,0))+0.1</f>
        <v>70.099999999999994</v>
      </c>
      <c r="Q124" s="4">
        <f>IF(AND(P124&gt;=INDEX(Dim_Product!$G$2:$G$4,MATCH(F124,Dim_Product!$A$2:$A$4,0))-INDEX(Dim_Product!$H$2:$H$4,MATCH(F124,Dim_Product!$A$2:$A$4,0)),P124&lt;=INDEX(Dim_Product!$G$2:$G$4,MATCH(F124,Dim_Product!$A$2:$A$4,0))+INDEX(Dim_Product!$H$2:$H$4,MATCH(F124,Dim_Product!$A$2:$A$4,0))),G124-H124,G124-H124-1)</f>
        <v>46</v>
      </c>
      <c r="R124" s="4">
        <f t="shared" si="12"/>
        <v>2</v>
      </c>
      <c r="S124" s="4">
        <f>INDEX(Dim_Product!$K$2:$K$4,MATCH(F124,Dim_Product!$A$2:$A$4,0))+-0.15</f>
        <v>119.85</v>
      </c>
      <c r="T124" s="4">
        <f>IF(AND(S124&gt;=INDEX(Dim_Product!$K$2:$K$4,MATCH(F124,Dim_Product!$A$2:$A$4,0))-INDEX(Dim_Product!$L$2:$L$4,MATCH(F124,Dim_Product!$A$2:$A$4,0)),S124&lt;=INDEX(Dim_Product!$K$2:$K$4,MATCH(F124,Dim_Product!$A$2:$A$4,0))+INDEX(Dim_Product!$L$2:$L$4,MATCH(F124,Dim_Product!$A$2:$A$4,0))),G124-H124,G124-H124-1)</f>
        <v>46</v>
      </c>
      <c r="U124" s="4">
        <f t="shared" si="13"/>
        <v>2</v>
      </c>
      <c r="V124" s="4">
        <f t="shared" si="14"/>
        <v>4.1666666666666664E-2</v>
      </c>
      <c r="W124" s="19">
        <f t="shared" si="15"/>
        <v>0.95833333333333337</v>
      </c>
    </row>
    <row r="125" spans="1:23" x14ac:dyDescent="0.25">
      <c r="A125" s="18" t="s">
        <v>626</v>
      </c>
      <c r="B125" s="4">
        <f>Fact_Production_Hourly!B125</f>
        <v>20260701</v>
      </c>
      <c r="C125" s="4">
        <f>Fact_Production_Hourly!C125</f>
        <v>17</v>
      </c>
      <c r="D125" s="4" t="str">
        <f>Fact_Production_Hourly!D125</f>
        <v>M5</v>
      </c>
      <c r="E125" s="4" t="str">
        <f>Fact_Production_Hourly!E125</f>
        <v>A-AM</v>
      </c>
      <c r="F125" s="4" t="str">
        <f>Fact_Production_Hourly!F125</f>
        <v>C</v>
      </c>
      <c r="G125" s="4">
        <f>INDEX(Dim_Machine!$D$2:$D$8,MATCH(D125,Dim_Machine!$A$2:$A$8,0))*2</f>
        <v>32</v>
      </c>
      <c r="H125" s="4">
        <f>ROUND(G125*0.0113,0)</f>
        <v>0</v>
      </c>
      <c r="I125" s="4">
        <f t="shared" si="8"/>
        <v>0</v>
      </c>
      <c r="J125" s="4">
        <f t="shared" si="9"/>
        <v>0</v>
      </c>
      <c r="K125" s="4">
        <f t="shared" si="10"/>
        <v>0</v>
      </c>
      <c r="L125" s="4" t="s">
        <v>517</v>
      </c>
      <c r="M125" s="4">
        <f>INDEX(Dim_Product!$C$2:$C$4,MATCH(F125,Dim_Product!$A$2:$A$4,0))+0.63</f>
        <v>200.63</v>
      </c>
      <c r="N125" s="4">
        <f>IF(AND(M125&gt;=INDEX(Dim_Product!$C$2:$C$4,MATCH(F125,Dim_Product!$A$2:$A$4,0))-INDEX(Dim_Product!$D$2:$D$4,MATCH(F125,Dim_Product!$A$2:$A$4,0)),M125&lt;=INDEX(Dim_Product!$C$2:$C$4,MATCH(F125,Dim_Product!$A$2:$A$4,0))+INDEX(Dim_Product!$D$2:$D$4,MATCH(F125,Dim_Product!$A$2:$A$4,0))),G125-H125,G125-H125-1)</f>
        <v>32</v>
      </c>
      <c r="O125" s="4">
        <f t="shared" si="11"/>
        <v>0</v>
      </c>
      <c r="P125" s="4">
        <f>INDEX(Dim_Product!$G$2:$G$4,MATCH(F125,Dim_Product!$A$2:$A$4,0))+0.15</f>
        <v>65.150000000000006</v>
      </c>
      <c r="Q125" s="4">
        <f>IF(AND(P125&gt;=INDEX(Dim_Product!$G$2:$G$4,MATCH(F125,Dim_Product!$A$2:$A$4,0))-INDEX(Dim_Product!$H$2:$H$4,MATCH(F125,Dim_Product!$A$2:$A$4,0)),P125&lt;=INDEX(Dim_Product!$G$2:$G$4,MATCH(F125,Dim_Product!$A$2:$A$4,0))+INDEX(Dim_Product!$H$2:$H$4,MATCH(F125,Dim_Product!$A$2:$A$4,0))),G125-H125,G125-H125-1)</f>
        <v>32</v>
      </c>
      <c r="R125" s="4">
        <f t="shared" si="12"/>
        <v>0</v>
      </c>
      <c r="S125" s="4">
        <f>INDEX(Dim_Product!$K$2:$K$4,MATCH(F125,Dim_Product!$A$2:$A$4,0))+0.06</f>
        <v>110.06</v>
      </c>
      <c r="T125" s="4">
        <f>IF(AND(S125&gt;=INDEX(Dim_Product!$K$2:$K$4,MATCH(F125,Dim_Product!$A$2:$A$4,0))-INDEX(Dim_Product!$L$2:$L$4,MATCH(F125,Dim_Product!$A$2:$A$4,0)),S125&lt;=INDEX(Dim_Product!$K$2:$K$4,MATCH(F125,Dim_Product!$A$2:$A$4,0))+INDEX(Dim_Product!$L$2:$L$4,MATCH(F125,Dim_Product!$A$2:$A$4,0))),G125-H125,G125-H125-1)</f>
        <v>32</v>
      </c>
      <c r="U125" s="4">
        <f t="shared" si="13"/>
        <v>0</v>
      </c>
      <c r="V125" s="4">
        <f t="shared" si="14"/>
        <v>0</v>
      </c>
      <c r="W125" s="19">
        <f t="shared" si="15"/>
        <v>1</v>
      </c>
    </row>
    <row r="126" spans="1:23" x14ac:dyDescent="0.25">
      <c r="A126" s="18" t="s">
        <v>627</v>
      </c>
      <c r="B126" s="4">
        <f>Fact_Production_Hourly!B126</f>
        <v>20260701</v>
      </c>
      <c r="C126" s="4">
        <f>Fact_Production_Hourly!C126</f>
        <v>17</v>
      </c>
      <c r="D126" s="4" t="str">
        <f>Fact_Production_Hourly!D126</f>
        <v>M6</v>
      </c>
      <c r="E126" s="4" t="str">
        <f>Fact_Production_Hourly!E126</f>
        <v>A-AM</v>
      </c>
      <c r="F126" s="4" t="str">
        <f>Fact_Production_Hourly!F126</f>
        <v>C</v>
      </c>
      <c r="G126" s="4">
        <f>INDEX(Dim_Machine!$D$2:$D$8,MATCH(D126,Dim_Machine!$A$2:$A$8,0))*2</f>
        <v>24</v>
      </c>
      <c r="H126" s="4">
        <f>ROUND(G126*0.0127,0)</f>
        <v>0</v>
      </c>
      <c r="I126" s="4">
        <f t="shared" si="8"/>
        <v>0</v>
      </c>
      <c r="J126" s="4">
        <f t="shared" si="9"/>
        <v>0</v>
      </c>
      <c r="K126" s="4">
        <f t="shared" si="10"/>
        <v>0</v>
      </c>
      <c r="L126" s="4" t="s">
        <v>517</v>
      </c>
      <c r="M126" s="4">
        <f>INDEX(Dim_Product!$C$2:$C$4,MATCH(F126,Dim_Product!$A$2:$A$4,0))+0.4</f>
        <v>200.4</v>
      </c>
      <c r="N126" s="4">
        <f>IF(AND(M126&gt;=INDEX(Dim_Product!$C$2:$C$4,MATCH(F126,Dim_Product!$A$2:$A$4,0))-INDEX(Dim_Product!$D$2:$D$4,MATCH(F126,Dim_Product!$A$2:$A$4,0)),M126&lt;=INDEX(Dim_Product!$C$2:$C$4,MATCH(F126,Dim_Product!$A$2:$A$4,0))+INDEX(Dim_Product!$D$2:$D$4,MATCH(F126,Dim_Product!$A$2:$A$4,0))),G126-H126,G126-H126-1)</f>
        <v>24</v>
      </c>
      <c r="O126" s="4">
        <f t="shared" si="11"/>
        <v>0</v>
      </c>
      <c r="P126" s="4">
        <f>INDEX(Dim_Product!$G$2:$G$4,MATCH(F126,Dim_Product!$A$2:$A$4,0))+0.02</f>
        <v>65.02</v>
      </c>
      <c r="Q126" s="4">
        <f>IF(AND(P126&gt;=INDEX(Dim_Product!$G$2:$G$4,MATCH(F126,Dim_Product!$A$2:$A$4,0))-INDEX(Dim_Product!$H$2:$H$4,MATCH(F126,Dim_Product!$A$2:$A$4,0)),P126&lt;=INDEX(Dim_Product!$G$2:$G$4,MATCH(F126,Dim_Product!$A$2:$A$4,0))+INDEX(Dim_Product!$H$2:$H$4,MATCH(F126,Dim_Product!$A$2:$A$4,0))),G126-H126,G126-H126-1)</f>
        <v>24</v>
      </c>
      <c r="R126" s="4">
        <f t="shared" si="12"/>
        <v>0</v>
      </c>
      <c r="S126" s="4">
        <f>INDEX(Dim_Product!$K$2:$K$4,MATCH(F126,Dim_Product!$A$2:$A$4,0))+-0.35</f>
        <v>109.65</v>
      </c>
      <c r="T126" s="4">
        <f>IF(AND(S126&gt;=INDEX(Dim_Product!$K$2:$K$4,MATCH(F126,Dim_Product!$A$2:$A$4,0))-INDEX(Dim_Product!$L$2:$L$4,MATCH(F126,Dim_Product!$A$2:$A$4,0)),S126&lt;=INDEX(Dim_Product!$K$2:$K$4,MATCH(F126,Dim_Product!$A$2:$A$4,0))+INDEX(Dim_Product!$L$2:$L$4,MATCH(F126,Dim_Product!$A$2:$A$4,0))),G126-H126,G126-H126-1)</f>
        <v>24</v>
      </c>
      <c r="U126" s="4">
        <f t="shared" si="13"/>
        <v>0</v>
      </c>
      <c r="V126" s="4">
        <f t="shared" si="14"/>
        <v>0</v>
      </c>
      <c r="W126" s="19">
        <f t="shared" si="15"/>
        <v>1</v>
      </c>
    </row>
    <row r="127" spans="1:23" x14ac:dyDescent="0.25">
      <c r="A127" s="18" t="s">
        <v>628</v>
      </c>
      <c r="B127" s="4">
        <f>Fact_Production_Hourly!B127</f>
        <v>20260701</v>
      </c>
      <c r="C127" s="4">
        <f>Fact_Production_Hourly!C127</f>
        <v>17</v>
      </c>
      <c r="D127" s="4" t="str">
        <f>Fact_Production_Hourly!D127</f>
        <v>M7</v>
      </c>
      <c r="E127" s="4" t="str">
        <f>Fact_Production_Hourly!E127</f>
        <v>A-AM</v>
      </c>
      <c r="F127" s="4" t="str">
        <f>Fact_Production_Hourly!F127</f>
        <v>C</v>
      </c>
      <c r="G127" s="4">
        <f>INDEX(Dim_Machine!$D$2:$D$8,MATCH(D127,Dim_Machine!$A$2:$A$8,0))*2</f>
        <v>48</v>
      </c>
      <c r="H127" s="4">
        <f>ROUND(G127*0.0637,0)</f>
        <v>3</v>
      </c>
      <c r="I127" s="4">
        <f t="shared" si="8"/>
        <v>0</v>
      </c>
      <c r="J127" s="4">
        <f t="shared" si="9"/>
        <v>1</v>
      </c>
      <c r="K127" s="4">
        <f t="shared" si="10"/>
        <v>2</v>
      </c>
      <c r="L127" s="4" t="s">
        <v>503</v>
      </c>
      <c r="M127" s="4">
        <f>INDEX(Dim_Product!$C$2:$C$4,MATCH(F127,Dim_Product!$A$2:$A$4,0))+-0.94</f>
        <v>199.06</v>
      </c>
      <c r="N127" s="4">
        <f>IF(AND(M127&gt;=INDEX(Dim_Product!$C$2:$C$4,MATCH(F127,Dim_Product!$A$2:$A$4,0))-INDEX(Dim_Product!$D$2:$D$4,MATCH(F127,Dim_Product!$A$2:$A$4,0)),M127&lt;=INDEX(Dim_Product!$C$2:$C$4,MATCH(F127,Dim_Product!$A$2:$A$4,0))+INDEX(Dim_Product!$D$2:$D$4,MATCH(F127,Dim_Product!$A$2:$A$4,0))),G127-H127,G127-H127-1)</f>
        <v>45</v>
      </c>
      <c r="O127" s="4">
        <f t="shared" si="11"/>
        <v>3</v>
      </c>
      <c r="P127" s="4">
        <f>INDEX(Dim_Product!$G$2:$G$4,MATCH(F127,Dim_Product!$A$2:$A$4,0))+-0.05</f>
        <v>64.95</v>
      </c>
      <c r="Q127" s="4">
        <f>IF(AND(P127&gt;=INDEX(Dim_Product!$G$2:$G$4,MATCH(F127,Dim_Product!$A$2:$A$4,0))-INDEX(Dim_Product!$H$2:$H$4,MATCH(F127,Dim_Product!$A$2:$A$4,0)),P127&lt;=INDEX(Dim_Product!$G$2:$G$4,MATCH(F127,Dim_Product!$A$2:$A$4,0))+INDEX(Dim_Product!$H$2:$H$4,MATCH(F127,Dim_Product!$A$2:$A$4,0))),G127-H127,G127-H127-1)</f>
        <v>45</v>
      </c>
      <c r="R127" s="4">
        <f t="shared" si="12"/>
        <v>3</v>
      </c>
      <c r="S127" s="4">
        <f>INDEX(Dim_Product!$K$2:$K$4,MATCH(F127,Dim_Product!$A$2:$A$4,0))+0.22</f>
        <v>110.22</v>
      </c>
      <c r="T127" s="4">
        <f>IF(AND(S127&gt;=INDEX(Dim_Product!$K$2:$K$4,MATCH(F127,Dim_Product!$A$2:$A$4,0))-INDEX(Dim_Product!$L$2:$L$4,MATCH(F127,Dim_Product!$A$2:$A$4,0)),S127&lt;=INDEX(Dim_Product!$K$2:$K$4,MATCH(F127,Dim_Product!$A$2:$A$4,0))+INDEX(Dim_Product!$L$2:$L$4,MATCH(F127,Dim_Product!$A$2:$A$4,0))),G127-H127,G127-H127-1)</f>
        <v>45</v>
      </c>
      <c r="U127" s="4">
        <f t="shared" si="13"/>
        <v>3</v>
      </c>
      <c r="V127" s="4">
        <f t="shared" si="14"/>
        <v>6.25E-2</v>
      </c>
      <c r="W127" s="19">
        <f t="shared" si="15"/>
        <v>0.9375</v>
      </c>
    </row>
    <row r="128" spans="1:23" x14ac:dyDescent="0.25">
      <c r="A128" s="18" t="s">
        <v>629</v>
      </c>
      <c r="B128" s="4">
        <f>Fact_Production_Hourly!B128</f>
        <v>20260701</v>
      </c>
      <c r="C128" s="4">
        <f>Fact_Production_Hourly!C128</f>
        <v>18</v>
      </c>
      <c r="D128" s="4" t="str">
        <f>Fact_Production_Hourly!D128</f>
        <v>M1</v>
      </c>
      <c r="E128" s="4" t="str">
        <f>Fact_Production_Hourly!E128</f>
        <v>B-PM</v>
      </c>
      <c r="F128" s="4" t="str">
        <f>Fact_Production_Hourly!F128</f>
        <v>A</v>
      </c>
      <c r="G128" s="4">
        <f>INDEX(Dim_Machine!$D$2:$D$8,MATCH(D128,Dim_Machine!$A$2:$A$8,0))*2</f>
        <v>32</v>
      </c>
      <c r="H128" s="4">
        <f>ROUND(G128*0.0559,0)</f>
        <v>2</v>
      </c>
      <c r="I128" s="4">
        <f t="shared" si="8"/>
        <v>0</v>
      </c>
      <c r="J128" s="4">
        <f t="shared" si="9"/>
        <v>1</v>
      </c>
      <c r="K128" s="4">
        <f t="shared" si="10"/>
        <v>1</v>
      </c>
      <c r="L128" s="4" t="s">
        <v>520</v>
      </c>
      <c r="M128" s="4">
        <f>INDEX(Dim_Product!$C$2:$C$4,MATCH(F128,Dim_Product!$A$2:$A$4,0))+0.29</f>
        <v>250.29</v>
      </c>
      <c r="N128" s="4">
        <f>IF(AND(M128&gt;=INDEX(Dim_Product!$C$2:$C$4,MATCH(F128,Dim_Product!$A$2:$A$4,0))-INDEX(Dim_Product!$D$2:$D$4,MATCH(F128,Dim_Product!$A$2:$A$4,0)),M128&lt;=INDEX(Dim_Product!$C$2:$C$4,MATCH(F128,Dim_Product!$A$2:$A$4,0))+INDEX(Dim_Product!$D$2:$D$4,MATCH(F128,Dim_Product!$A$2:$A$4,0))),G128-H128,G128-H128-1)</f>
        <v>30</v>
      </c>
      <c r="O128" s="4">
        <f t="shared" si="11"/>
        <v>2</v>
      </c>
      <c r="P128" s="4">
        <f>INDEX(Dim_Product!$G$2:$G$4,MATCH(F128,Dim_Product!$A$2:$A$4,0))+-0.05</f>
        <v>69.95</v>
      </c>
      <c r="Q128" s="4">
        <f>IF(AND(P128&gt;=INDEX(Dim_Product!$G$2:$G$4,MATCH(F128,Dim_Product!$A$2:$A$4,0))-INDEX(Dim_Product!$H$2:$H$4,MATCH(F128,Dim_Product!$A$2:$A$4,0)),P128&lt;=INDEX(Dim_Product!$G$2:$G$4,MATCH(F128,Dim_Product!$A$2:$A$4,0))+INDEX(Dim_Product!$H$2:$H$4,MATCH(F128,Dim_Product!$A$2:$A$4,0))),G128-H128,G128-H128-1)</f>
        <v>30</v>
      </c>
      <c r="R128" s="4">
        <f t="shared" si="12"/>
        <v>2</v>
      </c>
      <c r="S128" s="4">
        <f>INDEX(Dim_Product!$K$2:$K$4,MATCH(F128,Dim_Product!$A$2:$A$4,0))+0.39</f>
        <v>120.39</v>
      </c>
      <c r="T128" s="4">
        <f>IF(AND(S128&gt;=INDEX(Dim_Product!$K$2:$K$4,MATCH(F128,Dim_Product!$A$2:$A$4,0))-INDEX(Dim_Product!$L$2:$L$4,MATCH(F128,Dim_Product!$A$2:$A$4,0)),S128&lt;=INDEX(Dim_Product!$K$2:$K$4,MATCH(F128,Dim_Product!$A$2:$A$4,0))+INDEX(Dim_Product!$L$2:$L$4,MATCH(F128,Dim_Product!$A$2:$A$4,0))),G128-H128,G128-H128-1)</f>
        <v>30</v>
      </c>
      <c r="U128" s="4">
        <f t="shared" si="13"/>
        <v>2</v>
      </c>
      <c r="V128" s="4">
        <f t="shared" si="14"/>
        <v>6.25E-2</v>
      </c>
      <c r="W128" s="19">
        <f t="shared" si="15"/>
        <v>0.9375</v>
      </c>
    </row>
    <row r="129" spans="1:23" x14ac:dyDescent="0.25">
      <c r="A129" s="18" t="s">
        <v>630</v>
      </c>
      <c r="B129" s="4">
        <f>Fact_Production_Hourly!B129</f>
        <v>20260701</v>
      </c>
      <c r="C129" s="4">
        <f>Fact_Production_Hourly!C129</f>
        <v>18</v>
      </c>
      <c r="D129" s="4" t="str">
        <f>Fact_Production_Hourly!D129</f>
        <v>M2</v>
      </c>
      <c r="E129" s="4" t="str">
        <f>Fact_Production_Hourly!E129</f>
        <v>B-PM</v>
      </c>
      <c r="F129" s="4" t="str">
        <f>Fact_Production_Hourly!F129</f>
        <v>C</v>
      </c>
      <c r="G129" s="4">
        <f>INDEX(Dim_Machine!$D$2:$D$8,MATCH(D129,Dim_Machine!$A$2:$A$8,0))*2</f>
        <v>48</v>
      </c>
      <c r="H129" s="4">
        <f>ROUND(G129*0.0329,0)</f>
        <v>2</v>
      </c>
      <c r="I129" s="4">
        <f t="shared" si="8"/>
        <v>0</v>
      </c>
      <c r="J129" s="4">
        <f t="shared" si="9"/>
        <v>1</v>
      </c>
      <c r="K129" s="4">
        <f t="shared" si="10"/>
        <v>1</v>
      </c>
      <c r="L129" s="4" t="s">
        <v>503</v>
      </c>
      <c r="M129" s="4">
        <f>INDEX(Dim_Product!$C$2:$C$4,MATCH(F129,Dim_Product!$A$2:$A$4,0))+-0.25</f>
        <v>199.75</v>
      </c>
      <c r="N129" s="4">
        <f>IF(AND(M129&gt;=INDEX(Dim_Product!$C$2:$C$4,MATCH(F129,Dim_Product!$A$2:$A$4,0))-INDEX(Dim_Product!$D$2:$D$4,MATCH(F129,Dim_Product!$A$2:$A$4,0)),M129&lt;=INDEX(Dim_Product!$C$2:$C$4,MATCH(F129,Dim_Product!$A$2:$A$4,0))+INDEX(Dim_Product!$D$2:$D$4,MATCH(F129,Dim_Product!$A$2:$A$4,0))),G129-H129,G129-H129-1)</f>
        <v>46</v>
      </c>
      <c r="O129" s="4">
        <f t="shared" si="11"/>
        <v>2</v>
      </c>
      <c r="P129" s="4">
        <f>INDEX(Dim_Product!$G$2:$G$4,MATCH(F129,Dim_Product!$A$2:$A$4,0))+0.11</f>
        <v>65.11</v>
      </c>
      <c r="Q129" s="4">
        <f>IF(AND(P129&gt;=INDEX(Dim_Product!$G$2:$G$4,MATCH(F129,Dim_Product!$A$2:$A$4,0))-INDEX(Dim_Product!$H$2:$H$4,MATCH(F129,Dim_Product!$A$2:$A$4,0)),P129&lt;=INDEX(Dim_Product!$G$2:$G$4,MATCH(F129,Dim_Product!$A$2:$A$4,0))+INDEX(Dim_Product!$H$2:$H$4,MATCH(F129,Dim_Product!$A$2:$A$4,0))),G129-H129,G129-H129-1)</f>
        <v>46</v>
      </c>
      <c r="R129" s="4">
        <f t="shared" si="12"/>
        <v>2</v>
      </c>
      <c r="S129" s="4">
        <f>INDEX(Dim_Product!$K$2:$K$4,MATCH(F129,Dim_Product!$A$2:$A$4,0))+0.13</f>
        <v>110.13</v>
      </c>
      <c r="T129" s="4">
        <f>IF(AND(S129&gt;=INDEX(Dim_Product!$K$2:$K$4,MATCH(F129,Dim_Product!$A$2:$A$4,0))-INDEX(Dim_Product!$L$2:$L$4,MATCH(F129,Dim_Product!$A$2:$A$4,0)),S129&lt;=INDEX(Dim_Product!$K$2:$K$4,MATCH(F129,Dim_Product!$A$2:$A$4,0))+INDEX(Dim_Product!$L$2:$L$4,MATCH(F129,Dim_Product!$A$2:$A$4,0))),G129-H129,G129-H129-1)</f>
        <v>46</v>
      </c>
      <c r="U129" s="4">
        <f t="shared" si="13"/>
        <v>2</v>
      </c>
      <c r="V129" s="4">
        <f t="shared" si="14"/>
        <v>4.1666666666666664E-2</v>
      </c>
      <c r="W129" s="19">
        <f t="shared" si="15"/>
        <v>0.95833333333333337</v>
      </c>
    </row>
    <row r="130" spans="1:23" x14ac:dyDescent="0.25">
      <c r="A130" s="18" t="s">
        <v>631</v>
      </c>
      <c r="B130" s="4">
        <f>Fact_Production_Hourly!B130</f>
        <v>20260701</v>
      </c>
      <c r="C130" s="4">
        <f>Fact_Production_Hourly!C130</f>
        <v>18</v>
      </c>
      <c r="D130" s="4" t="str">
        <f>Fact_Production_Hourly!D130</f>
        <v>M3</v>
      </c>
      <c r="E130" s="4" t="str">
        <f>Fact_Production_Hourly!E130</f>
        <v>B-PM</v>
      </c>
      <c r="F130" s="4" t="str">
        <f>Fact_Production_Hourly!F130</f>
        <v>A</v>
      </c>
      <c r="G130" s="4">
        <f>INDEX(Dim_Machine!$D$2:$D$8,MATCH(D130,Dim_Machine!$A$2:$A$8,0))*2</f>
        <v>24</v>
      </c>
      <c r="H130" s="4">
        <f>ROUND(G130*0.0424,0)</f>
        <v>1</v>
      </c>
      <c r="I130" s="4">
        <f t="shared" ref="I130:I193" si="16">ROUND(H130*0.15,0)</f>
        <v>0</v>
      </c>
      <c r="J130" s="4">
        <f t="shared" ref="J130:J193" si="17">ROUND(H130*0.45,0)</f>
        <v>0</v>
      </c>
      <c r="K130" s="4">
        <f t="shared" ref="K130:K193" si="18">MAX(H130-I130-J130,0)</f>
        <v>1</v>
      </c>
      <c r="L130" s="4" t="s">
        <v>520</v>
      </c>
      <c r="M130" s="4">
        <f>INDEX(Dim_Product!$C$2:$C$4,MATCH(F130,Dim_Product!$A$2:$A$4,0))+0.72</f>
        <v>250.72</v>
      </c>
      <c r="N130" s="4">
        <f>IF(AND(M130&gt;=INDEX(Dim_Product!$C$2:$C$4,MATCH(F130,Dim_Product!$A$2:$A$4,0))-INDEX(Dim_Product!$D$2:$D$4,MATCH(F130,Dim_Product!$A$2:$A$4,0)),M130&lt;=INDEX(Dim_Product!$C$2:$C$4,MATCH(F130,Dim_Product!$A$2:$A$4,0))+INDEX(Dim_Product!$D$2:$D$4,MATCH(F130,Dim_Product!$A$2:$A$4,0))),G130-H130,G130-H130-1)</f>
        <v>23</v>
      </c>
      <c r="O130" s="4">
        <f t="shared" ref="O130:O193" si="19">G130-N130</f>
        <v>1</v>
      </c>
      <c r="P130" s="4">
        <f>INDEX(Dim_Product!$G$2:$G$4,MATCH(F130,Dim_Product!$A$2:$A$4,0))+-0.23</f>
        <v>69.77</v>
      </c>
      <c r="Q130" s="4">
        <f>IF(AND(P130&gt;=INDEX(Dim_Product!$G$2:$G$4,MATCH(F130,Dim_Product!$A$2:$A$4,0))-INDEX(Dim_Product!$H$2:$H$4,MATCH(F130,Dim_Product!$A$2:$A$4,0)),P130&lt;=INDEX(Dim_Product!$G$2:$G$4,MATCH(F130,Dim_Product!$A$2:$A$4,0))+INDEX(Dim_Product!$H$2:$H$4,MATCH(F130,Dim_Product!$A$2:$A$4,0))),G130-H130,G130-H130-1)</f>
        <v>23</v>
      </c>
      <c r="R130" s="4">
        <f t="shared" ref="R130:R193" si="20">G130-Q130</f>
        <v>1</v>
      </c>
      <c r="S130" s="4">
        <f>INDEX(Dim_Product!$K$2:$K$4,MATCH(F130,Dim_Product!$A$2:$A$4,0))+0.39</f>
        <v>120.39</v>
      </c>
      <c r="T130" s="4">
        <f>IF(AND(S130&gt;=INDEX(Dim_Product!$K$2:$K$4,MATCH(F130,Dim_Product!$A$2:$A$4,0))-INDEX(Dim_Product!$L$2:$L$4,MATCH(F130,Dim_Product!$A$2:$A$4,0)),S130&lt;=INDEX(Dim_Product!$K$2:$K$4,MATCH(F130,Dim_Product!$A$2:$A$4,0))+INDEX(Dim_Product!$L$2:$L$4,MATCH(F130,Dim_Product!$A$2:$A$4,0))),G130-H130,G130-H130-1)</f>
        <v>23</v>
      </c>
      <c r="U130" s="4">
        <f t="shared" ref="U130:U193" si="21">G130-T130</f>
        <v>1</v>
      </c>
      <c r="V130" s="4">
        <f t="shared" ref="V130:V193" si="22">IFERROR(H130/G130,0)</f>
        <v>4.1666666666666664E-2</v>
      </c>
      <c r="W130" s="19">
        <f t="shared" ref="W130:W193" si="23">1-V130</f>
        <v>0.95833333333333337</v>
      </c>
    </row>
    <row r="131" spans="1:23" x14ac:dyDescent="0.25">
      <c r="A131" s="18" t="s">
        <v>632</v>
      </c>
      <c r="B131" s="4">
        <f>Fact_Production_Hourly!B131</f>
        <v>20260701</v>
      </c>
      <c r="C131" s="4">
        <f>Fact_Production_Hourly!C131</f>
        <v>18</v>
      </c>
      <c r="D131" s="4" t="str">
        <f>Fact_Production_Hourly!D131</f>
        <v>M4</v>
      </c>
      <c r="E131" s="4" t="str">
        <f>Fact_Production_Hourly!E131</f>
        <v>B-PM</v>
      </c>
      <c r="F131" s="4" t="str">
        <f>Fact_Production_Hourly!F131</f>
        <v>A</v>
      </c>
      <c r="G131" s="4">
        <f>INDEX(Dim_Machine!$D$2:$D$8,MATCH(D131,Dim_Machine!$A$2:$A$8,0))*2</f>
        <v>48</v>
      </c>
      <c r="H131" s="4">
        <f>ROUND(G131*0.0336,0)</f>
        <v>2</v>
      </c>
      <c r="I131" s="4">
        <f t="shared" si="16"/>
        <v>0</v>
      </c>
      <c r="J131" s="4">
        <f t="shared" si="17"/>
        <v>1</v>
      </c>
      <c r="K131" s="4">
        <f t="shared" si="18"/>
        <v>1</v>
      </c>
      <c r="L131" s="4" t="s">
        <v>500</v>
      </c>
      <c r="M131" s="4">
        <f>INDEX(Dim_Product!$C$2:$C$4,MATCH(F131,Dim_Product!$A$2:$A$4,0))+0.46</f>
        <v>250.46</v>
      </c>
      <c r="N131" s="4">
        <f>IF(AND(M131&gt;=INDEX(Dim_Product!$C$2:$C$4,MATCH(F131,Dim_Product!$A$2:$A$4,0))-INDEX(Dim_Product!$D$2:$D$4,MATCH(F131,Dim_Product!$A$2:$A$4,0)),M131&lt;=INDEX(Dim_Product!$C$2:$C$4,MATCH(F131,Dim_Product!$A$2:$A$4,0))+INDEX(Dim_Product!$D$2:$D$4,MATCH(F131,Dim_Product!$A$2:$A$4,0))),G131-H131,G131-H131-1)</f>
        <v>46</v>
      </c>
      <c r="O131" s="4">
        <f t="shared" si="19"/>
        <v>2</v>
      </c>
      <c r="P131" s="4">
        <f>INDEX(Dim_Product!$G$2:$G$4,MATCH(F131,Dim_Product!$A$2:$A$4,0))+-0.17</f>
        <v>69.83</v>
      </c>
      <c r="Q131" s="4">
        <f>IF(AND(P131&gt;=INDEX(Dim_Product!$G$2:$G$4,MATCH(F131,Dim_Product!$A$2:$A$4,0))-INDEX(Dim_Product!$H$2:$H$4,MATCH(F131,Dim_Product!$A$2:$A$4,0)),P131&lt;=INDEX(Dim_Product!$G$2:$G$4,MATCH(F131,Dim_Product!$A$2:$A$4,0))+INDEX(Dim_Product!$H$2:$H$4,MATCH(F131,Dim_Product!$A$2:$A$4,0))),G131-H131,G131-H131-1)</f>
        <v>46</v>
      </c>
      <c r="R131" s="4">
        <f t="shared" si="20"/>
        <v>2</v>
      </c>
      <c r="S131" s="4">
        <f>INDEX(Dim_Product!$K$2:$K$4,MATCH(F131,Dim_Product!$A$2:$A$4,0))+-0.4</f>
        <v>119.6</v>
      </c>
      <c r="T131" s="4">
        <f>IF(AND(S131&gt;=INDEX(Dim_Product!$K$2:$K$4,MATCH(F131,Dim_Product!$A$2:$A$4,0))-INDEX(Dim_Product!$L$2:$L$4,MATCH(F131,Dim_Product!$A$2:$A$4,0)),S131&lt;=INDEX(Dim_Product!$K$2:$K$4,MATCH(F131,Dim_Product!$A$2:$A$4,0))+INDEX(Dim_Product!$L$2:$L$4,MATCH(F131,Dim_Product!$A$2:$A$4,0))),G131-H131,G131-H131-1)</f>
        <v>46</v>
      </c>
      <c r="U131" s="4">
        <f t="shared" si="21"/>
        <v>2</v>
      </c>
      <c r="V131" s="4">
        <f t="shared" si="22"/>
        <v>4.1666666666666664E-2</v>
      </c>
      <c r="W131" s="19">
        <f t="shared" si="23"/>
        <v>0.95833333333333337</v>
      </c>
    </row>
    <row r="132" spans="1:23" x14ac:dyDescent="0.25">
      <c r="A132" s="18" t="s">
        <v>633</v>
      </c>
      <c r="B132" s="4">
        <f>Fact_Production_Hourly!B132</f>
        <v>20260701</v>
      </c>
      <c r="C132" s="4">
        <f>Fact_Production_Hourly!C132</f>
        <v>18</v>
      </c>
      <c r="D132" s="4" t="str">
        <f>Fact_Production_Hourly!D132</f>
        <v>M5</v>
      </c>
      <c r="E132" s="4" t="str">
        <f>Fact_Production_Hourly!E132</f>
        <v>B-PM</v>
      </c>
      <c r="F132" s="4" t="str">
        <f>Fact_Production_Hourly!F132</f>
        <v>A</v>
      </c>
      <c r="G132" s="4">
        <f>INDEX(Dim_Machine!$D$2:$D$8,MATCH(D132,Dim_Machine!$A$2:$A$8,0))*2</f>
        <v>32</v>
      </c>
      <c r="H132" s="4">
        <f>ROUND(G132*0.0114,0)</f>
        <v>0</v>
      </c>
      <c r="I132" s="4">
        <f t="shared" si="16"/>
        <v>0</v>
      </c>
      <c r="J132" s="4">
        <f t="shared" si="17"/>
        <v>0</v>
      </c>
      <c r="K132" s="4">
        <f t="shared" si="18"/>
        <v>0</v>
      </c>
      <c r="L132" s="4" t="s">
        <v>517</v>
      </c>
      <c r="M132" s="4">
        <f>INDEX(Dim_Product!$C$2:$C$4,MATCH(F132,Dim_Product!$A$2:$A$4,0))+-0.07</f>
        <v>249.93</v>
      </c>
      <c r="N132" s="4">
        <f>IF(AND(M132&gt;=INDEX(Dim_Product!$C$2:$C$4,MATCH(F132,Dim_Product!$A$2:$A$4,0))-INDEX(Dim_Product!$D$2:$D$4,MATCH(F132,Dim_Product!$A$2:$A$4,0)),M132&lt;=INDEX(Dim_Product!$C$2:$C$4,MATCH(F132,Dim_Product!$A$2:$A$4,0))+INDEX(Dim_Product!$D$2:$D$4,MATCH(F132,Dim_Product!$A$2:$A$4,0))),G132-H132,G132-H132-1)</f>
        <v>32</v>
      </c>
      <c r="O132" s="4">
        <f t="shared" si="19"/>
        <v>0</v>
      </c>
      <c r="P132" s="4">
        <f>INDEX(Dim_Product!$G$2:$G$4,MATCH(F132,Dim_Product!$A$2:$A$4,0))+0.13</f>
        <v>70.13</v>
      </c>
      <c r="Q132" s="4">
        <f>IF(AND(P132&gt;=INDEX(Dim_Product!$G$2:$G$4,MATCH(F132,Dim_Product!$A$2:$A$4,0))-INDEX(Dim_Product!$H$2:$H$4,MATCH(F132,Dim_Product!$A$2:$A$4,0)),P132&lt;=INDEX(Dim_Product!$G$2:$G$4,MATCH(F132,Dim_Product!$A$2:$A$4,0))+INDEX(Dim_Product!$H$2:$H$4,MATCH(F132,Dim_Product!$A$2:$A$4,0))),G132-H132,G132-H132-1)</f>
        <v>32</v>
      </c>
      <c r="R132" s="4">
        <f t="shared" si="20"/>
        <v>0</v>
      </c>
      <c r="S132" s="4">
        <f>INDEX(Dim_Product!$K$2:$K$4,MATCH(F132,Dim_Product!$A$2:$A$4,0))+-0.06</f>
        <v>119.94</v>
      </c>
      <c r="T132" s="4">
        <f>IF(AND(S132&gt;=INDEX(Dim_Product!$K$2:$K$4,MATCH(F132,Dim_Product!$A$2:$A$4,0))-INDEX(Dim_Product!$L$2:$L$4,MATCH(F132,Dim_Product!$A$2:$A$4,0)),S132&lt;=INDEX(Dim_Product!$K$2:$K$4,MATCH(F132,Dim_Product!$A$2:$A$4,0))+INDEX(Dim_Product!$L$2:$L$4,MATCH(F132,Dim_Product!$A$2:$A$4,0))),G132-H132,G132-H132-1)</f>
        <v>32</v>
      </c>
      <c r="U132" s="4">
        <f t="shared" si="21"/>
        <v>0</v>
      </c>
      <c r="V132" s="4">
        <f t="shared" si="22"/>
        <v>0</v>
      </c>
      <c r="W132" s="19">
        <f t="shared" si="23"/>
        <v>1</v>
      </c>
    </row>
    <row r="133" spans="1:23" x14ac:dyDescent="0.25">
      <c r="A133" s="18" t="s">
        <v>634</v>
      </c>
      <c r="B133" s="4">
        <f>Fact_Production_Hourly!B133</f>
        <v>20260701</v>
      </c>
      <c r="C133" s="4">
        <f>Fact_Production_Hourly!C133</f>
        <v>18</v>
      </c>
      <c r="D133" s="4" t="str">
        <f>Fact_Production_Hourly!D133</f>
        <v>M6</v>
      </c>
      <c r="E133" s="4" t="str">
        <f>Fact_Production_Hourly!E133</f>
        <v>B-PM</v>
      </c>
      <c r="F133" s="4" t="str">
        <f>Fact_Production_Hourly!F133</f>
        <v>C</v>
      </c>
      <c r="G133" s="4">
        <f>INDEX(Dim_Machine!$D$2:$D$8,MATCH(D133,Dim_Machine!$A$2:$A$8,0))*2</f>
        <v>24</v>
      </c>
      <c r="H133" s="4">
        <f>ROUND(G133*0.0328,0)</f>
        <v>1</v>
      </c>
      <c r="I133" s="4">
        <f t="shared" si="16"/>
        <v>0</v>
      </c>
      <c r="J133" s="4">
        <f t="shared" si="17"/>
        <v>0</v>
      </c>
      <c r="K133" s="4">
        <f t="shared" si="18"/>
        <v>1</v>
      </c>
      <c r="L133" s="4" t="s">
        <v>500</v>
      </c>
      <c r="M133" s="4">
        <f>INDEX(Dim_Product!$C$2:$C$4,MATCH(F133,Dim_Product!$A$2:$A$4,0))+-0.5</f>
        <v>199.5</v>
      </c>
      <c r="N133" s="4">
        <f>IF(AND(M133&gt;=INDEX(Dim_Product!$C$2:$C$4,MATCH(F133,Dim_Product!$A$2:$A$4,0))-INDEX(Dim_Product!$D$2:$D$4,MATCH(F133,Dim_Product!$A$2:$A$4,0)),M133&lt;=INDEX(Dim_Product!$C$2:$C$4,MATCH(F133,Dim_Product!$A$2:$A$4,0))+INDEX(Dim_Product!$D$2:$D$4,MATCH(F133,Dim_Product!$A$2:$A$4,0))),G133-H133,G133-H133-1)</f>
        <v>23</v>
      </c>
      <c r="O133" s="4">
        <f t="shared" si="19"/>
        <v>1</v>
      </c>
      <c r="P133" s="4">
        <f>INDEX(Dim_Product!$G$2:$G$4,MATCH(F133,Dim_Product!$A$2:$A$4,0))+-0.09</f>
        <v>64.91</v>
      </c>
      <c r="Q133" s="4">
        <f>IF(AND(P133&gt;=INDEX(Dim_Product!$G$2:$G$4,MATCH(F133,Dim_Product!$A$2:$A$4,0))-INDEX(Dim_Product!$H$2:$H$4,MATCH(F133,Dim_Product!$A$2:$A$4,0)),P133&lt;=INDEX(Dim_Product!$G$2:$G$4,MATCH(F133,Dim_Product!$A$2:$A$4,0))+INDEX(Dim_Product!$H$2:$H$4,MATCH(F133,Dim_Product!$A$2:$A$4,0))),G133-H133,G133-H133-1)</f>
        <v>23</v>
      </c>
      <c r="R133" s="4">
        <f t="shared" si="20"/>
        <v>1</v>
      </c>
      <c r="S133" s="4">
        <f>INDEX(Dim_Product!$K$2:$K$4,MATCH(F133,Dim_Product!$A$2:$A$4,0))+-0.18</f>
        <v>109.82</v>
      </c>
      <c r="T133" s="4">
        <f>IF(AND(S133&gt;=INDEX(Dim_Product!$K$2:$K$4,MATCH(F133,Dim_Product!$A$2:$A$4,0))-INDEX(Dim_Product!$L$2:$L$4,MATCH(F133,Dim_Product!$A$2:$A$4,0)),S133&lt;=INDEX(Dim_Product!$K$2:$K$4,MATCH(F133,Dim_Product!$A$2:$A$4,0))+INDEX(Dim_Product!$L$2:$L$4,MATCH(F133,Dim_Product!$A$2:$A$4,0))),G133-H133,G133-H133-1)</f>
        <v>23</v>
      </c>
      <c r="U133" s="4">
        <f t="shared" si="21"/>
        <v>1</v>
      </c>
      <c r="V133" s="4">
        <f t="shared" si="22"/>
        <v>4.1666666666666664E-2</v>
      </c>
      <c r="W133" s="19">
        <f t="shared" si="23"/>
        <v>0.95833333333333337</v>
      </c>
    </row>
    <row r="134" spans="1:23" x14ac:dyDescent="0.25">
      <c r="A134" s="18" t="s">
        <v>635</v>
      </c>
      <c r="B134" s="4">
        <f>Fact_Production_Hourly!B134</f>
        <v>20260701</v>
      </c>
      <c r="C134" s="4">
        <f>Fact_Production_Hourly!C134</f>
        <v>18</v>
      </c>
      <c r="D134" s="4" t="str">
        <f>Fact_Production_Hourly!D134</f>
        <v>M7</v>
      </c>
      <c r="E134" s="4" t="str">
        <f>Fact_Production_Hourly!E134</f>
        <v>B-PM</v>
      </c>
      <c r="F134" s="4" t="str">
        <f>Fact_Production_Hourly!F134</f>
        <v>A</v>
      </c>
      <c r="G134" s="4">
        <f>INDEX(Dim_Machine!$D$2:$D$8,MATCH(D134,Dim_Machine!$A$2:$A$8,0))*2</f>
        <v>48</v>
      </c>
      <c r="H134" s="4">
        <f>ROUND(G134*0.0662,0)</f>
        <v>3</v>
      </c>
      <c r="I134" s="4">
        <f t="shared" si="16"/>
        <v>0</v>
      </c>
      <c r="J134" s="4">
        <f t="shared" si="17"/>
        <v>1</v>
      </c>
      <c r="K134" s="4">
        <f t="shared" si="18"/>
        <v>2</v>
      </c>
      <c r="L134" s="4" t="s">
        <v>520</v>
      </c>
      <c r="M134" s="4">
        <f>INDEX(Dim_Product!$C$2:$C$4,MATCH(F134,Dim_Product!$A$2:$A$4,0))+0.53</f>
        <v>250.53</v>
      </c>
      <c r="N134" s="4">
        <f>IF(AND(M134&gt;=INDEX(Dim_Product!$C$2:$C$4,MATCH(F134,Dim_Product!$A$2:$A$4,0))-INDEX(Dim_Product!$D$2:$D$4,MATCH(F134,Dim_Product!$A$2:$A$4,0)),M134&lt;=INDEX(Dim_Product!$C$2:$C$4,MATCH(F134,Dim_Product!$A$2:$A$4,0))+INDEX(Dim_Product!$D$2:$D$4,MATCH(F134,Dim_Product!$A$2:$A$4,0))),G134-H134,G134-H134-1)</f>
        <v>45</v>
      </c>
      <c r="O134" s="4">
        <f t="shared" si="19"/>
        <v>3</v>
      </c>
      <c r="P134" s="4">
        <f>INDEX(Dim_Product!$G$2:$G$4,MATCH(F134,Dim_Product!$A$2:$A$4,0))+-0.28</f>
        <v>69.72</v>
      </c>
      <c r="Q134" s="4">
        <f>IF(AND(P134&gt;=INDEX(Dim_Product!$G$2:$G$4,MATCH(F134,Dim_Product!$A$2:$A$4,0))-INDEX(Dim_Product!$H$2:$H$4,MATCH(F134,Dim_Product!$A$2:$A$4,0)),P134&lt;=INDEX(Dim_Product!$G$2:$G$4,MATCH(F134,Dim_Product!$A$2:$A$4,0))+INDEX(Dim_Product!$H$2:$H$4,MATCH(F134,Dim_Product!$A$2:$A$4,0))),G134-H134,G134-H134-1)</f>
        <v>45</v>
      </c>
      <c r="R134" s="4">
        <f t="shared" si="20"/>
        <v>3</v>
      </c>
      <c r="S134" s="4">
        <f>INDEX(Dim_Product!$K$2:$K$4,MATCH(F134,Dim_Product!$A$2:$A$4,0))+0.13</f>
        <v>120.13</v>
      </c>
      <c r="T134" s="4">
        <f>IF(AND(S134&gt;=INDEX(Dim_Product!$K$2:$K$4,MATCH(F134,Dim_Product!$A$2:$A$4,0))-INDEX(Dim_Product!$L$2:$L$4,MATCH(F134,Dim_Product!$A$2:$A$4,0)),S134&lt;=INDEX(Dim_Product!$K$2:$K$4,MATCH(F134,Dim_Product!$A$2:$A$4,0))+INDEX(Dim_Product!$L$2:$L$4,MATCH(F134,Dim_Product!$A$2:$A$4,0))),G134-H134,G134-H134-1)</f>
        <v>45</v>
      </c>
      <c r="U134" s="4">
        <f t="shared" si="21"/>
        <v>3</v>
      </c>
      <c r="V134" s="4">
        <f t="shared" si="22"/>
        <v>6.25E-2</v>
      </c>
      <c r="W134" s="19">
        <f t="shared" si="23"/>
        <v>0.9375</v>
      </c>
    </row>
    <row r="135" spans="1:23" x14ac:dyDescent="0.25">
      <c r="A135" s="18" t="s">
        <v>636</v>
      </c>
      <c r="B135" s="4">
        <f>Fact_Production_Hourly!B135</f>
        <v>20260701</v>
      </c>
      <c r="C135" s="4">
        <f>Fact_Production_Hourly!C135</f>
        <v>19</v>
      </c>
      <c r="D135" s="4" t="str">
        <f>Fact_Production_Hourly!D135</f>
        <v>M1</v>
      </c>
      <c r="E135" s="4" t="str">
        <f>Fact_Production_Hourly!E135</f>
        <v>B-PM</v>
      </c>
      <c r="F135" s="4" t="str">
        <f>Fact_Production_Hourly!F135</f>
        <v>A</v>
      </c>
      <c r="G135" s="4">
        <f>INDEX(Dim_Machine!$D$2:$D$8,MATCH(D135,Dim_Machine!$A$2:$A$8,0))*2</f>
        <v>32</v>
      </c>
      <c r="H135" s="4">
        <f>ROUND(G135*0.0469,0)</f>
        <v>2</v>
      </c>
      <c r="I135" s="4">
        <f t="shared" si="16"/>
        <v>0</v>
      </c>
      <c r="J135" s="4">
        <f t="shared" si="17"/>
        <v>1</v>
      </c>
      <c r="K135" s="4">
        <f t="shared" si="18"/>
        <v>1</v>
      </c>
      <c r="L135" s="4" t="s">
        <v>498</v>
      </c>
      <c r="M135" s="4">
        <f>INDEX(Dim_Product!$C$2:$C$4,MATCH(F135,Dim_Product!$A$2:$A$4,0))+-0.52</f>
        <v>249.48</v>
      </c>
      <c r="N135" s="4">
        <f>IF(AND(M135&gt;=INDEX(Dim_Product!$C$2:$C$4,MATCH(F135,Dim_Product!$A$2:$A$4,0))-INDEX(Dim_Product!$D$2:$D$4,MATCH(F135,Dim_Product!$A$2:$A$4,0)),M135&lt;=INDEX(Dim_Product!$C$2:$C$4,MATCH(F135,Dim_Product!$A$2:$A$4,0))+INDEX(Dim_Product!$D$2:$D$4,MATCH(F135,Dim_Product!$A$2:$A$4,0))),G135-H135,G135-H135-1)</f>
        <v>30</v>
      </c>
      <c r="O135" s="4">
        <f t="shared" si="19"/>
        <v>2</v>
      </c>
      <c r="P135" s="4">
        <f>INDEX(Dim_Product!$G$2:$G$4,MATCH(F135,Dim_Product!$A$2:$A$4,0))+-0.26</f>
        <v>69.739999999999995</v>
      </c>
      <c r="Q135" s="4">
        <f>IF(AND(P135&gt;=INDEX(Dim_Product!$G$2:$G$4,MATCH(F135,Dim_Product!$A$2:$A$4,0))-INDEX(Dim_Product!$H$2:$H$4,MATCH(F135,Dim_Product!$A$2:$A$4,0)),P135&lt;=INDEX(Dim_Product!$G$2:$G$4,MATCH(F135,Dim_Product!$A$2:$A$4,0))+INDEX(Dim_Product!$H$2:$H$4,MATCH(F135,Dim_Product!$A$2:$A$4,0))),G135-H135,G135-H135-1)</f>
        <v>30</v>
      </c>
      <c r="R135" s="4">
        <f t="shared" si="20"/>
        <v>2</v>
      </c>
      <c r="S135" s="4">
        <f>INDEX(Dim_Product!$K$2:$K$4,MATCH(F135,Dim_Product!$A$2:$A$4,0))+0.08</f>
        <v>120.08</v>
      </c>
      <c r="T135" s="4">
        <f>IF(AND(S135&gt;=INDEX(Dim_Product!$K$2:$K$4,MATCH(F135,Dim_Product!$A$2:$A$4,0))-INDEX(Dim_Product!$L$2:$L$4,MATCH(F135,Dim_Product!$A$2:$A$4,0)),S135&lt;=INDEX(Dim_Product!$K$2:$K$4,MATCH(F135,Dim_Product!$A$2:$A$4,0))+INDEX(Dim_Product!$L$2:$L$4,MATCH(F135,Dim_Product!$A$2:$A$4,0))),G135-H135,G135-H135-1)</f>
        <v>30</v>
      </c>
      <c r="U135" s="4">
        <f t="shared" si="21"/>
        <v>2</v>
      </c>
      <c r="V135" s="4">
        <f t="shared" si="22"/>
        <v>6.25E-2</v>
      </c>
      <c r="W135" s="19">
        <f t="shared" si="23"/>
        <v>0.9375</v>
      </c>
    </row>
    <row r="136" spans="1:23" x14ac:dyDescent="0.25">
      <c r="A136" s="18" t="s">
        <v>637</v>
      </c>
      <c r="B136" s="4">
        <f>Fact_Production_Hourly!B136</f>
        <v>20260701</v>
      </c>
      <c r="C136" s="4">
        <f>Fact_Production_Hourly!C136</f>
        <v>19</v>
      </c>
      <c r="D136" s="4" t="str">
        <f>Fact_Production_Hourly!D136</f>
        <v>M2</v>
      </c>
      <c r="E136" s="4" t="str">
        <f>Fact_Production_Hourly!E136</f>
        <v>B-PM</v>
      </c>
      <c r="F136" s="4" t="str">
        <f>Fact_Production_Hourly!F136</f>
        <v>C</v>
      </c>
      <c r="G136" s="4">
        <f>INDEX(Dim_Machine!$D$2:$D$8,MATCH(D136,Dim_Machine!$A$2:$A$8,0))*2</f>
        <v>48</v>
      </c>
      <c r="H136" s="4">
        <f>ROUND(G136*0.0368,0)</f>
        <v>2</v>
      </c>
      <c r="I136" s="4">
        <f t="shared" si="16"/>
        <v>0</v>
      </c>
      <c r="J136" s="4">
        <f t="shared" si="17"/>
        <v>1</v>
      </c>
      <c r="K136" s="4">
        <f t="shared" si="18"/>
        <v>1</v>
      </c>
      <c r="L136" s="4" t="s">
        <v>520</v>
      </c>
      <c r="M136" s="4">
        <f>INDEX(Dim_Product!$C$2:$C$4,MATCH(F136,Dim_Product!$A$2:$A$4,0))+0.41</f>
        <v>200.41</v>
      </c>
      <c r="N136" s="4">
        <f>IF(AND(M136&gt;=INDEX(Dim_Product!$C$2:$C$4,MATCH(F136,Dim_Product!$A$2:$A$4,0))-INDEX(Dim_Product!$D$2:$D$4,MATCH(F136,Dim_Product!$A$2:$A$4,0)),M136&lt;=INDEX(Dim_Product!$C$2:$C$4,MATCH(F136,Dim_Product!$A$2:$A$4,0))+INDEX(Dim_Product!$D$2:$D$4,MATCH(F136,Dim_Product!$A$2:$A$4,0))),G136-H136,G136-H136-1)</f>
        <v>46</v>
      </c>
      <c r="O136" s="4">
        <f t="shared" si="19"/>
        <v>2</v>
      </c>
      <c r="P136" s="4">
        <f>INDEX(Dim_Product!$G$2:$G$4,MATCH(F136,Dim_Product!$A$2:$A$4,0))+-0.27</f>
        <v>64.73</v>
      </c>
      <c r="Q136" s="4">
        <f>IF(AND(P136&gt;=INDEX(Dim_Product!$G$2:$G$4,MATCH(F136,Dim_Product!$A$2:$A$4,0))-INDEX(Dim_Product!$H$2:$H$4,MATCH(F136,Dim_Product!$A$2:$A$4,0)),P136&lt;=INDEX(Dim_Product!$G$2:$G$4,MATCH(F136,Dim_Product!$A$2:$A$4,0))+INDEX(Dim_Product!$H$2:$H$4,MATCH(F136,Dim_Product!$A$2:$A$4,0))),G136-H136,G136-H136-1)</f>
        <v>46</v>
      </c>
      <c r="R136" s="4">
        <f t="shared" si="20"/>
        <v>2</v>
      </c>
      <c r="S136" s="4">
        <f>INDEX(Dim_Product!$K$2:$K$4,MATCH(F136,Dim_Product!$A$2:$A$4,0))+0.19</f>
        <v>110.19</v>
      </c>
      <c r="T136" s="4">
        <f>IF(AND(S136&gt;=INDEX(Dim_Product!$K$2:$K$4,MATCH(F136,Dim_Product!$A$2:$A$4,0))-INDEX(Dim_Product!$L$2:$L$4,MATCH(F136,Dim_Product!$A$2:$A$4,0)),S136&lt;=INDEX(Dim_Product!$K$2:$K$4,MATCH(F136,Dim_Product!$A$2:$A$4,0))+INDEX(Dim_Product!$L$2:$L$4,MATCH(F136,Dim_Product!$A$2:$A$4,0))),G136-H136,G136-H136-1)</f>
        <v>46</v>
      </c>
      <c r="U136" s="4">
        <f t="shared" si="21"/>
        <v>2</v>
      </c>
      <c r="V136" s="4">
        <f t="shared" si="22"/>
        <v>4.1666666666666664E-2</v>
      </c>
      <c r="W136" s="19">
        <f t="shared" si="23"/>
        <v>0.95833333333333337</v>
      </c>
    </row>
    <row r="137" spans="1:23" x14ac:dyDescent="0.25">
      <c r="A137" s="18" t="s">
        <v>638</v>
      </c>
      <c r="B137" s="4">
        <f>Fact_Production_Hourly!B137</f>
        <v>20260701</v>
      </c>
      <c r="C137" s="4">
        <f>Fact_Production_Hourly!C137</f>
        <v>19</v>
      </c>
      <c r="D137" s="4" t="str">
        <f>Fact_Production_Hourly!D137</f>
        <v>M3</v>
      </c>
      <c r="E137" s="4" t="str">
        <f>Fact_Production_Hourly!E137</f>
        <v>B-PM</v>
      </c>
      <c r="F137" s="4" t="str">
        <f>Fact_Production_Hourly!F137</f>
        <v>A</v>
      </c>
      <c r="G137" s="4">
        <f>INDEX(Dim_Machine!$D$2:$D$8,MATCH(D137,Dim_Machine!$A$2:$A$8,0))*2</f>
        <v>24</v>
      </c>
      <c r="H137" s="4">
        <f>ROUND(G137*0.0341,0)</f>
        <v>1</v>
      </c>
      <c r="I137" s="4">
        <f t="shared" si="16"/>
        <v>0</v>
      </c>
      <c r="J137" s="4">
        <f t="shared" si="17"/>
        <v>0</v>
      </c>
      <c r="K137" s="4">
        <f t="shared" si="18"/>
        <v>1</v>
      </c>
      <c r="L137" s="4" t="s">
        <v>500</v>
      </c>
      <c r="M137" s="4">
        <f>INDEX(Dim_Product!$C$2:$C$4,MATCH(F137,Dim_Product!$A$2:$A$4,0))+0.08</f>
        <v>250.08</v>
      </c>
      <c r="N137" s="4">
        <f>IF(AND(M137&gt;=INDEX(Dim_Product!$C$2:$C$4,MATCH(F137,Dim_Product!$A$2:$A$4,0))-INDEX(Dim_Product!$D$2:$D$4,MATCH(F137,Dim_Product!$A$2:$A$4,0)),M137&lt;=INDEX(Dim_Product!$C$2:$C$4,MATCH(F137,Dim_Product!$A$2:$A$4,0))+INDEX(Dim_Product!$D$2:$D$4,MATCH(F137,Dim_Product!$A$2:$A$4,0))),G137-H137,G137-H137-1)</f>
        <v>23</v>
      </c>
      <c r="O137" s="4">
        <f t="shared" si="19"/>
        <v>1</v>
      </c>
      <c r="P137" s="4">
        <f>INDEX(Dim_Product!$G$2:$G$4,MATCH(F137,Dim_Product!$A$2:$A$4,0))+0.15</f>
        <v>70.150000000000006</v>
      </c>
      <c r="Q137" s="4">
        <f>IF(AND(P137&gt;=INDEX(Dim_Product!$G$2:$G$4,MATCH(F137,Dim_Product!$A$2:$A$4,0))-INDEX(Dim_Product!$H$2:$H$4,MATCH(F137,Dim_Product!$A$2:$A$4,0)),P137&lt;=INDEX(Dim_Product!$G$2:$G$4,MATCH(F137,Dim_Product!$A$2:$A$4,0))+INDEX(Dim_Product!$H$2:$H$4,MATCH(F137,Dim_Product!$A$2:$A$4,0))),G137-H137,G137-H137-1)</f>
        <v>23</v>
      </c>
      <c r="R137" s="4">
        <f t="shared" si="20"/>
        <v>1</v>
      </c>
      <c r="S137" s="4">
        <f>INDEX(Dim_Product!$K$2:$K$4,MATCH(F137,Dim_Product!$A$2:$A$4,0))+0.22</f>
        <v>120.22</v>
      </c>
      <c r="T137" s="4">
        <f>IF(AND(S137&gt;=INDEX(Dim_Product!$K$2:$K$4,MATCH(F137,Dim_Product!$A$2:$A$4,0))-INDEX(Dim_Product!$L$2:$L$4,MATCH(F137,Dim_Product!$A$2:$A$4,0)),S137&lt;=INDEX(Dim_Product!$K$2:$K$4,MATCH(F137,Dim_Product!$A$2:$A$4,0))+INDEX(Dim_Product!$L$2:$L$4,MATCH(F137,Dim_Product!$A$2:$A$4,0))),G137-H137,G137-H137-1)</f>
        <v>23</v>
      </c>
      <c r="U137" s="4">
        <f t="shared" si="21"/>
        <v>1</v>
      </c>
      <c r="V137" s="4">
        <f t="shared" si="22"/>
        <v>4.1666666666666664E-2</v>
      </c>
      <c r="W137" s="19">
        <f t="shared" si="23"/>
        <v>0.95833333333333337</v>
      </c>
    </row>
    <row r="138" spans="1:23" x14ac:dyDescent="0.25">
      <c r="A138" s="18" t="s">
        <v>639</v>
      </c>
      <c r="B138" s="4">
        <f>Fact_Production_Hourly!B138</f>
        <v>20260701</v>
      </c>
      <c r="C138" s="4">
        <f>Fact_Production_Hourly!C138</f>
        <v>19</v>
      </c>
      <c r="D138" s="4" t="str">
        <f>Fact_Production_Hourly!D138</f>
        <v>M4</v>
      </c>
      <c r="E138" s="4" t="str">
        <f>Fact_Production_Hourly!E138</f>
        <v>B-PM</v>
      </c>
      <c r="F138" s="4" t="str">
        <f>Fact_Production_Hourly!F138</f>
        <v>A</v>
      </c>
      <c r="G138" s="4">
        <f>INDEX(Dim_Machine!$D$2:$D$8,MATCH(D138,Dim_Machine!$A$2:$A$8,0))*2</f>
        <v>48</v>
      </c>
      <c r="H138" s="4">
        <f>ROUND(G138*0.0184,0)</f>
        <v>1</v>
      </c>
      <c r="I138" s="4">
        <f t="shared" si="16"/>
        <v>0</v>
      </c>
      <c r="J138" s="4">
        <f t="shared" si="17"/>
        <v>0</v>
      </c>
      <c r="K138" s="4">
        <f t="shared" si="18"/>
        <v>1</v>
      </c>
      <c r="L138" s="4" t="s">
        <v>517</v>
      </c>
      <c r="M138" s="4">
        <f>INDEX(Dim_Product!$C$2:$C$4,MATCH(F138,Dim_Product!$A$2:$A$4,0))+-0.53</f>
        <v>249.47</v>
      </c>
      <c r="N138" s="4">
        <f>IF(AND(M138&gt;=INDEX(Dim_Product!$C$2:$C$4,MATCH(F138,Dim_Product!$A$2:$A$4,0))-INDEX(Dim_Product!$D$2:$D$4,MATCH(F138,Dim_Product!$A$2:$A$4,0)),M138&lt;=INDEX(Dim_Product!$C$2:$C$4,MATCH(F138,Dim_Product!$A$2:$A$4,0))+INDEX(Dim_Product!$D$2:$D$4,MATCH(F138,Dim_Product!$A$2:$A$4,0))),G138-H138,G138-H138-1)</f>
        <v>47</v>
      </c>
      <c r="O138" s="4">
        <f t="shared" si="19"/>
        <v>1</v>
      </c>
      <c r="P138" s="4">
        <f>INDEX(Dim_Product!$G$2:$G$4,MATCH(F138,Dim_Product!$A$2:$A$4,0))+0.25</f>
        <v>70.25</v>
      </c>
      <c r="Q138" s="4">
        <f>IF(AND(P138&gt;=INDEX(Dim_Product!$G$2:$G$4,MATCH(F138,Dim_Product!$A$2:$A$4,0))-INDEX(Dim_Product!$H$2:$H$4,MATCH(F138,Dim_Product!$A$2:$A$4,0)),P138&lt;=INDEX(Dim_Product!$G$2:$G$4,MATCH(F138,Dim_Product!$A$2:$A$4,0))+INDEX(Dim_Product!$H$2:$H$4,MATCH(F138,Dim_Product!$A$2:$A$4,0))),G138-H138,G138-H138-1)</f>
        <v>47</v>
      </c>
      <c r="R138" s="4">
        <f t="shared" si="20"/>
        <v>1</v>
      </c>
      <c r="S138" s="4">
        <f>INDEX(Dim_Product!$K$2:$K$4,MATCH(F138,Dim_Product!$A$2:$A$4,0))+0.06</f>
        <v>120.06</v>
      </c>
      <c r="T138" s="4">
        <f>IF(AND(S138&gt;=INDEX(Dim_Product!$K$2:$K$4,MATCH(F138,Dim_Product!$A$2:$A$4,0))-INDEX(Dim_Product!$L$2:$L$4,MATCH(F138,Dim_Product!$A$2:$A$4,0)),S138&lt;=INDEX(Dim_Product!$K$2:$K$4,MATCH(F138,Dim_Product!$A$2:$A$4,0))+INDEX(Dim_Product!$L$2:$L$4,MATCH(F138,Dim_Product!$A$2:$A$4,0))),G138-H138,G138-H138-1)</f>
        <v>47</v>
      </c>
      <c r="U138" s="4">
        <f t="shared" si="21"/>
        <v>1</v>
      </c>
      <c r="V138" s="4">
        <f t="shared" si="22"/>
        <v>2.0833333333333332E-2</v>
      </c>
      <c r="W138" s="19">
        <f t="shared" si="23"/>
        <v>0.97916666666666663</v>
      </c>
    </row>
    <row r="139" spans="1:23" x14ac:dyDescent="0.25">
      <c r="A139" s="18" t="s">
        <v>640</v>
      </c>
      <c r="B139" s="4">
        <f>Fact_Production_Hourly!B139</f>
        <v>20260701</v>
      </c>
      <c r="C139" s="4">
        <f>Fact_Production_Hourly!C139</f>
        <v>19</v>
      </c>
      <c r="D139" s="4" t="str">
        <f>Fact_Production_Hourly!D139</f>
        <v>M5</v>
      </c>
      <c r="E139" s="4" t="str">
        <f>Fact_Production_Hourly!E139</f>
        <v>B-PM</v>
      </c>
      <c r="F139" s="4" t="str">
        <f>Fact_Production_Hourly!F139</f>
        <v>A</v>
      </c>
      <c r="G139" s="4">
        <f>INDEX(Dim_Machine!$D$2:$D$8,MATCH(D139,Dim_Machine!$A$2:$A$8,0))*2</f>
        <v>32</v>
      </c>
      <c r="H139" s="4">
        <f>ROUND(G139*0.0446,0)</f>
        <v>1</v>
      </c>
      <c r="I139" s="4">
        <f t="shared" si="16"/>
        <v>0</v>
      </c>
      <c r="J139" s="4">
        <f t="shared" si="17"/>
        <v>0</v>
      </c>
      <c r="K139" s="4">
        <f t="shared" si="18"/>
        <v>1</v>
      </c>
      <c r="L139" s="4" t="s">
        <v>520</v>
      </c>
      <c r="M139" s="4">
        <f>INDEX(Dim_Product!$C$2:$C$4,MATCH(F139,Dim_Product!$A$2:$A$4,0))+0.64</f>
        <v>250.64</v>
      </c>
      <c r="N139" s="4">
        <f>IF(AND(M139&gt;=INDEX(Dim_Product!$C$2:$C$4,MATCH(F139,Dim_Product!$A$2:$A$4,0))-INDEX(Dim_Product!$D$2:$D$4,MATCH(F139,Dim_Product!$A$2:$A$4,0)),M139&lt;=INDEX(Dim_Product!$C$2:$C$4,MATCH(F139,Dim_Product!$A$2:$A$4,0))+INDEX(Dim_Product!$D$2:$D$4,MATCH(F139,Dim_Product!$A$2:$A$4,0))),G139-H139,G139-H139-1)</f>
        <v>31</v>
      </c>
      <c r="O139" s="4">
        <f t="shared" si="19"/>
        <v>1</v>
      </c>
      <c r="P139" s="4">
        <f>INDEX(Dim_Product!$G$2:$G$4,MATCH(F139,Dim_Product!$A$2:$A$4,0))+-0.16</f>
        <v>69.84</v>
      </c>
      <c r="Q139" s="4">
        <f>IF(AND(P139&gt;=INDEX(Dim_Product!$G$2:$G$4,MATCH(F139,Dim_Product!$A$2:$A$4,0))-INDEX(Dim_Product!$H$2:$H$4,MATCH(F139,Dim_Product!$A$2:$A$4,0)),P139&lt;=INDEX(Dim_Product!$G$2:$G$4,MATCH(F139,Dim_Product!$A$2:$A$4,0))+INDEX(Dim_Product!$H$2:$H$4,MATCH(F139,Dim_Product!$A$2:$A$4,0))),G139-H139,G139-H139-1)</f>
        <v>31</v>
      </c>
      <c r="R139" s="4">
        <f t="shared" si="20"/>
        <v>1</v>
      </c>
      <c r="S139" s="4">
        <f>INDEX(Dim_Product!$K$2:$K$4,MATCH(F139,Dim_Product!$A$2:$A$4,0))+0.3</f>
        <v>120.3</v>
      </c>
      <c r="T139" s="4">
        <f>IF(AND(S139&gt;=INDEX(Dim_Product!$K$2:$K$4,MATCH(F139,Dim_Product!$A$2:$A$4,0))-INDEX(Dim_Product!$L$2:$L$4,MATCH(F139,Dim_Product!$A$2:$A$4,0)),S139&lt;=INDEX(Dim_Product!$K$2:$K$4,MATCH(F139,Dim_Product!$A$2:$A$4,0))+INDEX(Dim_Product!$L$2:$L$4,MATCH(F139,Dim_Product!$A$2:$A$4,0))),G139-H139,G139-H139-1)</f>
        <v>31</v>
      </c>
      <c r="U139" s="4">
        <f t="shared" si="21"/>
        <v>1</v>
      </c>
      <c r="V139" s="4">
        <f t="shared" si="22"/>
        <v>3.125E-2</v>
      </c>
      <c r="W139" s="19">
        <f t="shared" si="23"/>
        <v>0.96875</v>
      </c>
    </row>
    <row r="140" spans="1:23" x14ac:dyDescent="0.25">
      <c r="A140" s="18" t="s">
        <v>641</v>
      </c>
      <c r="B140" s="4">
        <f>Fact_Production_Hourly!B140</f>
        <v>20260701</v>
      </c>
      <c r="C140" s="4">
        <f>Fact_Production_Hourly!C140</f>
        <v>19</v>
      </c>
      <c r="D140" s="4" t="str">
        <f>Fact_Production_Hourly!D140</f>
        <v>M6</v>
      </c>
      <c r="E140" s="4" t="str">
        <f>Fact_Production_Hourly!E140</f>
        <v>B-PM</v>
      </c>
      <c r="F140" s="4" t="str">
        <f>Fact_Production_Hourly!F140</f>
        <v>C</v>
      </c>
      <c r="G140" s="4">
        <f>INDEX(Dim_Machine!$D$2:$D$8,MATCH(D140,Dim_Machine!$A$2:$A$8,0))*2</f>
        <v>24</v>
      </c>
      <c r="H140" s="4">
        <f>ROUND(G140*0.0691,0)</f>
        <v>2</v>
      </c>
      <c r="I140" s="4">
        <f t="shared" si="16"/>
        <v>0</v>
      </c>
      <c r="J140" s="4">
        <f t="shared" si="17"/>
        <v>1</v>
      </c>
      <c r="K140" s="4">
        <f t="shared" si="18"/>
        <v>1</v>
      </c>
      <c r="L140" s="4" t="s">
        <v>509</v>
      </c>
      <c r="M140" s="4">
        <f>INDEX(Dim_Product!$C$2:$C$4,MATCH(F140,Dim_Product!$A$2:$A$4,0))+-0.56</f>
        <v>199.44</v>
      </c>
      <c r="N140" s="4">
        <f>IF(AND(M140&gt;=INDEX(Dim_Product!$C$2:$C$4,MATCH(F140,Dim_Product!$A$2:$A$4,0))-INDEX(Dim_Product!$D$2:$D$4,MATCH(F140,Dim_Product!$A$2:$A$4,0)),M140&lt;=INDEX(Dim_Product!$C$2:$C$4,MATCH(F140,Dim_Product!$A$2:$A$4,0))+INDEX(Dim_Product!$D$2:$D$4,MATCH(F140,Dim_Product!$A$2:$A$4,0))),G140-H140,G140-H140-1)</f>
        <v>22</v>
      </c>
      <c r="O140" s="4">
        <f t="shared" si="19"/>
        <v>2</v>
      </c>
      <c r="P140" s="4">
        <f>INDEX(Dim_Product!$G$2:$G$4,MATCH(F140,Dim_Product!$A$2:$A$4,0))+-0.12</f>
        <v>64.88</v>
      </c>
      <c r="Q140" s="4">
        <f>IF(AND(P140&gt;=INDEX(Dim_Product!$G$2:$G$4,MATCH(F140,Dim_Product!$A$2:$A$4,0))-INDEX(Dim_Product!$H$2:$H$4,MATCH(F140,Dim_Product!$A$2:$A$4,0)),P140&lt;=INDEX(Dim_Product!$G$2:$G$4,MATCH(F140,Dim_Product!$A$2:$A$4,0))+INDEX(Dim_Product!$H$2:$H$4,MATCH(F140,Dim_Product!$A$2:$A$4,0))),G140-H140,G140-H140-1)</f>
        <v>22</v>
      </c>
      <c r="R140" s="4">
        <f t="shared" si="20"/>
        <v>2</v>
      </c>
      <c r="S140" s="4">
        <f>INDEX(Dim_Product!$K$2:$K$4,MATCH(F140,Dim_Product!$A$2:$A$4,0))+-0.35</f>
        <v>109.65</v>
      </c>
      <c r="T140" s="4">
        <f>IF(AND(S140&gt;=INDEX(Dim_Product!$K$2:$K$4,MATCH(F140,Dim_Product!$A$2:$A$4,0))-INDEX(Dim_Product!$L$2:$L$4,MATCH(F140,Dim_Product!$A$2:$A$4,0)),S140&lt;=INDEX(Dim_Product!$K$2:$K$4,MATCH(F140,Dim_Product!$A$2:$A$4,0))+INDEX(Dim_Product!$L$2:$L$4,MATCH(F140,Dim_Product!$A$2:$A$4,0))),G140-H140,G140-H140-1)</f>
        <v>22</v>
      </c>
      <c r="U140" s="4">
        <f t="shared" si="21"/>
        <v>2</v>
      </c>
      <c r="V140" s="4">
        <f t="shared" si="22"/>
        <v>8.3333333333333329E-2</v>
      </c>
      <c r="W140" s="19">
        <f t="shared" si="23"/>
        <v>0.91666666666666663</v>
      </c>
    </row>
    <row r="141" spans="1:23" x14ac:dyDescent="0.25">
      <c r="A141" s="18" t="s">
        <v>642</v>
      </c>
      <c r="B141" s="4">
        <f>Fact_Production_Hourly!B141</f>
        <v>20260701</v>
      </c>
      <c r="C141" s="4">
        <f>Fact_Production_Hourly!C141</f>
        <v>19</v>
      </c>
      <c r="D141" s="4" t="str">
        <f>Fact_Production_Hourly!D141</f>
        <v>M7</v>
      </c>
      <c r="E141" s="4" t="str">
        <f>Fact_Production_Hourly!E141</f>
        <v>B-PM</v>
      </c>
      <c r="F141" s="4" t="str">
        <f>Fact_Production_Hourly!F141</f>
        <v>A</v>
      </c>
      <c r="G141" s="4">
        <f>INDEX(Dim_Machine!$D$2:$D$8,MATCH(D141,Dim_Machine!$A$2:$A$8,0))*2</f>
        <v>48</v>
      </c>
      <c r="H141" s="4">
        <f>ROUND(G141*0.0669,0)</f>
        <v>3</v>
      </c>
      <c r="I141" s="4">
        <f t="shared" si="16"/>
        <v>0</v>
      </c>
      <c r="J141" s="4">
        <f t="shared" si="17"/>
        <v>1</v>
      </c>
      <c r="K141" s="4">
        <f t="shared" si="18"/>
        <v>2</v>
      </c>
      <c r="L141" s="4" t="s">
        <v>520</v>
      </c>
      <c r="M141" s="4">
        <f>INDEX(Dim_Product!$C$2:$C$4,MATCH(F141,Dim_Product!$A$2:$A$4,0))+0.82</f>
        <v>250.82</v>
      </c>
      <c r="N141" s="4">
        <f>IF(AND(M141&gt;=INDEX(Dim_Product!$C$2:$C$4,MATCH(F141,Dim_Product!$A$2:$A$4,0))-INDEX(Dim_Product!$D$2:$D$4,MATCH(F141,Dim_Product!$A$2:$A$4,0)),M141&lt;=INDEX(Dim_Product!$C$2:$C$4,MATCH(F141,Dim_Product!$A$2:$A$4,0))+INDEX(Dim_Product!$D$2:$D$4,MATCH(F141,Dim_Product!$A$2:$A$4,0))),G141-H141,G141-H141-1)</f>
        <v>45</v>
      </c>
      <c r="O141" s="4">
        <f t="shared" si="19"/>
        <v>3</v>
      </c>
      <c r="P141" s="4">
        <f>INDEX(Dim_Product!$G$2:$G$4,MATCH(F141,Dim_Product!$A$2:$A$4,0))+0.08</f>
        <v>70.08</v>
      </c>
      <c r="Q141" s="4">
        <f>IF(AND(P141&gt;=INDEX(Dim_Product!$G$2:$G$4,MATCH(F141,Dim_Product!$A$2:$A$4,0))-INDEX(Dim_Product!$H$2:$H$4,MATCH(F141,Dim_Product!$A$2:$A$4,0)),P141&lt;=INDEX(Dim_Product!$G$2:$G$4,MATCH(F141,Dim_Product!$A$2:$A$4,0))+INDEX(Dim_Product!$H$2:$H$4,MATCH(F141,Dim_Product!$A$2:$A$4,0))),G141-H141,G141-H141-1)</f>
        <v>45</v>
      </c>
      <c r="R141" s="4">
        <f t="shared" si="20"/>
        <v>3</v>
      </c>
      <c r="S141" s="4">
        <f>INDEX(Dim_Product!$K$2:$K$4,MATCH(F141,Dim_Product!$A$2:$A$4,0))+-0.06</f>
        <v>119.94</v>
      </c>
      <c r="T141" s="4">
        <f>IF(AND(S141&gt;=INDEX(Dim_Product!$K$2:$K$4,MATCH(F141,Dim_Product!$A$2:$A$4,0))-INDEX(Dim_Product!$L$2:$L$4,MATCH(F141,Dim_Product!$A$2:$A$4,0)),S141&lt;=INDEX(Dim_Product!$K$2:$K$4,MATCH(F141,Dim_Product!$A$2:$A$4,0))+INDEX(Dim_Product!$L$2:$L$4,MATCH(F141,Dim_Product!$A$2:$A$4,0))),G141-H141,G141-H141-1)</f>
        <v>45</v>
      </c>
      <c r="U141" s="4">
        <f t="shared" si="21"/>
        <v>3</v>
      </c>
      <c r="V141" s="4">
        <f t="shared" si="22"/>
        <v>6.25E-2</v>
      </c>
      <c r="W141" s="19">
        <f t="shared" si="23"/>
        <v>0.9375</v>
      </c>
    </row>
    <row r="142" spans="1:23" x14ac:dyDescent="0.25">
      <c r="A142" s="18" t="s">
        <v>643</v>
      </c>
      <c r="B142" s="4">
        <f>Fact_Production_Hourly!B142</f>
        <v>20260701</v>
      </c>
      <c r="C142" s="4">
        <f>Fact_Production_Hourly!C142</f>
        <v>20</v>
      </c>
      <c r="D142" s="4" t="str">
        <f>Fact_Production_Hourly!D142</f>
        <v>M1</v>
      </c>
      <c r="E142" s="4" t="str">
        <f>Fact_Production_Hourly!E142</f>
        <v>B-PM</v>
      </c>
      <c r="F142" s="4" t="str">
        <f>Fact_Production_Hourly!F142</f>
        <v>A</v>
      </c>
      <c r="G142" s="4">
        <f>INDEX(Dim_Machine!$D$2:$D$8,MATCH(D142,Dim_Machine!$A$2:$A$8,0))*2</f>
        <v>32</v>
      </c>
      <c r="H142" s="4">
        <f>ROUND(G142*0.0397,0)</f>
        <v>1</v>
      </c>
      <c r="I142" s="4">
        <f t="shared" si="16"/>
        <v>0</v>
      </c>
      <c r="J142" s="4">
        <f t="shared" si="17"/>
        <v>0</v>
      </c>
      <c r="K142" s="4">
        <f t="shared" si="18"/>
        <v>1</v>
      </c>
      <c r="L142" s="4" t="s">
        <v>517</v>
      </c>
      <c r="M142" s="4">
        <f>INDEX(Dim_Product!$C$2:$C$4,MATCH(F142,Dim_Product!$A$2:$A$4,0))+0.88</f>
        <v>250.88</v>
      </c>
      <c r="N142" s="4">
        <f>IF(AND(M142&gt;=INDEX(Dim_Product!$C$2:$C$4,MATCH(F142,Dim_Product!$A$2:$A$4,0))-INDEX(Dim_Product!$D$2:$D$4,MATCH(F142,Dim_Product!$A$2:$A$4,0)),M142&lt;=INDEX(Dim_Product!$C$2:$C$4,MATCH(F142,Dim_Product!$A$2:$A$4,0))+INDEX(Dim_Product!$D$2:$D$4,MATCH(F142,Dim_Product!$A$2:$A$4,0))),G142-H142,G142-H142-1)</f>
        <v>31</v>
      </c>
      <c r="O142" s="4">
        <f t="shared" si="19"/>
        <v>1</v>
      </c>
      <c r="P142" s="4">
        <f>INDEX(Dim_Product!$G$2:$G$4,MATCH(F142,Dim_Product!$A$2:$A$4,0))+0.1</f>
        <v>70.099999999999994</v>
      </c>
      <c r="Q142" s="4">
        <f>IF(AND(P142&gt;=INDEX(Dim_Product!$G$2:$G$4,MATCH(F142,Dim_Product!$A$2:$A$4,0))-INDEX(Dim_Product!$H$2:$H$4,MATCH(F142,Dim_Product!$A$2:$A$4,0)),P142&lt;=INDEX(Dim_Product!$G$2:$G$4,MATCH(F142,Dim_Product!$A$2:$A$4,0))+INDEX(Dim_Product!$H$2:$H$4,MATCH(F142,Dim_Product!$A$2:$A$4,0))),G142-H142,G142-H142-1)</f>
        <v>31</v>
      </c>
      <c r="R142" s="4">
        <f t="shared" si="20"/>
        <v>1</v>
      </c>
      <c r="S142" s="4">
        <f>INDEX(Dim_Product!$K$2:$K$4,MATCH(F142,Dim_Product!$A$2:$A$4,0))+0.23</f>
        <v>120.23</v>
      </c>
      <c r="T142" s="4">
        <f>IF(AND(S142&gt;=INDEX(Dim_Product!$K$2:$K$4,MATCH(F142,Dim_Product!$A$2:$A$4,0))-INDEX(Dim_Product!$L$2:$L$4,MATCH(F142,Dim_Product!$A$2:$A$4,0)),S142&lt;=INDEX(Dim_Product!$K$2:$K$4,MATCH(F142,Dim_Product!$A$2:$A$4,0))+INDEX(Dim_Product!$L$2:$L$4,MATCH(F142,Dim_Product!$A$2:$A$4,0))),G142-H142,G142-H142-1)</f>
        <v>31</v>
      </c>
      <c r="U142" s="4">
        <f t="shared" si="21"/>
        <v>1</v>
      </c>
      <c r="V142" s="4">
        <f t="shared" si="22"/>
        <v>3.125E-2</v>
      </c>
      <c r="W142" s="19">
        <f t="shared" si="23"/>
        <v>0.96875</v>
      </c>
    </row>
    <row r="143" spans="1:23" x14ac:dyDescent="0.25">
      <c r="A143" s="18" t="s">
        <v>644</v>
      </c>
      <c r="B143" s="4">
        <f>Fact_Production_Hourly!B143</f>
        <v>20260701</v>
      </c>
      <c r="C143" s="4">
        <f>Fact_Production_Hourly!C143</f>
        <v>20</v>
      </c>
      <c r="D143" s="4" t="str">
        <f>Fact_Production_Hourly!D143</f>
        <v>M2</v>
      </c>
      <c r="E143" s="4" t="str">
        <f>Fact_Production_Hourly!E143</f>
        <v>B-PM</v>
      </c>
      <c r="F143" s="4" t="str">
        <f>Fact_Production_Hourly!F143</f>
        <v>C</v>
      </c>
      <c r="G143" s="4">
        <f>INDEX(Dim_Machine!$D$2:$D$8,MATCH(D143,Dim_Machine!$A$2:$A$8,0))*2</f>
        <v>48</v>
      </c>
      <c r="H143" s="4">
        <f>ROUND(G143*0.0291,0)</f>
        <v>1</v>
      </c>
      <c r="I143" s="4">
        <f t="shared" si="16"/>
        <v>0</v>
      </c>
      <c r="J143" s="4">
        <f t="shared" si="17"/>
        <v>0</v>
      </c>
      <c r="K143" s="4">
        <f t="shared" si="18"/>
        <v>1</v>
      </c>
      <c r="L143" s="4" t="s">
        <v>503</v>
      </c>
      <c r="M143" s="4">
        <f>INDEX(Dim_Product!$C$2:$C$4,MATCH(F143,Dim_Product!$A$2:$A$4,0))+-0.18</f>
        <v>199.82</v>
      </c>
      <c r="N143" s="4">
        <f>IF(AND(M143&gt;=INDEX(Dim_Product!$C$2:$C$4,MATCH(F143,Dim_Product!$A$2:$A$4,0))-INDEX(Dim_Product!$D$2:$D$4,MATCH(F143,Dim_Product!$A$2:$A$4,0)),M143&lt;=INDEX(Dim_Product!$C$2:$C$4,MATCH(F143,Dim_Product!$A$2:$A$4,0))+INDEX(Dim_Product!$D$2:$D$4,MATCH(F143,Dim_Product!$A$2:$A$4,0))),G143-H143,G143-H143-1)</f>
        <v>47</v>
      </c>
      <c r="O143" s="4">
        <f t="shared" si="19"/>
        <v>1</v>
      </c>
      <c r="P143" s="4">
        <f>INDEX(Dim_Product!$G$2:$G$4,MATCH(F143,Dim_Product!$A$2:$A$4,0))+-0.12</f>
        <v>64.88</v>
      </c>
      <c r="Q143" s="4">
        <f>IF(AND(P143&gt;=INDEX(Dim_Product!$G$2:$G$4,MATCH(F143,Dim_Product!$A$2:$A$4,0))-INDEX(Dim_Product!$H$2:$H$4,MATCH(F143,Dim_Product!$A$2:$A$4,0)),P143&lt;=INDEX(Dim_Product!$G$2:$G$4,MATCH(F143,Dim_Product!$A$2:$A$4,0))+INDEX(Dim_Product!$H$2:$H$4,MATCH(F143,Dim_Product!$A$2:$A$4,0))),G143-H143,G143-H143-1)</f>
        <v>47</v>
      </c>
      <c r="R143" s="4">
        <f t="shared" si="20"/>
        <v>1</v>
      </c>
      <c r="S143" s="4">
        <f>INDEX(Dim_Product!$K$2:$K$4,MATCH(F143,Dim_Product!$A$2:$A$4,0))+-0.25</f>
        <v>109.75</v>
      </c>
      <c r="T143" s="4">
        <f>IF(AND(S143&gt;=INDEX(Dim_Product!$K$2:$K$4,MATCH(F143,Dim_Product!$A$2:$A$4,0))-INDEX(Dim_Product!$L$2:$L$4,MATCH(F143,Dim_Product!$A$2:$A$4,0)),S143&lt;=INDEX(Dim_Product!$K$2:$K$4,MATCH(F143,Dim_Product!$A$2:$A$4,0))+INDEX(Dim_Product!$L$2:$L$4,MATCH(F143,Dim_Product!$A$2:$A$4,0))),G143-H143,G143-H143-1)</f>
        <v>47</v>
      </c>
      <c r="U143" s="4">
        <f t="shared" si="21"/>
        <v>1</v>
      </c>
      <c r="V143" s="4">
        <f t="shared" si="22"/>
        <v>2.0833333333333332E-2</v>
      </c>
      <c r="W143" s="19">
        <f t="shared" si="23"/>
        <v>0.97916666666666663</v>
      </c>
    </row>
    <row r="144" spans="1:23" x14ac:dyDescent="0.25">
      <c r="A144" s="18" t="s">
        <v>645</v>
      </c>
      <c r="B144" s="4">
        <f>Fact_Production_Hourly!B144</f>
        <v>20260701</v>
      </c>
      <c r="C144" s="4">
        <f>Fact_Production_Hourly!C144</f>
        <v>20</v>
      </c>
      <c r="D144" s="4" t="str">
        <f>Fact_Production_Hourly!D144</f>
        <v>M3</v>
      </c>
      <c r="E144" s="4" t="str">
        <f>Fact_Production_Hourly!E144</f>
        <v>B-PM</v>
      </c>
      <c r="F144" s="4" t="str">
        <f>Fact_Production_Hourly!F144</f>
        <v>A</v>
      </c>
      <c r="G144" s="4">
        <f>INDEX(Dim_Machine!$D$2:$D$8,MATCH(D144,Dim_Machine!$A$2:$A$8,0))*2</f>
        <v>24</v>
      </c>
      <c r="H144" s="4">
        <f>ROUND(G144*0.0423,0)</f>
        <v>1</v>
      </c>
      <c r="I144" s="4">
        <f t="shared" si="16"/>
        <v>0</v>
      </c>
      <c r="J144" s="4">
        <f t="shared" si="17"/>
        <v>0</v>
      </c>
      <c r="K144" s="4">
        <f t="shared" si="18"/>
        <v>1</v>
      </c>
      <c r="L144" s="4" t="s">
        <v>500</v>
      </c>
      <c r="M144" s="4">
        <f>INDEX(Dim_Product!$C$2:$C$4,MATCH(F144,Dim_Product!$A$2:$A$4,0))+0.7</f>
        <v>250.7</v>
      </c>
      <c r="N144" s="4">
        <f>IF(AND(M144&gt;=INDEX(Dim_Product!$C$2:$C$4,MATCH(F144,Dim_Product!$A$2:$A$4,0))-INDEX(Dim_Product!$D$2:$D$4,MATCH(F144,Dim_Product!$A$2:$A$4,0)),M144&lt;=INDEX(Dim_Product!$C$2:$C$4,MATCH(F144,Dim_Product!$A$2:$A$4,0))+INDEX(Dim_Product!$D$2:$D$4,MATCH(F144,Dim_Product!$A$2:$A$4,0))),G144-H144,G144-H144-1)</f>
        <v>23</v>
      </c>
      <c r="O144" s="4">
        <f t="shared" si="19"/>
        <v>1</v>
      </c>
      <c r="P144" s="4">
        <f>INDEX(Dim_Product!$G$2:$G$4,MATCH(F144,Dim_Product!$A$2:$A$4,0))+-0.12</f>
        <v>69.88</v>
      </c>
      <c r="Q144" s="4">
        <f>IF(AND(P144&gt;=INDEX(Dim_Product!$G$2:$G$4,MATCH(F144,Dim_Product!$A$2:$A$4,0))-INDEX(Dim_Product!$H$2:$H$4,MATCH(F144,Dim_Product!$A$2:$A$4,0)),P144&lt;=INDEX(Dim_Product!$G$2:$G$4,MATCH(F144,Dim_Product!$A$2:$A$4,0))+INDEX(Dim_Product!$H$2:$H$4,MATCH(F144,Dim_Product!$A$2:$A$4,0))),G144-H144,G144-H144-1)</f>
        <v>23</v>
      </c>
      <c r="R144" s="4">
        <f t="shared" si="20"/>
        <v>1</v>
      </c>
      <c r="S144" s="4">
        <f>INDEX(Dim_Product!$K$2:$K$4,MATCH(F144,Dim_Product!$A$2:$A$4,0))+0.17</f>
        <v>120.17</v>
      </c>
      <c r="T144" s="4">
        <f>IF(AND(S144&gt;=INDEX(Dim_Product!$K$2:$K$4,MATCH(F144,Dim_Product!$A$2:$A$4,0))-INDEX(Dim_Product!$L$2:$L$4,MATCH(F144,Dim_Product!$A$2:$A$4,0)),S144&lt;=INDEX(Dim_Product!$K$2:$K$4,MATCH(F144,Dim_Product!$A$2:$A$4,0))+INDEX(Dim_Product!$L$2:$L$4,MATCH(F144,Dim_Product!$A$2:$A$4,0))),G144-H144,G144-H144-1)</f>
        <v>23</v>
      </c>
      <c r="U144" s="4">
        <f t="shared" si="21"/>
        <v>1</v>
      </c>
      <c r="V144" s="4">
        <f t="shared" si="22"/>
        <v>4.1666666666666664E-2</v>
      </c>
      <c r="W144" s="19">
        <f t="shared" si="23"/>
        <v>0.95833333333333337</v>
      </c>
    </row>
    <row r="145" spans="1:23" x14ac:dyDescent="0.25">
      <c r="A145" s="18" t="s">
        <v>646</v>
      </c>
      <c r="B145" s="4">
        <f>Fact_Production_Hourly!B145</f>
        <v>20260701</v>
      </c>
      <c r="C145" s="4">
        <f>Fact_Production_Hourly!C145</f>
        <v>20</v>
      </c>
      <c r="D145" s="4" t="str">
        <f>Fact_Production_Hourly!D145</f>
        <v>M4</v>
      </c>
      <c r="E145" s="4" t="str">
        <f>Fact_Production_Hourly!E145</f>
        <v>B-PM</v>
      </c>
      <c r="F145" s="4" t="str">
        <f>Fact_Production_Hourly!F145</f>
        <v>A</v>
      </c>
      <c r="G145" s="4">
        <f>INDEX(Dim_Machine!$D$2:$D$8,MATCH(D145,Dim_Machine!$A$2:$A$8,0))*2</f>
        <v>48</v>
      </c>
      <c r="H145" s="4">
        <f>ROUND(G145*0.0583,0)</f>
        <v>3</v>
      </c>
      <c r="I145" s="4">
        <f t="shared" si="16"/>
        <v>0</v>
      </c>
      <c r="J145" s="4">
        <f t="shared" si="17"/>
        <v>1</v>
      </c>
      <c r="K145" s="4">
        <f t="shared" si="18"/>
        <v>2</v>
      </c>
      <c r="L145" s="4" t="s">
        <v>498</v>
      </c>
      <c r="M145" s="4">
        <f>INDEX(Dim_Product!$C$2:$C$4,MATCH(F145,Dim_Product!$A$2:$A$4,0))+0.12</f>
        <v>250.12</v>
      </c>
      <c r="N145" s="4">
        <f>IF(AND(M145&gt;=INDEX(Dim_Product!$C$2:$C$4,MATCH(F145,Dim_Product!$A$2:$A$4,0))-INDEX(Dim_Product!$D$2:$D$4,MATCH(F145,Dim_Product!$A$2:$A$4,0)),M145&lt;=INDEX(Dim_Product!$C$2:$C$4,MATCH(F145,Dim_Product!$A$2:$A$4,0))+INDEX(Dim_Product!$D$2:$D$4,MATCH(F145,Dim_Product!$A$2:$A$4,0))),G145-H145,G145-H145-1)</f>
        <v>45</v>
      </c>
      <c r="O145" s="4">
        <f t="shared" si="19"/>
        <v>3</v>
      </c>
      <c r="P145" s="4">
        <f>INDEX(Dim_Product!$G$2:$G$4,MATCH(F145,Dim_Product!$A$2:$A$4,0))+0.28</f>
        <v>70.28</v>
      </c>
      <c r="Q145" s="4">
        <f>IF(AND(P145&gt;=INDEX(Dim_Product!$G$2:$G$4,MATCH(F145,Dim_Product!$A$2:$A$4,0))-INDEX(Dim_Product!$H$2:$H$4,MATCH(F145,Dim_Product!$A$2:$A$4,0)),P145&lt;=INDEX(Dim_Product!$G$2:$G$4,MATCH(F145,Dim_Product!$A$2:$A$4,0))+INDEX(Dim_Product!$H$2:$H$4,MATCH(F145,Dim_Product!$A$2:$A$4,0))),G145-H145,G145-H145-1)</f>
        <v>45</v>
      </c>
      <c r="R145" s="4">
        <f t="shared" si="20"/>
        <v>3</v>
      </c>
      <c r="S145" s="4">
        <f>INDEX(Dim_Product!$K$2:$K$4,MATCH(F145,Dim_Product!$A$2:$A$4,0))+0.05</f>
        <v>120.05</v>
      </c>
      <c r="T145" s="4">
        <f>IF(AND(S145&gt;=INDEX(Dim_Product!$K$2:$K$4,MATCH(F145,Dim_Product!$A$2:$A$4,0))-INDEX(Dim_Product!$L$2:$L$4,MATCH(F145,Dim_Product!$A$2:$A$4,0)),S145&lt;=INDEX(Dim_Product!$K$2:$K$4,MATCH(F145,Dim_Product!$A$2:$A$4,0))+INDEX(Dim_Product!$L$2:$L$4,MATCH(F145,Dim_Product!$A$2:$A$4,0))),G145-H145,G145-H145-1)</f>
        <v>45</v>
      </c>
      <c r="U145" s="4">
        <f t="shared" si="21"/>
        <v>3</v>
      </c>
      <c r="V145" s="4">
        <f t="shared" si="22"/>
        <v>6.25E-2</v>
      </c>
      <c r="W145" s="19">
        <f t="shared" si="23"/>
        <v>0.9375</v>
      </c>
    </row>
    <row r="146" spans="1:23" x14ac:dyDescent="0.25">
      <c r="A146" s="18" t="s">
        <v>647</v>
      </c>
      <c r="B146" s="4">
        <f>Fact_Production_Hourly!B146</f>
        <v>20260701</v>
      </c>
      <c r="C146" s="4">
        <f>Fact_Production_Hourly!C146</f>
        <v>20</v>
      </c>
      <c r="D146" s="4" t="str">
        <f>Fact_Production_Hourly!D146</f>
        <v>M5</v>
      </c>
      <c r="E146" s="4" t="str">
        <f>Fact_Production_Hourly!E146</f>
        <v>B-PM</v>
      </c>
      <c r="F146" s="4" t="str">
        <f>Fact_Production_Hourly!F146</f>
        <v>A</v>
      </c>
      <c r="G146" s="4">
        <f>INDEX(Dim_Machine!$D$2:$D$8,MATCH(D146,Dim_Machine!$A$2:$A$8,0))*2</f>
        <v>32</v>
      </c>
      <c r="H146" s="4">
        <f>ROUND(G146*0.018,0)</f>
        <v>1</v>
      </c>
      <c r="I146" s="4">
        <f t="shared" si="16"/>
        <v>0</v>
      </c>
      <c r="J146" s="4">
        <f t="shared" si="17"/>
        <v>0</v>
      </c>
      <c r="K146" s="4">
        <f t="shared" si="18"/>
        <v>1</v>
      </c>
      <c r="L146" s="4" t="s">
        <v>500</v>
      </c>
      <c r="M146" s="4">
        <f>INDEX(Dim_Product!$C$2:$C$4,MATCH(F146,Dim_Product!$A$2:$A$4,0))+-0.49</f>
        <v>249.51</v>
      </c>
      <c r="N146" s="4">
        <f>IF(AND(M146&gt;=INDEX(Dim_Product!$C$2:$C$4,MATCH(F146,Dim_Product!$A$2:$A$4,0))-INDEX(Dim_Product!$D$2:$D$4,MATCH(F146,Dim_Product!$A$2:$A$4,0)),M146&lt;=INDEX(Dim_Product!$C$2:$C$4,MATCH(F146,Dim_Product!$A$2:$A$4,0))+INDEX(Dim_Product!$D$2:$D$4,MATCH(F146,Dim_Product!$A$2:$A$4,0))),G146-H146,G146-H146-1)</f>
        <v>31</v>
      </c>
      <c r="O146" s="4">
        <f t="shared" si="19"/>
        <v>1</v>
      </c>
      <c r="P146" s="4">
        <f>INDEX(Dim_Product!$G$2:$G$4,MATCH(F146,Dim_Product!$A$2:$A$4,0))+-0.1</f>
        <v>69.900000000000006</v>
      </c>
      <c r="Q146" s="4">
        <f>IF(AND(P146&gt;=INDEX(Dim_Product!$G$2:$G$4,MATCH(F146,Dim_Product!$A$2:$A$4,0))-INDEX(Dim_Product!$H$2:$H$4,MATCH(F146,Dim_Product!$A$2:$A$4,0)),P146&lt;=INDEX(Dim_Product!$G$2:$G$4,MATCH(F146,Dim_Product!$A$2:$A$4,0))+INDEX(Dim_Product!$H$2:$H$4,MATCH(F146,Dim_Product!$A$2:$A$4,0))),G146-H146,G146-H146-1)</f>
        <v>31</v>
      </c>
      <c r="R146" s="4">
        <f t="shared" si="20"/>
        <v>1</v>
      </c>
      <c r="S146" s="4">
        <f>INDEX(Dim_Product!$K$2:$K$4,MATCH(F146,Dim_Product!$A$2:$A$4,0))+-0.34</f>
        <v>119.66</v>
      </c>
      <c r="T146" s="4">
        <f>IF(AND(S146&gt;=INDEX(Dim_Product!$K$2:$K$4,MATCH(F146,Dim_Product!$A$2:$A$4,0))-INDEX(Dim_Product!$L$2:$L$4,MATCH(F146,Dim_Product!$A$2:$A$4,0)),S146&lt;=INDEX(Dim_Product!$K$2:$K$4,MATCH(F146,Dim_Product!$A$2:$A$4,0))+INDEX(Dim_Product!$L$2:$L$4,MATCH(F146,Dim_Product!$A$2:$A$4,0))),G146-H146,G146-H146-1)</f>
        <v>31</v>
      </c>
      <c r="U146" s="4">
        <f t="shared" si="21"/>
        <v>1</v>
      </c>
      <c r="V146" s="4">
        <f t="shared" si="22"/>
        <v>3.125E-2</v>
      </c>
      <c r="W146" s="19">
        <f t="shared" si="23"/>
        <v>0.96875</v>
      </c>
    </row>
    <row r="147" spans="1:23" x14ac:dyDescent="0.25">
      <c r="A147" s="18" t="s">
        <v>648</v>
      </c>
      <c r="B147" s="4">
        <f>Fact_Production_Hourly!B147</f>
        <v>20260701</v>
      </c>
      <c r="C147" s="4">
        <f>Fact_Production_Hourly!C147</f>
        <v>20</v>
      </c>
      <c r="D147" s="4" t="str">
        <f>Fact_Production_Hourly!D147</f>
        <v>M6</v>
      </c>
      <c r="E147" s="4" t="str">
        <f>Fact_Production_Hourly!E147</f>
        <v>B-PM</v>
      </c>
      <c r="F147" s="4" t="str">
        <f>Fact_Production_Hourly!F147</f>
        <v>C</v>
      </c>
      <c r="G147" s="4">
        <f>INDEX(Dim_Machine!$D$2:$D$8,MATCH(D147,Dim_Machine!$A$2:$A$8,0))*2</f>
        <v>24</v>
      </c>
      <c r="H147" s="4">
        <f>ROUND(G147*0.037,0)</f>
        <v>1</v>
      </c>
      <c r="I147" s="4">
        <f t="shared" si="16"/>
        <v>0</v>
      </c>
      <c r="J147" s="4">
        <f t="shared" si="17"/>
        <v>0</v>
      </c>
      <c r="K147" s="4">
        <f t="shared" si="18"/>
        <v>1</v>
      </c>
      <c r="L147" s="4" t="s">
        <v>517</v>
      </c>
      <c r="M147" s="4">
        <f>INDEX(Dim_Product!$C$2:$C$4,MATCH(F147,Dim_Product!$A$2:$A$4,0))+-0.82</f>
        <v>199.18</v>
      </c>
      <c r="N147" s="4">
        <f>IF(AND(M147&gt;=INDEX(Dim_Product!$C$2:$C$4,MATCH(F147,Dim_Product!$A$2:$A$4,0))-INDEX(Dim_Product!$D$2:$D$4,MATCH(F147,Dim_Product!$A$2:$A$4,0)),M147&lt;=INDEX(Dim_Product!$C$2:$C$4,MATCH(F147,Dim_Product!$A$2:$A$4,0))+INDEX(Dim_Product!$D$2:$D$4,MATCH(F147,Dim_Product!$A$2:$A$4,0))),G147-H147,G147-H147-1)</f>
        <v>23</v>
      </c>
      <c r="O147" s="4">
        <f t="shared" si="19"/>
        <v>1</v>
      </c>
      <c r="P147" s="4">
        <f>INDEX(Dim_Product!$G$2:$G$4,MATCH(F147,Dim_Product!$A$2:$A$4,0))+0.13</f>
        <v>65.13</v>
      </c>
      <c r="Q147" s="4">
        <f>IF(AND(P147&gt;=INDEX(Dim_Product!$G$2:$G$4,MATCH(F147,Dim_Product!$A$2:$A$4,0))-INDEX(Dim_Product!$H$2:$H$4,MATCH(F147,Dim_Product!$A$2:$A$4,0)),P147&lt;=INDEX(Dim_Product!$G$2:$G$4,MATCH(F147,Dim_Product!$A$2:$A$4,0))+INDEX(Dim_Product!$H$2:$H$4,MATCH(F147,Dim_Product!$A$2:$A$4,0))),G147-H147,G147-H147-1)</f>
        <v>23</v>
      </c>
      <c r="R147" s="4">
        <f t="shared" si="20"/>
        <v>1</v>
      </c>
      <c r="S147" s="4">
        <f>INDEX(Dim_Product!$K$2:$K$4,MATCH(F147,Dim_Product!$A$2:$A$4,0))+-0.25</f>
        <v>109.75</v>
      </c>
      <c r="T147" s="4">
        <f>IF(AND(S147&gt;=INDEX(Dim_Product!$K$2:$K$4,MATCH(F147,Dim_Product!$A$2:$A$4,0))-INDEX(Dim_Product!$L$2:$L$4,MATCH(F147,Dim_Product!$A$2:$A$4,0)),S147&lt;=INDEX(Dim_Product!$K$2:$K$4,MATCH(F147,Dim_Product!$A$2:$A$4,0))+INDEX(Dim_Product!$L$2:$L$4,MATCH(F147,Dim_Product!$A$2:$A$4,0))),G147-H147,G147-H147-1)</f>
        <v>23</v>
      </c>
      <c r="U147" s="4">
        <f t="shared" si="21"/>
        <v>1</v>
      </c>
      <c r="V147" s="4">
        <f t="shared" si="22"/>
        <v>4.1666666666666664E-2</v>
      </c>
      <c r="W147" s="19">
        <f t="shared" si="23"/>
        <v>0.95833333333333337</v>
      </c>
    </row>
    <row r="148" spans="1:23" x14ac:dyDescent="0.25">
      <c r="A148" s="18" t="s">
        <v>649</v>
      </c>
      <c r="B148" s="4">
        <f>Fact_Production_Hourly!B148</f>
        <v>20260701</v>
      </c>
      <c r="C148" s="4">
        <f>Fact_Production_Hourly!C148</f>
        <v>20</v>
      </c>
      <c r="D148" s="4" t="str">
        <f>Fact_Production_Hourly!D148</f>
        <v>M7</v>
      </c>
      <c r="E148" s="4" t="str">
        <f>Fact_Production_Hourly!E148</f>
        <v>B-PM</v>
      </c>
      <c r="F148" s="4" t="str">
        <f>Fact_Production_Hourly!F148</f>
        <v>A</v>
      </c>
      <c r="G148" s="4">
        <f>INDEX(Dim_Machine!$D$2:$D$8,MATCH(D148,Dim_Machine!$A$2:$A$8,0))*2</f>
        <v>48</v>
      </c>
      <c r="H148" s="4">
        <f>ROUND(G148*0.0261,0)</f>
        <v>1</v>
      </c>
      <c r="I148" s="4">
        <f t="shared" si="16"/>
        <v>0</v>
      </c>
      <c r="J148" s="4">
        <f t="shared" si="17"/>
        <v>0</v>
      </c>
      <c r="K148" s="4">
        <f t="shared" si="18"/>
        <v>1</v>
      </c>
      <c r="L148" s="4" t="s">
        <v>520</v>
      </c>
      <c r="M148" s="4">
        <f>INDEX(Dim_Product!$C$2:$C$4,MATCH(F148,Dim_Product!$A$2:$A$4,0))+0.21</f>
        <v>250.21</v>
      </c>
      <c r="N148" s="4">
        <f>IF(AND(M148&gt;=INDEX(Dim_Product!$C$2:$C$4,MATCH(F148,Dim_Product!$A$2:$A$4,0))-INDEX(Dim_Product!$D$2:$D$4,MATCH(F148,Dim_Product!$A$2:$A$4,0)),M148&lt;=INDEX(Dim_Product!$C$2:$C$4,MATCH(F148,Dim_Product!$A$2:$A$4,0))+INDEX(Dim_Product!$D$2:$D$4,MATCH(F148,Dim_Product!$A$2:$A$4,0))),G148-H148,G148-H148-1)</f>
        <v>47</v>
      </c>
      <c r="O148" s="4">
        <f t="shared" si="19"/>
        <v>1</v>
      </c>
      <c r="P148" s="4">
        <f>INDEX(Dim_Product!$G$2:$G$4,MATCH(F148,Dim_Product!$A$2:$A$4,0))+-0.28</f>
        <v>69.72</v>
      </c>
      <c r="Q148" s="4">
        <f>IF(AND(P148&gt;=INDEX(Dim_Product!$G$2:$G$4,MATCH(F148,Dim_Product!$A$2:$A$4,0))-INDEX(Dim_Product!$H$2:$H$4,MATCH(F148,Dim_Product!$A$2:$A$4,0)),P148&lt;=INDEX(Dim_Product!$G$2:$G$4,MATCH(F148,Dim_Product!$A$2:$A$4,0))+INDEX(Dim_Product!$H$2:$H$4,MATCH(F148,Dim_Product!$A$2:$A$4,0))),G148-H148,G148-H148-1)</f>
        <v>47</v>
      </c>
      <c r="R148" s="4">
        <f t="shared" si="20"/>
        <v>1</v>
      </c>
      <c r="S148" s="4">
        <f>INDEX(Dim_Product!$K$2:$K$4,MATCH(F148,Dim_Product!$A$2:$A$4,0))+-0.34</f>
        <v>119.66</v>
      </c>
      <c r="T148" s="4">
        <f>IF(AND(S148&gt;=INDEX(Dim_Product!$K$2:$K$4,MATCH(F148,Dim_Product!$A$2:$A$4,0))-INDEX(Dim_Product!$L$2:$L$4,MATCH(F148,Dim_Product!$A$2:$A$4,0)),S148&lt;=INDEX(Dim_Product!$K$2:$K$4,MATCH(F148,Dim_Product!$A$2:$A$4,0))+INDEX(Dim_Product!$L$2:$L$4,MATCH(F148,Dim_Product!$A$2:$A$4,0))),G148-H148,G148-H148-1)</f>
        <v>47</v>
      </c>
      <c r="U148" s="4">
        <f t="shared" si="21"/>
        <v>1</v>
      </c>
      <c r="V148" s="4">
        <f t="shared" si="22"/>
        <v>2.0833333333333332E-2</v>
      </c>
      <c r="W148" s="19">
        <f t="shared" si="23"/>
        <v>0.97916666666666663</v>
      </c>
    </row>
    <row r="149" spans="1:23" x14ac:dyDescent="0.25">
      <c r="A149" s="18" t="s">
        <v>650</v>
      </c>
      <c r="B149" s="4">
        <f>Fact_Production_Hourly!B149</f>
        <v>20260701</v>
      </c>
      <c r="C149" s="4">
        <f>Fact_Production_Hourly!C149</f>
        <v>21</v>
      </c>
      <c r="D149" s="4" t="str">
        <f>Fact_Production_Hourly!D149</f>
        <v>M1</v>
      </c>
      <c r="E149" s="4" t="str">
        <f>Fact_Production_Hourly!E149</f>
        <v>B-PM</v>
      </c>
      <c r="F149" s="4" t="str">
        <f>Fact_Production_Hourly!F149</f>
        <v>A</v>
      </c>
      <c r="G149" s="4">
        <f>INDEX(Dim_Machine!$D$2:$D$8,MATCH(D149,Dim_Machine!$A$2:$A$8,0))*2</f>
        <v>32</v>
      </c>
      <c r="H149" s="4">
        <f>ROUND(G149*0.0583,0)</f>
        <v>2</v>
      </c>
      <c r="I149" s="4">
        <f t="shared" si="16"/>
        <v>0</v>
      </c>
      <c r="J149" s="4">
        <f t="shared" si="17"/>
        <v>1</v>
      </c>
      <c r="K149" s="4">
        <f t="shared" si="18"/>
        <v>1</v>
      </c>
      <c r="L149" s="4" t="s">
        <v>509</v>
      </c>
      <c r="M149" s="4">
        <f>INDEX(Dim_Product!$C$2:$C$4,MATCH(F149,Dim_Product!$A$2:$A$4,0))+0.45</f>
        <v>250.45</v>
      </c>
      <c r="N149" s="4">
        <f>IF(AND(M149&gt;=INDEX(Dim_Product!$C$2:$C$4,MATCH(F149,Dim_Product!$A$2:$A$4,0))-INDEX(Dim_Product!$D$2:$D$4,MATCH(F149,Dim_Product!$A$2:$A$4,0)),M149&lt;=INDEX(Dim_Product!$C$2:$C$4,MATCH(F149,Dim_Product!$A$2:$A$4,0))+INDEX(Dim_Product!$D$2:$D$4,MATCH(F149,Dim_Product!$A$2:$A$4,0))),G149-H149,G149-H149-1)</f>
        <v>30</v>
      </c>
      <c r="O149" s="4">
        <f t="shared" si="19"/>
        <v>2</v>
      </c>
      <c r="P149" s="4">
        <f>INDEX(Dim_Product!$G$2:$G$4,MATCH(F149,Dim_Product!$A$2:$A$4,0))+0.04</f>
        <v>70.040000000000006</v>
      </c>
      <c r="Q149" s="4">
        <f>IF(AND(P149&gt;=INDEX(Dim_Product!$G$2:$G$4,MATCH(F149,Dim_Product!$A$2:$A$4,0))-INDEX(Dim_Product!$H$2:$H$4,MATCH(F149,Dim_Product!$A$2:$A$4,0)),P149&lt;=INDEX(Dim_Product!$G$2:$G$4,MATCH(F149,Dim_Product!$A$2:$A$4,0))+INDEX(Dim_Product!$H$2:$H$4,MATCH(F149,Dim_Product!$A$2:$A$4,0))),G149-H149,G149-H149-1)</f>
        <v>30</v>
      </c>
      <c r="R149" s="4">
        <f t="shared" si="20"/>
        <v>2</v>
      </c>
      <c r="S149" s="4">
        <f>INDEX(Dim_Product!$K$2:$K$4,MATCH(F149,Dim_Product!$A$2:$A$4,0))+-0.02</f>
        <v>119.98</v>
      </c>
      <c r="T149" s="4">
        <f>IF(AND(S149&gt;=INDEX(Dim_Product!$K$2:$K$4,MATCH(F149,Dim_Product!$A$2:$A$4,0))-INDEX(Dim_Product!$L$2:$L$4,MATCH(F149,Dim_Product!$A$2:$A$4,0)),S149&lt;=INDEX(Dim_Product!$K$2:$K$4,MATCH(F149,Dim_Product!$A$2:$A$4,0))+INDEX(Dim_Product!$L$2:$L$4,MATCH(F149,Dim_Product!$A$2:$A$4,0))),G149-H149,G149-H149-1)</f>
        <v>30</v>
      </c>
      <c r="U149" s="4">
        <f t="shared" si="21"/>
        <v>2</v>
      </c>
      <c r="V149" s="4">
        <f t="shared" si="22"/>
        <v>6.25E-2</v>
      </c>
      <c r="W149" s="19">
        <f t="shared" si="23"/>
        <v>0.9375</v>
      </c>
    </row>
    <row r="150" spans="1:23" x14ac:dyDescent="0.25">
      <c r="A150" s="18" t="s">
        <v>651</v>
      </c>
      <c r="B150" s="4">
        <f>Fact_Production_Hourly!B150</f>
        <v>20260701</v>
      </c>
      <c r="C150" s="4">
        <f>Fact_Production_Hourly!C150</f>
        <v>21</v>
      </c>
      <c r="D150" s="4" t="str">
        <f>Fact_Production_Hourly!D150</f>
        <v>M2</v>
      </c>
      <c r="E150" s="4" t="str">
        <f>Fact_Production_Hourly!E150</f>
        <v>B-PM</v>
      </c>
      <c r="F150" s="4" t="str">
        <f>Fact_Production_Hourly!F150</f>
        <v>C</v>
      </c>
      <c r="G150" s="4">
        <f>INDEX(Dim_Machine!$D$2:$D$8,MATCH(D150,Dim_Machine!$A$2:$A$8,0))*2</f>
        <v>48</v>
      </c>
      <c r="H150" s="4">
        <f>ROUND(G150*0.0622,0)</f>
        <v>3</v>
      </c>
      <c r="I150" s="4">
        <f t="shared" si="16"/>
        <v>0</v>
      </c>
      <c r="J150" s="4">
        <f t="shared" si="17"/>
        <v>1</v>
      </c>
      <c r="K150" s="4">
        <f t="shared" si="18"/>
        <v>2</v>
      </c>
      <c r="L150" s="4" t="s">
        <v>517</v>
      </c>
      <c r="M150" s="4">
        <f>INDEX(Dim_Product!$C$2:$C$4,MATCH(F150,Dim_Product!$A$2:$A$4,0))+-0.39</f>
        <v>199.61</v>
      </c>
      <c r="N150" s="4">
        <f>IF(AND(M150&gt;=INDEX(Dim_Product!$C$2:$C$4,MATCH(F150,Dim_Product!$A$2:$A$4,0))-INDEX(Dim_Product!$D$2:$D$4,MATCH(F150,Dim_Product!$A$2:$A$4,0)),M150&lt;=INDEX(Dim_Product!$C$2:$C$4,MATCH(F150,Dim_Product!$A$2:$A$4,0))+INDEX(Dim_Product!$D$2:$D$4,MATCH(F150,Dim_Product!$A$2:$A$4,0))),G150-H150,G150-H150-1)</f>
        <v>45</v>
      </c>
      <c r="O150" s="4">
        <f t="shared" si="19"/>
        <v>3</v>
      </c>
      <c r="P150" s="4">
        <f>INDEX(Dim_Product!$G$2:$G$4,MATCH(F150,Dim_Product!$A$2:$A$4,0))+0.25</f>
        <v>65.25</v>
      </c>
      <c r="Q150" s="4">
        <f>IF(AND(P150&gt;=INDEX(Dim_Product!$G$2:$G$4,MATCH(F150,Dim_Product!$A$2:$A$4,0))-INDEX(Dim_Product!$H$2:$H$4,MATCH(F150,Dim_Product!$A$2:$A$4,0)),P150&lt;=INDEX(Dim_Product!$G$2:$G$4,MATCH(F150,Dim_Product!$A$2:$A$4,0))+INDEX(Dim_Product!$H$2:$H$4,MATCH(F150,Dim_Product!$A$2:$A$4,0))),G150-H150,G150-H150-1)</f>
        <v>45</v>
      </c>
      <c r="R150" s="4">
        <f t="shared" si="20"/>
        <v>3</v>
      </c>
      <c r="S150" s="4">
        <f>INDEX(Dim_Product!$K$2:$K$4,MATCH(F150,Dim_Product!$A$2:$A$4,0))+-0.23</f>
        <v>109.77</v>
      </c>
      <c r="T150" s="4">
        <f>IF(AND(S150&gt;=INDEX(Dim_Product!$K$2:$K$4,MATCH(F150,Dim_Product!$A$2:$A$4,0))-INDEX(Dim_Product!$L$2:$L$4,MATCH(F150,Dim_Product!$A$2:$A$4,0)),S150&lt;=INDEX(Dim_Product!$K$2:$K$4,MATCH(F150,Dim_Product!$A$2:$A$4,0))+INDEX(Dim_Product!$L$2:$L$4,MATCH(F150,Dim_Product!$A$2:$A$4,0))),G150-H150,G150-H150-1)</f>
        <v>45</v>
      </c>
      <c r="U150" s="4">
        <f t="shared" si="21"/>
        <v>3</v>
      </c>
      <c r="V150" s="4">
        <f t="shared" si="22"/>
        <v>6.25E-2</v>
      </c>
      <c r="W150" s="19">
        <f t="shared" si="23"/>
        <v>0.9375</v>
      </c>
    </row>
    <row r="151" spans="1:23" x14ac:dyDescent="0.25">
      <c r="A151" s="18" t="s">
        <v>652</v>
      </c>
      <c r="B151" s="4">
        <f>Fact_Production_Hourly!B151</f>
        <v>20260701</v>
      </c>
      <c r="C151" s="4">
        <f>Fact_Production_Hourly!C151</f>
        <v>21</v>
      </c>
      <c r="D151" s="4" t="str">
        <f>Fact_Production_Hourly!D151</f>
        <v>M3</v>
      </c>
      <c r="E151" s="4" t="str">
        <f>Fact_Production_Hourly!E151</f>
        <v>B-PM</v>
      </c>
      <c r="F151" s="4" t="str">
        <f>Fact_Production_Hourly!F151</f>
        <v>A</v>
      </c>
      <c r="G151" s="4">
        <f>INDEX(Dim_Machine!$D$2:$D$8,MATCH(D151,Dim_Machine!$A$2:$A$8,0))*2</f>
        <v>24</v>
      </c>
      <c r="H151" s="4">
        <f>ROUND(G151*0.0214,0)</f>
        <v>1</v>
      </c>
      <c r="I151" s="4">
        <f t="shared" si="16"/>
        <v>0</v>
      </c>
      <c r="J151" s="4">
        <f t="shared" si="17"/>
        <v>0</v>
      </c>
      <c r="K151" s="4">
        <f t="shared" si="18"/>
        <v>1</v>
      </c>
      <c r="L151" s="4" t="s">
        <v>520</v>
      </c>
      <c r="M151" s="4">
        <f>INDEX(Dim_Product!$C$2:$C$4,MATCH(F151,Dim_Product!$A$2:$A$4,0))+-0.77</f>
        <v>249.23</v>
      </c>
      <c r="N151" s="4">
        <f>IF(AND(M151&gt;=INDEX(Dim_Product!$C$2:$C$4,MATCH(F151,Dim_Product!$A$2:$A$4,0))-INDEX(Dim_Product!$D$2:$D$4,MATCH(F151,Dim_Product!$A$2:$A$4,0)),M151&lt;=INDEX(Dim_Product!$C$2:$C$4,MATCH(F151,Dim_Product!$A$2:$A$4,0))+INDEX(Dim_Product!$D$2:$D$4,MATCH(F151,Dim_Product!$A$2:$A$4,0))),G151-H151,G151-H151-1)</f>
        <v>23</v>
      </c>
      <c r="O151" s="4">
        <f t="shared" si="19"/>
        <v>1</v>
      </c>
      <c r="P151" s="4">
        <f>INDEX(Dim_Product!$G$2:$G$4,MATCH(F151,Dim_Product!$A$2:$A$4,0))+0.3</f>
        <v>70.3</v>
      </c>
      <c r="Q151" s="4">
        <f>IF(AND(P151&gt;=INDEX(Dim_Product!$G$2:$G$4,MATCH(F151,Dim_Product!$A$2:$A$4,0))-INDEX(Dim_Product!$H$2:$H$4,MATCH(F151,Dim_Product!$A$2:$A$4,0)),P151&lt;=INDEX(Dim_Product!$G$2:$G$4,MATCH(F151,Dim_Product!$A$2:$A$4,0))+INDEX(Dim_Product!$H$2:$H$4,MATCH(F151,Dim_Product!$A$2:$A$4,0))),G151-H151,G151-H151-1)</f>
        <v>23</v>
      </c>
      <c r="R151" s="4">
        <f t="shared" si="20"/>
        <v>1</v>
      </c>
      <c r="S151" s="4">
        <f>INDEX(Dim_Product!$K$2:$K$4,MATCH(F151,Dim_Product!$A$2:$A$4,0))+-0.02</f>
        <v>119.98</v>
      </c>
      <c r="T151" s="4">
        <f>IF(AND(S151&gt;=INDEX(Dim_Product!$K$2:$K$4,MATCH(F151,Dim_Product!$A$2:$A$4,0))-INDEX(Dim_Product!$L$2:$L$4,MATCH(F151,Dim_Product!$A$2:$A$4,0)),S151&lt;=INDEX(Dim_Product!$K$2:$K$4,MATCH(F151,Dim_Product!$A$2:$A$4,0))+INDEX(Dim_Product!$L$2:$L$4,MATCH(F151,Dim_Product!$A$2:$A$4,0))),G151-H151,G151-H151-1)</f>
        <v>23</v>
      </c>
      <c r="U151" s="4">
        <f t="shared" si="21"/>
        <v>1</v>
      </c>
      <c r="V151" s="4">
        <f t="shared" si="22"/>
        <v>4.1666666666666664E-2</v>
      </c>
      <c r="W151" s="19">
        <f t="shared" si="23"/>
        <v>0.95833333333333337</v>
      </c>
    </row>
    <row r="152" spans="1:23" x14ac:dyDescent="0.25">
      <c r="A152" s="18" t="s">
        <v>653</v>
      </c>
      <c r="B152" s="4">
        <f>Fact_Production_Hourly!B152</f>
        <v>20260701</v>
      </c>
      <c r="C152" s="4">
        <f>Fact_Production_Hourly!C152</f>
        <v>21</v>
      </c>
      <c r="D152" s="4" t="str">
        <f>Fact_Production_Hourly!D152</f>
        <v>M4</v>
      </c>
      <c r="E152" s="4" t="str">
        <f>Fact_Production_Hourly!E152</f>
        <v>B-PM</v>
      </c>
      <c r="F152" s="4" t="str">
        <f>Fact_Production_Hourly!F152</f>
        <v>A</v>
      </c>
      <c r="G152" s="4">
        <f>INDEX(Dim_Machine!$D$2:$D$8,MATCH(D152,Dim_Machine!$A$2:$A$8,0))*2</f>
        <v>48</v>
      </c>
      <c r="H152" s="4">
        <f>ROUND(G152*0.0246,0)</f>
        <v>1</v>
      </c>
      <c r="I152" s="4">
        <f t="shared" si="16"/>
        <v>0</v>
      </c>
      <c r="J152" s="4">
        <f t="shared" si="17"/>
        <v>0</v>
      </c>
      <c r="K152" s="4">
        <f t="shared" si="18"/>
        <v>1</v>
      </c>
      <c r="L152" s="4" t="s">
        <v>509</v>
      </c>
      <c r="M152" s="4">
        <f>INDEX(Dim_Product!$C$2:$C$4,MATCH(F152,Dim_Product!$A$2:$A$4,0))+0.41</f>
        <v>250.41</v>
      </c>
      <c r="N152" s="4">
        <f>IF(AND(M152&gt;=INDEX(Dim_Product!$C$2:$C$4,MATCH(F152,Dim_Product!$A$2:$A$4,0))-INDEX(Dim_Product!$D$2:$D$4,MATCH(F152,Dim_Product!$A$2:$A$4,0)),M152&lt;=INDEX(Dim_Product!$C$2:$C$4,MATCH(F152,Dim_Product!$A$2:$A$4,0))+INDEX(Dim_Product!$D$2:$D$4,MATCH(F152,Dim_Product!$A$2:$A$4,0))),G152-H152,G152-H152-1)</f>
        <v>47</v>
      </c>
      <c r="O152" s="4">
        <f t="shared" si="19"/>
        <v>1</v>
      </c>
      <c r="P152" s="4">
        <f>INDEX(Dim_Product!$G$2:$G$4,MATCH(F152,Dim_Product!$A$2:$A$4,0))+-0.06</f>
        <v>69.94</v>
      </c>
      <c r="Q152" s="4">
        <f>IF(AND(P152&gt;=INDEX(Dim_Product!$G$2:$G$4,MATCH(F152,Dim_Product!$A$2:$A$4,0))-INDEX(Dim_Product!$H$2:$H$4,MATCH(F152,Dim_Product!$A$2:$A$4,0)),P152&lt;=INDEX(Dim_Product!$G$2:$G$4,MATCH(F152,Dim_Product!$A$2:$A$4,0))+INDEX(Dim_Product!$H$2:$H$4,MATCH(F152,Dim_Product!$A$2:$A$4,0))),G152-H152,G152-H152-1)</f>
        <v>47</v>
      </c>
      <c r="R152" s="4">
        <f t="shared" si="20"/>
        <v>1</v>
      </c>
      <c r="S152" s="4">
        <f>INDEX(Dim_Product!$K$2:$K$4,MATCH(F152,Dim_Product!$A$2:$A$4,0))+-0.21</f>
        <v>119.79</v>
      </c>
      <c r="T152" s="4">
        <f>IF(AND(S152&gt;=INDEX(Dim_Product!$K$2:$K$4,MATCH(F152,Dim_Product!$A$2:$A$4,0))-INDEX(Dim_Product!$L$2:$L$4,MATCH(F152,Dim_Product!$A$2:$A$4,0)),S152&lt;=INDEX(Dim_Product!$K$2:$K$4,MATCH(F152,Dim_Product!$A$2:$A$4,0))+INDEX(Dim_Product!$L$2:$L$4,MATCH(F152,Dim_Product!$A$2:$A$4,0))),G152-H152,G152-H152-1)</f>
        <v>47</v>
      </c>
      <c r="U152" s="4">
        <f t="shared" si="21"/>
        <v>1</v>
      </c>
      <c r="V152" s="4">
        <f t="shared" si="22"/>
        <v>2.0833333333333332E-2</v>
      </c>
      <c r="W152" s="19">
        <f t="shared" si="23"/>
        <v>0.97916666666666663</v>
      </c>
    </row>
    <row r="153" spans="1:23" x14ac:dyDescent="0.25">
      <c r="A153" s="18" t="s">
        <v>654</v>
      </c>
      <c r="B153" s="4">
        <f>Fact_Production_Hourly!B153</f>
        <v>20260701</v>
      </c>
      <c r="C153" s="4">
        <f>Fact_Production_Hourly!C153</f>
        <v>21</v>
      </c>
      <c r="D153" s="4" t="str">
        <f>Fact_Production_Hourly!D153</f>
        <v>M5</v>
      </c>
      <c r="E153" s="4" t="str">
        <f>Fact_Production_Hourly!E153</f>
        <v>B-PM</v>
      </c>
      <c r="F153" s="4" t="str">
        <f>Fact_Production_Hourly!F153</f>
        <v>A</v>
      </c>
      <c r="G153" s="4">
        <f>INDEX(Dim_Machine!$D$2:$D$8,MATCH(D153,Dim_Machine!$A$2:$A$8,0))*2</f>
        <v>32</v>
      </c>
      <c r="H153" s="4">
        <f>ROUND(G153*0.0293,0)</f>
        <v>1</v>
      </c>
      <c r="I153" s="4">
        <f t="shared" si="16"/>
        <v>0</v>
      </c>
      <c r="J153" s="4">
        <f t="shared" si="17"/>
        <v>0</v>
      </c>
      <c r="K153" s="4">
        <f t="shared" si="18"/>
        <v>1</v>
      </c>
      <c r="L153" s="4" t="s">
        <v>517</v>
      </c>
      <c r="M153" s="4">
        <f>INDEX(Dim_Product!$C$2:$C$4,MATCH(F153,Dim_Product!$A$2:$A$4,0))+-0.24</f>
        <v>249.76</v>
      </c>
      <c r="N153" s="4">
        <f>IF(AND(M153&gt;=INDEX(Dim_Product!$C$2:$C$4,MATCH(F153,Dim_Product!$A$2:$A$4,0))-INDEX(Dim_Product!$D$2:$D$4,MATCH(F153,Dim_Product!$A$2:$A$4,0)),M153&lt;=INDEX(Dim_Product!$C$2:$C$4,MATCH(F153,Dim_Product!$A$2:$A$4,0))+INDEX(Dim_Product!$D$2:$D$4,MATCH(F153,Dim_Product!$A$2:$A$4,0))),G153-H153,G153-H153-1)</f>
        <v>31</v>
      </c>
      <c r="O153" s="4">
        <f t="shared" si="19"/>
        <v>1</v>
      </c>
      <c r="P153" s="4">
        <f>INDEX(Dim_Product!$G$2:$G$4,MATCH(F153,Dim_Product!$A$2:$A$4,0))+0.02</f>
        <v>70.02</v>
      </c>
      <c r="Q153" s="4">
        <f>IF(AND(P153&gt;=INDEX(Dim_Product!$G$2:$G$4,MATCH(F153,Dim_Product!$A$2:$A$4,0))-INDEX(Dim_Product!$H$2:$H$4,MATCH(F153,Dim_Product!$A$2:$A$4,0)),P153&lt;=INDEX(Dim_Product!$G$2:$G$4,MATCH(F153,Dim_Product!$A$2:$A$4,0))+INDEX(Dim_Product!$H$2:$H$4,MATCH(F153,Dim_Product!$A$2:$A$4,0))),G153-H153,G153-H153-1)</f>
        <v>31</v>
      </c>
      <c r="R153" s="4">
        <f t="shared" si="20"/>
        <v>1</v>
      </c>
      <c r="S153" s="4">
        <f>INDEX(Dim_Product!$K$2:$K$4,MATCH(F153,Dim_Product!$A$2:$A$4,0))+-0.11</f>
        <v>119.89</v>
      </c>
      <c r="T153" s="4">
        <f>IF(AND(S153&gt;=INDEX(Dim_Product!$K$2:$K$4,MATCH(F153,Dim_Product!$A$2:$A$4,0))-INDEX(Dim_Product!$L$2:$L$4,MATCH(F153,Dim_Product!$A$2:$A$4,0)),S153&lt;=INDEX(Dim_Product!$K$2:$K$4,MATCH(F153,Dim_Product!$A$2:$A$4,0))+INDEX(Dim_Product!$L$2:$L$4,MATCH(F153,Dim_Product!$A$2:$A$4,0))),G153-H153,G153-H153-1)</f>
        <v>31</v>
      </c>
      <c r="U153" s="4">
        <f t="shared" si="21"/>
        <v>1</v>
      </c>
      <c r="V153" s="4">
        <f t="shared" si="22"/>
        <v>3.125E-2</v>
      </c>
      <c r="W153" s="19">
        <f t="shared" si="23"/>
        <v>0.96875</v>
      </c>
    </row>
    <row r="154" spans="1:23" x14ac:dyDescent="0.25">
      <c r="A154" s="18" t="s">
        <v>655</v>
      </c>
      <c r="B154" s="4">
        <f>Fact_Production_Hourly!B154</f>
        <v>20260701</v>
      </c>
      <c r="C154" s="4">
        <f>Fact_Production_Hourly!C154</f>
        <v>21</v>
      </c>
      <c r="D154" s="4" t="str">
        <f>Fact_Production_Hourly!D154</f>
        <v>M6</v>
      </c>
      <c r="E154" s="4" t="str">
        <f>Fact_Production_Hourly!E154</f>
        <v>B-PM</v>
      </c>
      <c r="F154" s="4" t="str">
        <f>Fact_Production_Hourly!F154</f>
        <v>C</v>
      </c>
      <c r="G154" s="4">
        <f>INDEX(Dim_Machine!$D$2:$D$8,MATCH(D154,Dim_Machine!$A$2:$A$8,0))*2</f>
        <v>24</v>
      </c>
      <c r="H154" s="4">
        <f>ROUND(G154*0.0257,0)</f>
        <v>1</v>
      </c>
      <c r="I154" s="4">
        <f t="shared" si="16"/>
        <v>0</v>
      </c>
      <c r="J154" s="4">
        <f t="shared" si="17"/>
        <v>0</v>
      </c>
      <c r="K154" s="4">
        <f t="shared" si="18"/>
        <v>1</v>
      </c>
      <c r="L154" s="4" t="s">
        <v>509</v>
      </c>
      <c r="M154" s="4">
        <f>INDEX(Dim_Product!$C$2:$C$4,MATCH(F154,Dim_Product!$A$2:$A$4,0))+0.77</f>
        <v>200.77</v>
      </c>
      <c r="N154" s="4">
        <f>IF(AND(M154&gt;=INDEX(Dim_Product!$C$2:$C$4,MATCH(F154,Dim_Product!$A$2:$A$4,0))-INDEX(Dim_Product!$D$2:$D$4,MATCH(F154,Dim_Product!$A$2:$A$4,0)),M154&lt;=INDEX(Dim_Product!$C$2:$C$4,MATCH(F154,Dim_Product!$A$2:$A$4,0))+INDEX(Dim_Product!$D$2:$D$4,MATCH(F154,Dim_Product!$A$2:$A$4,0))),G154-H154,G154-H154-1)</f>
        <v>23</v>
      </c>
      <c r="O154" s="4">
        <f t="shared" si="19"/>
        <v>1</v>
      </c>
      <c r="P154" s="4">
        <f>INDEX(Dim_Product!$G$2:$G$4,MATCH(F154,Dim_Product!$A$2:$A$4,0))+-0.02</f>
        <v>64.98</v>
      </c>
      <c r="Q154" s="4">
        <f>IF(AND(P154&gt;=INDEX(Dim_Product!$G$2:$G$4,MATCH(F154,Dim_Product!$A$2:$A$4,0))-INDEX(Dim_Product!$H$2:$H$4,MATCH(F154,Dim_Product!$A$2:$A$4,0)),P154&lt;=INDEX(Dim_Product!$G$2:$G$4,MATCH(F154,Dim_Product!$A$2:$A$4,0))+INDEX(Dim_Product!$H$2:$H$4,MATCH(F154,Dim_Product!$A$2:$A$4,0))),G154-H154,G154-H154-1)</f>
        <v>23</v>
      </c>
      <c r="R154" s="4">
        <f t="shared" si="20"/>
        <v>1</v>
      </c>
      <c r="S154" s="4">
        <f>INDEX(Dim_Product!$K$2:$K$4,MATCH(F154,Dim_Product!$A$2:$A$4,0))+0.24</f>
        <v>110.24</v>
      </c>
      <c r="T154" s="4">
        <f>IF(AND(S154&gt;=INDEX(Dim_Product!$K$2:$K$4,MATCH(F154,Dim_Product!$A$2:$A$4,0))-INDEX(Dim_Product!$L$2:$L$4,MATCH(F154,Dim_Product!$A$2:$A$4,0)),S154&lt;=INDEX(Dim_Product!$K$2:$K$4,MATCH(F154,Dim_Product!$A$2:$A$4,0))+INDEX(Dim_Product!$L$2:$L$4,MATCH(F154,Dim_Product!$A$2:$A$4,0))),G154-H154,G154-H154-1)</f>
        <v>23</v>
      </c>
      <c r="U154" s="4">
        <f t="shared" si="21"/>
        <v>1</v>
      </c>
      <c r="V154" s="4">
        <f t="shared" si="22"/>
        <v>4.1666666666666664E-2</v>
      </c>
      <c r="W154" s="19">
        <f t="shared" si="23"/>
        <v>0.95833333333333337</v>
      </c>
    </row>
    <row r="155" spans="1:23" x14ac:dyDescent="0.25">
      <c r="A155" s="18" t="s">
        <v>656</v>
      </c>
      <c r="B155" s="4">
        <f>Fact_Production_Hourly!B155</f>
        <v>20260701</v>
      </c>
      <c r="C155" s="4">
        <f>Fact_Production_Hourly!C155</f>
        <v>21</v>
      </c>
      <c r="D155" s="4" t="str">
        <f>Fact_Production_Hourly!D155</f>
        <v>M7</v>
      </c>
      <c r="E155" s="4" t="str">
        <f>Fact_Production_Hourly!E155</f>
        <v>B-PM</v>
      </c>
      <c r="F155" s="4" t="str">
        <f>Fact_Production_Hourly!F155</f>
        <v>A</v>
      </c>
      <c r="G155" s="4">
        <f>INDEX(Dim_Machine!$D$2:$D$8,MATCH(D155,Dim_Machine!$A$2:$A$8,0))*2</f>
        <v>48</v>
      </c>
      <c r="H155" s="4">
        <f>ROUND(G155*0.0533,0)</f>
        <v>3</v>
      </c>
      <c r="I155" s="4">
        <f t="shared" si="16"/>
        <v>0</v>
      </c>
      <c r="J155" s="4">
        <f t="shared" si="17"/>
        <v>1</v>
      </c>
      <c r="K155" s="4">
        <f t="shared" si="18"/>
        <v>2</v>
      </c>
      <c r="L155" s="4" t="s">
        <v>517</v>
      </c>
      <c r="M155" s="4">
        <f>INDEX(Dim_Product!$C$2:$C$4,MATCH(F155,Dim_Product!$A$2:$A$4,0))+0.83</f>
        <v>250.83</v>
      </c>
      <c r="N155" s="4">
        <f>IF(AND(M155&gt;=INDEX(Dim_Product!$C$2:$C$4,MATCH(F155,Dim_Product!$A$2:$A$4,0))-INDEX(Dim_Product!$D$2:$D$4,MATCH(F155,Dim_Product!$A$2:$A$4,0)),M155&lt;=INDEX(Dim_Product!$C$2:$C$4,MATCH(F155,Dim_Product!$A$2:$A$4,0))+INDEX(Dim_Product!$D$2:$D$4,MATCH(F155,Dim_Product!$A$2:$A$4,0))),G155-H155,G155-H155-1)</f>
        <v>45</v>
      </c>
      <c r="O155" s="4">
        <f t="shared" si="19"/>
        <v>3</v>
      </c>
      <c r="P155" s="4">
        <f>INDEX(Dim_Product!$G$2:$G$4,MATCH(F155,Dim_Product!$A$2:$A$4,0))+-0.08</f>
        <v>69.92</v>
      </c>
      <c r="Q155" s="4">
        <f>IF(AND(P155&gt;=INDEX(Dim_Product!$G$2:$G$4,MATCH(F155,Dim_Product!$A$2:$A$4,0))-INDEX(Dim_Product!$H$2:$H$4,MATCH(F155,Dim_Product!$A$2:$A$4,0)),P155&lt;=INDEX(Dim_Product!$G$2:$G$4,MATCH(F155,Dim_Product!$A$2:$A$4,0))+INDEX(Dim_Product!$H$2:$H$4,MATCH(F155,Dim_Product!$A$2:$A$4,0))),G155-H155,G155-H155-1)</f>
        <v>45</v>
      </c>
      <c r="R155" s="4">
        <f t="shared" si="20"/>
        <v>3</v>
      </c>
      <c r="S155" s="4">
        <f>INDEX(Dim_Product!$K$2:$K$4,MATCH(F155,Dim_Product!$A$2:$A$4,0))+-0.07</f>
        <v>119.93</v>
      </c>
      <c r="T155" s="4">
        <f>IF(AND(S155&gt;=INDEX(Dim_Product!$K$2:$K$4,MATCH(F155,Dim_Product!$A$2:$A$4,0))-INDEX(Dim_Product!$L$2:$L$4,MATCH(F155,Dim_Product!$A$2:$A$4,0)),S155&lt;=INDEX(Dim_Product!$K$2:$K$4,MATCH(F155,Dim_Product!$A$2:$A$4,0))+INDEX(Dim_Product!$L$2:$L$4,MATCH(F155,Dim_Product!$A$2:$A$4,0))),G155-H155,G155-H155-1)</f>
        <v>45</v>
      </c>
      <c r="U155" s="4">
        <f t="shared" si="21"/>
        <v>3</v>
      </c>
      <c r="V155" s="4">
        <f t="shared" si="22"/>
        <v>6.25E-2</v>
      </c>
      <c r="W155" s="19">
        <f t="shared" si="23"/>
        <v>0.9375</v>
      </c>
    </row>
    <row r="156" spans="1:23" x14ac:dyDescent="0.25">
      <c r="A156" s="18" t="s">
        <v>657</v>
      </c>
      <c r="B156" s="4">
        <f>Fact_Production_Hourly!B156</f>
        <v>20260701</v>
      </c>
      <c r="C156" s="4">
        <f>Fact_Production_Hourly!C156</f>
        <v>22</v>
      </c>
      <c r="D156" s="4" t="str">
        <f>Fact_Production_Hourly!D156</f>
        <v>M1</v>
      </c>
      <c r="E156" s="4" t="str">
        <f>Fact_Production_Hourly!E156</f>
        <v>B-PM</v>
      </c>
      <c r="F156" s="4" t="str">
        <f>Fact_Production_Hourly!F156</f>
        <v>A</v>
      </c>
      <c r="G156" s="4">
        <f>INDEX(Dim_Machine!$D$2:$D$8,MATCH(D156,Dim_Machine!$A$2:$A$8,0))*2</f>
        <v>32</v>
      </c>
      <c r="H156" s="4">
        <f>ROUND(G156*0.0438,0)</f>
        <v>1</v>
      </c>
      <c r="I156" s="4">
        <f t="shared" si="16"/>
        <v>0</v>
      </c>
      <c r="J156" s="4">
        <f t="shared" si="17"/>
        <v>0</v>
      </c>
      <c r="K156" s="4">
        <f t="shared" si="18"/>
        <v>1</v>
      </c>
      <c r="L156" s="4" t="s">
        <v>500</v>
      </c>
      <c r="M156" s="4">
        <f>INDEX(Dim_Product!$C$2:$C$4,MATCH(F156,Dim_Product!$A$2:$A$4,0))+0.48</f>
        <v>250.48</v>
      </c>
      <c r="N156" s="4">
        <f>IF(AND(M156&gt;=INDEX(Dim_Product!$C$2:$C$4,MATCH(F156,Dim_Product!$A$2:$A$4,0))-INDEX(Dim_Product!$D$2:$D$4,MATCH(F156,Dim_Product!$A$2:$A$4,0)),M156&lt;=INDEX(Dim_Product!$C$2:$C$4,MATCH(F156,Dim_Product!$A$2:$A$4,0))+INDEX(Dim_Product!$D$2:$D$4,MATCH(F156,Dim_Product!$A$2:$A$4,0))),G156-H156,G156-H156-1)</f>
        <v>31</v>
      </c>
      <c r="O156" s="4">
        <f t="shared" si="19"/>
        <v>1</v>
      </c>
      <c r="P156" s="4">
        <f>INDEX(Dim_Product!$G$2:$G$4,MATCH(F156,Dim_Product!$A$2:$A$4,0))+-0.29</f>
        <v>69.709999999999994</v>
      </c>
      <c r="Q156" s="4">
        <f>IF(AND(P156&gt;=INDEX(Dim_Product!$G$2:$G$4,MATCH(F156,Dim_Product!$A$2:$A$4,0))-INDEX(Dim_Product!$H$2:$H$4,MATCH(F156,Dim_Product!$A$2:$A$4,0)),P156&lt;=INDEX(Dim_Product!$G$2:$G$4,MATCH(F156,Dim_Product!$A$2:$A$4,0))+INDEX(Dim_Product!$H$2:$H$4,MATCH(F156,Dim_Product!$A$2:$A$4,0))),G156-H156,G156-H156-1)</f>
        <v>31</v>
      </c>
      <c r="R156" s="4">
        <f t="shared" si="20"/>
        <v>1</v>
      </c>
      <c r="S156" s="4">
        <f>INDEX(Dim_Product!$K$2:$K$4,MATCH(F156,Dim_Product!$A$2:$A$4,0))+0.04</f>
        <v>120.04</v>
      </c>
      <c r="T156" s="4">
        <f>IF(AND(S156&gt;=INDEX(Dim_Product!$K$2:$K$4,MATCH(F156,Dim_Product!$A$2:$A$4,0))-INDEX(Dim_Product!$L$2:$L$4,MATCH(F156,Dim_Product!$A$2:$A$4,0)),S156&lt;=INDEX(Dim_Product!$K$2:$K$4,MATCH(F156,Dim_Product!$A$2:$A$4,0))+INDEX(Dim_Product!$L$2:$L$4,MATCH(F156,Dim_Product!$A$2:$A$4,0))),G156-H156,G156-H156-1)</f>
        <v>31</v>
      </c>
      <c r="U156" s="4">
        <f t="shared" si="21"/>
        <v>1</v>
      </c>
      <c r="V156" s="4">
        <f t="shared" si="22"/>
        <v>3.125E-2</v>
      </c>
      <c r="W156" s="19">
        <f t="shared" si="23"/>
        <v>0.96875</v>
      </c>
    </row>
    <row r="157" spans="1:23" x14ac:dyDescent="0.25">
      <c r="A157" s="18" t="s">
        <v>658</v>
      </c>
      <c r="B157" s="4">
        <f>Fact_Production_Hourly!B157</f>
        <v>20260701</v>
      </c>
      <c r="C157" s="4">
        <f>Fact_Production_Hourly!C157</f>
        <v>22</v>
      </c>
      <c r="D157" s="4" t="str">
        <f>Fact_Production_Hourly!D157</f>
        <v>M2</v>
      </c>
      <c r="E157" s="4" t="str">
        <f>Fact_Production_Hourly!E157</f>
        <v>B-PM</v>
      </c>
      <c r="F157" s="4" t="str">
        <f>Fact_Production_Hourly!F157</f>
        <v>C</v>
      </c>
      <c r="G157" s="4">
        <f>INDEX(Dim_Machine!$D$2:$D$8,MATCH(D157,Dim_Machine!$A$2:$A$8,0))*2</f>
        <v>48</v>
      </c>
      <c r="H157" s="4">
        <f>ROUND(G157*0.045,0)</f>
        <v>2</v>
      </c>
      <c r="I157" s="4">
        <f t="shared" si="16"/>
        <v>0</v>
      </c>
      <c r="J157" s="4">
        <f t="shared" si="17"/>
        <v>1</v>
      </c>
      <c r="K157" s="4">
        <f t="shared" si="18"/>
        <v>1</v>
      </c>
      <c r="L157" s="4" t="s">
        <v>520</v>
      </c>
      <c r="M157" s="4">
        <f>INDEX(Dim_Product!$C$2:$C$4,MATCH(F157,Dim_Product!$A$2:$A$4,0))+-0.16</f>
        <v>199.84</v>
      </c>
      <c r="N157" s="4">
        <f>IF(AND(M157&gt;=INDEX(Dim_Product!$C$2:$C$4,MATCH(F157,Dim_Product!$A$2:$A$4,0))-INDEX(Dim_Product!$D$2:$D$4,MATCH(F157,Dim_Product!$A$2:$A$4,0)),M157&lt;=INDEX(Dim_Product!$C$2:$C$4,MATCH(F157,Dim_Product!$A$2:$A$4,0))+INDEX(Dim_Product!$D$2:$D$4,MATCH(F157,Dim_Product!$A$2:$A$4,0))),G157-H157,G157-H157-1)</f>
        <v>46</v>
      </c>
      <c r="O157" s="4">
        <f t="shared" si="19"/>
        <v>2</v>
      </c>
      <c r="P157" s="4">
        <f>INDEX(Dim_Product!$G$2:$G$4,MATCH(F157,Dim_Product!$A$2:$A$4,0))+-0.21</f>
        <v>64.790000000000006</v>
      </c>
      <c r="Q157" s="4">
        <f>IF(AND(P157&gt;=INDEX(Dim_Product!$G$2:$G$4,MATCH(F157,Dim_Product!$A$2:$A$4,0))-INDEX(Dim_Product!$H$2:$H$4,MATCH(F157,Dim_Product!$A$2:$A$4,0)),P157&lt;=INDEX(Dim_Product!$G$2:$G$4,MATCH(F157,Dim_Product!$A$2:$A$4,0))+INDEX(Dim_Product!$H$2:$H$4,MATCH(F157,Dim_Product!$A$2:$A$4,0))),G157-H157,G157-H157-1)</f>
        <v>46</v>
      </c>
      <c r="R157" s="4">
        <f t="shared" si="20"/>
        <v>2</v>
      </c>
      <c r="S157" s="4">
        <f>INDEX(Dim_Product!$K$2:$K$4,MATCH(F157,Dim_Product!$A$2:$A$4,0))+-0.14</f>
        <v>109.86</v>
      </c>
      <c r="T157" s="4">
        <f>IF(AND(S157&gt;=INDEX(Dim_Product!$K$2:$K$4,MATCH(F157,Dim_Product!$A$2:$A$4,0))-INDEX(Dim_Product!$L$2:$L$4,MATCH(F157,Dim_Product!$A$2:$A$4,0)),S157&lt;=INDEX(Dim_Product!$K$2:$K$4,MATCH(F157,Dim_Product!$A$2:$A$4,0))+INDEX(Dim_Product!$L$2:$L$4,MATCH(F157,Dim_Product!$A$2:$A$4,0))),G157-H157,G157-H157-1)</f>
        <v>46</v>
      </c>
      <c r="U157" s="4">
        <f t="shared" si="21"/>
        <v>2</v>
      </c>
      <c r="V157" s="4">
        <f t="shared" si="22"/>
        <v>4.1666666666666664E-2</v>
      </c>
      <c r="W157" s="19">
        <f t="shared" si="23"/>
        <v>0.95833333333333337</v>
      </c>
    </row>
    <row r="158" spans="1:23" x14ac:dyDescent="0.25">
      <c r="A158" s="18" t="s">
        <v>659</v>
      </c>
      <c r="B158" s="4">
        <f>Fact_Production_Hourly!B158</f>
        <v>20260701</v>
      </c>
      <c r="C158" s="4">
        <f>Fact_Production_Hourly!C158</f>
        <v>22</v>
      </c>
      <c r="D158" s="4" t="str">
        <f>Fact_Production_Hourly!D158</f>
        <v>M3</v>
      </c>
      <c r="E158" s="4" t="str">
        <f>Fact_Production_Hourly!E158</f>
        <v>B-PM</v>
      </c>
      <c r="F158" s="4" t="str">
        <f>Fact_Production_Hourly!F158</f>
        <v>A</v>
      </c>
      <c r="G158" s="4">
        <f>INDEX(Dim_Machine!$D$2:$D$8,MATCH(D158,Dim_Machine!$A$2:$A$8,0))*2</f>
        <v>24</v>
      </c>
      <c r="H158" s="4">
        <f>ROUND(G158*0.0328,0)</f>
        <v>1</v>
      </c>
      <c r="I158" s="4">
        <f t="shared" si="16"/>
        <v>0</v>
      </c>
      <c r="J158" s="4">
        <f t="shared" si="17"/>
        <v>0</v>
      </c>
      <c r="K158" s="4">
        <f t="shared" si="18"/>
        <v>1</v>
      </c>
      <c r="L158" s="4" t="s">
        <v>500</v>
      </c>
      <c r="M158" s="4">
        <f>INDEX(Dim_Product!$C$2:$C$4,MATCH(F158,Dim_Product!$A$2:$A$4,0))+0</f>
        <v>250</v>
      </c>
      <c r="N158" s="4">
        <f>IF(AND(M158&gt;=INDEX(Dim_Product!$C$2:$C$4,MATCH(F158,Dim_Product!$A$2:$A$4,0))-INDEX(Dim_Product!$D$2:$D$4,MATCH(F158,Dim_Product!$A$2:$A$4,0)),M158&lt;=INDEX(Dim_Product!$C$2:$C$4,MATCH(F158,Dim_Product!$A$2:$A$4,0))+INDEX(Dim_Product!$D$2:$D$4,MATCH(F158,Dim_Product!$A$2:$A$4,0))),G158-H158,G158-H158-1)</f>
        <v>23</v>
      </c>
      <c r="O158" s="4">
        <f t="shared" si="19"/>
        <v>1</v>
      </c>
      <c r="P158" s="4">
        <f>INDEX(Dim_Product!$G$2:$G$4,MATCH(F158,Dim_Product!$A$2:$A$4,0))+0.09</f>
        <v>70.09</v>
      </c>
      <c r="Q158" s="4">
        <f>IF(AND(P158&gt;=INDEX(Dim_Product!$G$2:$G$4,MATCH(F158,Dim_Product!$A$2:$A$4,0))-INDEX(Dim_Product!$H$2:$H$4,MATCH(F158,Dim_Product!$A$2:$A$4,0)),P158&lt;=INDEX(Dim_Product!$G$2:$G$4,MATCH(F158,Dim_Product!$A$2:$A$4,0))+INDEX(Dim_Product!$H$2:$H$4,MATCH(F158,Dim_Product!$A$2:$A$4,0))),G158-H158,G158-H158-1)</f>
        <v>23</v>
      </c>
      <c r="R158" s="4">
        <f t="shared" si="20"/>
        <v>1</v>
      </c>
      <c r="S158" s="4">
        <f>INDEX(Dim_Product!$K$2:$K$4,MATCH(F158,Dim_Product!$A$2:$A$4,0))+0.15</f>
        <v>120.15</v>
      </c>
      <c r="T158" s="4">
        <f>IF(AND(S158&gt;=INDEX(Dim_Product!$K$2:$K$4,MATCH(F158,Dim_Product!$A$2:$A$4,0))-INDEX(Dim_Product!$L$2:$L$4,MATCH(F158,Dim_Product!$A$2:$A$4,0)),S158&lt;=INDEX(Dim_Product!$K$2:$K$4,MATCH(F158,Dim_Product!$A$2:$A$4,0))+INDEX(Dim_Product!$L$2:$L$4,MATCH(F158,Dim_Product!$A$2:$A$4,0))),G158-H158,G158-H158-1)</f>
        <v>23</v>
      </c>
      <c r="U158" s="4">
        <f t="shared" si="21"/>
        <v>1</v>
      </c>
      <c r="V158" s="4">
        <f t="shared" si="22"/>
        <v>4.1666666666666664E-2</v>
      </c>
      <c r="W158" s="19">
        <f t="shared" si="23"/>
        <v>0.95833333333333337</v>
      </c>
    </row>
    <row r="159" spans="1:23" x14ac:dyDescent="0.25">
      <c r="A159" s="18" t="s">
        <v>660</v>
      </c>
      <c r="B159" s="4">
        <f>Fact_Production_Hourly!B159</f>
        <v>20260701</v>
      </c>
      <c r="C159" s="4">
        <f>Fact_Production_Hourly!C159</f>
        <v>22</v>
      </c>
      <c r="D159" s="4" t="str">
        <f>Fact_Production_Hourly!D159</f>
        <v>M4</v>
      </c>
      <c r="E159" s="4" t="str">
        <f>Fact_Production_Hourly!E159</f>
        <v>B-PM</v>
      </c>
      <c r="F159" s="4" t="str">
        <f>Fact_Production_Hourly!F159</f>
        <v>A</v>
      </c>
      <c r="G159" s="4">
        <f>INDEX(Dim_Machine!$D$2:$D$8,MATCH(D159,Dim_Machine!$A$2:$A$8,0))*2</f>
        <v>48</v>
      </c>
      <c r="H159" s="4">
        <f>ROUND(G159*0.0254,0)</f>
        <v>1</v>
      </c>
      <c r="I159" s="4">
        <f t="shared" si="16"/>
        <v>0</v>
      </c>
      <c r="J159" s="4">
        <f t="shared" si="17"/>
        <v>0</v>
      </c>
      <c r="K159" s="4">
        <f t="shared" si="18"/>
        <v>1</v>
      </c>
      <c r="L159" s="4" t="s">
        <v>503</v>
      </c>
      <c r="M159" s="4">
        <f>INDEX(Dim_Product!$C$2:$C$4,MATCH(F159,Dim_Product!$A$2:$A$4,0))+0.93</f>
        <v>250.93</v>
      </c>
      <c r="N159" s="4">
        <f>IF(AND(M159&gt;=INDEX(Dim_Product!$C$2:$C$4,MATCH(F159,Dim_Product!$A$2:$A$4,0))-INDEX(Dim_Product!$D$2:$D$4,MATCH(F159,Dim_Product!$A$2:$A$4,0)),M159&lt;=INDEX(Dim_Product!$C$2:$C$4,MATCH(F159,Dim_Product!$A$2:$A$4,0))+INDEX(Dim_Product!$D$2:$D$4,MATCH(F159,Dim_Product!$A$2:$A$4,0))),G159-H159,G159-H159-1)</f>
        <v>47</v>
      </c>
      <c r="O159" s="4">
        <f t="shared" si="19"/>
        <v>1</v>
      </c>
      <c r="P159" s="4">
        <f>INDEX(Dim_Product!$G$2:$G$4,MATCH(F159,Dim_Product!$A$2:$A$4,0))+0.09</f>
        <v>70.09</v>
      </c>
      <c r="Q159" s="4">
        <f>IF(AND(P159&gt;=INDEX(Dim_Product!$G$2:$G$4,MATCH(F159,Dim_Product!$A$2:$A$4,0))-INDEX(Dim_Product!$H$2:$H$4,MATCH(F159,Dim_Product!$A$2:$A$4,0)),P159&lt;=INDEX(Dim_Product!$G$2:$G$4,MATCH(F159,Dim_Product!$A$2:$A$4,0))+INDEX(Dim_Product!$H$2:$H$4,MATCH(F159,Dim_Product!$A$2:$A$4,0))),G159-H159,G159-H159-1)</f>
        <v>47</v>
      </c>
      <c r="R159" s="4">
        <f t="shared" si="20"/>
        <v>1</v>
      </c>
      <c r="S159" s="4">
        <f>INDEX(Dim_Product!$K$2:$K$4,MATCH(F159,Dim_Product!$A$2:$A$4,0))+-0.01</f>
        <v>119.99</v>
      </c>
      <c r="T159" s="4">
        <f>IF(AND(S159&gt;=INDEX(Dim_Product!$K$2:$K$4,MATCH(F159,Dim_Product!$A$2:$A$4,0))-INDEX(Dim_Product!$L$2:$L$4,MATCH(F159,Dim_Product!$A$2:$A$4,0)),S159&lt;=INDEX(Dim_Product!$K$2:$K$4,MATCH(F159,Dim_Product!$A$2:$A$4,0))+INDEX(Dim_Product!$L$2:$L$4,MATCH(F159,Dim_Product!$A$2:$A$4,0))),G159-H159,G159-H159-1)</f>
        <v>47</v>
      </c>
      <c r="U159" s="4">
        <f t="shared" si="21"/>
        <v>1</v>
      </c>
      <c r="V159" s="4">
        <f t="shared" si="22"/>
        <v>2.0833333333333332E-2</v>
      </c>
      <c r="W159" s="19">
        <f t="shared" si="23"/>
        <v>0.97916666666666663</v>
      </c>
    </row>
    <row r="160" spans="1:23" x14ac:dyDescent="0.25">
      <c r="A160" s="18" t="s">
        <v>661</v>
      </c>
      <c r="B160" s="4">
        <f>Fact_Production_Hourly!B160</f>
        <v>20260701</v>
      </c>
      <c r="C160" s="4">
        <f>Fact_Production_Hourly!C160</f>
        <v>22</v>
      </c>
      <c r="D160" s="4" t="str">
        <f>Fact_Production_Hourly!D160</f>
        <v>M5</v>
      </c>
      <c r="E160" s="4" t="str">
        <f>Fact_Production_Hourly!E160</f>
        <v>B-PM</v>
      </c>
      <c r="F160" s="4" t="str">
        <f>Fact_Production_Hourly!F160</f>
        <v>A</v>
      </c>
      <c r="G160" s="4">
        <f>INDEX(Dim_Machine!$D$2:$D$8,MATCH(D160,Dim_Machine!$A$2:$A$8,0))*2</f>
        <v>32</v>
      </c>
      <c r="H160" s="4">
        <f>ROUND(G160*0.0201,0)</f>
        <v>1</v>
      </c>
      <c r="I160" s="4">
        <f t="shared" si="16"/>
        <v>0</v>
      </c>
      <c r="J160" s="4">
        <f t="shared" si="17"/>
        <v>0</v>
      </c>
      <c r="K160" s="4">
        <f t="shared" si="18"/>
        <v>1</v>
      </c>
      <c r="L160" s="4" t="s">
        <v>517</v>
      </c>
      <c r="M160" s="4">
        <f>INDEX(Dim_Product!$C$2:$C$4,MATCH(F160,Dim_Product!$A$2:$A$4,0))+-0.66</f>
        <v>249.34</v>
      </c>
      <c r="N160" s="4">
        <f>IF(AND(M160&gt;=INDEX(Dim_Product!$C$2:$C$4,MATCH(F160,Dim_Product!$A$2:$A$4,0))-INDEX(Dim_Product!$D$2:$D$4,MATCH(F160,Dim_Product!$A$2:$A$4,0)),M160&lt;=INDEX(Dim_Product!$C$2:$C$4,MATCH(F160,Dim_Product!$A$2:$A$4,0))+INDEX(Dim_Product!$D$2:$D$4,MATCH(F160,Dim_Product!$A$2:$A$4,0))),G160-H160,G160-H160-1)</f>
        <v>31</v>
      </c>
      <c r="O160" s="4">
        <f t="shared" si="19"/>
        <v>1</v>
      </c>
      <c r="P160" s="4">
        <f>INDEX(Dim_Product!$G$2:$G$4,MATCH(F160,Dim_Product!$A$2:$A$4,0))+0.13</f>
        <v>70.13</v>
      </c>
      <c r="Q160" s="4">
        <f>IF(AND(P160&gt;=INDEX(Dim_Product!$G$2:$G$4,MATCH(F160,Dim_Product!$A$2:$A$4,0))-INDEX(Dim_Product!$H$2:$H$4,MATCH(F160,Dim_Product!$A$2:$A$4,0)),P160&lt;=INDEX(Dim_Product!$G$2:$G$4,MATCH(F160,Dim_Product!$A$2:$A$4,0))+INDEX(Dim_Product!$H$2:$H$4,MATCH(F160,Dim_Product!$A$2:$A$4,0))),G160-H160,G160-H160-1)</f>
        <v>31</v>
      </c>
      <c r="R160" s="4">
        <f t="shared" si="20"/>
        <v>1</v>
      </c>
      <c r="S160" s="4">
        <f>INDEX(Dim_Product!$K$2:$K$4,MATCH(F160,Dim_Product!$A$2:$A$4,0))+-0.01</f>
        <v>119.99</v>
      </c>
      <c r="T160" s="4">
        <f>IF(AND(S160&gt;=INDEX(Dim_Product!$K$2:$K$4,MATCH(F160,Dim_Product!$A$2:$A$4,0))-INDEX(Dim_Product!$L$2:$L$4,MATCH(F160,Dim_Product!$A$2:$A$4,0)),S160&lt;=INDEX(Dim_Product!$K$2:$K$4,MATCH(F160,Dim_Product!$A$2:$A$4,0))+INDEX(Dim_Product!$L$2:$L$4,MATCH(F160,Dim_Product!$A$2:$A$4,0))),G160-H160,G160-H160-1)</f>
        <v>31</v>
      </c>
      <c r="U160" s="4">
        <f t="shared" si="21"/>
        <v>1</v>
      </c>
      <c r="V160" s="4">
        <f t="shared" si="22"/>
        <v>3.125E-2</v>
      </c>
      <c r="W160" s="19">
        <f t="shared" si="23"/>
        <v>0.96875</v>
      </c>
    </row>
    <row r="161" spans="1:23" x14ac:dyDescent="0.25">
      <c r="A161" s="18" t="s">
        <v>662</v>
      </c>
      <c r="B161" s="4">
        <f>Fact_Production_Hourly!B161</f>
        <v>20260701</v>
      </c>
      <c r="C161" s="4">
        <f>Fact_Production_Hourly!C161</f>
        <v>22</v>
      </c>
      <c r="D161" s="4" t="str">
        <f>Fact_Production_Hourly!D161</f>
        <v>M6</v>
      </c>
      <c r="E161" s="4" t="str">
        <f>Fact_Production_Hourly!E161</f>
        <v>B-PM</v>
      </c>
      <c r="F161" s="4" t="str">
        <f>Fact_Production_Hourly!F161</f>
        <v>C</v>
      </c>
      <c r="G161" s="4">
        <f>INDEX(Dim_Machine!$D$2:$D$8,MATCH(D161,Dim_Machine!$A$2:$A$8,0))*2</f>
        <v>24</v>
      </c>
      <c r="H161" s="4">
        <f>ROUND(G161*0.065,0)</f>
        <v>2</v>
      </c>
      <c r="I161" s="4">
        <f t="shared" si="16"/>
        <v>0</v>
      </c>
      <c r="J161" s="4">
        <f t="shared" si="17"/>
        <v>1</v>
      </c>
      <c r="K161" s="4">
        <f t="shared" si="18"/>
        <v>1</v>
      </c>
      <c r="L161" s="4" t="s">
        <v>509</v>
      </c>
      <c r="M161" s="4">
        <f>INDEX(Dim_Product!$C$2:$C$4,MATCH(F161,Dim_Product!$A$2:$A$4,0))+0.98</f>
        <v>200.98</v>
      </c>
      <c r="N161" s="4">
        <f>IF(AND(M161&gt;=INDEX(Dim_Product!$C$2:$C$4,MATCH(F161,Dim_Product!$A$2:$A$4,0))-INDEX(Dim_Product!$D$2:$D$4,MATCH(F161,Dim_Product!$A$2:$A$4,0)),M161&lt;=INDEX(Dim_Product!$C$2:$C$4,MATCH(F161,Dim_Product!$A$2:$A$4,0))+INDEX(Dim_Product!$D$2:$D$4,MATCH(F161,Dim_Product!$A$2:$A$4,0))),G161-H161,G161-H161-1)</f>
        <v>22</v>
      </c>
      <c r="O161" s="4">
        <f t="shared" si="19"/>
        <v>2</v>
      </c>
      <c r="P161" s="4">
        <f>INDEX(Dim_Product!$G$2:$G$4,MATCH(F161,Dim_Product!$A$2:$A$4,0))+0.27</f>
        <v>65.27</v>
      </c>
      <c r="Q161" s="4">
        <f>IF(AND(P161&gt;=INDEX(Dim_Product!$G$2:$G$4,MATCH(F161,Dim_Product!$A$2:$A$4,0))-INDEX(Dim_Product!$H$2:$H$4,MATCH(F161,Dim_Product!$A$2:$A$4,0)),P161&lt;=INDEX(Dim_Product!$G$2:$G$4,MATCH(F161,Dim_Product!$A$2:$A$4,0))+INDEX(Dim_Product!$H$2:$H$4,MATCH(F161,Dim_Product!$A$2:$A$4,0))),G161-H161,G161-H161-1)</f>
        <v>22</v>
      </c>
      <c r="R161" s="4">
        <f t="shared" si="20"/>
        <v>2</v>
      </c>
      <c r="S161" s="4">
        <f>INDEX(Dim_Product!$K$2:$K$4,MATCH(F161,Dim_Product!$A$2:$A$4,0))+0.02</f>
        <v>110.02</v>
      </c>
      <c r="T161" s="4">
        <f>IF(AND(S161&gt;=INDEX(Dim_Product!$K$2:$K$4,MATCH(F161,Dim_Product!$A$2:$A$4,0))-INDEX(Dim_Product!$L$2:$L$4,MATCH(F161,Dim_Product!$A$2:$A$4,0)),S161&lt;=INDEX(Dim_Product!$K$2:$K$4,MATCH(F161,Dim_Product!$A$2:$A$4,0))+INDEX(Dim_Product!$L$2:$L$4,MATCH(F161,Dim_Product!$A$2:$A$4,0))),G161-H161,G161-H161-1)</f>
        <v>22</v>
      </c>
      <c r="U161" s="4">
        <f t="shared" si="21"/>
        <v>2</v>
      </c>
      <c r="V161" s="4">
        <f t="shared" si="22"/>
        <v>8.3333333333333329E-2</v>
      </c>
      <c r="W161" s="19">
        <f t="shared" si="23"/>
        <v>0.91666666666666663</v>
      </c>
    </row>
    <row r="162" spans="1:23" x14ac:dyDescent="0.25">
      <c r="A162" s="18" t="s">
        <v>663</v>
      </c>
      <c r="B162" s="4">
        <f>Fact_Production_Hourly!B162</f>
        <v>20260701</v>
      </c>
      <c r="C162" s="4">
        <f>Fact_Production_Hourly!C162</f>
        <v>22</v>
      </c>
      <c r="D162" s="4" t="str">
        <f>Fact_Production_Hourly!D162</f>
        <v>M7</v>
      </c>
      <c r="E162" s="4" t="str">
        <f>Fact_Production_Hourly!E162</f>
        <v>B-PM</v>
      </c>
      <c r="F162" s="4" t="str">
        <f>Fact_Production_Hourly!F162</f>
        <v>A</v>
      </c>
      <c r="G162" s="4">
        <f>INDEX(Dim_Machine!$D$2:$D$8,MATCH(D162,Dim_Machine!$A$2:$A$8,0))*2</f>
        <v>48</v>
      </c>
      <c r="H162" s="4">
        <f>ROUND(G162*0.0603,0)</f>
        <v>3</v>
      </c>
      <c r="I162" s="4">
        <f t="shared" si="16"/>
        <v>0</v>
      </c>
      <c r="J162" s="4">
        <f t="shared" si="17"/>
        <v>1</v>
      </c>
      <c r="K162" s="4">
        <f t="shared" si="18"/>
        <v>2</v>
      </c>
      <c r="L162" s="4" t="s">
        <v>498</v>
      </c>
      <c r="M162" s="4">
        <f>INDEX(Dim_Product!$C$2:$C$4,MATCH(F162,Dim_Product!$A$2:$A$4,0))+0.89</f>
        <v>250.89</v>
      </c>
      <c r="N162" s="4">
        <f>IF(AND(M162&gt;=INDEX(Dim_Product!$C$2:$C$4,MATCH(F162,Dim_Product!$A$2:$A$4,0))-INDEX(Dim_Product!$D$2:$D$4,MATCH(F162,Dim_Product!$A$2:$A$4,0)),M162&lt;=INDEX(Dim_Product!$C$2:$C$4,MATCH(F162,Dim_Product!$A$2:$A$4,0))+INDEX(Dim_Product!$D$2:$D$4,MATCH(F162,Dim_Product!$A$2:$A$4,0))),G162-H162,G162-H162-1)</f>
        <v>45</v>
      </c>
      <c r="O162" s="4">
        <f t="shared" si="19"/>
        <v>3</v>
      </c>
      <c r="P162" s="4">
        <f>INDEX(Dim_Product!$G$2:$G$4,MATCH(F162,Dim_Product!$A$2:$A$4,0))+0.1</f>
        <v>70.099999999999994</v>
      </c>
      <c r="Q162" s="4">
        <f>IF(AND(P162&gt;=INDEX(Dim_Product!$G$2:$G$4,MATCH(F162,Dim_Product!$A$2:$A$4,0))-INDEX(Dim_Product!$H$2:$H$4,MATCH(F162,Dim_Product!$A$2:$A$4,0)),P162&lt;=INDEX(Dim_Product!$G$2:$G$4,MATCH(F162,Dim_Product!$A$2:$A$4,0))+INDEX(Dim_Product!$H$2:$H$4,MATCH(F162,Dim_Product!$A$2:$A$4,0))),G162-H162,G162-H162-1)</f>
        <v>45</v>
      </c>
      <c r="R162" s="4">
        <f t="shared" si="20"/>
        <v>3</v>
      </c>
      <c r="S162" s="4">
        <f>INDEX(Dim_Product!$K$2:$K$4,MATCH(F162,Dim_Product!$A$2:$A$4,0))+0.21</f>
        <v>120.21</v>
      </c>
      <c r="T162" s="4">
        <f>IF(AND(S162&gt;=INDEX(Dim_Product!$K$2:$K$4,MATCH(F162,Dim_Product!$A$2:$A$4,0))-INDEX(Dim_Product!$L$2:$L$4,MATCH(F162,Dim_Product!$A$2:$A$4,0)),S162&lt;=INDEX(Dim_Product!$K$2:$K$4,MATCH(F162,Dim_Product!$A$2:$A$4,0))+INDEX(Dim_Product!$L$2:$L$4,MATCH(F162,Dim_Product!$A$2:$A$4,0))),G162-H162,G162-H162-1)</f>
        <v>45</v>
      </c>
      <c r="U162" s="4">
        <f t="shared" si="21"/>
        <v>3</v>
      </c>
      <c r="V162" s="4">
        <f t="shared" si="22"/>
        <v>6.25E-2</v>
      </c>
      <c r="W162" s="19">
        <f t="shared" si="23"/>
        <v>0.9375</v>
      </c>
    </row>
    <row r="163" spans="1:23" x14ac:dyDescent="0.25">
      <c r="A163" s="18" t="s">
        <v>664</v>
      </c>
      <c r="B163" s="4">
        <f>Fact_Production_Hourly!B163</f>
        <v>20260701</v>
      </c>
      <c r="C163" s="4">
        <f>Fact_Production_Hourly!C163</f>
        <v>23</v>
      </c>
      <c r="D163" s="4" t="str">
        <f>Fact_Production_Hourly!D163</f>
        <v>M1</v>
      </c>
      <c r="E163" s="4" t="str">
        <f>Fact_Production_Hourly!E163</f>
        <v>B-PM</v>
      </c>
      <c r="F163" s="4" t="str">
        <f>Fact_Production_Hourly!F163</f>
        <v>A</v>
      </c>
      <c r="G163" s="4">
        <f>INDEX(Dim_Machine!$D$2:$D$8,MATCH(D163,Dim_Machine!$A$2:$A$8,0))*2</f>
        <v>32</v>
      </c>
      <c r="H163" s="4">
        <f>ROUND(G163*0.0347,0)</f>
        <v>1</v>
      </c>
      <c r="I163" s="4">
        <f t="shared" si="16"/>
        <v>0</v>
      </c>
      <c r="J163" s="4">
        <f t="shared" si="17"/>
        <v>0</v>
      </c>
      <c r="K163" s="4">
        <f t="shared" si="18"/>
        <v>1</v>
      </c>
      <c r="L163" s="4" t="s">
        <v>520</v>
      </c>
      <c r="M163" s="4">
        <f>INDEX(Dim_Product!$C$2:$C$4,MATCH(F163,Dim_Product!$A$2:$A$4,0))+-0.54</f>
        <v>249.46</v>
      </c>
      <c r="N163" s="4">
        <f>IF(AND(M163&gt;=INDEX(Dim_Product!$C$2:$C$4,MATCH(F163,Dim_Product!$A$2:$A$4,0))-INDEX(Dim_Product!$D$2:$D$4,MATCH(F163,Dim_Product!$A$2:$A$4,0)),M163&lt;=INDEX(Dim_Product!$C$2:$C$4,MATCH(F163,Dim_Product!$A$2:$A$4,0))+INDEX(Dim_Product!$D$2:$D$4,MATCH(F163,Dim_Product!$A$2:$A$4,0))),G163-H163,G163-H163-1)</f>
        <v>31</v>
      </c>
      <c r="O163" s="4">
        <f t="shared" si="19"/>
        <v>1</v>
      </c>
      <c r="P163" s="4">
        <f>INDEX(Dim_Product!$G$2:$G$4,MATCH(F163,Dim_Product!$A$2:$A$4,0))+0.12</f>
        <v>70.12</v>
      </c>
      <c r="Q163" s="4">
        <f>IF(AND(P163&gt;=INDEX(Dim_Product!$G$2:$G$4,MATCH(F163,Dim_Product!$A$2:$A$4,0))-INDEX(Dim_Product!$H$2:$H$4,MATCH(F163,Dim_Product!$A$2:$A$4,0)),P163&lt;=INDEX(Dim_Product!$G$2:$G$4,MATCH(F163,Dim_Product!$A$2:$A$4,0))+INDEX(Dim_Product!$H$2:$H$4,MATCH(F163,Dim_Product!$A$2:$A$4,0))),G163-H163,G163-H163-1)</f>
        <v>31</v>
      </c>
      <c r="R163" s="4">
        <f t="shared" si="20"/>
        <v>1</v>
      </c>
      <c r="S163" s="4">
        <f>INDEX(Dim_Product!$K$2:$K$4,MATCH(F163,Dim_Product!$A$2:$A$4,0))+-0.39</f>
        <v>119.61</v>
      </c>
      <c r="T163" s="4">
        <f>IF(AND(S163&gt;=INDEX(Dim_Product!$K$2:$K$4,MATCH(F163,Dim_Product!$A$2:$A$4,0))-INDEX(Dim_Product!$L$2:$L$4,MATCH(F163,Dim_Product!$A$2:$A$4,0)),S163&lt;=INDEX(Dim_Product!$K$2:$K$4,MATCH(F163,Dim_Product!$A$2:$A$4,0))+INDEX(Dim_Product!$L$2:$L$4,MATCH(F163,Dim_Product!$A$2:$A$4,0))),G163-H163,G163-H163-1)</f>
        <v>31</v>
      </c>
      <c r="U163" s="4">
        <f t="shared" si="21"/>
        <v>1</v>
      </c>
      <c r="V163" s="4">
        <f t="shared" si="22"/>
        <v>3.125E-2</v>
      </c>
      <c r="W163" s="19">
        <f t="shared" si="23"/>
        <v>0.96875</v>
      </c>
    </row>
    <row r="164" spans="1:23" x14ac:dyDescent="0.25">
      <c r="A164" s="18" t="s">
        <v>665</v>
      </c>
      <c r="B164" s="4">
        <f>Fact_Production_Hourly!B164</f>
        <v>20260701</v>
      </c>
      <c r="C164" s="4">
        <f>Fact_Production_Hourly!C164</f>
        <v>23</v>
      </c>
      <c r="D164" s="4" t="str">
        <f>Fact_Production_Hourly!D164</f>
        <v>M2</v>
      </c>
      <c r="E164" s="4" t="str">
        <f>Fact_Production_Hourly!E164</f>
        <v>B-PM</v>
      </c>
      <c r="F164" s="4" t="str">
        <f>Fact_Production_Hourly!F164</f>
        <v>C</v>
      </c>
      <c r="G164" s="4">
        <f>INDEX(Dim_Machine!$D$2:$D$8,MATCH(D164,Dim_Machine!$A$2:$A$8,0))*2</f>
        <v>48</v>
      </c>
      <c r="H164" s="4">
        <f>ROUND(G164*0.0403,0)</f>
        <v>2</v>
      </c>
      <c r="I164" s="4">
        <f t="shared" si="16"/>
        <v>0</v>
      </c>
      <c r="J164" s="4">
        <f t="shared" si="17"/>
        <v>1</v>
      </c>
      <c r="K164" s="4">
        <f t="shared" si="18"/>
        <v>1</v>
      </c>
      <c r="L164" s="4" t="s">
        <v>517</v>
      </c>
      <c r="M164" s="4">
        <f>INDEX(Dim_Product!$C$2:$C$4,MATCH(F164,Dim_Product!$A$2:$A$4,0))+-0.88</f>
        <v>199.12</v>
      </c>
      <c r="N164" s="4">
        <f>IF(AND(M164&gt;=INDEX(Dim_Product!$C$2:$C$4,MATCH(F164,Dim_Product!$A$2:$A$4,0))-INDEX(Dim_Product!$D$2:$D$4,MATCH(F164,Dim_Product!$A$2:$A$4,0)),M164&lt;=INDEX(Dim_Product!$C$2:$C$4,MATCH(F164,Dim_Product!$A$2:$A$4,0))+INDEX(Dim_Product!$D$2:$D$4,MATCH(F164,Dim_Product!$A$2:$A$4,0))),G164-H164,G164-H164-1)</f>
        <v>46</v>
      </c>
      <c r="O164" s="4">
        <f t="shared" si="19"/>
        <v>2</v>
      </c>
      <c r="P164" s="4">
        <f>INDEX(Dim_Product!$G$2:$G$4,MATCH(F164,Dim_Product!$A$2:$A$4,0))+0.08</f>
        <v>65.08</v>
      </c>
      <c r="Q164" s="4">
        <f>IF(AND(P164&gt;=INDEX(Dim_Product!$G$2:$G$4,MATCH(F164,Dim_Product!$A$2:$A$4,0))-INDEX(Dim_Product!$H$2:$H$4,MATCH(F164,Dim_Product!$A$2:$A$4,0)),P164&lt;=INDEX(Dim_Product!$G$2:$G$4,MATCH(F164,Dim_Product!$A$2:$A$4,0))+INDEX(Dim_Product!$H$2:$H$4,MATCH(F164,Dim_Product!$A$2:$A$4,0))),G164-H164,G164-H164-1)</f>
        <v>46</v>
      </c>
      <c r="R164" s="4">
        <f t="shared" si="20"/>
        <v>2</v>
      </c>
      <c r="S164" s="4">
        <f>INDEX(Dim_Product!$K$2:$K$4,MATCH(F164,Dim_Product!$A$2:$A$4,0))+0.35</f>
        <v>110.35</v>
      </c>
      <c r="T164" s="4">
        <f>IF(AND(S164&gt;=INDEX(Dim_Product!$K$2:$K$4,MATCH(F164,Dim_Product!$A$2:$A$4,0))-INDEX(Dim_Product!$L$2:$L$4,MATCH(F164,Dim_Product!$A$2:$A$4,0)),S164&lt;=INDEX(Dim_Product!$K$2:$K$4,MATCH(F164,Dim_Product!$A$2:$A$4,0))+INDEX(Dim_Product!$L$2:$L$4,MATCH(F164,Dim_Product!$A$2:$A$4,0))),G164-H164,G164-H164-1)</f>
        <v>46</v>
      </c>
      <c r="U164" s="4">
        <f t="shared" si="21"/>
        <v>2</v>
      </c>
      <c r="V164" s="4">
        <f t="shared" si="22"/>
        <v>4.1666666666666664E-2</v>
      </c>
      <c r="W164" s="19">
        <f t="shared" si="23"/>
        <v>0.95833333333333337</v>
      </c>
    </row>
    <row r="165" spans="1:23" x14ac:dyDescent="0.25">
      <c r="A165" s="18" t="s">
        <v>666</v>
      </c>
      <c r="B165" s="4">
        <f>Fact_Production_Hourly!B165</f>
        <v>20260701</v>
      </c>
      <c r="C165" s="4">
        <f>Fact_Production_Hourly!C165</f>
        <v>23</v>
      </c>
      <c r="D165" s="4" t="str">
        <f>Fact_Production_Hourly!D165</f>
        <v>M3</v>
      </c>
      <c r="E165" s="4" t="str">
        <f>Fact_Production_Hourly!E165</f>
        <v>B-PM</v>
      </c>
      <c r="F165" s="4" t="str">
        <f>Fact_Production_Hourly!F165</f>
        <v>A</v>
      </c>
      <c r="G165" s="4">
        <f>INDEX(Dim_Machine!$D$2:$D$8,MATCH(D165,Dim_Machine!$A$2:$A$8,0))*2</f>
        <v>24</v>
      </c>
      <c r="H165" s="4">
        <f>ROUND(G165*0.0648,0)</f>
        <v>2</v>
      </c>
      <c r="I165" s="4">
        <f t="shared" si="16"/>
        <v>0</v>
      </c>
      <c r="J165" s="4">
        <f t="shared" si="17"/>
        <v>1</v>
      </c>
      <c r="K165" s="4">
        <f t="shared" si="18"/>
        <v>1</v>
      </c>
      <c r="L165" s="4" t="s">
        <v>520</v>
      </c>
      <c r="M165" s="4">
        <f>INDEX(Dim_Product!$C$2:$C$4,MATCH(F165,Dim_Product!$A$2:$A$4,0))+-0.02</f>
        <v>249.98</v>
      </c>
      <c r="N165" s="4">
        <f>IF(AND(M165&gt;=INDEX(Dim_Product!$C$2:$C$4,MATCH(F165,Dim_Product!$A$2:$A$4,0))-INDEX(Dim_Product!$D$2:$D$4,MATCH(F165,Dim_Product!$A$2:$A$4,0)),M165&lt;=INDEX(Dim_Product!$C$2:$C$4,MATCH(F165,Dim_Product!$A$2:$A$4,0))+INDEX(Dim_Product!$D$2:$D$4,MATCH(F165,Dim_Product!$A$2:$A$4,0))),G165-H165,G165-H165-1)</f>
        <v>22</v>
      </c>
      <c r="O165" s="4">
        <f t="shared" si="19"/>
        <v>2</v>
      </c>
      <c r="P165" s="4">
        <f>INDEX(Dim_Product!$G$2:$G$4,MATCH(F165,Dim_Product!$A$2:$A$4,0))+-0.3</f>
        <v>69.7</v>
      </c>
      <c r="Q165" s="4">
        <f>IF(AND(P165&gt;=INDEX(Dim_Product!$G$2:$G$4,MATCH(F165,Dim_Product!$A$2:$A$4,0))-INDEX(Dim_Product!$H$2:$H$4,MATCH(F165,Dim_Product!$A$2:$A$4,0)),P165&lt;=INDEX(Dim_Product!$G$2:$G$4,MATCH(F165,Dim_Product!$A$2:$A$4,0))+INDEX(Dim_Product!$H$2:$H$4,MATCH(F165,Dim_Product!$A$2:$A$4,0))),G165-H165,G165-H165-1)</f>
        <v>22</v>
      </c>
      <c r="R165" s="4">
        <f t="shared" si="20"/>
        <v>2</v>
      </c>
      <c r="S165" s="4">
        <f>INDEX(Dim_Product!$K$2:$K$4,MATCH(F165,Dim_Product!$A$2:$A$4,0))+0.04</f>
        <v>120.04</v>
      </c>
      <c r="T165" s="4">
        <f>IF(AND(S165&gt;=INDEX(Dim_Product!$K$2:$K$4,MATCH(F165,Dim_Product!$A$2:$A$4,0))-INDEX(Dim_Product!$L$2:$L$4,MATCH(F165,Dim_Product!$A$2:$A$4,0)),S165&lt;=INDEX(Dim_Product!$K$2:$K$4,MATCH(F165,Dim_Product!$A$2:$A$4,0))+INDEX(Dim_Product!$L$2:$L$4,MATCH(F165,Dim_Product!$A$2:$A$4,0))),G165-H165,G165-H165-1)</f>
        <v>22</v>
      </c>
      <c r="U165" s="4">
        <f t="shared" si="21"/>
        <v>2</v>
      </c>
      <c r="V165" s="4">
        <f t="shared" si="22"/>
        <v>8.3333333333333329E-2</v>
      </c>
      <c r="W165" s="19">
        <f t="shared" si="23"/>
        <v>0.91666666666666663</v>
      </c>
    </row>
    <row r="166" spans="1:23" x14ac:dyDescent="0.25">
      <c r="A166" s="18" t="s">
        <v>667</v>
      </c>
      <c r="B166" s="4">
        <f>Fact_Production_Hourly!B166</f>
        <v>20260701</v>
      </c>
      <c r="C166" s="4">
        <f>Fact_Production_Hourly!C166</f>
        <v>23</v>
      </c>
      <c r="D166" s="4" t="str">
        <f>Fact_Production_Hourly!D166</f>
        <v>M4</v>
      </c>
      <c r="E166" s="4" t="str">
        <f>Fact_Production_Hourly!E166</f>
        <v>B-PM</v>
      </c>
      <c r="F166" s="4" t="str">
        <f>Fact_Production_Hourly!F166</f>
        <v>A</v>
      </c>
      <c r="G166" s="4">
        <f>INDEX(Dim_Machine!$D$2:$D$8,MATCH(D166,Dim_Machine!$A$2:$A$8,0))*2</f>
        <v>48</v>
      </c>
      <c r="H166" s="4">
        <f>ROUND(G166*0.0107,0)</f>
        <v>1</v>
      </c>
      <c r="I166" s="4">
        <f t="shared" si="16"/>
        <v>0</v>
      </c>
      <c r="J166" s="4">
        <f t="shared" si="17"/>
        <v>0</v>
      </c>
      <c r="K166" s="4">
        <f t="shared" si="18"/>
        <v>1</v>
      </c>
      <c r="L166" s="4" t="s">
        <v>509</v>
      </c>
      <c r="M166" s="4">
        <f>INDEX(Dim_Product!$C$2:$C$4,MATCH(F166,Dim_Product!$A$2:$A$4,0))+0.44</f>
        <v>250.44</v>
      </c>
      <c r="N166" s="4">
        <f>IF(AND(M166&gt;=INDEX(Dim_Product!$C$2:$C$4,MATCH(F166,Dim_Product!$A$2:$A$4,0))-INDEX(Dim_Product!$D$2:$D$4,MATCH(F166,Dim_Product!$A$2:$A$4,0)),M166&lt;=INDEX(Dim_Product!$C$2:$C$4,MATCH(F166,Dim_Product!$A$2:$A$4,0))+INDEX(Dim_Product!$D$2:$D$4,MATCH(F166,Dim_Product!$A$2:$A$4,0))),G166-H166,G166-H166-1)</f>
        <v>47</v>
      </c>
      <c r="O166" s="4">
        <f t="shared" si="19"/>
        <v>1</v>
      </c>
      <c r="P166" s="4">
        <f>INDEX(Dim_Product!$G$2:$G$4,MATCH(F166,Dim_Product!$A$2:$A$4,0))+0.02</f>
        <v>70.02</v>
      </c>
      <c r="Q166" s="4">
        <f>IF(AND(P166&gt;=INDEX(Dim_Product!$G$2:$G$4,MATCH(F166,Dim_Product!$A$2:$A$4,0))-INDEX(Dim_Product!$H$2:$H$4,MATCH(F166,Dim_Product!$A$2:$A$4,0)),P166&lt;=INDEX(Dim_Product!$G$2:$G$4,MATCH(F166,Dim_Product!$A$2:$A$4,0))+INDEX(Dim_Product!$H$2:$H$4,MATCH(F166,Dim_Product!$A$2:$A$4,0))),G166-H166,G166-H166-1)</f>
        <v>47</v>
      </c>
      <c r="R166" s="4">
        <f t="shared" si="20"/>
        <v>1</v>
      </c>
      <c r="S166" s="4">
        <f>INDEX(Dim_Product!$K$2:$K$4,MATCH(F166,Dim_Product!$A$2:$A$4,0))+-0.17</f>
        <v>119.83</v>
      </c>
      <c r="T166" s="4">
        <f>IF(AND(S166&gt;=INDEX(Dim_Product!$K$2:$K$4,MATCH(F166,Dim_Product!$A$2:$A$4,0))-INDEX(Dim_Product!$L$2:$L$4,MATCH(F166,Dim_Product!$A$2:$A$4,0)),S166&lt;=INDEX(Dim_Product!$K$2:$K$4,MATCH(F166,Dim_Product!$A$2:$A$4,0))+INDEX(Dim_Product!$L$2:$L$4,MATCH(F166,Dim_Product!$A$2:$A$4,0))),G166-H166,G166-H166-1)</f>
        <v>47</v>
      </c>
      <c r="U166" s="4">
        <f t="shared" si="21"/>
        <v>1</v>
      </c>
      <c r="V166" s="4">
        <f t="shared" si="22"/>
        <v>2.0833333333333332E-2</v>
      </c>
      <c r="W166" s="19">
        <f t="shared" si="23"/>
        <v>0.97916666666666663</v>
      </c>
    </row>
    <row r="167" spans="1:23" x14ac:dyDescent="0.25">
      <c r="A167" s="18" t="s">
        <v>668</v>
      </c>
      <c r="B167" s="4">
        <f>Fact_Production_Hourly!B167</f>
        <v>20260701</v>
      </c>
      <c r="C167" s="4">
        <f>Fact_Production_Hourly!C167</f>
        <v>23</v>
      </c>
      <c r="D167" s="4" t="str">
        <f>Fact_Production_Hourly!D167</f>
        <v>M5</v>
      </c>
      <c r="E167" s="4" t="str">
        <f>Fact_Production_Hourly!E167</f>
        <v>B-PM</v>
      </c>
      <c r="F167" s="4" t="str">
        <f>Fact_Production_Hourly!F167</f>
        <v>A</v>
      </c>
      <c r="G167" s="4">
        <f>INDEX(Dim_Machine!$D$2:$D$8,MATCH(D167,Dim_Machine!$A$2:$A$8,0))*2</f>
        <v>32</v>
      </c>
      <c r="H167" s="4">
        <f>ROUND(G167*0.0401,0)</f>
        <v>1</v>
      </c>
      <c r="I167" s="4">
        <f t="shared" si="16"/>
        <v>0</v>
      </c>
      <c r="J167" s="4">
        <f t="shared" si="17"/>
        <v>0</v>
      </c>
      <c r="K167" s="4">
        <f t="shared" si="18"/>
        <v>1</v>
      </c>
      <c r="L167" s="4" t="s">
        <v>520</v>
      </c>
      <c r="M167" s="4">
        <f>INDEX(Dim_Product!$C$2:$C$4,MATCH(F167,Dim_Product!$A$2:$A$4,0))+0.35</f>
        <v>250.35</v>
      </c>
      <c r="N167" s="4">
        <f>IF(AND(M167&gt;=INDEX(Dim_Product!$C$2:$C$4,MATCH(F167,Dim_Product!$A$2:$A$4,0))-INDEX(Dim_Product!$D$2:$D$4,MATCH(F167,Dim_Product!$A$2:$A$4,0)),M167&lt;=INDEX(Dim_Product!$C$2:$C$4,MATCH(F167,Dim_Product!$A$2:$A$4,0))+INDEX(Dim_Product!$D$2:$D$4,MATCH(F167,Dim_Product!$A$2:$A$4,0))),G167-H167,G167-H167-1)</f>
        <v>31</v>
      </c>
      <c r="O167" s="4">
        <f t="shared" si="19"/>
        <v>1</v>
      </c>
      <c r="P167" s="4">
        <f>INDEX(Dim_Product!$G$2:$G$4,MATCH(F167,Dim_Product!$A$2:$A$4,0))+0.18</f>
        <v>70.180000000000007</v>
      </c>
      <c r="Q167" s="4">
        <f>IF(AND(P167&gt;=INDEX(Dim_Product!$G$2:$G$4,MATCH(F167,Dim_Product!$A$2:$A$4,0))-INDEX(Dim_Product!$H$2:$H$4,MATCH(F167,Dim_Product!$A$2:$A$4,0)),P167&lt;=INDEX(Dim_Product!$G$2:$G$4,MATCH(F167,Dim_Product!$A$2:$A$4,0))+INDEX(Dim_Product!$H$2:$H$4,MATCH(F167,Dim_Product!$A$2:$A$4,0))),G167-H167,G167-H167-1)</f>
        <v>31</v>
      </c>
      <c r="R167" s="4">
        <f t="shared" si="20"/>
        <v>1</v>
      </c>
      <c r="S167" s="4">
        <f>INDEX(Dim_Product!$K$2:$K$4,MATCH(F167,Dim_Product!$A$2:$A$4,0))+0.33</f>
        <v>120.33</v>
      </c>
      <c r="T167" s="4">
        <f>IF(AND(S167&gt;=INDEX(Dim_Product!$K$2:$K$4,MATCH(F167,Dim_Product!$A$2:$A$4,0))-INDEX(Dim_Product!$L$2:$L$4,MATCH(F167,Dim_Product!$A$2:$A$4,0)),S167&lt;=INDEX(Dim_Product!$K$2:$K$4,MATCH(F167,Dim_Product!$A$2:$A$4,0))+INDEX(Dim_Product!$L$2:$L$4,MATCH(F167,Dim_Product!$A$2:$A$4,0))),G167-H167,G167-H167-1)</f>
        <v>31</v>
      </c>
      <c r="U167" s="4">
        <f t="shared" si="21"/>
        <v>1</v>
      </c>
      <c r="V167" s="4">
        <f t="shared" si="22"/>
        <v>3.125E-2</v>
      </c>
      <c r="W167" s="19">
        <f t="shared" si="23"/>
        <v>0.96875</v>
      </c>
    </row>
    <row r="168" spans="1:23" x14ac:dyDescent="0.25">
      <c r="A168" s="18" t="s">
        <v>669</v>
      </c>
      <c r="B168" s="4">
        <f>Fact_Production_Hourly!B168</f>
        <v>20260701</v>
      </c>
      <c r="C168" s="4">
        <f>Fact_Production_Hourly!C168</f>
        <v>23</v>
      </c>
      <c r="D168" s="4" t="str">
        <f>Fact_Production_Hourly!D168</f>
        <v>M6</v>
      </c>
      <c r="E168" s="4" t="str">
        <f>Fact_Production_Hourly!E168</f>
        <v>B-PM</v>
      </c>
      <c r="F168" s="4" t="str">
        <f>Fact_Production_Hourly!F168</f>
        <v>C</v>
      </c>
      <c r="G168" s="4">
        <f>INDEX(Dim_Machine!$D$2:$D$8,MATCH(D168,Dim_Machine!$A$2:$A$8,0))*2</f>
        <v>24</v>
      </c>
      <c r="H168" s="4">
        <f>ROUND(G168*0.0164,0)</f>
        <v>0</v>
      </c>
      <c r="I168" s="4">
        <f t="shared" si="16"/>
        <v>0</v>
      </c>
      <c r="J168" s="4">
        <f t="shared" si="17"/>
        <v>0</v>
      </c>
      <c r="K168" s="4">
        <f t="shared" si="18"/>
        <v>0</v>
      </c>
      <c r="L168" s="4" t="s">
        <v>498</v>
      </c>
      <c r="M168" s="4">
        <f>INDEX(Dim_Product!$C$2:$C$4,MATCH(F168,Dim_Product!$A$2:$A$4,0))+0.05</f>
        <v>200.05</v>
      </c>
      <c r="N168" s="4">
        <f>IF(AND(M168&gt;=INDEX(Dim_Product!$C$2:$C$4,MATCH(F168,Dim_Product!$A$2:$A$4,0))-INDEX(Dim_Product!$D$2:$D$4,MATCH(F168,Dim_Product!$A$2:$A$4,0)),M168&lt;=INDEX(Dim_Product!$C$2:$C$4,MATCH(F168,Dim_Product!$A$2:$A$4,0))+INDEX(Dim_Product!$D$2:$D$4,MATCH(F168,Dim_Product!$A$2:$A$4,0))),G168-H168,G168-H168-1)</f>
        <v>24</v>
      </c>
      <c r="O168" s="4">
        <f t="shared" si="19"/>
        <v>0</v>
      </c>
      <c r="P168" s="4">
        <f>INDEX(Dim_Product!$G$2:$G$4,MATCH(F168,Dim_Product!$A$2:$A$4,0))+-0.16</f>
        <v>64.84</v>
      </c>
      <c r="Q168" s="4">
        <f>IF(AND(P168&gt;=INDEX(Dim_Product!$G$2:$G$4,MATCH(F168,Dim_Product!$A$2:$A$4,0))-INDEX(Dim_Product!$H$2:$H$4,MATCH(F168,Dim_Product!$A$2:$A$4,0)),P168&lt;=INDEX(Dim_Product!$G$2:$G$4,MATCH(F168,Dim_Product!$A$2:$A$4,0))+INDEX(Dim_Product!$H$2:$H$4,MATCH(F168,Dim_Product!$A$2:$A$4,0))),G168-H168,G168-H168-1)</f>
        <v>24</v>
      </c>
      <c r="R168" s="4">
        <f t="shared" si="20"/>
        <v>0</v>
      </c>
      <c r="S168" s="4">
        <f>INDEX(Dim_Product!$K$2:$K$4,MATCH(F168,Dim_Product!$A$2:$A$4,0))+0.1</f>
        <v>110.1</v>
      </c>
      <c r="T168" s="4">
        <f>IF(AND(S168&gt;=INDEX(Dim_Product!$K$2:$K$4,MATCH(F168,Dim_Product!$A$2:$A$4,0))-INDEX(Dim_Product!$L$2:$L$4,MATCH(F168,Dim_Product!$A$2:$A$4,0)),S168&lt;=INDEX(Dim_Product!$K$2:$K$4,MATCH(F168,Dim_Product!$A$2:$A$4,0))+INDEX(Dim_Product!$L$2:$L$4,MATCH(F168,Dim_Product!$A$2:$A$4,0))),G168-H168,G168-H168-1)</f>
        <v>24</v>
      </c>
      <c r="U168" s="4">
        <f t="shared" si="21"/>
        <v>0</v>
      </c>
      <c r="V168" s="4">
        <f t="shared" si="22"/>
        <v>0</v>
      </c>
      <c r="W168" s="19">
        <f t="shared" si="23"/>
        <v>1</v>
      </c>
    </row>
    <row r="169" spans="1:23" x14ac:dyDescent="0.25">
      <c r="A169" s="18" t="s">
        <v>670</v>
      </c>
      <c r="B169" s="4">
        <f>Fact_Production_Hourly!B169</f>
        <v>20260701</v>
      </c>
      <c r="C169" s="4">
        <f>Fact_Production_Hourly!C169</f>
        <v>23</v>
      </c>
      <c r="D169" s="4" t="str">
        <f>Fact_Production_Hourly!D169</f>
        <v>M7</v>
      </c>
      <c r="E169" s="4" t="str">
        <f>Fact_Production_Hourly!E169</f>
        <v>B-PM</v>
      </c>
      <c r="F169" s="4" t="str">
        <f>Fact_Production_Hourly!F169</f>
        <v>A</v>
      </c>
      <c r="G169" s="4">
        <f>INDEX(Dim_Machine!$D$2:$D$8,MATCH(D169,Dim_Machine!$A$2:$A$8,0))*2</f>
        <v>48</v>
      </c>
      <c r="H169" s="4">
        <f>ROUND(G169*0.0251,0)</f>
        <v>1</v>
      </c>
      <c r="I169" s="4">
        <f t="shared" si="16"/>
        <v>0</v>
      </c>
      <c r="J169" s="4">
        <f t="shared" si="17"/>
        <v>0</v>
      </c>
      <c r="K169" s="4">
        <f t="shared" si="18"/>
        <v>1</v>
      </c>
      <c r="L169" s="4" t="s">
        <v>517</v>
      </c>
      <c r="M169" s="4">
        <f>INDEX(Dim_Product!$C$2:$C$4,MATCH(F169,Dim_Product!$A$2:$A$4,0))+-0.47</f>
        <v>249.53</v>
      </c>
      <c r="N169" s="4">
        <f>IF(AND(M169&gt;=INDEX(Dim_Product!$C$2:$C$4,MATCH(F169,Dim_Product!$A$2:$A$4,0))-INDEX(Dim_Product!$D$2:$D$4,MATCH(F169,Dim_Product!$A$2:$A$4,0)),M169&lt;=INDEX(Dim_Product!$C$2:$C$4,MATCH(F169,Dim_Product!$A$2:$A$4,0))+INDEX(Dim_Product!$D$2:$D$4,MATCH(F169,Dim_Product!$A$2:$A$4,0))),G169-H169,G169-H169-1)</f>
        <v>47</v>
      </c>
      <c r="O169" s="4">
        <f t="shared" si="19"/>
        <v>1</v>
      </c>
      <c r="P169" s="4">
        <f>INDEX(Dim_Product!$G$2:$G$4,MATCH(F169,Dim_Product!$A$2:$A$4,0))+-0.06</f>
        <v>69.94</v>
      </c>
      <c r="Q169" s="4">
        <f>IF(AND(P169&gt;=INDEX(Dim_Product!$G$2:$G$4,MATCH(F169,Dim_Product!$A$2:$A$4,0))-INDEX(Dim_Product!$H$2:$H$4,MATCH(F169,Dim_Product!$A$2:$A$4,0)),P169&lt;=INDEX(Dim_Product!$G$2:$G$4,MATCH(F169,Dim_Product!$A$2:$A$4,0))+INDEX(Dim_Product!$H$2:$H$4,MATCH(F169,Dim_Product!$A$2:$A$4,0))),G169-H169,G169-H169-1)</f>
        <v>47</v>
      </c>
      <c r="R169" s="4">
        <f t="shared" si="20"/>
        <v>1</v>
      </c>
      <c r="S169" s="4">
        <f>INDEX(Dim_Product!$K$2:$K$4,MATCH(F169,Dim_Product!$A$2:$A$4,0))+-0.1</f>
        <v>119.9</v>
      </c>
      <c r="T169" s="4">
        <f>IF(AND(S169&gt;=INDEX(Dim_Product!$K$2:$K$4,MATCH(F169,Dim_Product!$A$2:$A$4,0))-INDEX(Dim_Product!$L$2:$L$4,MATCH(F169,Dim_Product!$A$2:$A$4,0)),S169&lt;=INDEX(Dim_Product!$K$2:$K$4,MATCH(F169,Dim_Product!$A$2:$A$4,0))+INDEX(Dim_Product!$L$2:$L$4,MATCH(F169,Dim_Product!$A$2:$A$4,0))),G169-H169,G169-H169-1)</f>
        <v>47</v>
      </c>
      <c r="U169" s="4">
        <f t="shared" si="21"/>
        <v>1</v>
      </c>
      <c r="V169" s="4">
        <f t="shared" si="22"/>
        <v>2.0833333333333332E-2</v>
      </c>
      <c r="W169" s="19">
        <f t="shared" si="23"/>
        <v>0.97916666666666663</v>
      </c>
    </row>
    <row r="170" spans="1:23" x14ac:dyDescent="0.25">
      <c r="A170" s="18" t="s">
        <v>671</v>
      </c>
      <c r="B170" s="4">
        <f>Fact_Production_Hourly!B170</f>
        <v>20260702</v>
      </c>
      <c r="C170" s="4">
        <f>Fact_Production_Hourly!C170</f>
        <v>0</v>
      </c>
      <c r="D170" s="4" t="str">
        <f>Fact_Production_Hourly!D170</f>
        <v>M1</v>
      </c>
      <c r="E170" s="4" t="str">
        <f>Fact_Production_Hourly!E170</f>
        <v>B-PM</v>
      </c>
      <c r="F170" s="4" t="str">
        <f>Fact_Production_Hourly!F170</f>
        <v>B</v>
      </c>
      <c r="G170" s="4">
        <f>INDEX(Dim_Machine!$D$2:$D$8,MATCH(D170,Dim_Machine!$A$2:$A$8,0))*2</f>
        <v>32</v>
      </c>
      <c r="H170" s="4">
        <f>ROUND(G170*0.0344,0)</f>
        <v>1</v>
      </c>
      <c r="I170" s="4">
        <f t="shared" si="16"/>
        <v>0</v>
      </c>
      <c r="J170" s="4">
        <f t="shared" si="17"/>
        <v>0</v>
      </c>
      <c r="K170" s="4">
        <f t="shared" si="18"/>
        <v>1</v>
      </c>
      <c r="L170" s="4" t="s">
        <v>509</v>
      </c>
      <c r="M170" s="4">
        <f>INDEX(Dim_Product!$C$2:$C$4,MATCH(F170,Dim_Product!$A$2:$A$4,0))+-0.51</f>
        <v>299.49</v>
      </c>
      <c r="N170" s="4">
        <f>IF(AND(M170&gt;=INDEX(Dim_Product!$C$2:$C$4,MATCH(F170,Dim_Product!$A$2:$A$4,0))-INDEX(Dim_Product!$D$2:$D$4,MATCH(F170,Dim_Product!$A$2:$A$4,0)),M170&lt;=INDEX(Dim_Product!$C$2:$C$4,MATCH(F170,Dim_Product!$A$2:$A$4,0))+INDEX(Dim_Product!$D$2:$D$4,MATCH(F170,Dim_Product!$A$2:$A$4,0))),G170-H170,G170-H170-1)</f>
        <v>31</v>
      </c>
      <c r="O170" s="4">
        <f t="shared" si="19"/>
        <v>1</v>
      </c>
      <c r="P170" s="4">
        <f>INDEX(Dim_Product!$G$2:$G$4,MATCH(F170,Dim_Product!$A$2:$A$4,0))+0.12</f>
        <v>75.12</v>
      </c>
      <c r="Q170" s="4">
        <f>IF(AND(P170&gt;=INDEX(Dim_Product!$G$2:$G$4,MATCH(F170,Dim_Product!$A$2:$A$4,0))-INDEX(Dim_Product!$H$2:$H$4,MATCH(F170,Dim_Product!$A$2:$A$4,0)),P170&lt;=INDEX(Dim_Product!$G$2:$G$4,MATCH(F170,Dim_Product!$A$2:$A$4,0))+INDEX(Dim_Product!$H$2:$H$4,MATCH(F170,Dim_Product!$A$2:$A$4,0))),G170-H170,G170-H170-1)</f>
        <v>31</v>
      </c>
      <c r="R170" s="4">
        <f t="shared" si="20"/>
        <v>1</v>
      </c>
      <c r="S170" s="4">
        <f>INDEX(Dim_Product!$K$2:$K$4,MATCH(F170,Dim_Product!$A$2:$A$4,0))+-0.16</f>
        <v>129.84</v>
      </c>
      <c r="T170" s="4">
        <f>IF(AND(S170&gt;=INDEX(Dim_Product!$K$2:$K$4,MATCH(F170,Dim_Product!$A$2:$A$4,0))-INDEX(Dim_Product!$L$2:$L$4,MATCH(F170,Dim_Product!$A$2:$A$4,0)),S170&lt;=INDEX(Dim_Product!$K$2:$K$4,MATCH(F170,Dim_Product!$A$2:$A$4,0))+INDEX(Dim_Product!$L$2:$L$4,MATCH(F170,Dim_Product!$A$2:$A$4,0))),G170-H170,G170-H170-1)</f>
        <v>31</v>
      </c>
      <c r="U170" s="4">
        <f t="shared" si="21"/>
        <v>1</v>
      </c>
      <c r="V170" s="4">
        <f t="shared" si="22"/>
        <v>3.125E-2</v>
      </c>
      <c r="W170" s="19">
        <f t="shared" si="23"/>
        <v>0.96875</v>
      </c>
    </row>
    <row r="171" spans="1:23" x14ac:dyDescent="0.25">
      <c r="A171" s="18" t="s">
        <v>672</v>
      </c>
      <c r="B171" s="4">
        <f>Fact_Production_Hourly!B171</f>
        <v>20260702</v>
      </c>
      <c r="C171" s="4">
        <f>Fact_Production_Hourly!C171</f>
        <v>0</v>
      </c>
      <c r="D171" s="4" t="str">
        <f>Fact_Production_Hourly!D171</f>
        <v>M2</v>
      </c>
      <c r="E171" s="4" t="str">
        <f>Fact_Production_Hourly!E171</f>
        <v>B-PM</v>
      </c>
      <c r="F171" s="4" t="str">
        <f>Fact_Production_Hourly!F171</f>
        <v>A</v>
      </c>
      <c r="G171" s="4">
        <f>INDEX(Dim_Machine!$D$2:$D$8,MATCH(D171,Dim_Machine!$A$2:$A$8,0))*2</f>
        <v>48</v>
      </c>
      <c r="H171" s="4">
        <f>ROUND(G171*0.0597,0)</f>
        <v>3</v>
      </c>
      <c r="I171" s="4">
        <f t="shared" si="16"/>
        <v>0</v>
      </c>
      <c r="J171" s="4">
        <f t="shared" si="17"/>
        <v>1</v>
      </c>
      <c r="K171" s="4">
        <f t="shared" si="18"/>
        <v>2</v>
      </c>
      <c r="L171" s="4" t="s">
        <v>498</v>
      </c>
      <c r="M171" s="4">
        <f>INDEX(Dim_Product!$C$2:$C$4,MATCH(F171,Dim_Product!$A$2:$A$4,0))+0.31</f>
        <v>250.31</v>
      </c>
      <c r="N171" s="4">
        <f>IF(AND(M171&gt;=INDEX(Dim_Product!$C$2:$C$4,MATCH(F171,Dim_Product!$A$2:$A$4,0))-INDEX(Dim_Product!$D$2:$D$4,MATCH(F171,Dim_Product!$A$2:$A$4,0)),M171&lt;=INDEX(Dim_Product!$C$2:$C$4,MATCH(F171,Dim_Product!$A$2:$A$4,0))+INDEX(Dim_Product!$D$2:$D$4,MATCH(F171,Dim_Product!$A$2:$A$4,0))),G171-H171,G171-H171-1)</f>
        <v>45</v>
      </c>
      <c r="O171" s="4">
        <f t="shared" si="19"/>
        <v>3</v>
      </c>
      <c r="P171" s="4">
        <f>INDEX(Dim_Product!$G$2:$G$4,MATCH(F171,Dim_Product!$A$2:$A$4,0))+0.21</f>
        <v>70.209999999999994</v>
      </c>
      <c r="Q171" s="4">
        <f>IF(AND(P171&gt;=INDEX(Dim_Product!$G$2:$G$4,MATCH(F171,Dim_Product!$A$2:$A$4,0))-INDEX(Dim_Product!$H$2:$H$4,MATCH(F171,Dim_Product!$A$2:$A$4,0)),P171&lt;=INDEX(Dim_Product!$G$2:$G$4,MATCH(F171,Dim_Product!$A$2:$A$4,0))+INDEX(Dim_Product!$H$2:$H$4,MATCH(F171,Dim_Product!$A$2:$A$4,0))),G171-H171,G171-H171-1)</f>
        <v>45</v>
      </c>
      <c r="R171" s="4">
        <f t="shared" si="20"/>
        <v>3</v>
      </c>
      <c r="S171" s="4">
        <f>INDEX(Dim_Product!$K$2:$K$4,MATCH(F171,Dim_Product!$A$2:$A$4,0))+0.21</f>
        <v>120.21</v>
      </c>
      <c r="T171" s="4">
        <f>IF(AND(S171&gt;=INDEX(Dim_Product!$K$2:$K$4,MATCH(F171,Dim_Product!$A$2:$A$4,0))-INDEX(Dim_Product!$L$2:$L$4,MATCH(F171,Dim_Product!$A$2:$A$4,0)),S171&lt;=INDEX(Dim_Product!$K$2:$K$4,MATCH(F171,Dim_Product!$A$2:$A$4,0))+INDEX(Dim_Product!$L$2:$L$4,MATCH(F171,Dim_Product!$A$2:$A$4,0))),G171-H171,G171-H171-1)</f>
        <v>45</v>
      </c>
      <c r="U171" s="4">
        <f t="shared" si="21"/>
        <v>3</v>
      </c>
      <c r="V171" s="4">
        <f t="shared" si="22"/>
        <v>6.25E-2</v>
      </c>
      <c r="W171" s="19">
        <f t="shared" si="23"/>
        <v>0.9375</v>
      </c>
    </row>
    <row r="172" spans="1:23" x14ac:dyDescent="0.25">
      <c r="A172" s="18" t="s">
        <v>673</v>
      </c>
      <c r="B172" s="4">
        <f>Fact_Production_Hourly!B172</f>
        <v>20260702</v>
      </c>
      <c r="C172" s="4">
        <f>Fact_Production_Hourly!C172</f>
        <v>0</v>
      </c>
      <c r="D172" s="4" t="str">
        <f>Fact_Production_Hourly!D172</f>
        <v>M3</v>
      </c>
      <c r="E172" s="4" t="str">
        <f>Fact_Production_Hourly!E172</f>
        <v>B-PM</v>
      </c>
      <c r="F172" s="4" t="str">
        <f>Fact_Production_Hourly!F172</f>
        <v>A</v>
      </c>
      <c r="G172" s="4">
        <f>INDEX(Dim_Machine!$D$2:$D$8,MATCH(D172,Dim_Machine!$A$2:$A$8,0))*2</f>
        <v>24</v>
      </c>
      <c r="H172" s="4">
        <f>ROUND(G172*0.0156,0)</f>
        <v>0</v>
      </c>
      <c r="I172" s="4">
        <f t="shared" si="16"/>
        <v>0</v>
      </c>
      <c r="J172" s="4">
        <f t="shared" si="17"/>
        <v>0</v>
      </c>
      <c r="K172" s="4">
        <f t="shared" si="18"/>
        <v>0</v>
      </c>
      <c r="L172" s="4" t="s">
        <v>503</v>
      </c>
      <c r="M172" s="4">
        <f>INDEX(Dim_Product!$C$2:$C$4,MATCH(F172,Dim_Product!$A$2:$A$4,0))+-0.25</f>
        <v>249.75</v>
      </c>
      <c r="N172" s="4">
        <f>IF(AND(M172&gt;=INDEX(Dim_Product!$C$2:$C$4,MATCH(F172,Dim_Product!$A$2:$A$4,0))-INDEX(Dim_Product!$D$2:$D$4,MATCH(F172,Dim_Product!$A$2:$A$4,0)),M172&lt;=INDEX(Dim_Product!$C$2:$C$4,MATCH(F172,Dim_Product!$A$2:$A$4,0))+INDEX(Dim_Product!$D$2:$D$4,MATCH(F172,Dim_Product!$A$2:$A$4,0))),G172-H172,G172-H172-1)</f>
        <v>24</v>
      </c>
      <c r="O172" s="4">
        <f t="shared" si="19"/>
        <v>0</v>
      </c>
      <c r="P172" s="4">
        <f>INDEX(Dim_Product!$G$2:$G$4,MATCH(F172,Dim_Product!$A$2:$A$4,0))+-0.01</f>
        <v>69.989999999999995</v>
      </c>
      <c r="Q172" s="4">
        <f>IF(AND(P172&gt;=INDEX(Dim_Product!$G$2:$G$4,MATCH(F172,Dim_Product!$A$2:$A$4,0))-INDEX(Dim_Product!$H$2:$H$4,MATCH(F172,Dim_Product!$A$2:$A$4,0)),P172&lt;=INDEX(Dim_Product!$G$2:$G$4,MATCH(F172,Dim_Product!$A$2:$A$4,0))+INDEX(Dim_Product!$H$2:$H$4,MATCH(F172,Dim_Product!$A$2:$A$4,0))),G172-H172,G172-H172-1)</f>
        <v>24</v>
      </c>
      <c r="R172" s="4">
        <f t="shared" si="20"/>
        <v>0</v>
      </c>
      <c r="S172" s="4">
        <f>INDEX(Dim_Product!$K$2:$K$4,MATCH(F172,Dim_Product!$A$2:$A$4,0))+0.11</f>
        <v>120.11</v>
      </c>
      <c r="T172" s="4">
        <f>IF(AND(S172&gt;=INDEX(Dim_Product!$K$2:$K$4,MATCH(F172,Dim_Product!$A$2:$A$4,0))-INDEX(Dim_Product!$L$2:$L$4,MATCH(F172,Dim_Product!$A$2:$A$4,0)),S172&lt;=INDEX(Dim_Product!$K$2:$K$4,MATCH(F172,Dim_Product!$A$2:$A$4,0))+INDEX(Dim_Product!$L$2:$L$4,MATCH(F172,Dim_Product!$A$2:$A$4,0))),G172-H172,G172-H172-1)</f>
        <v>24</v>
      </c>
      <c r="U172" s="4">
        <f t="shared" si="21"/>
        <v>0</v>
      </c>
      <c r="V172" s="4">
        <f t="shared" si="22"/>
        <v>0</v>
      </c>
      <c r="W172" s="19">
        <f t="shared" si="23"/>
        <v>1</v>
      </c>
    </row>
    <row r="173" spans="1:23" x14ac:dyDescent="0.25">
      <c r="A173" s="18" t="s">
        <v>674</v>
      </c>
      <c r="B173" s="4">
        <f>Fact_Production_Hourly!B173</f>
        <v>20260702</v>
      </c>
      <c r="C173" s="4">
        <f>Fact_Production_Hourly!C173</f>
        <v>0</v>
      </c>
      <c r="D173" s="4" t="str">
        <f>Fact_Production_Hourly!D173</f>
        <v>M4</v>
      </c>
      <c r="E173" s="4" t="str">
        <f>Fact_Production_Hourly!E173</f>
        <v>B-PM</v>
      </c>
      <c r="F173" s="4" t="str">
        <f>Fact_Production_Hourly!F173</f>
        <v>C</v>
      </c>
      <c r="G173" s="4">
        <f>INDEX(Dim_Machine!$D$2:$D$8,MATCH(D173,Dim_Machine!$A$2:$A$8,0))*2</f>
        <v>48</v>
      </c>
      <c r="H173" s="4">
        <f>ROUND(G173*0.0522,0)</f>
        <v>3</v>
      </c>
      <c r="I173" s="4">
        <f t="shared" si="16"/>
        <v>0</v>
      </c>
      <c r="J173" s="4">
        <f t="shared" si="17"/>
        <v>1</v>
      </c>
      <c r="K173" s="4">
        <f t="shared" si="18"/>
        <v>2</v>
      </c>
      <c r="L173" s="4" t="s">
        <v>498</v>
      </c>
      <c r="M173" s="4">
        <f>INDEX(Dim_Product!$C$2:$C$4,MATCH(F173,Dim_Product!$A$2:$A$4,0))+0</f>
        <v>200</v>
      </c>
      <c r="N173" s="4">
        <f>IF(AND(M173&gt;=INDEX(Dim_Product!$C$2:$C$4,MATCH(F173,Dim_Product!$A$2:$A$4,0))-INDEX(Dim_Product!$D$2:$D$4,MATCH(F173,Dim_Product!$A$2:$A$4,0)),M173&lt;=INDEX(Dim_Product!$C$2:$C$4,MATCH(F173,Dim_Product!$A$2:$A$4,0))+INDEX(Dim_Product!$D$2:$D$4,MATCH(F173,Dim_Product!$A$2:$A$4,0))),G173-H173,G173-H173-1)</f>
        <v>45</v>
      </c>
      <c r="O173" s="4">
        <f t="shared" si="19"/>
        <v>3</v>
      </c>
      <c r="P173" s="4">
        <f>INDEX(Dim_Product!$G$2:$G$4,MATCH(F173,Dim_Product!$A$2:$A$4,0))+-0.04</f>
        <v>64.959999999999994</v>
      </c>
      <c r="Q173" s="4">
        <f>IF(AND(P173&gt;=INDEX(Dim_Product!$G$2:$G$4,MATCH(F173,Dim_Product!$A$2:$A$4,0))-INDEX(Dim_Product!$H$2:$H$4,MATCH(F173,Dim_Product!$A$2:$A$4,0)),P173&lt;=INDEX(Dim_Product!$G$2:$G$4,MATCH(F173,Dim_Product!$A$2:$A$4,0))+INDEX(Dim_Product!$H$2:$H$4,MATCH(F173,Dim_Product!$A$2:$A$4,0))),G173-H173,G173-H173-1)</f>
        <v>45</v>
      </c>
      <c r="R173" s="4">
        <f t="shared" si="20"/>
        <v>3</v>
      </c>
      <c r="S173" s="4">
        <f>INDEX(Dim_Product!$K$2:$K$4,MATCH(F173,Dim_Product!$A$2:$A$4,0))+0.23</f>
        <v>110.23</v>
      </c>
      <c r="T173" s="4">
        <f>IF(AND(S173&gt;=INDEX(Dim_Product!$K$2:$K$4,MATCH(F173,Dim_Product!$A$2:$A$4,0))-INDEX(Dim_Product!$L$2:$L$4,MATCH(F173,Dim_Product!$A$2:$A$4,0)),S173&lt;=INDEX(Dim_Product!$K$2:$K$4,MATCH(F173,Dim_Product!$A$2:$A$4,0))+INDEX(Dim_Product!$L$2:$L$4,MATCH(F173,Dim_Product!$A$2:$A$4,0))),G173-H173,G173-H173-1)</f>
        <v>45</v>
      </c>
      <c r="U173" s="4">
        <f t="shared" si="21"/>
        <v>3</v>
      </c>
      <c r="V173" s="4">
        <f t="shared" si="22"/>
        <v>6.25E-2</v>
      </c>
      <c r="W173" s="19">
        <f t="shared" si="23"/>
        <v>0.9375</v>
      </c>
    </row>
    <row r="174" spans="1:23" x14ac:dyDescent="0.25">
      <c r="A174" s="18" t="s">
        <v>675</v>
      </c>
      <c r="B174" s="4">
        <f>Fact_Production_Hourly!B174</f>
        <v>20260702</v>
      </c>
      <c r="C174" s="4">
        <f>Fact_Production_Hourly!C174</f>
        <v>0</v>
      </c>
      <c r="D174" s="4" t="str">
        <f>Fact_Production_Hourly!D174</f>
        <v>M5</v>
      </c>
      <c r="E174" s="4" t="str">
        <f>Fact_Production_Hourly!E174</f>
        <v>B-PM</v>
      </c>
      <c r="F174" s="4" t="str">
        <f>Fact_Production_Hourly!F174</f>
        <v>A</v>
      </c>
      <c r="G174" s="4">
        <f>INDEX(Dim_Machine!$D$2:$D$8,MATCH(D174,Dim_Machine!$A$2:$A$8,0))*2</f>
        <v>32</v>
      </c>
      <c r="H174" s="4">
        <f>ROUND(G174*0.044,0)</f>
        <v>1</v>
      </c>
      <c r="I174" s="4">
        <f t="shared" si="16"/>
        <v>0</v>
      </c>
      <c r="J174" s="4">
        <f t="shared" si="17"/>
        <v>0</v>
      </c>
      <c r="K174" s="4">
        <f t="shared" si="18"/>
        <v>1</v>
      </c>
      <c r="L174" s="4" t="s">
        <v>498</v>
      </c>
      <c r="M174" s="4">
        <f>INDEX(Dim_Product!$C$2:$C$4,MATCH(F174,Dim_Product!$A$2:$A$4,0))+0.79</f>
        <v>250.79</v>
      </c>
      <c r="N174" s="4">
        <f>IF(AND(M174&gt;=INDEX(Dim_Product!$C$2:$C$4,MATCH(F174,Dim_Product!$A$2:$A$4,0))-INDEX(Dim_Product!$D$2:$D$4,MATCH(F174,Dim_Product!$A$2:$A$4,0)),M174&lt;=INDEX(Dim_Product!$C$2:$C$4,MATCH(F174,Dim_Product!$A$2:$A$4,0))+INDEX(Dim_Product!$D$2:$D$4,MATCH(F174,Dim_Product!$A$2:$A$4,0))),G174-H174,G174-H174-1)</f>
        <v>31</v>
      </c>
      <c r="O174" s="4">
        <f t="shared" si="19"/>
        <v>1</v>
      </c>
      <c r="P174" s="4">
        <f>INDEX(Dim_Product!$G$2:$G$4,MATCH(F174,Dim_Product!$A$2:$A$4,0))+0.25</f>
        <v>70.25</v>
      </c>
      <c r="Q174" s="4">
        <f>IF(AND(P174&gt;=INDEX(Dim_Product!$G$2:$G$4,MATCH(F174,Dim_Product!$A$2:$A$4,0))-INDEX(Dim_Product!$H$2:$H$4,MATCH(F174,Dim_Product!$A$2:$A$4,0)),P174&lt;=INDEX(Dim_Product!$G$2:$G$4,MATCH(F174,Dim_Product!$A$2:$A$4,0))+INDEX(Dim_Product!$H$2:$H$4,MATCH(F174,Dim_Product!$A$2:$A$4,0))),G174-H174,G174-H174-1)</f>
        <v>31</v>
      </c>
      <c r="R174" s="4">
        <f t="shared" si="20"/>
        <v>1</v>
      </c>
      <c r="S174" s="4">
        <f>INDEX(Dim_Product!$K$2:$K$4,MATCH(F174,Dim_Product!$A$2:$A$4,0))+-0.22</f>
        <v>119.78</v>
      </c>
      <c r="T174" s="4">
        <f>IF(AND(S174&gt;=INDEX(Dim_Product!$K$2:$K$4,MATCH(F174,Dim_Product!$A$2:$A$4,0))-INDEX(Dim_Product!$L$2:$L$4,MATCH(F174,Dim_Product!$A$2:$A$4,0)),S174&lt;=INDEX(Dim_Product!$K$2:$K$4,MATCH(F174,Dim_Product!$A$2:$A$4,0))+INDEX(Dim_Product!$L$2:$L$4,MATCH(F174,Dim_Product!$A$2:$A$4,0))),G174-H174,G174-H174-1)</f>
        <v>31</v>
      </c>
      <c r="U174" s="4">
        <f t="shared" si="21"/>
        <v>1</v>
      </c>
      <c r="V174" s="4">
        <f t="shared" si="22"/>
        <v>3.125E-2</v>
      </c>
      <c r="W174" s="19">
        <f t="shared" si="23"/>
        <v>0.96875</v>
      </c>
    </row>
    <row r="175" spans="1:23" x14ac:dyDescent="0.25">
      <c r="A175" s="18" t="s">
        <v>676</v>
      </c>
      <c r="B175" s="4">
        <f>Fact_Production_Hourly!B175</f>
        <v>20260702</v>
      </c>
      <c r="C175" s="4">
        <f>Fact_Production_Hourly!C175</f>
        <v>0</v>
      </c>
      <c r="D175" s="4" t="str">
        <f>Fact_Production_Hourly!D175</f>
        <v>M6</v>
      </c>
      <c r="E175" s="4" t="str">
        <f>Fact_Production_Hourly!E175</f>
        <v>B-PM</v>
      </c>
      <c r="F175" s="4" t="str">
        <f>Fact_Production_Hourly!F175</f>
        <v>A</v>
      </c>
      <c r="G175" s="4">
        <f>INDEX(Dim_Machine!$D$2:$D$8,MATCH(D175,Dim_Machine!$A$2:$A$8,0))*2</f>
        <v>24</v>
      </c>
      <c r="H175" s="4">
        <f>ROUND(G175*0.0641,0)</f>
        <v>2</v>
      </c>
      <c r="I175" s="4">
        <f t="shared" si="16"/>
        <v>0</v>
      </c>
      <c r="J175" s="4">
        <f t="shared" si="17"/>
        <v>1</v>
      </c>
      <c r="K175" s="4">
        <f t="shared" si="18"/>
        <v>1</v>
      </c>
      <c r="L175" s="4" t="s">
        <v>520</v>
      </c>
      <c r="M175" s="4">
        <f>INDEX(Dim_Product!$C$2:$C$4,MATCH(F175,Dim_Product!$A$2:$A$4,0))+0.78</f>
        <v>250.78</v>
      </c>
      <c r="N175" s="4">
        <f>IF(AND(M175&gt;=INDEX(Dim_Product!$C$2:$C$4,MATCH(F175,Dim_Product!$A$2:$A$4,0))-INDEX(Dim_Product!$D$2:$D$4,MATCH(F175,Dim_Product!$A$2:$A$4,0)),M175&lt;=INDEX(Dim_Product!$C$2:$C$4,MATCH(F175,Dim_Product!$A$2:$A$4,0))+INDEX(Dim_Product!$D$2:$D$4,MATCH(F175,Dim_Product!$A$2:$A$4,0))),G175-H175,G175-H175-1)</f>
        <v>22</v>
      </c>
      <c r="O175" s="4">
        <f t="shared" si="19"/>
        <v>2</v>
      </c>
      <c r="P175" s="4">
        <f>INDEX(Dim_Product!$G$2:$G$4,MATCH(F175,Dim_Product!$A$2:$A$4,0))+-0.01</f>
        <v>69.989999999999995</v>
      </c>
      <c r="Q175" s="4">
        <f>IF(AND(P175&gt;=INDEX(Dim_Product!$G$2:$G$4,MATCH(F175,Dim_Product!$A$2:$A$4,0))-INDEX(Dim_Product!$H$2:$H$4,MATCH(F175,Dim_Product!$A$2:$A$4,0)),P175&lt;=INDEX(Dim_Product!$G$2:$G$4,MATCH(F175,Dim_Product!$A$2:$A$4,0))+INDEX(Dim_Product!$H$2:$H$4,MATCH(F175,Dim_Product!$A$2:$A$4,0))),G175-H175,G175-H175-1)</f>
        <v>22</v>
      </c>
      <c r="R175" s="4">
        <f t="shared" si="20"/>
        <v>2</v>
      </c>
      <c r="S175" s="4">
        <f>INDEX(Dim_Product!$K$2:$K$4,MATCH(F175,Dim_Product!$A$2:$A$4,0))+-0.36</f>
        <v>119.64</v>
      </c>
      <c r="T175" s="4">
        <f>IF(AND(S175&gt;=INDEX(Dim_Product!$K$2:$K$4,MATCH(F175,Dim_Product!$A$2:$A$4,0))-INDEX(Dim_Product!$L$2:$L$4,MATCH(F175,Dim_Product!$A$2:$A$4,0)),S175&lt;=INDEX(Dim_Product!$K$2:$K$4,MATCH(F175,Dim_Product!$A$2:$A$4,0))+INDEX(Dim_Product!$L$2:$L$4,MATCH(F175,Dim_Product!$A$2:$A$4,0))),G175-H175,G175-H175-1)</f>
        <v>22</v>
      </c>
      <c r="U175" s="4">
        <f t="shared" si="21"/>
        <v>2</v>
      </c>
      <c r="V175" s="4">
        <f t="shared" si="22"/>
        <v>8.3333333333333329E-2</v>
      </c>
      <c r="W175" s="19">
        <f t="shared" si="23"/>
        <v>0.91666666666666663</v>
      </c>
    </row>
    <row r="176" spans="1:23" x14ac:dyDescent="0.25">
      <c r="A176" s="18" t="s">
        <v>677</v>
      </c>
      <c r="B176" s="4">
        <f>Fact_Production_Hourly!B176</f>
        <v>20260702</v>
      </c>
      <c r="C176" s="4">
        <f>Fact_Production_Hourly!C176</f>
        <v>0</v>
      </c>
      <c r="D176" s="4" t="str">
        <f>Fact_Production_Hourly!D176</f>
        <v>M7</v>
      </c>
      <c r="E176" s="4" t="str">
        <f>Fact_Production_Hourly!E176</f>
        <v>B-PM</v>
      </c>
      <c r="F176" s="4" t="str">
        <f>Fact_Production_Hourly!F176</f>
        <v>C</v>
      </c>
      <c r="G176" s="4">
        <f>INDEX(Dim_Machine!$D$2:$D$8,MATCH(D176,Dim_Machine!$A$2:$A$8,0))*2</f>
        <v>48</v>
      </c>
      <c r="H176" s="4">
        <f>ROUND(G176*0.0145,0)</f>
        <v>1</v>
      </c>
      <c r="I176" s="4">
        <f t="shared" si="16"/>
        <v>0</v>
      </c>
      <c r="J176" s="4">
        <f t="shared" si="17"/>
        <v>0</v>
      </c>
      <c r="K176" s="4">
        <f t="shared" si="18"/>
        <v>1</v>
      </c>
      <c r="L176" s="4" t="s">
        <v>517</v>
      </c>
      <c r="M176" s="4">
        <f>INDEX(Dim_Product!$C$2:$C$4,MATCH(F176,Dim_Product!$A$2:$A$4,0))+0.8</f>
        <v>200.8</v>
      </c>
      <c r="N176" s="4">
        <f>IF(AND(M176&gt;=INDEX(Dim_Product!$C$2:$C$4,MATCH(F176,Dim_Product!$A$2:$A$4,0))-INDEX(Dim_Product!$D$2:$D$4,MATCH(F176,Dim_Product!$A$2:$A$4,0)),M176&lt;=INDEX(Dim_Product!$C$2:$C$4,MATCH(F176,Dim_Product!$A$2:$A$4,0))+INDEX(Dim_Product!$D$2:$D$4,MATCH(F176,Dim_Product!$A$2:$A$4,0))),G176-H176,G176-H176-1)</f>
        <v>47</v>
      </c>
      <c r="O176" s="4">
        <f t="shared" si="19"/>
        <v>1</v>
      </c>
      <c r="P176" s="4">
        <f>INDEX(Dim_Product!$G$2:$G$4,MATCH(F176,Dim_Product!$A$2:$A$4,0))+0.04</f>
        <v>65.040000000000006</v>
      </c>
      <c r="Q176" s="4">
        <f>IF(AND(P176&gt;=INDEX(Dim_Product!$G$2:$G$4,MATCH(F176,Dim_Product!$A$2:$A$4,0))-INDEX(Dim_Product!$H$2:$H$4,MATCH(F176,Dim_Product!$A$2:$A$4,0)),P176&lt;=INDEX(Dim_Product!$G$2:$G$4,MATCH(F176,Dim_Product!$A$2:$A$4,0))+INDEX(Dim_Product!$H$2:$H$4,MATCH(F176,Dim_Product!$A$2:$A$4,0))),G176-H176,G176-H176-1)</f>
        <v>47</v>
      </c>
      <c r="R176" s="4">
        <f t="shared" si="20"/>
        <v>1</v>
      </c>
      <c r="S176" s="4">
        <f>INDEX(Dim_Product!$K$2:$K$4,MATCH(F176,Dim_Product!$A$2:$A$4,0))+-0.37</f>
        <v>109.63</v>
      </c>
      <c r="T176" s="4">
        <f>IF(AND(S176&gt;=INDEX(Dim_Product!$K$2:$K$4,MATCH(F176,Dim_Product!$A$2:$A$4,0))-INDEX(Dim_Product!$L$2:$L$4,MATCH(F176,Dim_Product!$A$2:$A$4,0)),S176&lt;=INDEX(Dim_Product!$K$2:$K$4,MATCH(F176,Dim_Product!$A$2:$A$4,0))+INDEX(Dim_Product!$L$2:$L$4,MATCH(F176,Dim_Product!$A$2:$A$4,0))),G176-H176,G176-H176-1)</f>
        <v>47</v>
      </c>
      <c r="U176" s="4">
        <f t="shared" si="21"/>
        <v>1</v>
      </c>
      <c r="V176" s="4">
        <f t="shared" si="22"/>
        <v>2.0833333333333332E-2</v>
      </c>
      <c r="W176" s="19">
        <f t="shared" si="23"/>
        <v>0.97916666666666663</v>
      </c>
    </row>
    <row r="177" spans="1:23" x14ac:dyDescent="0.25">
      <c r="A177" s="18" t="s">
        <v>678</v>
      </c>
      <c r="B177" s="4">
        <f>Fact_Production_Hourly!B177</f>
        <v>20260702</v>
      </c>
      <c r="C177" s="4">
        <f>Fact_Production_Hourly!C177</f>
        <v>1</v>
      </c>
      <c r="D177" s="4" t="str">
        <f>Fact_Production_Hourly!D177</f>
        <v>M1</v>
      </c>
      <c r="E177" s="4" t="str">
        <f>Fact_Production_Hourly!E177</f>
        <v>B-PM</v>
      </c>
      <c r="F177" s="4" t="str">
        <f>Fact_Production_Hourly!F177</f>
        <v>B</v>
      </c>
      <c r="G177" s="4">
        <f>INDEX(Dim_Machine!$D$2:$D$8,MATCH(D177,Dim_Machine!$A$2:$A$8,0))*2</f>
        <v>32</v>
      </c>
      <c r="H177" s="4">
        <f>ROUND(G177*0.0657,0)</f>
        <v>2</v>
      </c>
      <c r="I177" s="4">
        <f t="shared" si="16"/>
        <v>0</v>
      </c>
      <c r="J177" s="4">
        <f t="shared" si="17"/>
        <v>1</v>
      </c>
      <c r="K177" s="4">
        <f t="shared" si="18"/>
        <v>1</v>
      </c>
      <c r="L177" s="4" t="s">
        <v>517</v>
      </c>
      <c r="M177" s="4">
        <f>INDEX(Dim_Product!$C$2:$C$4,MATCH(F177,Dim_Product!$A$2:$A$4,0))+-0.97</f>
        <v>299.02999999999997</v>
      </c>
      <c r="N177" s="4">
        <f>IF(AND(M177&gt;=INDEX(Dim_Product!$C$2:$C$4,MATCH(F177,Dim_Product!$A$2:$A$4,0))-INDEX(Dim_Product!$D$2:$D$4,MATCH(F177,Dim_Product!$A$2:$A$4,0)),M177&lt;=INDEX(Dim_Product!$C$2:$C$4,MATCH(F177,Dim_Product!$A$2:$A$4,0))+INDEX(Dim_Product!$D$2:$D$4,MATCH(F177,Dim_Product!$A$2:$A$4,0))),G177-H177,G177-H177-1)</f>
        <v>30</v>
      </c>
      <c r="O177" s="4">
        <f t="shared" si="19"/>
        <v>2</v>
      </c>
      <c r="P177" s="4">
        <f>INDEX(Dim_Product!$G$2:$G$4,MATCH(F177,Dim_Product!$A$2:$A$4,0))+-0.18</f>
        <v>74.819999999999993</v>
      </c>
      <c r="Q177" s="4">
        <f>IF(AND(P177&gt;=INDEX(Dim_Product!$G$2:$G$4,MATCH(F177,Dim_Product!$A$2:$A$4,0))-INDEX(Dim_Product!$H$2:$H$4,MATCH(F177,Dim_Product!$A$2:$A$4,0)),P177&lt;=INDEX(Dim_Product!$G$2:$G$4,MATCH(F177,Dim_Product!$A$2:$A$4,0))+INDEX(Dim_Product!$H$2:$H$4,MATCH(F177,Dim_Product!$A$2:$A$4,0))),G177-H177,G177-H177-1)</f>
        <v>30</v>
      </c>
      <c r="R177" s="4">
        <f t="shared" si="20"/>
        <v>2</v>
      </c>
      <c r="S177" s="4">
        <f>INDEX(Dim_Product!$K$2:$K$4,MATCH(F177,Dim_Product!$A$2:$A$4,0))+-0.28</f>
        <v>129.72</v>
      </c>
      <c r="T177" s="4">
        <f>IF(AND(S177&gt;=INDEX(Dim_Product!$K$2:$K$4,MATCH(F177,Dim_Product!$A$2:$A$4,0))-INDEX(Dim_Product!$L$2:$L$4,MATCH(F177,Dim_Product!$A$2:$A$4,0)),S177&lt;=INDEX(Dim_Product!$K$2:$K$4,MATCH(F177,Dim_Product!$A$2:$A$4,0))+INDEX(Dim_Product!$L$2:$L$4,MATCH(F177,Dim_Product!$A$2:$A$4,0))),G177-H177,G177-H177-1)</f>
        <v>30</v>
      </c>
      <c r="U177" s="4">
        <f t="shared" si="21"/>
        <v>2</v>
      </c>
      <c r="V177" s="4">
        <f t="shared" si="22"/>
        <v>6.25E-2</v>
      </c>
      <c r="W177" s="19">
        <f t="shared" si="23"/>
        <v>0.9375</v>
      </c>
    </row>
    <row r="178" spans="1:23" x14ac:dyDescent="0.25">
      <c r="A178" s="18" t="s">
        <v>679</v>
      </c>
      <c r="B178" s="4">
        <f>Fact_Production_Hourly!B178</f>
        <v>20260702</v>
      </c>
      <c r="C178" s="4">
        <f>Fact_Production_Hourly!C178</f>
        <v>1</v>
      </c>
      <c r="D178" s="4" t="str">
        <f>Fact_Production_Hourly!D178</f>
        <v>M2</v>
      </c>
      <c r="E178" s="4" t="str">
        <f>Fact_Production_Hourly!E178</f>
        <v>B-PM</v>
      </c>
      <c r="F178" s="4" t="str">
        <f>Fact_Production_Hourly!F178</f>
        <v>A</v>
      </c>
      <c r="G178" s="4">
        <f>INDEX(Dim_Machine!$D$2:$D$8,MATCH(D178,Dim_Machine!$A$2:$A$8,0))*2</f>
        <v>48</v>
      </c>
      <c r="H178" s="4">
        <f>ROUND(G178*0.0592,0)</f>
        <v>3</v>
      </c>
      <c r="I178" s="4">
        <f t="shared" si="16"/>
        <v>0</v>
      </c>
      <c r="J178" s="4">
        <f t="shared" si="17"/>
        <v>1</v>
      </c>
      <c r="K178" s="4">
        <f t="shared" si="18"/>
        <v>2</v>
      </c>
      <c r="L178" s="4" t="s">
        <v>503</v>
      </c>
      <c r="M178" s="4">
        <f>INDEX(Dim_Product!$C$2:$C$4,MATCH(F178,Dim_Product!$A$2:$A$4,0))+0.86</f>
        <v>250.86</v>
      </c>
      <c r="N178" s="4">
        <f>IF(AND(M178&gt;=INDEX(Dim_Product!$C$2:$C$4,MATCH(F178,Dim_Product!$A$2:$A$4,0))-INDEX(Dim_Product!$D$2:$D$4,MATCH(F178,Dim_Product!$A$2:$A$4,0)),M178&lt;=INDEX(Dim_Product!$C$2:$C$4,MATCH(F178,Dim_Product!$A$2:$A$4,0))+INDEX(Dim_Product!$D$2:$D$4,MATCH(F178,Dim_Product!$A$2:$A$4,0))),G178-H178,G178-H178-1)</f>
        <v>45</v>
      </c>
      <c r="O178" s="4">
        <f t="shared" si="19"/>
        <v>3</v>
      </c>
      <c r="P178" s="4">
        <f>INDEX(Dim_Product!$G$2:$G$4,MATCH(F178,Dim_Product!$A$2:$A$4,0))+-0.12</f>
        <v>69.88</v>
      </c>
      <c r="Q178" s="4">
        <f>IF(AND(P178&gt;=INDEX(Dim_Product!$G$2:$G$4,MATCH(F178,Dim_Product!$A$2:$A$4,0))-INDEX(Dim_Product!$H$2:$H$4,MATCH(F178,Dim_Product!$A$2:$A$4,0)),P178&lt;=INDEX(Dim_Product!$G$2:$G$4,MATCH(F178,Dim_Product!$A$2:$A$4,0))+INDEX(Dim_Product!$H$2:$H$4,MATCH(F178,Dim_Product!$A$2:$A$4,0))),G178-H178,G178-H178-1)</f>
        <v>45</v>
      </c>
      <c r="R178" s="4">
        <f t="shared" si="20"/>
        <v>3</v>
      </c>
      <c r="S178" s="4">
        <f>INDEX(Dim_Product!$K$2:$K$4,MATCH(F178,Dim_Product!$A$2:$A$4,0))+0.05</f>
        <v>120.05</v>
      </c>
      <c r="T178" s="4">
        <f>IF(AND(S178&gt;=INDEX(Dim_Product!$K$2:$K$4,MATCH(F178,Dim_Product!$A$2:$A$4,0))-INDEX(Dim_Product!$L$2:$L$4,MATCH(F178,Dim_Product!$A$2:$A$4,0)),S178&lt;=INDEX(Dim_Product!$K$2:$K$4,MATCH(F178,Dim_Product!$A$2:$A$4,0))+INDEX(Dim_Product!$L$2:$L$4,MATCH(F178,Dim_Product!$A$2:$A$4,0))),G178-H178,G178-H178-1)</f>
        <v>45</v>
      </c>
      <c r="U178" s="4">
        <f t="shared" si="21"/>
        <v>3</v>
      </c>
      <c r="V178" s="4">
        <f t="shared" si="22"/>
        <v>6.25E-2</v>
      </c>
      <c r="W178" s="19">
        <f t="shared" si="23"/>
        <v>0.9375</v>
      </c>
    </row>
    <row r="179" spans="1:23" x14ac:dyDescent="0.25">
      <c r="A179" s="18" t="s">
        <v>680</v>
      </c>
      <c r="B179" s="4">
        <f>Fact_Production_Hourly!B179</f>
        <v>20260702</v>
      </c>
      <c r="C179" s="4">
        <f>Fact_Production_Hourly!C179</f>
        <v>1</v>
      </c>
      <c r="D179" s="4" t="str">
        <f>Fact_Production_Hourly!D179</f>
        <v>M3</v>
      </c>
      <c r="E179" s="4" t="str">
        <f>Fact_Production_Hourly!E179</f>
        <v>B-PM</v>
      </c>
      <c r="F179" s="4" t="str">
        <f>Fact_Production_Hourly!F179</f>
        <v>A</v>
      </c>
      <c r="G179" s="4">
        <f>INDEX(Dim_Machine!$D$2:$D$8,MATCH(D179,Dim_Machine!$A$2:$A$8,0))*2</f>
        <v>24</v>
      </c>
      <c r="H179" s="4">
        <f>ROUND(G179*0.044,0)</f>
        <v>1</v>
      </c>
      <c r="I179" s="4">
        <f t="shared" si="16"/>
        <v>0</v>
      </c>
      <c r="J179" s="4">
        <f t="shared" si="17"/>
        <v>0</v>
      </c>
      <c r="K179" s="4">
        <f t="shared" si="18"/>
        <v>1</v>
      </c>
      <c r="L179" s="4" t="s">
        <v>503</v>
      </c>
      <c r="M179" s="4">
        <f>INDEX(Dim_Product!$C$2:$C$4,MATCH(F179,Dim_Product!$A$2:$A$4,0))+0.35</f>
        <v>250.35</v>
      </c>
      <c r="N179" s="4">
        <f>IF(AND(M179&gt;=INDEX(Dim_Product!$C$2:$C$4,MATCH(F179,Dim_Product!$A$2:$A$4,0))-INDEX(Dim_Product!$D$2:$D$4,MATCH(F179,Dim_Product!$A$2:$A$4,0)),M179&lt;=INDEX(Dim_Product!$C$2:$C$4,MATCH(F179,Dim_Product!$A$2:$A$4,0))+INDEX(Dim_Product!$D$2:$D$4,MATCH(F179,Dim_Product!$A$2:$A$4,0))),G179-H179,G179-H179-1)</f>
        <v>23</v>
      </c>
      <c r="O179" s="4">
        <f t="shared" si="19"/>
        <v>1</v>
      </c>
      <c r="P179" s="4">
        <f>INDEX(Dim_Product!$G$2:$G$4,MATCH(F179,Dim_Product!$A$2:$A$4,0))+0.02</f>
        <v>70.02</v>
      </c>
      <c r="Q179" s="4">
        <f>IF(AND(P179&gt;=INDEX(Dim_Product!$G$2:$G$4,MATCH(F179,Dim_Product!$A$2:$A$4,0))-INDEX(Dim_Product!$H$2:$H$4,MATCH(F179,Dim_Product!$A$2:$A$4,0)),P179&lt;=INDEX(Dim_Product!$G$2:$G$4,MATCH(F179,Dim_Product!$A$2:$A$4,0))+INDEX(Dim_Product!$H$2:$H$4,MATCH(F179,Dim_Product!$A$2:$A$4,0))),G179-H179,G179-H179-1)</f>
        <v>23</v>
      </c>
      <c r="R179" s="4">
        <f t="shared" si="20"/>
        <v>1</v>
      </c>
      <c r="S179" s="4">
        <f>INDEX(Dim_Product!$K$2:$K$4,MATCH(F179,Dim_Product!$A$2:$A$4,0))+-0.09</f>
        <v>119.91</v>
      </c>
      <c r="T179" s="4">
        <f>IF(AND(S179&gt;=INDEX(Dim_Product!$K$2:$K$4,MATCH(F179,Dim_Product!$A$2:$A$4,0))-INDEX(Dim_Product!$L$2:$L$4,MATCH(F179,Dim_Product!$A$2:$A$4,0)),S179&lt;=INDEX(Dim_Product!$K$2:$K$4,MATCH(F179,Dim_Product!$A$2:$A$4,0))+INDEX(Dim_Product!$L$2:$L$4,MATCH(F179,Dim_Product!$A$2:$A$4,0))),G179-H179,G179-H179-1)</f>
        <v>23</v>
      </c>
      <c r="U179" s="4">
        <f t="shared" si="21"/>
        <v>1</v>
      </c>
      <c r="V179" s="4">
        <f t="shared" si="22"/>
        <v>4.1666666666666664E-2</v>
      </c>
      <c r="W179" s="19">
        <f t="shared" si="23"/>
        <v>0.95833333333333337</v>
      </c>
    </row>
    <row r="180" spans="1:23" x14ac:dyDescent="0.25">
      <c r="A180" s="18" t="s">
        <v>681</v>
      </c>
      <c r="B180" s="4">
        <f>Fact_Production_Hourly!B180</f>
        <v>20260702</v>
      </c>
      <c r="C180" s="4">
        <f>Fact_Production_Hourly!C180</f>
        <v>1</v>
      </c>
      <c r="D180" s="4" t="str">
        <f>Fact_Production_Hourly!D180</f>
        <v>M4</v>
      </c>
      <c r="E180" s="4" t="str">
        <f>Fact_Production_Hourly!E180</f>
        <v>B-PM</v>
      </c>
      <c r="F180" s="4" t="str">
        <f>Fact_Production_Hourly!F180</f>
        <v>C</v>
      </c>
      <c r="G180" s="4">
        <f>INDEX(Dim_Machine!$D$2:$D$8,MATCH(D180,Dim_Machine!$A$2:$A$8,0))*2</f>
        <v>48</v>
      </c>
      <c r="H180" s="4">
        <f>ROUND(G180*0.0544,0)</f>
        <v>3</v>
      </c>
      <c r="I180" s="4">
        <f t="shared" si="16"/>
        <v>0</v>
      </c>
      <c r="J180" s="4">
        <f t="shared" si="17"/>
        <v>1</v>
      </c>
      <c r="K180" s="4">
        <f t="shared" si="18"/>
        <v>2</v>
      </c>
      <c r="L180" s="4" t="s">
        <v>520</v>
      </c>
      <c r="M180" s="4">
        <f>INDEX(Dim_Product!$C$2:$C$4,MATCH(F180,Dim_Product!$A$2:$A$4,0))+0.45</f>
        <v>200.45</v>
      </c>
      <c r="N180" s="4">
        <f>IF(AND(M180&gt;=INDEX(Dim_Product!$C$2:$C$4,MATCH(F180,Dim_Product!$A$2:$A$4,0))-INDEX(Dim_Product!$D$2:$D$4,MATCH(F180,Dim_Product!$A$2:$A$4,0)),M180&lt;=INDEX(Dim_Product!$C$2:$C$4,MATCH(F180,Dim_Product!$A$2:$A$4,0))+INDEX(Dim_Product!$D$2:$D$4,MATCH(F180,Dim_Product!$A$2:$A$4,0))),G180-H180,G180-H180-1)</f>
        <v>45</v>
      </c>
      <c r="O180" s="4">
        <f t="shared" si="19"/>
        <v>3</v>
      </c>
      <c r="P180" s="4">
        <f>INDEX(Dim_Product!$G$2:$G$4,MATCH(F180,Dim_Product!$A$2:$A$4,0))+0</f>
        <v>65</v>
      </c>
      <c r="Q180" s="4">
        <f>IF(AND(P180&gt;=INDEX(Dim_Product!$G$2:$G$4,MATCH(F180,Dim_Product!$A$2:$A$4,0))-INDEX(Dim_Product!$H$2:$H$4,MATCH(F180,Dim_Product!$A$2:$A$4,0)),P180&lt;=INDEX(Dim_Product!$G$2:$G$4,MATCH(F180,Dim_Product!$A$2:$A$4,0))+INDEX(Dim_Product!$H$2:$H$4,MATCH(F180,Dim_Product!$A$2:$A$4,0))),G180-H180,G180-H180-1)</f>
        <v>45</v>
      </c>
      <c r="R180" s="4">
        <f t="shared" si="20"/>
        <v>3</v>
      </c>
      <c r="S180" s="4">
        <f>INDEX(Dim_Product!$K$2:$K$4,MATCH(F180,Dim_Product!$A$2:$A$4,0))+0.38</f>
        <v>110.38</v>
      </c>
      <c r="T180" s="4">
        <f>IF(AND(S180&gt;=INDEX(Dim_Product!$K$2:$K$4,MATCH(F180,Dim_Product!$A$2:$A$4,0))-INDEX(Dim_Product!$L$2:$L$4,MATCH(F180,Dim_Product!$A$2:$A$4,0)),S180&lt;=INDEX(Dim_Product!$K$2:$K$4,MATCH(F180,Dim_Product!$A$2:$A$4,0))+INDEX(Dim_Product!$L$2:$L$4,MATCH(F180,Dim_Product!$A$2:$A$4,0))),G180-H180,G180-H180-1)</f>
        <v>45</v>
      </c>
      <c r="U180" s="4">
        <f t="shared" si="21"/>
        <v>3</v>
      </c>
      <c r="V180" s="4">
        <f t="shared" si="22"/>
        <v>6.25E-2</v>
      </c>
      <c r="W180" s="19">
        <f t="shared" si="23"/>
        <v>0.9375</v>
      </c>
    </row>
    <row r="181" spans="1:23" x14ac:dyDescent="0.25">
      <c r="A181" s="18" t="s">
        <v>682</v>
      </c>
      <c r="B181" s="4">
        <f>Fact_Production_Hourly!B181</f>
        <v>20260702</v>
      </c>
      <c r="C181" s="4">
        <f>Fact_Production_Hourly!C181</f>
        <v>1</v>
      </c>
      <c r="D181" s="4" t="str">
        <f>Fact_Production_Hourly!D181</f>
        <v>M5</v>
      </c>
      <c r="E181" s="4" t="str">
        <f>Fact_Production_Hourly!E181</f>
        <v>B-PM</v>
      </c>
      <c r="F181" s="4" t="str">
        <f>Fact_Production_Hourly!F181</f>
        <v>A</v>
      </c>
      <c r="G181" s="4">
        <f>INDEX(Dim_Machine!$D$2:$D$8,MATCH(D181,Dim_Machine!$A$2:$A$8,0))*2</f>
        <v>32</v>
      </c>
      <c r="H181" s="4">
        <f>ROUND(G181*0.0132,0)</f>
        <v>0</v>
      </c>
      <c r="I181" s="4">
        <f t="shared" si="16"/>
        <v>0</v>
      </c>
      <c r="J181" s="4">
        <f t="shared" si="17"/>
        <v>0</v>
      </c>
      <c r="K181" s="4">
        <f t="shared" si="18"/>
        <v>0</v>
      </c>
      <c r="L181" s="4" t="s">
        <v>503</v>
      </c>
      <c r="M181" s="4">
        <f>INDEX(Dim_Product!$C$2:$C$4,MATCH(F181,Dim_Product!$A$2:$A$4,0))+-0.54</f>
        <v>249.46</v>
      </c>
      <c r="N181" s="4">
        <f>IF(AND(M181&gt;=INDEX(Dim_Product!$C$2:$C$4,MATCH(F181,Dim_Product!$A$2:$A$4,0))-INDEX(Dim_Product!$D$2:$D$4,MATCH(F181,Dim_Product!$A$2:$A$4,0)),M181&lt;=INDEX(Dim_Product!$C$2:$C$4,MATCH(F181,Dim_Product!$A$2:$A$4,0))+INDEX(Dim_Product!$D$2:$D$4,MATCH(F181,Dim_Product!$A$2:$A$4,0))),G181-H181,G181-H181-1)</f>
        <v>32</v>
      </c>
      <c r="O181" s="4">
        <f t="shared" si="19"/>
        <v>0</v>
      </c>
      <c r="P181" s="4">
        <f>INDEX(Dim_Product!$G$2:$G$4,MATCH(F181,Dim_Product!$A$2:$A$4,0))+-0.25</f>
        <v>69.75</v>
      </c>
      <c r="Q181" s="4">
        <f>IF(AND(P181&gt;=INDEX(Dim_Product!$G$2:$G$4,MATCH(F181,Dim_Product!$A$2:$A$4,0))-INDEX(Dim_Product!$H$2:$H$4,MATCH(F181,Dim_Product!$A$2:$A$4,0)),P181&lt;=INDEX(Dim_Product!$G$2:$G$4,MATCH(F181,Dim_Product!$A$2:$A$4,0))+INDEX(Dim_Product!$H$2:$H$4,MATCH(F181,Dim_Product!$A$2:$A$4,0))),G181-H181,G181-H181-1)</f>
        <v>32</v>
      </c>
      <c r="R181" s="4">
        <f t="shared" si="20"/>
        <v>0</v>
      </c>
      <c r="S181" s="4">
        <f>INDEX(Dim_Product!$K$2:$K$4,MATCH(F181,Dim_Product!$A$2:$A$4,0))+0.08</f>
        <v>120.08</v>
      </c>
      <c r="T181" s="4">
        <f>IF(AND(S181&gt;=INDEX(Dim_Product!$K$2:$K$4,MATCH(F181,Dim_Product!$A$2:$A$4,0))-INDEX(Dim_Product!$L$2:$L$4,MATCH(F181,Dim_Product!$A$2:$A$4,0)),S181&lt;=INDEX(Dim_Product!$K$2:$K$4,MATCH(F181,Dim_Product!$A$2:$A$4,0))+INDEX(Dim_Product!$L$2:$L$4,MATCH(F181,Dim_Product!$A$2:$A$4,0))),G181-H181,G181-H181-1)</f>
        <v>32</v>
      </c>
      <c r="U181" s="4">
        <f t="shared" si="21"/>
        <v>0</v>
      </c>
      <c r="V181" s="4">
        <f t="shared" si="22"/>
        <v>0</v>
      </c>
      <c r="W181" s="19">
        <f t="shared" si="23"/>
        <v>1</v>
      </c>
    </row>
    <row r="182" spans="1:23" x14ac:dyDescent="0.25">
      <c r="A182" s="18" t="s">
        <v>683</v>
      </c>
      <c r="B182" s="4">
        <f>Fact_Production_Hourly!B182</f>
        <v>20260702</v>
      </c>
      <c r="C182" s="4">
        <f>Fact_Production_Hourly!C182</f>
        <v>1</v>
      </c>
      <c r="D182" s="4" t="str">
        <f>Fact_Production_Hourly!D182</f>
        <v>M6</v>
      </c>
      <c r="E182" s="4" t="str">
        <f>Fact_Production_Hourly!E182</f>
        <v>B-PM</v>
      </c>
      <c r="F182" s="4" t="str">
        <f>Fact_Production_Hourly!F182</f>
        <v>A</v>
      </c>
      <c r="G182" s="4">
        <f>INDEX(Dim_Machine!$D$2:$D$8,MATCH(D182,Dim_Machine!$A$2:$A$8,0))*2</f>
        <v>24</v>
      </c>
      <c r="H182" s="4">
        <f>ROUND(G182*0.0468,0)</f>
        <v>1</v>
      </c>
      <c r="I182" s="4">
        <f t="shared" si="16"/>
        <v>0</v>
      </c>
      <c r="J182" s="4">
        <f t="shared" si="17"/>
        <v>0</v>
      </c>
      <c r="K182" s="4">
        <f t="shared" si="18"/>
        <v>1</v>
      </c>
      <c r="L182" s="4" t="s">
        <v>509</v>
      </c>
      <c r="M182" s="4">
        <f>INDEX(Dim_Product!$C$2:$C$4,MATCH(F182,Dim_Product!$A$2:$A$4,0))+-0.21</f>
        <v>249.79</v>
      </c>
      <c r="N182" s="4">
        <f>IF(AND(M182&gt;=INDEX(Dim_Product!$C$2:$C$4,MATCH(F182,Dim_Product!$A$2:$A$4,0))-INDEX(Dim_Product!$D$2:$D$4,MATCH(F182,Dim_Product!$A$2:$A$4,0)),M182&lt;=INDEX(Dim_Product!$C$2:$C$4,MATCH(F182,Dim_Product!$A$2:$A$4,0))+INDEX(Dim_Product!$D$2:$D$4,MATCH(F182,Dim_Product!$A$2:$A$4,0))),G182-H182,G182-H182-1)</f>
        <v>23</v>
      </c>
      <c r="O182" s="4">
        <f t="shared" si="19"/>
        <v>1</v>
      </c>
      <c r="P182" s="4">
        <f>INDEX(Dim_Product!$G$2:$G$4,MATCH(F182,Dim_Product!$A$2:$A$4,0))+0.16</f>
        <v>70.16</v>
      </c>
      <c r="Q182" s="4">
        <f>IF(AND(P182&gt;=INDEX(Dim_Product!$G$2:$G$4,MATCH(F182,Dim_Product!$A$2:$A$4,0))-INDEX(Dim_Product!$H$2:$H$4,MATCH(F182,Dim_Product!$A$2:$A$4,0)),P182&lt;=INDEX(Dim_Product!$G$2:$G$4,MATCH(F182,Dim_Product!$A$2:$A$4,0))+INDEX(Dim_Product!$H$2:$H$4,MATCH(F182,Dim_Product!$A$2:$A$4,0))),G182-H182,G182-H182-1)</f>
        <v>23</v>
      </c>
      <c r="R182" s="4">
        <f t="shared" si="20"/>
        <v>1</v>
      </c>
      <c r="S182" s="4">
        <f>INDEX(Dim_Product!$K$2:$K$4,MATCH(F182,Dim_Product!$A$2:$A$4,0))+-0.38</f>
        <v>119.62</v>
      </c>
      <c r="T182" s="4">
        <f>IF(AND(S182&gt;=INDEX(Dim_Product!$K$2:$K$4,MATCH(F182,Dim_Product!$A$2:$A$4,0))-INDEX(Dim_Product!$L$2:$L$4,MATCH(F182,Dim_Product!$A$2:$A$4,0)),S182&lt;=INDEX(Dim_Product!$K$2:$K$4,MATCH(F182,Dim_Product!$A$2:$A$4,0))+INDEX(Dim_Product!$L$2:$L$4,MATCH(F182,Dim_Product!$A$2:$A$4,0))),G182-H182,G182-H182-1)</f>
        <v>23</v>
      </c>
      <c r="U182" s="4">
        <f t="shared" si="21"/>
        <v>1</v>
      </c>
      <c r="V182" s="4">
        <f t="shared" si="22"/>
        <v>4.1666666666666664E-2</v>
      </c>
      <c r="W182" s="19">
        <f t="shared" si="23"/>
        <v>0.95833333333333337</v>
      </c>
    </row>
    <row r="183" spans="1:23" x14ac:dyDescent="0.25">
      <c r="A183" s="18" t="s">
        <v>684</v>
      </c>
      <c r="B183" s="4">
        <f>Fact_Production_Hourly!B183</f>
        <v>20260702</v>
      </c>
      <c r="C183" s="4">
        <f>Fact_Production_Hourly!C183</f>
        <v>1</v>
      </c>
      <c r="D183" s="4" t="str">
        <f>Fact_Production_Hourly!D183</f>
        <v>M7</v>
      </c>
      <c r="E183" s="4" t="str">
        <f>Fact_Production_Hourly!E183</f>
        <v>B-PM</v>
      </c>
      <c r="F183" s="4" t="str">
        <f>Fact_Production_Hourly!F183</f>
        <v>C</v>
      </c>
      <c r="G183" s="4">
        <f>INDEX(Dim_Machine!$D$2:$D$8,MATCH(D183,Dim_Machine!$A$2:$A$8,0))*2</f>
        <v>48</v>
      </c>
      <c r="H183" s="4">
        <f>ROUND(G183*0.0264,0)</f>
        <v>1</v>
      </c>
      <c r="I183" s="4">
        <f t="shared" si="16"/>
        <v>0</v>
      </c>
      <c r="J183" s="4">
        <f t="shared" si="17"/>
        <v>0</v>
      </c>
      <c r="K183" s="4">
        <f t="shared" si="18"/>
        <v>1</v>
      </c>
      <c r="L183" s="4" t="s">
        <v>503</v>
      </c>
      <c r="M183" s="4">
        <f>INDEX(Dim_Product!$C$2:$C$4,MATCH(F183,Dim_Product!$A$2:$A$4,0))+-0.02</f>
        <v>199.98</v>
      </c>
      <c r="N183" s="4">
        <f>IF(AND(M183&gt;=INDEX(Dim_Product!$C$2:$C$4,MATCH(F183,Dim_Product!$A$2:$A$4,0))-INDEX(Dim_Product!$D$2:$D$4,MATCH(F183,Dim_Product!$A$2:$A$4,0)),M183&lt;=INDEX(Dim_Product!$C$2:$C$4,MATCH(F183,Dim_Product!$A$2:$A$4,0))+INDEX(Dim_Product!$D$2:$D$4,MATCH(F183,Dim_Product!$A$2:$A$4,0))),G183-H183,G183-H183-1)</f>
        <v>47</v>
      </c>
      <c r="O183" s="4">
        <f t="shared" si="19"/>
        <v>1</v>
      </c>
      <c r="P183" s="4">
        <f>INDEX(Dim_Product!$G$2:$G$4,MATCH(F183,Dim_Product!$A$2:$A$4,0))+-0.09</f>
        <v>64.91</v>
      </c>
      <c r="Q183" s="4">
        <f>IF(AND(P183&gt;=INDEX(Dim_Product!$G$2:$G$4,MATCH(F183,Dim_Product!$A$2:$A$4,0))-INDEX(Dim_Product!$H$2:$H$4,MATCH(F183,Dim_Product!$A$2:$A$4,0)),P183&lt;=INDEX(Dim_Product!$G$2:$G$4,MATCH(F183,Dim_Product!$A$2:$A$4,0))+INDEX(Dim_Product!$H$2:$H$4,MATCH(F183,Dim_Product!$A$2:$A$4,0))),G183-H183,G183-H183-1)</f>
        <v>47</v>
      </c>
      <c r="R183" s="4">
        <f t="shared" si="20"/>
        <v>1</v>
      </c>
      <c r="S183" s="4">
        <f>INDEX(Dim_Product!$K$2:$K$4,MATCH(F183,Dim_Product!$A$2:$A$4,0))+0.35</f>
        <v>110.35</v>
      </c>
      <c r="T183" s="4">
        <f>IF(AND(S183&gt;=INDEX(Dim_Product!$K$2:$K$4,MATCH(F183,Dim_Product!$A$2:$A$4,0))-INDEX(Dim_Product!$L$2:$L$4,MATCH(F183,Dim_Product!$A$2:$A$4,0)),S183&lt;=INDEX(Dim_Product!$K$2:$K$4,MATCH(F183,Dim_Product!$A$2:$A$4,0))+INDEX(Dim_Product!$L$2:$L$4,MATCH(F183,Dim_Product!$A$2:$A$4,0))),G183-H183,G183-H183-1)</f>
        <v>47</v>
      </c>
      <c r="U183" s="4">
        <f t="shared" si="21"/>
        <v>1</v>
      </c>
      <c r="V183" s="4">
        <f t="shared" si="22"/>
        <v>2.0833333333333332E-2</v>
      </c>
      <c r="W183" s="19">
        <f t="shared" si="23"/>
        <v>0.97916666666666663</v>
      </c>
    </row>
    <row r="184" spans="1:23" x14ac:dyDescent="0.25">
      <c r="A184" s="18" t="s">
        <v>685</v>
      </c>
      <c r="B184" s="4">
        <f>Fact_Production_Hourly!B184</f>
        <v>20260702</v>
      </c>
      <c r="C184" s="4">
        <f>Fact_Production_Hourly!C184</f>
        <v>2</v>
      </c>
      <c r="D184" s="4" t="str">
        <f>Fact_Production_Hourly!D184</f>
        <v>M1</v>
      </c>
      <c r="E184" s="4" t="str">
        <f>Fact_Production_Hourly!E184</f>
        <v>B-PM</v>
      </c>
      <c r="F184" s="4" t="str">
        <f>Fact_Production_Hourly!F184</f>
        <v>B</v>
      </c>
      <c r="G184" s="4">
        <f>INDEX(Dim_Machine!$D$2:$D$8,MATCH(D184,Dim_Machine!$A$2:$A$8,0))*2</f>
        <v>32</v>
      </c>
      <c r="H184" s="4">
        <f>ROUND(G184*0.0359,0)</f>
        <v>1</v>
      </c>
      <c r="I184" s="4">
        <f t="shared" si="16"/>
        <v>0</v>
      </c>
      <c r="J184" s="4">
        <f t="shared" si="17"/>
        <v>0</v>
      </c>
      <c r="K184" s="4">
        <f t="shared" si="18"/>
        <v>1</v>
      </c>
      <c r="L184" s="4" t="s">
        <v>520</v>
      </c>
      <c r="M184" s="4">
        <f>INDEX(Dim_Product!$C$2:$C$4,MATCH(F184,Dim_Product!$A$2:$A$4,0))+0.17</f>
        <v>300.17</v>
      </c>
      <c r="N184" s="4">
        <f>IF(AND(M184&gt;=INDEX(Dim_Product!$C$2:$C$4,MATCH(F184,Dim_Product!$A$2:$A$4,0))-INDEX(Dim_Product!$D$2:$D$4,MATCH(F184,Dim_Product!$A$2:$A$4,0)),M184&lt;=INDEX(Dim_Product!$C$2:$C$4,MATCH(F184,Dim_Product!$A$2:$A$4,0))+INDEX(Dim_Product!$D$2:$D$4,MATCH(F184,Dim_Product!$A$2:$A$4,0))),G184-H184,G184-H184-1)</f>
        <v>31</v>
      </c>
      <c r="O184" s="4">
        <f t="shared" si="19"/>
        <v>1</v>
      </c>
      <c r="P184" s="4">
        <f>INDEX(Dim_Product!$G$2:$G$4,MATCH(F184,Dim_Product!$A$2:$A$4,0))+-0.07</f>
        <v>74.930000000000007</v>
      </c>
      <c r="Q184" s="4">
        <f>IF(AND(P184&gt;=INDEX(Dim_Product!$G$2:$G$4,MATCH(F184,Dim_Product!$A$2:$A$4,0))-INDEX(Dim_Product!$H$2:$H$4,MATCH(F184,Dim_Product!$A$2:$A$4,0)),P184&lt;=INDEX(Dim_Product!$G$2:$G$4,MATCH(F184,Dim_Product!$A$2:$A$4,0))+INDEX(Dim_Product!$H$2:$H$4,MATCH(F184,Dim_Product!$A$2:$A$4,0))),G184-H184,G184-H184-1)</f>
        <v>31</v>
      </c>
      <c r="R184" s="4">
        <f t="shared" si="20"/>
        <v>1</v>
      </c>
      <c r="S184" s="4">
        <f>INDEX(Dim_Product!$K$2:$K$4,MATCH(F184,Dim_Product!$A$2:$A$4,0))+0.22</f>
        <v>130.22</v>
      </c>
      <c r="T184" s="4">
        <f>IF(AND(S184&gt;=INDEX(Dim_Product!$K$2:$K$4,MATCH(F184,Dim_Product!$A$2:$A$4,0))-INDEX(Dim_Product!$L$2:$L$4,MATCH(F184,Dim_Product!$A$2:$A$4,0)),S184&lt;=INDEX(Dim_Product!$K$2:$K$4,MATCH(F184,Dim_Product!$A$2:$A$4,0))+INDEX(Dim_Product!$L$2:$L$4,MATCH(F184,Dim_Product!$A$2:$A$4,0))),G184-H184,G184-H184-1)</f>
        <v>31</v>
      </c>
      <c r="U184" s="4">
        <f t="shared" si="21"/>
        <v>1</v>
      </c>
      <c r="V184" s="4">
        <f t="shared" si="22"/>
        <v>3.125E-2</v>
      </c>
      <c r="W184" s="19">
        <f t="shared" si="23"/>
        <v>0.96875</v>
      </c>
    </row>
    <row r="185" spans="1:23" x14ac:dyDescent="0.25">
      <c r="A185" s="18" t="s">
        <v>686</v>
      </c>
      <c r="B185" s="4">
        <f>Fact_Production_Hourly!B185</f>
        <v>20260702</v>
      </c>
      <c r="C185" s="4">
        <f>Fact_Production_Hourly!C185</f>
        <v>2</v>
      </c>
      <c r="D185" s="4" t="str">
        <f>Fact_Production_Hourly!D185</f>
        <v>M2</v>
      </c>
      <c r="E185" s="4" t="str">
        <f>Fact_Production_Hourly!E185</f>
        <v>B-PM</v>
      </c>
      <c r="F185" s="4" t="str">
        <f>Fact_Production_Hourly!F185</f>
        <v>A</v>
      </c>
      <c r="G185" s="4">
        <f>INDEX(Dim_Machine!$D$2:$D$8,MATCH(D185,Dim_Machine!$A$2:$A$8,0))*2</f>
        <v>48</v>
      </c>
      <c r="H185" s="4">
        <f>ROUND(G185*0.0277,0)</f>
        <v>1</v>
      </c>
      <c r="I185" s="4">
        <f t="shared" si="16"/>
        <v>0</v>
      </c>
      <c r="J185" s="4">
        <f t="shared" si="17"/>
        <v>0</v>
      </c>
      <c r="K185" s="4">
        <f t="shared" si="18"/>
        <v>1</v>
      </c>
      <c r="L185" s="4" t="s">
        <v>500</v>
      </c>
      <c r="M185" s="4">
        <f>INDEX(Dim_Product!$C$2:$C$4,MATCH(F185,Dim_Product!$A$2:$A$4,0))+0.43</f>
        <v>250.43</v>
      </c>
      <c r="N185" s="4">
        <f>IF(AND(M185&gt;=INDEX(Dim_Product!$C$2:$C$4,MATCH(F185,Dim_Product!$A$2:$A$4,0))-INDEX(Dim_Product!$D$2:$D$4,MATCH(F185,Dim_Product!$A$2:$A$4,0)),M185&lt;=INDEX(Dim_Product!$C$2:$C$4,MATCH(F185,Dim_Product!$A$2:$A$4,0))+INDEX(Dim_Product!$D$2:$D$4,MATCH(F185,Dim_Product!$A$2:$A$4,0))),G185-H185,G185-H185-1)</f>
        <v>47</v>
      </c>
      <c r="O185" s="4">
        <f t="shared" si="19"/>
        <v>1</v>
      </c>
      <c r="P185" s="4">
        <f>INDEX(Dim_Product!$G$2:$G$4,MATCH(F185,Dim_Product!$A$2:$A$4,0))+-0.25</f>
        <v>69.75</v>
      </c>
      <c r="Q185" s="4">
        <f>IF(AND(P185&gt;=INDEX(Dim_Product!$G$2:$G$4,MATCH(F185,Dim_Product!$A$2:$A$4,0))-INDEX(Dim_Product!$H$2:$H$4,MATCH(F185,Dim_Product!$A$2:$A$4,0)),P185&lt;=INDEX(Dim_Product!$G$2:$G$4,MATCH(F185,Dim_Product!$A$2:$A$4,0))+INDEX(Dim_Product!$H$2:$H$4,MATCH(F185,Dim_Product!$A$2:$A$4,0))),G185-H185,G185-H185-1)</f>
        <v>47</v>
      </c>
      <c r="R185" s="4">
        <f t="shared" si="20"/>
        <v>1</v>
      </c>
      <c r="S185" s="4">
        <f>INDEX(Dim_Product!$K$2:$K$4,MATCH(F185,Dim_Product!$A$2:$A$4,0))+-0.28</f>
        <v>119.72</v>
      </c>
      <c r="T185" s="4">
        <f>IF(AND(S185&gt;=INDEX(Dim_Product!$K$2:$K$4,MATCH(F185,Dim_Product!$A$2:$A$4,0))-INDEX(Dim_Product!$L$2:$L$4,MATCH(F185,Dim_Product!$A$2:$A$4,0)),S185&lt;=INDEX(Dim_Product!$K$2:$K$4,MATCH(F185,Dim_Product!$A$2:$A$4,0))+INDEX(Dim_Product!$L$2:$L$4,MATCH(F185,Dim_Product!$A$2:$A$4,0))),G185-H185,G185-H185-1)</f>
        <v>47</v>
      </c>
      <c r="U185" s="4">
        <f t="shared" si="21"/>
        <v>1</v>
      </c>
      <c r="V185" s="4">
        <f t="shared" si="22"/>
        <v>2.0833333333333332E-2</v>
      </c>
      <c r="W185" s="19">
        <f t="shared" si="23"/>
        <v>0.97916666666666663</v>
      </c>
    </row>
    <row r="186" spans="1:23" x14ac:dyDescent="0.25">
      <c r="A186" s="18" t="s">
        <v>687</v>
      </c>
      <c r="B186" s="4">
        <f>Fact_Production_Hourly!B186</f>
        <v>20260702</v>
      </c>
      <c r="C186" s="4">
        <f>Fact_Production_Hourly!C186</f>
        <v>2</v>
      </c>
      <c r="D186" s="4" t="str">
        <f>Fact_Production_Hourly!D186</f>
        <v>M3</v>
      </c>
      <c r="E186" s="4" t="str">
        <f>Fact_Production_Hourly!E186</f>
        <v>B-PM</v>
      </c>
      <c r="F186" s="4" t="str">
        <f>Fact_Production_Hourly!F186</f>
        <v>A</v>
      </c>
      <c r="G186" s="4">
        <f>INDEX(Dim_Machine!$D$2:$D$8,MATCH(D186,Dim_Machine!$A$2:$A$8,0))*2</f>
        <v>24</v>
      </c>
      <c r="H186" s="4">
        <f>ROUND(G186*0.0527,0)</f>
        <v>1</v>
      </c>
      <c r="I186" s="4">
        <f t="shared" si="16"/>
        <v>0</v>
      </c>
      <c r="J186" s="4">
        <f t="shared" si="17"/>
        <v>0</v>
      </c>
      <c r="K186" s="4">
        <f t="shared" si="18"/>
        <v>1</v>
      </c>
      <c r="L186" s="4" t="s">
        <v>520</v>
      </c>
      <c r="M186" s="4">
        <f>INDEX(Dim_Product!$C$2:$C$4,MATCH(F186,Dim_Product!$A$2:$A$4,0))+-0.69</f>
        <v>249.31</v>
      </c>
      <c r="N186" s="4">
        <f>IF(AND(M186&gt;=INDEX(Dim_Product!$C$2:$C$4,MATCH(F186,Dim_Product!$A$2:$A$4,0))-INDEX(Dim_Product!$D$2:$D$4,MATCH(F186,Dim_Product!$A$2:$A$4,0)),M186&lt;=INDEX(Dim_Product!$C$2:$C$4,MATCH(F186,Dim_Product!$A$2:$A$4,0))+INDEX(Dim_Product!$D$2:$D$4,MATCH(F186,Dim_Product!$A$2:$A$4,0))),G186-H186,G186-H186-1)</f>
        <v>23</v>
      </c>
      <c r="O186" s="4">
        <f t="shared" si="19"/>
        <v>1</v>
      </c>
      <c r="P186" s="4">
        <f>INDEX(Dim_Product!$G$2:$G$4,MATCH(F186,Dim_Product!$A$2:$A$4,0))+-0.07</f>
        <v>69.930000000000007</v>
      </c>
      <c r="Q186" s="4">
        <f>IF(AND(P186&gt;=INDEX(Dim_Product!$G$2:$G$4,MATCH(F186,Dim_Product!$A$2:$A$4,0))-INDEX(Dim_Product!$H$2:$H$4,MATCH(F186,Dim_Product!$A$2:$A$4,0)),P186&lt;=INDEX(Dim_Product!$G$2:$G$4,MATCH(F186,Dim_Product!$A$2:$A$4,0))+INDEX(Dim_Product!$H$2:$H$4,MATCH(F186,Dim_Product!$A$2:$A$4,0))),G186-H186,G186-H186-1)</f>
        <v>23</v>
      </c>
      <c r="R186" s="4">
        <f t="shared" si="20"/>
        <v>1</v>
      </c>
      <c r="S186" s="4">
        <f>INDEX(Dim_Product!$K$2:$K$4,MATCH(F186,Dim_Product!$A$2:$A$4,0))+-0.11</f>
        <v>119.89</v>
      </c>
      <c r="T186" s="4">
        <f>IF(AND(S186&gt;=INDEX(Dim_Product!$K$2:$K$4,MATCH(F186,Dim_Product!$A$2:$A$4,0))-INDEX(Dim_Product!$L$2:$L$4,MATCH(F186,Dim_Product!$A$2:$A$4,0)),S186&lt;=INDEX(Dim_Product!$K$2:$K$4,MATCH(F186,Dim_Product!$A$2:$A$4,0))+INDEX(Dim_Product!$L$2:$L$4,MATCH(F186,Dim_Product!$A$2:$A$4,0))),G186-H186,G186-H186-1)</f>
        <v>23</v>
      </c>
      <c r="U186" s="4">
        <f t="shared" si="21"/>
        <v>1</v>
      </c>
      <c r="V186" s="4">
        <f t="shared" si="22"/>
        <v>4.1666666666666664E-2</v>
      </c>
      <c r="W186" s="19">
        <f t="shared" si="23"/>
        <v>0.95833333333333337</v>
      </c>
    </row>
    <row r="187" spans="1:23" x14ac:dyDescent="0.25">
      <c r="A187" s="18" t="s">
        <v>688</v>
      </c>
      <c r="B187" s="4">
        <f>Fact_Production_Hourly!B187</f>
        <v>20260702</v>
      </c>
      <c r="C187" s="4">
        <f>Fact_Production_Hourly!C187</f>
        <v>2</v>
      </c>
      <c r="D187" s="4" t="str">
        <f>Fact_Production_Hourly!D187</f>
        <v>M4</v>
      </c>
      <c r="E187" s="4" t="str">
        <f>Fact_Production_Hourly!E187</f>
        <v>B-PM</v>
      </c>
      <c r="F187" s="4" t="str">
        <f>Fact_Production_Hourly!F187</f>
        <v>C</v>
      </c>
      <c r="G187" s="4">
        <f>INDEX(Dim_Machine!$D$2:$D$8,MATCH(D187,Dim_Machine!$A$2:$A$8,0))*2</f>
        <v>48</v>
      </c>
      <c r="H187" s="4">
        <f>ROUND(G187*0.0155,0)</f>
        <v>1</v>
      </c>
      <c r="I187" s="4">
        <f t="shared" si="16"/>
        <v>0</v>
      </c>
      <c r="J187" s="4">
        <f t="shared" si="17"/>
        <v>0</v>
      </c>
      <c r="K187" s="4">
        <f t="shared" si="18"/>
        <v>1</v>
      </c>
      <c r="L187" s="4" t="s">
        <v>517</v>
      </c>
      <c r="M187" s="4">
        <f>INDEX(Dim_Product!$C$2:$C$4,MATCH(F187,Dim_Product!$A$2:$A$4,0))+-0.11</f>
        <v>199.89</v>
      </c>
      <c r="N187" s="4">
        <f>IF(AND(M187&gt;=INDEX(Dim_Product!$C$2:$C$4,MATCH(F187,Dim_Product!$A$2:$A$4,0))-INDEX(Dim_Product!$D$2:$D$4,MATCH(F187,Dim_Product!$A$2:$A$4,0)),M187&lt;=INDEX(Dim_Product!$C$2:$C$4,MATCH(F187,Dim_Product!$A$2:$A$4,0))+INDEX(Dim_Product!$D$2:$D$4,MATCH(F187,Dim_Product!$A$2:$A$4,0))),G187-H187,G187-H187-1)</f>
        <v>47</v>
      </c>
      <c r="O187" s="4">
        <f t="shared" si="19"/>
        <v>1</v>
      </c>
      <c r="P187" s="4">
        <f>INDEX(Dim_Product!$G$2:$G$4,MATCH(F187,Dim_Product!$A$2:$A$4,0))+0.16</f>
        <v>65.16</v>
      </c>
      <c r="Q187" s="4">
        <f>IF(AND(P187&gt;=INDEX(Dim_Product!$G$2:$G$4,MATCH(F187,Dim_Product!$A$2:$A$4,0))-INDEX(Dim_Product!$H$2:$H$4,MATCH(F187,Dim_Product!$A$2:$A$4,0)),P187&lt;=INDEX(Dim_Product!$G$2:$G$4,MATCH(F187,Dim_Product!$A$2:$A$4,0))+INDEX(Dim_Product!$H$2:$H$4,MATCH(F187,Dim_Product!$A$2:$A$4,0))),G187-H187,G187-H187-1)</f>
        <v>47</v>
      </c>
      <c r="R187" s="4">
        <f t="shared" si="20"/>
        <v>1</v>
      </c>
      <c r="S187" s="4">
        <f>INDEX(Dim_Product!$K$2:$K$4,MATCH(F187,Dim_Product!$A$2:$A$4,0))+-0.32</f>
        <v>109.68</v>
      </c>
      <c r="T187" s="4">
        <f>IF(AND(S187&gt;=INDEX(Dim_Product!$K$2:$K$4,MATCH(F187,Dim_Product!$A$2:$A$4,0))-INDEX(Dim_Product!$L$2:$L$4,MATCH(F187,Dim_Product!$A$2:$A$4,0)),S187&lt;=INDEX(Dim_Product!$K$2:$K$4,MATCH(F187,Dim_Product!$A$2:$A$4,0))+INDEX(Dim_Product!$L$2:$L$4,MATCH(F187,Dim_Product!$A$2:$A$4,0))),G187-H187,G187-H187-1)</f>
        <v>47</v>
      </c>
      <c r="U187" s="4">
        <f t="shared" si="21"/>
        <v>1</v>
      </c>
      <c r="V187" s="4">
        <f t="shared" si="22"/>
        <v>2.0833333333333332E-2</v>
      </c>
      <c r="W187" s="19">
        <f t="shared" si="23"/>
        <v>0.97916666666666663</v>
      </c>
    </row>
    <row r="188" spans="1:23" x14ac:dyDescent="0.25">
      <c r="A188" s="18" t="s">
        <v>689</v>
      </c>
      <c r="B188" s="4">
        <f>Fact_Production_Hourly!B188</f>
        <v>20260702</v>
      </c>
      <c r="C188" s="4">
        <f>Fact_Production_Hourly!C188</f>
        <v>2</v>
      </c>
      <c r="D188" s="4" t="str">
        <f>Fact_Production_Hourly!D188</f>
        <v>M5</v>
      </c>
      <c r="E188" s="4" t="str">
        <f>Fact_Production_Hourly!E188</f>
        <v>B-PM</v>
      </c>
      <c r="F188" s="4" t="str">
        <f>Fact_Production_Hourly!F188</f>
        <v>A</v>
      </c>
      <c r="G188" s="4">
        <f>INDEX(Dim_Machine!$D$2:$D$8,MATCH(D188,Dim_Machine!$A$2:$A$8,0))*2</f>
        <v>32</v>
      </c>
      <c r="H188" s="4">
        <f>ROUND(G188*0.0152,0)</f>
        <v>0</v>
      </c>
      <c r="I188" s="4">
        <f t="shared" si="16"/>
        <v>0</v>
      </c>
      <c r="J188" s="4">
        <f t="shared" si="17"/>
        <v>0</v>
      </c>
      <c r="K188" s="4">
        <f t="shared" si="18"/>
        <v>0</v>
      </c>
      <c r="L188" s="4" t="s">
        <v>503</v>
      </c>
      <c r="M188" s="4">
        <f>INDEX(Dim_Product!$C$2:$C$4,MATCH(F188,Dim_Product!$A$2:$A$4,0))+-0.1</f>
        <v>249.9</v>
      </c>
      <c r="N188" s="4">
        <f>IF(AND(M188&gt;=INDEX(Dim_Product!$C$2:$C$4,MATCH(F188,Dim_Product!$A$2:$A$4,0))-INDEX(Dim_Product!$D$2:$D$4,MATCH(F188,Dim_Product!$A$2:$A$4,0)),M188&lt;=INDEX(Dim_Product!$C$2:$C$4,MATCH(F188,Dim_Product!$A$2:$A$4,0))+INDEX(Dim_Product!$D$2:$D$4,MATCH(F188,Dim_Product!$A$2:$A$4,0))),G188-H188,G188-H188-1)</f>
        <v>32</v>
      </c>
      <c r="O188" s="4">
        <f t="shared" si="19"/>
        <v>0</v>
      </c>
      <c r="P188" s="4">
        <f>INDEX(Dim_Product!$G$2:$G$4,MATCH(F188,Dim_Product!$A$2:$A$4,0))+0.03</f>
        <v>70.03</v>
      </c>
      <c r="Q188" s="4">
        <f>IF(AND(P188&gt;=INDEX(Dim_Product!$G$2:$G$4,MATCH(F188,Dim_Product!$A$2:$A$4,0))-INDEX(Dim_Product!$H$2:$H$4,MATCH(F188,Dim_Product!$A$2:$A$4,0)),P188&lt;=INDEX(Dim_Product!$G$2:$G$4,MATCH(F188,Dim_Product!$A$2:$A$4,0))+INDEX(Dim_Product!$H$2:$H$4,MATCH(F188,Dim_Product!$A$2:$A$4,0))),G188-H188,G188-H188-1)</f>
        <v>32</v>
      </c>
      <c r="R188" s="4">
        <f t="shared" si="20"/>
        <v>0</v>
      </c>
      <c r="S188" s="4">
        <f>INDEX(Dim_Product!$K$2:$K$4,MATCH(F188,Dim_Product!$A$2:$A$4,0))+-0.07</f>
        <v>119.93</v>
      </c>
      <c r="T188" s="4">
        <f>IF(AND(S188&gt;=INDEX(Dim_Product!$K$2:$K$4,MATCH(F188,Dim_Product!$A$2:$A$4,0))-INDEX(Dim_Product!$L$2:$L$4,MATCH(F188,Dim_Product!$A$2:$A$4,0)),S188&lt;=INDEX(Dim_Product!$K$2:$K$4,MATCH(F188,Dim_Product!$A$2:$A$4,0))+INDEX(Dim_Product!$L$2:$L$4,MATCH(F188,Dim_Product!$A$2:$A$4,0))),G188-H188,G188-H188-1)</f>
        <v>32</v>
      </c>
      <c r="U188" s="4">
        <f t="shared" si="21"/>
        <v>0</v>
      </c>
      <c r="V188" s="4">
        <f t="shared" si="22"/>
        <v>0</v>
      </c>
      <c r="W188" s="19">
        <f t="shared" si="23"/>
        <v>1</v>
      </c>
    </row>
    <row r="189" spans="1:23" x14ac:dyDescent="0.25">
      <c r="A189" s="18" t="s">
        <v>690</v>
      </c>
      <c r="B189" s="4">
        <f>Fact_Production_Hourly!B189</f>
        <v>20260702</v>
      </c>
      <c r="C189" s="4">
        <f>Fact_Production_Hourly!C189</f>
        <v>2</v>
      </c>
      <c r="D189" s="4" t="str">
        <f>Fact_Production_Hourly!D189</f>
        <v>M6</v>
      </c>
      <c r="E189" s="4" t="str">
        <f>Fact_Production_Hourly!E189</f>
        <v>B-PM</v>
      </c>
      <c r="F189" s="4" t="str">
        <f>Fact_Production_Hourly!F189</f>
        <v>A</v>
      </c>
      <c r="G189" s="4">
        <f>INDEX(Dim_Machine!$D$2:$D$8,MATCH(D189,Dim_Machine!$A$2:$A$8,0))*2</f>
        <v>24</v>
      </c>
      <c r="H189" s="4">
        <f>ROUND(G189*0.0116,0)</f>
        <v>0</v>
      </c>
      <c r="I189" s="4">
        <f t="shared" si="16"/>
        <v>0</v>
      </c>
      <c r="J189" s="4">
        <f t="shared" si="17"/>
        <v>0</v>
      </c>
      <c r="K189" s="4">
        <f t="shared" si="18"/>
        <v>0</v>
      </c>
      <c r="L189" s="4" t="s">
        <v>517</v>
      </c>
      <c r="M189" s="4">
        <f>INDEX(Dim_Product!$C$2:$C$4,MATCH(F189,Dim_Product!$A$2:$A$4,0))+0.11</f>
        <v>250.11</v>
      </c>
      <c r="N189" s="4">
        <f>IF(AND(M189&gt;=INDEX(Dim_Product!$C$2:$C$4,MATCH(F189,Dim_Product!$A$2:$A$4,0))-INDEX(Dim_Product!$D$2:$D$4,MATCH(F189,Dim_Product!$A$2:$A$4,0)),M189&lt;=INDEX(Dim_Product!$C$2:$C$4,MATCH(F189,Dim_Product!$A$2:$A$4,0))+INDEX(Dim_Product!$D$2:$D$4,MATCH(F189,Dim_Product!$A$2:$A$4,0))),G189-H189,G189-H189-1)</f>
        <v>24</v>
      </c>
      <c r="O189" s="4">
        <f t="shared" si="19"/>
        <v>0</v>
      </c>
      <c r="P189" s="4">
        <f>INDEX(Dim_Product!$G$2:$G$4,MATCH(F189,Dim_Product!$A$2:$A$4,0))+0.06</f>
        <v>70.06</v>
      </c>
      <c r="Q189" s="4">
        <f>IF(AND(P189&gt;=INDEX(Dim_Product!$G$2:$G$4,MATCH(F189,Dim_Product!$A$2:$A$4,0))-INDEX(Dim_Product!$H$2:$H$4,MATCH(F189,Dim_Product!$A$2:$A$4,0)),P189&lt;=INDEX(Dim_Product!$G$2:$G$4,MATCH(F189,Dim_Product!$A$2:$A$4,0))+INDEX(Dim_Product!$H$2:$H$4,MATCH(F189,Dim_Product!$A$2:$A$4,0))),G189-H189,G189-H189-1)</f>
        <v>24</v>
      </c>
      <c r="R189" s="4">
        <f t="shared" si="20"/>
        <v>0</v>
      </c>
      <c r="S189" s="4">
        <f>INDEX(Dim_Product!$K$2:$K$4,MATCH(F189,Dim_Product!$A$2:$A$4,0))+0.23</f>
        <v>120.23</v>
      </c>
      <c r="T189" s="4">
        <f>IF(AND(S189&gt;=INDEX(Dim_Product!$K$2:$K$4,MATCH(F189,Dim_Product!$A$2:$A$4,0))-INDEX(Dim_Product!$L$2:$L$4,MATCH(F189,Dim_Product!$A$2:$A$4,0)),S189&lt;=INDEX(Dim_Product!$K$2:$K$4,MATCH(F189,Dim_Product!$A$2:$A$4,0))+INDEX(Dim_Product!$L$2:$L$4,MATCH(F189,Dim_Product!$A$2:$A$4,0))),G189-H189,G189-H189-1)</f>
        <v>24</v>
      </c>
      <c r="U189" s="4">
        <f t="shared" si="21"/>
        <v>0</v>
      </c>
      <c r="V189" s="4">
        <f t="shared" si="22"/>
        <v>0</v>
      </c>
      <c r="W189" s="19">
        <f t="shared" si="23"/>
        <v>1</v>
      </c>
    </row>
    <row r="190" spans="1:23" x14ac:dyDescent="0.25">
      <c r="A190" s="18" t="s">
        <v>691</v>
      </c>
      <c r="B190" s="4">
        <f>Fact_Production_Hourly!B190</f>
        <v>20260702</v>
      </c>
      <c r="C190" s="4">
        <f>Fact_Production_Hourly!C190</f>
        <v>2</v>
      </c>
      <c r="D190" s="4" t="str">
        <f>Fact_Production_Hourly!D190</f>
        <v>M7</v>
      </c>
      <c r="E190" s="4" t="str">
        <f>Fact_Production_Hourly!E190</f>
        <v>B-PM</v>
      </c>
      <c r="F190" s="4" t="str">
        <f>Fact_Production_Hourly!F190</f>
        <v>C</v>
      </c>
      <c r="G190" s="4">
        <f>INDEX(Dim_Machine!$D$2:$D$8,MATCH(D190,Dim_Machine!$A$2:$A$8,0))*2</f>
        <v>48</v>
      </c>
      <c r="H190" s="4">
        <f>ROUND(G190*0.0618,0)</f>
        <v>3</v>
      </c>
      <c r="I190" s="4">
        <f t="shared" si="16"/>
        <v>0</v>
      </c>
      <c r="J190" s="4">
        <f t="shared" si="17"/>
        <v>1</v>
      </c>
      <c r="K190" s="4">
        <f t="shared" si="18"/>
        <v>2</v>
      </c>
      <c r="L190" s="4" t="s">
        <v>498</v>
      </c>
      <c r="M190" s="4">
        <f>INDEX(Dim_Product!$C$2:$C$4,MATCH(F190,Dim_Product!$A$2:$A$4,0))+-0.42</f>
        <v>199.58</v>
      </c>
      <c r="N190" s="4">
        <f>IF(AND(M190&gt;=INDEX(Dim_Product!$C$2:$C$4,MATCH(F190,Dim_Product!$A$2:$A$4,0))-INDEX(Dim_Product!$D$2:$D$4,MATCH(F190,Dim_Product!$A$2:$A$4,0)),M190&lt;=INDEX(Dim_Product!$C$2:$C$4,MATCH(F190,Dim_Product!$A$2:$A$4,0))+INDEX(Dim_Product!$D$2:$D$4,MATCH(F190,Dim_Product!$A$2:$A$4,0))),G190-H190,G190-H190-1)</f>
        <v>45</v>
      </c>
      <c r="O190" s="4">
        <f t="shared" si="19"/>
        <v>3</v>
      </c>
      <c r="P190" s="4">
        <f>INDEX(Dim_Product!$G$2:$G$4,MATCH(F190,Dim_Product!$A$2:$A$4,0))+-0.07</f>
        <v>64.930000000000007</v>
      </c>
      <c r="Q190" s="4">
        <f>IF(AND(P190&gt;=INDEX(Dim_Product!$G$2:$G$4,MATCH(F190,Dim_Product!$A$2:$A$4,0))-INDEX(Dim_Product!$H$2:$H$4,MATCH(F190,Dim_Product!$A$2:$A$4,0)),P190&lt;=INDEX(Dim_Product!$G$2:$G$4,MATCH(F190,Dim_Product!$A$2:$A$4,0))+INDEX(Dim_Product!$H$2:$H$4,MATCH(F190,Dim_Product!$A$2:$A$4,0))),G190-H190,G190-H190-1)</f>
        <v>45</v>
      </c>
      <c r="R190" s="4">
        <f t="shared" si="20"/>
        <v>3</v>
      </c>
      <c r="S190" s="4">
        <f>INDEX(Dim_Product!$K$2:$K$4,MATCH(F190,Dim_Product!$A$2:$A$4,0))+-0.33</f>
        <v>109.67</v>
      </c>
      <c r="T190" s="4">
        <f>IF(AND(S190&gt;=INDEX(Dim_Product!$K$2:$K$4,MATCH(F190,Dim_Product!$A$2:$A$4,0))-INDEX(Dim_Product!$L$2:$L$4,MATCH(F190,Dim_Product!$A$2:$A$4,0)),S190&lt;=INDEX(Dim_Product!$K$2:$K$4,MATCH(F190,Dim_Product!$A$2:$A$4,0))+INDEX(Dim_Product!$L$2:$L$4,MATCH(F190,Dim_Product!$A$2:$A$4,0))),G190-H190,G190-H190-1)</f>
        <v>45</v>
      </c>
      <c r="U190" s="4">
        <f t="shared" si="21"/>
        <v>3</v>
      </c>
      <c r="V190" s="4">
        <f t="shared" si="22"/>
        <v>6.25E-2</v>
      </c>
      <c r="W190" s="19">
        <f t="shared" si="23"/>
        <v>0.9375</v>
      </c>
    </row>
    <row r="191" spans="1:23" x14ac:dyDescent="0.25">
      <c r="A191" s="18" t="s">
        <v>692</v>
      </c>
      <c r="B191" s="4">
        <f>Fact_Production_Hourly!B191</f>
        <v>20260702</v>
      </c>
      <c r="C191" s="4">
        <f>Fact_Production_Hourly!C191</f>
        <v>3</v>
      </c>
      <c r="D191" s="4" t="str">
        <f>Fact_Production_Hourly!D191</f>
        <v>M1</v>
      </c>
      <c r="E191" s="4" t="str">
        <f>Fact_Production_Hourly!E191</f>
        <v>B-PM</v>
      </c>
      <c r="F191" s="4" t="str">
        <f>Fact_Production_Hourly!F191</f>
        <v>B</v>
      </c>
      <c r="G191" s="4">
        <f>INDEX(Dim_Machine!$D$2:$D$8,MATCH(D191,Dim_Machine!$A$2:$A$8,0))*2</f>
        <v>32</v>
      </c>
      <c r="H191" s="4">
        <f>ROUND(G191*0.0641,0)</f>
        <v>2</v>
      </c>
      <c r="I191" s="4">
        <f t="shared" si="16"/>
        <v>0</v>
      </c>
      <c r="J191" s="4">
        <f t="shared" si="17"/>
        <v>1</v>
      </c>
      <c r="K191" s="4">
        <f t="shared" si="18"/>
        <v>1</v>
      </c>
      <c r="L191" s="4" t="s">
        <v>500</v>
      </c>
      <c r="M191" s="4">
        <f>INDEX(Dim_Product!$C$2:$C$4,MATCH(F191,Dim_Product!$A$2:$A$4,0))+0.14</f>
        <v>300.14</v>
      </c>
      <c r="N191" s="4">
        <f>IF(AND(M191&gt;=INDEX(Dim_Product!$C$2:$C$4,MATCH(F191,Dim_Product!$A$2:$A$4,0))-INDEX(Dim_Product!$D$2:$D$4,MATCH(F191,Dim_Product!$A$2:$A$4,0)),M191&lt;=INDEX(Dim_Product!$C$2:$C$4,MATCH(F191,Dim_Product!$A$2:$A$4,0))+INDEX(Dim_Product!$D$2:$D$4,MATCH(F191,Dim_Product!$A$2:$A$4,0))),G191-H191,G191-H191-1)</f>
        <v>30</v>
      </c>
      <c r="O191" s="4">
        <f t="shared" si="19"/>
        <v>2</v>
      </c>
      <c r="P191" s="4">
        <f>INDEX(Dim_Product!$G$2:$G$4,MATCH(F191,Dim_Product!$A$2:$A$4,0))+-0.2</f>
        <v>74.8</v>
      </c>
      <c r="Q191" s="4">
        <f>IF(AND(P191&gt;=INDEX(Dim_Product!$G$2:$G$4,MATCH(F191,Dim_Product!$A$2:$A$4,0))-INDEX(Dim_Product!$H$2:$H$4,MATCH(F191,Dim_Product!$A$2:$A$4,0)),P191&lt;=INDEX(Dim_Product!$G$2:$G$4,MATCH(F191,Dim_Product!$A$2:$A$4,0))+INDEX(Dim_Product!$H$2:$H$4,MATCH(F191,Dim_Product!$A$2:$A$4,0))),G191-H191,G191-H191-1)</f>
        <v>30</v>
      </c>
      <c r="R191" s="4">
        <f t="shared" si="20"/>
        <v>2</v>
      </c>
      <c r="S191" s="4">
        <f>INDEX(Dim_Product!$K$2:$K$4,MATCH(F191,Dim_Product!$A$2:$A$4,0))+-0.1</f>
        <v>129.9</v>
      </c>
      <c r="T191" s="4">
        <f>IF(AND(S191&gt;=INDEX(Dim_Product!$K$2:$K$4,MATCH(F191,Dim_Product!$A$2:$A$4,0))-INDEX(Dim_Product!$L$2:$L$4,MATCH(F191,Dim_Product!$A$2:$A$4,0)),S191&lt;=INDEX(Dim_Product!$K$2:$K$4,MATCH(F191,Dim_Product!$A$2:$A$4,0))+INDEX(Dim_Product!$L$2:$L$4,MATCH(F191,Dim_Product!$A$2:$A$4,0))),G191-H191,G191-H191-1)</f>
        <v>30</v>
      </c>
      <c r="U191" s="4">
        <f t="shared" si="21"/>
        <v>2</v>
      </c>
      <c r="V191" s="4">
        <f t="shared" si="22"/>
        <v>6.25E-2</v>
      </c>
      <c r="W191" s="19">
        <f t="shared" si="23"/>
        <v>0.9375</v>
      </c>
    </row>
    <row r="192" spans="1:23" x14ac:dyDescent="0.25">
      <c r="A192" s="18" t="s">
        <v>693</v>
      </c>
      <c r="B192" s="4">
        <f>Fact_Production_Hourly!B192</f>
        <v>20260702</v>
      </c>
      <c r="C192" s="4">
        <f>Fact_Production_Hourly!C192</f>
        <v>3</v>
      </c>
      <c r="D192" s="4" t="str">
        <f>Fact_Production_Hourly!D192</f>
        <v>M2</v>
      </c>
      <c r="E192" s="4" t="str">
        <f>Fact_Production_Hourly!E192</f>
        <v>B-PM</v>
      </c>
      <c r="F192" s="4" t="str">
        <f>Fact_Production_Hourly!F192</f>
        <v>A</v>
      </c>
      <c r="G192" s="4">
        <f>INDEX(Dim_Machine!$D$2:$D$8,MATCH(D192,Dim_Machine!$A$2:$A$8,0))*2</f>
        <v>48</v>
      </c>
      <c r="H192" s="4">
        <f>ROUND(G192*0.0183,0)</f>
        <v>1</v>
      </c>
      <c r="I192" s="4">
        <f t="shared" si="16"/>
        <v>0</v>
      </c>
      <c r="J192" s="4">
        <f t="shared" si="17"/>
        <v>0</v>
      </c>
      <c r="K192" s="4">
        <f t="shared" si="18"/>
        <v>1</v>
      </c>
      <c r="L192" s="4" t="s">
        <v>517</v>
      </c>
      <c r="M192" s="4">
        <f>INDEX(Dim_Product!$C$2:$C$4,MATCH(F192,Dim_Product!$A$2:$A$4,0))+-0.46</f>
        <v>249.54</v>
      </c>
      <c r="N192" s="4">
        <f>IF(AND(M192&gt;=INDEX(Dim_Product!$C$2:$C$4,MATCH(F192,Dim_Product!$A$2:$A$4,0))-INDEX(Dim_Product!$D$2:$D$4,MATCH(F192,Dim_Product!$A$2:$A$4,0)),M192&lt;=INDEX(Dim_Product!$C$2:$C$4,MATCH(F192,Dim_Product!$A$2:$A$4,0))+INDEX(Dim_Product!$D$2:$D$4,MATCH(F192,Dim_Product!$A$2:$A$4,0))),G192-H192,G192-H192-1)</f>
        <v>47</v>
      </c>
      <c r="O192" s="4">
        <f t="shared" si="19"/>
        <v>1</v>
      </c>
      <c r="P192" s="4">
        <f>INDEX(Dim_Product!$G$2:$G$4,MATCH(F192,Dim_Product!$A$2:$A$4,0))+-0.21</f>
        <v>69.790000000000006</v>
      </c>
      <c r="Q192" s="4">
        <f>IF(AND(P192&gt;=INDEX(Dim_Product!$G$2:$G$4,MATCH(F192,Dim_Product!$A$2:$A$4,0))-INDEX(Dim_Product!$H$2:$H$4,MATCH(F192,Dim_Product!$A$2:$A$4,0)),P192&lt;=INDEX(Dim_Product!$G$2:$G$4,MATCH(F192,Dim_Product!$A$2:$A$4,0))+INDEX(Dim_Product!$H$2:$H$4,MATCH(F192,Dim_Product!$A$2:$A$4,0))),G192-H192,G192-H192-1)</f>
        <v>47</v>
      </c>
      <c r="R192" s="4">
        <f t="shared" si="20"/>
        <v>1</v>
      </c>
      <c r="S192" s="4">
        <f>INDEX(Dim_Product!$K$2:$K$4,MATCH(F192,Dim_Product!$A$2:$A$4,0))+-0.27</f>
        <v>119.73</v>
      </c>
      <c r="T192" s="4">
        <f>IF(AND(S192&gt;=INDEX(Dim_Product!$K$2:$K$4,MATCH(F192,Dim_Product!$A$2:$A$4,0))-INDEX(Dim_Product!$L$2:$L$4,MATCH(F192,Dim_Product!$A$2:$A$4,0)),S192&lt;=INDEX(Dim_Product!$K$2:$K$4,MATCH(F192,Dim_Product!$A$2:$A$4,0))+INDEX(Dim_Product!$L$2:$L$4,MATCH(F192,Dim_Product!$A$2:$A$4,0))),G192-H192,G192-H192-1)</f>
        <v>47</v>
      </c>
      <c r="U192" s="4">
        <f t="shared" si="21"/>
        <v>1</v>
      </c>
      <c r="V192" s="4">
        <f t="shared" si="22"/>
        <v>2.0833333333333332E-2</v>
      </c>
      <c r="W192" s="19">
        <f t="shared" si="23"/>
        <v>0.97916666666666663</v>
      </c>
    </row>
    <row r="193" spans="1:23" x14ac:dyDescent="0.25">
      <c r="A193" s="18" t="s">
        <v>694</v>
      </c>
      <c r="B193" s="4">
        <f>Fact_Production_Hourly!B193</f>
        <v>20260702</v>
      </c>
      <c r="C193" s="4">
        <f>Fact_Production_Hourly!C193</f>
        <v>3</v>
      </c>
      <c r="D193" s="4" t="str">
        <f>Fact_Production_Hourly!D193</f>
        <v>M3</v>
      </c>
      <c r="E193" s="4" t="str">
        <f>Fact_Production_Hourly!E193</f>
        <v>B-PM</v>
      </c>
      <c r="F193" s="4" t="str">
        <f>Fact_Production_Hourly!F193</f>
        <v>A</v>
      </c>
      <c r="G193" s="4">
        <f>INDEX(Dim_Machine!$D$2:$D$8,MATCH(D193,Dim_Machine!$A$2:$A$8,0))*2</f>
        <v>24</v>
      </c>
      <c r="H193" s="4">
        <f>ROUND(G193*0.0266,0)</f>
        <v>1</v>
      </c>
      <c r="I193" s="4">
        <f t="shared" si="16"/>
        <v>0</v>
      </c>
      <c r="J193" s="4">
        <f t="shared" si="17"/>
        <v>0</v>
      </c>
      <c r="K193" s="4">
        <f t="shared" si="18"/>
        <v>1</v>
      </c>
      <c r="L193" s="4" t="s">
        <v>517</v>
      </c>
      <c r="M193" s="4">
        <f>INDEX(Dim_Product!$C$2:$C$4,MATCH(F193,Dim_Product!$A$2:$A$4,0))+-0.03</f>
        <v>249.97</v>
      </c>
      <c r="N193" s="4">
        <f>IF(AND(M193&gt;=INDEX(Dim_Product!$C$2:$C$4,MATCH(F193,Dim_Product!$A$2:$A$4,0))-INDEX(Dim_Product!$D$2:$D$4,MATCH(F193,Dim_Product!$A$2:$A$4,0)),M193&lt;=INDEX(Dim_Product!$C$2:$C$4,MATCH(F193,Dim_Product!$A$2:$A$4,0))+INDEX(Dim_Product!$D$2:$D$4,MATCH(F193,Dim_Product!$A$2:$A$4,0))),G193-H193,G193-H193-1)</f>
        <v>23</v>
      </c>
      <c r="O193" s="4">
        <f t="shared" si="19"/>
        <v>1</v>
      </c>
      <c r="P193" s="4">
        <f>INDEX(Dim_Product!$G$2:$G$4,MATCH(F193,Dim_Product!$A$2:$A$4,0))+-0.25</f>
        <v>69.75</v>
      </c>
      <c r="Q193" s="4">
        <f>IF(AND(P193&gt;=INDEX(Dim_Product!$G$2:$G$4,MATCH(F193,Dim_Product!$A$2:$A$4,0))-INDEX(Dim_Product!$H$2:$H$4,MATCH(F193,Dim_Product!$A$2:$A$4,0)),P193&lt;=INDEX(Dim_Product!$G$2:$G$4,MATCH(F193,Dim_Product!$A$2:$A$4,0))+INDEX(Dim_Product!$H$2:$H$4,MATCH(F193,Dim_Product!$A$2:$A$4,0))),G193-H193,G193-H193-1)</f>
        <v>23</v>
      </c>
      <c r="R193" s="4">
        <f t="shared" si="20"/>
        <v>1</v>
      </c>
      <c r="S193" s="4">
        <f>INDEX(Dim_Product!$K$2:$K$4,MATCH(F193,Dim_Product!$A$2:$A$4,0))+-0.2</f>
        <v>119.8</v>
      </c>
      <c r="T193" s="4">
        <f>IF(AND(S193&gt;=INDEX(Dim_Product!$K$2:$K$4,MATCH(F193,Dim_Product!$A$2:$A$4,0))-INDEX(Dim_Product!$L$2:$L$4,MATCH(F193,Dim_Product!$A$2:$A$4,0)),S193&lt;=INDEX(Dim_Product!$K$2:$K$4,MATCH(F193,Dim_Product!$A$2:$A$4,0))+INDEX(Dim_Product!$L$2:$L$4,MATCH(F193,Dim_Product!$A$2:$A$4,0))),G193-H193,G193-H193-1)</f>
        <v>23</v>
      </c>
      <c r="U193" s="4">
        <f t="shared" si="21"/>
        <v>1</v>
      </c>
      <c r="V193" s="4">
        <f t="shared" si="22"/>
        <v>4.1666666666666664E-2</v>
      </c>
      <c r="W193" s="19">
        <f t="shared" si="23"/>
        <v>0.95833333333333337</v>
      </c>
    </row>
    <row r="194" spans="1:23" x14ac:dyDescent="0.25">
      <c r="A194" s="18" t="s">
        <v>695</v>
      </c>
      <c r="B194" s="4">
        <f>Fact_Production_Hourly!B194</f>
        <v>20260702</v>
      </c>
      <c r="C194" s="4">
        <f>Fact_Production_Hourly!C194</f>
        <v>3</v>
      </c>
      <c r="D194" s="4" t="str">
        <f>Fact_Production_Hourly!D194</f>
        <v>M4</v>
      </c>
      <c r="E194" s="4" t="str">
        <f>Fact_Production_Hourly!E194</f>
        <v>B-PM</v>
      </c>
      <c r="F194" s="4" t="str">
        <f>Fact_Production_Hourly!F194</f>
        <v>C</v>
      </c>
      <c r="G194" s="4">
        <f>INDEX(Dim_Machine!$D$2:$D$8,MATCH(D194,Dim_Machine!$A$2:$A$8,0))*2</f>
        <v>48</v>
      </c>
      <c r="H194" s="4">
        <f>ROUND(G194*0.0248,0)</f>
        <v>1</v>
      </c>
      <c r="I194" s="4">
        <f t="shared" ref="I194:I257" si="24">ROUND(H194*0.15,0)</f>
        <v>0</v>
      </c>
      <c r="J194" s="4">
        <f t="shared" ref="J194:J257" si="25">ROUND(H194*0.45,0)</f>
        <v>0</v>
      </c>
      <c r="K194" s="4">
        <f t="shared" ref="K194:K257" si="26">MAX(H194-I194-J194,0)</f>
        <v>1</v>
      </c>
      <c r="L194" s="4" t="s">
        <v>520</v>
      </c>
      <c r="M194" s="4">
        <f>INDEX(Dim_Product!$C$2:$C$4,MATCH(F194,Dim_Product!$A$2:$A$4,0))+-0.01</f>
        <v>199.99</v>
      </c>
      <c r="N194" s="4">
        <f>IF(AND(M194&gt;=INDEX(Dim_Product!$C$2:$C$4,MATCH(F194,Dim_Product!$A$2:$A$4,0))-INDEX(Dim_Product!$D$2:$D$4,MATCH(F194,Dim_Product!$A$2:$A$4,0)),M194&lt;=INDEX(Dim_Product!$C$2:$C$4,MATCH(F194,Dim_Product!$A$2:$A$4,0))+INDEX(Dim_Product!$D$2:$D$4,MATCH(F194,Dim_Product!$A$2:$A$4,0))),G194-H194,G194-H194-1)</f>
        <v>47</v>
      </c>
      <c r="O194" s="4">
        <f t="shared" ref="O194:O257" si="27">G194-N194</f>
        <v>1</v>
      </c>
      <c r="P194" s="4">
        <f>INDEX(Dim_Product!$G$2:$G$4,MATCH(F194,Dim_Product!$A$2:$A$4,0))+0.07</f>
        <v>65.069999999999993</v>
      </c>
      <c r="Q194" s="4">
        <f>IF(AND(P194&gt;=INDEX(Dim_Product!$G$2:$G$4,MATCH(F194,Dim_Product!$A$2:$A$4,0))-INDEX(Dim_Product!$H$2:$H$4,MATCH(F194,Dim_Product!$A$2:$A$4,0)),P194&lt;=INDEX(Dim_Product!$G$2:$G$4,MATCH(F194,Dim_Product!$A$2:$A$4,0))+INDEX(Dim_Product!$H$2:$H$4,MATCH(F194,Dim_Product!$A$2:$A$4,0))),G194-H194,G194-H194-1)</f>
        <v>47</v>
      </c>
      <c r="R194" s="4">
        <f t="shared" ref="R194:R257" si="28">G194-Q194</f>
        <v>1</v>
      </c>
      <c r="S194" s="4">
        <f>INDEX(Dim_Product!$K$2:$K$4,MATCH(F194,Dim_Product!$A$2:$A$4,0))+-0.03</f>
        <v>109.97</v>
      </c>
      <c r="T194" s="4">
        <f>IF(AND(S194&gt;=INDEX(Dim_Product!$K$2:$K$4,MATCH(F194,Dim_Product!$A$2:$A$4,0))-INDEX(Dim_Product!$L$2:$L$4,MATCH(F194,Dim_Product!$A$2:$A$4,0)),S194&lt;=INDEX(Dim_Product!$K$2:$K$4,MATCH(F194,Dim_Product!$A$2:$A$4,0))+INDEX(Dim_Product!$L$2:$L$4,MATCH(F194,Dim_Product!$A$2:$A$4,0))),G194-H194,G194-H194-1)</f>
        <v>47</v>
      </c>
      <c r="U194" s="4">
        <f t="shared" ref="U194:U257" si="29">G194-T194</f>
        <v>1</v>
      </c>
      <c r="V194" s="4">
        <f t="shared" ref="V194:V257" si="30">IFERROR(H194/G194,0)</f>
        <v>2.0833333333333332E-2</v>
      </c>
      <c r="W194" s="19">
        <f t="shared" ref="W194:W257" si="31">1-V194</f>
        <v>0.97916666666666663</v>
      </c>
    </row>
    <row r="195" spans="1:23" x14ac:dyDescent="0.25">
      <c r="A195" s="18" t="s">
        <v>696</v>
      </c>
      <c r="B195" s="4">
        <f>Fact_Production_Hourly!B195</f>
        <v>20260702</v>
      </c>
      <c r="C195" s="4">
        <f>Fact_Production_Hourly!C195</f>
        <v>3</v>
      </c>
      <c r="D195" s="4" t="str">
        <f>Fact_Production_Hourly!D195</f>
        <v>M5</v>
      </c>
      <c r="E195" s="4" t="str">
        <f>Fact_Production_Hourly!E195</f>
        <v>B-PM</v>
      </c>
      <c r="F195" s="4" t="str">
        <f>Fact_Production_Hourly!F195</f>
        <v>A</v>
      </c>
      <c r="G195" s="4">
        <f>INDEX(Dim_Machine!$D$2:$D$8,MATCH(D195,Dim_Machine!$A$2:$A$8,0))*2</f>
        <v>32</v>
      </c>
      <c r="H195" s="4">
        <f>ROUND(G195*0.0181,0)</f>
        <v>1</v>
      </c>
      <c r="I195" s="4">
        <f t="shared" si="24"/>
        <v>0</v>
      </c>
      <c r="J195" s="4">
        <f t="shared" si="25"/>
        <v>0</v>
      </c>
      <c r="K195" s="4">
        <f t="shared" si="26"/>
        <v>1</v>
      </c>
      <c r="L195" s="4" t="s">
        <v>498</v>
      </c>
      <c r="M195" s="4">
        <f>INDEX(Dim_Product!$C$2:$C$4,MATCH(F195,Dim_Product!$A$2:$A$4,0))+0.9</f>
        <v>250.9</v>
      </c>
      <c r="N195" s="4">
        <f>IF(AND(M195&gt;=INDEX(Dim_Product!$C$2:$C$4,MATCH(F195,Dim_Product!$A$2:$A$4,0))-INDEX(Dim_Product!$D$2:$D$4,MATCH(F195,Dim_Product!$A$2:$A$4,0)),M195&lt;=INDEX(Dim_Product!$C$2:$C$4,MATCH(F195,Dim_Product!$A$2:$A$4,0))+INDEX(Dim_Product!$D$2:$D$4,MATCH(F195,Dim_Product!$A$2:$A$4,0))),G195-H195,G195-H195-1)</f>
        <v>31</v>
      </c>
      <c r="O195" s="4">
        <f t="shared" si="27"/>
        <v>1</v>
      </c>
      <c r="P195" s="4">
        <f>INDEX(Dim_Product!$G$2:$G$4,MATCH(F195,Dim_Product!$A$2:$A$4,0))+-0.1</f>
        <v>69.900000000000006</v>
      </c>
      <c r="Q195" s="4">
        <f>IF(AND(P195&gt;=INDEX(Dim_Product!$G$2:$G$4,MATCH(F195,Dim_Product!$A$2:$A$4,0))-INDEX(Dim_Product!$H$2:$H$4,MATCH(F195,Dim_Product!$A$2:$A$4,0)),P195&lt;=INDEX(Dim_Product!$G$2:$G$4,MATCH(F195,Dim_Product!$A$2:$A$4,0))+INDEX(Dim_Product!$H$2:$H$4,MATCH(F195,Dim_Product!$A$2:$A$4,0))),G195-H195,G195-H195-1)</f>
        <v>31</v>
      </c>
      <c r="R195" s="4">
        <f t="shared" si="28"/>
        <v>1</v>
      </c>
      <c r="S195" s="4">
        <f>INDEX(Dim_Product!$K$2:$K$4,MATCH(F195,Dim_Product!$A$2:$A$4,0))+0.1</f>
        <v>120.1</v>
      </c>
      <c r="T195" s="4">
        <f>IF(AND(S195&gt;=INDEX(Dim_Product!$K$2:$K$4,MATCH(F195,Dim_Product!$A$2:$A$4,0))-INDEX(Dim_Product!$L$2:$L$4,MATCH(F195,Dim_Product!$A$2:$A$4,0)),S195&lt;=INDEX(Dim_Product!$K$2:$K$4,MATCH(F195,Dim_Product!$A$2:$A$4,0))+INDEX(Dim_Product!$L$2:$L$4,MATCH(F195,Dim_Product!$A$2:$A$4,0))),G195-H195,G195-H195-1)</f>
        <v>31</v>
      </c>
      <c r="U195" s="4">
        <f t="shared" si="29"/>
        <v>1</v>
      </c>
      <c r="V195" s="4">
        <f t="shared" si="30"/>
        <v>3.125E-2</v>
      </c>
      <c r="W195" s="19">
        <f t="shared" si="31"/>
        <v>0.96875</v>
      </c>
    </row>
    <row r="196" spans="1:23" x14ac:dyDescent="0.25">
      <c r="A196" s="18" t="s">
        <v>697</v>
      </c>
      <c r="B196" s="4">
        <f>Fact_Production_Hourly!B196</f>
        <v>20260702</v>
      </c>
      <c r="C196" s="4">
        <f>Fact_Production_Hourly!C196</f>
        <v>3</v>
      </c>
      <c r="D196" s="4" t="str">
        <f>Fact_Production_Hourly!D196</f>
        <v>M6</v>
      </c>
      <c r="E196" s="4" t="str">
        <f>Fact_Production_Hourly!E196</f>
        <v>B-PM</v>
      </c>
      <c r="F196" s="4" t="str">
        <f>Fact_Production_Hourly!F196</f>
        <v>A</v>
      </c>
      <c r="G196" s="4">
        <f>INDEX(Dim_Machine!$D$2:$D$8,MATCH(D196,Dim_Machine!$A$2:$A$8,0))*2</f>
        <v>24</v>
      </c>
      <c r="H196" s="4">
        <f>ROUND(G196*0.0582,0)</f>
        <v>1</v>
      </c>
      <c r="I196" s="4">
        <f t="shared" si="24"/>
        <v>0</v>
      </c>
      <c r="J196" s="4">
        <f t="shared" si="25"/>
        <v>0</v>
      </c>
      <c r="K196" s="4">
        <f t="shared" si="26"/>
        <v>1</v>
      </c>
      <c r="L196" s="4" t="s">
        <v>517</v>
      </c>
      <c r="M196" s="4">
        <f>INDEX(Dim_Product!$C$2:$C$4,MATCH(F196,Dim_Product!$A$2:$A$4,0))+-0.12</f>
        <v>249.88</v>
      </c>
      <c r="N196" s="4">
        <f>IF(AND(M196&gt;=INDEX(Dim_Product!$C$2:$C$4,MATCH(F196,Dim_Product!$A$2:$A$4,0))-INDEX(Dim_Product!$D$2:$D$4,MATCH(F196,Dim_Product!$A$2:$A$4,0)),M196&lt;=INDEX(Dim_Product!$C$2:$C$4,MATCH(F196,Dim_Product!$A$2:$A$4,0))+INDEX(Dim_Product!$D$2:$D$4,MATCH(F196,Dim_Product!$A$2:$A$4,0))),G196-H196,G196-H196-1)</f>
        <v>23</v>
      </c>
      <c r="O196" s="4">
        <f t="shared" si="27"/>
        <v>1</v>
      </c>
      <c r="P196" s="4">
        <f>INDEX(Dim_Product!$G$2:$G$4,MATCH(F196,Dim_Product!$A$2:$A$4,0))+-0.04</f>
        <v>69.959999999999994</v>
      </c>
      <c r="Q196" s="4">
        <f>IF(AND(P196&gt;=INDEX(Dim_Product!$G$2:$G$4,MATCH(F196,Dim_Product!$A$2:$A$4,0))-INDEX(Dim_Product!$H$2:$H$4,MATCH(F196,Dim_Product!$A$2:$A$4,0)),P196&lt;=INDEX(Dim_Product!$G$2:$G$4,MATCH(F196,Dim_Product!$A$2:$A$4,0))+INDEX(Dim_Product!$H$2:$H$4,MATCH(F196,Dim_Product!$A$2:$A$4,0))),G196-H196,G196-H196-1)</f>
        <v>23</v>
      </c>
      <c r="R196" s="4">
        <f t="shared" si="28"/>
        <v>1</v>
      </c>
      <c r="S196" s="4">
        <f>INDEX(Dim_Product!$K$2:$K$4,MATCH(F196,Dim_Product!$A$2:$A$4,0))+0.26</f>
        <v>120.26</v>
      </c>
      <c r="T196" s="4">
        <f>IF(AND(S196&gt;=INDEX(Dim_Product!$K$2:$K$4,MATCH(F196,Dim_Product!$A$2:$A$4,0))-INDEX(Dim_Product!$L$2:$L$4,MATCH(F196,Dim_Product!$A$2:$A$4,0)),S196&lt;=INDEX(Dim_Product!$K$2:$K$4,MATCH(F196,Dim_Product!$A$2:$A$4,0))+INDEX(Dim_Product!$L$2:$L$4,MATCH(F196,Dim_Product!$A$2:$A$4,0))),G196-H196,G196-H196-1)</f>
        <v>23</v>
      </c>
      <c r="U196" s="4">
        <f t="shared" si="29"/>
        <v>1</v>
      </c>
      <c r="V196" s="4">
        <f t="shared" si="30"/>
        <v>4.1666666666666664E-2</v>
      </c>
      <c r="W196" s="19">
        <f t="shared" si="31"/>
        <v>0.95833333333333337</v>
      </c>
    </row>
    <row r="197" spans="1:23" x14ac:dyDescent="0.25">
      <c r="A197" s="18" t="s">
        <v>698</v>
      </c>
      <c r="B197" s="4">
        <f>Fact_Production_Hourly!B197</f>
        <v>20260702</v>
      </c>
      <c r="C197" s="4">
        <f>Fact_Production_Hourly!C197</f>
        <v>3</v>
      </c>
      <c r="D197" s="4" t="str">
        <f>Fact_Production_Hourly!D197</f>
        <v>M7</v>
      </c>
      <c r="E197" s="4" t="str">
        <f>Fact_Production_Hourly!E197</f>
        <v>B-PM</v>
      </c>
      <c r="F197" s="4" t="str">
        <f>Fact_Production_Hourly!F197</f>
        <v>C</v>
      </c>
      <c r="G197" s="4">
        <f>INDEX(Dim_Machine!$D$2:$D$8,MATCH(D197,Dim_Machine!$A$2:$A$8,0))*2</f>
        <v>48</v>
      </c>
      <c r="H197" s="4">
        <f>ROUND(G197*0.0491,0)</f>
        <v>2</v>
      </c>
      <c r="I197" s="4">
        <f t="shared" si="24"/>
        <v>0</v>
      </c>
      <c r="J197" s="4">
        <f t="shared" si="25"/>
        <v>1</v>
      </c>
      <c r="K197" s="4">
        <f t="shared" si="26"/>
        <v>1</v>
      </c>
      <c r="L197" s="4" t="s">
        <v>509</v>
      </c>
      <c r="M197" s="4">
        <f>INDEX(Dim_Product!$C$2:$C$4,MATCH(F197,Dim_Product!$A$2:$A$4,0))+-0.73</f>
        <v>199.27</v>
      </c>
      <c r="N197" s="4">
        <f>IF(AND(M197&gt;=INDEX(Dim_Product!$C$2:$C$4,MATCH(F197,Dim_Product!$A$2:$A$4,0))-INDEX(Dim_Product!$D$2:$D$4,MATCH(F197,Dim_Product!$A$2:$A$4,0)),M197&lt;=INDEX(Dim_Product!$C$2:$C$4,MATCH(F197,Dim_Product!$A$2:$A$4,0))+INDEX(Dim_Product!$D$2:$D$4,MATCH(F197,Dim_Product!$A$2:$A$4,0))),G197-H197,G197-H197-1)</f>
        <v>46</v>
      </c>
      <c r="O197" s="4">
        <f t="shared" si="27"/>
        <v>2</v>
      </c>
      <c r="P197" s="4">
        <f>INDEX(Dim_Product!$G$2:$G$4,MATCH(F197,Dim_Product!$A$2:$A$4,0))+-0.11</f>
        <v>64.89</v>
      </c>
      <c r="Q197" s="4">
        <f>IF(AND(P197&gt;=INDEX(Dim_Product!$G$2:$G$4,MATCH(F197,Dim_Product!$A$2:$A$4,0))-INDEX(Dim_Product!$H$2:$H$4,MATCH(F197,Dim_Product!$A$2:$A$4,0)),P197&lt;=INDEX(Dim_Product!$G$2:$G$4,MATCH(F197,Dim_Product!$A$2:$A$4,0))+INDEX(Dim_Product!$H$2:$H$4,MATCH(F197,Dim_Product!$A$2:$A$4,0))),G197-H197,G197-H197-1)</f>
        <v>46</v>
      </c>
      <c r="R197" s="4">
        <f t="shared" si="28"/>
        <v>2</v>
      </c>
      <c r="S197" s="4">
        <f>INDEX(Dim_Product!$K$2:$K$4,MATCH(F197,Dim_Product!$A$2:$A$4,0))+0.36</f>
        <v>110.36</v>
      </c>
      <c r="T197" s="4">
        <f>IF(AND(S197&gt;=INDEX(Dim_Product!$K$2:$K$4,MATCH(F197,Dim_Product!$A$2:$A$4,0))-INDEX(Dim_Product!$L$2:$L$4,MATCH(F197,Dim_Product!$A$2:$A$4,0)),S197&lt;=INDEX(Dim_Product!$K$2:$K$4,MATCH(F197,Dim_Product!$A$2:$A$4,0))+INDEX(Dim_Product!$L$2:$L$4,MATCH(F197,Dim_Product!$A$2:$A$4,0))),G197-H197,G197-H197-1)</f>
        <v>46</v>
      </c>
      <c r="U197" s="4">
        <f t="shared" si="29"/>
        <v>2</v>
      </c>
      <c r="V197" s="4">
        <f t="shared" si="30"/>
        <v>4.1666666666666664E-2</v>
      </c>
      <c r="W197" s="19">
        <f t="shared" si="31"/>
        <v>0.95833333333333337</v>
      </c>
    </row>
    <row r="198" spans="1:23" x14ac:dyDescent="0.25">
      <c r="A198" s="18" t="s">
        <v>699</v>
      </c>
      <c r="B198" s="4">
        <f>Fact_Production_Hourly!B198</f>
        <v>20260702</v>
      </c>
      <c r="C198" s="4">
        <f>Fact_Production_Hourly!C198</f>
        <v>4</v>
      </c>
      <c r="D198" s="4" t="str">
        <f>Fact_Production_Hourly!D198</f>
        <v>M1</v>
      </c>
      <c r="E198" s="4" t="str">
        <f>Fact_Production_Hourly!E198</f>
        <v>B-PM</v>
      </c>
      <c r="F198" s="4" t="str">
        <f>Fact_Production_Hourly!F198</f>
        <v>B</v>
      </c>
      <c r="G198" s="4">
        <f>INDEX(Dim_Machine!$D$2:$D$8,MATCH(D198,Dim_Machine!$A$2:$A$8,0))*2</f>
        <v>32</v>
      </c>
      <c r="H198" s="4">
        <f>ROUND(G198*0.0221,0)</f>
        <v>1</v>
      </c>
      <c r="I198" s="4">
        <f t="shared" si="24"/>
        <v>0</v>
      </c>
      <c r="J198" s="4">
        <f t="shared" si="25"/>
        <v>0</v>
      </c>
      <c r="K198" s="4">
        <f t="shared" si="26"/>
        <v>1</v>
      </c>
      <c r="L198" s="4" t="s">
        <v>517</v>
      </c>
      <c r="M198" s="4">
        <f>INDEX(Dim_Product!$C$2:$C$4,MATCH(F198,Dim_Product!$A$2:$A$4,0))+-0.64</f>
        <v>299.36</v>
      </c>
      <c r="N198" s="4">
        <f>IF(AND(M198&gt;=INDEX(Dim_Product!$C$2:$C$4,MATCH(F198,Dim_Product!$A$2:$A$4,0))-INDEX(Dim_Product!$D$2:$D$4,MATCH(F198,Dim_Product!$A$2:$A$4,0)),M198&lt;=INDEX(Dim_Product!$C$2:$C$4,MATCH(F198,Dim_Product!$A$2:$A$4,0))+INDEX(Dim_Product!$D$2:$D$4,MATCH(F198,Dim_Product!$A$2:$A$4,0))),G198-H198,G198-H198-1)</f>
        <v>31</v>
      </c>
      <c r="O198" s="4">
        <f t="shared" si="27"/>
        <v>1</v>
      </c>
      <c r="P198" s="4">
        <f>INDEX(Dim_Product!$G$2:$G$4,MATCH(F198,Dim_Product!$A$2:$A$4,0))+-0.06</f>
        <v>74.94</v>
      </c>
      <c r="Q198" s="4">
        <f>IF(AND(P198&gt;=INDEX(Dim_Product!$G$2:$G$4,MATCH(F198,Dim_Product!$A$2:$A$4,0))-INDEX(Dim_Product!$H$2:$H$4,MATCH(F198,Dim_Product!$A$2:$A$4,0)),P198&lt;=INDEX(Dim_Product!$G$2:$G$4,MATCH(F198,Dim_Product!$A$2:$A$4,0))+INDEX(Dim_Product!$H$2:$H$4,MATCH(F198,Dim_Product!$A$2:$A$4,0))),G198-H198,G198-H198-1)</f>
        <v>31</v>
      </c>
      <c r="R198" s="4">
        <f t="shared" si="28"/>
        <v>1</v>
      </c>
      <c r="S198" s="4">
        <f>INDEX(Dim_Product!$K$2:$K$4,MATCH(F198,Dim_Product!$A$2:$A$4,0))+-0.14</f>
        <v>129.86000000000001</v>
      </c>
      <c r="T198" s="4">
        <f>IF(AND(S198&gt;=INDEX(Dim_Product!$K$2:$K$4,MATCH(F198,Dim_Product!$A$2:$A$4,0))-INDEX(Dim_Product!$L$2:$L$4,MATCH(F198,Dim_Product!$A$2:$A$4,0)),S198&lt;=INDEX(Dim_Product!$K$2:$K$4,MATCH(F198,Dim_Product!$A$2:$A$4,0))+INDEX(Dim_Product!$L$2:$L$4,MATCH(F198,Dim_Product!$A$2:$A$4,0))),G198-H198,G198-H198-1)</f>
        <v>31</v>
      </c>
      <c r="U198" s="4">
        <f t="shared" si="29"/>
        <v>1</v>
      </c>
      <c r="V198" s="4">
        <f t="shared" si="30"/>
        <v>3.125E-2</v>
      </c>
      <c r="W198" s="19">
        <f t="shared" si="31"/>
        <v>0.96875</v>
      </c>
    </row>
    <row r="199" spans="1:23" x14ac:dyDescent="0.25">
      <c r="A199" s="18" t="s">
        <v>700</v>
      </c>
      <c r="B199" s="4">
        <f>Fact_Production_Hourly!B199</f>
        <v>20260702</v>
      </c>
      <c r="C199" s="4">
        <f>Fact_Production_Hourly!C199</f>
        <v>4</v>
      </c>
      <c r="D199" s="4" t="str">
        <f>Fact_Production_Hourly!D199</f>
        <v>M2</v>
      </c>
      <c r="E199" s="4" t="str">
        <f>Fact_Production_Hourly!E199</f>
        <v>B-PM</v>
      </c>
      <c r="F199" s="4" t="str">
        <f>Fact_Production_Hourly!F199</f>
        <v>A</v>
      </c>
      <c r="G199" s="4">
        <f>INDEX(Dim_Machine!$D$2:$D$8,MATCH(D199,Dim_Machine!$A$2:$A$8,0))*2</f>
        <v>48</v>
      </c>
      <c r="H199" s="4">
        <f>ROUND(G199*0.0541,0)</f>
        <v>3</v>
      </c>
      <c r="I199" s="4">
        <f t="shared" si="24"/>
        <v>0</v>
      </c>
      <c r="J199" s="4">
        <f t="shared" si="25"/>
        <v>1</v>
      </c>
      <c r="K199" s="4">
        <f t="shared" si="26"/>
        <v>2</v>
      </c>
      <c r="L199" s="4" t="s">
        <v>520</v>
      </c>
      <c r="M199" s="4">
        <f>INDEX(Dim_Product!$C$2:$C$4,MATCH(F199,Dim_Product!$A$2:$A$4,0))+-0.02</f>
        <v>249.98</v>
      </c>
      <c r="N199" s="4">
        <f>IF(AND(M199&gt;=INDEX(Dim_Product!$C$2:$C$4,MATCH(F199,Dim_Product!$A$2:$A$4,0))-INDEX(Dim_Product!$D$2:$D$4,MATCH(F199,Dim_Product!$A$2:$A$4,0)),M199&lt;=INDEX(Dim_Product!$C$2:$C$4,MATCH(F199,Dim_Product!$A$2:$A$4,0))+INDEX(Dim_Product!$D$2:$D$4,MATCH(F199,Dim_Product!$A$2:$A$4,0))),G199-H199,G199-H199-1)</f>
        <v>45</v>
      </c>
      <c r="O199" s="4">
        <f t="shared" si="27"/>
        <v>3</v>
      </c>
      <c r="P199" s="4">
        <f>INDEX(Dim_Product!$G$2:$G$4,MATCH(F199,Dim_Product!$A$2:$A$4,0))+0.05</f>
        <v>70.05</v>
      </c>
      <c r="Q199" s="4">
        <f>IF(AND(P199&gt;=INDEX(Dim_Product!$G$2:$G$4,MATCH(F199,Dim_Product!$A$2:$A$4,0))-INDEX(Dim_Product!$H$2:$H$4,MATCH(F199,Dim_Product!$A$2:$A$4,0)),P199&lt;=INDEX(Dim_Product!$G$2:$G$4,MATCH(F199,Dim_Product!$A$2:$A$4,0))+INDEX(Dim_Product!$H$2:$H$4,MATCH(F199,Dim_Product!$A$2:$A$4,0))),G199-H199,G199-H199-1)</f>
        <v>45</v>
      </c>
      <c r="R199" s="4">
        <f t="shared" si="28"/>
        <v>3</v>
      </c>
      <c r="S199" s="4">
        <f>INDEX(Dim_Product!$K$2:$K$4,MATCH(F199,Dim_Product!$A$2:$A$4,0))+-0.21</f>
        <v>119.79</v>
      </c>
      <c r="T199" s="4">
        <f>IF(AND(S199&gt;=INDEX(Dim_Product!$K$2:$K$4,MATCH(F199,Dim_Product!$A$2:$A$4,0))-INDEX(Dim_Product!$L$2:$L$4,MATCH(F199,Dim_Product!$A$2:$A$4,0)),S199&lt;=INDEX(Dim_Product!$K$2:$K$4,MATCH(F199,Dim_Product!$A$2:$A$4,0))+INDEX(Dim_Product!$L$2:$L$4,MATCH(F199,Dim_Product!$A$2:$A$4,0))),G199-H199,G199-H199-1)</f>
        <v>45</v>
      </c>
      <c r="U199" s="4">
        <f t="shared" si="29"/>
        <v>3</v>
      </c>
      <c r="V199" s="4">
        <f t="shared" si="30"/>
        <v>6.25E-2</v>
      </c>
      <c r="W199" s="19">
        <f t="shared" si="31"/>
        <v>0.9375</v>
      </c>
    </row>
    <row r="200" spans="1:23" x14ac:dyDescent="0.25">
      <c r="A200" s="18" t="s">
        <v>701</v>
      </c>
      <c r="B200" s="4">
        <f>Fact_Production_Hourly!B200</f>
        <v>20260702</v>
      </c>
      <c r="C200" s="4">
        <f>Fact_Production_Hourly!C200</f>
        <v>4</v>
      </c>
      <c r="D200" s="4" t="str">
        <f>Fact_Production_Hourly!D200</f>
        <v>M3</v>
      </c>
      <c r="E200" s="4" t="str">
        <f>Fact_Production_Hourly!E200</f>
        <v>B-PM</v>
      </c>
      <c r="F200" s="4" t="str">
        <f>Fact_Production_Hourly!F200</f>
        <v>A</v>
      </c>
      <c r="G200" s="4">
        <f>INDEX(Dim_Machine!$D$2:$D$8,MATCH(D200,Dim_Machine!$A$2:$A$8,0))*2</f>
        <v>24</v>
      </c>
      <c r="H200" s="4">
        <f>ROUND(G200*0.0326,0)</f>
        <v>1</v>
      </c>
      <c r="I200" s="4">
        <f t="shared" si="24"/>
        <v>0</v>
      </c>
      <c r="J200" s="4">
        <f t="shared" si="25"/>
        <v>0</v>
      </c>
      <c r="K200" s="4">
        <f t="shared" si="26"/>
        <v>1</v>
      </c>
      <c r="L200" s="4" t="s">
        <v>503</v>
      </c>
      <c r="M200" s="4">
        <f>INDEX(Dim_Product!$C$2:$C$4,MATCH(F200,Dim_Product!$A$2:$A$4,0))+-0.27</f>
        <v>249.73</v>
      </c>
      <c r="N200" s="4">
        <f>IF(AND(M200&gt;=INDEX(Dim_Product!$C$2:$C$4,MATCH(F200,Dim_Product!$A$2:$A$4,0))-INDEX(Dim_Product!$D$2:$D$4,MATCH(F200,Dim_Product!$A$2:$A$4,0)),M200&lt;=INDEX(Dim_Product!$C$2:$C$4,MATCH(F200,Dim_Product!$A$2:$A$4,0))+INDEX(Dim_Product!$D$2:$D$4,MATCH(F200,Dim_Product!$A$2:$A$4,0))),G200-H200,G200-H200-1)</f>
        <v>23</v>
      </c>
      <c r="O200" s="4">
        <f t="shared" si="27"/>
        <v>1</v>
      </c>
      <c r="P200" s="4">
        <f>INDEX(Dim_Product!$G$2:$G$4,MATCH(F200,Dim_Product!$A$2:$A$4,0))+0.26</f>
        <v>70.260000000000005</v>
      </c>
      <c r="Q200" s="4">
        <f>IF(AND(P200&gt;=INDEX(Dim_Product!$G$2:$G$4,MATCH(F200,Dim_Product!$A$2:$A$4,0))-INDEX(Dim_Product!$H$2:$H$4,MATCH(F200,Dim_Product!$A$2:$A$4,0)),P200&lt;=INDEX(Dim_Product!$G$2:$G$4,MATCH(F200,Dim_Product!$A$2:$A$4,0))+INDEX(Dim_Product!$H$2:$H$4,MATCH(F200,Dim_Product!$A$2:$A$4,0))),G200-H200,G200-H200-1)</f>
        <v>23</v>
      </c>
      <c r="R200" s="4">
        <f t="shared" si="28"/>
        <v>1</v>
      </c>
      <c r="S200" s="4">
        <f>INDEX(Dim_Product!$K$2:$K$4,MATCH(F200,Dim_Product!$A$2:$A$4,0))+-0.24</f>
        <v>119.76</v>
      </c>
      <c r="T200" s="4">
        <f>IF(AND(S200&gt;=INDEX(Dim_Product!$K$2:$K$4,MATCH(F200,Dim_Product!$A$2:$A$4,0))-INDEX(Dim_Product!$L$2:$L$4,MATCH(F200,Dim_Product!$A$2:$A$4,0)),S200&lt;=INDEX(Dim_Product!$K$2:$K$4,MATCH(F200,Dim_Product!$A$2:$A$4,0))+INDEX(Dim_Product!$L$2:$L$4,MATCH(F200,Dim_Product!$A$2:$A$4,0))),G200-H200,G200-H200-1)</f>
        <v>23</v>
      </c>
      <c r="U200" s="4">
        <f t="shared" si="29"/>
        <v>1</v>
      </c>
      <c r="V200" s="4">
        <f t="shared" si="30"/>
        <v>4.1666666666666664E-2</v>
      </c>
      <c r="W200" s="19">
        <f t="shared" si="31"/>
        <v>0.95833333333333337</v>
      </c>
    </row>
    <row r="201" spans="1:23" x14ac:dyDescent="0.25">
      <c r="A201" s="18" t="s">
        <v>702</v>
      </c>
      <c r="B201" s="4">
        <f>Fact_Production_Hourly!B201</f>
        <v>20260702</v>
      </c>
      <c r="C201" s="4">
        <f>Fact_Production_Hourly!C201</f>
        <v>4</v>
      </c>
      <c r="D201" s="4" t="str">
        <f>Fact_Production_Hourly!D201</f>
        <v>M4</v>
      </c>
      <c r="E201" s="4" t="str">
        <f>Fact_Production_Hourly!E201</f>
        <v>B-PM</v>
      </c>
      <c r="F201" s="4" t="str">
        <f>Fact_Production_Hourly!F201</f>
        <v>C</v>
      </c>
      <c r="G201" s="4">
        <f>INDEX(Dim_Machine!$D$2:$D$8,MATCH(D201,Dim_Machine!$A$2:$A$8,0))*2</f>
        <v>48</v>
      </c>
      <c r="H201" s="4">
        <f>ROUND(G201*0.0698,0)</f>
        <v>3</v>
      </c>
      <c r="I201" s="4">
        <f t="shared" si="24"/>
        <v>0</v>
      </c>
      <c r="J201" s="4">
        <f t="shared" si="25"/>
        <v>1</v>
      </c>
      <c r="K201" s="4">
        <f t="shared" si="26"/>
        <v>2</v>
      </c>
      <c r="L201" s="4" t="s">
        <v>500</v>
      </c>
      <c r="M201" s="4">
        <f>INDEX(Dim_Product!$C$2:$C$4,MATCH(F201,Dim_Product!$A$2:$A$4,0))+0.36</f>
        <v>200.36</v>
      </c>
      <c r="N201" s="4">
        <f>IF(AND(M201&gt;=INDEX(Dim_Product!$C$2:$C$4,MATCH(F201,Dim_Product!$A$2:$A$4,0))-INDEX(Dim_Product!$D$2:$D$4,MATCH(F201,Dim_Product!$A$2:$A$4,0)),M201&lt;=INDEX(Dim_Product!$C$2:$C$4,MATCH(F201,Dim_Product!$A$2:$A$4,0))+INDEX(Dim_Product!$D$2:$D$4,MATCH(F201,Dim_Product!$A$2:$A$4,0))),G201-H201,G201-H201-1)</f>
        <v>45</v>
      </c>
      <c r="O201" s="4">
        <f t="shared" si="27"/>
        <v>3</v>
      </c>
      <c r="P201" s="4">
        <f>INDEX(Dim_Product!$G$2:$G$4,MATCH(F201,Dim_Product!$A$2:$A$4,0))+0.03</f>
        <v>65.03</v>
      </c>
      <c r="Q201" s="4">
        <f>IF(AND(P201&gt;=INDEX(Dim_Product!$G$2:$G$4,MATCH(F201,Dim_Product!$A$2:$A$4,0))-INDEX(Dim_Product!$H$2:$H$4,MATCH(F201,Dim_Product!$A$2:$A$4,0)),P201&lt;=INDEX(Dim_Product!$G$2:$G$4,MATCH(F201,Dim_Product!$A$2:$A$4,0))+INDEX(Dim_Product!$H$2:$H$4,MATCH(F201,Dim_Product!$A$2:$A$4,0))),G201-H201,G201-H201-1)</f>
        <v>45</v>
      </c>
      <c r="R201" s="4">
        <f t="shared" si="28"/>
        <v>3</v>
      </c>
      <c r="S201" s="4">
        <f>INDEX(Dim_Product!$K$2:$K$4,MATCH(F201,Dim_Product!$A$2:$A$4,0))+0.36</f>
        <v>110.36</v>
      </c>
      <c r="T201" s="4">
        <f>IF(AND(S201&gt;=INDEX(Dim_Product!$K$2:$K$4,MATCH(F201,Dim_Product!$A$2:$A$4,0))-INDEX(Dim_Product!$L$2:$L$4,MATCH(F201,Dim_Product!$A$2:$A$4,0)),S201&lt;=INDEX(Dim_Product!$K$2:$K$4,MATCH(F201,Dim_Product!$A$2:$A$4,0))+INDEX(Dim_Product!$L$2:$L$4,MATCH(F201,Dim_Product!$A$2:$A$4,0))),G201-H201,G201-H201-1)</f>
        <v>45</v>
      </c>
      <c r="U201" s="4">
        <f t="shared" si="29"/>
        <v>3</v>
      </c>
      <c r="V201" s="4">
        <f t="shared" si="30"/>
        <v>6.25E-2</v>
      </c>
      <c r="W201" s="19">
        <f t="shared" si="31"/>
        <v>0.9375</v>
      </c>
    </row>
    <row r="202" spans="1:23" x14ac:dyDescent="0.25">
      <c r="A202" s="18" t="s">
        <v>703</v>
      </c>
      <c r="B202" s="4">
        <f>Fact_Production_Hourly!B202</f>
        <v>20260702</v>
      </c>
      <c r="C202" s="4">
        <f>Fact_Production_Hourly!C202</f>
        <v>4</v>
      </c>
      <c r="D202" s="4" t="str">
        <f>Fact_Production_Hourly!D202</f>
        <v>M5</v>
      </c>
      <c r="E202" s="4" t="str">
        <f>Fact_Production_Hourly!E202</f>
        <v>B-PM</v>
      </c>
      <c r="F202" s="4" t="str">
        <f>Fact_Production_Hourly!F202</f>
        <v>A</v>
      </c>
      <c r="G202" s="4">
        <f>INDEX(Dim_Machine!$D$2:$D$8,MATCH(D202,Dim_Machine!$A$2:$A$8,0))*2</f>
        <v>32</v>
      </c>
      <c r="H202" s="4">
        <f>ROUND(G202*0.0377,0)</f>
        <v>1</v>
      </c>
      <c r="I202" s="4">
        <f t="shared" si="24"/>
        <v>0</v>
      </c>
      <c r="J202" s="4">
        <f t="shared" si="25"/>
        <v>0</v>
      </c>
      <c r="K202" s="4">
        <f t="shared" si="26"/>
        <v>1</v>
      </c>
      <c r="L202" s="4" t="s">
        <v>520</v>
      </c>
      <c r="M202" s="4">
        <f>INDEX(Dim_Product!$C$2:$C$4,MATCH(F202,Dim_Product!$A$2:$A$4,0))+-0.58</f>
        <v>249.42</v>
      </c>
      <c r="N202" s="4">
        <f>IF(AND(M202&gt;=INDEX(Dim_Product!$C$2:$C$4,MATCH(F202,Dim_Product!$A$2:$A$4,0))-INDEX(Dim_Product!$D$2:$D$4,MATCH(F202,Dim_Product!$A$2:$A$4,0)),M202&lt;=INDEX(Dim_Product!$C$2:$C$4,MATCH(F202,Dim_Product!$A$2:$A$4,0))+INDEX(Dim_Product!$D$2:$D$4,MATCH(F202,Dim_Product!$A$2:$A$4,0))),G202-H202,G202-H202-1)</f>
        <v>31</v>
      </c>
      <c r="O202" s="4">
        <f t="shared" si="27"/>
        <v>1</v>
      </c>
      <c r="P202" s="4">
        <f>INDEX(Dim_Product!$G$2:$G$4,MATCH(F202,Dim_Product!$A$2:$A$4,0))+0.18</f>
        <v>70.180000000000007</v>
      </c>
      <c r="Q202" s="4">
        <f>IF(AND(P202&gt;=INDEX(Dim_Product!$G$2:$G$4,MATCH(F202,Dim_Product!$A$2:$A$4,0))-INDEX(Dim_Product!$H$2:$H$4,MATCH(F202,Dim_Product!$A$2:$A$4,0)),P202&lt;=INDEX(Dim_Product!$G$2:$G$4,MATCH(F202,Dim_Product!$A$2:$A$4,0))+INDEX(Dim_Product!$H$2:$H$4,MATCH(F202,Dim_Product!$A$2:$A$4,0))),G202-H202,G202-H202-1)</f>
        <v>31</v>
      </c>
      <c r="R202" s="4">
        <f t="shared" si="28"/>
        <v>1</v>
      </c>
      <c r="S202" s="4">
        <f>INDEX(Dim_Product!$K$2:$K$4,MATCH(F202,Dim_Product!$A$2:$A$4,0))+0.27</f>
        <v>120.27</v>
      </c>
      <c r="T202" s="4">
        <f>IF(AND(S202&gt;=INDEX(Dim_Product!$K$2:$K$4,MATCH(F202,Dim_Product!$A$2:$A$4,0))-INDEX(Dim_Product!$L$2:$L$4,MATCH(F202,Dim_Product!$A$2:$A$4,0)),S202&lt;=INDEX(Dim_Product!$K$2:$K$4,MATCH(F202,Dim_Product!$A$2:$A$4,0))+INDEX(Dim_Product!$L$2:$L$4,MATCH(F202,Dim_Product!$A$2:$A$4,0))),G202-H202,G202-H202-1)</f>
        <v>31</v>
      </c>
      <c r="U202" s="4">
        <f t="shared" si="29"/>
        <v>1</v>
      </c>
      <c r="V202" s="4">
        <f t="shared" si="30"/>
        <v>3.125E-2</v>
      </c>
      <c r="W202" s="19">
        <f t="shared" si="31"/>
        <v>0.96875</v>
      </c>
    </row>
    <row r="203" spans="1:23" x14ac:dyDescent="0.25">
      <c r="A203" s="18" t="s">
        <v>704</v>
      </c>
      <c r="B203" s="4">
        <f>Fact_Production_Hourly!B203</f>
        <v>20260702</v>
      </c>
      <c r="C203" s="4">
        <f>Fact_Production_Hourly!C203</f>
        <v>4</v>
      </c>
      <c r="D203" s="4" t="str">
        <f>Fact_Production_Hourly!D203</f>
        <v>M6</v>
      </c>
      <c r="E203" s="4" t="str">
        <f>Fact_Production_Hourly!E203</f>
        <v>B-PM</v>
      </c>
      <c r="F203" s="4" t="str">
        <f>Fact_Production_Hourly!F203</f>
        <v>A</v>
      </c>
      <c r="G203" s="4">
        <f>INDEX(Dim_Machine!$D$2:$D$8,MATCH(D203,Dim_Machine!$A$2:$A$8,0))*2</f>
        <v>24</v>
      </c>
      <c r="H203" s="4">
        <f>ROUND(G203*0.0141,0)</f>
        <v>0</v>
      </c>
      <c r="I203" s="4">
        <f t="shared" si="24"/>
        <v>0</v>
      </c>
      <c r="J203" s="4">
        <f t="shared" si="25"/>
        <v>0</v>
      </c>
      <c r="K203" s="4">
        <f t="shared" si="26"/>
        <v>0</v>
      </c>
      <c r="L203" s="4" t="s">
        <v>503</v>
      </c>
      <c r="M203" s="4">
        <f>INDEX(Dim_Product!$C$2:$C$4,MATCH(F203,Dim_Product!$A$2:$A$4,0))+0.35</f>
        <v>250.35</v>
      </c>
      <c r="N203" s="4">
        <f>IF(AND(M203&gt;=INDEX(Dim_Product!$C$2:$C$4,MATCH(F203,Dim_Product!$A$2:$A$4,0))-INDEX(Dim_Product!$D$2:$D$4,MATCH(F203,Dim_Product!$A$2:$A$4,0)),M203&lt;=INDEX(Dim_Product!$C$2:$C$4,MATCH(F203,Dim_Product!$A$2:$A$4,0))+INDEX(Dim_Product!$D$2:$D$4,MATCH(F203,Dim_Product!$A$2:$A$4,0))),G203-H203,G203-H203-1)</f>
        <v>24</v>
      </c>
      <c r="O203" s="4">
        <f t="shared" si="27"/>
        <v>0</v>
      </c>
      <c r="P203" s="4">
        <f>INDEX(Dim_Product!$G$2:$G$4,MATCH(F203,Dim_Product!$A$2:$A$4,0))+-0.22</f>
        <v>69.78</v>
      </c>
      <c r="Q203" s="4">
        <f>IF(AND(P203&gt;=INDEX(Dim_Product!$G$2:$G$4,MATCH(F203,Dim_Product!$A$2:$A$4,0))-INDEX(Dim_Product!$H$2:$H$4,MATCH(F203,Dim_Product!$A$2:$A$4,0)),P203&lt;=INDEX(Dim_Product!$G$2:$G$4,MATCH(F203,Dim_Product!$A$2:$A$4,0))+INDEX(Dim_Product!$H$2:$H$4,MATCH(F203,Dim_Product!$A$2:$A$4,0))),G203-H203,G203-H203-1)</f>
        <v>24</v>
      </c>
      <c r="R203" s="4">
        <f t="shared" si="28"/>
        <v>0</v>
      </c>
      <c r="S203" s="4">
        <f>INDEX(Dim_Product!$K$2:$K$4,MATCH(F203,Dim_Product!$A$2:$A$4,0))+-0.16</f>
        <v>119.84</v>
      </c>
      <c r="T203" s="4">
        <f>IF(AND(S203&gt;=INDEX(Dim_Product!$K$2:$K$4,MATCH(F203,Dim_Product!$A$2:$A$4,0))-INDEX(Dim_Product!$L$2:$L$4,MATCH(F203,Dim_Product!$A$2:$A$4,0)),S203&lt;=INDEX(Dim_Product!$K$2:$K$4,MATCH(F203,Dim_Product!$A$2:$A$4,0))+INDEX(Dim_Product!$L$2:$L$4,MATCH(F203,Dim_Product!$A$2:$A$4,0))),G203-H203,G203-H203-1)</f>
        <v>24</v>
      </c>
      <c r="U203" s="4">
        <f t="shared" si="29"/>
        <v>0</v>
      </c>
      <c r="V203" s="4">
        <f t="shared" si="30"/>
        <v>0</v>
      </c>
      <c r="W203" s="19">
        <f t="shared" si="31"/>
        <v>1</v>
      </c>
    </row>
    <row r="204" spans="1:23" x14ac:dyDescent="0.25">
      <c r="A204" s="18" t="s">
        <v>705</v>
      </c>
      <c r="B204" s="4">
        <f>Fact_Production_Hourly!B204</f>
        <v>20260702</v>
      </c>
      <c r="C204" s="4">
        <f>Fact_Production_Hourly!C204</f>
        <v>4</v>
      </c>
      <c r="D204" s="4" t="str">
        <f>Fact_Production_Hourly!D204</f>
        <v>M7</v>
      </c>
      <c r="E204" s="4" t="str">
        <f>Fact_Production_Hourly!E204</f>
        <v>B-PM</v>
      </c>
      <c r="F204" s="4" t="str">
        <f>Fact_Production_Hourly!F204</f>
        <v>C</v>
      </c>
      <c r="G204" s="4">
        <f>INDEX(Dim_Machine!$D$2:$D$8,MATCH(D204,Dim_Machine!$A$2:$A$8,0))*2</f>
        <v>48</v>
      </c>
      <c r="H204" s="4">
        <f>ROUND(G204*0.0252,0)</f>
        <v>1</v>
      </c>
      <c r="I204" s="4">
        <f t="shared" si="24"/>
        <v>0</v>
      </c>
      <c r="J204" s="4">
        <f t="shared" si="25"/>
        <v>0</v>
      </c>
      <c r="K204" s="4">
        <f t="shared" si="26"/>
        <v>1</v>
      </c>
      <c r="L204" s="4" t="s">
        <v>500</v>
      </c>
      <c r="M204" s="4">
        <f>INDEX(Dim_Product!$C$2:$C$4,MATCH(F204,Dim_Product!$A$2:$A$4,0))+0.43</f>
        <v>200.43</v>
      </c>
      <c r="N204" s="4">
        <f>IF(AND(M204&gt;=INDEX(Dim_Product!$C$2:$C$4,MATCH(F204,Dim_Product!$A$2:$A$4,0))-INDEX(Dim_Product!$D$2:$D$4,MATCH(F204,Dim_Product!$A$2:$A$4,0)),M204&lt;=INDEX(Dim_Product!$C$2:$C$4,MATCH(F204,Dim_Product!$A$2:$A$4,0))+INDEX(Dim_Product!$D$2:$D$4,MATCH(F204,Dim_Product!$A$2:$A$4,0))),G204-H204,G204-H204-1)</f>
        <v>47</v>
      </c>
      <c r="O204" s="4">
        <f t="shared" si="27"/>
        <v>1</v>
      </c>
      <c r="P204" s="4">
        <f>INDEX(Dim_Product!$G$2:$G$4,MATCH(F204,Dim_Product!$A$2:$A$4,0))+0.17</f>
        <v>65.17</v>
      </c>
      <c r="Q204" s="4">
        <f>IF(AND(P204&gt;=INDEX(Dim_Product!$G$2:$G$4,MATCH(F204,Dim_Product!$A$2:$A$4,0))-INDEX(Dim_Product!$H$2:$H$4,MATCH(F204,Dim_Product!$A$2:$A$4,0)),P204&lt;=INDEX(Dim_Product!$G$2:$G$4,MATCH(F204,Dim_Product!$A$2:$A$4,0))+INDEX(Dim_Product!$H$2:$H$4,MATCH(F204,Dim_Product!$A$2:$A$4,0))),G204-H204,G204-H204-1)</f>
        <v>47</v>
      </c>
      <c r="R204" s="4">
        <f t="shared" si="28"/>
        <v>1</v>
      </c>
      <c r="S204" s="4">
        <f>INDEX(Dim_Product!$K$2:$K$4,MATCH(F204,Dim_Product!$A$2:$A$4,0))+-0.34</f>
        <v>109.66</v>
      </c>
      <c r="T204" s="4">
        <f>IF(AND(S204&gt;=INDEX(Dim_Product!$K$2:$K$4,MATCH(F204,Dim_Product!$A$2:$A$4,0))-INDEX(Dim_Product!$L$2:$L$4,MATCH(F204,Dim_Product!$A$2:$A$4,0)),S204&lt;=INDEX(Dim_Product!$K$2:$K$4,MATCH(F204,Dim_Product!$A$2:$A$4,0))+INDEX(Dim_Product!$L$2:$L$4,MATCH(F204,Dim_Product!$A$2:$A$4,0))),G204-H204,G204-H204-1)</f>
        <v>47</v>
      </c>
      <c r="U204" s="4">
        <f t="shared" si="29"/>
        <v>1</v>
      </c>
      <c r="V204" s="4">
        <f t="shared" si="30"/>
        <v>2.0833333333333332E-2</v>
      </c>
      <c r="W204" s="19">
        <f t="shared" si="31"/>
        <v>0.97916666666666663</v>
      </c>
    </row>
    <row r="205" spans="1:23" x14ac:dyDescent="0.25">
      <c r="A205" s="18" t="s">
        <v>706</v>
      </c>
      <c r="B205" s="4">
        <f>Fact_Production_Hourly!B205</f>
        <v>20260702</v>
      </c>
      <c r="C205" s="4">
        <f>Fact_Production_Hourly!C205</f>
        <v>5</v>
      </c>
      <c r="D205" s="4" t="str">
        <f>Fact_Production_Hourly!D205</f>
        <v>M1</v>
      </c>
      <c r="E205" s="4" t="str">
        <f>Fact_Production_Hourly!E205</f>
        <v>B-PM</v>
      </c>
      <c r="F205" s="4" t="str">
        <f>Fact_Production_Hourly!F205</f>
        <v>B</v>
      </c>
      <c r="G205" s="4">
        <f>INDEX(Dim_Machine!$D$2:$D$8,MATCH(D205,Dim_Machine!$A$2:$A$8,0))*2</f>
        <v>32</v>
      </c>
      <c r="H205" s="4">
        <f>ROUND(G205*0.0694,0)</f>
        <v>2</v>
      </c>
      <c r="I205" s="4">
        <f t="shared" si="24"/>
        <v>0</v>
      </c>
      <c r="J205" s="4">
        <f t="shared" si="25"/>
        <v>1</v>
      </c>
      <c r="K205" s="4">
        <f t="shared" si="26"/>
        <v>1</v>
      </c>
      <c r="L205" s="4" t="s">
        <v>503</v>
      </c>
      <c r="M205" s="4">
        <f>INDEX(Dim_Product!$C$2:$C$4,MATCH(F205,Dim_Product!$A$2:$A$4,0))+0.16</f>
        <v>300.16000000000003</v>
      </c>
      <c r="N205" s="4">
        <f>IF(AND(M205&gt;=INDEX(Dim_Product!$C$2:$C$4,MATCH(F205,Dim_Product!$A$2:$A$4,0))-INDEX(Dim_Product!$D$2:$D$4,MATCH(F205,Dim_Product!$A$2:$A$4,0)),M205&lt;=INDEX(Dim_Product!$C$2:$C$4,MATCH(F205,Dim_Product!$A$2:$A$4,0))+INDEX(Dim_Product!$D$2:$D$4,MATCH(F205,Dim_Product!$A$2:$A$4,0))),G205-H205,G205-H205-1)</f>
        <v>30</v>
      </c>
      <c r="O205" s="4">
        <f t="shared" si="27"/>
        <v>2</v>
      </c>
      <c r="P205" s="4">
        <f>INDEX(Dim_Product!$G$2:$G$4,MATCH(F205,Dim_Product!$A$2:$A$4,0))+0.02</f>
        <v>75.02</v>
      </c>
      <c r="Q205" s="4">
        <f>IF(AND(P205&gt;=INDEX(Dim_Product!$G$2:$G$4,MATCH(F205,Dim_Product!$A$2:$A$4,0))-INDEX(Dim_Product!$H$2:$H$4,MATCH(F205,Dim_Product!$A$2:$A$4,0)),P205&lt;=INDEX(Dim_Product!$G$2:$G$4,MATCH(F205,Dim_Product!$A$2:$A$4,0))+INDEX(Dim_Product!$H$2:$H$4,MATCH(F205,Dim_Product!$A$2:$A$4,0))),G205-H205,G205-H205-1)</f>
        <v>30</v>
      </c>
      <c r="R205" s="4">
        <f t="shared" si="28"/>
        <v>2</v>
      </c>
      <c r="S205" s="4">
        <f>INDEX(Dim_Product!$K$2:$K$4,MATCH(F205,Dim_Product!$A$2:$A$4,0))+0.34</f>
        <v>130.34</v>
      </c>
      <c r="T205" s="4">
        <f>IF(AND(S205&gt;=INDEX(Dim_Product!$K$2:$K$4,MATCH(F205,Dim_Product!$A$2:$A$4,0))-INDEX(Dim_Product!$L$2:$L$4,MATCH(F205,Dim_Product!$A$2:$A$4,0)),S205&lt;=INDEX(Dim_Product!$K$2:$K$4,MATCH(F205,Dim_Product!$A$2:$A$4,0))+INDEX(Dim_Product!$L$2:$L$4,MATCH(F205,Dim_Product!$A$2:$A$4,0))),G205-H205,G205-H205-1)</f>
        <v>30</v>
      </c>
      <c r="U205" s="4">
        <f t="shared" si="29"/>
        <v>2</v>
      </c>
      <c r="V205" s="4">
        <f t="shared" si="30"/>
        <v>6.25E-2</v>
      </c>
      <c r="W205" s="19">
        <f t="shared" si="31"/>
        <v>0.9375</v>
      </c>
    </row>
    <row r="206" spans="1:23" x14ac:dyDescent="0.25">
      <c r="A206" s="18" t="s">
        <v>707</v>
      </c>
      <c r="B206" s="4">
        <f>Fact_Production_Hourly!B206</f>
        <v>20260702</v>
      </c>
      <c r="C206" s="4">
        <f>Fact_Production_Hourly!C206</f>
        <v>5</v>
      </c>
      <c r="D206" s="4" t="str">
        <f>Fact_Production_Hourly!D206</f>
        <v>M2</v>
      </c>
      <c r="E206" s="4" t="str">
        <f>Fact_Production_Hourly!E206</f>
        <v>B-PM</v>
      </c>
      <c r="F206" s="4" t="str">
        <f>Fact_Production_Hourly!F206</f>
        <v>A</v>
      </c>
      <c r="G206" s="4">
        <f>INDEX(Dim_Machine!$D$2:$D$8,MATCH(D206,Dim_Machine!$A$2:$A$8,0))*2</f>
        <v>48</v>
      </c>
      <c r="H206" s="4">
        <f>ROUND(G206*0.0622,0)</f>
        <v>3</v>
      </c>
      <c r="I206" s="4">
        <f t="shared" si="24"/>
        <v>0</v>
      </c>
      <c r="J206" s="4">
        <f t="shared" si="25"/>
        <v>1</v>
      </c>
      <c r="K206" s="4">
        <f t="shared" si="26"/>
        <v>2</v>
      </c>
      <c r="L206" s="4" t="s">
        <v>503</v>
      </c>
      <c r="M206" s="4">
        <f>INDEX(Dim_Product!$C$2:$C$4,MATCH(F206,Dim_Product!$A$2:$A$4,0))+0.09</f>
        <v>250.09</v>
      </c>
      <c r="N206" s="4">
        <f>IF(AND(M206&gt;=INDEX(Dim_Product!$C$2:$C$4,MATCH(F206,Dim_Product!$A$2:$A$4,0))-INDEX(Dim_Product!$D$2:$D$4,MATCH(F206,Dim_Product!$A$2:$A$4,0)),M206&lt;=INDEX(Dim_Product!$C$2:$C$4,MATCH(F206,Dim_Product!$A$2:$A$4,0))+INDEX(Dim_Product!$D$2:$D$4,MATCH(F206,Dim_Product!$A$2:$A$4,0))),G206-H206,G206-H206-1)</f>
        <v>45</v>
      </c>
      <c r="O206" s="4">
        <f t="shared" si="27"/>
        <v>3</v>
      </c>
      <c r="P206" s="4">
        <f>INDEX(Dim_Product!$G$2:$G$4,MATCH(F206,Dim_Product!$A$2:$A$4,0))+0.17</f>
        <v>70.17</v>
      </c>
      <c r="Q206" s="4">
        <f>IF(AND(P206&gt;=INDEX(Dim_Product!$G$2:$G$4,MATCH(F206,Dim_Product!$A$2:$A$4,0))-INDEX(Dim_Product!$H$2:$H$4,MATCH(F206,Dim_Product!$A$2:$A$4,0)),P206&lt;=INDEX(Dim_Product!$G$2:$G$4,MATCH(F206,Dim_Product!$A$2:$A$4,0))+INDEX(Dim_Product!$H$2:$H$4,MATCH(F206,Dim_Product!$A$2:$A$4,0))),G206-H206,G206-H206-1)</f>
        <v>45</v>
      </c>
      <c r="R206" s="4">
        <f t="shared" si="28"/>
        <v>3</v>
      </c>
      <c r="S206" s="4">
        <f>INDEX(Dim_Product!$K$2:$K$4,MATCH(F206,Dim_Product!$A$2:$A$4,0))+-0.11</f>
        <v>119.89</v>
      </c>
      <c r="T206" s="4">
        <f>IF(AND(S206&gt;=INDEX(Dim_Product!$K$2:$K$4,MATCH(F206,Dim_Product!$A$2:$A$4,0))-INDEX(Dim_Product!$L$2:$L$4,MATCH(F206,Dim_Product!$A$2:$A$4,0)),S206&lt;=INDEX(Dim_Product!$K$2:$K$4,MATCH(F206,Dim_Product!$A$2:$A$4,0))+INDEX(Dim_Product!$L$2:$L$4,MATCH(F206,Dim_Product!$A$2:$A$4,0))),G206-H206,G206-H206-1)</f>
        <v>45</v>
      </c>
      <c r="U206" s="4">
        <f t="shared" si="29"/>
        <v>3</v>
      </c>
      <c r="V206" s="4">
        <f t="shared" si="30"/>
        <v>6.25E-2</v>
      </c>
      <c r="W206" s="19">
        <f t="shared" si="31"/>
        <v>0.9375</v>
      </c>
    </row>
    <row r="207" spans="1:23" x14ac:dyDescent="0.25">
      <c r="A207" s="18" t="s">
        <v>708</v>
      </c>
      <c r="B207" s="4">
        <f>Fact_Production_Hourly!B207</f>
        <v>20260702</v>
      </c>
      <c r="C207" s="4">
        <f>Fact_Production_Hourly!C207</f>
        <v>5</v>
      </c>
      <c r="D207" s="4" t="str">
        <f>Fact_Production_Hourly!D207</f>
        <v>M3</v>
      </c>
      <c r="E207" s="4" t="str">
        <f>Fact_Production_Hourly!E207</f>
        <v>B-PM</v>
      </c>
      <c r="F207" s="4" t="str">
        <f>Fact_Production_Hourly!F207</f>
        <v>A</v>
      </c>
      <c r="G207" s="4">
        <f>INDEX(Dim_Machine!$D$2:$D$8,MATCH(D207,Dim_Machine!$A$2:$A$8,0))*2</f>
        <v>24</v>
      </c>
      <c r="H207" s="4">
        <f>ROUND(G207*0.0637,0)</f>
        <v>2</v>
      </c>
      <c r="I207" s="4">
        <f t="shared" si="24"/>
        <v>0</v>
      </c>
      <c r="J207" s="4">
        <f t="shared" si="25"/>
        <v>1</v>
      </c>
      <c r="K207" s="4">
        <f t="shared" si="26"/>
        <v>1</v>
      </c>
      <c r="L207" s="4" t="s">
        <v>509</v>
      </c>
      <c r="M207" s="4">
        <f>INDEX(Dim_Product!$C$2:$C$4,MATCH(F207,Dim_Product!$A$2:$A$4,0))+0.19</f>
        <v>250.19</v>
      </c>
      <c r="N207" s="4">
        <f>IF(AND(M207&gt;=INDEX(Dim_Product!$C$2:$C$4,MATCH(F207,Dim_Product!$A$2:$A$4,0))-INDEX(Dim_Product!$D$2:$D$4,MATCH(F207,Dim_Product!$A$2:$A$4,0)),M207&lt;=INDEX(Dim_Product!$C$2:$C$4,MATCH(F207,Dim_Product!$A$2:$A$4,0))+INDEX(Dim_Product!$D$2:$D$4,MATCH(F207,Dim_Product!$A$2:$A$4,0))),G207-H207,G207-H207-1)</f>
        <v>22</v>
      </c>
      <c r="O207" s="4">
        <f t="shared" si="27"/>
        <v>2</v>
      </c>
      <c r="P207" s="4">
        <f>INDEX(Dim_Product!$G$2:$G$4,MATCH(F207,Dim_Product!$A$2:$A$4,0))+0.25</f>
        <v>70.25</v>
      </c>
      <c r="Q207" s="4">
        <f>IF(AND(P207&gt;=INDEX(Dim_Product!$G$2:$G$4,MATCH(F207,Dim_Product!$A$2:$A$4,0))-INDEX(Dim_Product!$H$2:$H$4,MATCH(F207,Dim_Product!$A$2:$A$4,0)),P207&lt;=INDEX(Dim_Product!$G$2:$G$4,MATCH(F207,Dim_Product!$A$2:$A$4,0))+INDEX(Dim_Product!$H$2:$H$4,MATCH(F207,Dim_Product!$A$2:$A$4,0))),G207-H207,G207-H207-1)</f>
        <v>22</v>
      </c>
      <c r="R207" s="4">
        <f t="shared" si="28"/>
        <v>2</v>
      </c>
      <c r="S207" s="4">
        <f>INDEX(Dim_Product!$K$2:$K$4,MATCH(F207,Dim_Product!$A$2:$A$4,0))+-0.31</f>
        <v>119.69</v>
      </c>
      <c r="T207" s="4">
        <f>IF(AND(S207&gt;=INDEX(Dim_Product!$K$2:$K$4,MATCH(F207,Dim_Product!$A$2:$A$4,0))-INDEX(Dim_Product!$L$2:$L$4,MATCH(F207,Dim_Product!$A$2:$A$4,0)),S207&lt;=INDEX(Dim_Product!$K$2:$K$4,MATCH(F207,Dim_Product!$A$2:$A$4,0))+INDEX(Dim_Product!$L$2:$L$4,MATCH(F207,Dim_Product!$A$2:$A$4,0))),G207-H207,G207-H207-1)</f>
        <v>22</v>
      </c>
      <c r="U207" s="4">
        <f t="shared" si="29"/>
        <v>2</v>
      </c>
      <c r="V207" s="4">
        <f t="shared" si="30"/>
        <v>8.3333333333333329E-2</v>
      </c>
      <c r="W207" s="19">
        <f t="shared" si="31"/>
        <v>0.91666666666666663</v>
      </c>
    </row>
    <row r="208" spans="1:23" x14ac:dyDescent="0.25">
      <c r="A208" s="18" t="s">
        <v>709</v>
      </c>
      <c r="B208" s="4">
        <f>Fact_Production_Hourly!B208</f>
        <v>20260702</v>
      </c>
      <c r="C208" s="4">
        <f>Fact_Production_Hourly!C208</f>
        <v>5</v>
      </c>
      <c r="D208" s="4" t="str">
        <f>Fact_Production_Hourly!D208</f>
        <v>M4</v>
      </c>
      <c r="E208" s="4" t="str">
        <f>Fact_Production_Hourly!E208</f>
        <v>B-PM</v>
      </c>
      <c r="F208" s="4" t="str">
        <f>Fact_Production_Hourly!F208</f>
        <v>C</v>
      </c>
      <c r="G208" s="4">
        <f>INDEX(Dim_Machine!$D$2:$D$8,MATCH(D208,Dim_Machine!$A$2:$A$8,0))*2</f>
        <v>48</v>
      </c>
      <c r="H208" s="4">
        <f>ROUND(G208*0.0249,0)</f>
        <v>1</v>
      </c>
      <c r="I208" s="4">
        <f t="shared" si="24"/>
        <v>0</v>
      </c>
      <c r="J208" s="4">
        <f t="shared" si="25"/>
        <v>0</v>
      </c>
      <c r="K208" s="4">
        <f t="shared" si="26"/>
        <v>1</v>
      </c>
      <c r="L208" s="4" t="s">
        <v>520</v>
      </c>
      <c r="M208" s="4">
        <f>INDEX(Dim_Product!$C$2:$C$4,MATCH(F208,Dim_Product!$A$2:$A$4,0))+-0.29</f>
        <v>199.71</v>
      </c>
      <c r="N208" s="4">
        <f>IF(AND(M208&gt;=INDEX(Dim_Product!$C$2:$C$4,MATCH(F208,Dim_Product!$A$2:$A$4,0))-INDEX(Dim_Product!$D$2:$D$4,MATCH(F208,Dim_Product!$A$2:$A$4,0)),M208&lt;=INDEX(Dim_Product!$C$2:$C$4,MATCH(F208,Dim_Product!$A$2:$A$4,0))+INDEX(Dim_Product!$D$2:$D$4,MATCH(F208,Dim_Product!$A$2:$A$4,0))),G208-H208,G208-H208-1)</f>
        <v>47</v>
      </c>
      <c r="O208" s="4">
        <f t="shared" si="27"/>
        <v>1</v>
      </c>
      <c r="P208" s="4">
        <f>INDEX(Dim_Product!$G$2:$G$4,MATCH(F208,Dim_Product!$A$2:$A$4,0))+0.09</f>
        <v>65.09</v>
      </c>
      <c r="Q208" s="4">
        <f>IF(AND(P208&gt;=INDEX(Dim_Product!$G$2:$G$4,MATCH(F208,Dim_Product!$A$2:$A$4,0))-INDEX(Dim_Product!$H$2:$H$4,MATCH(F208,Dim_Product!$A$2:$A$4,0)),P208&lt;=INDEX(Dim_Product!$G$2:$G$4,MATCH(F208,Dim_Product!$A$2:$A$4,0))+INDEX(Dim_Product!$H$2:$H$4,MATCH(F208,Dim_Product!$A$2:$A$4,0))),G208-H208,G208-H208-1)</f>
        <v>47</v>
      </c>
      <c r="R208" s="4">
        <f t="shared" si="28"/>
        <v>1</v>
      </c>
      <c r="S208" s="4">
        <f>INDEX(Dim_Product!$K$2:$K$4,MATCH(F208,Dim_Product!$A$2:$A$4,0))+-0.36</f>
        <v>109.64</v>
      </c>
      <c r="T208" s="4">
        <f>IF(AND(S208&gt;=INDEX(Dim_Product!$K$2:$K$4,MATCH(F208,Dim_Product!$A$2:$A$4,0))-INDEX(Dim_Product!$L$2:$L$4,MATCH(F208,Dim_Product!$A$2:$A$4,0)),S208&lt;=INDEX(Dim_Product!$K$2:$K$4,MATCH(F208,Dim_Product!$A$2:$A$4,0))+INDEX(Dim_Product!$L$2:$L$4,MATCH(F208,Dim_Product!$A$2:$A$4,0))),G208-H208,G208-H208-1)</f>
        <v>47</v>
      </c>
      <c r="U208" s="4">
        <f t="shared" si="29"/>
        <v>1</v>
      </c>
      <c r="V208" s="4">
        <f t="shared" si="30"/>
        <v>2.0833333333333332E-2</v>
      </c>
      <c r="W208" s="19">
        <f t="shared" si="31"/>
        <v>0.97916666666666663</v>
      </c>
    </row>
    <row r="209" spans="1:23" x14ac:dyDescent="0.25">
      <c r="A209" s="18" t="s">
        <v>710</v>
      </c>
      <c r="B209" s="4">
        <f>Fact_Production_Hourly!B209</f>
        <v>20260702</v>
      </c>
      <c r="C209" s="4">
        <f>Fact_Production_Hourly!C209</f>
        <v>5</v>
      </c>
      <c r="D209" s="4" t="str">
        <f>Fact_Production_Hourly!D209</f>
        <v>M5</v>
      </c>
      <c r="E209" s="4" t="str">
        <f>Fact_Production_Hourly!E209</f>
        <v>B-PM</v>
      </c>
      <c r="F209" s="4" t="str">
        <f>Fact_Production_Hourly!F209</f>
        <v>A</v>
      </c>
      <c r="G209" s="4">
        <f>INDEX(Dim_Machine!$D$2:$D$8,MATCH(D209,Dim_Machine!$A$2:$A$8,0))*2</f>
        <v>32</v>
      </c>
      <c r="H209" s="4">
        <f>ROUND(G209*0.069,0)</f>
        <v>2</v>
      </c>
      <c r="I209" s="4">
        <f t="shared" si="24"/>
        <v>0</v>
      </c>
      <c r="J209" s="4">
        <f t="shared" si="25"/>
        <v>1</v>
      </c>
      <c r="K209" s="4">
        <f t="shared" si="26"/>
        <v>1</v>
      </c>
      <c r="L209" s="4" t="s">
        <v>520</v>
      </c>
      <c r="M209" s="4">
        <f>INDEX(Dim_Product!$C$2:$C$4,MATCH(F209,Dim_Product!$A$2:$A$4,0))+0.29</f>
        <v>250.29</v>
      </c>
      <c r="N209" s="4">
        <f>IF(AND(M209&gt;=INDEX(Dim_Product!$C$2:$C$4,MATCH(F209,Dim_Product!$A$2:$A$4,0))-INDEX(Dim_Product!$D$2:$D$4,MATCH(F209,Dim_Product!$A$2:$A$4,0)),M209&lt;=INDEX(Dim_Product!$C$2:$C$4,MATCH(F209,Dim_Product!$A$2:$A$4,0))+INDEX(Dim_Product!$D$2:$D$4,MATCH(F209,Dim_Product!$A$2:$A$4,0))),G209-H209,G209-H209-1)</f>
        <v>30</v>
      </c>
      <c r="O209" s="4">
        <f t="shared" si="27"/>
        <v>2</v>
      </c>
      <c r="P209" s="4">
        <f>INDEX(Dim_Product!$G$2:$G$4,MATCH(F209,Dim_Product!$A$2:$A$4,0))+0.28</f>
        <v>70.28</v>
      </c>
      <c r="Q209" s="4">
        <f>IF(AND(P209&gt;=INDEX(Dim_Product!$G$2:$G$4,MATCH(F209,Dim_Product!$A$2:$A$4,0))-INDEX(Dim_Product!$H$2:$H$4,MATCH(F209,Dim_Product!$A$2:$A$4,0)),P209&lt;=INDEX(Dim_Product!$G$2:$G$4,MATCH(F209,Dim_Product!$A$2:$A$4,0))+INDEX(Dim_Product!$H$2:$H$4,MATCH(F209,Dim_Product!$A$2:$A$4,0))),G209-H209,G209-H209-1)</f>
        <v>30</v>
      </c>
      <c r="R209" s="4">
        <f t="shared" si="28"/>
        <v>2</v>
      </c>
      <c r="S209" s="4">
        <f>INDEX(Dim_Product!$K$2:$K$4,MATCH(F209,Dim_Product!$A$2:$A$4,0))+-0.13</f>
        <v>119.87</v>
      </c>
      <c r="T209" s="4">
        <f>IF(AND(S209&gt;=INDEX(Dim_Product!$K$2:$K$4,MATCH(F209,Dim_Product!$A$2:$A$4,0))-INDEX(Dim_Product!$L$2:$L$4,MATCH(F209,Dim_Product!$A$2:$A$4,0)),S209&lt;=INDEX(Dim_Product!$K$2:$K$4,MATCH(F209,Dim_Product!$A$2:$A$4,0))+INDEX(Dim_Product!$L$2:$L$4,MATCH(F209,Dim_Product!$A$2:$A$4,0))),G209-H209,G209-H209-1)</f>
        <v>30</v>
      </c>
      <c r="U209" s="4">
        <f t="shared" si="29"/>
        <v>2</v>
      </c>
      <c r="V209" s="4">
        <f t="shared" si="30"/>
        <v>6.25E-2</v>
      </c>
      <c r="W209" s="19">
        <f t="shared" si="31"/>
        <v>0.9375</v>
      </c>
    </row>
    <row r="210" spans="1:23" x14ac:dyDescent="0.25">
      <c r="A210" s="18" t="s">
        <v>711</v>
      </c>
      <c r="B210" s="4">
        <f>Fact_Production_Hourly!B210</f>
        <v>20260702</v>
      </c>
      <c r="C210" s="4">
        <f>Fact_Production_Hourly!C210</f>
        <v>5</v>
      </c>
      <c r="D210" s="4" t="str">
        <f>Fact_Production_Hourly!D210</f>
        <v>M6</v>
      </c>
      <c r="E210" s="4" t="str">
        <f>Fact_Production_Hourly!E210</f>
        <v>B-PM</v>
      </c>
      <c r="F210" s="4" t="str">
        <f>Fact_Production_Hourly!F210</f>
        <v>A</v>
      </c>
      <c r="G210" s="4">
        <f>INDEX(Dim_Machine!$D$2:$D$8,MATCH(D210,Dim_Machine!$A$2:$A$8,0))*2</f>
        <v>24</v>
      </c>
      <c r="H210" s="4">
        <f>ROUND(G210*0.0578,0)</f>
        <v>1</v>
      </c>
      <c r="I210" s="4">
        <f t="shared" si="24"/>
        <v>0</v>
      </c>
      <c r="J210" s="4">
        <f t="shared" si="25"/>
        <v>0</v>
      </c>
      <c r="K210" s="4">
        <f t="shared" si="26"/>
        <v>1</v>
      </c>
      <c r="L210" s="4" t="s">
        <v>498</v>
      </c>
      <c r="M210" s="4">
        <f>INDEX(Dim_Product!$C$2:$C$4,MATCH(F210,Dim_Product!$A$2:$A$4,0))+-0.98</f>
        <v>249.02</v>
      </c>
      <c r="N210" s="4">
        <f>IF(AND(M210&gt;=INDEX(Dim_Product!$C$2:$C$4,MATCH(F210,Dim_Product!$A$2:$A$4,0))-INDEX(Dim_Product!$D$2:$D$4,MATCH(F210,Dim_Product!$A$2:$A$4,0)),M210&lt;=INDEX(Dim_Product!$C$2:$C$4,MATCH(F210,Dim_Product!$A$2:$A$4,0))+INDEX(Dim_Product!$D$2:$D$4,MATCH(F210,Dim_Product!$A$2:$A$4,0))),G210-H210,G210-H210-1)</f>
        <v>23</v>
      </c>
      <c r="O210" s="4">
        <f t="shared" si="27"/>
        <v>1</v>
      </c>
      <c r="P210" s="4">
        <f>INDEX(Dim_Product!$G$2:$G$4,MATCH(F210,Dim_Product!$A$2:$A$4,0))+-0.14</f>
        <v>69.86</v>
      </c>
      <c r="Q210" s="4">
        <f>IF(AND(P210&gt;=INDEX(Dim_Product!$G$2:$G$4,MATCH(F210,Dim_Product!$A$2:$A$4,0))-INDEX(Dim_Product!$H$2:$H$4,MATCH(F210,Dim_Product!$A$2:$A$4,0)),P210&lt;=INDEX(Dim_Product!$G$2:$G$4,MATCH(F210,Dim_Product!$A$2:$A$4,0))+INDEX(Dim_Product!$H$2:$H$4,MATCH(F210,Dim_Product!$A$2:$A$4,0))),G210-H210,G210-H210-1)</f>
        <v>23</v>
      </c>
      <c r="R210" s="4">
        <f t="shared" si="28"/>
        <v>1</v>
      </c>
      <c r="S210" s="4">
        <f>INDEX(Dim_Product!$K$2:$K$4,MATCH(F210,Dim_Product!$A$2:$A$4,0))+0.01</f>
        <v>120.01</v>
      </c>
      <c r="T210" s="4">
        <f>IF(AND(S210&gt;=INDEX(Dim_Product!$K$2:$K$4,MATCH(F210,Dim_Product!$A$2:$A$4,0))-INDEX(Dim_Product!$L$2:$L$4,MATCH(F210,Dim_Product!$A$2:$A$4,0)),S210&lt;=INDEX(Dim_Product!$K$2:$K$4,MATCH(F210,Dim_Product!$A$2:$A$4,0))+INDEX(Dim_Product!$L$2:$L$4,MATCH(F210,Dim_Product!$A$2:$A$4,0))),G210-H210,G210-H210-1)</f>
        <v>23</v>
      </c>
      <c r="U210" s="4">
        <f t="shared" si="29"/>
        <v>1</v>
      </c>
      <c r="V210" s="4">
        <f t="shared" si="30"/>
        <v>4.1666666666666664E-2</v>
      </c>
      <c r="W210" s="19">
        <f t="shared" si="31"/>
        <v>0.95833333333333337</v>
      </c>
    </row>
    <row r="211" spans="1:23" x14ac:dyDescent="0.25">
      <c r="A211" s="18" t="s">
        <v>712</v>
      </c>
      <c r="B211" s="4">
        <f>Fact_Production_Hourly!B211</f>
        <v>20260702</v>
      </c>
      <c r="C211" s="4">
        <f>Fact_Production_Hourly!C211</f>
        <v>5</v>
      </c>
      <c r="D211" s="4" t="str">
        <f>Fact_Production_Hourly!D211</f>
        <v>M7</v>
      </c>
      <c r="E211" s="4" t="str">
        <f>Fact_Production_Hourly!E211</f>
        <v>B-PM</v>
      </c>
      <c r="F211" s="4" t="str">
        <f>Fact_Production_Hourly!F211</f>
        <v>C</v>
      </c>
      <c r="G211" s="4">
        <f>INDEX(Dim_Machine!$D$2:$D$8,MATCH(D211,Dim_Machine!$A$2:$A$8,0))*2</f>
        <v>48</v>
      </c>
      <c r="H211" s="4">
        <f>ROUND(G211*0.0411,0)</f>
        <v>2</v>
      </c>
      <c r="I211" s="4">
        <f t="shared" si="24"/>
        <v>0</v>
      </c>
      <c r="J211" s="4">
        <f t="shared" si="25"/>
        <v>1</v>
      </c>
      <c r="K211" s="4">
        <f t="shared" si="26"/>
        <v>1</v>
      </c>
      <c r="L211" s="4" t="s">
        <v>509</v>
      </c>
      <c r="M211" s="4">
        <f>INDEX(Dim_Product!$C$2:$C$4,MATCH(F211,Dim_Product!$A$2:$A$4,0))+0.38</f>
        <v>200.38</v>
      </c>
      <c r="N211" s="4">
        <f>IF(AND(M211&gt;=INDEX(Dim_Product!$C$2:$C$4,MATCH(F211,Dim_Product!$A$2:$A$4,0))-INDEX(Dim_Product!$D$2:$D$4,MATCH(F211,Dim_Product!$A$2:$A$4,0)),M211&lt;=INDEX(Dim_Product!$C$2:$C$4,MATCH(F211,Dim_Product!$A$2:$A$4,0))+INDEX(Dim_Product!$D$2:$D$4,MATCH(F211,Dim_Product!$A$2:$A$4,0))),G211-H211,G211-H211-1)</f>
        <v>46</v>
      </c>
      <c r="O211" s="4">
        <f t="shared" si="27"/>
        <v>2</v>
      </c>
      <c r="P211" s="4">
        <f>INDEX(Dim_Product!$G$2:$G$4,MATCH(F211,Dim_Product!$A$2:$A$4,0))+-0.17</f>
        <v>64.83</v>
      </c>
      <c r="Q211" s="4">
        <f>IF(AND(P211&gt;=INDEX(Dim_Product!$G$2:$G$4,MATCH(F211,Dim_Product!$A$2:$A$4,0))-INDEX(Dim_Product!$H$2:$H$4,MATCH(F211,Dim_Product!$A$2:$A$4,0)),P211&lt;=INDEX(Dim_Product!$G$2:$G$4,MATCH(F211,Dim_Product!$A$2:$A$4,0))+INDEX(Dim_Product!$H$2:$H$4,MATCH(F211,Dim_Product!$A$2:$A$4,0))),G211-H211,G211-H211-1)</f>
        <v>46</v>
      </c>
      <c r="R211" s="4">
        <f t="shared" si="28"/>
        <v>2</v>
      </c>
      <c r="S211" s="4">
        <f>INDEX(Dim_Product!$K$2:$K$4,MATCH(F211,Dim_Product!$A$2:$A$4,0))+-0.1</f>
        <v>109.9</v>
      </c>
      <c r="T211" s="4">
        <f>IF(AND(S211&gt;=INDEX(Dim_Product!$K$2:$K$4,MATCH(F211,Dim_Product!$A$2:$A$4,0))-INDEX(Dim_Product!$L$2:$L$4,MATCH(F211,Dim_Product!$A$2:$A$4,0)),S211&lt;=INDEX(Dim_Product!$K$2:$K$4,MATCH(F211,Dim_Product!$A$2:$A$4,0))+INDEX(Dim_Product!$L$2:$L$4,MATCH(F211,Dim_Product!$A$2:$A$4,0))),G211-H211,G211-H211-1)</f>
        <v>46</v>
      </c>
      <c r="U211" s="4">
        <f t="shared" si="29"/>
        <v>2</v>
      </c>
      <c r="V211" s="4">
        <f t="shared" si="30"/>
        <v>4.1666666666666664E-2</v>
      </c>
      <c r="W211" s="19">
        <f t="shared" si="31"/>
        <v>0.95833333333333337</v>
      </c>
    </row>
    <row r="212" spans="1:23" x14ac:dyDescent="0.25">
      <c r="A212" s="18" t="s">
        <v>713</v>
      </c>
      <c r="B212" s="4">
        <f>Fact_Production_Hourly!B212</f>
        <v>20260702</v>
      </c>
      <c r="C212" s="4">
        <f>Fact_Production_Hourly!C212</f>
        <v>6</v>
      </c>
      <c r="D212" s="4" t="str">
        <f>Fact_Production_Hourly!D212</f>
        <v>M1</v>
      </c>
      <c r="E212" s="4" t="str">
        <f>Fact_Production_Hourly!E212</f>
        <v>A-AM</v>
      </c>
      <c r="F212" s="4" t="str">
        <f>Fact_Production_Hourly!F212</f>
        <v>C</v>
      </c>
      <c r="G212" s="4">
        <f>INDEX(Dim_Machine!$D$2:$D$8,MATCH(D212,Dim_Machine!$A$2:$A$8,0))*2</f>
        <v>32</v>
      </c>
      <c r="H212" s="4">
        <f>ROUND(G212*0.0378,0)</f>
        <v>1</v>
      </c>
      <c r="I212" s="4">
        <f t="shared" si="24"/>
        <v>0</v>
      </c>
      <c r="J212" s="4">
        <f t="shared" si="25"/>
        <v>0</v>
      </c>
      <c r="K212" s="4">
        <f t="shared" si="26"/>
        <v>1</v>
      </c>
      <c r="L212" s="4" t="s">
        <v>520</v>
      </c>
      <c r="M212" s="4">
        <f>INDEX(Dim_Product!$C$2:$C$4,MATCH(F212,Dim_Product!$A$2:$A$4,0))+0.18</f>
        <v>200.18</v>
      </c>
      <c r="N212" s="4">
        <f>IF(AND(M212&gt;=INDEX(Dim_Product!$C$2:$C$4,MATCH(F212,Dim_Product!$A$2:$A$4,0))-INDEX(Dim_Product!$D$2:$D$4,MATCH(F212,Dim_Product!$A$2:$A$4,0)),M212&lt;=INDEX(Dim_Product!$C$2:$C$4,MATCH(F212,Dim_Product!$A$2:$A$4,0))+INDEX(Dim_Product!$D$2:$D$4,MATCH(F212,Dim_Product!$A$2:$A$4,0))),G212-H212,G212-H212-1)</f>
        <v>31</v>
      </c>
      <c r="O212" s="4">
        <f t="shared" si="27"/>
        <v>1</v>
      </c>
      <c r="P212" s="4">
        <f>INDEX(Dim_Product!$G$2:$G$4,MATCH(F212,Dim_Product!$A$2:$A$4,0))+0</f>
        <v>65</v>
      </c>
      <c r="Q212" s="4">
        <f>IF(AND(P212&gt;=INDEX(Dim_Product!$G$2:$G$4,MATCH(F212,Dim_Product!$A$2:$A$4,0))-INDEX(Dim_Product!$H$2:$H$4,MATCH(F212,Dim_Product!$A$2:$A$4,0)),P212&lt;=INDEX(Dim_Product!$G$2:$G$4,MATCH(F212,Dim_Product!$A$2:$A$4,0))+INDEX(Dim_Product!$H$2:$H$4,MATCH(F212,Dim_Product!$A$2:$A$4,0))),G212-H212,G212-H212-1)</f>
        <v>31</v>
      </c>
      <c r="R212" s="4">
        <f t="shared" si="28"/>
        <v>1</v>
      </c>
      <c r="S212" s="4">
        <f>INDEX(Dim_Product!$K$2:$K$4,MATCH(F212,Dim_Product!$A$2:$A$4,0))+-0.12</f>
        <v>109.88</v>
      </c>
      <c r="T212" s="4">
        <f>IF(AND(S212&gt;=INDEX(Dim_Product!$K$2:$K$4,MATCH(F212,Dim_Product!$A$2:$A$4,0))-INDEX(Dim_Product!$L$2:$L$4,MATCH(F212,Dim_Product!$A$2:$A$4,0)),S212&lt;=INDEX(Dim_Product!$K$2:$K$4,MATCH(F212,Dim_Product!$A$2:$A$4,0))+INDEX(Dim_Product!$L$2:$L$4,MATCH(F212,Dim_Product!$A$2:$A$4,0))),G212-H212,G212-H212-1)</f>
        <v>31</v>
      </c>
      <c r="U212" s="4">
        <f t="shared" si="29"/>
        <v>1</v>
      </c>
      <c r="V212" s="4">
        <f t="shared" si="30"/>
        <v>3.125E-2</v>
      </c>
      <c r="W212" s="19">
        <f t="shared" si="31"/>
        <v>0.96875</v>
      </c>
    </row>
    <row r="213" spans="1:23" x14ac:dyDescent="0.25">
      <c r="A213" s="18" t="s">
        <v>714</v>
      </c>
      <c r="B213" s="4">
        <f>Fact_Production_Hourly!B213</f>
        <v>20260702</v>
      </c>
      <c r="C213" s="4">
        <f>Fact_Production_Hourly!C213</f>
        <v>6</v>
      </c>
      <c r="D213" s="4" t="str">
        <f>Fact_Production_Hourly!D213</f>
        <v>M2</v>
      </c>
      <c r="E213" s="4" t="str">
        <f>Fact_Production_Hourly!E213</f>
        <v>A-AM</v>
      </c>
      <c r="F213" s="4" t="str">
        <f>Fact_Production_Hourly!F213</f>
        <v>A</v>
      </c>
      <c r="G213" s="4">
        <f>INDEX(Dim_Machine!$D$2:$D$8,MATCH(D213,Dim_Machine!$A$2:$A$8,0))*2</f>
        <v>48</v>
      </c>
      <c r="H213" s="4">
        <f>ROUND(G213*0.0115,0)</f>
        <v>1</v>
      </c>
      <c r="I213" s="4">
        <f t="shared" si="24"/>
        <v>0</v>
      </c>
      <c r="J213" s="4">
        <f t="shared" si="25"/>
        <v>0</v>
      </c>
      <c r="K213" s="4">
        <f t="shared" si="26"/>
        <v>1</v>
      </c>
      <c r="L213" s="4" t="s">
        <v>498</v>
      </c>
      <c r="M213" s="4">
        <f>INDEX(Dim_Product!$C$2:$C$4,MATCH(F213,Dim_Product!$A$2:$A$4,0))+-0.41</f>
        <v>249.59</v>
      </c>
      <c r="N213" s="4">
        <f>IF(AND(M213&gt;=INDEX(Dim_Product!$C$2:$C$4,MATCH(F213,Dim_Product!$A$2:$A$4,0))-INDEX(Dim_Product!$D$2:$D$4,MATCH(F213,Dim_Product!$A$2:$A$4,0)),M213&lt;=INDEX(Dim_Product!$C$2:$C$4,MATCH(F213,Dim_Product!$A$2:$A$4,0))+INDEX(Dim_Product!$D$2:$D$4,MATCH(F213,Dim_Product!$A$2:$A$4,0))),G213-H213,G213-H213-1)</f>
        <v>47</v>
      </c>
      <c r="O213" s="4">
        <f t="shared" si="27"/>
        <v>1</v>
      </c>
      <c r="P213" s="4">
        <f>INDEX(Dim_Product!$G$2:$G$4,MATCH(F213,Dim_Product!$A$2:$A$4,0))+0.25</f>
        <v>70.25</v>
      </c>
      <c r="Q213" s="4">
        <f>IF(AND(P213&gt;=INDEX(Dim_Product!$G$2:$G$4,MATCH(F213,Dim_Product!$A$2:$A$4,0))-INDEX(Dim_Product!$H$2:$H$4,MATCH(F213,Dim_Product!$A$2:$A$4,0)),P213&lt;=INDEX(Dim_Product!$G$2:$G$4,MATCH(F213,Dim_Product!$A$2:$A$4,0))+INDEX(Dim_Product!$H$2:$H$4,MATCH(F213,Dim_Product!$A$2:$A$4,0))),G213-H213,G213-H213-1)</f>
        <v>47</v>
      </c>
      <c r="R213" s="4">
        <f t="shared" si="28"/>
        <v>1</v>
      </c>
      <c r="S213" s="4">
        <f>INDEX(Dim_Product!$K$2:$K$4,MATCH(F213,Dim_Product!$A$2:$A$4,0))+-0.33</f>
        <v>119.67</v>
      </c>
      <c r="T213" s="4">
        <f>IF(AND(S213&gt;=INDEX(Dim_Product!$K$2:$K$4,MATCH(F213,Dim_Product!$A$2:$A$4,0))-INDEX(Dim_Product!$L$2:$L$4,MATCH(F213,Dim_Product!$A$2:$A$4,0)),S213&lt;=INDEX(Dim_Product!$K$2:$K$4,MATCH(F213,Dim_Product!$A$2:$A$4,0))+INDEX(Dim_Product!$L$2:$L$4,MATCH(F213,Dim_Product!$A$2:$A$4,0))),G213-H213,G213-H213-1)</f>
        <v>47</v>
      </c>
      <c r="U213" s="4">
        <f t="shared" si="29"/>
        <v>1</v>
      </c>
      <c r="V213" s="4">
        <f t="shared" si="30"/>
        <v>2.0833333333333332E-2</v>
      </c>
      <c r="W213" s="19">
        <f t="shared" si="31"/>
        <v>0.97916666666666663</v>
      </c>
    </row>
    <row r="214" spans="1:23" x14ac:dyDescent="0.25">
      <c r="A214" s="18" t="s">
        <v>715</v>
      </c>
      <c r="B214" s="4">
        <f>Fact_Production_Hourly!B214</f>
        <v>20260702</v>
      </c>
      <c r="C214" s="4">
        <f>Fact_Production_Hourly!C214</f>
        <v>6</v>
      </c>
      <c r="D214" s="4" t="str">
        <f>Fact_Production_Hourly!D214</f>
        <v>M3</v>
      </c>
      <c r="E214" s="4" t="str">
        <f>Fact_Production_Hourly!E214</f>
        <v>A-AM</v>
      </c>
      <c r="F214" s="4" t="str">
        <f>Fact_Production_Hourly!F214</f>
        <v>A</v>
      </c>
      <c r="G214" s="4">
        <f>INDEX(Dim_Machine!$D$2:$D$8,MATCH(D214,Dim_Machine!$A$2:$A$8,0))*2</f>
        <v>24</v>
      </c>
      <c r="H214" s="4">
        <f>ROUND(G214*0.0599,0)</f>
        <v>1</v>
      </c>
      <c r="I214" s="4">
        <f t="shared" si="24"/>
        <v>0</v>
      </c>
      <c r="J214" s="4">
        <f t="shared" si="25"/>
        <v>0</v>
      </c>
      <c r="K214" s="4">
        <f t="shared" si="26"/>
        <v>1</v>
      </c>
      <c r="L214" s="4" t="s">
        <v>520</v>
      </c>
      <c r="M214" s="4">
        <f>INDEX(Dim_Product!$C$2:$C$4,MATCH(F214,Dim_Product!$A$2:$A$4,0))+-0.72</f>
        <v>249.28</v>
      </c>
      <c r="N214" s="4">
        <f>IF(AND(M214&gt;=INDEX(Dim_Product!$C$2:$C$4,MATCH(F214,Dim_Product!$A$2:$A$4,0))-INDEX(Dim_Product!$D$2:$D$4,MATCH(F214,Dim_Product!$A$2:$A$4,0)),M214&lt;=INDEX(Dim_Product!$C$2:$C$4,MATCH(F214,Dim_Product!$A$2:$A$4,0))+INDEX(Dim_Product!$D$2:$D$4,MATCH(F214,Dim_Product!$A$2:$A$4,0))),G214-H214,G214-H214-1)</f>
        <v>23</v>
      </c>
      <c r="O214" s="4">
        <f t="shared" si="27"/>
        <v>1</v>
      </c>
      <c r="P214" s="4">
        <f>INDEX(Dim_Product!$G$2:$G$4,MATCH(F214,Dim_Product!$A$2:$A$4,0))+-0.11</f>
        <v>69.89</v>
      </c>
      <c r="Q214" s="4">
        <f>IF(AND(P214&gt;=INDEX(Dim_Product!$G$2:$G$4,MATCH(F214,Dim_Product!$A$2:$A$4,0))-INDEX(Dim_Product!$H$2:$H$4,MATCH(F214,Dim_Product!$A$2:$A$4,0)),P214&lt;=INDEX(Dim_Product!$G$2:$G$4,MATCH(F214,Dim_Product!$A$2:$A$4,0))+INDEX(Dim_Product!$H$2:$H$4,MATCH(F214,Dim_Product!$A$2:$A$4,0))),G214-H214,G214-H214-1)</f>
        <v>23</v>
      </c>
      <c r="R214" s="4">
        <f t="shared" si="28"/>
        <v>1</v>
      </c>
      <c r="S214" s="4">
        <f>INDEX(Dim_Product!$K$2:$K$4,MATCH(F214,Dim_Product!$A$2:$A$4,0))+-0.04</f>
        <v>119.96</v>
      </c>
      <c r="T214" s="4">
        <f>IF(AND(S214&gt;=INDEX(Dim_Product!$K$2:$K$4,MATCH(F214,Dim_Product!$A$2:$A$4,0))-INDEX(Dim_Product!$L$2:$L$4,MATCH(F214,Dim_Product!$A$2:$A$4,0)),S214&lt;=INDEX(Dim_Product!$K$2:$K$4,MATCH(F214,Dim_Product!$A$2:$A$4,0))+INDEX(Dim_Product!$L$2:$L$4,MATCH(F214,Dim_Product!$A$2:$A$4,0))),G214-H214,G214-H214-1)</f>
        <v>23</v>
      </c>
      <c r="U214" s="4">
        <f t="shared" si="29"/>
        <v>1</v>
      </c>
      <c r="V214" s="4">
        <f t="shared" si="30"/>
        <v>4.1666666666666664E-2</v>
      </c>
      <c r="W214" s="19">
        <f t="shared" si="31"/>
        <v>0.95833333333333337</v>
      </c>
    </row>
    <row r="215" spans="1:23" x14ac:dyDescent="0.25">
      <c r="A215" s="18" t="s">
        <v>716</v>
      </c>
      <c r="B215" s="4">
        <f>Fact_Production_Hourly!B215</f>
        <v>20260702</v>
      </c>
      <c r="C215" s="4">
        <f>Fact_Production_Hourly!C215</f>
        <v>6</v>
      </c>
      <c r="D215" s="4" t="str">
        <f>Fact_Production_Hourly!D215</f>
        <v>M4</v>
      </c>
      <c r="E215" s="4" t="str">
        <f>Fact_Production_Hourly!E215</f>
        <v>A-AM</v>
      </c>
      <c r="F215" s="4" t="str">
        <f>Fact_Production_Hourly!F215</f>
        <v>A</v>
      </c>
      <c r="G215" s="4">
        <f>INDEX(Dim_Machine!$D$2:$D$8,MATCH(D215,Dim_Machine!$A$2:$A$8,0))*2</f>
        <v>48</v>
      </c>
      <c r="H215" s="4">
        <f>ROUND(G215*0.0224,0)</f>
        <v>1</v>
      </c>
      <c r="I215" s="4">
        <f t="shared" si="24"/>
        <v>0</v>
      </c>
      <c r="J215" s="4">
        <f t="shared" si="25"/>
        <v>0</v>
      </c>
      <c r="K215" s="4">
        <f t="shared" si="26"/>
        <v>1</v>
      </c>
      <c r="L215" s="4" t="s">
        <v>503</v>
      </c>
      <c r="M215" s="4">
        <f>INDEX(Dim_Product!$C$2:$C$4,MATCH(F215,Dim_Product!$A$2:$A$4,0))+-0.3</f>
        <v>249.7</v>
      </c>
      <c r="N215" s="4">
        <f>IF(AND(M215&gt;=INDEX(Dim_Product!$C$2:$C$4,MATCH(F215,Dim_Product!$A$2:$A$4,0))-INDEX(Dim_Product!$D$2:$D$4,MATCH(F215,Dim_Product!$A$2:$A$4,0)),M215&lt;=INDEX(Dim_Product!$C$2:$C$4,MATCH(F215,Dim_Product!$A$2:$A$4,0))+INDEX(Dim_Product!$D$2:$D$4,MATCH(F215,Dim_Product!$A$2:$A$4,0))),G215-H215,G215-H215-1)</f>
        <v>47</v>
      </c>
      <c r="O215" s="4">
        <f t="shared" si="27"/>
        <v>1</v>
      </c>
      <c r="P215" s="4">
        <f>INDEX(Dim_Product!$G$2:$G$4,MATCH(F215,Dim_Product!$A$2:$A$4,0))+-0.24</f>
        <v>69.760000000000005</v>
      </c>
      <c r="Q215" s="4">
        <f>IF(AND(P215&gt;=INDEX(Dim_Product!$G$2:$G$4,MATCH(F215,Dim_Product!$A$2:$A$4,0))-INDEX(Dim_Product!$H$2:$H$4,MATCH(F215,Dim_Product!$A$2:$A$4,0)),P215&lt;=INDEX(Dim_Product!$G$2:$G$4,MATCH(F215,Dim_Product!$A$2:$A$4,0))+INDEX(Dim_Product!$H$2:$H$4,MATCH(F215,Dim_Product!$A$2:$A$4,0))),G215-H215,G215-H215-1)</f>
        <v>47</v>
      </c>
      <c r="R215" s="4">
        <f t="shared" si="28"/>
        <v>1</v>
      </c>
      <c r="S215" s="4">
        <f>INDEX(Dim_Product!$K$2:$K$4,MATCH(F215,Dim_Product!$A$2:$A$4,0))+0.18</f>
        <v>120.18</v>
      </c>
      <c r="T215" s="4">
        <f>IF(AND(S215&gt;=INDEX(Dim_Product!$K$2:$K$4,MATCH(F215,Dim_Product!$A$2:$A$4,0))-INDEX(Dim_Product!$L$2:$L$4,MATCH(F215,Dim_Product!$A$2:$A$4,0)),S215&lt;=INDEX(Dim_Product!$K$2:$K$4,MATCH(F215,Dim_Product!$A$2:$A$4,0))+INDEX(Dim_Product!$L$2:$L$4,MATCH(F215,Dim_Product!$A$2:$A$4,0))),G215-H215,G215-H215-1)</f>
        <v>47</v>
      </c>
      <c r="U215" s="4">
        <f t="shared" si="29"/>
        <v>1</v>
      </c>
      <c r="V215" s="4">
        <f t="shared" si="30"/>
        <v>2.0833333333333332E-2</v>
      </c>
      <c r="W215" s="19">
        <f t="shared" si="31"/>
        <v>0.97916666666666663</v>
      </c>
    </row>
    <row r="216" spans="1:23" x14ac:dyDescent="0.25">
      <c r="A216" s="18" t="s">
        <v>717</v>
      </c>
      <c r="B216" s="4">
        <f>Fact_Production_Hourly!B216</f>
        <v>20260702</v>
      </c>
      <c r="C216" s="4">
        <f>Fact_Production_Hourly!C216</f>
        <v>6</v>
      </c>
      <c r="D216" s="4" t="str">
        <f>Fact_Production_Hourly!D216</f>
        <v>M5</v>
      </c>
      <c r="E216" s="4" t="str">
        <f>Fact_Production_Hourly!E216</f>
        <v>A-AM</v>
      </c>
      <c r="F216" s="4" t="str">
        <f>Fact_Production_Hourly!F216</f>
        <v>C</v>
      </c>
      <c r="G216" s="4">
        <f>INDEX(Dim_Machine!$D$2:$D$8,MATCH(D216,Dim_Machine!$A$2:$A$8,0))*2</f>
        <v>32</v>
      </c>
      <c r="H216" s="4">
        <f>ROUND(G216*0.0371,0)</f>
        <v>1</v>
      </c>
      <c r="I216" s="4">
        <f t="shared" si="24"/>
        <v>0</v>
      </c>
      <c r="J216" s="4">
        <f t="shared" si="25"/>
        <v>0</v>
      </c>
      <c r="K216" s="4">
        <f t="shared" si="26"/>
        <v>1</v>
      </c>
      <c r="L216" s="4" t="s">
        <v>498</v>
      </c>
      <c r="M216" s="4">
        <f>INDEX(Dim_Product!$C$2:$C$4,MATCH(F216,Dim_Product!$A$2:$A$4,0))+-0.4</f>
        <v>199.6</v>
      </c>
      <c r="N216" s="4">
        <f>IF(AND(M216&gt;=INDEX(Dim_Product!$C$2:$C$4,MATCH(F216,Dim_Product!$A$2:$A$4,0))-INDEX(Dim_Product!$D$2:$D$4,MATCH(F216,Dim_Product!$A$2:$A$4,0)),M216&lt;=INDEX(Dim_Product!$C$2:$C$4,MATCH(F216,Dim_Product!$A$2:$A$4,0))+INDEX(Dim_Product!$D$2:$D$4,MATCH(F216,Dim_Product!$A$2:$A$4,0))),G216-H216,G216-H216-1)</f>
        <v>31</v>
      </c>
      <c r="O216" s="4">
        <f t="shared" si="27"/>
        <v>1</v>
      </c>
      <c r="P216" s="4">
        <f>INDEX(Dim_Product!$G$2:$G$4,MATCH(F216,Dim_Product!$A$2:$A$4,0))+0.19</f>
        <v>65.19</v>
      </c>
      <c r="Q216" s="4">
        <f>IF(AND(P216&gt;=INDEX(Dim_Product!$G$2:$G$4,MATCH(F216,Dim_Product!$A$2:$A$4,0))-INDEX(Dim_Product!$H$2:$H$4,MATCH(F216,Dim_Product!$A$2:$A$4,0)),P216&lt;=INDEX(Dim_Product!$G$2:$G$4,MATCH(F216,Dim_Product!$A$2:$A$4,0))+INDEX(Dim_Product!$H$2:$H$4,MATCH(F216,Dim_Product!$A$2:$A$4,0))),G216-H216,G216-H216-1)</f>
        <v>31</v>
      </c>
      <c r="R216" s="4">
        <f t="shared" si="28"/>
        <v>1</v>
      </c>
      <c r="S216" s="4">
        <f>INDEX(Dim_Product!$K$2:$K$4,MATCH(F216,Dim_Product!$A$2:$A$4,0))+-0.31</f>
        <v>109.69</v>
      </c>
      <c r="T216" s="4">
        <f>IF(AND(S216&gt;=INDEX(Dim_Product!$K$2:$K$4,MATCH(F216,Dim_Product!$A$2:$A$4,0))-INDEX(Dim_Product!$L$2:$L$4,MATCH(F216,Dim_Product!$A$2:$A$4,0)),S216&lt;=INDEX(Dim_Product!$K$2:$K$4,MATCH(F216,Dim_Product!$A$2:$A$4,0))+INDEX(Dim_Product!$L$2:$L$4,MATCH(F216,Dim_Product!$A$2:$A$4,0))),G216-H216,G216-H216-1)</f>
        <v>31</v>
      </c>
      <c r="U216" s="4">
        <f t="shared" si="29"/>
        <v>1</v>
      </c>
      <c r="V216" s="4">
        <f t="shared" si="30"/>
        <v>3.125E-2</v>
      </c>
      <c r="W216" s="19">
        <f t="shared" si="31"/>
        <v>0.96875</v>
      </c>
    </row>
    <row r="217" spans="1:23" x14ac:dyDescent="0.25">
      <c r="A217" s="18" t="s">
        <v>718</v>
      </c>
      <c r="B217" s="4">
        <f>Fact_Production_Hourly!B217</f>
        <v>20260702</v>
      </c>
      <c r="C217" s="4">
        <f>Fact_Production_Hourly!C217</f>
        <v>6</v>
      </c>
      <c r="D217" s="4" t="str">
        <f>Fact_Production_Hourly!D217</f>
        <v>M6</v>
      </c>
      <c r="E217" s="4" t="str">
        <f>Fact_Production_Hourly!E217</f>
        <v>A-AM</v>
      </c>
      <c r="F217" s="4" t="str">
        <f>Fact_Production_Hourly!F217</f>
        <v>C</v>
      </c>
      <c r="G217" s="4">
        <f>INDEX(Dim_Machine!$D$2:$D$8,MATCH(D217,Dim_Machine!$A$2:$A$8,0))*2</f>
        <v>24</v>
      </c>
      <c r="H217" s="4">
        <f>ROUND(G217*0.061,0)</f>
        <v>1</v>
      </c>
      <c r="I217" s="4">
        <f t="shared" si="24"/>
        <v>0</v>
      </c>
      <c r="J217" s="4">
        <f t="shared" si="25"/>
        <v>0</v>
      </c>
      <c r="K217" s="4">
        <f t="shared" si="26"/>
        <v>1</v>
      </c>
      <c r="L217" s="4" t="s">
        <v>520</v>
      </c>
      <c r="M217" s="4">
        <f>INDEX(Dim_Product!$C$2:$C$4,MATCH(F217,Dim_Product!$A$2:$A$4,0))+-0.78</f>
        <v>199.22</v>
      </c>
      <c r="N217" s="4">
        <f>IF(AND(M217&gt;=INDEX(Dim_Product!$C$2:$C$4,MATCH(F217,Dim_Product!$A$2:$A$4,0))-INDEX(Dim_Product!$D$2:$D$4,MATCH(F217,Dim_Product!$A$2:$A$4,0)),M217&lt;=INDEX(Dim_Product!$C$2:$C$4,MATCH(F217,Dim_Product!$A$2:$A$4,0))+INDEX(Dim_Product!$D$2:$D$4,MATCH(F217,Dim_Product!$A$2:$A$4,0))),G217-H217,G217-H217-1)</f>
        <v>23</v>
      </c>
      <c r="O217" s="4">
        <f t="shared" si="27"/>
        <v>1</v>
      </c>
      <c r="P217" s="4">
        <f>INDEX(Dim_Product!$G$2:$G$4,MATCH(F217,Dim_Product!$A$2:$A$4,0))+0.18</f>
        <v>65.180000000000007</v>
      </c>
      <c r="Q217" s="4">
        <f>IF(AND(P217&gt;=INDEX(Dim_Product!$G$2:$G$4,MATCH(F217,Dim_Product!$A$2:$A$4,0))-INDEX(Dim_Product!$H$2:$H$4,MATCH(F217,Dim_Product!$A$2:$A$4,0)),P217&lt;=INDEX(Dim_Product!$G$2:$G$4,MATCH(F217,Dim_Product!$A$2:$A$4,0))+INDEX(Dim_Product!$H$2:$H$4,MATCH(F217,Dim_Product!$A$2:$A$4,0))),G217-H217,G217-H217-1)</f>
        <v>23</v>
      </c>
      <c r="R217" s="4">
        <f t="shared" si="28"/>
        <v>1</v>
      </c>
      <c r="S217" s="4">
        <f>INDEX(Dim_Product!$K$2:$K$4,MATCH(F217,Dim_Product!$A$2:$A$4,0))+0.34</f>
        <v>110.34</v>
      </c>
      <c r="T217" s="4">
        <f>IF(AND(S217&gt;=INDEX(Dim_Product!$K$2:$K$4,MATCH(F217,Dim_Product!$A$2:$A$4,0))-INDEX(Dim_Product!$L$2:$L$4,MATCH(F217,Dim_Product!$A$2:$A$4,0)),S217&lt;=INDEX(Dim_Product!$K$2:$K$4,MATCH(F217,Dim_Product!$A$2:$A$4,0))+INDEX(Dim_Product!$L$2:$L$4,MATCH(F217,Dim_Product!$A$2:$A$4,0))),G217-H217,G217-H217-1)</f>
        <v>23</v>
      </c>
      <c r="U217" s="4">
        <f t="shared" si="29"/>
        <v>1</v>
      </c>
      <c r="V217" s="4">
        <f t="shared" si="30"/>
        <v>4.1666666666666664E-2</v>
      </c>
      <c r="W217" s="19">
        <f t="shared" si="31"/>
        <v>0.95833333333333337</v>
      </c>
    </row>
    <row r="218" spans="1:23" x14ac:dyDescent="0.25">
      <c r="A218" s="18" t="s">
        <v>719</v>
      </c>
      <c r="B218" s="4">
        <f>Fact_Production_Hourly!B218</f>
        <v>20260702</v>
      </c>
      <c r="C218" s="4">
        <f>Fact_Production_Hourly!C218</f>
        <v>6</v>
      </c>
      <c r="D218" s="4" t="str">
        <f>Fact_Production_Hourly!D218</f>
        <v>M7</v>
      </c>
      <c r="E218" s="4" t="str">
        <f>Fact_Production_Hourly!E218</f>
        <v>A-AM</v>
      </c>
      <c r="F218" s="4" t="str">
        <f>Fact_Production_Hourly!F218</f>
        <v>C</v>
      </c>
      <c r="G218" s="4">
        <f>INDEX(Dim_Machine!$D$2:$D$8,MATCH(D218,Dim_Machine!$A$2:$A$8,0))*2</f>
        <v>48</v>
      </c>
      <c r="H218" s="4">
        <f>ROUND(G218*0.0544,0)</f>
        <v>3</v>
      </c>
      <c r="I218" s="4">
        <f t="shared" si="24"/>
        <v>0</v>
      </c>
      <c r="J218" s="4">
        <f t="shared" si="25"/>
        <v>1</v>
      </c>
      <c r="K218" s="4">
        <f t="shared" si="26"/>
        <v>2</v>
      </c>
      <c r="L218" s="4" t="s">
        <v>509</v>
      </c>
      <c r="M218" s="4">
        <f>INDEX(Dim_Product!$C$2:$C$4,MATCH(F218,Dim_Product!$A$2:$A$4,0))+-0.65</f>
        <v>199.35</v>
      </c>
      <c r="N218" s="4">
        <f>IF(AND(M218&gt;=INDEX(Dim_Product!$C$2:$C$4,MATCH(F218,Dim_Product!$A$2:$A$4,0))-INDEX(Dim_Product!$D$2:$D$4,MATCH(F218,Dim_Product!$A$2:$A$4,0)),M218&lt;=INDEX(Dim_Product!$C$2:$C$4,MATCH(F218,Dim_Product!$A$2:$A$4,0))+INDEX(Dim_Product!$D$2:$D$4,MATCH(F218,Dim_Product!$A$2:$A$4,0))),G218-H218,G218-H218-1)</f>
        <v>45</v>
      </c>
      <c r="O218" s="4">
        <f t="shared" si="27"/>
        <v>3</v>
      </c>
      <c r="P218" s="4">
        <f>INDEX(Dim_Product!$G$2:$G$4,MATCH(F218,Dim_Product!$A$2:$A$4,0))+-0.2</f>
        <v>64.8</v>
      </c>
      <c r="Q218" s="4">
        <f>IF(AND(P218&gt;=INDEX(Dim_Product!$G$2:$G$4,MATCH(F218,Dim_Product!$A$2:$A$4,0))-INDEX(Dim_Product!$H$2:$H$4,MATCH(F218,Dim_Product!$A$2:$A$4,0)),P218&lt;=INDEX(Dim_Product!$G$2:$G$4,MATCH(F218,Dim_Product!$A$2:$A$4,0))+INDEX(Dim_Product!$H$2:$H$4,MATCH(F218,Dim_Product!$A$2:$A$4,0))),G218-H218,G218-H218-1)</f>
        <v>45</v>
      </c>
      <c r="R218" s="4">
        <f t="shared" si="28"/>
        <v>3</v>
      </c>
      <c r="S218" s="4">
        <f>INDEX(Dim_Product!$K$2:$K$4,MATCH(F218,Dim_Product!$A$2:$A$4,0))+0.05</f>
        <v>110.05</v>
      </c>
      <c r="T218" s="4">
        <f>IF(AND(S218&gt;=INDEX(Dim_Product!$K$2:$K$4,MATCH(F218,Dim_Product!$A$2:$A$4,0))-INDEX(Dim_Product!$L$2:$L$4,MATCH(F218,Dim_Product!$A$2:$A$4,0)),S218&lt;=INDEX(Dim_Product!$K$2:$K$4,MATCH(F218,Dim_Product!$A$2:$A$4,0))+INDEX(Dim_Product!$L$2:$L$4,MATCH(F218,Dim_Product!$A$2:$A$4,0))),G218-H218,G218-H218-1)</f>
        <v>45</v>
      </c>
      <c r="U218" s="4">
        <f t="shared" si="29"/>
        <v>3</v>
      </c>
      <c r="V218" s="4">
        <f t="shared" si="30"/>
        <v>6.25E-2</v>
      </c>
      <c r="W218" s="19">
        <f t="shared" si="31"/>
        <v>0.9375</v>
      </c>
    </row>
    <row r="219" spans="1:23" x14ac:dyDescent="0.25">
      <c r="A219" s="18" t="s">
        <v>720</v>
      </c>
      <c r="B219" s="4">
        <f>Fact_Production_Hourly!B219</f>
        <v>20260702</v>
      </c>
      <c r="C219" s="4">
        <f>Fact_Production_Hourly!C219</f>
        <v>7</v>
      </c>
      <c r="D219" s="4" t="str">
        <f>Fact_Production_Hourly!D219</f>
        <v>M1</v>
      </c>
      <c r="E219" s="4" t="str">
        <f>Fact_Production_Hourly!E219</f>
        <v>A-AM</v>
      </c>
      <c r="F219" s="4" t="str">
        <f>Fact_Production_Hourly!F219</f>
        <v>C</v>
      </c>
      <c r="G219" s="4">
        <f>INDEX(Dim_Machine!$D$2:$D$8,MATCH(D219,Dim_Machine!$A$2:$A$8,0))*2</f>
        <v>32</v>
      </c>
      <c r="H219" s="4">
        <f>ROUND(G219*0.0675,0)</f>
        <v>2</v>
      </c>
      <c r="I219" s="4">
        <f t="shared" si="24"/>
        <v>0</v>
      </c>
      <c r="J219" s="4">
        <f t="shared" si="25"/>
        <v>1</v>
      </c>
      <c r="K219" s="4">
        <f t="shared" si="26"/>
        <v>1</v>
      </c>
      <c r="L219" s="4" t="s">
        <v>500</v>
      </c>
      <c r="M219" s="4">
        <f>INDEX(Dim_Product!$C$2:$C$4,MATCH(F219,Dim_Product!$A$2:$A$4,0))+0.6</f>
        <v>200.6</v>
      </c>
      <c r="N219" s="4">
        <f>IF(AND(M219&gt;=INDEX(Dim_Product!$C$2:$C$4,MATCH(F219,Dim_Product!$A$2:$A$4,0))-INDEX(Dim_Product!$D$2:$D$4,MATCH(F219,Dim_Product!$A$2:$A$4,0)),M219&lt;=INDEX(Dim_Product!$C$2:$C$4,MATCH(F219,Dim_Product!$A$2:$A$4,0))+INDEX(Dim_Product!$D$2:$D$4,MATCH(F219,Dim_Product!$A$2:$A$4,0))),G219-H219,G219-H219-1)</f>
        <v>30</v>
      </c>
      <c r="O219" s="4">
        <f t="shared" si="27"/>
        <v>2</v>
      </c>
      <c r="P219" s="4">
        <f>INDEX(Dim_Product!$G$2:$G$4,MATCH(F219,Dim_Product!$A$2:$A$4,0))+0.08</f>
        <v>65.08</v>
      </c>
      <c r="Q219" s="4">
        <f>IF(AND(P219&gt;=INDEX(Dim_Product!$G$2:$G$4,MATCH(F219,Dim_Product!$A$2:$A$4,0))-INDEX(Dim_Product!$H$2:$H$4,MATCH(F219,Dim_Product!$A$2:$A$4,0)),P219&lt;=INDEX(Dim_Product!$G$2:$G$4,MATCH(F219,Dim_Product!$A$2:$A$4,0))+INDEX(Dim_Product!$H$2:$H$4,MATCH(F219,Dim_Product!$A$2:$A$4,0))),G219-H219,G219-H219-1)</f>
        <v>30</v>
      </c>
      <c r="R219" s="4">
        <f t="shared" si="28"/>
        <v>2</v>
      </c>
      <c r="S219" s="4">
        <f>INDEX(Dim_Product!$K$2:$K$4,MATCH(F219,Dim_Product!$A$2:$A$4,0))+-0.25</f>
        <v>109.75</v>
      </c>
      <c r="T219" s="4">
        <f>IF(AND(S219&gt;=INDEX(Dim_Product!$K$2:$K$4,MATCH(F219,Dim_Product!$A$2:$A$4,0))-INDEX(Dim_Product!$L$2:$L$4,MATCH(F219,Dim_Product!$A$2:$A$4,0)),S219&lt;=INDEX(Dim_Product!$K$2:$K$4,MATCH(F219,Dim_Product!$A$2:$A$4,0))+INDEX(Dim_Product!$L$2:$L$4,MATCH(F219,Dim_Product!$A$2:$A$4,0))),G219-H219,G219-H219-1)</f>
        <v>30</v>
      </c>
      <c r="U219" s="4">
        <f t="shared" si="29"/>
        <v>2</v>
      </c>
      <c r="V219" s="4">
        <f t="shared" si="30"/>
        <v>6.25E-2</v>
      </c>
      <c r="W219" s="19">
        <f t="shared" si="31"/>
        <v>0.9375</v>
      </c>
    </row>
    <row r="220" spans="1:23" x14ac:dyDescent="0.25">
      <c r="A220" s="18" t="s">
        <v>721</v>
      </c>
      <c r="B220" s="4">
        <f>Fact_Production_Hourly!B220</f>
        <v>20260702</v>
      </c>
      <c r="C220" s="4">
        <f>Fact_Production_Hourly!C220</f>
        <v>7</v>
      </c>
      <c r="D220" s="4" t="str">
        <f>Fact_Production_Hourly!D220</f>
        <v>M2</v>
      </c>
      <c r="E220" s="4" t="str">
        <f>Fact_Production_Hourly!E220</f>
        <v>A-AM</v>
      </c>
      <c r="F220" s="4" t="str">
        <f>Fact_Production_Hourly!F220</f>
        <v>A</v>
      </c>
      <c r="G220" s="4">
        <f>INDEX(Dim_Machine!$D$2:$D$8,MATCH(D220,Dim_Machine!$A$2:$A$8,0))*2</f>
        <v>48</v>
      </c>
      <c r="H220" s="4">
        <f>ROUND(G220*0.0494,0)</f>
        <v>2</v>
      </c>
      <c r="I220" s="4">
        <f t="shared" si="24"/>
        <v>0</v>
      </c>
      <c r="J220" s="4">
        <f t="shared" si="25"/>
        <v>1</v>
      </c>
      <c r="K220" s="4">
        <f t="shared" si="26"/>
        <v>1</v>
      </c>
      <c r="L220" s="4" t="s">
        <v>503</v>
      </c>
      <c r="M220" s="4">
        <f>INDEX(Dim_Product!$C$2:$C$4,MATCH(F220,Dim_Product!$A$2:$A$4,0))+-0.94</f>
        <v>249.06</v>
      </c>
      <c r="N220" s="4">
        <f>IF(AND(M220&gt;=INDEX(Dim_Product!$C$2:$C$4,MATCH(F220,Dim_Product!$A$2:$A$4,0))-INDEX(Dim_Product!$D$2:$D$4,MATCH(F220,Dim_Product!$A$2:$A$4,0)),M220&lt;=INDEX(Dim_Product!$C$2:$C$4,MATCH(F220,Dim_Product!$A$2:$A$4,0))+INDEX(Dim_Product!$D$2:$D$4,MATCH(F220,Dim_Product!$A$2:$A$4,0))),G220-H220,G220-H220-1)</f>
        <v>46</v>
      </c>
      <c r="O220" s="4">
        <f t="shared" si="27"/>
        <v>2</v>
      </c>
      <c r="P220" s="4">
        <f>INDEX(Dim_Product!$G$2:$G$4,MATCH(F220,Dim_Product!$A$2:$A$4,0))+0.07</f>
        <v>70.069999999999993</v>
      </c>
      <c r="Q220" s="4">
        <f>IF(AND(P220&gt;=INDEX(Dim_Product!$G$2:$G$4,MATCH(F220,Dim_Product!$A$2:$A$4,0))-INDEX(Dim_Product!$H$2:$H$4,MATCH(F220,Dim_Product!$A$2:$A$4,0)),P220&lt;=INDEX(Dim_Product!$G$2:$G$4,MATCH(F220,Dim_Product!$A$2:$A$4,0))+INDEX(Dim_Product!$H$2:$H$4,MATCH(F220,Dim_Product!$A$2:$A$4,0))),G220-H220,G220-H220-1)</f>
        <v>46</v>
      </c>
      <c r="R220" s="4">
        <f t="shared" si="28"/>
        <v>2</v>
      </c>
      <c r="S220" s="4">
        <f>INDEX(Dim_Product!$K$2:$K$4,MATCH(F220,Dim_Product!$A$2:$A$4,0))+-0.24</f>
        <v>119.76</v>
      </c>
      <c r="T220" s="4">
        <f>IF(AND(S220&gt;=INDEX(Dim_Product!$K$2:$K$4,MATCH(F220,Dim_Product!$A$2:$A$4,0))-INDEX(Dim_Product!$L$2:$L$4,MATCH(F220,Dim_Product!$A$2:$A$4,0)),S220&lt;=INDEX(Dim_Product!$K$2:$K$4,MATCH(F220,Dim_Product!$A$2:$A$4,0))+INDEX(Dim_Product!$L$2:$L$4,MATCH(F220,Dim_Product!$A$2:$A$4,0))),G220-H220,G220-H220-1)</f>
        <v>46</v>
      </c>
      <c r="U220" s="4">
        <f t="shared" si="29"/>
        <v>2</v>
      </c>
      <c r="V220" s="4">
        <f t="shared" si="30"/>
        <v>4.1666666666666664E-2</v>
      </c>
      <c r="W220" s="19">
        <f t="shared" si="31"/>
        <v>0.95833333333333337</v>
      </c>
    </row>
    <row r="221" spans="1:23" x14ac:dyDescent="0.25">
      <c r="A221" s="18" t="s">
        <v>722</v>
      </c>
      <c r="B221" s="4">
        <f>Fact_Production_Hourly!B221</f>
        <v>20260702</v>
      </c>
      <c r="C221" s="4">
        <f>Fact_Production_Hourly!C221</f>
        <v>7</v>
      </c>
      <c r="D221" s="4" t="str">
        <f>Fact_Production_Hourly!D221</f>
        <v>M3</v>
      </c>
      <c r="E221" s="4" t="str">
        <f>Fact_Production_Hourly!E221</f>
        <v>A-AM</v>
      </c>
      <c r="F221" s="4" t="str">
        <f>Fact_Production_Hourly!F221</f>
        <v>A</v>
      </c>
      <c r="G221" s="4">
        <f>INDEX(Dim_Machine!$D$2:$D$8,MATCH(D221,Dim_Machine!$A$2:$A$8,0))*2</f>
        <v>24</v>
      </c>
      <c r="H221" s="4">
        <f>ROUND(G221*0.0455,0)</f>
        <v>1</v>
      </c>
      <c r="I221" s="4">
        <f t="shared" si="24"/>
        <v>0</v>
      </c>
      <c r="J221" s="4">
        <f t="shared" si="25"/>
        <v>0</v>
      </c>
      <c r="K221" s="4">
        <f t="shared" si="26"/>
        <v>1</v>
      </c>
      <c r="L221" s="4" t="s">
        <v>503</v>
      </c>
      <c r="M221" s="4">
        <f>INDEX(Dim_Product!$C$2:$C$4,MATCH(F221,Dim_Product!$A$2:$A$4,0))+-0.99</f>
        <v>249.01</v>
      </c>
      <c r="N221" s="4">
        <f>IF(AND(M221&gt;=INDEX(Dim_Product!$C$2:$C$4,MATCH(F221,Dim_Product!$A$2:$A$4,0))-INDEX(Dim_Product!$D$2:$D$4,MATCH(F221,Dim_Product!$A$2:$A$4,0)),M221&lt;=INDEX(Dim_Product!$C$2:$C$4,MATCH(F221,Dim_Product!$A$2:$A$4,0))+INDEX(Dim_Product!$D$2:$D$4,MATCH(F221,Dim_Product!$A$2:$A$4,0))),G221-H221,G221-H221-1)</f>
        <v>23</v>
      </c>
      <c r="O221" s="4">
        <f t="shared" si="27"/>
        <v>1</v>
      </c>
      <c r="P221" s="4">
        <f>INDEX(Dim_Product!$G$2:$G$4,MATCH(F221,Dim_Product!$A$2:$A$4,0))+-0.17</f>
        <v>69.83</v>
      </c>
      <c r="Q221" s="4">
        <f>IF(AND(P221&gt;=INDEX(Dim_Product!$G$2:$G$4,MATCH(F221,Dim_Product!$A$2:$A$4,0))-INDEX(Dim_Product!$H$2:$H$4,MATCH(F221,Dim_Product!$A$2:$A$4,0)),P221&lt;=INDEX(Dim_Product!$G$2:$G$4,MATCH(F221,Dim_Product!$A$2:$A$4,0))+INDEX(Dim_Product!$H$2:$H$4,MATCH(F221,Dim_Product!$A$2:$A$4,0))),G221-H221,G221-H221-1)</f>
        <v>23</v>
      </c>
      <c r="R221" s="4">
        <f t="shared" si="28"/>
        <v>1</v>
      </c>
      <c r="S221" s="4">
        <f>INDEX(Dim_Product!$K$2:$K$4,MATCH(F221,Dim_Product!$A$2:$A$4,0))+-0.18</f>
        <v>119.82</v>
      </c>
      <c r="T221" s="4">
        <f>IF(AND(S221&gt;=INDEX(Dim_Product!$K$2:$K$4,MATCH(F221,Dim_Product!$A$2:$A$4,0))-INDEX(Dim_Product!$L$2:$L$4,MATCH(F221,Dim_Product!$A$2:$A$4,0)),S221&lt;=INDEX(Dim_Product!$K$2:$K$4,MATCH(F221,Dim_Product!$A$2:$A$4,0))+INDEX(Dim_Product!$L$2:$L$4,MATCH(F221,Dim_Product!$A$2:$A$4,0))),G221-H221,G221-H221-1)</f>
        <v>23</v>
      </c>
      <c r="U221" s="4">
        <f t="shared" si="29"/>
        <v>1</v>
      </c>
      <c r="V221" s="4">
        <f t="shared" si="30"/>
        <v>4.1666666666666664E-2</v>
      </c>
      <c r="W221" s="19">
        <f t="shared" si="31"/>
        <v>0.95833333333333337</v>
      </c>
    </row>
    <row r="222" spans="1:23" x14ac:dyDescent="0.25">
      <c r="A222" s="18" t="s">
        <v>723</v>
      </c>
      <c r="B222" s="4">
        <f>Fact_Production_Hourly!B222</f>
        <v>20260702</v>
      </c>
      <c r="C222" s="4">
        <f>Fact_Production_Hourly!C222</f>
        <v>7</v>
      </c>
      <c r="D222" s="4" t="str">
        <f>Fact_Production_Hourly!D222</f>
        <v>M4</v>
      </c>
      <c r="E222" s="4" t="str">
        <f>Fact_Production_Hourly!E222</f>
        <v>A-AM</v>
      </c>
      <c r="F222" s="4" t="str">
        <f>Fact_Production_Hourly!F222</f>
        <v>A</v>
      </c>
      <c r="G222" s="4">
        <f>INDEX(Dim_Machine!$D$2:$D$8,MATCH(D222,Dim_Machine!$A$2:$A$8,0))*2</f>
        <v>48</v>
      </c>
      <c r="H222" s="4">
        <f>ROUND(G222*0.0522,0)</f>
        <v>3</v>
      </c>
      <c r="I222" s="4">
        <f t="shared" si="24"/>
        <v>0</v>
      </c>
      <c r="J222" s="4">
        <f t="shared" si="25"/>
        <v>1</v>
      </c>
      <c r="K222" s="4">
        <f t="shared" si="26"/>
        <v>2</v>
      </c>
      <c r="L222" s="4" t="s">
        <v>498</v>
      </c>
      <c r="M222" s="4">
        <f>INDEX(Dim_Product!$C$2:$C$4,MATCH(F222,Dim_Product!$A$2:$A$4,0))+0.15</f>
        <v>250.15</v>
      </c>
      <c r="N222" s="4">
        <f>IF(AND(M222&gt;=INDEX(Dim_Product!$C$2:$C$4,MATCH(F222,Dim_Product!$A$2:$A$4,0))-INDEX(Dim_Product!$D$2:$D$4,MATCH(F222,Dim_Product!$A$2:$A$4,0)),M222&lt;=INDEX(Dim_Product!$C$2:$C$4,MATCH(F222,Dim_Product!$A$2:$A$4,0))+INDEX(Dim_Product!$D$2:$D$4,MATCH(F222,Dim_Product!$A$2:$A$4,0))),G222-H222,G222-H222-1)</f>
        <v>45</v>
      </c>
      <c r="O222" s="4">
        <f t="shared" si="27"/>
        <v>3</v>
      </c>
      <c r="P222" s="4">
        <f>INDEX(Dim_Product!$G$2:$G$4,MATCH(F222,Dim_Product!$A$2:$A$4,0))+0.18</f>
        <v>70.180000000000007</v>
      </c>
      <c r="Q222" s="4">
        <f>IF(AND(P222&gt;=INDEX(Dim_Product!$G$2:$G$4,MATCH(F222,Dim_Product!$A$2:$A$4,0))-INDEX(Dim_Product!$H$2:$H$4,MATCH(F222,Dim_Product!$A$2:$A$4,0)),P222&lt;=INDEX(Dim_Product!$G$2:$G$4,MATCH(F222,Dim_Product!$A$2:$A$4,0))+INDEX(Dim_Product!$H$2:$H$4,MATCH(F222,Dim_Product!$A$2:$A$4,0))),G222-H222,G222-H222-1)</f>
        <v>45</v>
      </c>
      <c r="R222" s="4">
        <f t="shared" si="28"/>
        <v>3</v>
      </c>
      <c r="S222" s="4">
        <f>INDEX(Dim_Product!$K$2:$K$4,MATCH(F222,Dim_Product!$A$2:$A$4,0))+0.03</f>
        <v>120.03</v>
      </c>
      <c r="T222" s="4">
        <f>IF(AND(S222&gt;=INDEX(Dim_Product!$K$2:$K$4,MATCH(F222,Dim_Product!$A$2:$A$4,0))-INDEX(Dim_Product!$L$2:$L$4,MATCH(F222,Dim_Product!$A$2:$A$4,0)),S222&lt;=INDEX(Dim_Product!$K$2:$K$4,MATCH(F222,Dim_Product!$A$2:$A$4,0))+INDEX(Dim_Product!$L$2:$L$4,MATCH(F222,Dim_Product!$A$2:$A$4,0))),G222-H222,G222-H222-1)</f>
        <v>45</v>
      </c>
      <c r="U222" s="4">
        <f t="shared" si="29"/>
        <v>3</v>
      </c>
      <c r="V222" s="4">
        <f t="shared" si="30"/>
        <v>6.25E-2</v>
      </c>
      <c r="W222" s="19">
        <f t="shared" si="31"/>
        <v>0.9375</v>
      </c>
    </row>
    <row r="223" spans="1:23" x14ac:dyDescent="0.25">
      <c r="A223" s="18" t="s">
        <v>724</v>
      </c>
      <c r="B223" s="4">
        <f>Fact_Production_Hourly!B223</f>
        <v>20260702</v>
      </c>
      <c r="C223" s="4">
        <f>Fact_Production_Hourly!C223</f>
        <v>7</v>
      </c>
      <c r="D223" s="4" t="str">
        <f>Fact_Production_Hourly!D223</f>
        <v>M5</v>
      </c>
      <c r="E223" s="4" t="str">
        <f>Fact_Production_Hourly!E223</f>
        <v>A-AM</v>
      </c>
      <c r="F223" s="4" t="str">
        <f>Fact_Production_Hourly!F223</f>
        <v>C</v>
      </c>
      <c r="G223" s="4">
        <f>INDEX(Dim_Machine!$D$2:$D$8,MATCH(D223,Dim_Machine!$A$2:$A$8,0))*2</f>
        <v>32</v>
      </c>
      <c r="H223" s="4">
        <f>ROUND(G223*0.0319,0)</f>
        <v>1</v>
      </c>
      <c r="I223" s="4">
        <f t="shared" si="24"/>
        <v>0</v>
      </c>
      <c r="J223" s="4">
        <f t="shared" si="25"/>
        <v>0</v>
      </c>
      <c r="K223" s="4">
        <f t="shared" si="26"/>
        <v>1</v>
      </c>
      <c r="L223" s="4" t="s">
        <v>500</v>
      </c>
      <c r="M223" s="4">
        <f>INDEX(Dim_Product!$C$2:$C$4,MATCH(F223,Dim_Product!$A$2:$A$4,0))+-0.08</f>
        <v>199.92</v>
      </c>
      <c r="N223" s="4">
        <f>IF(AND(M223&gt;=INDEX(Dim_Product!$C$2:$C$4,MATCH(F223,Dim_Product!$A$2:$A$4,0))-INDEX(Dim_Product!$D$2:$D$4,MATCH(F223,Dim_Product!$A$2:$A$4,0)),M223&lt;=INDEX(Dim_Product!$C$2:$C$4,MATCH(F223,Dim_Product!$A$2:$A$4,0))+INDEX(Dim_Product!$D$2:$D$4,MATCH(F223,Dim_Product!$A$2:$A$4,0))),G223-H223,G223-H223-1)</f>
        <v>31</v>
      </c>
      <c r="O223" s="4">
        <f t="shared" si="27"/>
        <v>1</v>
      </c>
      <c r="P223" s="4">
        <f>INDEX(Dim_Product!$G$2:$G$4,MATCH(F223,Dim_Product!$A$2:$A$4,0))+-0.14</f>
        <v>64.86</v>
      </c>
      <c r="Q223" s="4">
        <f>IF(AND(P223&gt;=INDEX(Dim_Product!$G$2:$G$4,MATCH(F223,Dim_Product!$A$2:$A$4,0))-INDEX(Dim_Product!$H$2:$H$4,MATCH(F223,Dim_Product!$A$2:$A$4,0)),P223&lt;=INDEX(Dim_Product!$G$2:$G$4,MATCH(F223,Dim_Product!$A$2:$A$4,0))+INDEX(Dim_Product!$H$2:$H$4,MATCH(F223,Dim_Product!$A$2:$A$4,0))),G223-H223,G223-H223-1)</f>
        <v>31</v>
      </c>
      <c r="R223" s="4">
        <f t="shared" si="28"/>
        <v>1</v>
      </c>
      <c r="S223" s="4">
        <f>INDEX(Dim_Product!$K$2:$K$4,MATCH(F223,Dim_Product!$A$2:$A$4,0))+0.29</f>
        <v>110.29</v>
      </c>
      <c r="T223" s="4">
        <f>IF(AND(S223&gt;=INDEX(Dim_Product!$K$2:$K$4,MATCH(F223,Dim_Product!$A$2:$A$4,0))-INDEX(Dim_Product!$L$2:$L$4,MATCH(F223,Dim_Product!$A$2:$A$4,0)),S223&lt;=INDEX(Dim_Product!$K$2:$K$4,MATCH(F223,Dim_Product!$A$2:$A$4,0))+INDEX(Dim_Product!$L$2:$L$4,MATCH(F223,Dim_Product!$A$2:$A$4,0))),G223-H223,G223-H223-1)</f>
        <v>31</v>
      </c>
      <c r="U223" s="4">
        <f t="shared" si="29"/>
        <v>1</v>
      </c>
      <c r="V223" s="4">
        <f t="shared" si="30"/>
        <v>3.125E-2</v>
      </c>
      <c r="W223" s="19">
        <f t="shared" si="31"/>
        <v>0.96875</v>
      </c>
    </row>
    <row r="224" spans="1:23" x14ac:dyDescent="0.25">
      <c r="A224" s="18" t="s">
        <v>725</v>
      </c>
      <c r="B224" s="4">
        <f>Fact_Production_Hourly!B224</f>
        <v>20260702</v>
      </c>
      <c r="C224" s="4">
        <f>Fact_Production_Hourly!C224</f>
        <v>7</v>
      </c>
      <c r="D224" s="4" t="str">
        <f>Fact_Production_Hourly!D224</f>
        <v>M6</v>
      </c>
      <c r="E224" s="4" t="str">
        <f>Fact_Production_Hourly!E224</f>
        <v>A-AM</v>
      </c>
      <c r="F224" s="4" t="str">
        <f>Fact_Production_Hourly!F224</f>
        <v>C</v>
      </c>
      <c r="G224" s="4">
        <f>INDEX(Dim_Machine!$D$2:$D$8,MATCH(D224,Dim_Machine!$A$2:$A$8,0))*2</f>
        <v>24</v>
      </c>
      <c r="H224" s="4">
        <f>ROUND(G224*0.0417,0)</f>
        <v>1</v>
      </c>
      <c r="I224" s="4">
        <f t="shared" si="24"/>
        <v>0</v>
      </c>
      <c r="J224" s="4">
        <f t="shared" si="25"/>
        <v>0</v>
      </c>
      <c r="K224" s="4">
        <f t="shared" si="26"/>
        <v>1</v>
      </c>
      <c r="L224" s="4" t="s">
        <v>520</v>
      </c>
      <c r="M224" s="4">
        <f>INDEX(Dim_Product!$C$2:$C$4,MATCH(F224,Dim_Product!$A$2:$A$4,0))+-0.37</f>
        <v>199.63</v>
      </c>
      <c r="N224" s="4">
        <f>IF(AND(M224&gt;=INDEX(Dim_Product!$C$2:$C$4,MATCH(F224,Dim_Product!$A$2:$A$4,0))-INDEX(Dim_Product!$D$2:$D$4,MATCH(F224,Dim_Product!$A$2:$A$4,0)),M224&lt;=INDEX(Dim_Product!$C$2:$C$4,MATCH(F224,Dim_Product!$A$2:$A$4,0))+INDEX(Dim_Product!$D$2:$D$4,MATCH(F224,Dim_Product!$A$2:$A$4,0))),G224-H224,G224-H224-1)</f>
        <v>23</v>
      </c>
      <c r="O224" s="4">
        <f t="shared" si="27"/>
        <v>1</v>
      </c>
      <c r="P224" s="4">
        <f>INDEX(Dim_Product!$G$2:$G$4,MATCH(F224,Dim_Product!$A$2:$A$4,0))+-0.07</f>
        <v>64.930000000000007</v>
      </c>
      <c r="Q224" s="4">
        <f>IF(AND(P224&gt;=INDEX(Dim_Product!$G$2:$G$4,MATCH(F224,Dim_Product!$A$2:$A$4,0))-INDEX(Dim_Product!$H$2:$H$4,MATCH(F224,Dim_Product!$A$2:$A$4,0)),P224&lt;=INDEX(Dim_Product!$G$2:$G$4,MATCH(F224,Dim_Product!$A$2:$A$4,0))+INDEX(Dim_Product!$H$2:$H$4,MATCH(F224,Dim_Product!$A$2:$A$4,0))),G224-H224,G224-H224-1)</f>
        <v>23</v>
      </c>
      <c r="R224" s="4">
        <f t="shared" si="28"/>
        <v>1</v>
      </c>
      <c r="S224" s="4">
        <f>INDEX(Dim_Product!$K$2:$K$4,MATCH(F224,Dim_Product!$A$2:$A$4,0))+-0.09</f>
        <v>109.91</v>
      </c>
      <c r="T224" s="4">
        <f>IF(AND(S224&gt;=INDEX(Dim_Product!$K$2:$K$4,MATCH(F224,Dim_Product!$A$2:$A$4,0))-INDEX(Dim_Product!$L$2:$L$4,MATCH(F224,Dim_Product!$A$2:$A$4,0)),S224&lt;=INDEX(Dim_Product!$K$2:$K$4,MATCH(F224,Dim_Product!$A$2:$A$4,0))+INDEX(Dim_Product!$L$2:$L$4,MATCH(F224,Dim_Product!$A$2:$A$4,0))),G224-H224,G224-H224-1)</f>
        <v>23</v>
      </c>
      <c r="U224" s="4">
        <f t="shared" si="29"/>
        <v>1</v>
      </c>
      <c r="V224" s="4">
        <f t="shared" si="30"/>
        <v>4.1666666666666664E-2</v>
      </c>
      <c r="W224" s="19">
        <f t="shared" si="31"/>
        <v>0.95833333333333337</v>
      </c>
    </row>
    <row r="225" spans="1:23" x14ac:dyDescent="0.25">
      <c r="A225" s="18" t="s">
        <v>726</v>
      </c>
      <c r="B225" s="4">
        <f>Fact_Production_Hourly!B225</f>
        <v>20260702</v>
      </c>
      <c r="C225" s="4">
        <f>Fact_Production_Hourly!C225</f>
        <v>7</v>
      </c>
      <c r="D225" s="4" t="str">
        <f>Fact_Production_Hourly!D225</f>
        <v>M7</v>
      </c>
      <c r="E225" s="4" t="str">
        <f>Fact_Production_Hourly!E225</f>
        <v>A-AM</v>
      </c>
      <c r="F225" s="4" t="str">
        <f>Fact_Production_Hourly!F225</f>
        <v>C</v>
      </c>
      <c r="G225" s="4">
        <f>INDEX(Dim_Machine!$D$2:$D$8,MATCH(D225,Dim_Machine!$A$2:$A$8,0))*2</f>
        <v>48</v>
      </c>
      <c r="H225" s="4">
        <f>ROUND(G225*0.0169,0)</f>
        <v>1</v>
      </c>
      <c r="I225" s="4">
        <f t="shared" si="24"/>
        <v>0</v>
      </c>
      <c r="J225" s="4">
        <f t="shared" si="25"/>
        <v>0</v>
      </c>
      <c r="K225" s="4">
        <f t="shared" si="26"/>
        <v>1</v>
      </c>
      <c r="L225" s="4" t="s">
        <v>517</v>
      </c>
      <c r="M225" s="4">
        <f>INDEX(Dim_Product!$C$2:$C$4,MATCH(F225,Dim_Product!$A$2:$A$4,0))+0.69</f>
        <v>200.69</v>
      </c>
      <c r="N225" s="4">
        <f>IF(AND(M225&gt;=INDEX(Dim_Product!$C$2:$C$4,MATCH(F225,Dim_Product!$A$2:$A$4,0))-INDEX(Dim_Product!$D$2:$D$4,MATCH(F225,Dim_Product!$A$2:$A$4,0)),M225&lt;=INDEX(Dim_Product!$C$2:$C$4,MATCH(F225,Dim_Product!$A$2:$A$4,0))+INDEX(Dim_Product!$D$2:$D$4,MATCH(F225,Dim_Product!$A$2:$A$4,0))),G225-H225,G225-H225-1)</f>
        <v>47</v>
      </c>
      <c r="O225" s="4">
        <f t="shared" si="27"/>
        <v>1</v>
      </c>
      <c r="P225" s="4">
        <f>INDEX(Dim_Product!$G$2:$G$4,MATCH(F225,Dim_Product!$A$2:$A$4,0))+0.07</f>
        <v>65.069999999999993</v>
      </c>
      <c r="Q225" s="4">
        <f>IF(AND(P225&gt;=INDEX(Dim_Product!$G$2:$G$4,MATCH(F225,Dim_Product!$A$2:$A$4,0))-INDEX(Dim_Product!$H$2:$H$4,MATCH(F225,Dim_Product!$A$2:$A$4,0)),P225&lt;=INDEX(Dim_Product!$G$2:$G$4,MATCH(F225,Dim_Product!$A$2:$A$4,0))+INDEX(Dim_Product!$H$2:$H$4,MATCH(F225,Dim_Product!$A$2:$A$4,0))),G225-H225,G225-H225-1)</f>
        <v>47</v>
      </c>
      <c r="R225" s="4">
        <f t="shared" si="28"/>
        <v>1</v>
      </c>
      <c r="S225" s="4">
        <f>INDEX(Dim_Product!$K$2:$K$4,MATCH(F225,Dim_Product!$A$2:$A$4,0))+0.25</f>
        <v>110.25</v>
      </c>
      <c r="T225" s="4">
        <f>IF(AND(S225&gt;=INDEX(Dim_Product!$K$2:$K$4,MATCH(F225,Dim_Product!$A$2:$A$4,0))-INDEX(Dim_Product!$L$2:$L$4,MATCH(F225,Dim_Product!$A$2:$A$4,0)),S225&lt;=INDEX(Dim_Product!$K$2:$K$4,MATCH(F225,Dim_Product!$A$2:$A$4,0))+INDEX(Dim_Product!$L$2:$L$4,MATCH(F225,Dim_Product!$A$2:$A$4,0))),G225-H225,G225-H225-1)</f>
        <v>47</v>
      </c>
      <c r="U225" s="4">
        <f t="shared" si="29"/>
        <v>1</v>
      </c>
      <c r="V225" s="4">
        <f t="shared" si="30"/>
        <v>2.0833333333333332E-2</v>
      </c>
      <c r="W225" s="19">
        <f t="shared" si="31"/>
        <v>0.97916666666666663</v>
      </c>
    </row>
    <row r="226" spans="1:23" x14ac:dyDescent="0.25">
      <c r="A226" s="18" t="s">
        <v>727</v>
      </c>
      <c r="B226" s="4">
        <f>Fact_Production_Hourly!B226</f>
        <v>20260702</v>
      </c>
      <c r="C226" s="4">
        <f>Fact_Production_Hourly!C226</f>
        <v>8</v>
      </c>
      <c r="D226" s="4" t="str">
        <f>Fact_Production_Hourly!D226</f>
        <v>M1</v>
      </c>
      <c r="E226" s="4" t="str">
        <f>Fact_Production_Hourly!E226</f>
        <v>A-AM</v>
      </c>
      <c r="F226" s="4" t="str">
        <f>Fact_Production_Hourly!F226</f>
        <v>C</v>
      </c>
      <c r="G226" s="4">
        <f>INDEX(Dim_Machine!$D$2:$D$8,MATCH(D226,Dim_Machine!$A$2:$A$8,0))*2</f>
        <v>32</v>
      </c>
      <c r="H226" s="4">
        <f>ROUND(G226*0.0524,0)</f>
        <v>2</v>
      </c>
      <c r="I226" s="4">
        <f t="shared" si="24"/>
        <v>0</v>
      </c>
      <c r="J226" s="4">
        <f t="shared" si="25"/>
        <v>1</v>
      </c>
      <c r="K226" s="4">
        <f t="shared" si="26"/>
        <v>1</v>
      </c>
      <c r="L226" s="4" t="s">
        <v>517</v>
      </c>
      <c r="M226" s="4">
        <f>INDEX(Dim_Product!$C$2:$C$4,MATCH(F226,Dim_Product!$A$2:$A$4,0))+0.84</f>
        <v>200.84</v>
      </c>
      <c r="N226" s="4">
        <f>IF(AND(M226&gt;=INDEX(Dim_Product!$C$2:$C$4,MATCH(F226,Dim_Product!$A$2:$A$4,0))-INDEX(Dim_Product!$D$2:$D$4,MATCH(F226,Dim_Product!$A$2:$A$4,0)),M226&lt;=INDEX(Dim_Product!$C$2:$C$4,MATCH(F226,Dim_Product!$A$2:$A$4,0))+INDEX(Dim_Product!$D$2:$D$4,MATCH(F226,Dim_Product!$A$2:$A$4,0))),G226-H226,G226-H226-1)</f>
        <v>30</v>
      </c>
      <c r="O226" s="4">
        <f t="shared" si="27"/>
        <v>2</v>
      </c>
      <c r="P226" s="4">
        <f>INDEX(Dim_Product!$G$2:$G$4,MATCH(F226,Dim_Product!$A$2:$A$4,0))+0.05</f>
        <v>65.05</v>
      </c>
      <c r="Q226" s="4">
        <f>IF(AND(P226&gt;=INDEX(Dim_Product!$G$2:$G$4,MATCH(F226,Dim_Product!$A$2:$A$4,0))-INDEX(Dim_Product!$H$2:$H$4,MATCH(F226,Dim_Product!$A$2:$A$4,0)),P226&lt;=INDEX(Dim_Product!$G$2:$G$4,MATCH(F226,Dim_Product!$A$2:$A$4,0))+INDEX(Dim_Product!$H$2:$H$4,MATCH(F226,Dim_Product!$A$2:$A$4,0))),G226-H226,G226-H226-1)</f>
        <v>30</v>
      </c>
      <c r="R226" s="4">
        <f t="shared" si="28"/>
        <v>2</v>
      </c>
      <c r="S226" s="4">
        <f>INDEX(Dim_Product!$K$2:$K$4,MATCH(F226,Dim_Product!$A$2:$A$4,0))+0.14</f>
        <v>110.14</v>
      </c>
      <c r="T226" s="4">
        <f>IF(AND(S226&gt;=INDEX(Dim_Product!$K$2:$K$4,MATCH(F226,Dim_Product!$A$2:$A$4,0))-INDEX(Dim_Product!$L$2:$L$4,MATCH(F226,Dim_Product!$A$2:$A$4,0)),S226&lt;=INDEX(Dim_Product!$K$2:$K$4,MATCH(F226,Dim_Product!$A$2:$A$4,0))+INDEX(Dim_Product!$L$2:$L$4,MATCH(F226,Dim_Product!$A$2:$A$4,0))),G226-H226,G226-H226-1)</f>
        <v>30</v>
      </c>
      <c r="U226" s="4">
        <f t="shared" si="29"/>
        <v>2</v>
      </c>
      <c r="V226" s="4">
        <f t="shared" si="30"/>
        <v>6.25E-2</v>
      </c>
      <c r="W226" s="19">
        <f t="shared" si="31"/>
        <v>0.9375</v>
      </c>
    </row>
    <row r="227" spans="1:23" x14ac:dyDescent="0.25">
      <c r="A227" s="18" t="s">
        <v>728</v>
      </c>
      <c r="B227" s="4">
        <f>Fact_Production_Hourly!B227</f>
        <v>20260702</v>
      </c>
      <c r="C227" s="4">
        <f>Fact_Production_Hourly!C227</f>
        <v>8</v>
      </c>
      <c r="D227" s="4" t="str">
        <f>Fact_Production_Hourly!D227</f>
        <v>M2</v>
      </c>
      <c r="E227" s="4" t="str">
        <f>Fact_Production_Hourly!E227</f>
        <v>A-AM</v>
      </c>
      <c r="F227" s="4" t="str">
        <f>Fact_Production_Hourly!F227</f>
        <v>A</v>
      </c>
      <c r="G227" s="4">
        <f>INDEX(Dim_Machine!$D$2:$D$8,MATCH(D227,Dim_Machine!$A$2:$A$8,0))*2</f>
        <v>48</v>
      </c>
      <c r="H227" s="4">
        <f>ROUND(G227*0.0288,0)</f>
        <v>1</v>
      </c>
      <c r="I227" s="4">
        <f t="shared" si="24"/>
        <v>0</v>
      </c>
      <c r="J227" s="4">
        <f t="shared" si="25"/>
        <v>0</v>
      </c>
      <c r="K227" s="4">
        <f t="shared" si="26"/>
        <v>1</v>
      </c>
      <c r="L227" s="4" t="s">
        <v>500</v>
      </c>
      <c r="M227" s="4">
        <f>INDEX(Dim_Product!$C$2:$C$4,MATCH(F227,Dim_Product!$A$2:$A$4,0))+-0.39</f>
        <v>249.61</v>
      </c>
      <c r="N227" s="4">
        <f>IF(AND(M227&gt;=INDEX(Dim_Product!$C$2:$C$4,MATCH(F227,Dim_Product!$A$2:$A$4,0))-INDEX(Dim_Product!$D$2:$D$4,MATCH(F227,Dim_Product!$A$2:$A$4,0)),M227&lt;=INDEX(Dim_Product!$C$2:$C$4,MATCH(F227,Dim_Product!$A$2:$A$4,0))+INDEX(Dim_Product!$D$2:$D$4,MATCH(F227,Dim_Product!$A$2:$A$4,0))),G227-H227,G227-H227-1)</f>
        <v>47</v>
      </c>
      <c r="O227" s="4">
        <f t="shared" si="27"/>
        <v>1</v>
      </c>
      <c r="P227" s="4">
        <f>INDEX(Dim_Product!$G$2:$G$4,MATCH(F227,Dim_Product!$A$2:$A$4,0))+-0.19</f>
        <v>69.81</v>
      </c>
      <c r="Q227" s="4">
        <f>IF(AND(P227&gt;=INDEX(Dim_Product!$G$2:$G$4,MATCH(F227,Dim_Product!$A$2:$A$4,0))-INDEX(Dim_Product!$H$2:$H$4,MATCH(F227,Dim_Product!$A$2:$A$4,0)),P227&lt;=INDEX(Dim_Product!$G$2:$G$4,MATCH(F227,Dim_Product!$A$2:$A$4,0))+INDEX(Dim_Product!$H$2:$H$4,MATCH(F227,Dim_Product!$A$2:$A$4,0))),G227-H227,G227-H227-1)</f>
        <v>47</v>
      </c>
      <c r="R227" s="4">
        <f t="shared" si="28"/>
        <v>1</v>
      </c>
      <c r="S227" s="4">
        <f>INDEX(Dim_Product!$K$2:$K$4,MATCH(F227,Dim_Product!$A$2:$A$4,0))+0.15</f>
        <v>120.15</v>
      </c>
      <c r="T227" s="4">
        <f>IF(AND(S227&gt;=INDEX(Dim_Product!$K$2:$K$4,MATCH(F227,Dim_Product!$A$2:$A$4,0))-INDEX(Dim_Product!$L$2:$L$4,MATCH(F227,Dim_Product!$A$2:$A$4,0)),S227&lt;=INDEX(Dim_Product!$K$2:$K$4,MATCH(F227,Dim_Product!$A$2:$A$4,0))+INDEX(Dim_Product!$L$2:$L$4,MATCH(F227,Dim_Product!$A$2:$A$4,0))),G227-H227,G227-H227-1)</f>
        <v>47</v>
      </c>
      <c r="U227" s="4">
        <f t="shared" si="29"/>
        <v>1</v>
      </c>
      <c r="V227" s="4">
        <f t="shared" si="30"/>
        <v>2.0833333333333332E-2</v>
      </c>
      <c r="W227" s="19">
        <f t="shared" si="31"/>
        <v>0.97916666666666663</v>
      </c>
    </row>
    <row r="228" spans="1:23" x14ac:dyDescent="0.25">
      <c r="A228" s="18" t="s">
        <v>729</v>
      </c>
      <c r="B228" s="4">
        <f>Fact_Production_Hourly!B228</f>
        <v>20260702</v>
      </c>
      <c r="C228" s="4">
        <f>Fact_Production_Hourly!C228</f>
        <v>8</v>
      </c>
      <c r="D228" s="4" t="str">
        <f>Fact_Production_Hourly!D228</f>
        <v>M3</v>
      </c>
      <c r="E228" s="4" t="str">
        <f>Fact_Production_Hourly!E228</f>
        <v>A-AM</v>
      </c>
      <c r="F228" s="4" t="str">
        <f>Fact_Production_Hourly!F228</f>
        <v>A</v>
      </c>
      <c r="G228" s="4">
        <f>INDEX(Dim_Machine!$D$2:$D$8,MATCH(D228,Dim_Machine!$A$2:$A$8,0))*2</f>
        <v>24</v>
      </c>
      <c r="H228" s="4">
        <f>ROUND(G228*0.0406,0)</f>
        <v>1</v>
      </c>
      <c r="I228" s="4">
        <f t="shared" si="24"/>
        <v>0</v>
      </c>
      <c r="J228" s="4">
        <f t="shared" si="25"/>
        <v>0</v>
      </c>
      <c r="K228" s="4">
        <f t="shared" si="26"/>
        <v>1</v>
      </c>
      <c r="L228" s="4" t="s">
        <v>503</v>
      </c>
      <c r="M228" s="4">
        <f>INDEX(Dim_Product!$C$2:$C$4,MATCH(F228,Dim_Product!$A$2:$A$4,0))+0.19</f>
        <v>250.19</v>
      </c>
      <c r="N228" s="4">
        <f>IF(AND(M228&gt;=INDEX(Dim_Product!$C$2:$C$4,MATCH(F228,Dim_Product!$A$2:$A$4,0))-INDEX(Dim_Product!$D$2:$D$4,MATCH(F228,Dim_Product!$A$2:$A$4,0)),M228&lt;=INDEX(Dim_Product!$C$2:$C$4,MATCH(F228,Dim_Product!$A$2:$A$4,0))+INDEX(Dim_Product!$D$2:$D$4,MATCH(F228,Dim_Product!$A$2:$A$4,0))),G228-H228,G228-H228-1)</f>
        <v>23</v>
      </c>
      <c r="O228" s="4">
        <f t="shared" si="27"/>
        <v>1</v>
      </c>
      <c r="P228" s="4">
        <f>INDEX(Dim_Product!$G$2:$G$4,MATCH(F228,Dim_Product!$A$2:$A$4,0))+0.04</f>
        <v>70.040000000000006</v>
      </c>
      <c r="Q228" s="4">
        <f>IF(AND(P228&gt;=INDEX(Dim_Product!$G$2:$G$4,MATCH(F228,Dim_Product!$A$2:$A$4,0))-INDEX(Dim_Product!$H$2:$H$4,MATCH(F228,Dim_Product!$A$2:$A$4,0)),P228&lt;=INDEX(Dim_Product!$G$2:$G$4,MATCH(F228,Dim_Product!$A$2:$A$4,0))+INDEX(Dim_Product!$H$2:$H$4,MATCH(F228,Dim_Product!$A$2:$A$4,0))),G228-H228,G228-H228-1)</f>
        <v>23</v>
      </c>
      <c r="R228" s="4">
        <f t="shared" si="28"/>
        <v>1</v>
      </c>
      <c r="S228" s="4">
        <f>INDEX(Dim_Product!$K$2:$K$4,MATCH(F228,Dim_Product!$A$2:$A$4,0))+-0.06</f>
        <v>119.94</v>
      </c>
      <c r="T228" s="4">
        <f>IF(AND(S228&gt;=INDEX(Dim_Product!$K$2:$K$4,MATCH(F228,Dim_Product!$A$2:$A$4,0))-INDEX(Dim_Product!$L$2:$L$4,MATCH(F228,Dim_Product!$A$2:$A$4,0)),S228&lt;=INDEX(Dim_Product!$K$2:$K$4,MATCH(F228,Dim_Product!$A$2:$A$4,0))+INDEX(Dim_Product!$L$2:$L$4,MATCH(F228,Dim_Product!$A$2:$A$4,0))),G228-H228,G228-H228-1)</f>
        <v>23</v>
      </c>
      <c r="U228" s="4">
        <f t="shared" si="29"/>
        <v>1</v>
      </c>
      <c r="V228" s="4">
        <f t="shared" si="30"/>
        <v>4.1666666666666664E-2</v>
      </c>
      <c r="W228" s="19">
        <f t="shared" si="31"/>
        <v>0.95833333333333337</v>
      </c>
    </row>
    <row r="229" spans="1:23" x14ac:dyDescent="0.25">
      <c r="A229" s="18" t="s">
        <v>730</v>
      </c>
      <c r="B229" s="4">
        <f>Fact_Production_Hourly!B229</f>
        <v>20260702</v>
      </c>
      <c r="C229" s="4">
        <f>Fact_Production_Hourly!C229</f>
        <v>8</v>
      </c>
      <c r="D229" s="4" t="str">
        <f>Fact_Production_Hourly!D229</f>
        <v>M4</v>
      </c>
      <c r="E229" s="4" t="str">
        <f>Fact_Production_Hourly!E229</f>
        <v>A-AM</v>
      </c>
      <c r="F229" s="4" t="str">
        <f>Fact_Production_Hourly!F229</f>
        <v>A</v>
      </c>
      <c r="G229" s="4">
        <f>INDEX(Dim_Machine!$D$2:$D$8,MATCH(D229,Dim_Machine!$A$2:$A$8,0))*2</f>
        <v>48</v>
      </c>
      <c r="H229" s="4">
        <f>ROUND(G229*0.0392,0)</f>
        <v>2</v>
      </c>
      <c r="I229" s="4">
        <f t="shared" si="24"/>
        <v>0</v>
      </c>
      <c r="J229" s="4">
        <f t="shared" si="25"/>
        <v>1</v>
      </c>
      <c r="K229" s="4">
        <f t="shared" si="26"/>
        <v>1</v>
      </c>
      <c r="L229" s="4" t="s">
        <v>509</v>
      </c>
      <c r="M229" s="4">
        <f>INDEX(Dim_Product!$C$2:$C$4,MATCH(F229,Dim_Product!$A$2:$A$4,0))+0.39</f>
        <v>250.39</v>
      </c>
      <c r="N229" s="4">
        <f>IF(AND(M229&gt;=INDEX(Dim_Product!$C$2:$C$4,MATCH(F229,Dim_Product!$A$2:$A$4,0))-INDEX(Dim_Product!$D$2:$D$4,MATCH(F229,Dim_Product!$A$2:$A$4,0)),M229&lt;=INDEX(Dim_Product!$C$2:$C$4,MATCH(F229,Dim_Product!$A$2:$A$4,0))+INDEX(Dim_Product!$D$2:$D$4,MATCH(F229,Dim_Product!$A$2:$A$4,0))),G229-H229,G229-H229-1)</f>
        <v>46</v>
      </c>
      <c r="O229" s="4">
        <f t="shared" si="27"/>
        <v>2</v>
      </c>
      <c r="P229" s="4">
        <f>INDEX(Dim_Product!$G$2:$G$4,MATCH(F229,Dim_Product!$A$2:$A$4,0))+0.09</f>
        <v>70.09</v>
      </c>
      <c r="Q229" s="4">
        <f>IF(AND(P229&gt;=INDEX(Dim_Product!$G$2:$G$4,MATCH(F229,Dim_Product!$A$2:$A$4,0))-INDEX(Dim_Product!$H$2:$H$4,MATCH(F229,Dim_Product!$A$2:$A$4,0)),P229&lt;=INDEX(Dim_Product!$G$2:$G$4,MATCH(F229,Dim_Product!$A$2:$A$4,0))+INDEX(Dim_Product!$H$2:$H$4,MATCH(F229,Dim_Product!$A$2:$A$4,0))),G229-H229,G229-H229-1)</f>
        <v>46</v>
      </c>
      <c r="R229" s="4">
        <f t="shared" si="28"/>
        <v>2</v>
      </c>
      <c r="S229" s="4">
        <f>INDEX(Dim_Product!$K$2:$K$4,MATCH(F229,Dim_Product!$A$2:$A$4,0))+0.4</f>
        <v>120.4</v>
      </c>
      <c r="T229" s="4">
        <f>IF(AND(S229&gt;=INDEX(Dim_Product!$K$2:$K$4,MATCH(F229,Dim_Product!$A$2:$A$4,0))-INDEX(Dim_Product!$L$2:$L$4,MATCH(F229,Dim_Product!$A$2:$A$4,0)),S229&lt;=INDEX(Dim_Product!$K$2:$K$4,MATCH(F229,Dim_Product!$A$2:$A$4,0))+INDEX(Dim_Product!$L$2:$L$4,MATCH(F229,Dim_Product!$A$2:$A$4,0))),G229-H229,G229-H229-1)</f>
        <v>46</v>
      </c>
      <c r="U229" s="4">
        <f t="shared" si="29"/>
        <v>2</v>
      </c>
      <c r="V229" s="4">
        <f t="shared" si="30"/>
        <v>4.1666666666666664E-2</v>
      </c>
      <c r="W229" s="19">
        <f t="shared" si="31"/>
        <v>0.95833333333333337</v>
      </c>
    </row>
    <row r="230" spans="1:23" x14ac:dyDescent="0.25">
      <c r="A230" s="18" t="s">
        <v>731</v>
      </c>
      <c r="B230" s="4">
        <f>Fact_Production_Hourly!B230</f>
        <v>20260702</v>
      </c>
      <c r="C230" s="4">
        <f>Fact_Production_Hourly!C230</f>
        <v>8</v>
      </c>
      <c r="D230" s="4" t="str">
        <f>Fact_Production_Hourly!D230</f>
        <v>M5</v>
      </c>
      <c r="E230" s="4" t="str">
        <f>Fact_Production_Hourly!E230</f>
        <v>A-AM</v>
      </c>
      <c r="F230" s="4" t="str">
        <f>Fact_Production_Hourly!F230</f>
        <v>C</v>
      </c>
      <c r="G230" s="4">
        <f>INDEX(Dim_Machine!$D$2:$D$8,MATCH(D230,Dim_Machine!$A$2:$A$8,0))*2</f>
        <v>32</v>
      </c>
      <c r="H230" s="4">
        <f>ROUND(G230*0.0433,0)</f>
        <v>1</v>
      </c>
      <c r="I230" s="4">
        <f t="shared" si="24"/>
        <v>0</v>
      </c>
      <c r="J230" s="4">
        <f t="shared" si="25"/>
        <v>0</v>
      </c>
      <c r="K230" s="4">
        <f t="shared" si="26"/>
        <v>1</v>
      </c>
      <c r="L230" s="4" t="s">
        <v>503</v>
      </c>
      <c r="M230" s="4">
        <f>INDEX(Dim_Product!$C$2:$C$4,MATCH(F230,Dim_Product!$A$2:$A$4,0))+-0.42</f>
        <v>199.58</v>
      </c>
      <c r="N230" s="4">
        <f>IF(AND(M230&gt;=INDEX(Dim_Product!$C$2:$C$4,MATCH(F230,Dim_Product!$A$2:$A$4,0))-INDEX(Dim_Product!$D$2:$D$4,MATCH(F230,Dim_Product!$A$2:$A$4,0)),M230&lt;=INDEX(Dim_Product!$C$2:$C$4,MATCH(F230,Dim_Product!$A$2:$A$4,0))+INDEX(Dim_Product!$D$2:$D$4,MATCH(F230,Dim_Product!$A$2:$A$4,0))),G230-H230,G230-H230-1)</f>
        <v>31</v>
      </c>
      <c r="O230" s="4">
        <f t="shared" si="27"/>
        <v>1</v>
      </c>
      <c r="P230" s="4">
        <f>INDEX(Dim_Product!$G$2:$G$4,MATCH(F230,Dim_Product!$A$2:$A$4,0))+-0.19</f>
        <v>64.81</v>
      </c>
      <c r="Q230" s="4">
        <f>IF(AND(P230&gt;=INDEX(Dim_Product!$G$2:$G$4,MATCH(F230,Dim_Product!$A$2:$A$4,0))-INDEX(Dim_Product!$H$2:$H$4,MATCH(F230,Dim_Product!$A$2:$A$4,0)),P230&lt;=INDEX(Dim_Product!$G$2:$G$4,MATCH(F230,Dim_Product!$A$2:$A$4,0))+INDEX(Dim_Product!$H$2:$H$4,MATCH(F230,Dim_Product!$A$2:$A$4,0))),G230-H230,G230-H230-1)</f>
        <v>31</v>
      </c>
      <c r="R230" s="4">
        <f t="shared" si="28"/>
        <v>1</v>
      </c>
      <c r="S230" s="4">
        <f>INDEX(Dim_Product!$K$2:$K$4,MATCH(F230,Dim_Product!$A$2:$A$4,0))+0.27</f>
        <v>110.27</v>
      </c>
      <c r="T230" s="4">
        <f>IF(AND(S230&gt;=INDEX(Dim_Product!$K$2:$K$4,MATCH(F230,Dim_Product!$A$2:$A$4,0))-INDEX(Dim_Product!$L$2:$L$4,MATCH(F230,Dim_Product!$A$2:$A$4,0)),S230&lt;=INDEX(Dim_Product!$K$2:$K$4,MATCH(F230,Dim_Product!$A$2:$A$4,0))+INDEX(Dim_Product!$L$2:$L$4,MATCH(F230,Dim_Product!$A$2:$A$4,0))),G230-H230,G230-H230-1)</f>
        <v>31</v>
      </c>
      <c r="U230" s="4">
        <f t="shared" si="29"/>
        <v>1</v>
      </c>
      <c r="V230" s="4">
        <f t="shared" si="30"/>
        <v>3.125E-2</v>
      </c>
      <c r="W230" s="19">
        <f t="shared" si="31"/>
        <v>0.96875</v>
      </c>
    </row>
    <row r="231" spans="1:23" x14ac:dyDescent="0.25">
      <c r="A231" s="18" t="s">
        <v>732</v>
      </c>
      <c r="B231" s="4">
        <f>Fact_Production_Hourly!B231</f>
        <v>20260702</v>
      </c>
      <c r="C231" s="4">
        <f>Fact_Production_Hourly!C231</f>
        <v>8</v>
      </c>
      <c r="D231" s="4" t="str">
        <f>Fact_Production_Hourly!D231</f>
        <v>M6</v>
      </c>
      <c r="E231" s="4" t="str">
        <f>Fact_Production_Hourly!E231</f>
        <v>A-AM</v>
      </c>
      <c r="F231" s="4" t="str">
        <f>Fact_Production_Hourly!F231</f>
        <v>C</v>
      </c>
      <c r="G231" s="4">
        <f>INDEX(Dim_Machine!$D$2:$D$8,MATCH(D231,Dim_Machine!$A$2:$A$8,0))*2</f>
        <v>24</v>
      </c>
      <c r="H231" s="4">
        <f>ROUND(G231*0.0472,0)</f>
        <v>1</v>
      </c>
      <c r="I231" s="4">
        <f t="shared" si="24"/>
        <v>0</v>
      </c>
      <c r="J231" s="4">
        <f t="shared" si="25"/>
        <v>0</v>
      </c>
      <c r="K231" s="4">
        <f t="shared" si="26"/>
        <v>1</v>
      </c>
      <c r="L231" s="4" t="s">
        <v>517</v>
      </c>
      <c r="M231" s="4">
        <f>INDEX(Dim_Product!$C$2:$C$4,MATCH(F231,Dim_Product!$A$2:$A$4,0))+0.9</f>
        <v>200.9</v>
      </c>
      <c r="N231" s="4">
        <f>IF(AND(M231&gt;=INDEX(Dim_Product!$C$2:$C$4,MATCH(F231,Dim_Product!$A$2:$A$4,0))-INDEX(Dim_Product!$D$2:$D$4,MATCH(F231,Dim_Product!$A$2:$A$4,0)),M231&lt;=INDEX(Dim_Product!$C$2:$C$4,MATCH(F231,Dim_Product!$A$2:$A$4,0))+INDEX(Dim_Product!$D$2:$D$4,MATCH(F231,Dim_Product!$A$2:$A$4,0))),G231-H231,G231-H231-1)</f>
        <v>23</v>
      </c>
      <c r="O231" s="4">
        <f t="shared" si="27"/>
        <v>1</v>
      </c>
      <c r="P231" s="4">
        <f>INDEX(Dim_Product!$G$2:$G$4,MATCH(F231,Dim_Product!$A$2:$A$4,0))+-0.01</f>
        <v>64.989999999999995</v>
      </c>
      <c r="Q231" s="4">
        <f>IF(AND(P231&gt;=INDEX(Dim_Product!$G$2:$G$4,MATCH(F231,Dim_Product!$A$2:$A$4,0))-INDEX(Dim_Product!$H$2:$H$4,MATCH(F231,Dim_Product!$A$2:$A$4,0)),P231&lt;=INDEX(Dim_Product!$G$2:$G$4,MATCH(F231,Dim_Product!$A$2:$A$4,0))+INDEX(Dim_Product!$H$2:$H$4,MATCH(F231,Dim_Product!$A$2:$A$4,0))),G231-H231,G231-H231-1)</f>
        <v>23</v>
      </c>
      <c r="R231" s="4">
        <f t="shared" si="28"/>
        <v>1</v>
      </c>
      <c r="S231" s="4">
        <f>INDEX(Dim_Product!$K$2:$K$4,MATCH(F231,Dim_Product!$A$2:$A$4,0))+-0.24</f>
        <v>109.76</v>
      </c>
      <c r="T231" s="4">
        <f>IF(AND(S231&gt;=INDEX(Dim_Product!$K$2:$K$4,MATCH(F231,Dim_Product!$A$2:$A$4,0))-INDEX(Dim_Product!$L$2:$L$4,MATCH(F231,Dim_Product!$A$2:$A$4,0)),S231&lt;=INDEX(Dim_Product!$K$2:$K$4,MATCH(F231,Dim_Product!$A$2:$A$4,0))+INDEX(Dim_Product!$L$2:$L$4,MATCH(F231,Dim_Product!$A$2:$A$4,0))),G231-H231,G231-H231-1)</f>
        <v>23</v>
      </c>
      <c r="U231" s="4">
        <f t="shared" si="29"/>
        <v>1</v>
      </c>
      <c r="V231" s="4">
        <f t="shared" si="30"/>
        <v>4.1666666666666664E-2</v>
      </c>
      <c r="W231" s="19">
        <f t="shared" si="31"/>
        <v>0.95833333333333337</v>
      </c>
    </row>
    <row r="232" spans="1:23" x14ac:dyDescent="0.25">
      <c r="A232" s="18" t="s">
        <v>733</v>
      </c>
      <c r="B232" s="4">
        <f>Fact_Production_Hourly!B232</f>
        <v>20260702</v>
      </c>
      <c r="C232" s="4">
        <f>Fact_Production_Hourly!C232</f>
        <v>8</v>
      </c>
      <c r="D232" s="4" t="str">
        <f>Fact_Production_Hourly!D232</f>
        <v>M7</v>
      </c>
      <c r="E232" s="4" t="str">
        <f>Fact_Production_Hourly!E232</f>
        <v>A-AM</v>
      </c>
      <c r="F232" s="4" t="str">
        <f>Fact_Production_Hourly!F232</f>
        <v>C</v>
      </c>
      <c r="G232" s="4">
        <f>INDEX(Dim_Machine!$D$2:$D$8,MATCH(D232,Dim_Machine!$A$2:$A$8,0))*2</f>
        <v>48</v>
      </c>
      <c r="H232" s="4">
        <f>ROUND(G232*0.033,0)</f>
        <v>2</v>
      </c>
      <c r="I232" s="4">
        <f t="shared" si="24"/>
        <v>0</v>
      </c>
      <c r="J232" s="4">
        <f t="shared" si="25"/>
        <v>1</v>
      </c>
      <c r="K232" s="4">
        <f t="shared" si="26"/>
        <v>1</v>
      </c>
      <c r="L232" s="4" t="s">
        <v>509</v>
      </c>
      <c r="M232" s="4">
        <f>INDEX(Dim_Product!$C$2:$C$4,MATCH(F232,Dim_Product!$A$2:$A$4,0))+0.01</f>
        <v>200.01</v>
      </c>
      <c r="N232" s="4">
        <f>IF(AND(M232&gt;=INDEX(Dim_Product!$C$2:$C$4,MATCH(F232,Dim_Product!$A$2:$A$4,0))-INDEX(Dim_Product!$D$2:$D$4,MATCH(F232,Dim_Product!$A$2:$A$4,0)),M232&lt;=INDEX(Dim_Product!$C$2:$C$4,MATCH(F232,Dim_Product!$A$2:$A$4,0))+INDEX(Dim_Product!$D$2:$D$4,MATCH(F232,Dim_Product!$A$2:$A$4,0))),G232-H232,G232-H232-1)</f>
        <v>46</v>
      </c>
      <c r="O232" s="4">
        <f t="shared" si="27"/>
        <v>2</v>
      </c>
      <c r="P232" s="4">
        <f>INDEX(Dim_Product!$G$2:$G$4,MATCH(F232,Dim_Product!$A$2:$A$4,0))+0</f>
        <v>65</v>
      </c>
      <c r="Q232" s="4">
        <f>IF(AND(P232&gt;=INDEX(Dim_Product!$G$2:$G$4,MATCH(F232,Dim_Product!$A$2:$A$4,0))-INDEX(Dim_Product!$H$2:$H$4,MATCH(F232,Dim_Product!$A$2:$A$4,0)),P232&lt;=INDEX(Dim_Product!$G$2:$G$4,MATCH(F232,Dim_Product!$A$2:$A$4,0))+INDEX(Dim_Product!$H$2:$H$4,MATCH(F232,Dim_Product!$A$2:$A$4,0))),G232-H232,G232-H232-1)</f>
        <v>46</v>
      </c>
      <c r="R232" s="4">
        <f t="shared" si="28"/>
        <v>2</v>
      </c>
      <c r="S232" s="4">
        <f>INDEX(Dim_Product!$K$2:$K$4,MATCH(F232,Dim_Product!$A$2:$A$4,0))+0.15</f>
        <v>110.15</v>
      </c>
      <c r="T232" s="4">
        <f>IF(AND(S232&gt;=INDEX(Dim_Product!$K$2:$K$4,MATCH(F232,Dim_Product!$A$2:$A$4,0))-INDEX(Dim_Product!$L$2:$L$4,MATCH(F232,Dim_Product!$A$2:$A$4,0)),S232&lt;=INDEX(Dim_Product!$K$2:$K$4,MATCH(F232,Dim_Product!$A$2:$A$4,0))+INDEX(Dim_Product!$L$2:$L$4,MATCH(F232,Dim_Product!$A$2:$A$4,0))),G232-H232,G232-H232-1)</f>
        <v>46</v>
      </c>
      <c r="U232" s="4">
        <f t="shared" si="29"/>
        <v>2</v>
      </c>
      <c r="V232" s="4">
        <f t="shared" si="30"/>
        <v>4.1666666666666664E-2</v>
      </c>
      <c r="W232" s="19">
        <f t="shared" si="31"/>
        <v>0.95833333333333337</v>
      </c>
    </row>
    <row r="233" spans="1:23" x14ac:dyDescent="0.25">
      <c r="A233" s="18" t="s">
        <v>734</v>
      </c>
      <c r="B233" s="4">
        <f>Fact_Production_Hourly!B233</f>
        <v>20260702</v>
      </c>
      <c r="C233" s="4">
        <f>Fact_Production_Hourly!C233</f>
        <v>9</v>
      </c>
      <c r="D233" s="4" t="str">
        <f>Fact_Production_Hourly!D233</f>
        <v>M1</v>
      </c>
      <c r="E233" s="4" t="str">
        <f>Fact_Production_Hourly!E233</f>
        <v>A-AM</v>
      </c>
      <c r="F233" s="4" t="str">
        <f>Fact_Production_Hourly!F233</f>
        <v>C</v>
      </c>
      <c r="G233" s="4">
        <f>INDEX(Dim_Machine!$D$2:$D$8,MATCH(D233,Dim_Machine!$A$2:$A$8,0))*2</f>
        <v>32</v>
      </c>
      <c r="H233" s="4">
        <f>ROUND(G233*0.0349,0)</f>
        <v>1</v>
      </c>
      <c r="I233" s="4">
        <f t="shared" si="24"/>
        <v>0</v>
      </c>
      <c r="J233" s="4">
        <f t="shared" si="25"/>
        <v>0</v>
      </c>
      <c r="K233" s="4">
        <f t="shared" si="26"/>
        <v>1</v>
      </c>
      <c r="L233" s="4" t="s">
        <v>503</v>
      </c>
      <c r="M233" s="4">
        <f>INDEX(Dim_Product!$C$2:$C$4,MATCH(F233,Dim_Product!$A$2:$A$4,0))+-0.02</f>
        <v>199.98</v>
      </c>
      <c r="N233" s="4">
        <f>IF(AND(M233&gt;=INDEX(Dim_Product!$C$2:$C$4,MATCH(F233,Dim_Product!$A$2:$A$4,0))-INDEX(Dim_Product!$D$2:$D$4,MATCH(F233,Dim_Product!$A$2:$A$4,0)),M233&lt;=INDEX(Dim_Product!$C$2:$C$4,MATCH(F233,Dim_Product!$A$2:$A$4,0))+INDEX(Dim_Product!$D$2:$D$4,MATCH(F233,Dim_Product!$A$2:$A$4,0))),G233-H233,G233-H233-1)</f>
        <v>31</v>
      </c>
      <c r="O233" s="4">
        <f t="shared" si="27"/>
        <v>1</v>
      </c>
      <c r="P233" s="4">
        <f>INDEX(Dim_Product!$G$2:$G$4,MATCH(F233,Dim_Product!$A$2:$A$4,0))+-0.25</f>
        <v>64.75</v>
      </c>
      <c r="Q233" s="4">
        <f>IF(AND(P233&gt;=INDEX(Dim_Product!$G$2:$G$4,MATCH(F233,Dim_Product!$A$2:$A$4,0))-INDEX(Dim_Product!$H$2:$H$4,MATCH(F233,Dim_Product!$A$2:$A$4,0)),P233&lt;=INDEX(Dim_Product!$G$2:$G$4,MATCH(F233,Dim_Product!$A$2:$A$4,0))+INDEX(Dim_Product!$H$2:$H$4,MATCH(F233,Dim_Product!$A$2:$A$4,0))),G233-H233,G233-H233-1)</f>
        <v>31</v>
      </c>
      <c r="R233" s="4">
        <f t="shared" si="28"/>
        <v>1</v>
      </c>
      <c r="S233" s="4">
        <f>INDEX(Dim_Product!$K$2:$K$4,MATCH(F233,Dim_Product!$A$2:$A$4,0))+-0.38</f>
        <v>109.62</v>
      </c>
      <c r="T233" s="4">
        <f>IF(AND(S233&gt;=INDEX(Dim_Product!$K$2:$K$4,MATCH(F233,Dim_Product!$A$2:$A$4,0))-INDEX(Dim_Product!$L$2:$L$4,MATCH(F233,Dim_Product!$A$2:$A$4,0)),S233&lt;=INDEX(Dim_Product!$K$2:$K$4,MATCH(F233,Dim_Product!$A$2:$A$4,0))+INDEX(Dim_Product!$L$2:$L$4,MATCH(F233,Dim_Product!$A$2:$A$4,0))),G233-H233,G233-H233-1)</f>
        <v>31</v>
      </c>
      <c r="U233" s="4">
        <f t="shared" si="29"/>
        <v>1</v>
      </c>
      <c r="V233" s="4">
        <f t="shared" si="30"/>
        <v>3.125E-2</v>
      </c>
      <c r="W233" s="19">
        <f t="shared" si="31"/>
        <v>0.96875</v>
      </c>
    </row>
    <row r="234" spans="1:23" x14ac:dyDescent="0.25">
      <c r="A234" s="18" t="s">
        <v>735</v>
      </c>
      <c r="B234" s="4">
        <f>Fact_Production_Hourly!B234</f>
        <v>20260702</v>
      </c>
      <c r="C234" s="4">
        <f>Fact_Production_Hourly!C234</f>
        <v>9</v>
      </c>
      <c r="D234" s="4" t="str">
        <f>Fact_Production_Hourly!D234</f>
        <v>M2</v>
      </c>
      <c r="E234" s="4" t="str">
        <f>Fact_Production_Hourly!E234</f>
        <v>A-AM</v>
      </c>
      <c r="F234" s="4" t="str">
        <f>Fact_Production_Hourly!F234</f>
        <v>A</v>
      </c>
      <c r="G234" s="4">
        <f>INDEX(Dim_Machine!$D$2:$D$8,MATCH(D234,Dim_Machine!$A$2:$A$8,0))*2</f>
        <v>48</v>
      </c>
      <c r="H234" s="4">
        <f>ROUND(G234*0.0557,0)</f>
        <v>3</v>
      </c>
      <c r="I234" s="4">
        <f t="shared" si="24"/>
        <v>0</v>
      </c>
      <c r="J234" s="4">
        <f t="shared" si="25"/>
        <v>1</v>
      </c>
      <c r="K234" s="4">
        <f t="shared" si="26"/>
        <v>2</v>
      </c>
      <c r="L234" s="4" t="s">
        <v>517</v>
      </c>
      <c r="M234" s="4">
        <f>INDEX(Dim_Product!$C$2:$C$4,MATCH(F234,Dim_Product!$A$2:$A$4,0))+-0.93</f>
        <v>249.07</v>
      </c>
      <c r="N234" s="4">
        <f>IF(AND(M234&gt;=INDEX(Dim_Product!$C$2:$C$4,MATCH(F234,Dim_Product!$A$2:$A$4,0))-INDEX(Dim_Product!$D$2:$D$4,MATCH(F234,Dim_Product!$A$2:$A$4,0)),M234&lt;=INDEX(Dim_Product!$C$2:$C$4,MATCH(F234,Dim_Product!$A$2:$A$4,0))+INDEX(Dim_Product!$D$2:$D$4,MATCH(F234,Dim_Product!$A$2:$A$4,0))),G234-H234,G234-H234-1)</f>
        <v>45</v>
      </c>
      <c r="O234" s="4">
        <f t="shared" si="27"/>
        <v>3</v>
      </c>
      <c r="P234" s="4">
        <f>INDEX(Dim_Product!$G$2:$G$4,MATCH(F234,Dim_Product!$A$2:$A$4,0))+-0.17</f>
        <v>69.83</v>
      </c>
      <c r="Q234" s="4">
        <f>IF(AND(P234&gt;=INDEX(Dim_Product!$G$2:$G$4,MATCH(F234,Dim_Product!$A$2:$A$4,0))-INDEX(Dim_Product!$H$2:$H$4,MATCH(F234,Dim_Product!$A$2:$A$4,0)),P234&lt;=INDEX(Dim_Product!$G$2:$G$4,MATCH(F234,Dim_Product!$A$2:$A$4,0))+INDEX(Dim_Product!$H$2:$H$4,MATCH(F234,Dim_Product!$A$2:$A$4,0))),G234-H234,G234-H234-1)</f>
        <v>45</v>
      </c>
      <c r="R234" s="4">
        <f t="shared" si="28"/>
        <v>3</v>
      </c>
      <c r="S234" s="4">
        <f>INDEX(Dim_Product!$K$2:$K$4,MATCH(F234,Dim_Product!$A$2:$A$4,0))+-0.17</f>
        <v>119.83</v>
      </c>
      <c r="T234" s="4">
        <f>IF(AND(S234&gt;=INDEX(Dim_Product!$K$2:$K$4,MATCH(F234,Dim_Product!$A$2:$A$4,0))-INDEX(Dim_Product!$L$2:$L$4,MATCH(F234,Dim_Product!$A$2:$A$4,0)),S234&lt;=INDEX(Dim_Product!$K$2:$K$4,MATCH(F234,Dim_Product!$A$2:$A$4,0))+INDEX(Dim_Product!$L$2:$L$4,MATCH(F234,Dim_Product!$A$2:$A$4,0))),G234-H234,G234-H234-1)</f>
        <v>45</v>
      </c>
      <c r="U234" s="4">
        <f t="shared" si="29"/>
        <v>3</v>
      </c>
      <c r="V234" s="4">
        <f t="shared" si="30"/>
        <v>6.25E-2</v>
      </c>
      <c r="W234" s="19">
        <f t="shared" si="31"/>
        <v>0.9375</v>
      </c>
    </row>
    <row r="235" spans="1:23" x14ac:dyDescent="0.25">
      <c r="A235" s="18" t="s">
        <v>736</v>
      </c>
      <c r="B235" s="4">
        <f>Fact_Production_Hourly!B235</f>
        <v>20260702</v>
      </c>
      <c r="C235" s="4">
        <f>Fact_Production_Hourly!C235</f>
        <v>9</v>
      </c>
      <c r="D235" s="4" t="str">
        <f>Fact_Production_Hourly!D235</f>
        <v>M3</v>
      </c>
      <c r="E235" s="4" t="str">
        <f>Fact_Production_Hourly!E235</f>
        <v>A-AM</v>
      </c>
      <c r="F235" s="4" t="str">
        <f>Fact_Production_Hourly!F235</f>
        <v>A</v>
      </c>
      <c r="G235" s="4">
        <f>INDEX(Dim_Machine!$D$2:$D$8,MATCH(D235,Dim_Machine!$A$2:$A$8,0))*2</f>
        <v>24</v>
      </c>
      <c r="H235" s="4">
        <f>ROUND(G235*0.0568,0)</f>
        <v>1</v>
      </c>
      <c r="I235" s="4">
        <f t="shared" si="24"/>
        <v>0</v>
      </c>
      <c r="J235" s="4">
        <f t="shared" si="25"/>
        <v>0</v>
      </c>
      <c r="K235" s="4">
        <f t="shared" si="26"/>
        <v>1</v>
      </c>
      <c r="L235" s="4" t="s">
        <v>509</v>
      </c>
      <c r="M235" s="4">
        <f>INDEX(Dim_Product!$C$2:$C$4,MATCH(F235,Dim_Product!$A$2:$A$4,0))+0.49</f>
        <v>250.49</v>
      </c>
      <c r="N235" s="4">
        <f>IF(AND(M235&gt;=INDEX(Dim_Product!$C$2:$C$4,MATCH(F235,Dim_Product!$A$2:$A$4,0))-INDEX(Dim_Product!$D$2:$D$4,MATCH(F235,Dim_Product!$A$2:$A$4,0)),M235&lt;=INDEX(Dim_Product!$C$2:$C$4,MATCH(F235,Dim_Product!$A$2:$A$4,0))+INDEX(Dim_Product!$D$2:$D$4,MATCH(F235,Dim_Product!$A$2:$A$4,0))),G235-H235,G235-H235-1)</f>
        <v>23</v>
      </c>
      <c r="O235" s="4">
        <f t="shared" si="27"/>
        <v>1</v>
      </c>
      <c r="P235" s="4">
        <f>INDEX(Dim_Product!$G$2:$G$4,MATCH(F235,Dim_Product!$A$2:$A$4,0))+0.16</f>
        <v>70.16</v>
      </c>
      <c r="Q235" s="4">
        <f>IF(AND(P235&gt;=INDEX(Dim_Product!$G$2:$G$4,MATCH(F235,Dim_Product!$A$2:$A$4,0))-INDEX(Dim_Product!$H$2:$H$4,MATCH(F235,Dim_Product!$A$2:$A$4,0)),P235&lt;=INDEX(Dim_Product!$G$2:$G$4,MATCH(F235,Dim_Product!$A$2:$A$4,0))+INDEX(Dim_Product!$H$2:$H$4,MATCH(F235,Dim_Product!$A$2:$A$4,0))),G235-H235,G235-H235-1)</f>
        <v>23</v>
      </c>
      <c r="R235" s="4">
        <f t="shared" si="28"/>
        <v>1</v>
      </c>
      <c r="S235" s="4">
        <f>INDEX(Dim_Product!$K$2:$K$4,MATCH(F235,Dim_Product!$A$2:$A$4,0))+0.04</f>
        <v>120.04</v>
      </c>
      <c r="T235" s="4">
        <f>IF(AND(S235&gt;=INDEX(Dim_Product!$K$2:$K$4,MATCH(F235,Dim_Product!$A$2:$A$4,0))-INDEX(Dim_Product!$L$2:$L$4,MATCH(F235,Dim_Product!$A$2:$A$4,0)),S235&lt;=INDEX(Dim_Product!$K$2:$K$4,MATCH(F235,Dim_Product!$A$2:$A$4,0))+INDEX(Dim_Product!$L$2:$L$4,MATCH(F235,Dim_Product!$A$2:$A$4,0))),G235-H235,G235-H235-1)</f>
        <v>23</v>
      </c>
      <c r="U235" s="4">
        <f t="shared" si="29"/>
        <v>1</v>
      </c>
      <c r="V235" s="4">
        <f t="shared" si="30"/>
        <v>4.1666666666666664E-2</v>
      </c>
      <c r="W235" s="19">
        <f t="shared" si="31"/>
        <v>0.95833333333333337</v>
      </c>
    </row>
    <row r="236" spans="1:23" x14ac:dyDescent="0.25">
      <c r="A236" s="18" t="s">
        <v>737</v>
      </c>
      <c r="B236" s="4">
        <f>Fact_Production_Hourly!B236</f>
        <v>20260702</v>
      </c>
      <c r="C236" s="4">
        <f>Fact_Production_Hourly!C236</f>
        <v>9</v>
      </c>
      <c r="D236" s="4" t="str">
        <f>Fact_Production_Hourly!D236</f>
        <v>M4</v>
      </c>
      <c r="E236" s="4" t="str">
        <f>Fact_Production_Hourly!E236</f>
        <v>A-AM</v>
      </c>
      <c r="F236" s="4" t="str">
        <f>Fact_Production_Hourly!F236</f>
        <v>A</v>
      </c>
      <c r="G236" s="4">
        <f>INDEX(Dim_Machine!$D$2:$D$8,MATCH(D236,Dim_Machine!$A$2:$A$8,0))*2</f>
        <v>48</v>
      </c>
      <c r="H236" s="4">
        <f>ROUND(G236*0.0168,0)</f>
        <v>1</v>
      </c>
      <c r="I236" s="4">
        <f t="shared" si="24"/>
        <v>0</v>
      </c>
      <c r="J236" s="4">
        <f t="shared" si="25"/>
        <v>0</v>
      </c>
      <c r="K236" s="4">
        <f t="shared" si="26"/>
        <v>1</v>
      </c>
      <c r="L236" s="4" t="s">
        <v>498</v>
      </c>
      <c r="M236" s="4">
        <f>INDEX(Dim_Product!$C$2:$C$4,MATCH(F236,Dim_Product!$A$2:$A$4,0))+-0.46</f>
        <v>249.54</v>
      </c>
      <c r="N236" s="4">
        <f>IF(AND(M236&gt;=INDEX(Dim_Product!$C$2:$C$4,MATCH(F236,Dim_Product!$A$2:$A$4,0))-INDEX(Dim_Product!$D$2:$D$4,MATCH(F236,Dim_Product!$A$2:$A$4,0)),M236&lt;=INDEX(Dim_Product!$C$2:$C$4,MATCH(F236,Dim_Product!$A$2:$A$4,0))+INDEX(Dim_Product!$D$2:$D$4,MATCH(F236,Dim_Product!$A$2:$A$4,0))),G236-H236,G236-H236-1)</f>
        <v>47</v>
      </c>
      <c r="O236" s="4">
        <f t="shared" si="27"/>
        <v>1</v>
      </c>
      <c r="P236" s="4">
        <f>INDEX(Dim_Product!$G$2:$G$4,MATCH(F236,Dim_Product!$A$2:$A$4,0))+0.03</f>
        <v>70.03</v>
      </c>
      <c r="Q236" s="4">
        <f>IF(AND(P236&gt;=INDEX(Dim_Product!$G$2:$G$4,MATCH(F236,Dim_Product!$A$2:$A$4,0))-INDEX(Dim_Product!$H$2:$H$4,MATCH(F236,Dim_Product!$A$2:$A$4,0)),P236&lt;=INDEX(Dim_Product!$G$2:$G$4,MATCH(F236,Dim_Product!$A$2:$A$4,0))+INDEX(Dim_Product!$H$2:$H$4,MATCH(F236,Dim_Product!$A$2:$A$4,0))),G236-H236,G236-H236-1)</f>
        <v>47</v>
      </c>
      <c r="R236" s="4">
        <f t="shared" si="28"/>
        <v>1</v>
      </c>
      <c r="S236" s="4">
        <f>INDEX(Dim_Product!$K$2:$K$4,MATCH(F236,Dim_Product!$A$2:$A$4,0))+0.39</f>
        <v>120.39</v>
      </c>
      <c r="T236" s="4">
        <f>IF(AND(S236&gt;=INDEX(Dim_Product!$K$2:$K$4,MATCH(F236,Dim_Product!$A$2:$A$4,0))-INDEX(Dim_Product!$L$2:$L$4,MATCH(F236,Dim_Product!$A$2:$A$4,0)),S236&lt;=INDEX(Dim_Product!$K$2:$K$4,MATCH(F236,Dim_Product!$A$2:$A$4,0))+INDEX(Dim_Product!$L$2:$L$4,MATCH(F236,Dim_Product!$A$2:$A$4,0))),G236-H236,G236-H236-1)</f>
        <v>47</v>
      </c>
      <c r="U236" s="4">
        <f t="shared" si="29"/>
        <v>1</v>
      </c>
      <c r="V236" s="4">
        <f t="shared" si="30"/>
        <v>2.0833333333333332E-2</v>
      </c>
      <c r="W236" s="19">
        <f t="shared" si="31"/>
        <v>0.97916666666666663</v>
      </c>
    </row>
    <row r="237" spans="1:23" x14ac:dyDescent="0.25">
      <c r="A237" s="18" t="s">
        <v>738</v>
      </c>
      <c r="B237" s="4">
        <f>Fact_Production_Hourly!B237</f>
        <v>20260702</v>
      </c>
      <c r="C237" s="4">
        <f>Fact_Production_Hourly!C237</f>
        <v>9</v>
      </c>
      <c r="D237" s="4" t="str">
        <f>Fact_Production_Hourly!D237</f>
        <v>M5</v>
      </c>
      <c r="E237" s="4" t="str">
        <f>Fact_Production_Hourly!E237</f>
        <v>A-AM</v>
      </c>
      <c r="F237" s="4" t="str">
        <f>Fact_Production_Hourly!F237</f>
        <v>C</v>
      </c>
      <c r="G237" s="4">
        <f>INDEX(Dim_Machine!$D$2:$D$8,MATCH(D237,Dim_Machine!$A$2:$A$8,0))*2</f>
        <v>32</v>
      </c>
      <c r="H237" s="4">
        <f>ROUND(G237*0.0425,0)</f>
        <v>1</v>
      </c>
      <c r="I237" s="4">
        <f t="shared" si="24"/>
        <v>0</v>
      </c>
      <c r="J237" s="4">
        <f t="shared" si="25"/>
        <v>0</v>
      </c>
      <c r="K237" s="4">
        <f t="shared" si="26"/>
        <v>1</v>
      </c>
      <c r="L237" s="4" t="s">
        <v>498</v>
      </c>
      <c r="M237" s="4">
        <f>INDEX(Dim_Product!$C$2:$C$4,MATCH(F237,Dim_Product!$A$2:$A$4,0))+0.52</f>
        <v>200.52</v>
      </c>
      <c r="N237" s="4">
        <f>IF(AND(M237&gt;=INDEX(Dim_Product!$C$2:$C$4,MATCH(F237,Dim_Product!$A$2:$A$4,0))-INDEX(Dim_Product!$D$2:$D$4,MATCH(F237,Dim_Product!$A$2:$A$4,0)),M237&lt;=INDEX(Dim_Product!$C$2:$C$4,MATCH(F237,Dim_Product!$A$2:$A$4,0))+INDEX(Dim_Product!$D$2:$D$4,MATCH(F237,Dim_Product!$A$2:$A$4,0))),G237-H237,G237-H237-1)</f>
        <v>31</v>
      </c>
      <c r="O237" s="4">
        <f t="shared" si="27"/>
        <v>1</v>
      </c>
      <c r="P237" s="4">
        <f>INDEX(Dim_Product!$G$2:$G$4,MATCH(F237,Dim_Product!$A$2:$A$4,0))+-0.04</f>
        <v>64.959999999999994</v>
      </c>
      <c r="Q237" s="4">
        <f>IF(AND(P237&gt;=INDEX(Dim_Product!$G$2:$G$4,MATCH(F237,Dim_Product!$A$2:$A$4,0))-INDEX(Dim_Product!$H$2:$H$4,MATCH(F237,Dim_Product!$A$2:$A$4,0)),P237&lt;=INDEX(Dim_Product!$G$2:$G$4,MATCH(F237,Dim_Product!$A$2:$A$4,0))+INDEX(Dim_Product!$H$2:$H$4,MATCH(F237,Dim_Product!$A$2:$A$4,0))),G237-H237,G237-H237-1)</f>
        <v>31</v>
      </c>
      <c r="R237" s="4">
        <f t="shared" si="28"/>
        <v>1</v>
      </c>
      <c r="S237" s="4">
        <f>INDEX(Dim_Product!$K$2:$K$4,MATCH(F237,Dim_Product!$A$2:$A$4,0))+-0.23</f>
        <v>109.77</v>
      </c>
      <c r="T237" s="4">
        <f>IF(AND(S237&gt;=INDEX(Dim_Product!$K$2:$K$4,MATCH(F237,Dim_Product!$A$2:$A$4,0))-INDEX(Dim_Product!$L$2:$L$4,MATCH(F237,Dim_Product!$A$2:$A$4,0)),S237&lt;=INDEX(Dim_Product!$K$2:$K$4,MATCH(F237,Dim_Product!$A$2:$A$4,0))+INDEX(Dim_Product!$L$2:$L$4,MATCH(F237,Dim_Product!$A$2:$A$4,0))),G237-H237,G237-H237-1)</f>
        <v>31</v>
      </c>
      <c r="U237" s="4">
        <f t="shared" si="29"/>
        <v>1</v>
      </c>
      <c r="V237" s="4">
        <f t="shared" si="30"/>
        <v>3.125E-2</v>
      </c>
      <c r="W237" s="19">
        <f t="shared" si="31"/>
        <v>0.96875</v>
      </c>
    </row>
    <row r="238" spans="1:23" x14ac:dyDescent="0.25">
      <c r="A238" s="18" t="s">
        <v>739</v>
      </c>
      <c r="B238" s="4">
        <f>Fact_Production_Hourly!B238</f>
        <v>20260702</v>
      </c>
      <c r="C238" s="4">
        <f>Fact_Production_Hourly!C238</f>
        <v>9</v>
      </c>
      <c r="D238" s="4" t="str">
        <f>Fact_Production_Hourly!D238</f>
        <v>M6</v>
      </c>
      <c r="E238" s="4" t="str">
        <f>Fact_Production_Hourly!E238</f>
        <v>A-AM</v>
      </c>
      <c r="F238" s="4" t="str">
        <f>Fact_Production_Hourly!F238</f>
        <v>C</v>
      </c>
      <c r="G238" s="4">
        <f>INDEX(Dim_Machine!$D$2:$D$8,MATCH(D238,Dim_Machine!$A$2:$A$8,0))*2</f>
        <v>24</v>
      </c>
      <c r="H238" s="4">
        <f>ROUND(G238*0.0355,0)</f>
        <v>1</v>
      </c>
      <c r="I238" s="4">
        <f t="shared" si="24"/>
        <v>0</v>
      </c>
      <c r="J238" s="4">
        <f t="shared" si="25"/>
        <v>0</v>
      </c>
      <c r="K238" s="4">
        <f t="shared" si="26"/>
        <v>1</v>
      </c>
      <c r="L238" s="4" t="s">
        <v>520</v>
      </c>
      <c r="M238" s="4">
        <f>INDEX(Dim_Product!$C$2:$C$4,MATCH(F238,Dim_Product!$A$2:$A$4,0))+0.66</f>
        <v>200.66</v>
      </c>
      <c r="N238" s="4">
        <f>IF(AND(M238&gt;=INDEX(Dim_Product!$C$2:$C$4,MATCH(F238,Dim_Product!$A$2:$A$4,0))-INDEX(Dim_Product!$D$2:$D$4,MATCH(F238,Dim_Product!$A$2:$A$4,0)),M238&lt;=INDEX(Dim_Product!$C$2:$C$4,MATCH(F238,Dim_Product!$A$2:$A$4,0))+INDEX(Dim_Product!$D$2:$D$4,MATCH(F238,Dim_Product!$A$2:$A$4,0))),G238-H238,G238-H238-1)</f>
        <v>23</v>
      </c>
      <c r="O238" s="4">
        <f t="shared" si="27"/>
        <v>1</v>
      </c>
      <c r="P238" s="4">
        <f>INDEX(Dim_Product!$G$2:$G$4,MATCH(F238,Dim_Product!$A$2:$A$4,0))+0.15</f>
        <v>65.150000000000006</v>
      </c>
      <c r="Q238" s="4">
        <f>IF(AND(P238&gt;=INDEX(Dim_Product!$G$2:$G$4,MATCH(F238,Dim_Product!$A$2:$A$4,0))-INDEX(Dim_Product!$H$2:$H$4,MATCH(F238,Dim_Product!$A$2:$A$4,0)),P238&lt;=INDEX(Dim_Product!$G$2:$G$4,MATCH(F238,Dim_Product!$A$2:$A$4,0))+INDEX(Dim_Product!$H$2:$H$4,MATCH(F238,Dim_Product!$A$2:$A$4,0))),G238-H238,G238-H238-1)</f>
        <v>23</v>
      </c>
      <c r="R238" s="4">
        <f t="shared" si="28"/>
        <v>1</v>
      </c>
      <c r="S238" s="4">
        <f>INDEX(Dim_Product!$K$2:$K$4,MATCH(F238,Dim_Product!$A$2:$A$4,0))+-0.16</f>
        <v>109.84</v>
      </c>
      <c r="T238" s="4">
        <f>IF(AND(S238&gt;=INDEX(Dim_Product!$K$2:$K$4,MATCH(F238,Dim_Product!$A$2:$A$4,0))-INDEX(Dim_Product!$L$2:$L$4,MATCH(F238,Dim_Product!$A$2:$A$4,0)),S238&lt;=INDEX(Dim_Product!$K$2:$K$4,MATCH(F238,Dim_Product!$A$2:$A$4,0))+INDEX(Dim_Product!$L$2:$L$4,MATCH(F238,Dim_Product!$A$2:$A$4,0))),G238-H238,G238-H238-1)</f>
        <v>23</v>
      </c>
      <c r="U238" s="4">
        <f t="shared" si="29"/>
        <v>1</v>
      </c>
      <c r="V238" s="4">
        <f t="shared" si="30"/>
        <v>4.1666666666666664E-2</v>
      </c>
      <c r="W238" s="19">
        <f t="shared" si="31"/>
        <v>0.95833333333333337</v>
      </c>
    </row>
    <row r="239" spans="1:23" x14ac:dyDescent="0.25">
      <c r="A239" s="18" t="s">
        <v>740</v>
      </c>
      <c r="B239" s="4">
        <f>Fact_Production_Hourly!B239</f>
        <v>20260702</v>
      </c>
      <c r="C239" s="4">
        <f>Fact_Production_Hourly!C239</f>
        <v>9</v>
      </c>
      <c r="D239" s="4" t="str">
        <f>Fact_Production_Hourly!D239</f>
        <v>M7</v>
      </c>
      <c r="E239" s="4" t="str">
        <f>Fact_Production_Hourly!E239</f>
        <v>A-AM</v>
      </c>
      <c r="F239" s="4" t="str">
        <f>Fact_Production_Hourly!F239</f>
        <v>C</v>
      </c>
      <c r="G239" s="4">
        <f>INDEX(Dim_Machine!$D$2:$D$8,MATCH(D239,Dim_Machine!$A$2:$A$8,0))*2</f>
        <v>48</v>
      </c>
      <c r="H239" s="4">
        <f>ROUND(G239*0.07,0)</f>
        <v>3</v>
      </c>
      <c r="I239" s="4">
        <f t="shared" si="24"/>
        <v>0</v>
      </c>
      <c r="J239" s="4">
        <f t="shared" si="25"/>
        <v>1</v>
      </c>
      <c r="K239" s="4">
        <f t="shared" si="26"/>
        <v>2</v>
      </c>
      <c r="L239" s="4" t="s">
        <v>503</v>
      </c>
      <c r="M239" s="4">
        <f>INDEX(Dim_Product!$C$2:$C$4,MATCH(F239,Dim_Product!$A$2:$A$4,0))+-0.47</f>
        <v>199.53</v>
      </c>
      <c r="N239" s="4">
        <f>IF(AND(M239&gt;=INDEX(Dim_Product!$C$2:$C$4,MATCH(F239,Dim_Product!$A$2:$A$4,0))-INDEX(Dim_Product!$D$2:$D$4,MATCH(F239,Dim_Product!$A$2:$A$4,0)),M239&lt;=INDEX(Dim_Product!$C$2:$C$4,MATCH(F239,Dim_Product!$A$2:$A$4,0))+INDEX(Dim_Product!$D$2:$D$4,MATCH(F239,Dim_Product!$A$2:$A$4,0))),G239-H239,G239-H239-1)</f>
        <v>45</v>
      </c>
      <c r="O239" s="4">
        <f t="shared" si="27"/>
        <v>3</v>
      </c>
      <c r="P239" s="4">
        <f>INDEX(Dim_Product!$G$2:$G$4,MATCH(F239,Dim_Product!$A$2:$A$4,0))+0.22</f>
        <v>65.22</v>
      </c>
      <c r="Q239" s="4">
        <f>IF(AND(P239&gt;=INDEX(Dim_Product!$G$2:$G$4,MATCH(F239,Dim_Product!$A$2:$A$4,0))-INDEX(Dim_Product!$H$2:$H$4,MATCH(F239,Dim_Product!$A$2:$A$4,0)),P239&lt;=INDEX(Dim_Product!$G$2:$G$4,MATCH(F239,Dim_Product!$A$2:$A$4,0))+INDEX(Dim_Product!$H$2:$H$4,MATCH(F239,Dim_Product!$A$2:$A$4,0))),G239-H239,G239-H239-1)</f>
        <v>45</v>
      </c>
      <c r="R239" s="4">
        <f t="shared" si="28"/>
        <v>3</v>
      </c>
      <c r="S239" s="4">
        <f>INDEX(Dim_Product!$K$2:$K$4,MATCH(F239,Dim_Product!$A$2:$A$4,0))+-0.33</f>
        <v>109.67</v>
      </c>
      <c r="T239" s="4">
        <f>IF(AND(S239&gt;=INDEX(Dim_Product!$K$2:$K$4,MATCH(F239,Dim_Product!$A$2:$A$4,0))-INDEX(Dim_Product!$L$2:$L$4,MATCH(F239,Dim_Product!$A$2:$A$4,0)),S239&lt;=INDEX(Dim_Product!$K$2:$K$4,MATCH(F239,Dim_Product!$A$2:$A$4,0))+INDEX(Dim_Product!$L$2:$L$4,MATCH(F239,Dim_Product!$A$2:$A$4,0))),G239-H239,G239-H239-1)</f>
        <v>45</v>
      </c>
      <c r="U239" s="4">
        <f t="shared" si="29"/>
        <v>3</v>
      </c>
      <c r="V239" s="4">
        <f t="shared" si="30"/>
        <v>6.25E-2</v>
      </c>
      <c r="W239" s="19">
        <f t="shared" si="31"/>
        <v>0.9375</v>
      </c>
    </row>
    <row r="240" spans="1:23" x14ac:dyDescent="0.25">
      <c r="A240" s="18" t="s">
        <v>741</v>
      </c>
      <c r="B240" s="4">
        <f>Fact_Production_Hourly!B240</f>
        <v>20260702</v>
      </c>
      <c r="C240" s="4">
        <f>Fact_Production_Hourly!C240</f>
        <v>10</v>
      </c>
      <c r="D240" s="4" t="str">
        <f>Fact_Production_Hourly!D240</f>
        <v>M1</v>
      </c>
      <c r="E240" s="4" t="str">
        <f>Fact_Production_Hourly!E240</f>
        <v>A-AM</v>
      </c>
      <c r="F240" s="4" t="str">
        <f>Fact_Production_Hourly!F240</f>
        <v>C</v>
      </c>
      <c r="G240" s="4">
        <f>INDEX(Dim_Machine!$D$2:$D$8,MATCH(D240,Dim_Machine!$A$2:$A$8,0))*2</f>
        <v>32</v>
      </c>
      <c r="H240" s="4">
        <f>ROUND(G240*0.0619,0)</f>
        <v>2</v>
      </c>
      <c r="I240" s="4">
        <f t="shared" si="24"/>
        <v>0</v>
      </c>
      <c r="J240" s="4">
        <f t="shared" si="25"/>
        <v>1</v>
      </c>
      <c r="K240" s="4">
        <f t="shared" si="26"/>
        <v>1</v>
      </c>
      <c r="L240" s="4" t="s">
        <v>498</v>
      </c>
      <c r="M240" s="4">
        <f>INDEX(Dim_Product!$C$2:$C$4,MATCH(F240,Dim_Product!$A$2:$A$4,0))+0.55</f>
        <v>200.55</v>
      </c>
      <c r="N240" s="4">
        <f>IF(AND(M240&gt;=INDEX(Dim_Product!$C$2:$C$4,MATCH(F240,Dim_Product!$A$2:$A$4,0))-INDEX(Dim_Product!$D$2:$D$4,MATCH(F240,Dim_Product!$A$2:$A$4,0)),M240&lt;=INDEX(Dim_Product!$C$2:$C$4,MATCH(F240,Dim_Product!$A$2:$A$4,0))+INDEX(Dim_Product!$D$2:$D$4,MATCH(F240,Dim_Product!$A$2:$A$4,0))),G240-H240,G240-H240-1)</f>
        <v>30</v>
      </c>
      <c r="O240" s="4">
        <f t="shared" si="27"/>
        <v>2</v>
      </c>
      <c r="P240" s="4">
        <f>INDEX(Dim_Product!$G$2:$G$4,MATCH(F240,Dim_Product!$A$2:$A$4,0))+-0.16</f>
        <v>64.84</v>
      </c>
      <c r="Q240" s="4">
        <f>IF(AND(P240&gt;=INDEX(Dim_Product!$G$2:$G$4,MATCH(F240,Dim_Product!$A$2:$A$4,0))-INDEX(Dim_Product!$H$2:$H$4,MATCH(F240,Dim_Product!$A$2:$A$4,0)),P240&lt;=INDEX(Dim_Product!$G$2:$G$4,MATCH(F240,Dim_Product!$A$2:$A$4,0))+INDEX(Dim_Product!$H$2:$H$4,MATCH(F240,Dim_Product!$A$2:$A$4,0))),G240-H240,G240-H240-1)</f>
        <v>30</v>
      </c>
      <c r="R240" s="4">
        <f t="shared" si="28"/>
        <v>2</v>
      </c>
      <c r="S240" s="4">
        <f>INDEX(Dim_Product!$K$2:$K$4,MATCH(F240,Dim_Product!$A$2:$A$4,0))+0.25</f>
        <v>110.25</v>
      </c>
      <c r="T240" s="4">
        <f>IF(AND(S240&gt;=INDEX(Dim_Product!$K$2:$K$4,MATCH(F240,Dim_Product!$A$2:$A$4,0))-INDEX(Dim_Product!$L$2:$L$4,MATCH(F240,Dim_Product!$A$2:$A$4,0)),S240&lt;=INDEX(Dim_Product!$K$2:$K$4,MATCH(F240,Dim_Product!$A$2:$A$4,0))+INDEX(Dim_Product!$L$2:$L$4,MATCH(F240,Dim_Product!$A$2:$A$4,0))),G240-H240,G240-H240-1)</f>
        <v>30</v>
      </c>
      <c r="U240" s="4">
        <f t="shared" si="29"/>
        <v>2</v>
      </c>
      <c r="V240" s="4">
        <f t="shared" si="30"/>
        <v>6.25E-2</v>
      </c>
      <c r="W240" s="19">
        <f t="shared" si="31"/>
        <v>0.9375</v>
      </c>
    </row>
    <row r="241" spans="1:23" x14ac:dyDescent="0.25">
      <c r="A241" s="18" t="s">
        <v>742</v>
      </c>
      <c r="B241" s="4">
        <f>Fact_Production_Hourly!B241</f>
        <v>20260702</v>
      </c>
      <c r="C241" s="4">
        <f>Fact_Production_Hourly!C241</f>
        <v>10</v>
      </c>
      <c r="D241" s="4" t="str">
        <f>Fact_Production_Hourly!D241</f>
        <v>M2</v>
      </c>
      <c r="E241" s="4" t="str">
        <f>Fact_Production_Hourly!E241</f>
        <v>A-AM</v>
      </c>
      <c r="F241" s="4" t="str">
        <f>Fact_Production_Hourly!F241</f>
        <v>A</v>
      </c>
      <c r="G241" s="4">
        <f>INDEX(Dim_Machine!$D$2:$D$8,MATCH(D241,Dim_Machine!$A$2:$A$8,0))*2</f>
        <v>48</v>
      </c>
      <c r="H241" s="4">
        <f>ROUND(G241*0.0453,0)</f>
        <v>2</v>
      </c>
      <c r="I241" s="4">
        <f t="shared" si="24"/>
        <v>0</v>
      </c>
      <c r="J241" s="4">
        <f t="shared" si="25"/>
        <v>1</v>
      </c>
      <c r="K241" s="4">
        <f t="shared" si="26"/>
        <v>1</v>
      </c>
      <c r="L241" s="4" t="s">
        <v>517</v>
      </c>
      <c r="M241" s="4">
        <f>INDEX(Dim_Product!$C$2:$C$4,MATCH(F241,Dim_Product!$A$2:$A$4,0))+0.72</f>
        <v>250.72</v>
      </c>
      <c r="N241" s="4">
        <f>IF(AND(M241&gt;=INDEX(Dim_Product!$C$2:$C$4,MATCH(F241,Dim_Product!$A$2:$A$4,0))-INDEX(Dim_Product!$D$2:$D$4,MATCH(F241,Dim_Product!$A$2:$A$4,0)),M241&lt;=INDEX(Dim_Product!$C$2:$C$4,MATCH(F241,Dim_Product!$A$2:$A$4,0))+INDEX(Dim_Product!$D$2:$D$4,MATCH(F241,Dim_Product!$A$2:$A$4,0))),G241-H241,G241-H241-1)</f>
        <v>46</v>
      </c>
      <c r="O241" s="4">
        <f t="shared" si="27"/>
        <v>2</v>
      </c>
      <c r="P241" s="4">
        <f>INDEX(Dim_Product!$G$2:$G$4,MATCH(F241,Dim_Product!$A$2:$A$4,0))+0.07</f>
        <v>70.069999999999993</v>
      </c>
      <c r="Q241" s="4">
        <f>IF(AND(P241&gt;=INDEX(Dim_Product!$G$2:$G$4,MATCH(F241,Dim_Product!$A$2:$A$4,0))-INDEX(Dim_Product!$H$2:$H$4,MATCH(F241,Dim_Product!$A$2:$A$4,0)),P241&lt;=INDEX(Dim_Product!$G$2:$G$4,MATCH(F241,Dim_Product!$A$2:$A$4,0))+INDEX(Dim_Product!$H$2:$H$4,MATCH(F241,Dim_Product!$A$2:$A$4,0))),G241-H241,G241-H241-1)</f>
        <v>46</v>
      </c>
      <c r="R241" s="4">
        <f t="shared" si="28"/>
        <v>2</v>
      </c>
      <c r="S241" s="4">
        <f>INDEX(Dim_Product!$K$2:$K$4,MATCH(F241,Dim_Product!$A$2:$A$4,0))+-0.06</f>
        <v>119.94</v>
      </c>
      <c r="T241" s="4">
        <f>IF(AND(S241&gt;=INDEX(Dim_Product!$K$2:$K$4,MATCH(F241,Dim_Product!$A$2:$A$4,0))-INDEX(Dim_Product!$L$2:$L$4,MATCH(F241,Dim_Product!$A$2:$A$4,0)),S241&lt;=INDEX(Dim_Product!$K$2:$K$4,MATCH(F241,Dim_Product!$A$2:$A$4,0))+INDEX(Dim_Product!$L$2:$L$4,MATCH(F241,Dim_Product!$A$2:$A$4,0))),G241-H241,G241-H241-1)</f>
        <v>46</v>
      </c>
      <c r="U241" s="4">
        <f t="shared" si="29"/>
        <v>2</v>
      </c>
      <c r="V241" s="4">
        <f t="shared" si="30"/>
        <v>4.1666666666666664E-2</v>
      </c>
      <c r="W241" s="19">
        <f t="shared" si="31"/>
        <v>0.95833333333333337</v>
      </c>
    </row>
    <row r="242" spans="1:23" x14ac:dyDescent="0.25">
      <c r="A242" s="18" t="s">
        <v>743</v>
      </c>
      <c r="B242" s="4">
        <f>Fact_Production_Hourly!B242</f>
        <v>20260702</v>
      </c>
      <c r="C242" s="4">
        <f>Fact_Production_Hourly!C242</f>
        <v>10</v>
      </c>
      <c r="D242" s="4" t="str">
        <f>Fact_Production_Hourly!D242</f>
        <v>M3</v>
      </c>
      <c r="E242" s="4" t="str">
        <f>Fact_Production_Hourly!E242</f>
        <v>A-AM</v>
      </c>
      <c r="F242" s="4" t="str">
        <f>Fact_Production_Hourly!F242</f>
        <v>A</v>
      </c>
      <c r="G242" s="4">
        <f>INDEX(Dim_Machine!$D$2:$D$8,MATCH(D242,Dim_Machine!$A$2:$A$8,0))*2</f>
        <v>24</v>
      </c>
      <c r="H242" s="4">
        <f>ROUND(G242*0.047,0)</f>
        <v>1</v>
      </c>
      <c r="I242" s="4">
        <f t="shared" si="24"/>
        <v>0</v>
      </c>
      <c r="J242" s="4">
        <f t="shared" si="25"/>
        <v>0</v>
      </c>
      <c r="K242" s="4">
        <f t="shared" si="26"/>
        <v>1</v>
      </c>
      <c r="L242" s="4" t="s">
        <v>500</v>
      </c>
      <c r="M242" s="4">
        <f>INDEX(Dim_Product!$C$2:$C$4,MATCH(F242,Dim_Product!$A$2:$A$4,0))+0.63</f>
        <v>250.63</v>
      </c>
      <c r="N242" s="4">
        <f>IF(AND(M242&gt;=INDEX(Dim_Product!$C$2:$C$4,MATCH(F242,Dim_Product!$A$2:$A$4,0))-INDEX(Dim_Product!$D$2:$D$4,MATCH(F242,Dim_Product!$A$2:$A$4,0)),M242&lt;=INDEX(Dim_Product!$C$2:$C$4,MATCH(F242,Dim_Product!$A$2:$A$4,0))+INDEX(Dim_Product!$D$2:$D$4,MATCH(F242,Dim_Product!$A$2:$A$4,0))),G242-H242,G242-H242-1)</f>
        <v>23</v>
      </c>
      <c r="O242" s="4">
        <f t="shared" si="27"/>
        <v>1</v>
      </c>
      <c r="P242" s="4">
        <f>INDEX(Dim_Product!$G$2:$G$4,MATCH(F242,Dim_Product!$A$2:$A$4,0))+0.18</f>
        <v>70.180000000000007</v>
      </c>
      <c r="Q242" s="4">
        <f>IF(AND(P242&gt;=INDEX(Dim_Product!$G$2:$G$4,MATCH(F242,Dim_Product!$A$2:$A$4,0))-INDEX(Dim_Product!$H$2:$H$4,MATCH(F242,Dim_Product!$A$2:$A$4,0)),P242&lt;=INDEX(Dim_Product!$G$2:$G$4,MATCH(F242,Dim_Product!$A$2:$A$4,0))+INDEX(Dim_Product!$H$2:$H$4,MATCH(F242,Dim_Product!$A$2:$A$4,0))),G242-H242,G242-H242-1)</f>
        <v>23</v>
      </c>
      <c r="R242" s="4">
        <f t="shared" si="28"/>
        <v>1</v>
      </c>
      <c r="S242" s="4">
        <f>INDEX(Dim_Product!$K$2:$K$4,MATCH(F242,Dim_Product!$A$2:$A$4,0))+0.06</f>
        <v>120.06</v>
      </c>
      <c r="T242" s="4">
        <f>IF(AND(S242&gt;=INDEX(Dim_Product!$K$2:$K$4,MATCH(F242,Dim_Product!$A$2:$A$4,0))-INDEX(Dim_Product!$L$2:$L$4,MATCH(F242,Dim_Product!$A$2:$A$4,0)),S242&lt;=INDEX(Dim_Product!$K$2:$K$4,MATCH(F242,Dim_Product!$A$2:$A$4,0))+INDEX(Dim_Product!$L$2:$L$4,MATCH(F242,Dim_Product!$A$2:$A$4,0))),G242-H242,G242-H242-1)</f>
        <v>23</v>
      </c>
      <c r="U242" s="4">
        <f t="shared" si="29"/>
        <v>1</v>
      </c>
      <c r="V242" s="4">
        <f t="shared" si="30"/>
        <v>4.1666666666666664E-2</v>
      </c>
      <c r="W242" s="19">
        <f t="shared" si="31"/>
        <v>0.95833333333333337</v>
      </c>
    </row>
    <row r="243" spans="1:23" x14ac:dyDescent="0.25">
      <c r="A243" s="18" t="s">
        <v>744</v>
      </c>
      <c r="B243" s="4">
        <f>Fact_Production_Hourly!B243</f>
        <v>20260702</v>
      </c>
      <c r="C243" s="4">
        <f>Fact_Production_Hourly!C243</f>
        <v>10</v>
      </c>
      <c r="D243" s="4" t="str">
        <f>Fact_Production_Hourly!D243</f>
        <v>M4</v>
      </c>
      <c r="E243" s="4" t="str">
        <f>Fact_Production_Hourly!E243</f>
        <v>A-AM</v>
      </c>
      <c r="F243" s="4" t="str">
        <f>Fact_Production_Hourly!F243</f>
        <v>A</v>
      </c>
      <c r="G243" s="4">
        <f>INDEX(Dim_Machine!$D$2:$D$8,MATCH(D243,Dim_Machine!$A$2:$A$8,0))*2</f>
        <v>48</v>
      </c>
      <c r="H243" s="4">
        <f>ROUND(G243*0.0419,0)</f>
        <v>2</v>
      </c>
      <c r="I243" s="4">
        <f t="shared" si="24"/>
        <v>0</v>
      </c>
      <c r="J243" s="4">
        <f t="shared" si="25"/>
        <v>1</v>
      </c>
      <c r="K243" s="4">
        <f t="shared" si="26"/>
        <v>1</v>
      </c>
      <c r="L243" s="4" t="s">
        <v>509</v>
      </c>
      <c r="M243" s="4">
        <f>INDEX(Dim_Product!$C$2:$C$4,MATCH(F243,Dim_Product!$A$2:$A$4,0))+0.08</f>
        <v>250.08</v>
      </c>
      <c r="N243" s="4">
        <f>IF(AND(M243&gt;=INDEX(Dim_Product!$C$2:$C$4,MATCH(F243,Dim_Product!$A$2:$A$4,0))-INDEX(Dim_Product!$D$2:$D$4,MATCH(F243,Dim_Product!$A$2:$A$4,0)),M243&lt;=INDEX(Dim_Product!$C$2:$C$4,MATCH(F243,Dim_Product!$A$2:$A$4,0))+INDEX(Dim_Product!$D$2:$D$4,MATCH(F243,Dim_Product!$A$2:$A$4,0))),G243-H243,G243-H243-1)</f>
        <v>46</v>
      </c>
      <c r="O243" s="4">
        <f t="shared" si="27"/>
        <v>2</v>
      </c>
      <c r="P243" s="4">
        <f>INDEX(Dim_Product!$G$2:$G$4,MATCH(F243,Dim_Product!$A$2:$A$4,0))+-0.11</f>
        <v>69.89</v>
      </c>
      <c r="Q243" s="4">
        <f>IF(AND(P243&gt;=INDEX(Dim_Product!$G$2:$G$4,MATCH(F243,Dim_Product!$A$2:$A$4,0))-INDEX(Dim_Product!$H$2:$H$4,MATCH(F243,Dim_Product!$A$2:$A$4,0)),P243&lt;=INDEX(Dim_Product!$G$2:$G$4,MATCH(F243,Dim_Product!$A$2:$A$4,0))+INDEX(Dim_Product!$H$2:$H$4,MATCH(F243,Dim_Product!$A$2:$A$4,0))),G243-H243,G243-H243-1)</f>
        <v>46</v>
      </c>
      <c r="R243" s="4">
        <f t="shared" si="28"/>
        <v>2</v>
      </c>
      <c r="S243" s="4">
        <f>INDEX(Dim_Product!$K$2:$K$4,MATCH(F243,Dim_Product!$A$2:$A$4,0))+0.16</f>
        <v>120.16</v>
      </c>
      <c r="T243" s="4">
        <f>IF(AND(S243&gt;=INDEX(Dim_Product!$K$2:$K$4,MATCH(F243,Dim_Product!$A$2:$A$4,0))-INDEX(Dim_Product!$L$2:$L$4,MATCH(F243,Dim_Product!$A$2:$A$4,0)),S243&lt;=INDEX(Dim_Product!$K$2:$K$4,MATCH(F243,Dim_Product!$A$2:$A$4,0))+INDEX(Dim_Product!$L$2:$L$4,MATCH(F243,Dim_Product!$A$2:$A$4,0))),G243-H243,G243-H243-1)</f>
        <v>46</v>
      </c>
      <c r="U243" s="4">
        <f t="shared" si="29"/>
        <v>2</v>
      </c>
      <c r="V243" s="4">
        <f t="shared" si="30"/>
        <v>4.1666666666666664E-2</v>
      </c>
      <c r="W243" s="19">
        <f t="shared" si="31"/>
        <v>0.95833333333333337</v>
      </c>
    </row>
    <row r="244" spans="1:23" x14ac:dyDescent="0.25">
      <c r="A244" s="18" t="s">
        <v>745</v>
      </c>
      <c r="B244" s="4">
        <f>Fact_Production_Hourly!B244</f>
        <v>20260702</v>
      </c>
      <c r="C244" s="4">
        <f>Fact_Production_Hourly!C244</f>
        <v>10</v>
      </c>
      <c r="D244" s="4" t="str">
        <f>Fact_Production_Hourly!D244</f>
        <v>M5</v>
      </c>
      <c r="E244" s="4" t="str">
        <f>Fact_Production_Hourly!E244</f>
        <v>A-AM</v>
      </c>
      <c r="F244" s="4" t="str">
        <f>Fact_Production_Hourly!F244</f>
        <v>C</v>
      </c>
      <c r="G244" s="4">
        <f>INDEX(Dim_Machine!$D$2:$D$8,MATCH(D244,Dim_Machine!$A$2:$A$8,0))*2</f>
        <v>32</v>
      </c>
      <c r="H244" s="4">
        <f>ROUND(G244*0.0274,0)</f>
        <v>1</v>
      </c>
      <c r="I244" s="4">
        <f t="shared" si="24"/>
        <v>0</v>
      </c>
      <c r="J244" s="4">
        <f t="shared" si="25"/>
        <v>0</v>
      </c>
      <c r="K244" s="4">
        <f t="shared" si="26"/>
        <v>1</v>
      </c>
      <c r="L244" s="4" t="s">
        <v>517</v>
      </c>
      <c r="M244" s="4">
        <f>INDEX(Dim_Product!$C$2:$C$4,MATCH(F244,Dim_Product!$A$2:$A$4,0))+0.9</f>
        <v>200.9</v>
      </c>
      <c r="N244" s="4">
        <f>IF(AND(M244&gt;=INDEX(Dim_Product!$C$2:$C$4,MATCH(F244,Dim_Product!$A$2:$A$4,0))-INDEX(Dim_Product!$D$2:$D$4,MATCH(F244,Dim_Product!$A$2:$A$4,0)),M244&lt;=INDEX(Dim_Product!$C$2:$C$4,MATCH(F244,Dim_Product!$A$2:$A$4,0))+INDEX(Dim_Product!$D$2:$D$4,MATCH(F244,Dim_Product!$A$2:$A$4,0))),G244-H244,G244-H244-1)</f>
        <v>31</v>
      </c>
      <c r="O244" s="4">
        <f t="shared" si="27"/>
        <v>1</v>
      </c>
      <c r="P244" s="4">
        <f>INDEX(Dim_Product!$G$2:$G$4,MATCH(F244,Dim_Product!$A$2:$A$4,0))+0.01</f>
        <v>65.010000000000005</v>
      </c>
      <c r="Q244" s="4">
        <f>IF(AND(P244&gt;=INDEX(Dim_Product!$G$2:$G$4,MATCH(F244,Dim_Product!$A$2:$A$4,0))-INDEX(Dim_Product!$H$2:$H$4,MATCH(F244,Dim_Product!$A$2:$A$4,0)),P244&lt;=INDEX(Dim_Product!$G$2:$G$4,MATCH(F244,Dim_Product!$A$2:$A$4,0))+INDEX(Dim_Product!$H$2:$H$4,MATCH(F244,Dim_Product!$A$2:$A$4,0))),G244-H244,G244-H244-1)</f>
        <v>31</v>
      </c>
      <c r="R244" s="4">
        <f t="shared" si="28"/>
        <v>1</v>
      </c>
      <c r="S244" s="4">
        <f>INDEX(Dim_Product!$K$2:$K$4,MATCH(F244,Dim_Product!$A$2:$A$4,0))+0.32</f>
        <v>110.32</v>
      </c>
      <c r="T244" s="4">
        <f>IF(AND(S244&gt;=INDEX(Dim_Product!$K$2:$K$4,MATCH(F244,Dim_Product!$A$2:$A$4,0))-INDEX(Dim_Product!$L$2:$L$4,MATCH(F244,Dim_Product!$A$2:$A$4,0)),S244&lt;=INDEX(Dim_Product!$K$2:$K$4,MATCH(F244,Dim_Product!$A$2:$A$4,0))+INDEX(Dim_Product!$L$2:$L$4,MATCH(F244,Dim_Product!$A$2:$A$4,0))),G244-H244,G244-H244-1)</f>
        <v>31</v>
      </c>
      <c r="U244" s="4">
        <f t="shared" si="29"/>
        <v>1</v>
      </c>
      <c r="V244" s="4">
        <f t="shared" si="30"/>
        <v>3.125E-2</v>
      </c>
      <c r="W244" s="19">
        <f t="shared" si="31"/>
        <v>0.96875</v>
      </c>
    </row>
    <row r="245" spans="1:23" x14ac:dyDescent="0.25">
      <c r="A245" s="18" t="s">
        <v>746</v>
      </c>
      <c r="B245" s="4">
        <f>Fact_Production_Hourly!B245</f>
        <v>20260702</v>
      </c>
      <c r="C245" s="4">
        <f>Fact_Production_Hourly!C245</f>
        <v>10</v>
      </c>
      <c r="D245" s="4" t="str">
        <f>Fact_Production_Hourly!D245</f>
        <v>M6</v>
      </c>
      <c r="E245" s="4" t="str">
        <f>Fact_Production_Hourly!E245</f>
        <v>A-AM</v>
      </c>
      <c r="F245" s="4" t="str">
        <f>Fact_Production_Hourly!F245</f>
        <v>C</v>
      </c>
      <c r="G245" s="4">
        <f>INDEX(Dim_Machine!$D$2:$D$8,MATCH(D245,Dim_Machine!$A$2:$A$8,0))*2</f>
        <v>24</v>
      </c>
      <c r="H245" s="4">
        <f>ROUND(G245*0.0589,0)</f>
        <v>1</v>
      </c>
      <c r="I245" s="4">
        <f t="shared" si="24"/>
        <v>0</v>
      </c>
      <c r="J245" s="4">
        <f t="shared" si="25"/>
        <v>0</v>
      </c>
      <c r="K245" s="4">
        <f t="shared" si="26"/>
        <v>1</v>
      </c>
      <c r="L245" s="4" t="s">
        <v>500</v>
      </c>
      <c r="M245" s="4">
        <f>INDEX(Dim_Product!$C$2:$C$4,MATCH(F245,Dim_Product!$A$2:$A$4,0))+0.93</f>
        <v>200.93</v>
      </c>
      <c r="N245" s="4">
        <f>IF(AND(M245&gt;=INDEX(Dim_Product!$C$2:$C$4,MATCH(F245,Dim_Product!$A$2:$A$4,0))-INDEX(Dim_Product!$D$2:$D$4,MATCH(F245,Dim_Product!$A$2:$A$4,0)),M245&lt;=INDEX(Dim_Product!$C$2:$C$4,MATCH(F245,Dim_Product!$A$2:$A$4,0))+INDEX(Dim_Product!$D$2:$D$4,MATCH(F245,Dim_Product!$A$2:$A$4,0))),G245-H245,G245-H245-1)</f>
        <v>23</v>
      </c>
      <c r="O245" s="4">
        <f t="shared" si="27"/>
        <v>1</v>
      </c>
      <c r="P245" s="4">
        <f>INDEX(Dim_Product!$G$2:$G$4,MATCH(F245,Dim_Product!$A$2:$A$4,0))+0.17</f>
        <v>65.17</v>
      </c>
      <c r="Q245" s="4">
        <f>IF(AND(P245&gt;=INDEX(Dim_Product!$G$2:$G$4,MATCH(F245,Dim_Product!$A$2:$A$4,0))-INDEX(Dim_Product!$H$2:$H$4,MATCH(F245,Dim_Product!$A$2:$A$4,0)),P245&lt;=INDEX(Dim_Product!$G$2:$G$4,MATCH(F245,Dim_Product!$A$2:$A$4,0))+INDEX(Dim_Product!$H$2:$H$4,MATCH(F245,Dim_Product!$A$2:$A$4,0))),G245-H245,G245-H245-1)</f>
        <v>23</v>
      </c>
      <c r="R245" s="4">
        <f t="shared" si="28"/>
        <v>1</v>
      </c>
      <c r="S245" s="4">
        <f>INDEX(Dim_Product!$K$2:$K$4,MATCH(F245,Dim_Product!$A$2:$A$4,0))+0.34</f>
        <v>110.34</v>
      </c>
      <c r="T245" s="4">
        <f>IF(AND(S245&gt;=INDEX(Dim_Product!$K$2:$K$4,MATCH(F245,Dim_Product!$A$2:$A$4,0))-INDEX(Dim_Product!$L$2:$L$4,MATCH(F245,Dim_Product!$A$2:$A$4,0)),S245&lt;=INDEX(Dim_Product!$K$2:$K$4,MATCH(F245,Dim_Product!$A$2:$A$4,0))+INDEX(Dim_Product!$L$2:$L$4,MATCH(F245,Dim_Product!$A$2:$A$4,0))),G245-H245,G245-H245-1)</f>
        <v>23</v>
      </c>
      <c r="U245" s="4">
        <f t="shared" si="29"/>
        <v>1</v>
      </c>
      <c r="V245" s="4">
        <f t="shared" si="30"/>
        <v>4.1666666666666664E-2</v>
      </c>
      <c r="W245" s="19">
        <f t="shared" si="31"/>
        <v>0.95833333333333337</v>
      </c>
    </row>
    <row r="246" spans="1:23" x14ac:dyDescent="0.25">
      <c r="A246" s="18" t="s">
        <v>747</v>
      </c>
      <c r="B246" s="4">
        <f>Fact_Production_Hourly!B246</f>
        <v>20260702</v>
      </c>
      <c r="C246" s="4">
        <f>Fact_Production_Hourly!C246</f>
        <v>10</v>
      </c>
      <c r="D246" s="4" t="str">
        <f>Fact_Production_Hourly!D246</f>
        <v>M7</v>
      </c>
      <c r="E246" s="4" t="str">
        <f>Fact_Production_Hourly!E246</f>
        <v>A-AM</v>
      </c>
      <c r="F246" s="4" t="str">
        <f>Fact_Production_Hourly!F246</f>
        <v>C</v>
      </c>
      <c r="G246" s="4">
        <f>INDEX(Dim_Machine!$D$2:$D$8,MATCH(D246,Dim_Machine!$A$2:$A$8,0))*2</f>
        <v>48</v>
      </c>
      <c r="H246" s="4">
        <f>ROUND(G246*0.0695,0)</f>
        <v>3</v>
      </c>
      <c r="I246" s="4">
        <f t="shared" si="24"/>
        <v>0</v>
      </c>
      <c r="J246" s="4">
        <f t="shared" si="25"/>
        <v>1</v>
      </c>
      <c r="K246" s="4">
        <f t="shared" si="26"/>
        <v>2</v>
      </c>
      <c r="L246" s="4" t="s">
        <v>520</v>
      </c>
      <c r="M246" s="4">
        <f>INDEX(Dim_Product!$C$2:$C$4,MATCH(F246,Dim_Product!$A$2:$A$4,0))+-0.75</f>
        <v>199.25</v>
      </c>
      <c r="N246" s="4">
        <f>IF(AND(M246&gt;=INDEX(Dim_Product!$C$2:$C$4,MATCH(F246,Dim_Product!$A$2:$A$4,0))-INDEX(Dim_Product!$D$2:$D$4,MATCH(F246,Dim_Product!$A$2:$A$4,0)),M246&lt;=INDEX(Dim_Product!$C$2:$C$4,MATCH(F246,Dim_Product!$A$2:$A$4,0))+INDEX(Dim_Product!$D$2:$D$4,MATCH(F246,Dim_Product!$A$2:$A$4,0))),G246-H246,G246-H246-1)</f>
        <v>45</v>
      </c>
      <c r="O246" s="4">
        <f t="shared" si="27"/>
        <v>3</v>
      </c>
      <c r="P246" s="4">
        <f>INDEX(Dim_Product!$G$2:$G$4,MATCH(F246,Dim_Product!$A$2:$A$4,0))+0.22</f>
        <v>65.22</v>
      </c>
      <c r="Q246" s="4">
        <f>IF(AND(P246&gt;=INDEX(Dim_Product!$G$2:$G$4,MATCH(F246,Dim_Product!$A$2:$A$4,0))-INDEX(Dim_Product!$H$2:$H$4,MATCH(F246,Dim_Product!$A$2:$A$4,0)),P246&lt;=INDEX(Dim_Product!$G$2:$G$4,MATCH(F246,Dim_Product!$A$2:$A$4,0))+INDEX(Dim_Product!$H$2:$H$4,MATCH(F246,Dim_Product!$A$2:$A$4,0))),G246-H246,G246-H246-1)</f>
        <v>45</v>
      </c>
      <c r="R246" s="4">
        <f t="shared" si="28"/>
        <v>3</v>
      </c>
      <c r="S246" s="4">
        <f>INDEX(Dim_Product!$K$2:$K$4,MATCH(F246,Dim_Product!$A$2:$A$4,0))+-0.2</f>
        <v>109.8</v>
      </c>
      <c r="T246" s="4">
        <f>IF(AND(S246&gt;=INDEX(Dim_Product!$K$2:$K$4,MATCH(F246,Dim_Product!$A$2:$A$4,0))-INDEX(Dim_Product!$L$2:$L$4,MATCH(F246,Dim_Product!$A$2:$A$4,0)),S246&lt;=INDEX(Dim_Product!$K$2:$K$4,MATCH(F246,Dim_Product!$A$2:$A$4,0))+INDEX(Dim_Product!$L$2:$L$4,MATCH(F246,Dim_Product!$A$2:$A$4,0))),G246-H246,G246-H246-1)</f>
        <v>45</v>
      </c>
      <c r="U246" s="4">
        <f t="shared" si="29"/>
        <v>3</v>
      </c>
      <c r="V246" s="4">
        <f t="shared" si="30"/>
        <v>6.25E-2</v>
      </c>
      <c r="W246" s="19">
        <f t="shared" si="31"/>
        <v>0.9375</v>
      </c>
    </row>
    <row r="247" spans="1:23" x14ac:dyDescent="0.25">
      <c r="A247" s="18" t="s">
        <v>748</v>
      </c>
      <c r="B247" s="4">
        <f>Fact_Production_Hourly!B247</f>
        <v>20260702</v>
      </c>
      <c r="C247" s="4">
        <f>Fact_Production_Hourly!C247</f>
        <v>11</v>
      </c>
      <c r="D247" s="4" t="str">
        <f>Fact_Production_Hourly!D247</f>
        <v>M1</v>
      </c>
      <c r="E247" s="4" t="str">
        <f>Fact_Production_Hourly!E247</f>
        <v>A-AM</v>
      </c>
      <c r="F247" s="4" t="str">
        <f>Fact_Production_Hourly!F247</f>
        <v>C</v>
      </c>
      <c r="G247" s="4">
        <f>INDEX(Dim_Machine!$D$2:$D$8,MATCH(D247,Dim_Machine!$A$2:$A$8,0))*2</f>
        <v>32</v>
      </c>
      <c r="H247" s="4">
        <f>ROUND(G247*0.0527,0)</f>
        <v>2</v>
      </c>
      <c r="I247" s="4">
        <f t="shared" si="24"/>
        <v>0</v>
      </c>
      <c r="J247" s="4">
        <f t="shared" si="25"/>
        <v>1</v>
      </c>
      <c r="K247" s="4">
        <f t="shared" si="26"/>
        <v>1</v>
      </c>
      <c r="L247" s="4" t="s">
        <v>500</v>
      </c>
      <c r="M247" s="4">
        <f>INDEX(Dim_Product!$C$2:$C$4,MATCH(F247,Dim_Product!$A$2:$A$4,0))+0.52</f>
        <v>200.52</v>
      </c>
      <c r="N247" s="4">
        <f>IF(AND(M247&gt;=INDEX(Dim_Product!$C$2:$C$4,MATCH(F247,Dim_Product!$A$2:$A$4,0))-INDEX(Dim_Product!$D$2:$D$4,MATCH(F247,Dim_Product!$A$2:$A$4,0)),M247&lt;=INDEX(Dim_Product!$C$2:$C$4,MATCH(F247,Dim_Product!$A$2:$A$4,0))+INDEX(Dim_Product!$D$2:$D$4,MATCH(F247,Dim_Product!$A$2:$A$4,0))),G247-H247,G247-H247-1)</f>
        <v>30</v>
      </c>
      <c r="O247" s="4">
        <f t="shared" si="27"/>
        <v>2</v>
      </c>
      <c r="P247" s="4">
        <f>INDEX(Dim_Product!$G$2:$G$4,MATCH(F247,Dim_Product!$A$2:$A$4,0))+0.11</f>
        <v>65.11</v>
      </c>
      <c r="Q247" s="4">
        <f>IF(AND(P247&gt;=INDEX(Dim_Product!$G$2:$G$4,MATCH(F247,Dim_Product!$A$2:$A$4,0))-INDEX(Dim_Product!$H$2:$H$4,MATCH(F247,Dim_Product!$A$2:$A$4,0)),P247&lt;=INDEX(Dim_Product!$G$2:$G$4,MATCH(F247,Dim_Product!$A$2:$A$4,0))+INDEX(Dim_Product!$H$2:$H$4,MATCH(F247,Dim_Product!$A$2:$A$4,0))),G247-H247,G247-H247-1)</f>
        <v>30</v>
      </c>
      <c r="R247" s="4">
        <f t="shared" si="28"/>
        <v>2</v>
      </c>
      <c r="S247" s="4">
        <f>INDEX(Dim_Product!$K$2:$K$4,MATCH(F247,Dim_Product!$A$2:$A$4,0))+-0.01</f>
        <v>109.99</v>
      </c>
      <c r="T247" s="4">
        <f>IF(AND(S247&gt;=INDEX(Dim_Product!$K$2:$K$4,MATCH(F247,Dim_Product!$A$2:$A$4,0))-INDEX(Dim_Product!$L$2:$L$4,MATCH(F247,Dim_Product!$A$2:$A$4,0)),S247&lt;=INDEX(Dim_Product!$K$2:$K$4,MATCH(F247,Dim_Product!$A$2:$A$4,0))+INDEX(Dim_Product!$L$2:$L$4,MATCH(F247,Dim_Product!$A$2:$A$4,0))),G247-H247,G247-H247-1)</f>
        <v>30</v>
      </c>
      <c r="U247" s="4">
        <f t="shared" si="29"/>
        <v>2</v>
      </c>
      <c r="V247" s="4">
        <f t="shared" si="30"/>
        <v>6.25E-2</v>
      </c>
      <c r="W247" s="19">
        <f t="shared" si="31"/>
        <v>0.9375</v>
      </c>
    </row>
    <row r="248" spans="1:23" x14ac:dyDescent="0.25">
      <c r="A248" s="18" t="s">
        <v>749</v>
      </c>
      <c r="B248" s="4">
        <f>Fact_Production_Hourly!B248</f>
        <v>20260702</v>
      </c>
      <c r="C248" s="4">
        <f>Fact_Production_Hourly!C248</f>
        <v>11</v>
      </c>
      <c r="D248" s="4" t="str">
        <f>Fact_Production_Hourly!D248</f>
        <v>M2</v>
      </c>
      <c r="E248" s="4" t="str">
        <f>Fact_Production_Hourly!E248</f>
        <v>A-AM</v>
      </c>
      <c r="F248" s="4" t="str">
        <f>Fact_Production_Hourly!F248</f>
        <v>A</v>
      </c>
      <c r="G248" s="4">
        <f>INDEX(Dim_Machine!$D$2:$D$8,MATCH(D248,Dim_Machine!$A$2:$A$8,0))*2</f>
        <v>48</v>
      </c>
      <c r="H248" s="4">
        <f>ROUND(G248*0.0446,0)</f>
        <v>2</v>
      </c>
      <c r="I248" s="4">
        <f t="shared" si="24"/>
        <v>0</v>
      </c>
      <c r="J248" s="4">
        <f t="shared" si="25"/>
        <v>1</v>
      </c>
      <c r="K248" s="4">
        <f t="shared" si="26"/>
        <v>1</v>
      </c>
      <c r="L248" s="4" t="s">
        <v>517</v>
      </c>
      <c r="M248" s="4">
        <f>INDEX(Dim_Product!$C$2:$C$4,MATCH(F248,Dim_Product!$A$2:$A$4,0))+0.26</f>
        <v>250.26</v>
      </c>
      <c r="N248" s="4">
        <f>IF(AND(M248&gt;=INDEX(Dim_Product!$C$2:$C$4,MATCH(F248,Dim_Product!$A$2:$A$4,0))-INDEX(Dim_Product!$D$2:$D$4,MATCH(F248,Dim_Product!$A$2:$A$4,0)),M248&lt;=INDEX(Dim_Product!$C$2:$C$4,MATCH(F248,Dim_Product!$A$2:$A$4,0))+INDEX(Dim_Product!$D$2:$D$4,MATCH(F248,Dim_Product!$A$2:$A$4,0))),G248-H248,G248-H248-1)</f>
        <v>46</v>
      </c>
      <c r="O248" s="4">
        <f t="shared" si="27"/>
        <v>2</v>
      </c>
      <c r="P248" s="4">
        <f>INDEX(Dim_Product!$G$2:$G$4,MATCH(F248,Dim_Product!$A$2:$A$4,0))+-0.07</f>
        <v>69.930000000000007</v>
      </c>
      <c r="Q248" s="4">
        <f>IF(AND(P248&gt;=INDEX(Dim_Product!$G$2:$G$4,MATCH(F248,Dim_Product!$A$2:$A$4,0))-INDEX(Dim_Product!$H$2:$H$4,MATCH(F248,Dim_Product!$A$2:$A$4,0)),P248&lt;=INDEX(Dim_Product!$G$2:$G$4,MATCH(F248,Dim_Product!$A$2:$A$4,0))+INDEX(Dim_Product!$H$2:$H$4,MATCH(F248,Dim_Product!$A$2:$A$4,0))),G248-H248,G248-H248-1)</f>
        <v>46</v>
      </c>
      <c r="R248" s="4">
        <f t="shared" si="28"/>
        <v>2</v>
      </c>
      <c r="S248" s="4">
        <f>INDEX(Dim_Product!$K$2:$K$4,MATCH(F248,Dim_Product!$A$2:$A$4,0))+-0.34</f>
        <v>119.66</v>
      </c>
      <c r="T248" s="4">
        <f>IF(AND(S248&gt;=INDEX(Dim_Product!$K$2:$K$4,MATCH(F248,Dim_Product!$A$2:$A$4,0))-INDEX(Dim_Product!$L$2:$L$4,MATCH(F248,Dim_Product!$A$2:$A$4,0)),S248&lt;=INDEX(Dim_Product!$K$2:$K$4,MATCH(F248,Dim_Product!$A$2:$A$4,0))+INDEX(Dim_Product!$L$2:$L$4,MATCH(F248,Dim_Product!$A$2:$A$4,0))),G248-H248,G248-H248-1)</f>
        <v>46</v>
      </c>
      <c r="U248" s="4">
        <f t="shared" si="29"/>
        <v>2</v>
      </c>
      <c r="V248" s="4">
        <f t="shared" si="30"/>
        <v>4.1666666666666664E-2</v>
      </c>
      <c r="W248" s="19">
        <f t="shared" si="31"/>
        <v>0.95833333333333337</v>
      </c>
    </row>
    <row r="249" spans="1:23" x14ac:dyDescent="0.25">
      <c r="A249" s="18" t="s">
        <v>750</v>
      </c>
      <c r="B249" s="4">
        <f>Fact_Production_Hourly!B249</f>
        <v>20260702</v>
      </c>
      <c r="C249" s="4">
        <f>Fact_Production_Hourly!C249</f>
        <v>11</v>
      </c>
      <c r="D249" s="4" t="str">
        <f>Fact_Production_Hourly!D249</f>
        <v>M3</v>
      </c>
      <c r="E249" s="4" t="str">
        <f>Fact_Production_Hourly!E249</f>
        <v>A-AM</v>
      </c>
      <c r="F249" s="4" t="str">
        <f>Fact_Production_Hourly!F249</f>
        <v>A</v>
      </c>
      <c r="G249" s="4">
        <f>INDEX(Dim_Machine!$D$2:$D$8,MATCH(D249,Dim_Machine!$A$2:$A$8,0))*2</f>
        <v>24</v>
      </c>
      <c r="H249" s="4">
        <f>ROUND(G249*0.0577,0)</f>
        <v>1</v>
      </c>
      <c r="I249" s="4">
        <f t="shared" si="24"/>
        <v>0</v>
      </c>
      <c r="J249" s="4">
        <f t="shared" si="25"/>
        <v>0</v>
      </c>
      <c r="K249" s="4">
        <f t="shared" si="26"/>
        <v>1</v>
      </c>
      <c r="L249" s="4" t="s">
        <v>498</v>
      </c>
      <c r="M249" s="4">
        <f>INDEX(Dim_Product!$C$2:$C$4,MATCH(F249,Dim_Product!$A$2:$A$4,0))+-0.19</f>
        <v>249.81</v>
      </c>
      <c r="N249" s="4">
        <f>IF(AND(M249&gt;=INDEX(Dim_Product!$C$2:$C$4,MATCH(F249,Dim_Product!$A$2:$A$4,0))-INDEX(Dim_Product!$D$2:$D$4,MATCH(F249,Dim_Product!$A$2:$A$4,0)),M249&lt;=INDEX(Dim_Product!$C$2:$C$4,MATCH(F249,Dim_Product!$A$2:$A$4,0))+INDEX(Dim_Product!$D$2:$D$4,MATCH(F249,Dim_Product!$A$2:$A$4,0))),G249-H249,G249-H249-1)</f>
        <v>23</v>
      </c>
      <c r="O249" s="4">
        <f t="shared" si="27"/>
        <v>1</v>
      </c>
      <c r="P249" s="4">
        <f>INDEX(Dim_Product!$G$2:$G$4,MATCH(F249,Dim_Product!$A$2:$A$4,0))+0.15</f>
        <v>70.150000000000006</v>
      </c>
      <c r="Q249" s="4">
        <f>IF(AND(P249&gt;=INDEX(Dim_Product!$G$2:$G$4,MATCH(F249,Dim_Product!$A$2:$A$4,0))-INDEX(Dim_Product!$H$2:$H$4,MATCH(F249,Dim_Product!$A$2:$A$4,0)),P249&lt;=INDEX(Dim_Product!$G$2:$G$4,MATCH(F249,Dim_Product!$A$2:$A$4,0))+INDEX(Dim_Product!$H$2:$H$4,MATCH(F249,Dim_Product!$A$2:$A$4,0))),G249-H249,G249-H249-1)</f>
        <v>23</v>
      </c>
      <c r="R249" s="4">
        <f t="shared" si="28"/>
        <v>1</v>
      </c>
      <c r="S249" s="4">
        <f>INDEX(Dim_Product!$K$2:$K$4,MATCH(F249,Dim_Product!$A$2:$A$4,0))+0.16</f>
        <v>120.16</v>
      </c>
      <c r="T249" s="4">
        <f>IF(AND(S249&gt;=INDEX(Dim_Product!$K$2:$K$4,MATCH(F249,Dim_Product!$A$2:$A$4,0))-INDEX(Dim_Product!$L$2:$L$4,MATCH(F249,Dim_Product!$A$2:$A$4,0)),S249&lt;=INDEX(Dim_Product!$K$2:$K$4,MATCH(F249,Dim_Product!$A$2:$A$4,0))+INDEX(Dim_Product!$L$2:$L$4,MATCH(F249,Dim_Product!$A$2:$A$4,0))),G249-H249,G249-H249-1)</f>
        <v>23</v>
      </c>
      <c r="U249" s="4">
        <f t="shared" si="29"/>
        <v>1</v>
      </c>
      <c r="V249" s="4">
        <f t="shared" si="30"/>
        <v>4.1666666666666664E-2</v>
      </c>
      <c r="W249" s="19">
        <f t="shared" si="31"/>
        <v>0.95833333333333337</v>
      </c>
    </row>
    <row r="250" spans="1:23" x14ac:dyDescent="0.25">
      <c r="A250" s="18" t="s">
        <v>751</v>
      </c>
      <c r="B250" s="4">
        <f>Fact_Production_Hourly!B250</f>
        <v>20260702</v>
      </c>
      <c r="C250" s="4">
        <f>Fact_Production_Hourly!C250</f>
        <v>11</v>
      </c>
      <c r="D250" s="4" t="str">
        <f>Fact_Production_Hourly!D250</f>
        <v>M4</v>
      </c>
      <c r="E250" s="4" t="str">
        <f>Fact_Production_Hourly!E250</f>
        <v>A-AM</v>
      </c>
      <c r="F250" s="4" t="str">
        <f>Fact_Production_Hourly!F250</f>
        <v>A</v>
      </c>
      <c r="G250" s="4">
        <f>INDEX(Dim_Machine!$D$2:$D$8,MATCH(D250,Dim_Machine!$A$2:$A$8,0))*2</f>
        <v>48</v>
      </c>
      <c r="H250" s="4">
        <f>ROUND(G250*0.0626,0)</f>
        <v>3</v>
      </c>
      <c r="I250" s="4">
        <f t="shared" si="24"/>
        <v>0</v>
      </c>
      <c r="J250" s="4">
        <f t="shared" si="25"/>
        <v>1</v>
      </c>
      <c r="K250" s="4">
        <f t="shared" si="26"/>
        <v>2</v>
      </c>
      <c r="L250" s="4" t="s">
        <v>503</v>
      </c>
      <c r="M250" s="4">
        <f>INDEX(Dim_Product!$C$2:$C$4,MATCH(F250,Dim_Product!$A$2:$A$4,0))+0.9</f>
        <v>250.9</v>
      </c>
      <c r="N250" s="4">
        <f>IF(AND(M250&gt;=INDEX(Dim_Product!$C$2:$C$4,MATCH(F250,Dim_Product!$A$2:$A$4,0))-INDEX(Dim_Product!$D$2:$D$4,MATCH(F250,Dim_Product!$A$2:$A$4,0)),M250&lt;=INDEX(Dim_Product!$C$2:$C$4,MATCH(F250,Dim_Product!$A$2:$A$4,0))+INDEX(Dim_Product!$D$2:$D$4,MATCH(F250,Dim_Product!$A$2:$A$4,0))),G250-H250,G250-H250-1)</f>
        <v>45</v>
      </c>
      <c r="O250" s="4">
        <f t="shared" si="27"/>
        <v>3</v>
      </c>
      <c r="P250" s="4">
        <f>INDEX(Dim_Product!$G$2:$G$4,MATCH(F250,Dim_Product!$A$2:$A$4,0))+-0.1</f>
        <v>69.900000000000006</v>
      </c>
      <c r="Q250" s="4">
        <f>IF(AND(P250&gt;=INDEX(Dim_Product!$G$2:$G$4,MATCH(F250,Dim_Product!$A$2:$A$4,0))-INDEX(Dim_Product!$H$2:$H$4,MATCH(F250,Dim_Product!$A$2:$A$4,0)),P250&lt;=INDEX(Dim_Product!$G$2:$G$4,MATCH(F250,Dim_Product!$A$2:$A$4,0))+INDEX(Dim_Product!$H$2:$H$4,MATCH(F250,Dim_Product!$A$2:$A$4,0))),G250-H250,G250-H250-1)</f>
        <v>45</v>
      </c>
      <c r="R250" s="4">
        <f t="shared" si="28"/>
        <v>3</v>
      </c>
      <c r="S250" s="4">
        <f>INDEX(Dim_Product!$K$2:$K$4,MATCH(F250,Dim_Product!$A$2:$A$4,0))+-0.4</f>
        <v>119.6</v>
      </c>
      <c r="T250" s="4">
        <f>IF(AND(S250&gt;=INDEX(Dim_Product!$K$2:$K$4,MATCH(F250,Dim_Product!$A$2:$A$4,0))-INDEX(Dim_Product!$L$2:$L$4,MATCH(F250,Dim_Product!$A$2:$A$4,0)),S250&lt;=INDEX(Dim_Product!$K$2:$K$4,MATCH(F250,Dim_Product!$A$2:$A$4,0))+INDEX(Dim_Product!$L$2:$L$4,MATCH(F250,Dim_Product!$A$2:$A$4,0))),G250-H250,G250-H250-1)</f>
        <v>45</v>
      </c>
      <c r="U250" s="4">
        <f t="shared" si="29"/>
        <v>3</v>
      </c>
      <c r="V250" s="4">
        <f t="shared" si="30"/>
        <v>6.25E-2</v>
      </c>
      <c r="W250" s="19">
        <f t="shared" si="31"/>
        <v>0.9375</v>
      </c>
    </row>
    <row r="251" spans="1:23" x14ac:dyDescent="0.25">
      <c r="A251" s="18" t="s">
        <v>752</v>
      </c>
      <c r="B251" s="4">
        <f>Fact_Production_Hourly!B251</f>
        <v>20260702</v>
      </c>
      <c r="C251" s="4">
        <f>Fact_Production_Hourly!C251</f>
        <v>11</v>
      </c>
      <c r="D251" s="4" t="str">
        <f>Fact_Production_Hourly!D251</f>
        <v>M5</v>
      </c>
      <c r="E251" s="4" t="str">
        <f>Fact_Production_Hourly!E251</f>
        <v>A-AM</v>
      </c>
      <c r="F251" s="4" t="str">
        <f>Fact_Production_Hourly!F251</f>
        <v>C</v>
      </c>
      <c r="G251" s="4">
        <f>INDEX(Dim_Machine!$D$2:$D$8,MATCH(D251,Dim_Machine!$A$2:$A$8,0))*2</f>
        <v>32</v>
      </c>
      <c r="H251" s="4">
        <f>ROUND(G251*0.0564,0)</f>
        <v>2</v>
      </c>
      <c r="I251" s="4">
        <f t="shared" si="24"/>
        <v>0</v>
      </c>
      <c r="J251" s="4">
        <f t="shared" si="25"/>
        <v>1</v>
      </c>
      <c r="K251" s="4">
        <f t="shared" si="26"/>
        <v>1</v>
      </c>
      <c r="L251" s="4" t="s">
        <v>520</v>
      </c>
      <c r="M251" s="4">
        <f>INDEX(Dim_Product!$C$2:$C$4,MATCH(F251,Dim_Product!$A$2:$A$4,0))+-0.81</f>
        <v>199.19</v>
      </c>
      <c r="N251" s="4">
        <f>IF(AND(M251&gt;=INDEX(Dim_Product!$C$2:$C$4,MATCH(F251,Dim_Product!$A$2:$A$4,0))-INDEX(Dim_Product!$D$2:$D$4,MATCH(F251,Dim_Product!$A$2:$A$4,0)),M251&lt;=INDEX(Dim_Product!$C$2:$C$4,MATCH(F251,Dim_Product!$A$2:$A$4,0))+INDEX(Dim_Product!$D$2:$D$4,MATCH(F251,Dim_Product!$A$2:$A$4,0))),G251-H251,G251-H251-1)</f>
        <v>30</v>
      </c>
      <c r="O251" s="4">
        <f t="shared" si="27"/>
        <v>2</v>
      </c>
      <c r="P251" s="4">
        <f>INDEX(Dim_Product!$G$2:$G$4,MATCH(F251,Dim_Product!$A$2:$A$4,0))+0.28</f>
        <v>65.28</v>
      </c>
      <c r="Q251" s="4">
        <f>IF(AND(P251&gt;=INDEX(Dim_Product!$G$2:$G$4,MATCH(F251,Dim_Product!$A$2:$A$4,0))-INDEX(Dim_Product!$H$2:$H$4,MATCH(F251,Dim_Product!$A$2:$A$4,0)),P251&lt;=INDEX(Dim_Product!$G$2:$G$4,MATCH(F251,Dim_Product!$A$2:$A$4,0))+INDEX(Dim_Product!$H$2:$H$4,MATCH(F251,Dim_Product!$A$2:$A$4,0))),G251-H251,G251-H251-1)</f>
        <v>30</v>
      </c>
      <c r="R251" s="4">
        <f t="shared" si="28"/>
        <v>2</v>
      </c>
      <c r="S251" s="4">
        <f>INDEX(Dim_Product!$K$2:$K$4,MATCH(F251,Dim_Product!$A$2:$A$4,0))+0.11</f>
        <v>110.11</v>
      </c>
      <c r="T251" s="4">
        <f>IF(AND(S251&gt;=INDEX(Dim_Product!$K$2:$K$4,MATCH(F251,Dim_Product!$A$2:$A$4,0))-INDEX(Dim_Product!$L$2:$L$4,MATCH(F251,Dim_Product!$A$2:$A$4,0)),S251&lt;=INDEX(Dim_Product!$K$2:$K$4,MATCH(F251,Dim_Product!$A$2:$A$4,0))+INDEX(Dim_Product!$L$2:$L$4,MATCH(F251,Dim_Product!$A$2:$A$4,0))),G251-H251,G251-H251-1)</f>
        <v>30</v>
      </c>
      <c r="U251" s="4">
        <f t="shared" si="29"/>
        <v>2</v>
      </c>
      <c r="V251" s="4">
        <f t="shared" si="30"/>
        <v>6.25E-2</v>
      </c>
      <c r="W251" s="19">
        <f t="shared" si="31"/>
        <v>0.9375</v>
      </c>
    </row>
    <row r="252" spans="1:23" x14ac:dyDescent="0.25">
      <c r="A252" s="18" t="s">
        <v>753</v>
      </c>
      <c r="B252" s="4">
        <f>Fact_Production_Hourly!B252</f>
        <v>20260702</v>
      </c>
      <c r="C252" s="4">
        <f>Fact_Production_Hourly!C252</f>
        <v>11</v>
      </c>
      <c r="D252" s="4" t="str">
        <f>Fact_Production_Hourly!D252</f>
        <v>M6</v>
      </c>
      <c r="E252" s="4" t="str">
        <f>Fact_Production_Hourly!E252</f>
        <v>A-AM</v>
      </c>
      <c r="F252" s="4" t="str">
        <f>Fact_Production_Hourly!F252</f>
        <v>C</v>
      </c>
      <c r="G252" s="4">
        <f>INDEX(Dim_Machine!$D$2:$D$8,MATCH(D252,Dim_Machine!$A$2:$A$8,0))*2</f>
        <v>24</v>
      </c>
      <c r="H252" s="4">
        <f>ROUND(G252*0.0518,0)</f>
        <v>1</v>
      </c>
      <c r="I252" s="4">
        <f t="shared" si="24"/>
        <v>0</v>
      </c>
      <c r="J252" s="4">
        <f t="shared" si="25"/>
        <v>0</v>
      </c>
      <c r="K252" s="4">
        <f t="shared" si="26"/>
        <v>1</v>
      </c>
      <c r="L252" s="4" t="s">
        <v>498</v>
      </c>
      <c r="M252" s="4">
        <f>INDEX(Dim_Product!$C$2:$C$4,MATCH(F252,Dim_Product!$A$2:$A$4,0))+0.59</f>
        <v>200.59</v>
      </c>
      <c r="N252" s="4">
        <f>IF(AND(M252&gt;=INDEX(Dim_Product!$C$2:$C$4,MATCH(F252,Dim_Product!$A$2:$A$4,0))-INDEX(Dim_Product!$D$2:$D$4,MATCH(F252,Dim_Product!$A$2:$A$4,0)),M252&lt;=INDEX(Dim_Product!$C$2:$C$4,MATCH(F252,Dim_Product!$A$2:$A$4,0))+INDEX(Dim_Product!$D$2:$D$4,MATCH(F252,Dim_Product!$A$2:$A$4,0))),G252-H252,G252-H252-1)</f>
        <v>23</v>
      </c>
      <c r="O252" s="4">
        <f t="shared" si="27"/>
        <v>1</v>
      </c>
      <c r="P252" s="4">
        <f>INDEX(Dim_Product!$G$2:$G$4,MATCH(F252,Dim_Product!$A$2:$A$4,0))+-0.06</f>
        <v>64.94</v>
      </c>
      <c r="Q252" s="4">
        <f>IF(AND(P252&gt;=INDEX(Dim_Product!$G$2:$G$4,MATCH(F252,Dim_Product!$A$2:$A$4,0))-INDEX(Dim_Product!$H$2:$H$4,MATCH(F252,Dim_Product!$A$2:$A$4,0)),P252&lt;=INDEX(Dim_Product!$G$2:$G$4,MATCH(F252,Dim_Product!$A$2:$A$4,0))+INDEX(Dim_Product!$H$2:$H$4,MATCH(F252,Dim_Product!$A$2:$A$4,0))),G252-H252,G252-H252-1)</f>
        <v>23</v>
      </c>
      <c r="R252" s="4">
        <f t="shared" si="28"/>
        <v>1</v>
      </c>
      <c r="S252" s="4">
        <f>INDEX(Dim_Product!$K$2:$K$4,MATCH(F252,Dim_Product!$A$2:$A$4,0))+0.37</f>
        <v>110.37</v>
      </c>
      <c r="T252" s="4">
        <f>IF(AND(S252&gt;=INDEX(Dim_Product!$K$2:$K$4,MATCH(F252,Dim_Product!$A$2:$A$4,0))-INDEX(Dim_Product!$L$2:$L$4,MATCH(F252,Dim_Product!$A$2:$A$4,0)),S252&lt;=INDEX(Dim_Product!$K$2:$K$4,MATCH(F252,Dim_Product!$A$2:$A$4,0))+INDEX(Dim_Product!$L$2:$L$4,MATCH(F252,Dim_Product!$A$2:$A$4,0))),G252-H252,G252-H252-1)</f>
        <v>23</v>
      </c>
      <c r="U252" s="4">
        <f t="shared" si="29"/>
        <v>1</v>
      </c>
      <c r="V252" s="4">
        <f t="shared" si="30"/>
        <v>4.1666666666666664E-2</v>
      </c>
      <c r="W252" s="19">
        <f t="shared" si="31"/>
        <v>0.95833333333333337</v>
      </c>
    </row>
    <row r="253" spans="1:23" x14ac:dyDescent="0.25">
      <c r="A253" s="18" t="s">
        <v>754</v>
      </c>
      <c r="B253" s="4">
        <f>Fact_Production_Hourly!B253</f>
        <v>20260702</v>
      </c>
      <c r="C253" s="4">
        <f>Fact_Production_Hourly!C253</f>
        <v>11</v>
      </c>
      <c r="D253" s="4" t="str">
        <f>Fact_Production_Hourly!D253</f>
        <v>M7</v>
      </c>
      <c r="E253" s="4" t="str">
        <f>Fact_Production_Hourly!E253</f>
        <v>A-AM</v>
      </c>
      <c r="F253" s="4" t="str">
        <f>Fact_Production_Hourly!F253</f>
        <v>C</v>
      </c>
      <c r="G253" s="4">
        <f>INDEX(Dim_Machine!$D$2:$D$8,MATCH(D253,Dim_Machine!$A$2:$A$8,0))*2</f>
        <v>48</v>
      </c>
      <c r="H253" s="4">
        <f>ROUND(G253*0.0595,0)</f>
        <v>3</v>
      </c>
      <c r="I253" s="4">
        <f t="shared" si="24"/>
        <v>0</v>
      </c>
      <c r="J253" s="4">
        <f t="shared" si="25"/>
        <v>1</v>
      </c>
      <c r="K253" s="4">
        <f t="shared" si="26"/>
        <v>2</v>
      </c>
      <c r="L253" s="4" t="s">
        <v>503</v>
      </c>
      <c r="M253" s="4">
        <f>INDEX(Dim_Product!$C$2:$C$4,MATCH(F253,Dim_Product!$A$2:$A$4,0))+-0.46</f>
        <v>199.54</v>
      </c>
      <c r="N253" s="4">
        <f>IF(AND(M253&gt;=INDEX(Dim_Product!$C$2:$C$4,MATCH(F253,Dim_Product!$A$2:$A$4,0))-INDEX(Dim_Product!$D$2:$D$4,MATCH(F253,Dim_Product!$A$2:$A$4,0)),M253&lt;=INDEX(Dim_Product!$C$2:$C$4,MATCH(F253,Dim_Product!$A$2:$A$4,0))+INDEX(Dim_Product!$D$2:$D$4,MATCH(F253,Dim_Product!$A$2:$A$4,0))),G253-H253,G253-H253-1)</f>
        <v>45</v>
      </c>
      <c r="O253" s="4">
        <f t="shared" si="27"/>
        <v>3</v>
      </c>
      <c r="P253" s="4">
        <f>INDEX(Dim_Product!$G$2:$G$4,MATCH(F253,Dim_Product!$A$2:$A$4,0))+0.2</f>
        <v>65.2</v>
      </c>
      <c r="Q253" s="4">
        <f>IF(AND(P253&gt;=INDEX(Dim_Product!$G$2:$G$4,MATCH(F253,Dim_Product!$A$2:$A$4,0))-INDEX(Dim_Product!$H$2:$H$4,MATCH(F253,Dim_Product!$A$2:$A$4,0)),P253&lt;=INDEX(Dim_Product!$G$2:$G$4,MATCH(F253,Dim_Product!$A$2:$A$4,0))+INDEX(Dim_Product!$H$2:$H$4,MATCH(F253,Dim_Product!$A$2:$A$4,0))),G253-H253,G253-H253-1)</f>
        <v>45</v>
      </c>
      <c r="R253" s="4">
        <f t="shared" si="28"/>
        <v>3</v>
      </c>
      <c r="S253" s="4">
        <f>INDEX(Dim_Product!$K$2:$K$4,MATCH(F253,Dim_Product!$A$2:$A$4,0))+-0.13</f>
        <v>109.87</v>
      </c>
      <c r="T253" s="4">
        <f>IF(AND(S253&gt;=INDEX(Dim_Product!$K$2:$K$4,MATCH(F253,Dim_Product!$A$2:$A$4,0))-INDEX(Dim_Product!$L$2:$L$4,MATCH(F253,Dim_Product!$A$2:$A$4,0)),S253&lt;=INDEX(Dim_Product!$K$2:$K$4,MATCH(F253,Dim_Product!$A$2:$A$4,0))+INDEX(Dim_Product!$L$2:$L$4,MATCH(F253,Dim_Product!$A$2:$A$4,0))),G253-H253,G253-H253-1)</f>
        <v>45</v>
      </c>
      <c r="U253" s="4">
        <f t="shared" si="29"/>
        <v>3</v>
      </c>
      <c r="V253" s="4">
        <f t="shared" si="30"/>
        <v>6.25E-2</v>
      </c>
      <c r="W253" s="19">
        <f t="shared" si="31"/>
        <v>0.9375</v>
      </c>
    </row>
    <row r="254" spans="1:23" x14ac:dyDescent="0.25">
      <c r="A254" s="18" t="s">
        <v>755</v>
      </c>
      <c r="B254" s="4">
        <f>Fact_Production_Hourly!B254</f>
        <v>20260702</v>
      </c>
      <c r="C254" s="4">
        <f>Fact_Production_Hourly!C254</f>
        <v>12</v>
      </c>
      <c r="D254" s="4" t="str">
        <f>Fact_Production_Hourly!D254</f>
        <v>M1</v>
      </c>
      <c r="E254" s="4" t="str">
        <f>Fact_Production_Hourly!E254</f>
        <v>A-AM</v>
      </c>
      <c r="F254" s="4" t="str">
        <f>Fact_Production_Hourly!F254</f>
        <v>C</v>
      </c>
      <c r="G254" s="4">
        <f>INDEX(Dim_Machine!$D$2:$D$8,MATCH(D254,Dim_Machine!$A$2:$A$8,0))*2</f>
        <v>32</v>
      </c>
      <c r="H254" s="4">
        <f>ROUND(G254*0.0447,0)</f>
        <v>1</v>
      </c>
      <c r="I254" s="4">
        <f t="shared" si="24"/>
        <v>0</v>
      </c>
      <c r="J254" s="4">
        <f t="shared" si="25"/>
        <v>0</v>
      </c>
      <c r="K254" s="4">
        <f t="shared" si="26"/>
        <v>1</v>
      </c>
      <c r="L254" s="4" t="s">
        <v>509</v>
      </c>
      <c r="M254" s="4">
        <f>INDEX(Dim_Product!$C$2:$C$4,MATCH(F254,Dim_Product!$A$2:$A$4,0))+0.7</f>
        <v>200.7</v>
      </c>
      <c r="N254" s="4">
        <f>IF(AND(M254&gt;=INDEX(Dim_Product!$C$2:$C$4,MATCH(F254,Dim_Product!$A$2:$A$4,0))-INDEX(Dim_Product!$D$2:$D$4,MATCH(F254,Dim_Product!$A$2:$A$4,0)),M254&lt;=INDEX(Dim_Product!$C$2:$C$4,MATCH(F254,Dim_Product!$A$2:$A$4,0))+INDEX(Dim_Product!$D$2:$D$4,MATCH(F254,Dim_Product!$A$2:$A$4,0))),G254-H254,G254-H254-1)</f>
        <v>31</v>
      </c>
      <c r="O254" s="4">
        <f t="shared" si="27"/>
        <v>1</v>
      </c>
      <c r="P254" s="4">
        <f>INDEX(Dim_Product!$G$2:$G$4,MATCH(F254,Dim_Product!$A$2:$A$4,0))+0.17</f>
        <v>65.17</v>
      </c>
      <c r="Q254" s="4">
        <f>IF(AND(P254&gt;=INDEX(Dim_Product!$G$2:$G$4,MATCH(F254,Dim_Product!$A$2:$A$4,0))-INDEX(Dim_Product!$H$2:$H$4,MATCH(F254,Dim_Product!$A$2:$A$4,0)),P254&lt;=INDEX(Dim_Product!$G$2:$G$4,MATCH(F254,Dim_Product!$A$2:$A$4,0))+INDEX(Dim_Product!$H$2:$H$4,MATCH(F254,Dim_Product!$A$2:$A$4,0))),G254-H254,G254-H254-1)</f>
        <v>31</v>
      </c>
      <c r="R254" s="4">
        <f t="shared" si="28"/>
        <v>1</v>
      </c>
      <c r="S254" s="4">
        <f>INDEX(Dim_Product!$K$2:$K$4,MATCH(F254,Dim_Product!$A$2:$A$4,0))+0.32</f>
        <v>110.32</v>
      </c>
      <c r="T254" s="4">
        <f>IF(AND(S254&gt;=INDEX(Dim_Product!$K$2:$K$4,MATCH(F254,Dim_Product!$A$2:$A$4,0))-INDEX(Dim_Product!$L$2:$L$4,MATCH(F254,Dim_Product!$A$2:$A$4,0)),S254&lt;=INDEX(Dim_Product!$K$2:$K$4,MATCH(F254,Dim_Product!$A$2:$A$4,0))+INDEX(Dim_Product!$L$2:$L$4,MATCH(F254,Dim_Product!$A$2:$A$4,0))),G254-H254,G254-H254-1)</f>
        <v>31</v>
      </c>
      <c r="U254" s="4">
        <f t="shared" si="29"/>
        <v>1</v>
      </c>
      <c r="V254" s="4">
        <f t="shared" si="30"/>
        <v>3.125E-2</v>
      </c>
      <c r="W254" s="19">
        <f t="shared" si="31"/>
        <v>0.96875</v>
      </c>
    </row>
    <row r="255" spans="1:23" x14ac:dyDescent="0.25">
      <c r="A255" s="18" t="s">
        <v>756</v>
      </c>
      <c r="B255" s="4">
        <f>Fact_Production_Hourly!B255</f>
        <v>20260702</v>
      </c>
      <c r="C255" s="4">
        <f>Fact_Production_Hourly!C255</f>
        <v>12</v>
      </c>
      <c r="D255" s="4" t="str">
        <f>Fact_Production_Hourly!D255</f>
        <v>M2</v>
      </c>
      <c r="E255" s="4" t="str">
        <f>Fact_Production_Hourly!E255</f>
        <v>A-AM</v>
      </c>
      <c r="F255" s="4" t="str">
        <f>Fact_Production_Hourly!F255</f>
        <v>A</v>
      </c>
      <c r="G255" s="4">
        <f>INDEX(Dim_Machine!$D$2:$D$8,MATCH(D255,Dim_Machine!$A$2:$A$8,0))*2</f>
        <v>48</v>
      </c>
      <c r="H255" s="4">
        <f>ROUND(G255*0.0557,0)</f>
        <v>3</v>
      </c>
      <c r="I255" s="4">
        <f t="shared" si="24"/>
        <v>0</v>
      </c>
      <c r="J255" s="4">
        <f t="shared" si="25"/>
        <v>1</v>
      </c>
      <c r="K255" s="4">
        <f t="shared" si="26"/>
        <v>2</v>
      </c>
      <c r="L255" s="4" t="s">
        <v>498</v>
      </c>
      <c r="M255" s="4">
        <f>INDEX(Dim_Product!$C$2:$C$4,MATCH(F255,Dim_Product!$A$2:$A$4,0))+-0.8</f>
        <v>249.2</v>
      </c>
      <c r="N255" s="4">
        <f>IF(AND(M255&gt;=INDEX(Dim_Product!$C$2:$C$4,MATCH(F255,Dim_Product!$A$2:$A$4,0))-INDEX(Dim_Product!$D$2:$D$4,MATCH(F255,Dim_Product!$A$2:$A$4,0)),M255&lt;=INDEX(Dim_Product!$C$2:$C$4,MATCH(F255,Dim_Product!$A$2:$A$4,0))+INDEX(Dim_Product!$D$2:$D$4,MATCH(F255,Dim_Product!$A$2:$A$4,0))),G255-H255,G255-H255-1)</f>
        <v>45</v>
      </c>
      <c r="O255" s="4">
        <f t="shared" si="27"/>
        <v>3</v>
      </c>
      <c r="P255" s="4">
        <f>INDEX(Dim_Product!$G$2:$G$4,MATCH(F255,Dim_Product!$A$2:$A$4,0))+0.17</f>
        <v>70.17</v>
      </c>
      <c r="Q255" s="4">
        <f>IF(AND(P255&gt;=INDEX(Dim_Product!$G$2:$G$4,MATCH(F255,Dim_Product!$A$2:$A$4,0))-INDEX(Dim_Product!$H$2:$H$4,MATCH(F255,Dim_Product!$A$2:$A$4,0)),P255&lt;=INDEX(Dim_Product!$G$2:$G$4,MATCH(F255,Dim_Product!$A$2:$A$4,0))+INDEX(Dim_Product!$H$2:$H$4,MATCH(F255,Dim_Product!$A$2:$A$4,0))),G255-H255,G255-H255-1)</f>
        <v>45</v>
      </c>
      <c r="R255" s="4">
        <f t="shared" si="28"/>
        <v>3</v>
      </c>
      <c r="S255" s="4">
        <f>INDEX(Dim_Product!$K$2:$K$4,MATCH(F255,Dim_Product!$A$2:$A$4,0))+-0.03</f>
        <v>119.97</v>
      </c>
      <c r="T255" s="4">
        <f>IF(AND(S255&gt;=INDEX(Dim_Product!$K$2:$K$4,MATCH(F255,Dim_Product!$A$2:$A$4,0))-INDEX(Dim_Product!$L$2:$L$4,MATCH(F255,Dim_Product!$A$2:$A$4,0)),S255&lt;=INDEX(Dim_Product!$K$2:$K$4,MATCH(F255,Dim_Product!$A$2:$A$4,0))+INDEX(Dim_Product!$L$2:$L$4,MATCH(F255,Dim_Product!$A$2:$A$4,0))),G255-H255,G255-H255-1)</f>
        <v>45</v>
      </c>
      <c r="U255" s="4">
        <f t="shared" si="29"/>
        <v>3</v>
      </c>
      <c r="V255" s="4">
        <f t="shared" si="30"/>
        <v>6.25E-2</v>
      </c>
      <c r="W255" s="19">
        <f t="shared" si="31"/>
        <v>0.9375</v>
      </c>
    </row>
    <row r="256" spans="1:23" x14ac:dyDescent="0.25">
      <c r="A256" s="18" t="s">
        <v>757</v>
      </c>
      <c r="B256" s="4">
        <f>Fact_Production_Hourly!B256</f>
        <v>20260702</v>
      </c>
      <c r="C256" s="4">
        <f>Fact_Production_Hourly!C256</f>
        <v>12</v>
      </c>
      <c r="D256" s="4" t="str">
        <f>Fact_Production_Hourly!D256</f>
        <v>M3</v>
      </c>
      <c r="E256" s="4" t="str">
        <f>Fact_Production_Hourly!E256</f>
        <v>A-AM</v>
      </c>
      <c r="F256" s="4" t="str">
        <f>Fact_Production_Hourly!F256</f>
        <v>A</v>
      </c>
      <c r="G256" s="4">
        <f>INDEX(Dim_Machine!$D$2:$D$8,MATCH(D256,Dim_Machine!$A$2:$A$8,0))*2</f>
        <v>24</v>
      </c>
      <c r="H256" s="4">
        <f>ROUND(G256*0.0175,0)</f>
        <v>0</v>
      </c>
      <c r="I256" s="4">
        <f t="shared" si="24"/>
        <v>0</v>
      </c>
      <c r="J256" s="4">
        <f t="shared" si="25"/>
        <v>0</v>
      </c>
      <c r="K256" s="4">
        <f t="shared" si="26"/>
        <v>0</v>
      </c>
      <c r="L256" s="4" t="s">
        <v>500</v>
      </c>
      <c r="M256" s="4">
        <f>INDEX(Dim_Product!$C$2:$C$4,MATCH(F256,Dim_Product!$A$2:$A$4,0))+-0.12</f>
        <v>249.88</v>
      </c>
      <c r="N256" s="4">
        <f>IF(AND(M256&gt;=INDEX(Dim_Product!$C$2:$C$4,MATCH(F256,Dim_Product!$A$2:$A$4,0))-INDEX(Dim_Product!$D$2:$D$4,MATCH(F256,Dim_Product!$A$2:$A$4,0)),M256&lt;=INDEX(Dim_Product!$C$2:$C$4,MATCH(F256,Dim_Product!$A$2:$A$4,0))+INDEX(Dim_Product!$D$2:$D$4,MATCH(F256,Dim_Product!$A$2:$A$4,0))),G256-H256,G256-H256-1)</f>
        <v>24</v>
      </c>
      <c r="O256" s="4">
        <f t="shared" si="27"/>
        <v>0</v>
      </c>
      <c r="P256" s="4">
        <f>INDEX(Dim_Product!$G$2:$G$4,MATCH(F256,Dim_Product!$A$2:$A$4,0))+-0.3</f>
        <v>69.7</v>
      </c>
      <c r="Q256" s="4">
        <f>IF(AND(P256&gt;=INDEX(Dim_Product!$G$2:$G$4,MATCH(F256,Dim_Product!$A$2:$A$4,0))-INDEX(Dim_Product!$H$2:$H$4,MATCH(F256,Dim_Product!$A$2:$A$4,0)),P256&lt;=INDEX(Dim_Product!$G$2:$G$4,MATCH(F256,Dim_Product!$A$2:$A$4,0))+INDEX(Dim_Product!$H$2:$H$4,MATCH(F256,Dim_Product!$A$2:$A$4,0))),G256-H256,G256-H256-1)</f>
        <v>24</v>
      </c>
      <c r="R256" s="4">
        <f t="shared" si="28"/>
        <v>0</v>
      </c>
      <c r="S256" s="4">
        <f>INDEX(Dim_Product!$K$2:$K$4,MATCH(F256,Dim_Product!$A$2:$A$4,0))+0.37</f>
        <v>120.37</v>
      </c>
      <c r="T256" s="4">
        <f>IF(AND(S256&gt;=INDEX(Dim_Product!$K$2:$K$4,MATCH(F256,Dim_Product!$A$2:$A$4,0))-INDEX(Dim_Product!$L$2:$L$4,MATCH(F256,Dim_Product!$A$2:$A$4,0)),S256&lt;=INDEX(Dim_Product!$K$2:$K$4,MATCH(F256,Dim_Product!$A$2:$A$4,0))+INDEX(Dim_Product!$L$2:$L$4,MATCH(F256,Dim_Product!$A$2:$A$4,0))),G256-H256,G256-H256-1)</f>
        <v>24</v>
      </c>
      <c r="U256" s="4">
        <f t="shared" si="29"/>
        <v>0</v>
      </c>
      <c r="V256" s="4">
        <f t="shared" si="30"/>
        <v>0</v>
      </c>
      <c r="W256" s="19">
        <f t="shared" si="31"/>
        <v>1</v>
      </c>
    </row>
    <row r="257" spans="1:23" x14ac:dyDescent="0.25">
      <c r="A257" s="18" t="s">
        <v>758</v>
      </c>
      <c r="B257" s="4">
        <f>Fact_Production_Hourly!B257</f>
        <v>20260702</v>
      </c>
      <c r="C257" s="4">
        <f>Fact_Production_Hourly!C257</f>
        <v>12</v>
      </c>
      <c r="D257" s="4" t="str">
        <f>Fact_Production_Hourly!D257</f>
        <v>M4</v>
      </c>
      <c r="E257" s="4" t="str">
        <f>Fact_Production_Hourly!E257</f>
        <v>A-AM</v>
      </c>
      <c r="F257" s="4" t="str">
        <f>Fact_Production_Hourly!F257</f>
        <v>A</v>
      </c>
      <c r="G257" s="4">
        <f>INDEX(Dim_Machine!$D$2:$D$8,MATCH(D257,Dim_Machine!$A$2:$A$8,0))*2</f>
        <v>48</v>
      </c>
      <c r="H257" s="4">
        <f>ROUND(G257*0.0221,0)</f>
        <v>1</v>
      </c>
      <c r="I257" s="4">
        <f t="shared" si="24"/>
        <v>0</v>
      </c>
      <c r="J257" s="4">
        <f t="shared" si="25"/>
        <v>0</v>
      </c>
      <c r="K257" s="4">
        <f t="shared" si="26"/>
        <v>1</v>
      </c>
      <c r="L257" s="4" t="s">
        <v>520</v>
      </c>
      <c r="M257" s="4">
        <f>INDEX(Dim_Product!$C$2:$C$4,MATCH(F257,Dim_Product!$A$2:$A$4,0))+0.82</f>
        <v>250.82</v>
      </c>
      <c r="N257" s="4">
        <f>IF(AND(M257&gt;=INDEX(Dim_Product!$C$2:$C$4,MATCH(F257,Dim_Product!$A$2:$A$4,0))-INDEX(Dim_Product!$D$2:$D$4,MATCH(F257,Dim_Product!$A$2:$A$4,0)),M257&lt;=INDEX(Dim_Product!$C$2:$C$4,MATCH(F257,Dim_Product!$A$2:$A$4,0))+INDEX(Dim_Product!$D$2:$D$4,MATCH(F257,Dim_Product!$A$2:$A$4,0))),G257-H257,G257-H257-1)</f>
        <v>47</v>
      </c>
      <c r="O257" s="4">
        <f t="shared" si="27"/>
        <v>1</v>
      </c>
      <c r="P257" s="4">
        <f>INDEX(Dim_Product!$G$2:$G$4,MATCH(F257,Dim_Product!$A$2:$A$4,0))+0.23</f>
        <v>70.23</v>
      </c>
      <c r="Q257" s="4">
        <f>IF(AND(P257&gt;=INDEX(Dim_Product!$G$2:$G$4,MATCH(F257,Dim_Product!$A$2:$A$4,0))-INDEX(Dim_Product!$H$2:$H$4,MATCH(F257,Dim_Product!$A$2:$A$4,0)),P257&lt;=INDEX(Dim_Product!$G$2:$G$4,MATCH(F257,Dim_Product!$A$2:$A$4,0))+INDEX(Dim_Product!$H$2:$H$4,MATCH(F257,Dim_Product!$A$2:$A$4,0))),G257-H257,G257-H257-1)</f>
        <v>47</v>
      </c>
      <c r="R257" s="4">
        <f t="shared" si="28"/>
        <v>1</v>
      </c>
      <c r="S257" s="4">
        <f>INDEX(Dim_Product!$K$2:$K$4,MATCH(F257,Dim_Product!$A$2:$A$4,0))+-0.16</f>
        <v>119.84</v>
      </c>
      <c r="T257" s="4">
        <f>IF(AND(S257&gt;=INDEX(Dim_Product!$K$2:$K$4,MATCH(F257,Dim_Product!$A$2:$A$4,0))-INDEX(Dim_Product!$L$2:$L$4,MATCH(F257,Dim_Product!$A$2:$A$4,0)),S257&lt;=INDEX(Dim_Product!$K$2:$K$4,MATCH(F257,Dim_Product!$A$2:$A$4,0))+INDEX(Dim_Product!$L$2:$L$4,MATCH(F257,Dim_Product!$A$2:$A$4,0))),G257-H257,G257-H257-1)</f>
        <v>47</v>
      </c>
      <c r="U257" s="4">
        <f t="shared" si="29"/>
        <v>1</v>
      </c>
      <c r="V257" s="4">
        <f t="shared" si="30"/>
        <v>2.0833333333333332E-2</v>
      </c>
      <c r="W257" s="19">
        <f t="shared" si="31"/>
        <v>0.97916666666666663</v>
      </c>
    </row>
    <row r="258" spans="1:23" x14ac:dyDescent="0.25">
      <c r="A258" s="18" t="s">
        <v>759</v>
      </c>
      <c r="B258" s="4">
        <f>Fact_Production_Hourly!B258</f>
        <v>20260702</v>
      </c>
      <c r="C258" s="4">
        <f>Fact_Production_Hourly!C258</f>
        <v>12</v>
      </c>
      <c r="D258" s="4" t="str">
        <f>Fact_Production_Hourly!D258</f>
        <v>M5</v>
      </c>
      <c r="E258" s="4" t="str">
        <f>Fact_Production_Hourly!E258</f>
        <v>A-AM</v>
      </c>
      <c r="F258" s="4" t="str">
        <f>Fact_Production_Hourly!F258</f>
        <v>C</v>
      </c>
      <c r="G258" s="4">
        <f>INDEX(Dim_Machine!$D$2:$D$8,MATCH(D258,Dim_Machine!$A$2:$A$8,0))*2</f>
        <v>32</v>
      </c>
      <c r="H258" s="4">
        <f>ROUND(G258*0.0625,0)</f>
        <v>2</v>
      </c>
      <c r="I258" s="4">
        <f t="shared" ref="I258:I321" si="32">ROUND(H258*0.15,0)</f>
        <v>0</v>
      </c>
      <c r="J258" s="4">
        <f t="shared" ref="J258:J321" si="33">ROUND(H258*0.45,0)</f>
        <v>1</v>
      </c>
      <c r="K258" s="4">
        <f t="shared" ref="K258:K321" si="34">MAX(H258-I258-J258,0)</f>
        <v>1</v>
      </c>
      <c r="L258" s="4" t="s">
        <v>517</v>
      </c>
      <c r="M258" s="4">
        <f>INDEX(Dim_Product!$C$2:$C$4,MATCH(F258,Dim_Product!$A$2:$A$4,0))+-0.81</f>
        <v>199.19</v>
      </c>
      <c r="N258" s="4">
        <f>IF(AND(M258&gt;=INDEX(Dim_Product!$C$2:$C$4,MATCH(F258,Dim_Product!$A$2:$A$4,0))-INDEX(Dim_Product!$D$2:$D$4,MATCH(F258,Dim_Product!$A$2:$A$4,0)),M258&lt;=INDEX(Dim_Product!$C$2:$C$4,MATCH(F258,Dim_Product!$A$2:$A$4,0))+INDEX(Dim_Product!$D$2:$D$4,MATCH(F258,Dim_Product!$A$2:$A$4,0))),G258-H258,G258-H258-1)</f>
        <v>30</v>
      </c>
      <c r="O258" s="4">
        <f t="shared" ref="O258:O321" si="35">G258-N258</f>
        <v>2</v>
      </c>
      <c r="P258" s="4">
        <f>INDEX(Dim_Product!$G$2:$G$4,MATCH(F258,Dim_Product!$A$2:$A$4,0))+-0.08</f>
        <v>64.92</v>
      </c>
      <c r="Q258" s="4">
        <f>IF(AND(P258&gt;=INDEX(Dim_Product!$G$2:$G$4,MATCH(F258,Dim_Product!$A$2:$A$4,0))-INDEX(Dim_Product!$H$2:$H$4,MATCH(F258,Dim_Product!$A$2:$A$4,0)),P258&lt;=INDEX(Dim_Product!$G$2:$G$4,MATCH(F258,Dim_Product!$A$2:$A$4,0))+INDEX(Dim_Product!$H$2:$H$4,MATCH(F258,Dim_Product!$A$2:$A$4,0))),G258-H258,G258-H258-1)</f>
        <v>30</v>
      </c>
      <c r="R258" s="4">
        <f t="shared" ref="R258:R321" si="36">G258-Q258</f>
        <v>2</v>
      </c>
      <c r="S258" s="4">
        <f>INDEX(Dim_Product!$K$2:$K$4,MATCH(F258,Dim_Product!$A$2:$A$4,0))+-0.33</f>
        <v>109.67</v>
      </c>
      <c r="T258" s="4">
        <f>IF(AND(S258&gt;=INDEX(Dim_Product!$K$2:$K$4,MATCH(F258,Dim_Product!$A$2:$A$4,0))-INDEX(Dim_Product!$L$2:$L$4,MATCH(F258,Dim_Product!$A$2:$A$4,0)),S258&lt;=INDEX(Dim_Product!$K$2:$K$4,MATCH(F258,Dim_Product!$A$2:$A$4,0))+INDEX(Dim_Product!$L$2:$L$4,MATCH(F258,Dim_Product!$A$2:$A$4,0))),G258-H258,G258-H258-1)</f>
        <v>30</v>
      </c>
      <c r="U258" s="4">
        <f t="shared" ref="U258:U321" si="37">G258-T258</f>
        <v>2</v>
      </c>
      <c r="V258" s="4">
        <f t="shared" ref="V258:V321" si="38">IFERROR(H258/G258,0)</f>
        <v>6.25E-2</v>
      </c>
      <c r="W258" s="19">
        <f t="shared" ref="W258:W321" si="39">1-V258</f>
        <v>0.9375</v>
      </c>
    </row>
    <row r="259" spans="1:23" x14ac:dyDescent="0.25">
      <c r="A259" s="18" t="s">
        <v>760</v>
      </c>
      <c r="B259" s="4">
        <f>Fact_Production_Hourly!B259</f>
        <v>20260702</v>
      </c>
      <c r="C259" s="4">
        <f>Fact_Production_Hourly!C259</f>
        <v>12</v>
      </c>
      <c r="D259" s="4" t="str">
        <f>Fact_Production_Hourly!D259</f>
        <v>M6</v>
      </c>
      <c r="E259" s="4" t="str">
        <f>Fact_Production_Hourly!E259</f>
        <v>A-AM</v>
      </c>
      <c r="F259" s="4" t="str">
        <f>Fact_Production_Hourly!F259</f>
        <v>C</v>
      </c>
      <c r="G259" s="4">
        <f>INDEX(Dim_Machine!$D$2:$D$8,MATCH(D259,Dim_Machine!$A$2:$A$8,0))*2</f>
        <v>24</v>
      </c>
      <c r="H259" s="4">
        <f>ROUND(G259*0.0499,0)</f>
        <v>1</v>
      </c>
      <c r="I259" s="4">
        <f t="shared" si="32"/>
        <v>0</v>
      </c>
      <c r="J259" s="4">
        <f t="shared" si="33"/>
        <v>0</v>
      </c>
      <c r="K259" s="4">
        <f t="shared" si="34"/>
        <v>1</v>
      </c>
      <c r="L259" s="4" t="s">
        <v>520</v>
      </c>
      <c r="M259" s="4">
        <f>INDEX(Dim_Product!$C$2:$C$4,MATCH(F259,Dim_Product!$A$2:$A$4,0))+-0.67</f>
        <v>199.33</v>
      </c>
      <c r="N259" s="4">
        <f>IF(AND(M259&gt;=INDEX(Dim_Product!$C$2:$C$4,MATCH(F259,Dim_Product!$A$2:$A$4,0))-INDEX(Dim_Product!$D$2:$D$4,MATCH(F259,Dim_Product!$A$2:$A$4,0)),M259&lt;=INDEX(Dim_Product!$C$2:$C$4,MATCH(F259,Dim_Product!$A$2:$A$4,0))+INDEX(Dim_Product!$D$2:$D$4,MATCH(F259,Dim_Product!$A$2:$A$4,0))),G259-H259,G259-H259-1)</f>
        <v>23</v>
      </c>
      <c r="O259" s="4">
        <f t="shared" si="35"/>
        <v>1</v>
      </c>
      <c r="P259" s="4">
        <f>INDEX(Dim_Product!$G$2:$G$4,MATCH(F259,Dim_Product!$A$2:$A$4,0))+-0.06</f>
        <v>64.94</v>
      </c>
      <c r="Q259" s="4">
        <f>IF(AND(P259&gt;=INDEX(Dim_Product!$G$2:$G$4,MATCH(F259,Dim_Product!$A$2:$A$4,0))-INDEX(Dim_Product!$H$2:$H$4,MATCH(F259,Dim_Product!$A$2:$A$4,0)),P259&lt;=INDEX(Dim_Product!$G$2:$G$4,MATCH(F259,Dim_Product!$A$2:$A$4,0))+INDEX(Dim_Product!$H$2:$H$4,MATCH(F259,Dim_Product!$A$2:$A$4,0))),G259-H259,G259-H259-1)</f>
        <v>23</v>
      </c>
      <c r="R259" s="4">
        <f t="shared" si="36"/>
        <v>1</v>
      </c>
      <c r="S259" s="4">
        <f>INDEX(Dim_Product!$K$2:$K$4,MATCH(F259,Dim_Product!$A$2:$A$4,0))+-0.16</f>
        <v>109.84</v>
      </c>
      <c r="T259" s="4">
        <f>IF(AND(S259&gt;=INDEX(Dim_Product!$K$2:$K$4,MATCH(F259,Dim_Product!$A$2:$A$4,0))-INDEX(Dim_Product!$L$2:$L$4,MATCH(F259,Dim_Product!$A$2:$A$4,0)),S259&lt;=INDEX(Dim_Product!$K$2:$K$4,MATCH(F259,Dim_Product!$A$2:$A$4,0))+INDEX(Dim_Product!$L$2:$L$4,MATCH(F259,Dim_Product!$A$2:$A$4,0))),G259-H259,G259-H259-1)</f>
        <v>23</v>
      </c>
      <c r="U259" s="4">
        <f t="shared" si="37"/>
        <v>1</v>
      </c>
      <c r="V259" s="4">
        <f t="shared" si="38"/>
        <v>4.1666666666666664E-2</v>
      </c>
      <c r="W259" s="19">
        <f t="shared" si="39"/>
        <v>0.95833333333333337</v>
      </c>
    </row>
    <row r="260" spans="1:23" x14ac:dyDescent="0.25">
      <c r="A260" s="18" t="s">
        <v>761</v>
      </c>
      <c r="B260" s="4">
        <f>Fact_Production_Hourly!B260</f>
        <v>20260702</v>
      </c>
      <c r="C260" s="4">
        <f>Fact_Production_Hourly!C260</f>
        <v>12</v>
      </c>
      <c r="D260" s="4" t="str">
        <f>Fact_Production_Hourly!D260</f>
        <v>M7</v>
      </c>
      <c r="E260" s="4" t="str">
        <f>Fact_Production_Hourly!E260</f>
        <v>A-AM</v>
      </c>
      <c r="F260" s="4" t="str">
        <f>Fact_Production_Hourly!F260</f>
        <v>C</v>
      </c>
      <c r="G260" s="4">
        <f>INDEX(Dim_Machine!$D$2:$D$8,MATCH(D260,Dim_Machine!$A$2:$A$8,0))*2</f>
        <v>48</v>
      </c>
      <c r="H260" s="4">
        <f>ROUND(G260*0.052,0)</f>
        <v>2</v>
      </c>
      <c r="I260" s="4">
        <f t="shared" si="32"/>
        <v>0</v>
      </c>
      <c r="J260" s="4">
        <f t="shared" si="33"/>
        <v>1</v>
      </c>
      <c r="K260" s="4">
        <f t="shared" si="34"/>
        <v>1</v>
      </c>
      <c r="L260" s="4" t="s">
        <v>500</v>
      </c>
      <c r="M260" s="4">
        <f>INDEX(Dim_Product!$C$2:$C$4,MATCH(F260,Dim_Product!$A$2:$A$4,0))+-0.14</f>
        <v>199.86</v>
      </c>
      <c r="N260" s="4">
        <f>IF(AND(M260&gt;=INDEX(Dim_Product!$C$2:$C$4,MATCH(F260,Dim_Product!$A$2:$A$4,0))-INDEX(Dim_Product!$D$2:$D$4,MATCH(F260,Dim_Product!$A$2:$A$4,0)),M260&lt;=INDEX(Dim_Product!$C$2:$C$4,MATCH(F260,Dim_Product!$A$2:$A$4,0))+INDEX(Dim_Product!$D$2:$D$4,MATCH(F260,Dim_Product!$A$2:$A$4,0))),G260-H260,G260-H260-1)</f>
        <v>46</v>
      </c>
      <c r="O260" s="4">
        <f t="shared" si="35"/>
        <v>2</v>
      </c>
      <c r="P260" s="4">
        <f>INDEX(Dim_Product!$G$2:$G$4,MATCH(F260,Dim_Product!$A$2:$A$4,0))+-0.25</f>
        <v>64.75</v>
      </c>
      <c r="Q260" s="4">
        <f>IF(AND(P260&gt;=INDEX(Dim_Product!$G$2:$G$4,MATCH(F260,Dim_Product!$A$2:$A$4,0))-INDEX(Dim_Product!$H$2:$H$4,MATCH(F260,Dim_Product!$A$2:$A$4,0)),P260&lt;=INDEX(Dim_Product!$G$2:$G$4,MATCH(F260,Dim_Product!$A$2:$A$4,0))+INDEX(Dim_Product!$H$2:$H$4,MATCH(F260,Dim_Product!$A$2:$A$4,0))),G260-H260,G260-H260-1)</f>
        <v>46</v>
      </c>
      <c r="R260" s="4">
        <f t="shared" si="36"/>
        <v>2</v>
      </c>
      <c r="S260" s="4">
        <f>INDEX(Dim_Product!$K$2:$K$4,MATCH(F260,Dim_Product!$A$2:$A$4,0))+-0.32</f>
        <v>109.68</v>
      </c>
      <c r="T260" s="4">
        <f>IF(AND(S260&gt;=INDEX(Dim_Product!$K$2:$K$4,MATCH(F260,Dim_Product!$A$2:$A$4,0))-INDEX(Dim_Product!$L$2:$L$4,MATCH(F260,Dim_Product!$A$2:$A$4,0)),S260&lt;=INDEX(Dim_Product!$K$2:$K$4,MATCH(F260,Dim_Product!$A$2:$A$4,0))+INDEX(Dim_Product!$L$2:$L$4,MATCH(F260,Dim_Product!$A$2:$A$4,0))),G260-H260,G260-H260-1)</f>
        <v>46</v>
      </c>
      <c r="U260" s="4">
        <f t="shared" si="37"/>
        <v>2</v>
      </c>
      <c r="V260" s="4">
        <f t="shared" si="38"/>
        <v>4.1666666666666664E-2</v>
      </c>
      <c r="W260" s="19">
        <f t="shared" si="39"/>
        <v>0.95833333333333337</v>
      </c>
    </row>
    <row r="261" spans="1:23" x14ac:dyDescent="0.25">
      <c r="A261" s="18" t="s">
        <v>762</v>
      </c>
      <c r="B261" s="4">
        <f>Fact_Production_Hourly!B261</f>
        <v>20260702</v>
      </c>
      <c r="C261" s="4">
        <f>Fact_Production_Hourly!C261</f>
        <v>13</v>
      </c>
      <c r="D261" s="4" t="str">
        <f>Fact_Production_Hourly!D261</f>
        <v>M1</v>
      </c>
      <c r="E261" s="4" t="str">
        <f>Fact_Production_Hourly!E261</f>
        <v>A-AM</v>
      </c>
      <c r="F261" s="4" t="str">
        <f>Fact_Production_Hourly!F261</f>
        <v>C</v>
      </c>
      <c r="G261" s="4">
        <f>INDEX(Dim_Machine!$D$2:$D$8,MATCH(D261,Dim_Machine!$A$2:$A$8,0))*2</f>
        <v>32</v>
      </c>
      <c r="H261" s="4">
        <f>ROUND(G261*0.0228,0)</f>
        <v>1</v>
      </c>
      <c r="I261" s="4">
        <f t="shared" si="32"/>
        <v>0</v>
      </c>
      <c r="J261" s="4">
        <f t="shared" si="33"/>
        <v>0</v>
      </c>
      <c r="K261" s="4">
        <f t="shared" si="34"/>
        <v>1</v>
      </c>
      <c r="L261" s="4" t="s">
        <v>498</v>
      </c>
      <c r="M261" s="4">
        <f>INDEX(Dim_Product!$C$2:$C$4,MATCH(F261,Dim_Product!$A$2:$A$4,0))+-0.73</f>
        <v>199.27</v>
      </c>
      <c r="N261" s="4">
        <f>IF(AND(M261&gt;=INDEX(Dim_Product!$C$2:$C$4,MATCH(F261,Dim_Product!$A$2:$A$4,0))-INDEX(Dim_Product!$D$2:$D$4,MATCH(F261,Dim_Product!$A$2:$A$4,0)),M261&lt;=INDEX(Dim_Product!$C$2:$C$4,MATCH(F261,Dim_Product!$A$2:$A$4,0))+INDEX(Dim_Product!$D$2:$D$4,MATCH(F261,Dim_Product!$A$2:$A$4,0))),G261-H261,G261-H261-1)</f>
        <v>31</v>
      </c>
      <c r="O261" s="4">
        <f t="shared" si="35"/>
        <v>1</v>
      </c>
      <c r="P261" s="4">
        <f>INDEX(Dim_Product!$G$2:$G$4,MATCH(F261,Dim_Product!$A$2:$A$4,0))+-0.16</f>
        <v>64.84</v>
      </c>
      <c r="Q261" s="4">
        <f>IF(AND(P261&gt;=INDEX(Dim_Product!$G$2:$G$4,MATCH(F261,Dim_Product!$A$2:$A$4,0))-INDEX(Dim_Product!$H$2:$H$4,MATCH(F261,Dim_Product!$A$2:$A$4,0)),P261&lt;=INDEX(Dim_Product!$G$2:$G$4,MATCH(F261,Dim_Product!$A$2:$A$4,0))+INDEX(Dim_Product!$H$2:$H$4,MATCH(F261,Dim_Product!$A$2:$A$4,0))),G261-H261,G261-H261-1)</f>
        <v>31</v>
      </c>
      <c r="R261" s="4">
        <f t="shared" si="36"/>
        <v>1</v>
      </c>
      <c r="S261" s="4">
        <f>INDEX(Dim_Product!$K$2:$K$4,MATCH(F261,Dim_Product!$A$2:$A$4,0))+0.14</f>
        <v>110.14</v>
      </c>
      <c r="T261" s="4">
        <f>IF(AND(S261&gt;=INDEX(Dim_Product!$K$2:$K$4,MATCH(F261,Dim_Product!$A$2:$A$4,0))-INDEX(Dim_Product!$L$2:$L$4,MATCH(F261,Dim_Product!$A$2:$A$4,0)),S261&lt;=INDEX(Dim_Product!$K$2:$K$4,MATCH(F261,Dim_Product!$A$2:$A$4,0))+INDEX(Dim_Product!$L$2:$L$4,MATCH(F261,Dim_Product!$A$2:$A$4,0))),G261-H261,G261-H261-1)</f>
        <v>31</v>
      </c>
      <c r="U261" s="4">
        <f t="shared" si="37"/>
        <v>1</v>
      </c>
      <c r="V261" s="4">
        <f t="shared" si="38"/>
        <v>3.125E-2</v>
      </c>
      <c r="W261" s="19">
        <f t="shared" si="39"/>
        <v>0.96875</v>
      </c>
    </row>
    <row r="262" spans="1:23" x14ac:dyDescent="0.25">
      <c r="A262" s="18" t="s">
        <v>763</v>
      </c>
      <c r="B262" s="4">
        <f>Fact_Production_Hourly!B262</f>
        <v>20260702</v>
      </c>
      <c r="C262" s="4">
        <f>Fact_Production_Hourly!C262</f>
        <v>13</v>
      </c>
      <c r="D262" s="4" t="str">
        <f>Fact_Production_Hourly!D262</f>
        <v>M2</v>
      </c>
      <c r="E262" s="4" t="str">
        <f>Fact_Production_Hourly!E262</f>
        <v>A-AM</v>
      </c>
      <c r="F262" s="4" t="str">
        <f>Fact_Production_Hourly!F262</f>
        <v>A</v>
      </c>
      <c r="G262" s="4">
        <f>INDEX(Dim_Machine!$D$2:$D$8,MATCH(D262,Dim_Machine!$A$2:$A$8,0))*2</f>
        <v>48</v>
      </c>
      <c r="H262" s="4">
        <f>ROUND(G262*0.0106,0)</f>
        <v>1</v>
      </c>
      <c r="I262" s="4">
        <f t="shared" si="32"/>
        <v>0</v>
      </c>
      <c r="J262" s="4">
        <f t="shared" si="33"/>
        <v>0</v>
      </c>
      <c r="K262" s="4">
        <f t="shared" si="34"/>
        <v>1</v>
      </c>
      <c r="L262" s="4" t="s">
        <v>520</v>
      </c>
      <c r="M262" s="4">
        <f>INDEX(Dim_Product!$C$2:$C$4,MATCH(F262,Dim_Product!$A$2:$A$4,0))+-0.31</f>
        <v>249.69</v>
      </c>
      <c r="N262" s="4">
        <f>IF(AND(M262&gt;=INDEX(Dim_Product!$C$2:$C$4,MATCH(F262,Dim_Product!$A$2:$A$4,0))-INDEX(Dim_Product!$D$2:$D$4,MATCH(F262,Dim_Product!$A$2:$A$4,0)),M262&lt;=INDEX(Dim_Product!$C$2:$C$4,MATCH(F262,Dim_Product!$A$2:$A$4,0))+INDEX(Dim_Product!$D$2:$D$4,MATCH(F262,Dim_Product!$A$2:$A$4,0))),G262-H262,G262-H262-1)</f>
        <v>47</v>
      </c>
      <c r="O262" s="4">
        <f t="shared" si="35"/>
        <v>1</v>
      </c>
      <c r="P262" s="4">
        <f>INDEX(Dim_Product!$G$2:$G$4,MATCH(F262,Dim_Product!$A$2:$A$4,0))+-0.23</f>
        <v>69.77</v>
      </c>
      <c r="Q262" s="4">
        <f>IF(AND(P262&gt;=INDEX(Dim_Product!$G$2:$G$4,MATCH(F262,Dim_Product!$A$2:$A$4,0))-INDEX(Dim_Product!$H$2:$H$4,MATCH(F262,Dim_Product!$A$2:$A$4,0)),P262&lt;=INDEX(Dim_Product!$G$2:$G$4,MATCH(F262,Dim_Product!$A$2:$A$4,0))+INDEX(Dim_Product!$H$2:$H$4,MATCH(F262,Dim_Product!$A$2:$A$4,0))),G262-H262,G262-H262-1)</f>
        <v>47</v>
      </c>
      <c r="R262" s="4">
        <f t="shared" si="36"/>
        <v>1</v>
      </c>
      <c r="S262" s="4">
        <f>INDEX(Dim_Product!$K$2:$K$4,MATCH(F262,Dim_Product!$A$2:$A$4,0))+0.29</f>
        <v>120.29</v>
      </c>
      <c r="T262" s="4">
        <f>IF(AND(S262&gt;=INDEX(Dim_Product!$K$2:$K$4,MATCH(F262,Dim_Product!$A$2:$A$4,0))-INDEX(Dim_Product!$L$2:$L$4,MATCH(F262,Dim_Product!$A$2:$A$4,0)),S262&lt;=INDEX(Dim_Product!$K$2:$K$4,MATCH(F262,Dim_Product!$A$2:$A$4,0))+INDEX(Dim_Product!$L$2:$L$4,MATCH(F262,Dim_Product!$A$2:$A$4,0))),G262-H262,G262-H262-1)</f>
        <v>47</v>
      </c>
      <c r="U262" s="4">
        <f t="shared" si="37"/>
        <v>1</v>
      </c>
      <c r="V262" s="4">
        <f t="shared" si="38"/>
        <v>2.0833333333333332E-2</v>
      </c>
      <c r="W262" s="19">
        <f t="shared" si="39"/>
        <v>0.97916666666666663</v>
      </c>
    </row>
    <row r="263" spans="1:23" x14ac:dyDescent="0.25">
      <c r="A263" s="18" t="s">
        <v>764</v>
      </c>
      <c r="B263" s="4">
        <f>Fact_Production_Hourly!B263</f>
        <v>20260702</v>
      </c>
      <c r="C263" s="4">
        <f>Fact_Production_Hourly!C263</f>
        <v>13</v>
      </c>
      <c r="D263" s="4" t="str">
        <f>Fact_Production_Hourly!D263</f>
        <v>M3</v>
      </c>
      <c r="E263" s="4" t="str">
        <f>Fact_Production_Hourly!E263</f>
        <v>A-AM</v>
      </c>
      <c r="F263" s="4" t="str">
        <f>Fact_Production_Hourly!F263</f>
        <v>A</v>
      </c>
      <c r="G263" s="4">
        <f>INDEX(Dim_Machine!$D$2:$D$8,MATCH(D263,Dim_Machine!$A$2:$A$8,0))*2</f>
        <v>24</v>
      </c>
      <c r="H263" s="4">
        <f>ROUND(G263*0.0516,0)</f>
        <v>1</v>
      </c>
      <c r="I263" s="4">
        <f t="shared" si="32"/>
        <v>0</v>
      </c>
      <c r="J263" s="4">
        <f t="shared" si="33"/>
        <v>0</v>
      </c>
      <c r="K263" s="4">
        <f t="shared" si="34"/>
        <v>1</v>
      </c>
      <c r="L263" s="4" t="s">
        <v>503</v>
      </c>
      <c r="M263" s="4">
        <f>INDEX(Dim_Product!$C$2:$C$4,MATCH(F263,Dim_Product!$A$2:$A$4,0))+-0.86</f>
        <v>249.14</v>
      </c>
      <c r="N263" s="4">
        <f>IF(AND(M263&gt;=INDEX(Dim_Product!$C$2:$C$4,MATCH(F263,Dim_Product!$A$2:$A$4,0))-INDEX(Dim_Product!$D$2:$D$4,MATCH(F263,Dim_Product!$A$2:$A$4,0)),M263&lt;=INDEX(Dim_Product!$C$2:$C$4,MATCH(F263,Dim_Product!$A$2:$A$4,0))+INDEX(Dim_Product!$D$2:$D$4,MATCH(F263,Dim_Product!$A$2:$A$4,0))),G263-H263,G263-H263-1)</f>
        <v>23</v>
      </c>
      <c r="O263" s="4">
        <f t="shared" si="35"/>
        <v>1</v>
      </c>
      <c r="P263" s="4">
        <f>INDEX(Dim_Product!$G$2:$G$4,MATCH(F263,Dim_Product!$A$2:$A$4,0))+-0.07</f>
        <v>69.930000000000007</v>
      </c>
      <c r="Q263" s="4">
        <f>IF(AND(P263&gt;=INDEX(Dim_Product!$G$2:$G$4,MATCH(F263,Dim_Product!$A$2:$A$4,0))-INDEX(Dim_Product!$H$2:$H$4,MATCH(F263,Dim_Product!$A$2:$A$4,0)),P263&lt;=INDEX(Dim_Product!$G$2:$G$4,MATCH(F263,Dim_Product!$A$2:$A$4,0))+INDEX(Dim_Product!$H$2:$H$4,MATCH(F263,Dim_Product!$A$2:$A$4,0))),G263-H263,G263-H263-1)</f>
        <v>23</v>
      </c>
      <c r="R263" s="4">
        <f t="shared" si="36"/>
        <v>1</v>
      </c>
      <c r="S263" s="4">
        <f>INDEX(Dim_Product!$K$2:$K$4,MATCH(F263,Dim_Product!$A$2:$A$4,0))+0.18</f>
        <v>120.18</v>
      </c>
      <c r="T263" s="4">
        <f>IF(AND(S263&gt;=INDEX(Dim_Product!$K$2:$K$4,MATCH(F263,Dim_Product!$A$2:$A$4,0))-INDEX(Dim_Product!$L$2:$L$4,MATCH(F263,Dim_Product!$A$2:$A$4,0)),S263&lt;=INDEX(Dim_Product!$K$2:$K$4,MATCH(F263,Dim_Product!$A$2:$A$4,0))+INDEX(Dim_Product!$L$2:$L$4,MATCH(F263,Dim_Product!$A$2:$A$4,0))),G263-H263,G263-H263-1)</f>
        <v>23</v>
      </c>
      <c r="U263" s="4">
        <f t="shared" si="37"/>
        <v>1</v>
      </c>
      <c r="V263" s="4">
        <f t="shared" si="38"/>
        <v>4.1666666666666664E-2</v>
      </c>
      <c r="W263" s="19">
        <f t="shared" si="39"/>
        <v>0.95833333333333337</v>
      </c>
    </row>
    <row r="264" spans="1:23" x14ac:dyDescent="0.25">
      <c r="A264" s="18" t="s">
        <v>765</v>
      </c>
      <c r="B264" s="4">
        <f>Fact_Production_Hourly!B264</f>
        <v>20260702</v>
      </c>
      <c r="C264" s="4">
        <f>Fact_Production_Hourly!C264</f>
        <v>13</v>
      </c>
      <c r="D264" s="4" t="str">
        <f>Fact_Production_Hourly!D264</f>
        <v>M4</v>
      </c>
      <c r="E264" s="4" t="str">
        <f>Fact_Production_Hourly!E264</f>
        <v>A-AM</v>
      </c>
      <c r="F264" s="4" t="str">
        <f>Fact_Production_Hourly!F264</f>
        <v>A</v>
      </c>
      <c r="G264" s="4">
        <f>INDEX(Dim_Machine!$D$2:$D$8,MATCH(D264,Dim_Machine!$A$2:$A$8,0))*2</f>
        <v>48</v>
      </c>
      <c r="H264" s="4">
        <f>ROUND(G264*0.0161,0)</f>
        <v>1</v>
      </c>
      <c r="I264" s="4">
        <f t="shared" si="32"/>
        <v>0</v>
      </c>
      <c r="J264" s="4">
        <f t="shared" si="33"/>
        <v>0</v>
      </c>
      <c r="K264" s="4">
        <f t="shared" si="34"/>
        <v>1</v>
      </c>
      <c r="L264" s="4" t="s">
        <v>517</v>
      </c>
      <c r="M264" s="4">
        <f>INDEX(Dim_Product!$C$2:$C$4,MATCH(F264,Dim_Product!$A$2:$A$4,0))+-0.26</f>
        <v>249.74</v>
      </c>
      <c r="N264" s="4">
        <f>IF(AND(M264&gt;=INDEX(Dim_Product!$C$2:$C$4,MATCH(F264,Dim_Product!$A$2:$A$4,0))-INDEX(Dim_Product!$D$2:$D$4,MATCH(F264,Dim_Product!$A$2:$A$4,0)),M264&lt;=INDEX(Dim_Product!$C$2:$C$4,MATCH(F264,Dim_Product!$A$2:$A$4,0))+INDEX(Dim_Product!$D$2:$D$4,MATCH(F264,Dim_Product!$A$2:$A$4,0))),G264-H264,G264-H264-1)</f>
        <v>47</v>
      </c>
      <c r="O264" s="4">
        <f t="shared" si="35"/>
        <v>1</v>
      </c>
      <c r="P264" s="4">
        <f>INDEX(Dim_Product!$G$2:$G$4,MATCH(F264,Dim_Product!$A$2:$A$4,0))+-0.12</f>
        <v>69.88</v>
      </c>
      <c r="Q264" s="4">
        <f>IF(AND(P264&gt;=INDEX(Dim_Product!$G$2:$G$4,MATCH(F264,Dim_Product!$A$2:$A$4,0))-INDEX(Dim_Product!$H$2:$H$4,MATCH(F264,Dim_Product!$A$2:$A$4,0)),P264&lt;=INDEX(Dim_Product!$G$2:$G$4,MATCH(F264,Dim_Product!$A$2:$A$4,0))+INDEX(Dim_Product!$H$2:$H$4,MATCH(F264,Dim_Product!$A$2:$A$4,0))),G264-H264,G264-H264-1)</f>
        <v>47</v>
      </c>
      <c r="R264" s="4">
        <f t="shared" si="36"/>
        <v>1</v>
      </c>
      <c r="S264" s="4">
        <f>INDEX(Dim_Product!$K$2:$K$4,MATCH(F264,Dim_Product!$A$2:$A$4,0))+-0.09</f>
        <v>119.91</v>
      </c>
      <c r="T264" s="4">
        <f>IF(AND(S264&gt;=INDEX(Dim_Product!$K$2:$K$4,MATCH(F264,Dim_Product!$A$2:$A$4,0))-INDEX(Dim_Product!$L$2:$L$4,MATCH(F264,Dim_Product!$A$2:$A$4,0)),S264&lt;=INDEX(Dim_Product!$K$2:$K$4,MATCH(F264,Dim_Product!$A$2:$A$4,0))+INDEX(Dim_Product!$L$2:$L$4,MATCH(F264,Dim_Product!$A$2:$A$4,0))),G264-H264,G264-H264-1)</f>
        <v>47</v>
      </c>
      <c r="U264" s="4">
        <f t="shared" si="37"/>
        <v>1</v>
      </c>
      <c r="V264" s="4">
        <f t="shared" si="38"/>
        <v>2.0833333333333332E-2</v>
      </c>
      <c r="W264" s="19">
        <f t="shared" si="39"/>
        <v>0.97916666666666663</v>
      </c>
    </row>
    <row r="265" spans="1:23" x14ac:dyDescent="0.25">
      <c r="A265" s="18" t="s">
        <v>766</v>
      </c>
      <c r="B265" s="4">
        <f>Fact_Production_Hourly!B265</f>
        <v>20260702</v>
      </c>
      <c r="C265" s="4">
        <f>Fact_Production_Hourly!C265</f>
        <v>13</v>
      </c>
      <c r="D265" s="4" t="str">
        <f>Fact_Production_Hourly!D265</f>
        <v>M5</v>
      </c>
      <c r="E265" s="4" t="str">
        <f>Fact_Production_Hourly!E265</f>
        <v>A-AM</v>
      </c>
      <c r="F265" s="4" t="str">
        <f>Fact_Production_Hourly!F265</f>
        <v>C</v>
      </c>
      <c r="G265" s="4">
        <f>INDEX(Dim_Machine!$D$2:$D$8,MATCH(D265,Dim_Machine!$A$2:$A$8,0))*2</f>
        <v>32</v>
      </c>
      <c r="H265" s="4">
        <f>ROUND(G265*0.0588,0)</f>
        <v>2</v>
      </c>
      <c r="I265" s="4">
        <f t="shared" si="32"/>
        <v>0</v>
      </c>
      <c r="J265" s="4">
        <f t="shared" si="33"/>
        <v>1</v>
      </c>
      <c r="K265" s="4">
        <f t="shared" si="34"/>
        <v>1</v>
      </c>
      <c r="L265" s="4" t="s">
        <v>500</v>
      </c>
      <c r="M265" s="4">
        <f>INDEX(Dim_Product!$C$2:$C$4,MATCH(F265,Dim_Product!$A$2:$A$4,0))+0.28</f>
        <v>200.28</v>
      </c>
      <c r="N265" s="4">
        <f>IF(AND(M265&gt;=INDEX(Dim_Product!$C$2:$C$4,MATCH(F265,Dim_Product!$A$2:$A$4,0))-INDEX(Dim_Product!$D$2:$D$4,MATCH(F265,Dim_Product!$A$2:$A$4,0)),M265&lt;=INDEX(Dim_Product!$C$2:$C$4,MATCH(F265,Dim_Product!$A$2:$A$4,0))+INDEX(Dim_Product!$D$2:$D$4,MATCH(F265,Dim_Product!$A$2:$A$4,0))),G265-H265,G265-H265-1)</f>
        <v>30</v>
      </c>
      <c r="O265" s="4">
        <f t="shared" si="35"/>
        <v>2</v>
      </c>
      <c r="P265" s="4">
        <f>INDEX(Dim_Product!$G$2:$G$4,MATCH(F265,Dim_Product!$A$2:$A$4,0))+0.11</f>
        <v>65.11</v>
      </c>
      <c r="Q265" s="4">
        <f>IF(AND(P265&gt;=INDEX(Dim_Product!$G$2:$G$4,MATCH(F265,Dim_Product!$A$2:$A$4,0))-INDEX(Dim_Product!$H$2:$H$4,MATCH(F265,Dim_Product!$A$2:$A$4,0)),P265&lt;=INDEX(Dim_Product!$G$2:$G$4,MATCH(F265,Dim_Product!$A$2:$A$4,0))+INDEX(Dim_Product!$H$2:$H$4,MATCH(F265,Dim_Product!$A$2:$A$4,0))),G265-H265,G265-H265-1)</f>
        <v>30</v>
      </c>
      <c r="R265" s="4">
        <f t="shared" si="36"/>
        <v>2</v>
      </c>
      <c r="S265" s="4">
        <f>INDEX(Dim_Product!$K$2:$K$4,MATCH(F265,Dim_Product!$A$2:$A$4,0))+-0.35</f>
        <v>109.65</v>
      </c>
      <c r="T265" s="4">
        <f>IF(AND(S265&gt;=INDEX(Dim_Product!$K$2:$K$4,MATCH(F265,Dim_Product!$A$2:$A$4,0))-INDEX(Dim_Product!$L$2:$L$4,MATCH(F265,Dim_Product!$A$2:$A$4,0)),S265&lt;=INDEX(Dim_Product!$K$2:$K$4,MATCH(F265,Dim_Product!$A$2:$A$4,0))+INDEX(Dim_Product!$L$2:$L$4,MATCH(F265,Dim_Product!$A$2:$A$4,0))),G265-H265,G265-H265-1)</f>
        <v>30</v>
      </c>
      <c r="U265" s="4">
        <f t="shared" si="37"/>
        <v>2</v>
      </c>
      <c r="V265" s="4">
        <f t="shared" si="38"/>
        <v>6.25E-2</v>
      </c>
      <c r="W265" s="19">
        <f t="shared" si="39"/>
        <v>0.9375</v>
      </c>
    </row>
    <row r="266" spans="1:23" x14ac:dyDescent="0.25">
      <c r="A266" s="18" t="s">
        <v>767</v>
      </c>
      <c r="B266" s="4">
        <f>Fact_Production_Hourly!B266</f>
        <v>20260702</v>
      </c>
      <c r="C266" s="4">
        <f>Fact_Production_Hourly!C266</f>
        <v>13</v>
      </c>
      <c r="D266" s="4" t="str">
        <f>Fact_Production_Hourly!D266</f>
        <v>M6</v>
      </c>
      <c r="E266" s="4" t="str">
        <f>Fact_Production_Hourly!E266</f>
        <v>A-AM</v>
      </c>
      <c r="F266" s="4" t="str">
        <f>Fact_Production_Hourly!F266</f>
        <v>C</v>
      </c>
      <c r="G266" s="4">
        <f>INDEX(Dim_Machine!$D$2:$D$8,MATCH(D266,Dim_Machine!$A$2:$A$8,0))*2</f>
        <v>24</v>
      </c>
      <c r="H266" s="4">
        <f>ROUND(G266*0.0438,0)</f>
        <v>1</v>
      </c>
      <c r="I266" s="4">
        <f t="shared" si="32"/>
        <v>0</v>
      </c>
      <c r="J266" s="4">
        <f t="shared" si="33"/>
        <v>0</v>
      </c>
      <c r="K266" s="4">
        <f t="shared" si="34"/>
        <v>1</v>
      </c>
      <c r="L266" s="4" t="s">
        <v>509</v>
      </c>
      <c r="M266" s="4">
        <f>INDEX(Dim_Product!$C$2:$C$4,MATCH(F266,Dim_Product!$A$2:$A$4,0))+0.3</f>
        <v>200.3</v>
      </c>
      <c r="N266" s="4">
        <f>IF(AND(M266&gt;=INDEX(Dim_Product!$C$2:$C$4,MATCH(F266,Dim_Product!$A$2:$A$4,0))-INDEX(Dim_Product!$D$2:$D$4,MATCH(F266,Dim_Product!$A$2:$A$4,0)),M266&lt;=INDEX(Dim_Product!$C$2:$C$4,MATCH(F266,Dim_Product!$A$2:$A$4,0))+INDEX(Dim_Product!$D$2:$D$4,MATCH(F266,Dim_Product!$A$2:$A$4,0))),G266-H266,G266-H266-1)</f>
        <v>23</v>
      </c>
      <c r="O266" s="4">
        <f t="shared" si="35"/>
        <v>1</v>
      </c>
      <c r="P266" s="4">
        <f>INDEX(Dim_Product!$G$2:$G$4,MATCH(F266,Dim_Product!$A$2:$A$4,0))+-0.04</f>
        <v>64.959999999999994</v>
      </c>
      <c r="Q266" s="4">
        <f>IF(AND(P266&gt;=INDEX(Dim_Product!$G$2:$G$4,MATCH(F266,Dim_Product!$A$2:$A$4,0))-INDEX(Dim_Product!$H$2:$H$4,MATCH(F266,Dim_Product!$A$2:$A$4,0)),P266&lt;=INDEX(Dim_Product!$G$2:$G$4,MATCH(F266,Dim_Product!$A$2:$A$4,0))+INDEX(Dim_Product!$H$2:$H$4,MATCH(F266,Dim_Product!$A$2:$A$4,0))),G266-H266,G266-H266-1)</f>
        <v>23</v>
      </c>
      <c r="R266" s="4">
        <f t="shared" si="36"/>
        <v>1</v>
      </c>
      <c r="S266" s="4">
        <f>INDEX(Dim_Product!$K$2:$K$4,MATCH(F266,Dim_Product!$A$2:$A$4,0))+0.18</f>
        <v>110.18</v>
      </c>
      <c r="T266" s="4">
        <f>IF(AND(S266&gt;=INDEX(Dim_Product!$K$2:$K$4,MATCH(F266,Dim_Product!$A$2:$A$4,0))-INDEX(Dim_Product!$L$2:$L$4,MATCH(F266,Dim_Product!$A$2:$A$4,0)),S266&lt;=INDEX(Dim_Product!$K$2:$K$4,MATCH(F266,Dim_Product!$A$2:$A$4,0))+INDEX(Dim_Product!$L$2:$L$4,MATCH(F266,Dim_Product!$A$2:$A$4,0))),G266-H266,G266-H266-1)</f>
        <v>23</v>
      </c>
      <c r="U266" s="4">
        <f t="shared" si="37"/>
        <v>1</v>
      </c>
      <c r="V266" s="4">
        <f t="shared" si="38"/>
        <v>4.1666666666666664E-2</v>
      </c>
      <c r="W266" s="19">
        <f t="shared" si="39"/>
        <v>0.95833333333333337</v>
      </c>
    </row>
    <row r="267" spans="1:23" x14ac:dyDescent="0.25">
      <c r="A267" s="18" t="s">
        <v>768</v>
      </c>
      <c r="B267" s="4">
        <f>Fact_Production_Hourly!B267</f>
        <v>20260702</v>
      </c>
      <c r="C267" s="4">
        <f>Fact_Production_Hourly!C267</f>
        <v>13</v>
      </c>
      <c r="D267" s="4" t="str">
        <f>Fact_Production_Hourly!D267</f>
        <v>M7</v>
      </c>
      <c r="E267" s="4" t="str">
        <f>Fact_Production_Hourly!E267</f>
        <v>A-AM</v>
      </c>
      <c r="F267" s="4" t="str">
        <f>Fact_Production_Hourly!F267</f>
        <v>C</v>
      </c>
      <c r="G267" s="4">
        <f>INDEX(Dim_Machine!$D$2:$D$8,MATCH(D267,Dim_Machine!$A$2:$A$8,0))*2</f>
        <v>48</v>
      </c>
      <c r="H267" s="4">
        <f>ROUND(G267*0.0477,0)</f>
        <v>2</v>
      </c>
      <c r="I267" s="4">
        <f t="shared" si="32"/>
        <v>0</v>
      </c>
      <c r="J267" s="4">
        <f t="shared" si="33"/>
        <v>1</v>
      </c>
      <c r="K267" s="4">
        <f t="shared" si="34"/>
        <v>1</v>
      </c>
      <c r="L267" s="4" t="s">
        <v>500</v>
      </c>
      <c r="M267" s="4">
        <f>INDEX(Dim_Product!$C$2:$C$4,MATCH(F267,Dim_Product!$A$2:$A$4,0))+0.84</f>
        <v>200.84</v>
      </c>
      <c r="N267" s="4">
        <f>IF(AND(M267&gt;=INDEX(Dim_Product!$C$2:$C$4,MATCH(F267,Dim_Product!$A$2:$A$4,0))-INDEX(Dim_Product!$D$2:$D$4,MATCH(F267,Dim_Product!$A$2:$A$4,0)),M267&lt;=INDEX(Dim_Product!$C$2:$C$4,MATCH(F267,Dim_Product!$A$2:$A$4,0))+INDEX(Dim_Product!$D$2:$D$4,MATCH(F267,Dim_Product!$A$2:$A$4,0))),G267-H267,G267-H267-1)</f>
        <v>46</v>
      </c>
      <c r="O267" s="4">
        <f t="shared" si="35"/>
        <v>2</v>
      </c>
      <c r="P267" s="4">
        <f>INDEX(Dim_Product!$G$2:$G$4,MATCH(F267,Dim_Product!$A$2:$A$4,0))+0.07</f>
        <v>65.069999999999993</v>
      </c>
      <c r="Q267" s="4">
        <f>IF(AND(P267&gt;=INDEX(Dim_Product!$G$2:$G$4,MATCH(F267,Dim_Product!$A$2:$A$4,0))-INDEX(Dim_Product!$H$2:$H$4,MATCH(F267,Dim_Product!$A$2:$A$4,0)),P267&lt;=INDEX(Dim_Product!$G$2:$G$4,MATCH(F267,Dim_Product!$A$2:$A$4,0))+INDEX(Dim_Product!$H$2:$H$4,MATCH(F267,Dim_Product!$A$2:$A$4,0))),G267-H267,G267-H267-1)</f>
        <v>46</v>
      </c>
      <c r="R267" s="4">
        <f t="shared" si="36"/>
        <v>2</v>
      </c>
      <c r="S267" s="4">
        <f>INDEX(Dim_Product!$K$2:$K$4,MATCH(F267,Dim_Product!$A$2:$A$4,0))+-0.05</f>
        <v>109.95</v>
      </c>
      <c r="T267" s="4">
        <f>IF(AND(S267&gt;=INDEX(Dim_Product!$K$2:$K$4,MATCH(F267,Dim_Product!$A$2:$A$4,0))-INDEX(Dim_Product!$L$2:$L$4,MATCH(F267,Dim_Product!$A$2:$A$4,0)),S267&lt;=INDEX(Dim_Product!$K$2:$K$4,MATCH(F267,Dim_Product!$A$2:$A$4,0))+INDEX(Dim_Product!$L$2:$L$4,MATCH(F267,Dim_Product!$A$2:$A$4,0))),G267-H267,G267-H267-1)</f>
        <v>46</v>
      </c>
      <c r="U267" s="4">
        <f t="shared" si="37"/>
        <v>2</v>
      </c>
      <c r="V267" s="4">
        <f t="shared" si="38"/>
        <v>4.1666666666666664E-2</v>
      </c>
      <c r="W267" s="19">
        <f t="shared" si="39"/>
        <v>0.95833333333333337</v>
      </c>
    </row>
    <row r="268" spans="1:23" x14ac:dyDescent="0.25">
      <c r="A268" s="18" t="s">
        <v>769</v>
      </c>
      <c r="B268" s="4">
        <f>Fact_Production_Hourly!B268</f>
        <v>20260702</v>
      </c>
      <c r="C268" s="4">
        <f>Fact_Production_Hourly!C268</f>
        <v>14</v>
      </c>
      <c r="D268" s="4" t="str">
        <f>Fact_Production_Hourly!D268</f>
        <v>M1</v>
      </c>
      <c r="E268" s="4" t="str">
        <f>Fact_Production_Hourly!E268</f>
        <v>A-AM</v>
      </c>
      <c r="F268" s="4" t="str">
        <f>Fact_Production_Hourly!F268</f>
        <v>C</v>
      </c>
      <c r="G268" s="4">
        <f>INDEX(Dim_Machine!$D$2:$D$8,MATCH(D268,Dim_Machine!$A$2:$A$8,0))*2</f>
        <v>32</v>
      </c>
      <c r="H268" s="4">
        <f>ROUND(G268*0.023,0)</f>
        <v>1</v>
      </c>
      <c r="I268" s="4">
        <f t="shared" si="32"/>
        <v>0</v>
      </c>
      <c r="J268" s="4">
        <f t="shared" si="33"/>
        <v>0</v>
      </c>
      <c r="K268" s="4">
        <f t="shared" si="34"/>
        <v>1</v>
      </c>
      <c r="L268" s="4" t="s">
        <v>498</v>
      </c>
      <c r="M268" s="4">
        <f>INDEX(Dim_Product!$C$2:$C$4,MATCH(F268,Dim_Product!$A$2:$A$4,0))+-0.72</f>
        <v>199.28</v>
      </c>
      <c r="N268" s="4">
        <f>IF(AND(M268&gt;=INDEX(Dim_Product!$C$2:$C$4,MATCH(F268,Dim_Product!$A$2:$A$4,0))-INDEX(Dim_Product!$D$2:$D$4,MATCH(F268,Dim_Product!$A$2:$A$4,0)),M268&lt;=INDEX(Dim_Product!$C$2:$C$4,MATCH(F268,Dim_Product!$A$2:$A$4,0))+INDEX(Dim_Product!$D$2:$D$4,MATCH(F268,Dim_Product!$A$2:$A$4,0))),G268-H268,G268-H268-1)</f>
        <v>31</v>
      </c>
      <c r="O268" s="4">
        <f t="shared" si="35"/>
        <v>1</v>
      </c>
      <c r="P268" s="4">
        <f>INDEX(Dim_Product!$G$2:$G$4,MATCH(F268,Dim_Product!$A$2:$A$4,0))+-0.23</f>
        <v>64.77</v>
      </c>
      <c r="Q268" s="4">
        <f>IF(AND(P268&gt;=INDEX(Dim_Product!$G$2:$G$4,MATCH(F268,Dim_Product!$A$2:$A$4,0))-INDEX(Dim_Product!$H$2:$H$4,MATCH(F268,Dim_Product!$A$2:$A$4,0)),P268&lt;=INDEX(Dim_Product!$G$2:$G$4,MATCH(F268,Dim_Product!$A$2:$A$4,0))+INDEX(Dim_Product!$H$2:$H$4,MATCH(F268,Dim_Product!$A$2:$A$4,0))),G268-H268,G268-H268-1)</f>
        <v>31</v>
      </c>
      <c r="R268" s="4">
        <f t="shared" si="36"/>
        <v>1</v>
      </c>
      <c r="S268" s="4">
        <f>INDEX(Dim_Product!$K$2:$K$4,MATCH(F268,Dim_Product!$A$2:$A$4,0))+0.18</f>
        <v>110.18</v>
      </c>
      <c r="T268" s="4">
        <f>IF(AND(S268&gt;=INDEX(Dim_Product!$K$2:$K$4,MATCH(F268,Dim_Product!$A$2:$A$4,0))-INDEX(Dim_Product!$L$2:$L$4,MATCH(F268,Dim_Product!$A$2:$A$4,0)),S268&lt;=INDEX(Dim_Product!$K$2:$K$4,MATCH(F268,Dim_Product!$A$2:$A$4,0))+INDEX(Dim_Product!$L$2:$L$4,MATCH(F268,Dim_Product!$A$2:$A$4,0))),G268-H268,G268-H268-1)</f>
        <v>31</v>
      </c>
      <c r="U268" s="4">
        <f t="shared" si="37"/>
        <v>1</v>
      </c>
      <c r="V268" s="4">
        <f t="shared" si="38"/>
        <v>3.125E-2</v>
      </c>
      <c r="W268" s="19">
        <f t="shared" si="39"/>
        <v>0.96875</v>
      </c>
    </row>
    <row r="269" spans="1:23" x14ac:dyDescent="0.25">
      <c r="A269" s="18" t="s">
        <v>770</v>
      </c>
      <c r="B269" s="4">
        <f>Fact_Production_Hourly!B269</f>
        <v>20260702</v>
      </c>
      <c r="C269" s="4">
        <f>Fact_Production_Hourly!C269</f>
        <v>14</v>
      </c>
      <c r="D269" s="4" t="str">
        <f>Fact_Production_Hourly!D269</f>
        <v>M2</v>
      </c>
      <c r="E269" s="4" t="str">
        <f>Fact_Production_Hourly!E269</f>
        <v>A-AM</v>
      </c>
      <c r="F269" s="4" t="str">
        <f>Fact_Production_Hourly!F269</f>
        <v>A</v>
      </c>
      <c r="G269" s="4">
        <f>INDEX(Dim_Machine!$D$2:$D$8,MATCH(D269,Dim_Machine!$A$2:$A$8,0))*2</f>
        <v>48</v>
      </c>
      <c r="H269" s="4">
        <f>ROUND(G269*0.0311,0)</f>
        <v>1</v>
      </c>
      <c r="I269" s="4">
        <f t="shared" si="32"/>
        <v>0</v>
      </c>
      <c r="J269" s="4">
        <f t="shared" si="33"/>
        <v>0</v>
      </c>
      <c r="K269" s="4">
        <f t="shared" si="34"/>
        <v>1</v>
      </c>
      <c r="L269" s="4" t="s">
        <v>503</v>
      </c>
      <c r="M269" s="4">
        <f>INDEX(Dim_Product!$C$2:$C$4,MATCH(F269,Dim_Product!$A$2:$A$4,0))+-0.37</f>
        <v>249.63</v>
      </c>
      <c r="N269" s="4">
        <f>IF(AND(M269&gt;=INDEX(Dim_Product!$C$2:$C$4,MATCH(F269,Dim_Product!$A$2:$A$4,0))-INDEX(Dim_Product!$D$2:$D$4,MATCH(F269,Dim_Product!$A$2:$A$4,0)),M269&lt;=INDEX(Dim_Product!$C$2:$C$4,MATCH(F269,Dim_Product!$A$2:$A$4,0))+INDEX(Dim_Product!$D$2:$D$4,MATCH(F269,Dim_Product!$A$2:$A$4,0))),G269-H269,G269-H269-1)</f>
        <v>47</v>
      </c>
      <c r="O269" s="4">
        <f t="shared" si="35"/>
        <v>1</v>
      </c>
      <c r="P269" s="4">
        <f>INDEX(Dim_Product!$G$2:$G$4,MATCH(F269,Dim_Product!$A$2:$A$4,0))+-0.22</f>
        <v>69.78</v>
      </c>
      <c r="Q269" s="4">
        <f>IF(AND(P269&gt;=INDEX(Dim_Product!$G$2:$G$4,MATCH(F269,Dim_Product!$A$2:$A$4,0))-INDEX(Dim_Product!$H$2:$H$4,MATCH(F269,Dim_Product!$A$2:$A$4,0)),P269&lt;=INDEX(Dim_Product!$G$2:$G$4,MATCH(F269,Dim_Product!$A$2:$A$4,0))+INDEX(Dim_Product!$H$2:$H$4,MATCH(F269,Dim_Product!$A$2:$A$4,0))),G269-H269,G269-H269-1)</f>
        <v>47</v>
      </c>
      <c r="R269" s="4">
        <f t="shared" si="36"/>
        <v>1</v>
      </c>
      <c r="S269" s="4">
        <f>INDEX(Dim_Product!$K$2:$K$4,MATCH(F269,Dim_Product!$A$2:$A$4,0))+-0.18</f>
        <v>119.82</v>
      </c>
      <c r="T269" s="4">
        <f>IF(AND(S269&gt;=INDEX(Dim_Product!$K$2:$K$4,MATCH(F269,Dim_Product!$A$2:$A$4,0))-INDEX(Dim_Product!$L$2:$L$4,MATCH(F269,Dim_Product!$A$2:$A$4,0)),S269&lt;=INDEX(Dim_Product!$K$2:$K$4,MATCH(F269,Dim_Product!$A$2:$A$4,0))+INDEX(Dim_Product!$L$2:$L$4,MATCH(F269,Dim_Product!$A$2:$A$4,0))),G269-H269,G269-H269-1)</f>
        <v>47</v>
      </c>
      <c r="U269" s="4">
        <f t="shared" si="37"/>
        <v>1</v>
      </c>
      <c r="V269" s="4">
        <f t="shared" si="38"/>
        <v>2.0833333333333332E-2</v>
      </c>
      <c r="W269" s="19">
        <f t="shared" si="39"/>
        <v>0.97916666666666663</v>
      </c>
    </row>
    <row r="270" spans="1:23" x14ac:dyDescent="0.25">
      <c r="A270" s="18" t="s">
        <v>771</v>
      </c>
      <c r="B270" s="4">
        <f>Fact_Production_Hourly!B270</f>
        <v>20260702</v>
      </c>
      <c r="C270" s="4">
        <f>Fact_Production_Hourly!C270</f>
        <v>14</v>
      </c>
      <c r="D270" s="4" t="str">
        <f>Fact_Production_Hourly!D270</f>
        <v>M3</v>
      </c>
      <c r="E270" s="4" t="str">
        <f>Fact_Production_Hourly!E270</f>
        <v>A-AM</v>
      </c>
      <c r="F270" s="4" t="str">
        <f>Fact_Production_Hourly!F270</f>
        <v>A</v>
      </c>
      <c r="G270" s="4">
        <f>INDEX(Dim_Machine!$D$2:$D$8,MATCH(D270,Dim_Machine!$A$2:$A$8,0))*2</f>
        <v>24</v>
      </c>
      <c r="H270" s="4">
        <f>ROUND(G270*0.0151,0)</f>
        <v>0</v>
      </c>
      <c r="I270" s="4">
        <f t="shared" si="32"/>
        <v>0</v>
      </c>
      <c r="J270" s="4">
        <f t="shared" si="33"/>
        <v>0</v>
      </c>
      <c r="K270" s="4">
        <f t="shared" si="34"/>
        <v>0</v>
      </c>
      <c r="L270" s="4" t="s">
        <v>509</v>
      </c>
      <c r="M270" s="4">
        <f>INDEX(Dim_Product!$C$2:$C$4,MATCH(F270,Dim_Product!$A$2:$A$4,0))+0.2</f>
        <v>250.2</v>
      </c>
      <c r="N270" s="4">
        <f>IF(AND(M270&gt;=INDEX(Dim_Product!$C$2:$C$4,MATCH(F270,Dim_Product!$A$2:$A$4,0))-INDEX(Dim_Product!$D$2:$D$4,MATCH(F270,Dim_Product!$A$2:$A$4,0)),M270&lt;=INDEX(Dim_Product!$C$2:$C$4,MATCH(F270,Dim_Product!$A$2:$A$4,0))+INDEX(Dim_Product!$D$2:$D$4,MATCH(F270,Dim_Product!$A$2:$A$4,0))),G270-H270,G270-H270-1)</f>
        <v>24</v>
      </c>
      <c r="O270" s="4">
        <f t="shared" si="35"/>
        <v>0</v>
      </c>
      <c r="P270" s="4">
        <f>INDEX(Dim_Product!$G$2:$G$4,MATCH(F270,Dim_Product!$A$2:$A$4,0))+0.13</f>
        <v>70.13</v>
      </c>
      <c r="Q270" s="4">
        <f>IF(AND(P270&gt;=INDEX(Dim_Product!$G$2:$G$4,MATCH(F270,Dim_Product!$A$2:$A$4,0))-INDEX(Dim_Product!$H$2:$H$4,MATCH(F270,Dim_Product!$A$2:$A$4,0)),P270&lt;=INDEX(Dim_Product!$G$2:$G$4,MATCH(F270,Dim_Product!$A$2:$A$4,0))+INDEX(Dim_Product!$H$2:$H$4,MATCH(F270,Dim_Product!$A$2:$A$4,0))),G270-H270,G270-H270-1)</f>
        <v>24</v>
      </c>
      <c r="R270" s="4">
        <f t="shared" si="36"/>
        <v>0</v>
      </c>
      <c r="S270" s="4">
        <f>INDEX(Dim_Product!$K$2:$K$4,MATCH(F270,Dim_Product!$A$2:$A$4,0))+-0.17</f>
        <v>119.83</v>
      </c>
      <c r="T270" s="4">
        <f>IF(AND(S270&gt;=INDEX(Dim_Product!$K$2:$K$4,MATCH(F270,Dim_Product!$A$2:$A$4,0))-INDEX(Dim_Product!$L$2:$L$4,MATCH(F270,Dim_Product!$A$2:$A$4,0)),S270&lt;=INDEX(Dim_Product!$K$2:$K$4,MATCH(F270,Dim_Product!$A$2:$A$4,0))+INDEX(Dim_Product!$L$2:$L$4,MATCH(F270,Dim_Product!$A$2:$A$4,0))),G270-H270,G270-H270-1)</f>
        <v>24</v>
      </c>
      <c r="U270" s="4">
        <f t="shared" si="37"/>
        <v>0</v>
      </c>
      <c r="V270" s="4">
        <f t="shared" si="38"/>
        <v>0</v>
      </c>
      <c r="W270" s="19">
        <f t="shared" si="39"/>
        <v>1</v>
      </c>
    </row>
    <row r="271" spans="1:23" x14ac:dyDescent="0.25">
      <c r="A271" s="18" t="s">
        <v>772</v>
      </c>
      <c r="B271" s="4">
        <f>Fact_Production_Hourly!B271</f>
        <v>20260702</v>
      </c>
      <c r="C271" s="4">
        <f>Fact_Production_Hourly!C271</f>
        <v>14</v>
      </c>
      <c r="D271" s="4" t="str">
        <f>Fact_Production_Hourly!D271</f>
        <v>M4</v>
      </c>
      <c r="E271" s="4" t="str">
        <f>Fact_Production_Hourly!E271</f>
        <v>A-AM</v>
      </c>
      <c r="F271" s="4" t="str">
        <f>Fact_Production_Hourly!F271</f>
        <v>A</v>
      </c>
      <c r="G271" s="4">
        <f>INDEX(Dim_Machine!$D$2:$D$8,MATCH(D271,Dim_Machine!$A$2:$A$8,0))*2</f>
        <v>48</v>
      </c>
      <c r="H271" s="4">
        <f>ROUND(G271*0.0665,0)</f>
        <v>3</v>
      </c>
      <c r="I271" s="4">
        <f t="shared" si="32"/>
        <v>0</v>
      </c>
      <c r="J271" s="4">
        <f t="shared" si="33"/>
        <v>1</v>
      </c>
      <c r="K271" s="4">
        <f t="shared" si="34"/>
        <v>2</v>
      </c>
      <c r="L271" s="4" t="s">
        <v>498</v>
      </c>
      <c r="M271" s="4">
        <f>INDEX(Dim_Product!$C$2:$C$4,MATCH(F271,Dim_Product!$A$2:$A$4,0))+0.7</f>
        <v>250.7</v>
      </c>
      <c r="N271" s="4">
        <f>IF(AND(M271&gt;=INDEX(Dim_Product!$C$2:$C$4,MATCH(F271,Dim_Product!$A$2:$A$4,0))-INDEX(Dim_Product!$D$2:$D$4,MATCH(F271,Dim_Product!$A$2:$A$4,0)),M271&lt;=INDEX(Dim_Product!$C$2:$C$4,MATCH(F271,Dim_Product!$A$2:$A$4,0))+INDEX(Dim_Product!$D$2:$D$4,MATCH(F271,Dim_Product!$A$2:$A$4,0))),G271-H271,G271-H271-1)</f>
        <v>45</v>
      </c>
      <c r="O271" s="4">
        <f t="shared" si="35"/>
        <v>3</v>
      </c>
      <c r="P271" s="4">
        <f>INDEX(Dim_Product!$G$2:$G$4,MATCH(F271,Dim_Product!$A$2:$A$4,0))+0.1</f>
        <v>70.099999999999994</v>
      </c>
      <c r="Q271" s="4">
        <f>IF(AND(P271&gt;=INDEX(Dim_Product!$G$2:$G$4,MATCH(F271,Dim_Product!$A$2:$A$4,0))-INDEX(Dim_Product!$H$2:$H$4,MATCH(F271,Dim_Product!$A$2:$A$4,0)),P271&lt;=INDEX(Dim_Product!$G$2:$G$4,MATCH(F271,Dim_Product!$A$2:$A$4,0))+INDEX(Dim_Product!$H$2:$H$4,MATCH(F271,Dim_Product!$A$2:$A$4,0))),G271-H271,G271-H271-1)</f>
        <v>45</v>
      </c>
      <c r="R271" s="4">
        <f t="shared" si="36"/>
        <v>3</v>
      </c>
      <c r="S271" s="4">
        <f>INDEX(Dim_Product!$K$2:$K$4,MATCH(F271,Dim_Product!$A$2:$A$4,0))+-0.16</f>
        <v>119.84</v>
      </c>
      <c r="T271" s="4">
        <f>IF(AND(S271&gt;=INDEX(Dim_Product!$K$2:$K$4,MATCH(F271,Dim_Product!$A$2:$A$4,0))-INDEX(Dim_Product!$L$2:$L$4,MATCH(F271,Dim_Product!$A$2:$A$4,0)),S271&lt;=INDEX(Dim_Product!$K$2:$K$4,MATCH(F271,Dim_Product!$A$2:$A$4,0))+INDEX(Dim_Product!$L$2:$L$4,MATCH(F271,Dim_Product!$A$2:$A$4,0))),G271-H271,G271-H271-1)</f>
        <v>45</v>
      </c>
      <c r="U271" s="4">
        <f t="shared" si="37"/>
        <v>3</v>
      </c>
      <c r="V271" s="4">
        <f t="shared" si="38"/>
        <v>6.25E-2</v>
      </c>
      <c r="W271" s="19">
        <f t="shared" si="39"/>
        <v>0.9375</v>
      </c>
    </row>
    <row r="272" spans="1:23" x14ac:dyDescent="0.25">
      <c r="A272" s="18" t="s">
        <v>773</v>
      </c>
      <c r="B272" s="4">
        <f>Fact_Production_Hourly!B272</f>
        <v>20260702</v>
      </c>
      <c r="C272" s="4">
        <f>Fact_Production_Hourly!C272</f>
        <v>14</v>
      </c>
      <c r="D272" s="4" t="str">
        <f>Fact_Production_Hourly!D272</f>
        <v>M5</v>
      </c>
      <c r="E272" s="4" t="str">
        <f>Fact_Production_Hourly!E272</f>
        <v>A-AM</v>
      </c>
      <c r="F272" s="4" t="str">
        <f>Fact_Production_Hourly!F272</f>
        <v>C</v>
      </c>
      <c r="G272" s="4">
        <f>INDEX(Dim_Machine!$D$2:$D$8,MATCH(D272,Dim_Machine!$A$2:$A$8,0))*2</f>
        <v>32</v>
      </c>
      <c r="H272" s="4">
        <f>ROUND(G272*0.0411,0)</f>
        <v>1</v>
      </c>
      <c r="I272" s="4">
        <f t="shared" si="32"/>
        <v>0</v>
      </c>
      <c r="J272" s="4">
        <f t="shared" si="33"/>
        <v>0</v>
      </c>
      <c r="K272" s="4">
        <f t="shared" si="34"/>
        <v>1</v>
      </c>
      <c r="L272" s="4" t="s">
        <v>509</v>
      </c>
      <c r="M272" s="4">
        <f>INDEX(Dim_Product!$C$2:$C$4,MATCH(F272,Dim_Product!$A$2:$A$4,0))+-0.62</f>
        <v>199.38</v>
      </c>
      <c r="N272" s="4">
        <f>IF(AND(M272&gt;=INDEX(Dim_Product!$C$2:$C$4,MATCH(F272,Dim_Product!$A$2:$A$4,0))-INDEX(Dim_Product!$D$2:$D$4,MATCH(F272,Dim_Product!$A$2:$A$4,0)),M272&lt;=INDEX(Dim_Product!$C$2:$C$4,MATCH(F272,Dim_Product!$A$2:$A$4,0))+INDEX(Dim_Product!$D$2:$D$4,MATCH(F272,Dim_Product!$A$2:$A$4,0))),G272-H272,G272-H272-1)</f>
        <v>31</v>
      </c>
      <c r="O272" s="4">
        <f t="shared" si="35"/>
        <v>1</v>
      </c>
      <c r="P272" s="4">
        <f>INDEX(Dim_Product!$G$2:$G$4,MATCH(F272,Dim_Product!$A$2:$A$4,0))+-0.06</f>
        <v>64.94</v>
      </c>
      <c r="Q272" s="4">
        <f>IF(AND(P272&gt;=INDEX(Dim_Product!$G$2:$G$4,MATCH(F272,Dim_Product!$A$2:$A$4,0))-INDEX(Dim_Product!$H$2:$H$4,MATCH(F272,Dim_Product!$A$2:$A$4,0)),P272&lt;=INDEX(Dim_Product!$G$2:$G$4,MATCH(F272,Dim_Product!$A$2:$A$4,0))+INDEX(Dim_Product!$H$2:$H$4,MATCH(F272,Dim_Product!$A$2:$A$4,0))),G272-H272,G272-H272-1)</f>
        <v>31</v>
      </c>
      <c r="R272" s="4">
        <f t="shared" si="36"/>
        <v>1</v>
      </c>
      <c r="S272" s="4">
        <f>INDEX(Dim_Product!$K$2:$K$4,MATCH(F272,Dim_Product!$A$2:$A$4,0))+0.12</f>
        <v>110.12</v>
      </c>
      <c r="T272" s="4">
        <f>IF(AND(S272&gt;=INDEX(Dim_Product!$K$2:$K$4,MATCH(F272,Dim_Product!$A$2:$A$4,0))-INDEX(Dim_Product!$L$2:$L$4,MATCH(F272,Dim_Product!$A$2:$A$4,0)),S272&lt;=INDEX(Dim_Product!$K$2:$K$4,MATCH(F272,Dim_Product!$A$2:$A$4,0))+INDEX(Dim_Product!$L$2:$L$4,MATCH(F272,Dim_Product!$A$2:$A$4,0))),G272-H272,G272-H272-1)</f>
        <v>31</v>
      </c>
      <c r="U272" s="4">
        <f t="shared" si="37"/>
        <v>1</v>
      </c>
      <c r="V272" s="4">
        <f t="shared" si="38"/>
        <v>3.125E-2</v>
      </c>
      <c r="W272" s="19">
        <f t="shared" si="39"/>
        <v>0.96875</v>
      </c>
    </row>
    <row r="273" spans="1:23" x14ac:dyDescent="0.25">
      <c r="A273" s="18" t="s">
        <v>774</v>
      </c>
      <c r="B273" s="4">
        <f>Fact_Production_Hourly!B273</f>
        <v>20260702</v>
      </c>
      <c r="C273" s="4">
        <f>Fact_Production_Hourly!C273</f>
        <v>14</v>
      </c>
      <c r="D273" s="4" t="str">
        <f>Fact_Production_Hourly!D273</f>
        <v>M6</v>
      </c>
      <c r="E273" s="4" t="str">
        <f>Fact_Production_Hourly!E273</f>
        <v>A-AM</v>
      </c>
      <c r="F273" s="4" t="str">
        <f>Fact_Production_Hourly!F273</f>
        <v>C</v>
      </c>
      <c r="G273" s="4">
        <f>INDEX(Dim_Machine!$D$2:$D$8,MATCH(D273,Dim_Machine!$A$2:$A$8,0))*2</f>
        <v>24</v>
      </c>
      <c r="H273" s="4">
        <f>ROUND(G273*0.057,0)</f>
        <v>1</v>
      </c>
      <c r="I273" s="4">
        <f t="shared" si="32"/>
        <v>0</v>
      </c>
      <c r="J273" s="4">
        <f t="shared" si="33"/>
        <v>0</v>
      </c>
      <c r="K273" s="4">
        <f t="shared" si="34"/>
        <v>1</v>
      </c>
      <c r="L273" s="4" t="s">
        <v>500</v>
      </c>
      <c r="M273" s="4">
        <f>INDEX(Dim_Product!$C$2:$C$4,MATCH(F273,Dim_Product!$A$2:$A$4,0))+-0.01</f>
        <v>199.99</v>
      </c>
      <c r="N273" s="4">
        <f>IF(AND(M273&gt;=INDEX(Dim_Product!$C$2:$C$4,MATCH(F273,Dim_Product!$A$2:$A$4,0))-INDEX(Dim_Product!$D$2:$D$4,MATCH(F273,Dim_Product!$A$2:$A$4,0)),M273&lt;=INDEX(Dim_Product!$C$2:$C$4,MATCH(F273,Dim_Product!$A$2:$A$4,0))+INDEX(Dim_Product!$D$2:$D$4,MATCH(F273,Dim_Product!$A$2:$A$4,0))),G273-H273,G273-H273-1)</f>
        <v>23</v>
      </c>
      <c r="O273" s="4">
        <f t="shared" si="35"/>
        <v>1</v>
      </c>
      <c r="P273" s="4">
        <f>INDEX(Dim_Product!$G$2:$G$4,MATCH(F273,Dim_Product!$A$2:$A$4,0))+-0.23</f>
        <v>64.77</v>
      </c>
      <c r="Q273" s="4">
        <f>IF(AND(P273&gt;=INDEX(Dim_Product!$G$2:$G$4,MATCH(F273,Dim_Product!$A$2:$A$4,0))-INDEX(Dim_Product!$H$2:$H$4,MATCH(F273,Dim_Product!$A$2:$A$4,0)),P273&lt;=INDEX(Dim_Product!$G$2:$G$4,MATCH(F273,Dim_Product!$A$2:$A$4,0))+INDEX(Dim_Product!$H$2:$H$4,MATCH(F273,Dim_Product!$A$2:$A$4,0))),G273-H273,G273-H273-1)</f>
        <v>23</v>
      </c>
      <c r="R273" s="4">
        <f t="shared" si="36"/>
        <v>1</v>
      </c>
      <c r="S273" s="4">
        <f>INDEX(Dim_Product!$K$2:$K$4,MATCH(F273,Dim_Product!$A$2:$A$4,0))+0</f>
        <v>110</v>
      </c>
      <c r="T273" s="4">
        <f>IF(AND(S273&gt;=INDEX(Dim_Product!$K$2:$K$4,MATCH(F273,Dim_Product!$A$2:$A$4,0))-INDEX(Dim_Product!$L$2:$L$4,MATCH(F273,Dim_Product!$A$2:$A$4,0)),S273&lt;=INDEX(Dim_Product!$K$2:$K$4,MATCH(F273,Dim_Product!$A$2:$A$4,0))+INDEX(Dim_Product!$L$2:$L$4,MATCH(F273,Dim_Product!$A$2:$A$4,0))),G273-H273,G273-H273-1)</f>
        <v>23</v>
      </c>
      <c r="U273" s="4">
        <f t="shared" si="37"/>
        <v>1</v>
      </c>
      <c r="V273" s="4">
        <f t="shared" si="38"/>
        <v>4.1666666666666664E-2</v>
      </c>
      <c r="W273" s="19">
        <f t="shared" si="39"/>
        <v>0.95833333333333337</v>
      </c>
    </row>
    <row r="274" spans="1:23" x14ac:dyDescent="0.25">
      <c r="A274" s="18" t="s">
        <v>775</v>
      </c>
      <c r="B274" s="4">
        <f>Fact_Production_Hourly!B274</f>
        <v>20260702</v>
      </c>
      <c r="C274" s="4">
        <f>Fact_Production_Hourly!C274</f>
        <v>14</v>
      </c>
      <c r="D274" s="4" t="str">
        <f>Fact_Production_Hourly!D274</f>
        <v>M7</v>
      </c>
      <c r="E274" s="4" t="str">
        <f>Fact_Production_Hourly!E274</f>
        <v>A-AM</v>
      </c>
      <c r="F274" s="4" t="str">
        <f>Fact_Production_Hourly!F274</f>
        <v>C</v>
      </c>
      <c r="G274" s="4">
        <f>INDEX(Dim_Machine!$D$2:$D$8,MATCH(D274,Dim_Machine!$A$2:$A$8,0))*2</f>
        <v>48</v>
      </c>
      <c r="H274" s="4">
        <f>ROUND(G274*0.0456,0)</f>
        <v>2</v>
      </c>
      <c r="I274" s="4">
        <f t="shared" si="32"/>
        <v>0</v>
      </c>
      <c r="J274" s="4">
        <f t="shared" si="33"/>
        <v>1</v>
      </c>
      <c r="K274" s="4">
        <f t="shared" si="34"/>
        <v>1</v>
      </c>
      <c r="L274" s="4" t="s">
        <v>509</v>
      </c>
      <c r="M274" s="4">
        <f>INDEX(Dim_Product!$C$2:$C$4,MATCH(F274,Dim_Product!$A$2:$A$4,0))+0.78</f>
        <v>200.78</v>
      </c>
      <c r="N274" s="4">
        <f>IF(AND(M274&gt;=INDEX(Dim_Product!$C$2:$C$4,MATCH(F274,Dim_Product!$A$2:$A$4,0))-INDEX(Dim_Product!$D$2:$D$4,MATCH(F274,Dim_Product!$A$2:$A$4,0)),M274&lt;=INDEX(Dim_Product!$C$2:$C$4,MATCH(F274,Dim_Product!$A$2:$A$4,0))+INDEX(Dim_Product!$D$2:$D$4,MATCH(F274,Dim_Product!$A$2:$A$4,0))),G274-H274,G274-H274-1)</f>
        <v>46</v>
      </c>
      <c r="O274" s="4">
        <f t="shared" si="35"/>
        <v>2</v>
      </c>
      <c r="P274" s="4">
        <f>INDEX(Dim_Product!$G$2:$G$4,MATCH(F274,Dim_Product!$A$2:$A$4,0))+-0.29</f>
        <v>64.709999999999994</v>
      </c>
      <c r="Q274" s="4">
        <f>IF(AND(P274&gt;=INDEX(Dim_Product!$G$2:$G$4,MATCH(F274,Dim_Product!$A$2:$A$4,0))-INDEX(Dim_Product!$H$2:$H$4,MATCH(F274,Dim_Product!$A$2:$A$4,0)),P274&lt;=INDEX(Dim_Product!$G$2:$G$4,MATCH(F274,Dim_Product!$A$2:$A$4,0))+INDEX(Dim_Product!$H$2:$H$4,MATCH(F274,Dim_Product!$A$2:$A$4,0))),G274-H274,G274-H274-1)</f>
        <v>46</v>
      </c>
      <c r="R274" s="4">
        <f t="shared" si="36"/>
        <v>2</v>
      </c>
      <c r="S274" s="4">
        <f>INDEX(Dim_Product!$K$2:$K$4,MATCH(F274,Dim_Product!$A$2:$A$4,0))+-0.11</f>
        <v>109.89</v>
      </c>
      <c r="T274" s="4">
        <f>IF(AND(S274&gt;=INDEX(Dim_Product!$K$2:$K$4,MATCH(F274,Dim_Product!$A$2:$A$4,0))-INDEX(Dim_Product!$L$2:$L$4,MATCH(F274,Dim_Product!$A$2:$A$4,0)),S274&lt;=INDEX(Dim_Product!$K$2:$K$4,MATCH(F274,Dim_Product!$A$2:$A$4,0))+INDEX(Dim_Product!$L$2:$L$4,MATCH(F274,Dim_Product!$A$2:$A$4,0))),G274-H274,G274-H274-1)</f>
        <v>46</v>
      </c>
      <c r="U274" s="4">
        <f t="shared" si="37"/>
        <v>2</v>
      </c>
      <c r="V274" s="4">
        <f t="shared" si="38"/>
        <v>4.1666666666666664E-2</v>
      </c>
      <c r="W274" s="19">
        <f t="shared" si="39"/>
        <v>0.95833333333333337</v>
      </c>
    </row>
    <row r="275" spans="1:23" x14ac:dyDescent="0.25">
      <c r="A275" s="18" t="s">
        <v>776</v>
      </c>
      <c r="B275" s="4">
        <f>Fact_Production_Hourly!B275</f>
        <v>20260702</v>
      </c>
      <c r="C275" s="4">
        <f>Fact_Production_Hourly!C275</f>
        <v>15</v>
      </c>
      <c r="D275" s="4" t="str">
        <f>Fact_Production_Hourly!D275</f>
        <v>M1</v>
      </c>
      <c r="E275" s="4" t="str">
        <f>Fact_Production_Hourly!E275</f>
        <v>A-AM</v>
      </c>
      <c r="F275" s="4" t="str">
        <f>Fact_Production_Hourly!F275</f>
        <v>C</v>
      </c>
      <c r="G275" s="4">
        <f>INDEX(Dim_Machine!$D$2:$D$8,MATCH(D275,Dim_Machine!$A$2:$A$8,0))*2</f>
        <v>32</v>
      </c>
      <c r="H275" s="4">
        <f>ROUND(G275*0.029,0)</f>
        <v>1</v>
      </c>
      <c r="I275" s="4">
        <f t="shared" si="32"/>
        <v>0</v>
      </c>
      <c r="J275" s="4">
        <f t="shared" si="33"/>
        <v>0</v>
      </c>
      <c r="K275" s="4">
        <f t="shared" si="34"/>
        <v>1</v>
      </c>
      <c r="L275" s="4" t="s">
        <v>503</v>
      </c>
      <c r="M275" s="4">
        <f>INDEX(Dim_Product!$C$2:$C$4,MATCH(F275,Dim_Product!$A$2:$A$4,0))+0.72</f>
        <v>200.72</v>
      </c>
      <c r="N275" s="4">
        <f>IF(AND(M275&gt;=INDEX(Dim_Product!$C$2:$C$4,MATCH(F275,Dim_Product!$A$2:$A$4,0))-INDEX(Dim_Product!$D$2:$D$4,MATCH(F275,Dim_Product!$A$2:$A$4,0)),M275&lt;=INDEX(Dim_Product!$C$2:$C$4,MATCH(F275,Dim_Product!$A$2:$A$4,0))+INDEX(Dim_Product!$D$2:$D$4,MATCH(F275,Dim_Product!$A$2:$A$4,0))),G275-H275,G275-H275-1)</f>
        <v>31</v>
      </c>
      <c r="O275" s="4">
        <f t="shared" si="35"/>
        <v>1</v>
      </c>
      <c r="P275" s="4">
        <f>INDEX(Dim_Product!$G$2:$G$4,MATCH(F275,Dim_Product!$A$2:$A$4,0))+0.04</f>
        <v>65.040000000000006</v>
      </c>
      <c r="Q275" s="4">
        <f>IF(AND(P275&gt;=INDEX(Dim_Product!$G$2:$G$4,MATCH(F275,Dim_Product!$A$2:$A$4,0))-INDEX(Dim_Product!$H$2:$H$4,MATCH(F275,Dim_Product!$A$2:$A$4,0)),P275&lt;=INDEX(Dim_Product!$G$2:$G$4,MATCH(F275,Dim_Product!$A$2:$A$4,0))+INDEX(Dim_Product!$H$2:$H$4,MATCH(F275,Dim_Product!$A$2:$A$4,0))),G275-H275,G275-H275-1)</f>
        <v>31</v>
      </c>
      <c r="R275" s="4">
        <f t="shared" si="36"/>
        <v>1</v>
      </c>
      <c r="S275" s="4">
        <f>INDEX(Dim_Product!$K$2:$K$4,MATCH(F275,Dim_Product!$A$2:$A$4,0))+-0.11</f>
        <v>109.89</v>
      </c>
      <c r="T275" s="4">
        <f>IF(AND(S275&gt;=INDEX(Dim_Product!$K$2:$K$4,MATCH(F275,Dim_Product!$A$2:$A$4,0))-INDEX(Dim_Product!$L$2:$L$4,MATCH(F275,Dim_Product!$A$2:$A$4,0)),S275&lt;=INDEX(Dim_Product!$K$2:$K$4,MATCH(F275,Dim_Product!$A$2:$A$4,0))+INDEX(Dim_Product!$L$2:$L$4,MATCH(F275,Dim_Product!$A$2:$A$4,0))),G275-H275,G275-H275-1)</f>
        <v>31</v>
      </c>
      <c r="U275" s="4">
        <f t="shared" si="37"/>
        <v>1</v>
      </c>
      <c r="V275" s="4">
        <f t="shared" si="38"/>
        <v>3.125E-2</v>
      </c>
      <c r="W275" s="19">
        <f t="shared" si="39"/>
        <v>0.96875</v>
      </c>
    </row>
    <row r="276" spans="1:23" x14ac:dyDescent="0.25">
      <c r="A276" s="18" t="s">
        <v>777</v>
      </c>
      <c r="B276" s="4">
        <f>Fact_Production_Hourly!B276</f>
        <v>20260702</v>
      </c>
      <c r="C276" s="4">
        <f>Fact_Production_Hourly!C276</f>
        <v>15</v>
      </c>
      <c r="D276" s="4" t="str">
        <f>Fact_Production_Hourly!D276</f>
        <v>M2</v>
      </c>
      <c r="E276" s="4" t="str">
        <f>Fact_Production_Hourly!E276</f>
        <v>A-AM</v>
      </c>
      <c r="F276" s="4" t="str">
        <f>Fact_Production_Hourly!F276</f>
        <v>A</v>
      </c>
      <c r="G276" s="4">
        <f>INDEX(Dim_Machine!$D$2:$D$8,MATCH(D276,Dim_Machine!$A$2:$A$8,0))*2</f>
        <v>48</v>
      </c>
      <c r="H276" s="4">
        <f>ROUND(G276*0.051,0)</f>
        <v>2</v>
      </c>
      <c r="I276" s="4">
        <f t="shared" si="32"/>
        <v>0</v>
      </c>
      <c r="J276" s="4">
        <f t="shared" si="33"/>
        <v>1</v>
      </c>
      <c r="K276" s="4">
        <f t="shared" si="34"/>
        <v>1</v>
      </c>
      <c r="L276" s="4" t="s">
        <v>503</v>
      </c>
      <c r="M276" s="4">
        <f>INDEX(Dim_Product!$C$2:$C$4,MATCH(F276,Dim_Product!$A$2:$A$4,0))+0.91</f>
        <v>250.91</v>
      </c>
      <c r="N276" s="4">
        <f>IF(AND(M276&gt;=INDEX(Dim_Product!$C$2:$C$4,MATCH(F276,Dim_Product!$A$2:$A$4,0))-INDEX(Dim_Product!$D$2:$D$4,MATCH(F276,Dim_Product!$A$2:$A$4,0)),M276&lt;=INDEX(Dim_Product!$C$2:$C$4,MATCH(F276,Dim_Product!$A$2:$A$4,0))+INDEX(Dim_Product!$D$2:$D$4,MATCH(F276,Dim_Product!$A$2:$A$4,0))),G276-H276,G276-H276-1)</f>
        <v>46</v>
      </c>
      <c r="O276" s="4">
        <f t="shared" si="35"/>
        <v>2</v>
      </c>
      <c r="P276" s="4">
        <f>INDEX(Dim_Product!$G$2:$G$4,MATCH(F276,Dim_Product!$A$2:$A$4,0))+0.16</f>
        <v>70.16</v>
      </c>
      <c r="Q276" s="4">
        <f>IF(AND(P276&gt;=INDEX(Dim_Product!$G$2:$G$4,MATCH(F276,Dim_Product!$A$2:$A$4,0))-INDEX(Dim_Product!$H$2:$H$4,MATCH(F276,Dim_Product!$A$2:$A$4,0)),P276&lt;=INDEX(Dim_Product!$G$2:$G$4,MATCH(F276,Dim_Product!$A$2:$A$4,0))+INDEX(Dim_Product!$H$2:$H$4,MATCH(F276,Dim_Product!$A$2:$A$4,0))),G276-H276,G276-H276-1)</f>
        <v>46</v>
      </c>
      <c r="R276" s="4">
        <f t="shared" si="36"/>
        <v>2</v>
      </c>
      <c r="S276" s="4">
        <f>INDEX(Dim_Product!$K$2:$K$4,MATCH(F276,Dim_Product!$A$2:$A$4,0))+-0.39</f>
        <v>119.61</v>
      </c>
      <c r="T276" s="4">
        <f>IF(AND(S276&gt;=INDEX(Dim_Product!$K$2:$K$4,MATCH(F276,Dim_Product!$A$2:$A$4,0))-INDEX(Dim_Product!$L$2:$L$4,MATCH(F276,Dim_Product!$A$2:$A$4,0)),S276&lt;=INDEX(Dim_Product!$K$2:$K$4,MATCH(F276,Dim_Product!$A$2:$A$4,0))+INDEX(Dim_Product!$L$2:$L$4,MATCH(F276,Dim_Product!$A$2:$A$4,0))),G276-H276,G276-H276-1)</f>
        <v>46</v>
      </c>
      <c r="U276" s="4">
        <f t="shared" si="37"/>
        <v>2</v>
      </c>
      <c r="V276" s="4">
        <f t="shared" si="38"/>
        <v>4.1666666666666664E-2</v>
      </c>
      <c r="W276" s="19">
        <f t="shared" si="39"/>
        <v>0.95833333333333337</v>
      </c>
    </row>
    <row r="277" spans="1:23" x14ac:dyDescent="0.25">
      <c r="A277" s="18" t="s">
        <v>778</v>
      </c>
      <c r="B277" s="4">
        <f>Fact_Production_Hourly!B277</f>
        <v>20260702</v>
      </c>
      <c r="C277" s="4">
        <f>Fact_Production_Hourly!C277</f>
        <v>15</v>
      </c>
      <c r="D277" s="4" t="str">
        <f>Fact_Production_Hourly!D277</f>
        <v>M3</v>
      </c>
      <c r="E277" s="4" t="str">
        <f>Fact_Production_Hourly!E277</f>
        <v>A-AM</v>
      </c>
      <c r="F277" s="4" t="str">
        <f>Fact_Production_Hourly!F277</f>
        <v>A</v>
      </c>
      <c r="G277" s="4">
        <f>INDEX(Dim_Machine!$D$2:$D$8,MATCH(D277,Dim_Machine!$A$2:$A$8,0))*2</f>
        <v>24</v>
      </c>
      <c r="H277" s="4">
        <f>ROUND(G277*0.0141,0)</f>
        <v>0</v>
      </c>
      <c r="I277" s="4">
        <f t="shared" si="32"/>
        <v>0</v>
      </c>
      <c r="J277" s="4">
        <f t="shared" si="33"/>
        <v>0</v>
      </c>
      <c r="K277" s="4">
        <f t="shared" si="34"/>
        <v>0</v>
      </c>
      <c r="L277" s="4" t="s">
        <v>517</v>
      </c>
      <c r="M277" s="4">
        <f>INDEX(Dim_Product!$C$2:$C$4,MATCH(F277,Dim_Product!$A$2:$A$4,0))+-0.57</f>
        <v>249.43</v>
      </c>
      <c r="N277" s="4">
        <f>IF(AND(M277&gt;=INDEX(Dim_Product!$C$2:$C$4,MATCH(F277,Dim_Product!$A$2:$A$4,0))-INDEX(Dim_Product!$D$2:$D$4,MATCH(F277,Dim_Product!$A$2:$A$4,0)),M277&lt;=INDEX(Dim_Product!$C$2:$C$4,MATCH(F277,Dim_Product!$A$2:$A$4,0))+INDEX(Dim_Product!$D$2:$D$4,MATCH(F277,Dim_Product!$A$2:$A$4,0))),G277-H277,G277-H277-1)</f>
        <v>24</v>
      </c>
      <c r="O277" s="4">
        <f t="shared" si="35"/>
        <v>0</v>
      </c>
      <c r="P277" s="4">
        <f>INDEX(Dim_Product!$G$2:$G$4,MATCH(F277,Dim_Product!$A$2:$A$4,0))+0.25</f>
        <v>70.25</v>
      </c>
      <c r="Q277" s="4">
        <f>IF(AND(P277&gt;=INDEX(Dim_Product!$G$2:$G$4,MATCH(F277,Dim_Product!$A$2:$A$4,0))-INDEX(Dim_Product!$H$2:$H$4,MATCH(F277,Dim_Product!$A$2:$A$4,0)),P277&lt;=INDEX(Dim_Product!$G$2:$G$4,MATCH(F277,Dim_Product!$A$2:$A$4,0))+INDEX(Dim_Product!$H$2:$H$4,MATCH(F277,Dim_Product!$A$2:$A$4,0))),G277-H277,G277-H277-1)</f>
        <v>24</v>
      </c>
      <c r="R277" s="4">
        <f t="shared" si="36"/>
        <v>0</v>
      </c>
      <c r="S277" s="4">
        <f>INDEX(Dim_Product!$K$2:$K$4,MATCH(F277,Dim_Product!$A$2:$A$4,0))+0.36</f>
        <v>120.36</v>
      </c>
      <c r="T277" s="4">
        <f>IF(AND(S277&gt;=INDEX(Dim_Product!$K$2:$K$4,MATCH(F277,Dim_Product!$A$2:$A$4,0))-INDEX(Dim_Product!$L$2:$L$4,MATCH(F277,Dim_Product!$A$2:$A$4,0)),S277&lt;=INDEX(Dim_Product!$K$2:$K$4,MATCH(F277,Dim_Product!$A$2:$A$4,0))+INDEX(Dim_Product!$L$2:$L$4,MATCH(F277,Dim_Product!$A$2:$A$4,0))),G277-H277,G277-H277-1)</f>
        <v>24</v>
      </c>
      <c r="U277" s="4">
        <f t="shared" si="37"/>
        <v>0</v>
      </c>
      <c r="V277" s="4">
        <f t="shared" si="38"/>
        <v>0</v>
      </c>
      <c r="W277" s="19">
        <f t="shared" si="39"/>
        <v>1</v>
      </c>
    </row>
    <row r="278" spans="1:23" x14ac:dyDescent="0.25">
      <c r="A278" s="18" t="s">
        <v>779</v>
      </c>
      <c r="B278" s="4">
        <f>Fact_Production_Hourly!B278</f>
        <v>20260702</v>
      </c>
      <c r="C278" s="4">
        <f>Fact_Production_Hourly!C278</f>
        <v>15</v>
      </c>
      <c r="D278" s="4" t="str">
        <f>Fact_Production_Hourly!D278</f>
        <v>M4</v>
      </c>
      <c r="E278" s="4" t="str">
        <f>Fact_Production_Hourly!E278</f>
        <v>A-AM</v>
      </c>
      <c r="F278" s="4" t="str">
        <f>Fact_Production_Hourly!F278</f>
        <v>A</v>
      </c>
      <c r="G278" s="4">
        <f>INDEX(Dim_Machine!$D$2:$D$8,MATCH(D278,Dim_Machine!$A$2:$A$8,0))*2</f>
        <v>48</v>
      </c>
      <c r="H278" s="4">
        <f>ROUND(G278*0.0339,0)</f>
        <v>2</v>
      </c>
      <c r="I278" s="4">
        <f t="shared" si="32"/>
        <v>0</v>
      </c>
      <c r="J278" s="4">
        <f t="shared" si="33"/>
        <v>1</v>
      </c>
      <c r="K278" s="4">
        <f t="shared" si="34"/>
        <v>1</v>
      </c>
      <c r="L278" s="4" t="s">
        <v>517</v>
      </c>
      <c r="M278" s="4">
        <f>INDEX(Dim_Product!$C$2:$C$4,MATCH(F278,Dim_Product!$A$2:$A$4,0))+0.26</f>
        <v>250.26</v>
      </c>
      <c r="N278" s="4">
        <f>IF(AND(M278&gt;=INDEX(Dim_Product!$C$2:$C$4,MATCH(F278,Dim_Product!$A$2:$A$4,0))-INDEX(Dim_Product!$D$2:$D$4,MATCH(F278,Dim_Product!$A$2:$A$4,0)),M278&lt;=INDEX(Dim_Product!$C$2:$C$4,MATCH(F278,Dim_Product!$A$2:$A$4,0))+INDEX(Dim_Product!$D$2:$D$4,MATCH(F278,Dim_Product!$A$2:$A$4,0))),G278-H278,G278-H278-1)</f>
        <v>46</v>
      </c>
      <c r="O278" s="4">
        <f t="shared" si="35"/>
        <v>2</v>
      </c>
      <c r="P278" s="4">
        <f>INDEX(Dim_Product!$G$2:$G$4,MATCH(F278,Dim_Product!$A$2:$A$4,0))+0</f>
        <v>70</v>
      </c>
      <c r="Q278" s="4">
        <f>IF(AND(P278&gt;=INDEX(Dim_Product!$G$2:$G$4,MATCH(F278,Dim_Product!$A$2:$A$4,0))-INDEX(Dim_Product!$H$2:$H$4,MATCH(F278,Dim_Product!$A$2:$A$4,0)),P278&lt;=INDEX(Dim_Product!$G$2:$G$4,MATCH(F278,Dim_Product!$A$2:$A$4,0))+INDEX(Dim_Product!$H$2:$H$4,MATCH(F278,Dim_Product!$A$2:$A$4,0))),G278-H278,G278-H278-1)</f>
        <v>46</v>
      </c>
      <c r="R278" s="4">
        <f t="shared" si="36"/>
        <v>2</v>
      </c>
      <c r="S278" s="4">
        <f>INDEX(Dim_Product!$K$2:$K$4,MATCH(F278,Dim_Product!$A$2:$A$4,0))+-0.07</f>
        <v>119.93</v>
      </c>
      <c r="T278" s="4">
        <f>IF(AND(S278&gt;=INDEX(Dim_Product!$K$2:$K$4,MATCH(F278,Dim_Product!$A$2:$A$4,0))-INDEX(Dim_Product!$L$2:$L$4,MATCH(F278,Dim_Product!$A$2:$A$4,0)),S278&lt;=INDEX(Dim_Product!$K$2:$K$4,MATCH(F278,Dim_Product!$A$2:$A$4,0))+INDEX(Dim_Product!$L$2:$L$4,MATCH(F278,Dim_Product!$A$2:$A$4,0))),G278-H278,G278-H278-1)</f>
        <v>46</v>
      </c>
      <c r="U278" s="4">
        <f t="shared" si="37"/>
        <v>2</v>
      </c>
      <c r="V278" s="4">
        <f t="shared" si="38"/>
        <v>4.1666666666666664E-2</v>
      </c>
      <c r="W278" s="19">
        <f t="shared" si="39"/>
        <v>0.95833333333333337</v>
      </c>
    </row>
    <row r="279" spans="1:23" x14ac:dyDescent="0.25">
      <c r="A279" s="18" t="s">
        <v>780</v>
      </c>
      <c r="B279" s="4">
        <f>Fact_Production_Hourly!B279</f>
        <v>20260702</v>
      </c>
      <c r="C279" s="4">
        <f>Fact_Production_Hourly!C279</f>
        <v>15</v>
      </c>
      <c r="D279" s="4" t="str">
        <f>Fact_Production_Hourly!D279</f>
        <v>M5</v>
      </c>
      <c r="E279" s="4" t="str">
        <f>Fact_Production_Hourly!E279</f>
        <v>A-AM</v>
      </c>
      <c r="F279" s="4" t="str">
        <f>Fact_Production_Hourly!F279</f>
        <v>C</v>
      </c>
      <c r="G279" s="4">
        <f>INDEX(Dim_Machine!$D$2:$D$8,MATCH(D279,Dim_Machine!$A$2:$A$8,0))*2</f>
        <v>32</v>
      </c>
      <c r="H279" s="4">
        <f>ROUND(G279*0.0521,0)</f>
        <v>2</v>
      </c>
      <c r="I279" s="4">
        <f t="shared" si="32"/>
        <v>0</v>
      </c>
      <c r="J279" s="4">
        <f t="shared" si="33"/>
        <v>1</v>
      </c>
      <c r="K279" s="4">
        <f t="shared" si="34"/>
        <v>1</v>
      </c>
      <c r="L279" s="4" t="s">
        <v>498</v>
      </c>
      <c r="M279" s="4">
        <f>INDEX(Dim_Product!$C$2:$C$4,MATCH(F279,Dim_Product!$A$2:$A$4,0))+0.28</f>
        <v>200.28</v>
      </c>
      <c r="N279" s="4">
        <f>IF(AND(M279&gt;=INDEX(Dim_Product!$C$2:$C$4,MATCH(F279,Dim_Product!$A$2:$A$4,0))-INDEX(Dim_Product!$D$2:$D$4,MATCH(F279,Dim_Product!$A$2:$A$4,0)),M279&lt;=INDEX(Dim_Product!$C$2:$C$4,MATCH(F279,Dim_Product!$A$2:$A$4,0))+INDEX(Dim_Product!$D$2:$D$4,MATCH(F279,Dim_Product!$A$2:$A$4,0))),G279-H279,G279-H279-1)</f>
        <v>30</v>
      </c>
      <c r="O279" s="4">
        <f t="shared" si="35"/>
        <v>2</v>
      </c>
      <c r="P279" s="4">
        <f>INDEX(Dim_Product!$G$2:$G$4,MATCH(F279,Dim_Product!$A$2:$A$4,0))+0.02</f>
        <v>65.02</v>
      </c>
      <c r="Q279" s="4">
        <f>IF(AND(P279&gt;=INDEX(Dim_Product!$G$2:$G$4,MATCH(F279,Dim_Product!$A$2:$A$4,0))-INDEX(Dim_Product!$H$2:$H$4,MATCH(F279,Dim_Product!$A$2:$A$4,0)),P279&lt;=INDEX(Dim_Product!$G$2:$G$4,MATCH(F279,Dim_Product!$A$2:$A$4,0))+INDEX(Dim_Product!$H$2:$H$4,MATCH(F279,Dim_Product!$A$2:$A$4,0))),G279-H279,G279-H279-1)</f>
        <v>30</v>
      </c>
      <c r="R279" s="4">
        <f t="shared" si="36"/>
        <v>2</v>
      </c>
      <c r="S279" s="4">
        <f>INDEX(Dim_Product!$K$2:$K$4,MATCH(F279,Dim_Product!$A$2:$A$4,0))+-0.28</f>
        <v>109.72</v>
      </c>
      <c r="T279" s="4">
        <f>IF(AND(S279&gt;=INDEX(Dim_Product!$K$2:$K$4,MATCH(F279,Dim_Product!$A$2:$A$4,0))-INDEX(Dim_Product!$L$2:$L$4,MATCH(F279,Dim_Product!$A$2:$A$4,0)),S279&lt;=INDEX(Dim_Product!$K$2:$K$4,MATCH(F279,Dim_Product!$A$2:$A$4,0))+INDEX(Dim_Product!$L$2:$L$4,MATCH(F279,Dim_Product!$A$2:$A$4,0))),G279-H279,G279-H279-1)</f>
        <v>30</v>
      </c>
      <c r="U279" s="4">
        <f t="shared" si="37"/>
        <v>2</v>
      </c>
      <c r="V279" s="4">
        <f t="shared" si="38"/>
        <v>6.25E-2</v>
      </c>
      <c r="W279" s="19">
        <f t="shared" si="39"/>
        <v>0.9375</v>
      </c>
    </row>
    <row r="280" spans="1:23" x14ac:dyDescent="0.25">
      <c r="A280" s="18" t="s">
        <v>781</v>
      </c>
      <c r="B280" s="4">
        <f>Fact_Production_Hourly!B280</f>
        <v>20260702</v>
      </c>
      <c r="C280" s="4">
        <f>Fact_Production_Hourly!C280</f>
        <v>15</v>
      </c>
      <c r="D280" s="4" t="str">
        <f>Fact_Production_Hourly!D280</f>
        <v>M6</v>
      </c>
      <c r="E280" s="4" t="str">
        <f>Fact_Production_Hourly!E280</f>
        <v>A-AM</v>
      </c>
      <c r="F280" s="4" t="str">
        <f>Fact_Production_Hourly!F280</f>
        <v>C</v>
      </c>
      <c r="G280" s="4">
        <f>INDEX(Dim_Machine!$D$2:$D$8,MATCH(D280,Dim_Machine!$A$2:$A$8,0))*2</f>
        <v>24</v>
      </c>
      <c r="H280" s="4">
        <f>ROUND(G280*0.015,0)</f>
        <v>0</v>
      </c>
      <c r="I280" s="4">
        <f t="shared" si="32"/>
        <v>0</v>
      </c>
      <c r="J280" s="4">
        <f t="shared" si="33"/>
        <v>0</v>
      </c>
      <c r="K280" s="4">
        <f t="shared" si="34"/>
        <v>0</v>
      </c>
      <c r="L280" s="4" t="s">
        <v>498</v>
      </c>
      <c r="M280" s="4">
        <f>INDEX(Dim_Product!$C$2:$C$4,MATCH(F280,Dim_Product!$A$2:$A$4,0))+0.02</f>
        <v>200.02</v>
      </c>
      <c r="N280" s="4">
        <f>IF(AND(M280&gt;=INDEX(Dim_Product!$C$2:$C$4,MATCH(F280,Dim_Product!$A$2:$A$4,0))-INDEX(Dim_Product!$D$2:$D$4,MATCH(F280,Dim_Product!$A$2:$A$4,0)),M280&lt;=INDEX(Dim_Product!$C$2:$C$4,MATCH(F280,Dim_Product!$A$2:$A$4,0))+INDEX(Dim_Product!$D$2:$D$4,MATCH(F280,Dim_Product!$A$2:$A$4,0))),G280-H280,G280-H280-1)</f>
        <v>24</v>
      </c>
      <c r="O280" s="4">
        <f t="shared" si="35"/>
        <v>0</v>
      </c>
      <c r="P280" s="4">
        <f>INDEX(Dim_Product!$G$2:$G$4,MATCH(F280,Dim_Product!$A$2:$A$4,0))+-0.18</f>
        <v>64.819999999999993</v>
      </c>
      <c r="Q280" s="4">
        <f>IF(AND(P280&gt;=INDEX(Dim_Product!$G$2:$G$4,MATCH(F280,Dim_Product!$A$2:$A$4,0))-INDEX(Dim_Product!$H$2:$H$4,MATCH(F280,Dim_Product!$A$2:$A$4,0)),P280&lt;=INDEX(Dim_Product!$G$2:$G$4,MATCH(F280,Dim_Product!$A$2:$A$4,0))+INDEX(Dim_Product!$H$2:$H$4,MATCH(F280,Dim_Product!$A$2:$A$4,0))),G280-H280,G280-H280-1)</f>
        <v>24</v>
      </c>
      <c r="R280" s="4">
        <f t="shared" si="36"/>
        <v>0</v>
      </c>
      <c r="S280" s="4">
        <f>INDEX(Dim_Product!$K$2:$K$4,MATCH(F280,Dim_Product!$A$2:$A$4,0))+0.25</f>
        <v>110.25</v>
      </c>
      <c r="T280" s="4">
        <f>IF(AND(S280&gt;=INDEX(Dim_Product!$K$2:$K$4,MATCH(F280,Dim_Product!$A$2:$A$4,0))-INDEX(Dim_Product!$L$2:$L$4,MATCH(F280,Dim_Product!$A$2:$A$4,0)),S280&lt;=INDEX(Dim_Product!$K$2:$K$4,MATCH(F280,Dim_Product!$A$2:$A$4,0))+INDEX(Dim_Product!$L$2:$L$4,MATCH(F280,Dim_Product!$A$2:$A$4,0))),G280-H280,G280-H280-1)</f>
        <v>24</v>
      </c>
      <c r="U280" s="4">
        <f t="shared" si="37"/>
        <v>0</v>
      </c>
      <c r="V280" s="4">
        <f t="shared" si="38"/>
        <v>0</v>
      </c>
      <c r="W280" s="19">
        <f t="shared" si="39"/>
        <v>1</v>
      </c>
    </row>
    <row r="281" spans="1:23" x14ac:dyDescent="0.25">
      <c r="A281" s="18" t="s">
        <v>782</v>
      </c>
      <c r="B281" s="4">
        <f>Fact_Production_Hourly!B281</f>
        <v>20260702</v>
      </c>
      <c r="C281" s="4">
        <f>Fact_Production_Hourly!C281</f>
        <v>15</v>
      </c>
      <c r="D281" s="4" t="str">
        <f>Fact_Production_Hourly!D281</f>
        <v>M7</v>
      </c>
      <c r="E281" s="4" t="str">
        <f>Fact_Production_Hourly!E281</f>
        <v>A-AM</v>
      </c>
      <c r="F281" s="4" t="str">
        <f>Fact_Production_Hourly!F281</f>
        <v>C</v>
      </c>
      <c r="G281" s="4">
        <f>INDEX(Dim_Machine!$D$2:$D$8,MATCH(D281,Dim_Machine!$A$2:$A$8,0))*2</f>
        <v>48</v>
      </c>
      <c r="H281" s="4">
        <f>ROUND(G281*0.0422,0)</f>
        <v>2</v>
      </c>
      <c r="I281" s="4">
        <f t="shared" si="32"/>
        <v>0</v>
      </c>
      <c r="J281" s="4">
        <f t="shared" si="33"/>
        <v>1</v>
      </c>
      <c r="K281" s="4">
        <f t="shared" si="34"/>
        <v>1</v>
      </c>
      <c r="L281" s="4" t="s">
        <v>503</v>
      </c>
      <c r="M281" s="4">
        <f>INDEX(Dim_Product!$C$2:$C$4,MATCH(F281,Dim_Product!$A$2:$A$4,0))+0.17</f>
        <v>200.17</v>
      </c>
      <c r="N281" s="4">
        <f>IF(AND(M281&gt;=INDEX(Dim_Product!$C$2:$C$4,MATCH(F281,Dim_Product!$A$2:$A$4,0))-INDEX(Dim_Product!$D$2:$D$4,MATCH(F281,Dim_Product!$A$2:$A$4,0)),M281&lt;=INDEX(Dim_Product!$C$2:$C$4,MATCH(F281,Dim_Product!$A$2:$A$4,0))+INDEX(Dim_Product!$D$2:$D$4,MATCH(F281,Dim_Product!$A$2:$A$4,0))),G281-H281,G281-H281-1)</f>
        <v>46</v>
      </c>
      <c r="O281" s="4">
        <f t="shared" si="35"/>
        <v>2</v>
      </c>
      <c r="P281" s="4">
        <f>INDEX(Dim_Product!$G$2:$G$4,MATCH(F281,Dim_Product!$A$2:$A$4,0))+0.16</f>
        <v>65.16</v>
      </c>
      <c r="Q281" s="4">
        <f>IF(AND(P281&gt;=INDEX(Dim_Product!$G$2:$G$4,MATCH(F281,Dim_Product!$A$2:$A$4,0))-INDEX(Dim_Product!$H$2:$H$4,MATCH(F281,Dim_Product!$A$2:$A$4,0)),P281&lt;=INDEX(Dim_Product!$G$2:$G$4,MATCH(F281,Dim_Product!$A$2:$A$4,0))+INDEX(Dim_Product!$H$2:$H$4,MATCH(F281,Dim_Product!$A$2:$A$4,0))),G281-H281,G281-H281-1)</f>
        <v>46</v>
      </c>
      <c r="R281" s="4">
        <f t="shared" si="36"/>
        <v>2</v>
      </c>
      <c r="S281" s="4">
        <f>INDEX(Dim_Product!$K$2:$K$4,MATCH(F281,Dim_Product!$A$2:$A$4,0))+0.12</f>
        <v>110.12</v>
      </c>
      <c r="T281" s="4">
        <f>IF(AND(S281&gt;=INDEX(Dim_Product!$K$2:$K$4,MATCH(F281,Dim_Product!$A$2:$A$4,0))-INDEX(Dim_Product!$L$2:$L$4,MATCH(F281,Dim_Product!$A$2:$A$4,0)),S281&lt;=INDEX(Dim_Product!$K$2:$K$4,MATCH(F281,Dim_Product!$A$2:$A$4,0))+INDEX(Dim_Product!$L$2:$L$4,MATCH(F281,Dim_Product!$A$2:$A$4,0))),G281-H281,G281-H281-1)</f>
        <v>46</v>
      </c>
      <c r="U281" s="4">
        <f t="shared" si="37"/>
        <v>2</v>
      </c>
      <c r="V281" s="4">
        <f t="shared" si="38"/>
        <v>4.1666666666666664E-2</v>
      </c>
      <c r="W281" s="19">
        <f t="shared" si="39"/>
        <v>0.95833333333333337</v>
      </c>
    </row>
    <row r="282" spans="1:23" x14ac:dyDescent="0.25">
      <c r="A282" s="18" t="s">
        <v>783</v>
      </c>
      <c r="B282" s="4">
        <f>Fact_Production_Hourly!B282</f>
        <v>20260702</v>
      </c>
      <c r="C282" s="4">
        <f>Fact_Production_Hourly!C282</f>
        <v>16</v>
      </c>
      <c r="D282" s="4" t="str">
        <f>Fact_Production_Hourly!D282</f>
        <v>M1</v>
      </c>
      <c r="E282" s="4" t="str">
        <f>Fact_Production_Hourly!E282</f>
        <v>A-AM</v>
      </c>
      <c r="F282" s="4" t="str">
        <f>Fact_Production_Hourly!F282</f>
        <v>C</v>
      </c>
      <c r="G282" s="4">
        <f>INDEX(Dim_Machine!$D$2:$D$8,MATCH(D282,Dim_Machine!$A$2:$A$8,0))*2</f>
        <v>32</v>
      </c>
      <c r="H282" s="4">
        <f>ROUND(G282*0.0486,0)</f>
        <v>2</v>
      </c>
      <c r="I282" s="4">
        <f t="shared" si="32"/>
        <v>0</v>
      </c>
      <c r="J282" s="4">
        <f t="shared" si="33"/>
        <v>1</v>
      </c>
      <c r="K282" s="4">
        <f t="shared" si="34"/>
        <v>1</v>
      </c>
      <c r="L282" s="4" t="s">
        <v>517</v>
      </c>
      <c r="M282" s="4">
        <f>INDEX(Dim_Product!$C$2:$C$4,MATCH(F282,Dim_Product!$A$2:$A$4,0))+0.4</f>
        <v>200.4</v>
      </c>
      <c r="N282" s="4">
        <f>IF(AND(M282&gt;=INDEX(Dim_Product!$C$2:$C$4,MATCH(F282,Dim_Product!$A$2:$A$4,0))-INDEX(Dim_Product!$D$2:$D$4,MATCH(F282,Dim_Product!$A$2:$A$4,0)),M282&lt;=INDEX(Dim_Product!$C$2:$C$4,MATCH(F282,Dim_Product!$A$2:$A$4,0))+INDEX(Dim_Product!$D$2:$D$4,MATCH(F282,Dim_Product!$A$2:$A$4,0))),G282-H282,G282-H282-1)</f>
        <v>30</v>
      </c>
      <c r="O282" s="4">
        <f t="shared" si="35"/>
        <v>2</v>
      </c>
      <c r="P282" s="4">
        <f>INDEX(Dim_Product!$G$2:$G$4,MATCH(F282,Dim_Product!$A$2:$A$4,0))+0.14</f>
        <v>65.14</v>
      </c>
      <c r="Q282" s="4">
        <f>IF(AND(P282&gt;=INDEX(Dim_Product!$G$2:$G$4,MATCH(F282,Dim_Product!$A$2:$A$4,0))-INDEX(Dim_Product!$H$2:$H$4,MATCH(F282,Dim_Product!$A$2:$A$4,0)),P282&lt;=INDEX(Dim_Product!$G$2:$G$4,MATCH(F282,Dim_Product!$A$2:$A$4,0))+INDEX(Dim_Product!$H$2:$H$4,MATCH(F282,Dim_Product!$A$2:$A$4,0))),G282-H282,G282-H282-1)</f>
        <v>30</v>
      </c>
      <c r="R282" s="4">
        <f t="shared" si="36"/>
        <v>2</v>
      </c>
      <c r="S282" s="4">
        <f>INDEX(Dim_Product!$K$2:$K$4,MATCH(F282,Dim_Product!$A$2:$A$4,0))+0.28</f>
        <v>110.28</v>
      </c>
      <c r="T282" s="4">
        <f>IF(AND(S282&gt;=INDEX(Dim_Product!$K$2:$K$4,MATCH(F282,Dim_Product!$A$2:$A$4,0))-INDEX(Dim_Product!$L$2:$L$4,MATCH(F282,Dim_Product!$A$2:$A$4,0)),S282&lt;=INDEX(Dim_Product!$K$2:$K$4,MATCH(F282,Dim_Product!$A$2:$A$4,0))+INDEX(Dim_Product!$L$2:$L$4,MATCH(F282,Dim_Product!$A$2:$A$4,0))),G282-H282,G282-H282-1)</f>
        <v>30</v>
      </c>
      <c r="U282" s="4">
        <f t="shared" si="37"/>
        <v>2</v>
      </c>
      <c r="V282" s="4">
        <f t="shared" si="38"/>
        <v>6.25E-2</v>
      </c>
      <c r="W282" s="19">
        <f t="shared" si="39"/>
        <v>0.9375</v>
      </c>
    </row>
    <row r="283" spans="1:23" x14ac:dyDescent="0.25">
      <c r="A283" s="18" t="s">
        <v>784</v>
      </c>
      <c r="B283" s="4">
        <f>Fact_Production_Hourly!B283</f>
        <v>20260702</v>
      </c>
      <c r="C283" s="4">
        <f>Fact_Production_Hourly!C283</f>
        <v>16</v>
      </c>
      <c r="D283" s="4" t="str">
        <f>Fact_Production_Hourly!D283</f>
        <v>M2</v>
      </c>
      <c r="E283" s="4" t="str">
        <f>Fact_Production_Hourly!E283</f>
        <v>A-AM</v>
      </c>
      <c r="F283" s="4" t="str">
        <f>Fact_Production_Hourly!F283</f>
        <v>A</v>
      </c>
      <c r="G283" s="4">
        <f>INDEX(Dim_Machine!$D$2:$D$8,MATCH(D283,Dim_Machine!$A$2:$A$8,0))*2</f>
        <v>48</v>
      </c>
      <c r="H283" s="4">
        <f>ROUND(G283*0.0135,0)</f>
        <v>1</v>
      </c>
      <c r="I283" s="4">
        <f t="shared" si="32"/>
        <v>0</v>
      </c>
      <c r="J283" s="4">
        <f t="shared" si="33"/>
        <v>0</v>
      </c>
      <c r="K283" s="4">
        <f t="shared" si="34"/>
        <v>1</v>
      </c>
      <c r="L283" s="4" t="s">
        <v>498</v>
      </c>
      <c r="M283" s="4">
        <f>INDEX(Dim_Product!$C$2:$C$4,MATCH(F283,Dim_Product!$A$2:$A$4,0))+0.85</f>
        <v>250.85</v>
      </c>
      <c r="N283" s="4">
        <f>IF(AND(M283&gt;=INDEX(Dim_Product!$C$2:$C$4,MATCH(F283,Dim_Product!$A$2:$A$4,0))-INDEX(Dim_Product!$D$2:$D$4,MATCH(F283,Dim_Product!$A$2:$A$4,0)),M283&lt;=INDEX(Dim_Product!$C$2:$C$4,MATCH(F283,Dim_Product!$A$2:$A$4,0))+INDEX(Dim_Product!$D$2:$D$4,MATCH(F283,Dim_Product!$A$2:$A$4,0))),G283-H283,G283-H283-1)</f>
        <v>47</v>
      </c>
      <c r="O283" s="4">
        <f t="shared" si="35"/>
        <v>1</v>
      </c>
      <c r="P283" s="4">
        <f>INDEX(Dim_Product!$G$2:$G$4,MATCH(F283,Dim_Product!$A$2:$A$4,0))+-0.23</f>
        <v>69.77</v>
      </c>
      <c r="Q283" s="4">
        <f>IF(AND(P283&gt;=INDEX(Dim_Product!$G$2:$G$4,MATCH(F283,Dim_Product!$A$2:$A$4,0))-INDEX(Dim_Product!$H$2:$H$4,MATCH(F283,Dim_Product!$A$2:$A$4,0)),P283&lt;=INDEX(Dim_Product!$G$2:$G$4,MATCH(F283,Dim_Product!$A$2:$A$4,0))+INDEX(Dim_Product!$H$2:$H$4,MATCH(F283,Dim_Product!$A$2:$A$4,0))),G283-H283,G283-H283-1)</f>
        <v>47</v>
      </c>
      <c r="R283" s="4">
        <f t="shared" si="36"/>
        <v>1</v>
      </c>
      <c r="S283" s="4">
        <f>INDEX(Dim_Product!$K$2:$K$4,MATCH(F283,Dim_Product!$A$2:$A$4,0))+0.09</f>
        <v>120.09</v>
      </c>
      <c r="T283" s="4">
        <f>IF(AND(S283&gt;=INDEX(Dim_Product!$K$2:$K$4,MATCH(F283,Dim_Product!$A$2:$A$4,0))-INDEX(Dim_Product!$L$2:$L$4,MATCH(F283,Dim_Product!$A$2:$A$4,0)),S283&lt;=INDEX(Dim_Product!$K$2:$K$4,MATCH(F283,Dim_Product!$A$2:$A$4,0))+INDEX(Dim_Product!$L$2:$L$4,MATCH(F283,Dim_Product!$A$2:$A$4,0))),G283-H283,G283-H283-1)</f>
        <v>47</v>
      </c>
      <c r="U283" s="4">
        <f t="shared" si="37"/>
        <v>1</v>
      </c>
      <c r="V283" s="4">
        <f t="shared" si="38"/>
        <v>2.0833333333333332E-2</v>
      </c>
      <c r="W283" s="19">
        <f t="shared" si="39"/>
        <v>0.97916666666666663</v>
      </c>
    </row>
    <row r="284" spans="1:23" x14ac:dyDescent="0.25">
      <c r="A284" s="18" t="s">
        <v>785</v>
      </c>
      <c r="B284" s="4">
        <f>Fact_Production_Hourly!B284</f>
        <v>20260702</v>
      </c>
      <c r="C284" s="4">
        <f>Fact_Production_Hourly!C284</f>
        <v>16</v>
      </c>
      <c r="D284" s="4" t="str">
        <f>Fact_Production_Hourly!D284</f>
        <v>M3</v>
      </c>
      <c r="E284" s="4" t="str">
        <f>Fact_Production_Hourly!E284</f>
        <v>A-AM</v>
      </c>
      <c r="F284" s="4" t="str">
        <f>Fact_Production_Hourly!F284</f>
        <v>A</v>
      </c>
      <c r="G284" s="4">
        <f>INDEX(Dim_Machine!$D$2:$D$8,MATCH(D284,Dim_Machine!$A$2:$A$8,0))*2</f>
        <v>24</v>
      </c>
      <c r="H284" s="4">
        <f>ROUND(G284*0.0133,0)</f>
        <v>0</v>
      </c>
      <c r="I284" s="4">
        <f t="shared" si="32"/>
        <v>0</v>
      </c>
      <c r="J284" s="4">
        <f t="shared" si="33"/>
        <v>0</v>
      </c>
      <c r="K284" s="4">
        <f t="shared" si="34"/>
        <v>0</v>
      </c>
      <c r="L284" s="4" t="s">
        <v>520</v>
      </c>
      <c r="M284" s="4">
        <f>INDEX(Dim_Product!$C$2:$C$4,MATCH(F284,Dim_Product!$A$2:$A$4,0))+0.48</f>
        <v>250.48</v>
      </c>
      <c r="N284" s="4">
        <f>IF(AND(M284&gt;=INDEX(Dim_Product!$C$2:$C$4,MATCH(F284,Dim_Product!$A$2:$A$4,0))-INDEX(Dim_Product!$D$2:$D$4,MATCH(F284,Dim_Product!$A$2:$A$4,0)),M284&lt;=INDEX(Dim_Product!$C$2:$C$4,MATCH(F284,Dim_Product!$A$2:$A$4,0))+INDEX(Dim_Product!$D$2:$D$4,MATCH(F284,Dim_Product!$A$2:$A$4,0))),G284-H284,G284-H284-1)</f>
        <v>24</v>
      </c>
      <c r="O284" s="4">
        <f t="shared" si="35"/>
        <v>0</v>
      </c>
      <c r="P284" s="4">
        <f>INDEX(Dim_Product!$G$2:$G$4,MATCH(F284,Dim_Product!$A$2:$A$4,0))+0.14</f>
        <v>70.14</v>
      </c>
      <c r="Q284" s="4">
        <f>IF(AND(P284&gt;=INDEX(Dim_Product!$G$2:$G$4,MATCH(F284,Dim_Product!$A$2:$A$4,0))-INDEX(Dim_Product!$H$2:$H$4,MATCH(F284,Dim_Product!$A$2:$A$4,0)),P284&lt;=INDEX(Dim_Product!$G$2:$G$4,MATCH(F284,Dim_Product!$A$2:$A$4,0))+INDEX(Dim_Product!$H$2:$H$4,MATCH(F284,Dim_Product!$A$2:$A$4,0))),G284-H284,G284-H284-1)</f>
        <v>24</v>
      </c>
      <c r="R284" s="4">
        <f t="shared" si="36"/>
        <v>0</v>
      </c>
      <c r="S284" s="4">
        <f>INDEX(Dim_Product!$K$2:$K$4,MATCH(F284,Dim_Product!$A$2:$A$4,0))+-0.3</f>
        <v>119.7</v>
      </c>
      <c r="T284" s="4">
        <f>IF(AND(S284&gt;=INDEX(Dim_Product!$K$2:$K$4,MATCH(F284,Dim_Product!$A$2:$A$4,0))-INDEX(Dim_Product!$L$2:$L$4,MATCH(F284,Dim_Product!$A$2:$A$4,0)),S284&lt;=INDEX(Dim_Product!$K$2:$K$4,MATCH(F284,Dim_Product!$A$2:$A$4,0))+INDEX(Dim_Product!$L$2:$L$4,MATCH(F284,Dim_Product!$A$2:$A$4,0))),G284-H284,G284-H284-1)</f>
        <v>24</v>
      </c>
      <c r="U284" s="4">
        <f t="shared" si="37"/>
        <v>0</v>
      </c>
      <c r="V284" s="4">
        <f t="shared" si="38"/>
        <v>0</v>
      </c>
      <c r="W284" s="19">
        <f t="shared" si="39"/>
        <v>1</v>
      </c>
    </row>
    <row r="285" spans="1:23" x14ac:dyDescent="0.25">
      <c r="A285" s="18" t="s">
        <v>786</v>
      </c>
      <c r="B285" s="4">
        <f>Fact_Production_Hourly!B285</f>
        <v>20260702</v>
      </c>
      <c r="C285" s="4">
        <f>Fact_Production_Hourly!C285</f>
        <v>16</v>
      </c>
      <c r="D285" s="4" t="str">
        <f>Fact_Production_Hourly!D285</f>
        <v>M4</v>
      </c>
      <c r="E285" s="4" t="str">
        <f>Fact_Production_Hourly!E285</f>
        <v>A-AM</v>
      </c>
      <c r="F285" s="4" t="str">
        <f>Fact_Production_Hourly!F285</f>
        <v>A</v>
      </c>
      <c r="G285" s="4">
        <f>INDEX(Dim_Machine!$D$2:$D$8,MATCH(D285,Dim_Machine!$A$2:$A$8,0))*2</f>
        <v>48</v>
      </c>
      <c r="H285" s="4">
        <f>ROUND(G285*0.0525,0)</f>
        <v>3</v>
      </c>
      <c r="I285" s="4">
        <f t="shared" si="32"/>
        <v>0</v>
      </c>
      <c r="J285" s="4">
        <f t="shared" si="33"/>
        <v>1</v>
      </c>
      <c r="K285" s="4">
        <f t="shared" si="34"/>
        <v>2</v>
      </c>
      <c r="L285" s="4" t="s">
        <v>520</v>
      </c>
      <c r="M285" s="4">
        <f>INDEX(Dim_Product!$C$2:$C$4,MATCH(F285,Dim_Product!$A$2:$A$4,0))+-0.98</f>
        <v>249.02</v>
      </c>
      <c r="N285" s="4">
        <f>IF(AND(M285&gt;=INDEX(Dim_Product!$C$2:$C$4,MATCH(F285,Dim_Product!$A$2:$A$4,0))-INDEX(Dim_Product!$D$2:$D$4,MATCH(F285,Dim_Product!$A$2:$A$4,0)),M285&lt;=INDEX(Dim_Product!$C$2:$C$4,MATCH(F285,Dim_Product!$A$2:$A$4,0))+INDEX(Dim_Product!$D$2:$D$4,MATCH(F285,Dim_Product!$A$2:$A$4,0))),G285-H285,G285-H285-1)</f>
        <v>45</v>
      </c>
      <c r="O285" s="4">
        <f t="shared" si="35"/>
        <v>3</v>
      </c>
      <c r="P285" s="4">
        <f>INDEX(Dim_Product!$G$2:$G$4,MATCH(F285,Dim_Product!$A$2:$A$4,0))+0</f>
        <v>70</v>
      </c>
      <c r="Q285" s="4">
        <f>IF(AND(P285&gt;=INDEX(Dim_Product!$G$2:$G$4,MATCH(F285,Dim_Product!$A$2:$A$4,0))-INDEX(Dim_Product!$H$2:$H$4,MATCH(F285,Dim_Product!$A$2:$A$4,0)),P285&lt;=INDEX(Dim_Product!$G$2:$G$4,MATCH(F285,Dim_Product!$A$2:$A$4,0))+INDEX(Dim_Product!$H$2:$H$4,MATCH(F285,Dim_Product!$A$2:$A$4,0))),G285-H285,G285-H285-1)</f>
        <v>45</v>
      </c>
      <c r="R285" s="4">
        <f t="shared" si="36"/>
        <v>3</v>
      </c>
      <c r="S285" s="4">
        <f>INDEX(Dim_Product!$K$2:$K$4,MATCH(F285,Dim_Product!$A$2:$A$4,0))+-0.12</f>
        <v>119.88</v>
      </c>
      <c r="T285" s="4">
        <f>IF(AND(S285&gt;=INDEX(Dim_Product!$K$2:$K$4,MATCH(F285,Dim_Product!$A$2:$A$4,0))-INDEX(Dim_Product!$L$2:$L$4,MATCH(F285,Dim_Product!$A$2:$A$4,0)),S285&lt;=INDEX(Dim_Product!$K$2:$K$4,MATCH(F285,Dim_Product!$A$2:$A$4,0))+INDEX(Dim_Product!$L$2:$L$4,MATCH(F285,Dim_Product!$A$2:$A$4,0))),G285-H285,G285-H285-1)</f>
        <v>45</v>
      </c>
      <c r="U285" s="4">
        <f t="shared" si="37"/>
        <v>3</v>
      </c>
      <c r="V285" s="4">
        <f t="shared" si="38"/>
        <v>6.25E-2</v>
      </c>
      <c r="W285" s="19">
        <f t="shared" si="39"/>
        <v>0.9375</v>
      </c>
    </row>
    <row r="286" spans="1:23" x14ac:dyDescent="0.25">
      <c r="A286" s="18" t="s">
        <v>787</v>
      </c>
      <c r="B286" s="4">
        <f>Fact_Production_Hourly!B286</f>
        <v>20260702</v>
      </c>
      <c r="C286" s="4">
        <f>Fact_Production_Hourly!C286</f>
        <v>16</v>
      </c>
      <c r="D286" s="4" t="str">
        <f>Fact_Production_Hourly!D286</f>
        <v>M5</v>
      </c>
      <c r="E286" s="4" t="str">
        <f>Fact_Production_Hourly!E286</f>
        <v>A-AM</v>
      </c>
      <c r="F286" s="4" t="str">
        <f>Fact_Production_Hourly!F286</f>
        <v>C</v>
      </c>
      <c r="G286" s="4">
        <f>INDEX(Dim_Machine!$D$2:$D$8,MATCH(D286,Dim_Machine!$A$2:$A$8,0))*2</f>
        <v>32</v>
      </c>
      <c r="H286" s="4">
        <f>ROUND(G286*0.041,0)</f>
        <v>1</v>
      </c>
      <c r="I286" s="4">
        <f t="shared" si="32"/>
        <v>0</v>
      </c>
      <c r="J286" s="4">
        <f t="shared" si="33"/>
        <v>0</v>
      </c>
      <c r="K286" s="4">
        <f t="shared" si="34"/>
        <v>1</v>
      </c>
      <c r="L286" s="4" t="s">
        <v>520</v>
      </c>
      <c r="M286" s="4">
        <f>INDEX(Dim_Product!$C$2:$C$4,MATCH(F286,Dim_Product!$A$2:$A$4,0))+-0.48</f>
        <v>199.52</v>
      </c>
      <c r="N286" s="4">
        <f>IF(AND(M286&gt;=INDEX(Dim_Product!$C$2:$C$4,MATCH(F286,Dim_Product!$A$2:$A$4,0))-INDEX(Dim_Product!$D$2:$D$4,MATCH(F286,Dim_Product!$A$2:$A$4,0)),M286&lt;=INDEX(Dim_Product!$C$2:$C$4,MATCH(F286,Dim_Product!$A$2:$A$4,0))+INDEX(Dim_Product!$D$2:$D$4,MATCH(F286,Dim_Product!$A$2:$A$4,0))),G286-H286,G286-H286-1)</f>
        <v>31</v>
      </c>
      <c r="O286" s="4">
        <f t="shared" si="35"/>
        <v>1</v>
      </c>
      <c r="P286" s="4">
        <f>INDEX(Dim_Product!$G$2:$G$4,MATCH(F286,Dim_Product!$A$2:$A$4,0))+-0.08</f>
        <v>64.92</v>
      </c>
      <c r="Q286" s="4">
        <f>IF(AND(P286&gt;=INDEX(Dim_Product!$G$2:$G$4,MATCH(F286,Dim_Product!$A$2:$A$4,0))-INDEX(Dim_Product!$H$2:$H$4,MATCH(F286,Dim_Product!$A$2:$A$4,0)),P286&lt;=INDEX(Dim_Product!$G$2:$G$4,MATCH(F286,Dim_Product!$A$2:$A$4,0))+INDEX(Dim_Product!$H$2:$H$4,MATCH(F286,Dim_Product!$A$2:$A$4,0))),G286-H286,G286-H286-1)</f>
        <v>31</v>
      </c>
      <c r="R286" s="4">
        <f t="shared" si="36"/>
        <v>1</v>
      </c>
      <c r="S286" s="4">
        <f>INDEX(Dim_Product!$K$2:$K$4,MATCH(F286,Dim_Product!$A$2:$A$4,0))+0.2</f>
        <v>110.2</v>
      </c>
      <c r="T286" s="4">
        <f>IF(AND(S286&gt;=INDEX(Dim_Product!$K$2:$K$4,MATCH(F286,Dim_Product!$A$2:$A$4,0))-INDEX(Dim_Product!$L$2:$L$4,MATCH(F286,Dim_Product!$A$2:$A$4,0)),S286&lt;=INDEX(Dim_Product!$K$2:$K$4,MATCH(F286,Dim_Product!$A$2:$A$4,0))+INDEX(Dim_Product!$L$2:$L$4,MATCH(F286,Dim_Product!$A$2:$A$4,0))),G286-H286,G286-H286-1)</f>
        <v>31</v>
      </c>
      <c r="U286" s="4">
        <f t="shared" si="37"/>
        <v>1</v>
      </c>
      <c r="V286" s="4">
        <f t="shared" si="38"/>
        <v>3.125E-2</v>
      </c>
      <c r="W286" s="19">
        <f t="shared" si="39"/>
        <v>0.96875</v>
      </c>
    </row>
    <row r="287" spans="1:23" x14ac:dyDescent="0.25">
      <c r="A287" s="18" t="s">
        <v>788</v>
      </c>
      <c r="B287" s="4">
        <f>Fact_Production_Hourly!B287</f>
        <v>20260702</v>
      </c>
      <c r="C287" s="4">
        <f>Fact_Production_Hourly!C287</f>
        <v>16</v>
      </c>
      <c r="D287" s="4" t="str">
        <f>Fact_Production_Hourly!D287</f>
        <v>M6</v>
      </c>
      <c r="E287" s="4" t="str">
        <f>Fact_Production_Hourly!E287</f>
        <v>A-AM</v>
      </c>
      <c r="F287" s="4" t="str">
        <f>Fact_Production_Hourly!F287</f>
        <v>C</v>
      </c>
      <c r="G287" s="4">
        <f>INDEX(Dim_Machine!$D$2:$D$8,MATCH(D287,Dim_Machine!$A$2:$A$8,0))*2</f>
        <v>24</v>
      </c>
      <c r="H287" s="4">
        <f>ROUND(G287*0.0624,0)</f>
        <v>1</v>
      </c>
      <c r="I287" s="4">
        <f t="shared" si="32"/>
        <v>0</v>
      </c>
      <c r="J287" s="4">
        <f t="shared" si="33"/>
        <v>0</v>
      </c>
      <c r="K287" s="4">
        <f t="shared" si="34"/>
        <v>1</v>
      </c>
      <c r="L287" s="4" t="s">
        <v>520</v>
      </c>
      <c r="M287" s="4">
        <f>INDEX(Dim_Product!$C$2:$C$4,MATCH(F287,Dim_Product!$A$2:$A$4,0))+0.77</f>
        <v>200.77</v>
      </c>
      <c r="N287" s="4">
        <f>IF(AND(M287&gt;=INDEX(Dim_Product!$C$2:$C$4,MATCH(F287,Dim_Product!$A$2:$A$4,0))-INDEX(Dim_Product!$D$2:$D$4,MATCH(F287,Dim_Product!$A$2:$A$4,0)),M287&lt;=INDEX(Dim_Product!$C$2:$C$4,MATCH(F287,Dim_Product!$A$2:$A$4,0))+INDEX(Dim_Product!$D$2:$D$4,MATCH(F287,Dim_Product!$A$2:$A$4,0))),G287-H287,G287-H287-1)</f>
        <v>23</v>
      </c>
      <c r="O287" s="4">
        <f t="shared" si="35"/>
        <v>1</v>
      </c>
      <c r="P287" s="4">
        <f>INDEX(Dim_Product!$G$2:$G$4,MATCH(F287,Dim_Product!$A$2:$A$4,0))+0.16</f>
        <v>65.16</v>
      </c>
      <c r="Q287" s="4">
        <f>IF(AND(P287&gt;=INDEX(Dim_Product!$G$2:$G$4,MATCH(F287,Dim_Product!$A$2:$A$4,0))-INDEX(Dim_Product!$H$2:$H$4,MATCH(F287,Dim_Product!$A$2:$A$4,0)),P287&lt;=INDEX(Dim_Product!$G$2:$G$4,MATCH(F287,Dim_Product!$A$2:$A$4,0))+INDEX(Dim_Product!$H$2:$H$4,MATCH(F287,Dim_Product!$A$2:$A$4,0))),G287-H287,G287-H287-1)</f>
        <v>23</v>
      </c>
      <c r="R287" s="4">
        <f t="shared" si="36"/>
        <v>1</v>
      </c>
      <c r="S287" s="4">
        <f>INDEX(Dim_Product!$K$2:$K$4,MATCH(F287,Dim_Product!$A$2:$A$4,0))+-0.38</f>
        <v>109.62</v>
      </c>
      <c r="T287" s="4">
        <f>IF(AND(S287&gt;=INDEX(Dim_Product!$K$2:$K$4,MATCH(F287,Dim_Product!$A$2:$A$4,0))-INDEX(Dim_Product!$L$2:$L$4,MATCH(F287,Dim_Product!$A$2:$A$4,0)),S287&lt;=INDEX(Dim_Product!$K$2:$K$4,MATCH(F287,Dim_Product!$A$2:$A$4,0))+INDEX(Dim_Product!$L$2:$L$4,MATCH(F287,Dim_Product!$A$2:$A$4,0))),G287-H287,G287-H287-1)</f>
        <v>23</v>
      </c>
      <c r="U287" s="4">
        <f t="shared" si="37"/>
        <v>1</v>
      </c>
      <c r="V287" s="4">
        <f t="shared" si="38"/>
        <v>4.1666666666666664E-2</v>
      </c>
      <c r="W287" s="19">
        <f t="shared" si="39"/>
        <v>0.95833333333333337</v>
      </c>
    </row>
    <row r="288" spans="1:23" x14ac:dyDescent="0.25">
      <c r="A288" s="18" t="s">
        <v>789</v>
      </c>
      <c r="B288" s="4">
        <f>Fact_Production_Hourly!B288</f>
        <v>20260702</v>
      </c>
      <c r="C288" s="4">
        <f>Fact_Production_Hourly!C288</f>
        <v>16</v>
      </c>
      <c r="D288" s="4" t="str">
        <f>Fact_Production_Hourly!D288</f>
        <v>M7</v>
      </c>
      <c r="E288" s="4" t="str">
        <f>Fact_Production_Hourly!E288</f>
        <v>A-AM</v>
      </c>
      <c r="F288" s="4" t="str">
        <f>Fact_Production_Hourly!F288</f>
        <v>C</v>
      </c>
      <c r="G288" s="4">
        <f>INDEX(Dim_Machine!$D$2:$D$8,MATCH(D288,Dim_Machine!$A$2:$A$8,0))*2</f>
        <v>48</v>
      </c>
      <c r="H288" s="4">
        <f>ROUND(G288*0.0584,0)</f>
        <v>3</v>
      </c>
      <c r="I288" s="4">
        <f t="shared" si="32"/>
        <v>0</v>
      </c>
      <c r="J288" s="4">
        <f t="shared" si="33"/>
        <v>1</v>
      </c>
      <c r="K288" s="4">
        <f t="shared" si="34"/>
        <v>2</v>
      </c>
      <c r="L288" s="4" t="s">
        <v>517</v>
      </c>
      <c r="M288" s="4">
        <f>INDEX(Dim_Product!$C$2:$C$4,MATCH(F288,Dim_Product!$A$2:$A$4,0))+0.05</f>
        <v>200.05</v>
      </c>
      <c r="N288" s="4">
        <f>IF(AND(M288&gt;=INDEX(Dim_Product!$C$2:$C$4,MATCH(F288,Dim_Product!$A$2:$A$4,0))-INDEX(Dim_Product!$D$2:$D$4,MATCH(F288,Dim_Product!$A$2:$A$4,0)),M288&lt;=INDEX(Dim_Product!$C$2:$C$4,MATCH(F288,Dim_Product!$A$2:$A$4,0))+INDEX(Dim_Product!$D$2:$D$4,MATCH(F288,Dim_Product!$A$2:$A$4,0))),G288-H288,G288-H288-1)</f>
        <v>45</v>
      </c>
      <c r="O288" s="4">
        <f t="shared" si="35"/>
        <v>3</v>
      </c>
      <c r="P288" s="4">
        <f>INDEX(Dim_Product!$G$2:$G$4,MATCH(F288,Dim_Product!$A$2:$A$4,0))+-0.14</f>
        <v>64.86</v>
      </c>
      <c r="Q288" s="4">
        <f>IF(AND(P288&gt;=INDEX(Dim_Product!$G$2:$G$4,MATCH(F288,Dim_Product!$A$2:$A$4,0))-INDEX(Dim_Product!$H$2:$H$4,MATCH(F288,Dim_Product!$A$2:$A$4,0)),P288&lt;=INDEX(Dim_Product!$G$2:$G$4,MATCH(F288,Dim_Product!$A$2:$A$4,0))+INDEX(Dim_Product!$H$2:$H$4,MATCH(F288,Dim_Product!$A$2:$A$4,0))),G288-H288,G288-H288-1)</f>
        <v>45</v>
      </c>
      <c r="R288" s="4">
        <f t="shared" si="36"/>
        <v>3</v>
      </c>
      <c r="S288" s="4">
        <f>INDEX(Dim_Product!$K$2:$K$4,MATCH(F288,Dim_Product!$A$2:$A$4,0))+0.38</f>
        <v>110.38</v>
      </c>
      <c r="T288" s="4">
        <f>IF(AND(S288&gt;=INDEX(Dim_Product!$K$2:$K$4,MATCH(F288,Dim_Product!$A$2:$A$4,0))-INDEX(Dim_Product!$L$2:$L$4,MATCH(F288,Dim_Product!$A$2:$A$4,0)),S288&lt;=INDEX(Dim_Product!$K$2:$K$4,MATCH(F288,Dim_Product!$A$2:$A$4,0))+INDEX(Dim_Product!$L$2:$L$4,MATCH(F288,Dim_Product!$A$2:$A$4,0))),G288-H288,G288-H288-1)</f>
        <v>45</v>
      </c>
      <c r="U288" s="4">
        <f t="shared" si="37"/>
        <v>3</v>
      </c>
      <c r="V288" s="4">
        <f t="shared" si="38"/>
        <v>6.25E-2</v>
      </c>
      <c r="W288" s="19">
        <f t="shared" si="39"/>
        <v>0.9375</v>
      </c>
    </row>
    <row r="289" spans="1:23" x14ac:dyDescent="0.25">
      <c r="A289" s="18" t="s">
        <v>790</v>
      </c>
      <c r="B289" s="4">
        <f>Fact_Production_Hourly!B289</f>
        <v>20260702</v>
      </c>
      <c r="C289" s="4">
        <f>Fact_Production_Hourly!C289</f>
        <v>17</v>
      </c>
      <c r="D289" s="4" t="str">
        <f>Fact_Production_Hourly!D289</f>
        <v>M1</v>
      </c>
      <c r="E289" s="4" t="str">
        <f>Fact_Production_Hourly!E289</f>
        <v>A-AM</v>
      </c>
      <c r="F289" s="4" t="str">
        <f>Fact_Production_Hourly!F289</f>
        <v>C</v>
      </c>
      <c r="G289" s="4">
        <f>INDEX(Dim_Machine!$D$2:$D$8,MATCH(D289,Dim_Machine!$A$2:$A$8,0))*2</f>
        <v>32</v>
      </c>
      <c r="H289" s="4">
        <f>ROUND(G289*0.0477,0)</f>
        <v>2</v>
      </c>
      <c r="I289" s="4">
        <f t="shared" si="32"/>
        <v>0</v>
      </c>
      <c r="J289" s="4">
        <f t="shared" si="33"/>
        <v>1</v>
      </c>
      <c r="K289" s="4">
        <f t="shared" si="34"/>
        <v>1</v>
      </c>
      <c r="L289" s="4" t="s">
        <v>503</v>
      </c>
      <c r="M289" s="4">
        <f>INDEX(Dim_Product!$C$2:$C$4,MATCH(F289,Dim_Product!$A$2:$A$4,0))+-0.09</f>
        <v>199.91</v>
      </c>
      <c r="N289" s="4">
        <f>IF(AND(M289&gt;=INDEX(Dim_Product!$C$2:$C$4,MATCH(F289,Dim_Product!$A$2:$A$4,0))-INDEX(Dim_Product!$D$2:$D$4,MATCH(F289,Dim_Product!$A$2:$A$4,0)),M289&lt;=INDEX(Dim_Product!$C$2:$C$4,MATCH(F289,Dim_Product!$A$2:$A$4,0))+INDEX(Dim_Product!$D$2:$D$4,MATCH(F289,Dim_Product!$A$2:$A$4,0))),G289-H289,G289-H289-1)</f>
        <v>30</v>
      </c>
      <c r="O289" s="4">
        <f t="shared" si="35"/>
        <v>2</v>
      </c>
      <c r="P289" s="4">
        <f>INDEX(Dim_Product!$G$2:$G$4,MATCH(F289,Dim_Product!$A$2:$A$4,0))+-0.08</f>
        <v>64.92</v>
      </c>
      <c r="Q289" s="4">
        <f>IF(AND(P289&gt;=INDEX(Dim_Product!$G$2:$G$4,MATCH(F289,Dim_Product!$A$2:$A$4,0))-INDEX(Dim_Product!$H$2:$H$4,MATCH(F289,Dim_Product!$A$2:$A$4,0)),P289&lt;=INDEX(Dim_Product!$G$2:$G$4,MATCH(F289,Dim_Product!$A$2:$A$4,0))+INDEX(Dim_Product!$H$2:$H$4,MATCH(F289,Dim_Product!$A$2:$A$4,0))),G289-H289,G289-H289-1)</f>
        <v>30</v>
      </c>
      <c r="R289" s="4">
        <f t="shared" si="36"/>
        <v>2</v>
      </c>
      <c r="S289" s="4">
        <f>INDEX(Dim_Product!$K$2:$K$4,MATCH(F289,Dim_Product!$A$2:$A$4,0))+0</f>
        <v>110</v>
      </c>
      <c r="T289" s="4">
        <f>IF(AND(S289&gt;=INDEX(Dim_Product!$K$2:$K$4,MATCH(F289,Dim_Product!$A$2:$A$4,0))-INDEX(Dim_Product!$L$2:$L$4,MATCH(F289,Dim_Product!$A$2:$A$4,0)),S289&lt;=INDEX(Dim_Product!$K$2:$K$4,MATCH(F289,Dim_Product!$A$2:$A$4,0))+INDEX(Dim_Product!$L$2:$L$4,MATCH(F289,Dim_Product!$A$2:$A$4,0))),G289-H289,G289-H289-1)</f>
        <v>30</v>
      </c>
      <c r="U289" s="4">
        <f t="shared" si="37"/>
        <v>2</v>
      </c>
      <c r="V289" s="4">
        <f t="shared" si="38"/>
        <v>6.25E-2</v>
      </c>
      <c r="W289" s="19">
        <f t="shared" si="39"/>
        <v>0.9375</v>
      </c>
    </row>
    <row r="290" spans="1:23" x14ac:dyDescent="0.25">
      <c r="A290" s="18" t="s">
        <v>791</v>
      </c>
      <c r="B290" s="4">
        <f>Fact_Production_Hourly!B290</f>
        <v>20260702</v>
      </c>
      <c r="C290" s="4">
        <f>Fact_Production_Hourly!C290</f>
        <v>17</v>
      </c>
      <c r="D290" s="4" t="str">
        <f>Fact_Production_Hourly!D290</f>
        <v>M2</v>
      </c>
      <c r="E290" s="4" t="str">
        <f>Fact_Production_Hourly!E290</f>
        <v>A-AM</v>
      </c>
      <c r="F290" s="4" t="str">
        <f>Fact_Production_Hourly!F290</f>
        <v>A</v>
      </c>
      <c r="G290" s="4">
        <f>INDEX(Dim_Machine!$D$2:$D$8,MATCH(D290,Dim_Machine!$A$2:$A$8,0))*2</f>
        <v>48</v>
      </c>
      <c r="H290" s="4">
        <f>ROUND(G290*0.044,0)</f>
        <v>2</v>
      </c>
      <c r="I290" s="4">
        <f t="shared" si="32"/>
        <v>0</v>
      </c>
      <c r="J290" s="4">
        <f t="shared" si="33"/>
        <v>1</v>
      </c>
      <c r="K290" s="4">
        <f t="shared" si="34"/>
        <v>1</v>
      </c>
      <c r="L290" s="4" t="s">
        <v>517</v>
      </c>
      <c r="M290" s="4">
        <f>INDEX(Dim_Product!$C$2:$C$4,MATCH(F290,Dim_Product!$A$2:$A$4,0))+-0.69</f>
        <v>249.31</v>
      </c>
      <c r="N290" s="4">
        <f>IF(AND(M290&gt;=INDEX(Dim_Product!$C$2:$C$4,MATCH(F290,Dim_Product!$A$2:$A$4,0))-INDEX(Dim_Product!$D$2:$D$4,MATCH(F290,Dim_Product!$A$2:$A$4,0)),M290&lt;=INDEX(Dim_Product!$C$2:$C$4,MATCH(F290,Dim_Product!$A$2:$A$4,0))+INDEX(Dim_Product!$D$2:$D$4,MATCH(F290,Dim_Product!$A$2:$A$4,0))),G290-H290,G290-H290-1)</f>
        <v>46</v>
      </c>
      <c r="O290" s="4">
        <f t="shared" si="35"/>
        <v>2</v>
      </c>
      <c r="P290" s="4">
        <f>INDEX(Dim_Product!$G$2:$G$4,MATCH(F290,Dim_Product!$A$2:$A$4,0))+0.16</f>
        <v>70.16</v>
      </c>
      <c r="Q290" s="4">
        <f>IF(AND(P290&gt;=INDEX(Dim_Product!$G$2:$G$4,MATCH(F290,Dim_Product!$A$2:$A$4,0))-INDEX(Dim_Product!$H$2:$H$4,MATCH(F290,Dim_Product!$A$2:$A$4,0)),P290&lt;=INDEX(Dim_Product!$G$2:$G$4,MATCH(F290,Dim_Product!$A$2:$A$4,0))+INDEX(Dim_Product!$H$2:$H$4,MATCH(F290,Dim_Product!$A$2:$A$4,0))),G290-H290,G290-H290-1)</f>
        <v>46</v>
      </c>
      <c r="R290" s="4">
        <f t="shared" si="36"/>
        <v>2</v>
      </c>
      <c r="S290" s="4">
        <f>INDEX(Dim_Product!$K$2:$K$4,MATCH(F290,Dim_Product!$A$2:$A$4,0))+0.32</f>
        <v>120.32</v>
      </c>
      <c r="T290" s="4">
        <f>IF(AND(S290&gt;=INDEX(Dim_Product!$K$2:$K$4,MATCH(F290,Dim_Product!$A$2:$A$4,0))-INDEX(Dim_Product!$L$2:$L$4,MATCH(F290,Dim_Product!$A$2:$A$4,0)),S290&lt;=INDEX(Dim_Product!$K$2:$K$4,MATCH(F290,Dim_Product!$A$2:$A$4,0))+INDEX(Dim_Product!$L$2:$L$4,MATCH(F290,Dim_Product!$A$2:$A$4,0))),G290-H290,G290-H290-1)</f>
        <v>46</v>
      </c>
      <c r="U290" s="4">
        <f t="shared" si="37"/>
        <v>2</v>
      </c>
      <c r="V290" s="4">
        <f t="shared" si="38"/>
        <v>4.1666666666666664E-2</v>
      </c>
      <c r="W290" s="19">
        <f t="shared" si="39"/>
        <v>0.95833333333333337</v>
      </c>
    </row>
    <row r="291" spans="1:23" x14ac:dyDescent="0.25">
      <c r="A291" s="18" t="s">
        <v>792</v>
      </c>
      <c r="B291" s="4">
        <f>Fact_Production_Hourly!B291</f>
        <v>20260702</v>
      </c>
      <c r="C291" s="4">
        <f>Fact_Production_Hourly!C291</f>
        <v>17</v>
      </c>
      <c r="D291" s="4" t="str">
        <f>Fact_Production_Hourly!D291</f>
        <v>M3</v>
      </c>
      <c r="E291" s="4" t="str">
        <f>Fact_Production_Hourly!E291</f>
        <v>A-AM</v>
      </c>
      <c r="F291" s="4" t="str">
        <f>Fact_Production_Hourly!F291</f>
        <v>A</v>
      </c>
      <c r="G291" s="4">
        <f>INDEX(Dim_Machine!$D$2:$D$8,MATCH(D291,Dim_Machine!$A$2:$A$8,0))*2</f>
        <v>24</v>
      </c>
      <c r="H291" s="4">
        <f>ROUND(G291*0.0504,0)</f>
        <v>1</v>
      </c>
      <c r="I291" s="4">
        <f t="shared" si="32"/>
        <v>0</v>
      </c>
      <c r="J291" s="4">
        <f t="shared" si="33"/>
        <v>0</v>
      </c>
      <c r="K291" s="4">
        <f t="shared" si="34"/>
        <v>1</v>
      </c>
      <c r="L291" s="4" t="s">
        <v>498</v>
      </c>
      <c r="M291" s="4">
        <f>INDEX(Dim_Product!$C$2:$C$4,MATCH(F291,Dim_Product!$A$2:$A$4,0))+-0.54</f>
        <v>249.46</v>
      </c>
      <c r="N291" s="4">
        <f>IF(AND(M291&gt;=INDEX(Dim_Product!$C$2:$C$4,MATCH(F291,Dim_Product!$A$2:$A$4,0))-INDEX(Dim_Product!$D$2:$D$4,MATCH(F291,Dim_Product!$A$2:$A$4,0)),M291&lt;=INDEX(Dim_Product!$C$2:$C$4,MATCH(F291,Dim_Product!$A$2:$A$4,0))+INDEX(Dim_Product!$D$2:$D$4,MATCH(F291,Dim_Product!$A$2:$A$4,0))),G291-H291,G291-H291-1)</f>
        <v>23</v>
      </c>
      <c r="O291" s="4">
        <f t="shared" si="35"/>
        <v>1</v>
      </c>
      <c r="P291" s="4">
        <f>INDEX(Dim_Product!$G$2:$G$4,MATCH(F291,Dim_Product!$A$2:$A$4,0))+0.01</f>
        <v>70.010000000000005</v>
      </c>
      <c r="Q291" s="4">
        <f>IF(AND(P291&gt;=INDEX(Dim_Product!$G$2:$G$4,MATCH(F291,Dim_Product!$A$2:$A$4,0))-INDEX(Dim_Product!$H$2:$H$4,MATCH(F291,Dim_Product!$A$2:$A$4,0)),P291&lt;=INDEX(Dim_Product!$G$2:$G$4,MATCH(F291,Dim_Product!$A$2:$A$4,0))+INDEX(Dim_Product!$H$2:$H$4,MATCH(F291,Dim_Product!$A$2:$A$4,0))),G291-H291,G291-H291-1)</f>
        <v>23</v>
      </c>
      <c r="R291" s="4">
        <f t="shared" si="36"/>
        <v>1</v>
      </c>
      <c r="S291" s="4">
        <f>INDEX(Dim_Product!$K$2:$K$4,MATCH(F291,Dim_Product!$A$2:$A$4,0))+-0.36</f>
        <v>119.64</v>
      </c>
      <c r="T291" s="4">
        <f>IF(AND(S291&gt;=INDEX(Dim_Product!$K$2:$K$4,MATCH(F291,Dim_Product!$A$2:$A$4,0))-INDEX(Dim_Product!$L$2:$L$4,MATCH(F291,Dim_Product!$A$2:$A$4,0)),S291&lt;=INDEX(Dim_Product!$K$2:$K$4,MATCH(F291,Dim_Product!$A$2:$A$4,0))+INDEX(Dim_Product!$L$2:$L$4,MATCH(F291,Dim_Product!$A$2:$A$4,0))),G291-H291,G291-H291-1)</f>
        <v>23</v>
      </c>
      <c r="U291" s="4">
        <f t="shared" si="37"/>
        <v>1</v>
      </c>
      <c r="V291" s="4">
        <f t="shared" si="38"/>
        <v>4.1666666666666664E-2</v>
      </c>
      <c r="W291" s="19">
        <f t="shared" si="39"/>
        <v>0.95833333333333337</v>
      </c>
    </row>
    <row r="292" spans="1:23" x14ac:dyDescent="0.25">
      <c r="A292" s="18" t="s">
        <v>793</v>
      </c>
      <c r="B292" s="4">
        <f>Fact_Production_Hourly!B292</f>
        <v>20260702</v>
      </c>
      <c r="C292" s="4">
        <f>Fact_Production_Hourly!C292</f>
        <v>17</v>
      </c>
      <c r="D292" s="4" t="str">
        <f>Fact_Production_Hourly!D292</f>
        <v>M4</v>
      </c>
      <c r="E292" s="4" t="str">
        <f>Fact_Production_Hourly!E292</f>
        <v>A-AM</v>
      </c>
      <c r="F292" s="4" t="str">
        <f>Fact_Production_Hourly!F292</f>
        <v>A</v>
      </c>
      <c r="G292" s="4">
        <f>INDEX(Dim_Machine!$D$2:$D$8,MATCH(D292,Dim_Machine!$A$2:$A$8,0))*2</f>
        <v>48</v>
      </c>
      <c r="H292" s="4">
        <f>ROUND(G292*0.0618,0)</f>
        <v>3</v>
      </c>
      <c r="I292" s="4">
        <f t="shared" si="32"/>
        <v>0</v>
      </c>
      <c r="J292" s="4">
        <f t="shared" si="33"/>
        <v>1</v>
      </c>
      <c r="K292" s="4">
        <f t="shared" si="34"/>
        <v>2</v>
      </c>
      <c r="L292" s="4" t="s">
        <v>500</v>
      </c>
      <c r="M292" s="4">
        <f>INDEX(Dim_Product!$C$2:$C$4,MATCH(F292,Dim_Product!$A$2:$A$4,0))+-0.91</f>
        <v>249.09</v>
      </c>
      <c r="N292" s="4">
        <f>IF(AND(M292&gt;=INDEX(Dim_Product!$C$2:$C$4,MATCH(F292,Dim_Product!$A$2:$A$4,0))-INDEX(Dim_Product!$D$2:$D$4,MATCH(F292,Dim_Product!$A$2:$A$4,0)),M292&lt;=INDEX(Dim_Product!$C$2:$C$4,MATCH(F292,Dim_Product!$A$2:$A$4,0))+INDEX(Dim_Product!$D$2:$D$4,MATCH(F292,Dim_Product!$A$2:$A$4,0))),G292-H292,G292-H292-1)</f>
        <v>45</v>
      </c>
      <c r="O292" s="4">
        <f t="shared" si="35"/>
        <v>3</v>
      </c>
      <c r="P292" s="4">
        <f>INDEX(Dim_Product!$G$2:$G$4,MATCH(F292,Dim_Product!$A$2:$A$4,0))+-0.08</f>
        <v>69.92</v>
      </c>
      <c r="Q292" s="4">
        <f>IF(AND(P292&gt;=INDEX(Dim_Product!$G$2:$G$4,MATCH(F292,Dim_Product!$A$2:$A$4,0))-INDEX(Dim_Product!$H$2:$H$4,MATCH(F292,Dim_Product!$A$2:$A$4,0)),P292&lt;=INDEX(Dim_Product!$G$2:$G$4,MATCH(F292,Dim_Product!$A$2:$A$4,0))+INDEX(Dim_Product!$H$2:$H$4,MATCH(F292,Dim_Product!$A$2:$A$4,0))),G292-H292,G292-H292-1)</f>
        <v>45</v>
      </c>
      <c r="R292" s="4">
        <f t="shared" si="36"/>
        <v>3</v>
      </c>
      <c r="S292" s="4">
        <f>INDEX(Dim_Product!$K$2:$K$4,MATCH(F292,Dim_Product!$A$2:$A$4,0))+0.34</f>
        <v>120.34</v>
      </c>
      <c r="T292" s="4">
        <f>IF(AND(S292&gt;=INDEX(Dim_Product!$K$2:$K$4,MATCH(F292,Dim_Product!$A$2:$A$4,0))-INDEX(Dim_Product!$L$2:$L$4,MATCH(F292,Dim_Product!$A$2:$A$4,0)),S292&lt;=INDEX(Dim_Product!$K$2:$K$4,MATCH(F292,Dim_Product!$A$2:$A$4,0))+INDEX(Dim_Product!$L$2:$L$4,MATCH(F292,Dim_Product!$A$2:$A$4,0))),G292-H292,G292-H292-1)</f>
        <v>45</v>
      </c>
      <c r="U292" s="4">
        <f t="shared" si="37"/>
        <v>3</v>
      </c>
      <c r="V292" s="4">
        <f t="shared" si="38"/>
        <v>6.25E-2</v>
      </c>
      <c r="W292" s="19">
        <f t="shared" si="39"/>
        <v>0.9375</v>
      </c>
    </row>
    <row r="293" spans="1:23" x14ac:dyDescent="0.25">
      <c r="A293" s="18" t="s">
        <v>794</v>
      </c>
      <c r="B293" s="4">
        <f>Fact_Production_Hourly!B293</f>
        <v>20260702</v>
      </c>
      <c r="C293" s="4">
        <f>Fact_Production_Hourly!C293</f>
        <v>17</v>
      </c>
      <c r="D293" s="4" t="str">
        <f>Fact_Production_Hourly!D293</f>
        <v>M5</v>
      </c>
      <c r="E293" s="4" t="str">
        <f>Fact_Production_Hourly!E293</f>
        <v>A-AM</v>
      </c>
      <c r="F293" s="4" t="str">
        <f>Fact_Production_Hourly!F293</f>
        <v>C</v>
      </c>
      <c r="G293" s="4">
        <f>INDEX(Dim_Machine!$D$2:$D$8,MATCH(D293,Dim_Machine!$A$2:$A$8,0))*2</f>
        <v>32</v>
      </c>
      <c r="H293" s="4">
        <f>ROUND(G293*0.0207,0)</f>
        <v>1</v>
      </c>
      <c r="I293" s="4">
        <f t="shared" si="32"/>
        <v>0</v>
      </c>
      <c r="J293" s="4">
        <f t="shared" si="33"/>
        <v>0</v>
      </c>
      <c r="K293" s="4">
        <f t="shared" si="34"/>
        <v>1</v>
      </c>
      <c r="L293" s="4" t="s">
        <v>498</v>
      </c>
      <c r="M293" s="4">
        <f>INDEX(Dim_Product!$C$2:$C$4,MATCH(F293,Dim_Product!$A$2:$A$4,0))+0.11</f>
        <v>200.11</v>
      </c>
      <c r="N293" s="4">
        <f>IF(AND(M293&gt;=INDEX(Dim_Product!$C$2:$C$4,MATCH(F293,Dim_Product!$A$2:$A$4,0))-INDEX(Dim_Product!$D$2:$D$4,MATCH(F293,Dim_Product!$A$2:$A$4,0)),M293&lt;=INDEX(Dim_Product!$C$2:$C$4,MATCH(F293,Dim_Product!$A$2:$A$4,0))+INDEX(Dim_Product!$D$2:$D$4,MATCH(F293,Dim_Product!$A$2:$A$4,0))),G293-H293,G293-H293-1)</f>
        <v>31</v>
      </c>
      <c r="O293" s="4">
        <f t="shared" si="35"/>
        <v>1</v>
      </c>
      <c r="P293" s="4">
        <f>INDEX(Dim_Product!$G$2:$G$4,MATCH(F293,Dim_Product!$A$2:$A$4,0))+0.25</f>
        <v>65.25</v>
      </c>
      <c r="Q293" s="4">
        <f>IF(AND(P293&gt;=INDEX(Dim_Product!$G$2:$G$4,MATCH(F293,Dim_Product!$A$2:$A$4,0))-INDEX(Dim_Product!$H$2:$H$4,MATCH(F293,Dim_Product!$A$2:$A$4,0)),P293&lt;=INDEX(Dim_Product!$G$2:$G$4,MATCH(F293,Dim_Product!$A$2:$A$4,0))+INDEX(Dim_Product!$H$2:$H$4,MATCH(F293,Dim_Product!$A$2:$A$4,0))),G293-H293,G293-H293-1)</f>
        <v>31</v>
      </c>
      <c r="R293" s="4">
        <f t="shared" si="36"/>
        <v>1</v>
      </c>
      <c r="S293" s="4">
        <f>INDEX(Dim_Product!$K$2:$K$4,MATCH(F293,Dim_Product!$A$2:$A$4,0))+0.19</f>
        <v>110.19</v>
      </c>
      <c r="T293" s="4">
        <f>IF(AND(S293&gt;=INDEX(Dim_Product!$K$2:$K$4,MATCH(F293,Dim_Product!$A$2:$A$4,0))-INDEX(Dim_Product!$L$2:$L$4,MATCH(F293,Dim_Product!$A$2:$A$4,0)),S293&lt;=INDEX(Dim_Product!$K$2:$K$4,MATCH(F293,Dim_Product!$A$2:$A$4,0))+INDEX(Dim_Product!$L$2:$L$4,MATCH(F293,Dim_Product!$A$2:$A$4,0))),G293-H293,G293-H293-1)</f>
        <v>31</v>
      </c>
      <c r="U293" s="4">
        <f t="shared" si="37"/>
        <v>1</v>
      </c>
      <c r="V293" s="4">
        <f t="shared" si="38"/>
        <v>3.125E-2</v>
      </c>
      <c r="W293" s="19">
        <f t="shared" si="39"/>
        <v>0.96875</v>
      </c>
    </row>
    <row r="294" spans="1:23" x14ac:dyDescent="0.25">
      <c r="A294" s="18" t="s">
        <v>795</v>
      </c>
      <c r="B294" s="4">
        <f>Fact_Production_Hourly!B294</f>
        <v>20260702</v>
      </c>
      <c r="C294" s="4">
        <f>Fact_Production_Hourly!C294</f>
        <v>17</v>
      </c>
      <c r="D294" s="4" t="str">
        <f>Fact_Production_Hourly!D294</f>
        <v>M6</v>
      </c>
      <c r="E294" s="4" t="str">
        <f>Fact_Production_Hourly!E294</f>
        <v>A-AM</v>
      </c>
      <c r="F294" s="4" t="str">
        <f>Fact_Production_Hourly!F294</f>
        <v>C</v>
      </c>
      <c r="G294" s="4">
        <f>INDEX(Dim_Machine!$D$2:$D$8,MATCH(D294,Dim_Machine!$A$2:$A$8,0))*2</f>
        <v>24</v>
      </c>
      <c r="H294" s="4">
        <f>ROUND(G294*0.0352,0)</f>
        <v>1</v>
      </c>
      <c r="I294" s="4">
        <f t="shared" si="32"/>
        <v>0</v>
      </c>
      <c r="J294" s="4">
        <f t="shared" si="33"/>
        <v>0</v>
      </c>
      <c r="K294" s="4">
        <f t="shared" si="34"/>
        <v>1</v>
      </c>
      <c r="L294" s="4" t="s">
        <v>517</v>
      </c>
      <c r="M294" s="4">
        <f>INDEX(Dim_Product!$C$2:$C$4,MATCH(F294,Dim_Product!$A$2:$A$4,0))+-0.5</f>
        <v>199.5</v>
      </c>
      <c r="N294" s="4">
        <f>IF(AND(M294&gt;=INDEX(Dim_Product!$C$2:$C$4,MATCH(F294,Dim_Product!$A$2:$A$4,0))-INDEX(Dim_Product!$D$2:$D$4,MATCH(F294,Dim_Product!$A$2:$A$4,0)),M294&lt;=INDEX(Dim_Product!$C$2:$C$4,MATCH(F294,Dim_Product!$A$2:$A$4,0))+INDEX(Dim_Product!$D$2:$D$4,MATCH(F294,Dim_Product!$A$2:$A$4,0))),G294-H294,G294-H294-1)</f>
        <v>23</v>
      </c>
      <c r="O294" s="4">
        <f t="shared" si="35"/>
        <v>1</v>
      </c>
      <c r="P294" s="4">
        <f>INDEX(Dim_Product!$G$2:$G$4,MATCH(F294,Dim_Product!$A$2:$A$4,0))+0.25</f>
        <v>65.25</v>
      </c>
      <c r="Q294" s="4">
        <f>IF(AND(P294&gt;=INDEX(Dim_Product!$G$2:$G$4,MATCH(F294,Dim_Product!$A$2:$A$4,0))-INDEX(Dim_Product!$H$2:$H$4,MATCH(F294,Dim_Product!$A$2:$A$4,0)),P294&lt;=INDEX(Dim_Product!$G$2:$G$4,MATCH(F294,Dim_Product!$A$2:$A$4,0))+INDEX(Dim_Product!$H$2:$H$4,MATCH(F294,Dim_Product!$A$2:$A$4,0))),G294-H294,G294-H294-1)</f>
        <v>23</v>
      </c>
      <c r="R294" s="4">
        <f t="shared" si="36"/>
        <v>1</v>
      </c>
      <c r="S294" s="4">
        <f>INDEX(Dim_Product!$K$2:$K$4,MATCH(F294,Dim_Product!$A$2:$A$4,0))+-0.14</f>
        <v>109.86</v>
      </c>
      <c r="T294" s="4">
        <f>IF(AND(S294&gt;=INDEX(Dim_Product!$K$2:$K$4,MATCH(F294,Dim_Product!$A$2:$A$4,0))-INDEX(Dim_Product!$L$2:$L$4,MATCH(F294,Dim_Product!$A$2:$A$4,0)),S294&lt;=INDEX(Dim_Product!$K$2:$K$4,MATCH(F294,Dim_Product!$A$2:$A$4,0))+INDEX(Dim_Product!$L$2:$L$4,MATCH(F294,Dim_Product!$A$2:$A$4,0))),G294-H294,G294-H294-1)</f>
        <v>23</v>
      </c>
      <c r="U294" s="4">
        <f t="shared" si="37"/>
        <v>1</v>
      </c>
      <c r="V294" s="4">
        <f t="shared" si="38"/>
        <v>4.1666666666666664E-2</v>
      </c>
      <c r="W294" s="19">
        <f t="shared" si="39"/>
        <v>0.95833333333333337</v>
      </c>
    </row>
    <row r="295" spans="1:23" x14ac:dyDescent="0.25">
      <c r="A295" s="18" t="s">
        <v>796</v>
      </c>
      <c r="B295" s="4">
        <f>Fact_Production_Hourly!B295</f>
        <v>20260702</v>
      </c>
      <c r="C295" s="4">
        <f>Fact_Production_Hourly!C295</f>
        <v>17</v>
      </c>
      <c r="D295" s="4" t="str">
        <f>Fact_Production_Hourly!D295</f>
        <v>M7</v>
      </c>
      <c r="E295" s="4" t="str">
        <f>Fact_Production_Hourly!E295</f>
        <v>A-AM</v>
      </c>
      <c r="F295" s="4" t="str">
        <f>Fact_Production_Hourly!F295</f>
        <v>C</v>
      </c>
      <c r="G295" s="4">
        <f>INDEX(Dim_Machine!$D$2:$D$8,MATCH(D295,Dim_Machine!$A$2:$A$8,0))*2</f>
        <v>48</v>
      </c>
      <c r="H295" s="4">
        <f>ROUND(G295*0.0596,0)</f>
        <v>3</v>
      </c>
      <c r="I295" s="4">
        <f t="shared" si="32"/>
        <v>0</v>
      </c>
      <c r="J295" s="4">
        <f t="shared" si="33"/>
        <v>1</v>
      </c>
      <c r="K295" s="4">
        <f t="shared" si="34"/>
        <v>2</v>
      </c>
      <c r="L295" s="4" t="s">
        <v>509</v>
      </c>
      <c r="M295" s="4">
        <f>INDEX(Dim_Product!$C$2:$C$4,MATCH(F295,Dim_Product!$A$2:$A$4,0))+-0.25</f>
        <v>199.75</v>
      </c>
      <c r="N295" s="4">
        <f>IF(AND(M295&gt;=INDEX(Dim_Product!$C$2:$C$4,MATCH(F295,Dim_Product!$A$2:$A$4,0))-INDEX(Dim_Product!$D$2:$D$4,MATCH(F295,Dim_Product!$A$2:$A$4,0)),M295&lt;=INDEX(Dim_Product!$C$2:$C$4,MATCH(F295,Dim_Product!$A$2:$A$4,0))+INDEX(Dim_Product!$D$2:$D$4,MATCH(F295,Dim_Product!$A$2:$A$4,0))),G295-H295,G295-H295-1)</f>
        <v>45</v>
      </c>
      <c r="O295" s="4">
        <f t="shared" si="35"/>
        <v>3</v>
      </c>
      <c r="P295" s="4">
        <f>INDEX(Dim_Product!$G$2:$G$4,MATCH(F295,Dim_Product!$A$2:$A$4,0))+0</f>
        <v>65</v>
      </c>
      <c r="Q295" s="4">
        <f>IF(AND(P295&gt;=INDEX(Dim_Product!$G$2:$G$4,MATCH(F295,Dim_Product!$A$2:$A$4,0))-INDEX(Dim_Product!$H$2:$H$4,MATCH(F295,Dim_Product!$A$2:$A$4,0)),P295&lt;=INDEX(Dim_Product!$G$2:$G$4,MATCH(F295,Dim_Product!$A$2:$A$4,0))+INDEX(Dim_Product!$H$2:$H$4,MATCH(F295,Dim_Product!$A$2:$A$4,0))),G295-H295,G295-H295-1)</f>
        <v>45</v>
      </c>
      <c r="R295" s="4">
        <f t="shared" si="36"/>
        <v>3</v>
      </c>
      <c r="S295" s="4">
        <f>INDEX(Dim_Product!$K$2:$K$4,MATCH(F295,Dim_Product!$A$2:$A$4,0))+0.32</f>
        <v>110.32</v>
      </c>
      <c r="T295" s="4">
        <f>IF(AND(S295&gt;=INDEX(Dim_Product!$K$2:$K$4,MATCH(F295,Dim_Product!$A$2:$A$4,0))-INDEX(Dim_Product!$L$2:$L$4,MATCH(F295,Dim_Product!$A$2:$A$4,0)),S295&lt;=INDEX(Dim_Product!$K$2:$K$4,MATCH(F295,Dim_Product!$A$2:$A$4,0))+INDEX(Dim_Product!$L$2:$L$4,MATCH(F295,Dim_Product!$A$2:$A$4,0))),G295-H295,G295-H295-1)</f>
        <v>45</v>
      </c>
      <c r="U295" s="4">
        <f t="shared" si="37"/>
        <v>3</v>
      </c>
      <c r="V295" s="4">
        <f t="shared" si="38"/>
        <v>6.25E-2</v>
      </c>
      <c r="W295" s="19">
        <f t="shared" si="39"/>
        <v>0.9375</v>
      </c>
    </row>
    <row r="296" spans="1:23" x14ac:dyDescent="0.25">
      <c r="A296" s="18" t="s">
        <v>797</v>
      </c>
      <c r="B296" s="4">
        <f>Fact_Production_Hourly!B296</f>
        <v>20260702</v>
      </c>
      <c r="C296" s="4">
        <f>Fact_Production_Hourly!C296</f>
        <v>18</v>
      </c>
      <c r="D296" s="4" t="str">
        <f>Fact_Production_Hourly!D296</f>
        <v>M1</v>
      </c>
      <c r="E296" s="4" t="str">
        <f>Fact_Production_Hourly!E296</f>
        <v>B-PM</v>
      </c>
      <c r="F296" s="4" t="str">
        <f>Fact_Production_Hourly!F296</f>
        <v>B</v>
      </c>
      <c r="G296" s="4">
        <f>INDEX(Dim_Machine!$D$2:$D$8,MATCH(D296,Dim_Machine!$A$2:$A$8,0))*2</f>
        <v>32</v>
      </c>
      <c r="H296" s="4">
        <f>ROUND(G296*0.0208,0)</f>
        <v>1</v>
      </c>
      <c r="I296" s="4">
        <f t="shared" si="32"/>
        <v>0</v>
      </c>
      <c r="J296" s="4">
        <f t="shared" si="33"/>
        <v>0</v>
      </c>
      <c r="K296" s="4">
        <f t="shared" si="34"/>
        <v>1</v>
      </c>
      <c r="L296" s="4" t="s">
        <v>509</v>
      </c>
      <c r="M296" s="4">
        <f>INDEX(Dim_Product!$C$2:$C$4,MATCH(F296,Dim_Product!$A$2:$A$4,0))+0.96</f>
        <v>300.95999999999998</v>
      </c>
      <c r="N296" s="4">
        <f>IF(AND(M296&gt;=INDEX(Dim_Product!$C$2:$C$4,MATCH(F296,Dim_Product!$A$2:$A$4,0))-INDEX(Dim_Product!$D$2:$D$4,MATCH(F296,Dim_Product!$A$2:$A$4,0)),M296&lt;=INDEX(Dim_Product!$C$2:$C$4,MATCH(F296,Dim_Product!$A$2:$A$4,0))+INDEX(Dim_Product!$D$2:$D$4,MATCH(F296,Dim_Product!$A$2:$A$4,0))),G296-H296,G296-H296-1)</f>
        <v>31</v>
      </c>
      <c r="O296" s="4">
        <f t="shared" si="35"/>
        <v>1</v>
      </c>
      <c r="P296" s="4">
        <f>INDEX(Dim_Product!$G$2:$G$4,MATCH(F296,Dim_Product!$A$2:$A$4,0))+0.27</f>
        <v>75.27</v>
      </c>
      <c r="Q296" s="4">
        <f>IF(AND(P296&gt;=INDEX(Dim_Product!$G$2:$G$4,MATCH(F296,Dim_Product!$A$2:$A$4,0))-INDEX(Dim_Product!$H$2:$H$4,MATCH(F296,Dim_Product!$A$2:$A$4,0)),P296&lt;=INDEX(Dim_Product!$G$2:$G$4,MATCH(F296,Dim_Product!$A$2:$A$4,0))+INDEX(Dim_Product!$H$2:$H$4,MATCH(F296,Dim_Product!$A$2:$A$4,0))),G296-H296,G296-H296-1)</f>
        <v>31</v>
      </c>
      <c r="R296" s="4">
        <f t="shared" si="36"/>
        <v>1</v>
      </c>
      <c r="S296" s="4">
        <f>INDEX(Dim_Product!$K$2:$K$4,MATCH(F296,Dim_Product!$A$2:$A$4,0))+-0.34</f>
        <v>129.66</v>
      </c>
      <c r="T296" s="4">
        <f>IF(AND(S296&gt;=INDEX(Dim_Product!$K$2:$K$4,MATCH(F296,Dim_Product!$A$2:$A$4,0))-INDEX(Dim_Product!$L$2:$L$4,MATCH(F296,Dim_Product!$A$2:$A$4,0)),S296&lt;=INDEX(Dim_Product!$K$2:$K$4,MATCH(F296,Dim_Product!$A$2:$A$4,0))+INDEX(Dim_Product!$L$2:$L$4,MATCH(F296,Dim_Product!$A$2:$A$4,0))),G296-H296,G296-H296-1)</f>
        <v>31</v>
      </c>
      <c r="U296" s="4">
        <f t="shared" si="37"/>
        <v>1</v>
      </c>
      <c r="V296" s="4">
        <f t="shared" si="38"/>
        <v>3.125E-2</v>
      </c>
      <c r="W296" s="19">
        <f t="shared" si="39"/>
        <v>0.96875</v>
      </c>
    </row>
    <row r="297" spans="1:23" x14ac:dyDescent="0.25">
      <c r="A297" s="18" t="s">
        <v>798</v>
      </c>
      <c r="B297" s="4">
        <f>Fact_Production_Hourly!B297</f>
        <v>20260702</v>
      </c>
      <c r="C297" s="4">
        <f>Fact_Production_Hourly!C297</f>
        <v>18</v>
      </c>
      <c r="D297" s="4" t="str">
        <f>Fact_Production_Hourly!D297</f>
        <v>M2</v>
      </c>
      <c r="E297" s="4" t="str">
        <f>Fact_Production_Hourly!E297</f>
        <v>B-PM</v>
      </c>
      <c r="F297" s="4" t="str">
        <f>Fact_Production_Hourly!F297</f>
        <v>A</v>
      </c>
      <c r="G297" s="4">
        <f>INDEX(Dim_Machine!$D$2:$D$8,MATCH(D297,Dim_Machine!$A$2:$A$8,0))*2</f>
        <v>48</v>
      </c>
      <c r="H297" s="4">
        <f>ROUND(G297*0.0379,0)</f>
        <v>2</v>
      </c>
      <c r="I297" s="4">
        <f t="shared" si="32"/>
        <v>0</v>
      </c>
      <c r="J297" s="4">
        <f t="shared" si="33"/>
        <v>1</v>
      </c>
      <c r="K297" s="4">
        <f t="shared" si="34"/>
        <v>1</v>
      </c>
      <c r="L297" s="4" t="s">
        <v>517</v>
      </c>
      <c r="M297" s="4">
        <f>INDEX(Dim_Product!$C$2:$C$4,MATCH(F297,Dim_Product!$A$2:$A$4,0))+0.55</f>
        <v>250.55</v>
      </c>
      <c r="N297" s="4">
        <f>IF(AND(M297&gt;=INDEX(Dim_Product!$C$2:$C$4,MATCH(F297,Dim_Product!$A$2:$A$4,0))-INDEX(Dim_Product!$D$2:$D$4,MATCH(F297,Dim_Product!$A$2:$A$4,0)),M297&lt;=INDEX(Dim_Product!$C$2:$C$4,MATCH(F297,Dim_Product!$A$2:$A$4,0))+INDEX(Dim_Product!$D$2:$D$4,MATCH(F297,Dim_Product!$A$2:$A$4,0))),G297-H297,G297-H297-1)</f>
        <v>46</v>
      </c>
      <c r="O297" s="4">
        <f t="shared" si="35"/>
        <v>2</v>
      </c>
      <c r="P297" s="4">
        <f>INDEX(Dim_Product!$G$2:$G$4,MATCH(F297,Dim_Product!$A$2:$A$4,0))+-0.11</f>
        <v>69.89</v>
      </c>
      <c r="Q297" s="4">
        <f>IF(AND(P297&gt;=INDEX(Dim_Product!$G$2:$G$4,MATCH(F297,Dim_Product!$A$2:$A$4,0))-INDEX(Dim_Product!$H$2:$H$4,MATCH(F297,Dim_Product!$A$2:$A$4,0)),P297&lt;=INDEX(Dim_Product!$G$2:$G$4,MATCH(F297,Dim_Product!$A$2:$A$4,0))+INDEX(Dim_Product!$H$2:$H$4,MATCH(F297,Dim_Product!$A$2:$A$4,0))),G297-H297,G297-H297-1)</f>
        <v>46</v>
      </c>
      <c r="R297" s="4">
        <f t="shared" si="36"/>
        <v>2</v>
      </c>
      <c r="S297" s="4">
        <f>INDEX(Dim_Product!$K$2:$K$4,MATCH(F297,Dim_Product!$A$2:$A$4,0))+-0.33</f>
        <v>119.67</v>
      </c>
      <c r="T297" s="4">
        <f>IF(AND(S297&gt;=INDEX(Dim_Product!$K$2:$K$4,MATCH(F297,Dim_Product!$A$2:$A$4,0))-INDEX(Dim_Product!$L$2:$L$4,MATCH(F297,Dim_Product!$A$2:$A$4,0)),S297&lt;=INDEX(Dim_Product!$K$2:$K$4,MATCH(F297,Dim_Product!$A$2:$A$4,0))+INDEX(Dim_Product!$L$2:$L$4,MATCH(F297,Dim_Product!$A$2:$A$4,0))),G297-H297,G297-H297-1)</f>
        <v>46</v>
      </c>
      <c r="U297" s="4">
        <f t="shared" si="37"/>
        <v>2</v>
      </c>
      <c r="V297" s="4">
        <f t="shared" si="38"/>
        <v>4.1666666666666664E-2</v>
      </c>
      <c r="W297" s="19">
        <f t="shared" si="39"/>
        <v>0.95833333333333337</v>
      </c>
    </row>
    <row r="298" spans="1:23" x14ac:dyDescent="0.25">
      <c r="A298" s="18" t="s">
        <v>799</v>
      </c>
      <c r="B298" s="4">
        <f>Fact_Production_Hourly!B298</f>
        <v>20260702</v>
      </c>
      <c r="C298" s="4">
        <f>Fact_Production_Hourly!C298</f>
        <v>18</v>
      </c>
      <c r="D298" s="4" t="str">
        <f>Fact_Production_Hourly!D298</f>
        <v>M3</v>
      </c>
      <c r="E298" s="4" t="str">
        <f>Fact_Production_Hourly!E298</f>
        <v>B-PM</v>
      </c>
      <c r="F298" s="4" t="str">
        <f>Fact_Production_Hourly!F298</f>
        <v>A</v>
      </c>
      <c r="G298" s="4">
        <f>INDEX(Dim_Machine!$D$2:$D$8,MATCH(D298,Dim_Machine!$A$2:$A$8,0))*2</f>
        <v>24</v>
      </c>
      <c r="H298" s="4">
        <f>ROUND(G298*0.0374,0)</f>
        <v>1</v>
      </c>
      <c r="I298" s="4">
        <f t="shared" si="32"/>
        <v>0</v>
      </c>
      <c r="J298" s="4">
        <f t="shared" si="33"/>
        <v>0</v>
      </c>
      <c r="K298" s="4">
        <f t="shared" si="34"/>
        <v>1</v>
      </c>
      <c r="L298" s="4" t="s">
        <v>517</v>
      </c>
      <c r="M298" s="4">
        <f>INDEX(Dim_Product!$C$2:$C$4,MATCH(F298,Dim_Product!$A$2:$A$4,0))+-0.6</f>
        <v>249.4</v>
      </c>
      <c r="N298" s="4">
        <f>IF(AND(M298&gt;=INDEX(Dim_Product!$C$2:$C$4,MATCH(F298,Dim_Product!$A$2:$A$4,0))-INDEX(Dim_Product!$D$2:$D$4,MATCH(F298,Dim_Product!$A$2:$A$4,0)),M298&lt;=INDEX(Dim_Product!$C$2:$C$4,MATCH(F298,Dim_Product!$A$2:$A$4,0))+INDEX(Dim_Product!$D$2:$D$4,MATCH(F298,Dim_Product!$A$2:$A$4,0))),G298-H298,G298-H298-1)</f>
        <v>23</v>
      </c>
      <c r="O298" s="4">
        <f t="shared" si="35"/>
        <v>1</v>
      </c>
      <c r="P298" s="4">
        <f>INDEX(Dim_Product!$G$2:$G$4,MATCH(F298,Dim_Product!$A$2:$A$4,0))+0.04</f>
        <v>70.040000000000006</v>
      </c>
      <c r="Q298" s="4">
        <f>IF(AND(P298&gt;=INDEX(Dim_Product!$G$2:$G$4,MATCH(F298,Dim_Product!$A$2:$A$4,0))-INDEX(Dim_Product!$H$2:$H$4,MATCH(F298,Dim_Product!$A$2:$A$4,0)),P298&lt;=INDEX(Dim_Product!$G$2:$G$4,MATCH(F298,Dim_Product!$A$2:$A$4,0))+INDEX(Dim_Product!$H$2:$H$4,MATCH(F298,Dim_Product!$A$2:$A$4,0))),G298-H298,G298-H298-1)</f>
        <v>23</v>
      </c>
      <c r="R298" s="4">
        <f t="shared" si="36"/>
        <v>1</v>
      </c>
      <c r="S298" s="4">
        <f>INDEX(Dim_Product!$K$2:$K$4,MATCH(F298,Dim_Product!$A$2:$A$4,0))+-0.16</f>
        <v>119.84</v>
      </c>
      <c r="T298" s="4">
        <f>IF(AND(S298&gt;=INDEX(Dim_Product!$K$2:$K$4,MATCH(F298,Dim_Product!$A$2:$A$4,0))-INDEX(Dim_Product!$L$2:$L$4,MATCH(F298,Dim_Product!$A$2:$A$4,0)),S298&lt;=INDEX(Dim_Product!$K$2:$K$4,MATCH(F298,Dim_Product!$A$2:$A$4,0))+INDEX(Dim_Product!$L$2:$L$4,MATCH(F298,Dim_Product!$A$2:$A$4,0))),G298-H298,G298-H298-1)</f>
        <v>23</v>
      </c>
      <c r="U298" s="4">
        <f t="shared" si="37"/>
        <v>1</v>
      </c>
      <c r="V298" s="4">
        <f t="shared" si="38"/>
        <v>4.1666666666666664E-2</v>
      </c>
      <c r="W298" s="19">
        <f t="shared" si="39"/>
        <v>0.95833333333333337</v>
      </c>
    </row>
    <row r="299" spans="1:23" x14ac:dyDescent="0.25">
      <c r="A299" s="18" t="s">
        <v>800</v>
      </c>
      <c r="B299" s="4">
        <f>Fact_Production_Hourly!B299</f>
        <v>20260702</v>
      </c>
      <c r="C299" s="4">
        <f>Fact_Production_Hourly!C299</f>
        <v>18</v>
      </c>
      <c r="D299" s="4" t="str">
        <f>Fact_Production_Hourly!D299</f>
        <v>M4</v>
      </c>
      <c r="E299" s="4" t="str">
        <f>Fact_Production_Hourly!E299</f>
        <v>B-PM</v>
      </c>
      <c r="F299" s="4" t="str">
        <f>Fact_Production_Hourly!F299</f>
        <v>C</v>
      </c>
      <c r="G299" s="4">
        <f>INDEX(Dim_Machine!$D$2:$D$8,MATCH(D299,Dim_Machine!$A$2:$A$8,0))*2</f>
        <v>48</v>
      </c>
      <c r="H299" s="4">
        <f>ROUND(G299*0.0474,0)</f>
        <v>2</v>
      </c>
      <c r="I299" s="4">
        <f t="shared" si="32"/>
        <v>0</v>
      </c>
      <c r="J299" s="4">
        <f t="shared" si="33"/>
        <v>1</v>
      </c>
      <c r="K299" s="4">
        <f t="shared" si="34"/>
        <v>1</v>
      </c>
      <c r="L299" s="4" t="s">
        <v>503</v>
      </c>
      <c r="M299" s="4">
        <f>INDEX(Dim_Product!$C$2:$C$4,MATCH(F299,Dim_Product!$A$2:$A$4,0))+-0.26</f>
        <v>199.74</v>
      </c>
      <c r="N299" s="4">
        <f>IF(AND(M299&gt;=INDEX(Dim_Product!$C$2:$C$4,MATCH(F299,Dim_Product!$A$2:$A$4,0))-INDEX(Dim_Product!$D$2:$D$4,MATCH(F299,Dim_Product!$A$2:$A$4,0)),M299&lt;=INDEX(Dim_Product!$C$2:$C$4,MATCH(F299,Dim_Product!$A$2:$A$4,0))+INDEX(Dim_Product!$D$2:$D$4,MATCH(F299,Dim_Product!$A$2:$A$4,0))),G299-H299,G299-H299-1)</f>
        <v>46</v>
      </c>
      <c r="O299" s="4">
        <f t="shared" si="35"/>
        <v>2</v>
      </c>
      <c r="P299" s="4">
        <f>INDEX(Dim_Product!$G$2:$G$4,MATCH(F299,Dim_Product!$A$2:$A$4,0))+0.28</f>
        <v>65.28</v>
      </c>
      <c r="Q299" s="4">
        <f>IF(AND(P299&gt;=INDEX(Dim_Product!$G$2:$G$4,MATCH(F299,Dim_Product!$A$2:$A$4,0))-INDEX(Dim_Product!$H$2:$H$4,MATCH(F299,Dim_Product!$A$2:$A$4,0)),P299&lt;=INDEX(Dim_Product!$G$2:$G$4,MATCH(F299,Dim_Product!$A$2:$A$4,0))+INDEX(Dim_Product!$H$2:$H$4,MATCH(F299,Dim_Product!$A$2:$A$4,0))),G299-H299,G299-H299-1)</f>
        <v>46</v>
      </c>
      <c r="R299" s="4">
        <f t="shared" si="36"/>
        <v>2</v>
      </c>
      <c r="S299" s="4">
        <f>INDEX(Dim_Product!$K$2:$K$4,MATCH(F299,Dim_Product!$A$2:$A$4,0))+0.4</f>
        <v>110.4</v>
      </c>
      <c r="T299" s="4">
        <f>IF(AND(S299&gt;=INDEX(Dim_Product!$K$2:$K$4,MATCH(F299,Dim_Product!$A$2:$A$4,0))-INDEX(Dim_Product!$L$2:$L$4,MATCH(F299,Dim_Product!$A$2:$A$4,0)),S299&lt;=INDEX(Dim_Product!$K$2:$K$4,MATCH(F299,Dim_Product!$A$2:$A$4,0))+INDEX(Dim_Product!$L$2:$L$4,MATCH(F299,Dim_Product!$A$2:$A$4,0))),G299-H299,G299-H299-1)</f>
        <v>46</v>
      </c>
      <c r="U299" s="4">
        <f t="shared" si="37"/>
        <v>2</v>
      </c>
      <c r="V299" s="4">
        <f t="shared" si="38"/>
        <v>4.1666666666666664E-2</v>
      </c>
      <c r="W299" s="19">
        <f t="shared" si="39"/>
        <v>0.95833333333333337</v>
      </c>
    </row>
    <row r="300" spans="1:23" x14ac:dyDescent="0.25">
      <c r="A300" s="18" t="s">
        <v>801</v>
      </c>
      <c r="B300" s="4">
        <f>Fact_Production_Hourly!B300</f>
        <v>20260702</v>
      </c>
      <c r="C300" s="4">
        <f>Fact_Production_Hourly!C300</f>
        <v>18</v>
      </c>
      <c r="D300" s="4" t="str">
        <f>Fact_Production_Hourly!D300</f>
        <v>M5</v>
      </c>
      <c r="E300" s="4" t="str">
        <f>Fact_Production_Hourly!E300</f>
        <v>B-PM</v>
      </c>
      <c r="F300" s="4" t="str">
        <f>Fact_Production_Hourly!F300</f>
        <v>A</v>
      </c>
      <c r="G300" s="4">
        <f>INDEX(Dim_Machine!$D$2:$D$8,MATCH(D300,Dim_Machine!$A$2:$A$8,0))*2</f>
        <v>32</v>
      </c>
      <c r="H300" s="4">
        <f>ROUND(G300*0.0566,0)</f>
        <v>2</v>
      </c>
      <c r="I300" s="4">
        <f t="shared" si="32"/>
        <v>0</v>
      </c>
      <c r="J300" s="4">
        <f t="shared" si="33"/>
        <v>1</v>
      </c>
      <c r="K300" s="4">
        <f t="shared" si="34"/>
        <v>1</v>
      </c>
      <c r="L300" s="4" t="s">
        <v>520</v>
      </c>
      <c r="M300" s="4">
        <f>INDEX(Dim_Product!$C$2:$C$4,MATCH(F300,Dim_Product!$A$2:$A$4,0))+0.8</f>
        <v>250.8</v>
      </c>
      <c r="N300" s="4">
        <f>IF(AND(M300&gt;=INDEX(Dim_Product!$C$2:$C$4,MATCH(F300,Dim_Product!$A$2:$A$4,0))-INDEX(Dim_Product!$D$2:$D$4,MATCH(F300,Dim_Product!$A$2:$A$4,0)),M300&lt;=INDEX(Dim_Product!$C$2:$C$4,MATCH(F300,Dim_Product!$A$2:$A$4,0))+INDEX(Dim_Product!$D$2:$D$4,MATCH(F300,Dim_Product!$A$2:$A$4,0))),G300-H300,G300-H300-1)</f>
        <v>30</v>
      </c>
      <c r="O300" s="4">
        <f t="shared" si="35"/>
        <v>2</v>
      </c>
      <c r="P300" s="4">
        <f>INDEX(Dim_Product!$G$2:$G$4,MATCH(F300,Dim_Product!$A$2:$A$4,0))+0.16</f>
        <v>70.16</v>
      </c>
      <c r="Q300" s="4">
        <f>IF(AND(P300&gt;=INDEX(Dim_Product!$G$2:$G$4,MATCH(F300,Dim_Product!$A$2:$A$4,0))-INDEX(Dim_Product!$H$2:$H$4,MATCH(F300,Dim_Product!$A$2:$A$4,0)),P300&lt;=INDEX(Dim_Product!$G$2:$G$4,MATCH(F300,Dim_Product!$A$2:$A$4,0))+INDEX(Dim_Product!$H$2:$H$4,MATCH(F300,Dim_Product!$A$2:$A$4,0))),G300-H300,G300-H300-1)</f>
        <v>30</v>
      </c>
      <c r="R300" s="4">
        <f t="shared" si="36"/>
        <v>2</v>
      </c>
      <c r="S300" s="4">
        <f>INDEX(Dim_Product!$K$2:$K$4,MATCH(F300,Dim_Product!$A$2:$A$4,0))+-0.2</f>
        <v>119.8</v>
      </c>
      <c r="T300" s="4">
        <f>IF(AND(S300&gt;=INDEX(Dim_Product!$K$2:$K$4,MATCH(F300,Dim_Product!$A$2:$A$4,0))-INDEX(Dim_Product!$L$2:$L$4,MATCH(F300,Dim_Product!$A$2:$A$4,0)),S300&lt;=INDEX(Dim_Product!$K$2:$K$4,MATCH(F300,Dim_Product!$A$2:$A$4,0))+INDEX(Dim_Product!$L$2:$L$4,MATCH(F300,Dim_Product!$A$2:$A$4,0))),G300-H300,G300-H300-1)</f>
        <v>30</v>
      </c>
      <c r="U300" s="4">
        <f t="shared" si="37"/>
        <v>2</v>
      </c>
      <c r="V300" s="4">
        <f t="shared" si="38"/>
        <v>6.25E-2</v>
      </c>
      <c r="W300" s="19">
        <f t="shared" si="39"/>
        <v>0.9375</v>
      </c>
    </row>
    <row r="301" spans="1:23" x14ac:dyDescent="0.25">
      <c r="A301" s="18" t="s">
        <v>802</v>
      </c>
      <c r="B301" s="4">
        <f>Fact_Production_Hourly!B301</f>
        <v>20260702</v>
      </c>
      <c r="C301" s="4">
        <f>Fact_Production_Hourly!C301</f>
        <v>18</v>
      </c>
      <c r="D301" s="4" t="str">
        <f>Fact_Production_Hourly!D301</f>
        <v>M6</v>
      </c>
      <c r="E301" s="4" t="str">
        <f>Fact_Production_Hourly!E301</f>
        <v>B-PM</v>
      </c>
      <c r="F301" s="4" t="str">
        <f>Fact_Production_Hourly!F301</f>
        <v>A</v>
      </c>
      <c r="G301" s="4">
        <f>INDEX(Dim_Machine!$D$2:$D$8,MATCH(D301,Dim_Machine!$A$2:$A$8,0))*2</f>
        <v>24</v>
      </c>
      <c r="H301" s="4">
        <f>ROUND(G301*0.0104,0)</f>
        <v>0</v>
      </c>
      <c r="I301" s="4">
        <f t="shared" si="32"/>
        <v>0</v>
      </c>
      <c r="J301" s="4">
        <f t="shared" si="33"/>
        <v>0</v>
      </c>
      <c r="K301" s="4">
        <f t="shared" si="34"/>
        <v>0</v>
      </c>
      <c r="L301" s="4" t="s">
        <v>503</v>
      </c>
      <c r="M301" s="4">
        <f>INDEX(Dim_Product!$C$2:$C$4,MATCH(F301,Dim_Product!$A$2:$A$4,0))+-0.95</f>
        <v>249.05</v>
      </c>
      <c r="N301" s="4">
        <f>IF(AND(M301&gt;=INDEX(Dim_Product!$C$2:$C$4,MATCH(F301,Dim_Product!$A$2:$A$4,0))-INDEX(Dim_Product!$D$2:$D$4,MATCH(F301,Dim_Product!$A$2:$A$4,0)),M301&lt;=INDEX(Dim_Product!$C$2:$C$4,MATCH(F301,Dim_Product!$A$2:$A$4,0))+INDEX(Dim_Product!$D$2:$D$4,MATCH(F301,Dim_Product!$A$2:$A$4,0))),G301-H301,G301-H301-1)</f>
        <v>24</v>
      </c>
      <c r="O301" s="4">
        <f t="shared" si="35"/>
        <v>0</v>
      </c>
      <c r="P301" s="4">
        <f>INDEX(Dim_Product!$G$2:$G$4,MATCH(F301,Dim_Product!$A$2:$A$4,0))+0.02</f>
        <v>70.02</v>
      </c>
      <c r="Q301" s="4">
        <f>IF(AND(P301&gt;=INDEX(Dim_Product!$G$2:$G$4,MATCH(F301,Dim_Product!$A$2:$A$4,0))-INDEX(Dim_Product!$H$2:$H$4,MATCH(F301,Dim_Product!$A$2:$A$4,0)),P301&lt;=INDEX(Dim_Product!$G$2:$G$4,MATCH(F301,Dim_Product!$A$2:$A$4,0))+INDEX(Dim_Product!$H$2:$H$4,MATCH(F301,Dim_Product!$A$2:$A$4,0))),G301-H301,G301-H301-1)</f>
        <v>24</v>
      </c>
      <c r="R301" s="4">
        <f t="shared" si="36"/>
        <v>0</v>
      </c>
      <c r="S301" s="4">
        <f>INDEX(Dim_Product!$K$2:$K$4,MATCH(F301,Dim_Product!$A$2:$A$4,0))+0.11</f>
        <v>120.11</v>
      </c>
      <c r="T301" s="4">
        <f>IF(AND(S301&gt;=INDEX(Dim_Product!$K$2:$K$4,MATCH(F301,Dim_Product!$A$2:$A$4,0))-INDEX(Dim_Product!$L$2:$L$4,MATCH(F301,Dim_Product!$A$2:$A$4,0)),S301&lt;=INDEX(Dim_Product!$K$2:$K$4,MATCH(F301,Dim_Product!$A$2:$A$4,0))+INDEX(Dim_Product!$L$2:$L$4,MATCH(F301,Dim_Product!$A$2:$A$4,0))),G301-H301,G301-H301-1)</f>
        <v>24</v>
      </c>
      <c r="U301" s="4">
        <f t="shared" si="37"/>
        <v>0</v>
      </c>
      <c r="V301" s="4">
        <f t="shared" si="38"/>
        <v>0</v>
      </c>
      <c r="W301" s="19">
        <f t="shared" si="39"/>
        <v>1</v>
      </c>
    </row>
    <row r="302" spans="1:23" x14ac:dyDescent="0.25">
      <c r="A302" s="18" t="s">
        <v>803</v>
      </c>
      <c r="B302" s="4">
        <f>Fact_Production_Hourly!B302</f>
        <v>20260702</v>
      </c>
      <c r="C302" s="4">
        <f>Fact_Production_Hourly!C302</f>
        <v>18</v>
      </c>
      <c r="D302" s="4" t="str">
        <f>Fact_Production_Hourly!D302</f>
        <v>M7</v>
      </c>
      <c r="E302" s="4" t="str">
        <f>Fact_Production_Hourly!E302</f>
        <v>B-PM</v>
      </c>
      <c r="F302" s="4" t="str">
        <f>Fact_Production_Hourly!F302</f>
        <v>C</v>
      </c>
      <c r="G302" s="4">
        <f>INDEX(Dim_Machine!$D$2:$D$8,MATCH(D302,Dim_Machine!$A$2:$A$8,0))*2</f>
        <v>48</v>
      </c>
      <c r="H302" s="4">
        <f>ROUND(G302*0.0516,0)</f>
        <v>2</v>
      </c>
      <c r="I302" s="4">
        <f t="shared" si="32"/>
        <v>0</v>
      </c>
      <c r="J302" s="4">
        <f t="shared" si="33"/>
        <v>1</v>
      </c>
      <c r="K302" s="4">
        <f t="shared" si="34"/>
        <v>1</v>
      </c>
      <c r="L302" s="4" t="s">
        <v>498</v>
      </c>
      <c r="M302" s="4">
        <f>INDEX(Dim_Product!$C$2:$C$4,MATCH(F302,Dim_Product!$A$2:$A$4,0))+0.9</f>
        <v>200.9</v>
      </c>
      <c r="N302" s="4">
        <f>IF(AND(M302&gt;=INDEX(Dim_Product!$C$2:$C$4,MATCH(F302,Dim_Product!$A$2:$A$4,0))-INDEX(Dim_Product!$D$2:$D$4,MATCH(F302,Dim_Product!$A$2:$A$4,0)),M302&lt;=INDEX(Dim_Product!$C$2:$C$4,MATCH(F302,Dim_Product!$A$2:$A$4,0))+INDEX(Dim_Product!$D$2:$D$4,MATCH(F302,Dim_Product!$A$2:$A$4,0))),G302-H302,G302-H302-1)</f>
        <v>46</v>
      </c>
      <c r="O302" s="4">
        <f t="shared" si="35"/>
        <v>2</v>
      </c>
      <c r="P302" s="4">
        <f>INDEX(Dim_Product!$G$2:$G$4,MATCH(F302,Dim_Product!$A$2:$A$4,0))+-0.3</f>
        <v>64.7</v>
      </c>
      <c r="Q302" s="4">
        <f>IF(AND(P302&gt;=INDEX(Dim_Product!$G$2:$G$4,MATCH(F302,Dim_Product!$A$2:$A$4,0))-INDEX(Dim_Product!$H$2:$H$4,MATCH(F302,Dim_Product!$A$2:$A$4,0)),P302&lt;=INDEX(Dim_Product!$G$2:$G$4,MATCH(F302,Dim_Product!$A$2:$A$4,0))+INDEX(Dim_Product!$H$2:$H$4,MATCH(F302,Dim_Product!$A$2:$A$4,0))),G302-H302,G302-H302-1)</f>
        <v>46</v>
      </c>
      <c r="R302" s="4">
        <f t="shared" si="36"/>
        <v>2</v>
      </c>
      <c r="S302" s="4">
        <f>INDEX(Dim_Product!$K$2:$K$4,MATCH(F302,Dim_Product!$A$2:$A$4,0))+0.13</f>
        <v>110.13</v>
      </c>
      <c r="T302" s="4">
        <f>IF(AND(S302&gt;=INDEX(Dim_Product!$K$2:$K$4,MATCH(F302,Dim_Product!$A$2:$A$4,0))-INDEX(Dim_Product!$L$2:$L$4,MATCH(F302,Dim_Product!$A$2:$A$4,0)),S302&lt;=INDEX(Dim_Product!$K$2:$K$4,MATCH(F302,Dim_Product!$A$2:$A$4,0))+INDEX(Dim_Product!$L$2:$L$4,MATCH(F302,Dim_Product!$A$2:$A$4,0))),G302-H302,G302-H302-1)</f>
        <v>46</v>
      </c>
      <c r="U302" s="4">
        <f t="shared" si="37"/>
        <v>2</v>
      </c>
      <c r="V302" s="4">
        <f t="shared" si="38"/>
        <v>4.1666666666666664E-2</v>
      </c>
      <c r="W302" s="19">
        <f t="shared" si="39"/>
        <v>0.95833333333333337</v>
      </c>
    </row>
    <row r="303" spans="1:23" x14ac:dyDescent="0.25">
      <c r="A303" s="18" t="s">
        <v>804</v>
      </c>
      <c r="B303" s="4">
        <f>Fact_Production_Hourly!B303</f>
        <v>20260702</v>
      </c>
      <c r="C303" s="4">
        <f>Fact_Production_Hourly!C303</f>
        <v>19</v>
      </c>
      <c r="D303" s="4" t="str">
        <f>Fact_Production_Hourly!D303</f>
        <v>M1</v>
      </c>
      <c r="E303" s="4" t="str">
        <f>Fact_Production_Hourly!E303</f>
        <v>B-PM</v>
      </c>
      <c r="F303" s="4" t="str">
        <f>Fact_Production_Hourly!F303</f>
        <v>B</v>
      </c>
      <c r="G303" s="4">
        <f>INDEX(Dim_Machine!$D$2:$D$8,MATCH(D303,Dim_Machine!$A$2:$A$8,0))*2</f>
        <v>32</v>
      </c>
      <c r="H303" s="4">
        <f>ROUND(G303*0.0609,0)</f>
        <v>2</v>
      </c>
      <c r="I303" s="4">
        <f t="shared" si="32"/>
        <v>0</v>
      </c>
      <c r="J303" s="4">
        <f t="shared" si="33"/>
        <v>1</v>
      </c>
      <c r="K303" s="4">
        <f t="shared" si="34"/>
        <v>1</v>
      </c>
      <c r="L303" s="4" t="s">
        <v>520</v>
      </c>
      <c r="M303" s="4">
        <f>INDEX(Dim_Product!$C$2:$C$4,MATCH(F303,Dim_Product!$A$2:$A$4,0))+-0.38</f>
        <v>299.62</v>
      </c>
      <c r="N303" s="4">
        <f>IF(AND(M303&gt;=INDEX(Dim_Product!$C$2:$C$4,MATCH(F303,Dim_Product!$A$2:$A$4,0))-INDEX(Dim_Product!$D$2:$D$4,MATCH(F303,Dim_Product!$A$2:$A$4,0)),M303&lt;=INDEX(Dim_Product!$C$2:$C$4,MATCH(F303,Dim_Product!$A$2:$A$4,0))+INDEX(Dim_Product!$D$2:$D$4,MATCH(F303,Dim_Product!$A$2:$A$4,0))),G303-H303,G303-H303-1)</f>
        <v>30</v>
      </c>
      <c r="O303" s="4">
        <f t="shared" si="35"/>
        <v>2</v>
      </c>
      <c r="P303" s="4">
        <f>INDEX(Dim_Product!$G$2:$G$4,MATCH(F303,Dim_Product!$A$2:$A$4,0))+-0.18</f>
        <v>74.819999999999993</v>
      </c>
      <c r="Q303" s="4">
        <f>IF(AND(P303&gt;=INDEX(Dim_Product!$G$2:$G$4,MATCH(F303,Dim_Product!$A$2:$A$4,0))-INDEX(Dim_Product!$H$2:$H$4,MATCH(F303,Dim_Product!$A$2:$A$4,0)),P303&lt;=INDEX(Dim_Product!$G$2:$G$4,MATCH(F303,Dim_Product!$A$2:$A$4,0))+INDEX(Dim_Product!$H$2:$H$4,MATCH(F303,Dim_Product!$A$2:$A$4,0))),G303-H303,G303-H303-1)</f>
        <v>30</v>
      </c>
      <c r="R303" s="4">
        <f t="shared" si="36"/>
        <v>2</v>
      </c>
      <c r="S303" s="4">
        <f>INDEX(Dim_Product!$K$2:$K$4,MATCH(F303,Dim_Product!$A$2:$A$4,0))+0.39</f>
        <v>130.38999999999999</v>
      </c>
      <c r="T303" s="4">
        <f>IF(AND(S303&gt;=INDEX(Dim_Product!$K$2:$K$4,MATCH(F303,Dim_Product!$A$2:$A$4,0))-INDEX(Dim_Product!$L$2:$L$4,MATCH(F303,Dim_Product!$A$2:$A$4,0)),S303&lt;=INDEX(Dim_Product!$K$2:$K$4,MATCH(F303,Dim_Product!$A$2:$A$4,0))+INDEX(Dim_Product!$L$2:$L$4,MATCH(F303,Dim_Product!$A$2:$A$4,0))),G303-H303,G303-H303-1)</f>
        <v>30</v>
      </c>
      <c r="U303" s="4">
        <f t="shared" si="37"/>
        <v>2</v>
      </c>
      <c r="V303" s="4">
        <f t="shared" si="38"/>
        <v>6.25E-2</v>
      </c>
      <c r="W303" s="19">
        <f t="shared" si="39"/>
        <v>0.9375</v>
      </c>
    </row>
    <row r="304" spans="1:23" x14ac:dyDescent="0.25">
      <c r="A304" s="18" t="s">
        <v>805</v>
      </c>
      <c r="B304" s="4">
        <f>Fact_Production_Hourly!B304</f>
        <v>20260702</v>
      </c>
      <c r="C304" s="4">
        <f>Fact_Production_Hourly!C304</f>
        <v>19</v>
      </c>
      <c r="D304" s="4" t="str">
        <f>Fact_Production_Hourly!D304</f>
        <v>M2</v>
      </c>
      <c r="E304" s="4" t="str">
        <f>Fact_Production_Hourly!E304</f>
        <v>B-PM</v>
      </c>
      <c r="F304" s="4" t="str">
        <f>Fact_Production_Hourly!F304</f>
        <v>A</v>
      </c>
      <c r="G304" s="4">
        <f>INDEX(Dim_Machine!$D$2:$D$8,MATCH(D304,Dim_Machine!$A$2:$A$8,0))*2</f>
        <v>48</v>
      </c>
      <c r="H304" s="4">
        <f>ROUND(G304*0.0352,0)</f>
        <v>2</v>
      </c>
      <c r="I304" s="4">
        <f t="shared" si="32"/>
        <v>0</v>
      </c>
      <c r="J304" s="4">
        <f t="shared" si="33"/>
        <v>1</v>
      </c>
      <c r="K304" s="4">
        <f t="shared" si="34"/>
        <v>1</v>
      </c>
      <c r="L304" s="4" t="s">
        <v>498</v>
      </c>
      <c r="M304" s="4">
        <f>INDEX(Dim_Product!$C$2:$C$4,MATCH(F304,Dim_Product!$A$2:$A$4,0))+0.95</f>
        <v>250.95</v>
      </c>
      <c r="N304" s="4">
        <f>IF(AND(M304&gt;=INDEX(Dim_Product!$C$2:$C$4,MATCH(F304,Dim_Product!$A$2:$A$4,0))-INDEX(Dim_Product!$D$2:$D$4,MATCH(F304,Dim_Product!$A$2:$A$4,0)),M304&lt;=INDEX(Dim_Product!$C$2:$C$4,MATCH(F304,Dim_Product!$A$2:$A$4,0))+INDEX(Dim_Product!$D$2:$D$4,MATCH(F304,Dim_Product!$A$2:$A$4,0))),G304-H304,G304-H304-1)</f>
        <v>46</v>
      </c>
      <c r="O304" s="4">
        <f t="shared" si="35"/>
        <v>2</v>
      </c>
      <c r="P304" s="4">
        <f>INDEX(Dim_Product!$G$2:$G$4,MATCH(F304,Dim_Product!$A$2:$A$4,0))+-0.21</f>
        <v>69.790000000000006</v>
      </c>
      <c r="Q304" s="4">
        <f>IF(AND(P304&gt;=INDEX(Dim_Product!$G$2:$G$4,MATCH(F304,Dim_Product!$A$2:$A$4,0))-INDEX(Dim_Product!$H$2:$H$4,MATCH(F304,Dim_Product!$A$2:$A$4,0)),P304&lt;=INDEX(Dim_Product!$G$2:$G$4,MATCH(F304,Dim_Product!$A$2:$A$4,0))+INDEX(Dim_Product!$H$2:$H$4,MATCH(F304,Dim_Product!$A$2:$A$4,0))),G304-H304,G304-H304-1)</f>
        <v>46</v>
      </c>
      <c r="R304" s="4">
        <f t="shared" si="36"/>
        <v>2</v>
      </c>
      <c r="S304" s="4">
        <f>INDEX(Dim_Product!$K$2:$K$4,MATCH(F304,Dim_Product!$A$2:$A$4,0))+-0.18</f>
        <v>119.82</v>
      </c>
      <c r="T304" s="4">
        <f>IF(AND(S304&gt;=INDEX(Dim_Product!$K$2:$K$4,MATCH(F304,Dim_Product!$A$2:$A$4,0))-INDEX(Dim_Product!$L$2:$L$4,MATCH(F304,Dim_Product!$A$2:$A$4,0)),S304&lt;=INDEX(Dim_Product!$K$2:$K$4,MATCH(F304,Dim_Product!$A$2:$A$4,0))+INDEX(Dim_Product!$L$2:$L$4,MATCH(F304,Dim_Product!$A$2:$A$4,0))),G304-H304,G304-H304-1)</f>
        <v>46</v>
      </c>
      <c r="U304" s="4">
        <f t="shared" si="37"/>
        <v>2</v>
      </c>
      <c r="V304" s="4">
        <f t="shared" si="38"/>
        <v>4.1666666666666664E-2</v>
      </c>
      <c r="W304" s="19">
        <f t="shared" si="39"/>
        <v>0.95833333333333337</v>
      </c>
    </row>
    <row r="305" spans="1:23" x14ac:dyDescent="0.25">
      <c r="A305" s="18" t="s">
        <v>806</v>
      </c>
      <c r="B305" s="4">
        <f>Fact_Production_Hourly!B305</f>
        <v>20260702</v>
      </c>
      <c r="C305" s="4">
        <f>Fact_Production_Hourly!C305</f>
        <v>19</v>
      </c>
      <c r="D305" s="4" t="str">
        <f>Fact_Production_Hourly!D305</f>
        <v>M3</v>
      </c>
      <c r="E305" s="4" t="str">
        <f>Fact_Production_Hourly!E305</f>
        <v>B-PM</v>
      </c>
      <c r="F305" s="4" t="str">
        <f>Fact_Production_Hourly!F305</f>
        <v>A</v>
      </c>
      <c r="G305" s="4">
        <f>INDEX(Dim_Machine!$D$2:$D$8,MATCH(D305,Dim_Machine!$A$2:$A$8,0))*2</f>
        <v>24</v>
      </c>
      <c r="H305" s="4">
        <f>ROUND(G305*0.0126,0)</f>
        <v>0</v>
      </c>
      <c r="I305" s="4">
        <f t="shared" si="32"/>
        <v>0</v>
      </c>
      <c r="J305" s="4">
        <f t="shared" si="33"/>
        <v>0</v>
      </c>
      <c r="K305" s="4">
        <f t="shared" si="34"/>
        <v>0</v>
      </c>
      <c r="L305" s="4" t="s">
        <v>500</v>
      </c>
      <c r="M305" s="4">
        <f>INDEX(Dim_Product!$C$2:$C$4,MATCH(F305,Dim_Product!$A$2:$A$4,0))+0.79</f>
        <v>250.79</v>
      </c>
      <c r="N305" s="4">
        <f>IF(AND(M305&gt;=INDEX(Dim_Product!$C$2:$C$4,MATCH(F305,Dim_Product!$A$2:$A$4,0))-INDEX(Dim_Product!$D$2:$D$4,MATCH(F305,Dim_Product!$A$2:$A$4,0)),M305&lt;=INDEX(Dim_Product!$C$2:$C$4,MATCH(F305,Dim_Product!$A$2:$A$4,0))+INDEX(Dim_Product!$D$2:$D$4,MATCH(F305,Dim_Product!$A$2:$A$4,0))),G305-H305,G305-H305-1)</f>
        <v>24</v>
      </c>
      <c r="O305" s="4">
        <f t="shared" si="35"/>
        <v>0</v>
      </c>
      <c r="P305" s="4">
        <f>INDEX(Dim_Product!$G$2:$G$4,MATCH(F305,Dim_Product!$A$2:$A$4,0))+0.01</f>
        <v>70.010000000000005</v>
      </c>
      <c r="Q305" s="4">
        <f>IF(AND(P305&gt;=INDEX(Dim_Product!$G$2:$G$4,MATCH(F305,Dim_Product!$A$2:$A$4,0))-INDEX(Dim_Product!$H$2:$H$4,MATCH(F305,Dim_Product!$A$2:$A$4,0)),P305&lt;=INDEX(Dim_Product!$G$2:$G$4,MATCH(F305,Dim_Product!$A$2:$A$4,0))+INDEX(Dim_Product!$H$2:$H$4,MATCH(F305,Dim_Product!$A$2:$A$4,0))),G305-H305,G305-H305-1)</f>
        <v>24</v>
      </c>
      <c r="R305" s="4">
        <f t="shared" si="36"/>
        <v>0</v>
      </c>
      <c r="S305" s="4">
        <f>INDEX(Dim_Product!$K$2:$K$4,MATCH(F305,Dim_Product!$A$2:$A$4,0))+0.16</f>
        <v>120.16</v>
      </c>
      <c r="T305" s="4">
        <f>IF(AND(S305&gt;=INDEX(Dim_Product!$K$2:$K$4,MATCH(F305,Dim_Product!$A$2:$A$4,0))-INDEX(Dim_Product!$L$2:$L$4,MATCH(F305,Dim_Product!$A$2:$A$4,0)),S305&lt;=INDEX(Dim_Product!$K$2:$K$4,MATCH(F305,Dim_Product!$A$2:$A$4,0))+INDEX(Dim_Product!$L$2:$L$4,MATCH(F305,Dim_Product!$A$2:$A$4,0))),G305-H305,G305-H305-1)</f>
        <v>24</v>
      </c>
      <c r="U305" s="4">
        <f t="shared" si="37"/>
        <v>0</v>
      </c>
      <c r="V305" s="4">
        <f t="shared" si="38"/>
        <v>0</v>
      </c>
      <c r="W305" s="19">
        <f t="shared" si="39"/>
        <v>1</v>
      </c>
    </row>
    <row r="306" spans="1:23" x14ac:dyDescent="0.25">
      <c r="A306" s="18" t="s">
        <v>807</v>
      </c>
      <c r="B306" s="4">
        <f>Fact_Production_Hourly!B306</f>
        <v>20260702</v>
      </c>
      <c r="C306" s="4">
        <f>Fact_Production_Hourly!C306</f>
        <v>19</v>
      </c>
      <c r="D306" s="4" t="str">
        <f>Fact_Production_Hourly!D306</f>
        <v>M4</v>
      </c>
      <c r="E306" s="4" t="str">
        <f>Fact_Production_Hourly!E306</f>
        <v>B-PM</v>
      </c>
      <c r="F306" s="4" t="str">
        <f>Fact_Production_Hourly!F306</f>
        <v>C</v>
      </c>
      <c r="G306" s="4">
        <f>INDEX(Dim_Machine!$D$2:$D$8,MATCH(D306,Dim_Machine!$A$2:$A$8,0))*2</f>
        <v>48</v>
      </c>
      <c r="H306" s="4">
        <f>ROUND(G306*0.0323,0)</f>
        <v>2</v>
      </c>
      <c r="I306" s="4">
        <f t="shared" si="32"/>
        <v>0</v>
      </c>
      <c r="J306" s="4">
        <f t="shared" si="33"/>
        <v>1</v>
      </c>
      <c r="K306" s="4">
        <f t="shared" si="34"/>
        <v>1</v>
      </c>
      <c r="L306" s="4" t="s">
        <v>520</v>
      </c>
      <c r="M306" s="4">
        <f>INDEX(Dim_Product!$C$2:$C$4,MATCH(F306,Dim_Product!$A$2:$A$4,0))+-0.83</f>
        <v>199.17</v>
      </c>
      <c r="N306" s="4">
        <f>IF(AND(M306&gt;=INDEX(Dim_Product!$C$2:$C$4,MATCH(F306,Dim_Product!$A$2:$A$4,0))-INDEX(Dim_Product!$D$2:$D$4,MATCH(F306,Dim_Product!$A$2:$A$4,0)),M306&lt;=INDEX(Dim_Product!$C$2:$C$4,MATCH(F306,Dim_Product!$A$2:$A$4,0))+INDEX(Dim_Product!$D$2:$D$4,MATCH(F306,Dim_Product!$A$2:$A$4,0))),G306-H306,G306-H306-1)</f>
        <v>46</v>
      </c>
      <c r="O306" s="4">
        <f t="shared" si="35"/>
        <v>2</v>
      </c>
      <c r="P306" s="4">
        <f>INDEX(Dim_Product!$G$2:$G$4,MATCH(F306,Dim_Product!$A$2:$A$4,0))+-0.24</f>
        <v>64.760000000000005</v>
      </c>
      <c r="Q306" s="4">
        <f>IF(AND(P306&gt;=INDEX(Dim_Product!$G$2:$G$4,MATCH(F306,Dim_Product!$A$2:$A$4,0))-INDEX(Dim_Product!$H$2:$H$4,MATCH(F306,Dim_Product!$A$2:$A$4,0)),P306&lt;=INDEX(Dim_Product!$G$2:$G$4,MATCH(F306,Dim_Product!$A$2:$A$4,0))+INDEX(Dim_Product!$H$2:$H$4,MATCH(F306,Dim_Product!$A$2:$A$4,0))),G306-H306,G306-H306-1)</f>
        <v>46</v>
      </c>
      <c r="R306" s="4">
        <f t="shared" si="36"/>
        <v>2</v>
      </c>
      <c r="S306" s="4">
        <f>INDEX(Dim_Product!$K$2:$K$4,MATCH(F306,Dim_Product!$A$2:$A$4,0))+-0.29</f>
        <v>109.71</v>
      </c>
      <c r="T306" s="4">
        <f>IF(AND(S306&gt;=INDEX(Dim_Product!$K$2:$K$4,MATCH(F306,Dim_Product!$A$2:$A$4,0))-INDEX(Dim_Product!$L$2:$L$4,MATCH(F306,Dim_Product!$A$2:$A$4,0)),S306&lt;=INDEX(Dim_Product!$K$2:$K$4,MATCH(F306,Dim_Product!$A$2:$A$4,0))+INDEX(Dim_Product!$L$2:$L$4,MATCH(F306,Dim_Product!$A$2:$A$4,0))),G306-H306,G306-H306-1)</f>
        <v>46</v>
      </c>
      <c r="U306" s="4">
        <f t="shared" si="37"/>
        <v>2</v>
      </c>
      <c r="V306" s="4">
        <f t="shared" si="38"/>
        <v>4.1666666666666664E-2</v>
      </c>
      <c r="W306" s="19">
        <f t="shared" si="39"/>
        <v>0.95833333333333337</v>
      </c>
    </row>
    <row r="307" spans="1:23" x14ac:dyDescent="0.25">
      <c r="A307" s="18" t="s">
        <v>808</v>
      </c>
      <c r="B307" s="4">
        <f>Fact_Production_Hourly!B307</f>
        <v>20260702</v>
      </c>
      <c r="C307" s="4">
        <f>Fact_Production_Hourly!C307</f>
        <v>19</v>
      </c>
      <c r="D307" s="4" t="str">
        <f>Fact_Production_Hourly!D307</f>
        <v>M5</v>
      </c>
      <c r="E307" s="4" t="str">
        <f>Fact_Production_Hourly!E307</f>
        <v>B-PM</v>
      </c>
      <c r="F307" s="4" t="str">
        <f>Fact_Production_Hourly!F307</f>
        <v>A</v>
      </c>
      <c r="G307" s="4">
        <f>INDEX(Dim_Machine!$D$2:$D$8,MATCH(D307,Dim_Machine!$A$2:$A$8,0))*2</f>
        <v>32</v>
      </c>
      <c r="H307" s="4">
        <f>ROUND(G307*0.0592,0)</f>
        <v>2</v>
      </c>
      <c r="I307" s="4">
        <f t="shared" si="32"/>
        <v>0</v>
      </c>
      <c r="J307" s="4">
        <f t="shared" si="33"/>
        <v>1</v>
      </c>
      <c r="K307" s="4">
        <f t="shared" si="34"/>
        <v>1</v>
      </c>
      <c r="L307" s="4" t="s">
        <v>498</v>
      </c>
      <c r="M307" s="4">
        <f>INDEX(Dim_Product!$C$2:$C$4,MATCH(F307,Dim_Product!$A$2:$A$4,0))+0.18</f>
        <v>250.18</v>
      </c>
      <c r="N307" s="4">
        <f>IF(AND(M307&gt;=INDEX(Dim_Product!$C$2:$C$4,MATCH(F307,Dim_Product!$A$2:$A$4,0))-INDEX(Dim_Product!$D$2:$D$4,MATCH(F307,Dim_Product!$A$2:$A$4,0)),M307&lt;=INDEX(Dim_Product!$C$2:$C$4,MATCH(F307,Dim_Product!$A$2:$A$4,0))+INDEX(Dim_Product!$D$2:$D$4,MATCH(F307,Dim_Product!$A$2:$A$4,0))),G307-H307,G307-H307-1)</f>
        <v>30</v>
      </c>
      <c r="O307" s="4">
        <f t="shared" si="35"/>
        <v>2</v>
      </c>
      <c r="P307" s="4">
        <f>INDEX(Dim_Product!$G$2:$G$4,MATCH(F307,Dim_Product!$A$2:$A$4,0))+-0.26</f>
        <v>69.739999999999995</v>
      </c>
      <c r="Q307" s="4">
        <f>IF(AND(P307&gt;=INDEX(Dim_Product!$G$2:$G$4,MATCH(F307,Dim_Product!$A$2:$A$4,0))-INDEX(Dim_Product!$H$2:$H$4,MATCH(F307,Dim_Product!$A$2:$A$4,0)),P307&lt;=INDEX(Dim_Product!$G$2:$G$4,MATCH(F307,Dim_Product!$A$2:$A$4,0))+INDEX(Dim_Product!$H$2:$H$4,MATCH(F307,Dim_Product!$A$2:$A$4,0))),G307-H307,G307-H307-1)</f>
        <v>30</v>
      </c>
      <c r="R307" s="4">
        <f t="shared" si="36"/>
        <v>2</v>
      </c>
      <c r="S307" s="4">
        <f>INDEX(Dim_Product!$K$2:$K$4,MATCH(F307,Dim_Product!$A$2:$A$4,0))+0.13</f>
        <v>120.13</v>
      </c>
      <c r="T307" s="4">
        <f>IF(AND(S307&gt;=INDEX(Dim_Product!$K$2:$K$4,MATCH(F307,Dim_Product!$A$2:$A$4,0))-INDEX(Dim_Product!$L$2:$L$4,MATCH(F307,Dim_Product!$A$2:$A$4,0)),S307&lt;=INDEX(Dim_Product!$K$2:$K$4,MATCH(F307,Dim_Product!$A$2:$A$4,0))+INDEX(Dim_Product!$L$2:$L$4,MATCH(F307,Dim_Product!$A$2:$A$4,0))),G307-H307,G307-H307-1)</f>
        <v>30</v>
      </c>
      <c r="U307" s="4">
        <f t="shared" si="37"/>
        <v>2</v>
      </c>
      <c r="V307" s="4">
        <f t="shared" si="38"/>
        <v>6.25E-2</v>
      </c>
      <c r="W307" s="19">
        <f t="shared" si="39"/>
        <v>0.9375</v>
      </c>
    </row>
    <row r="308" spans="1:23" x14ac:dyDescent="0.25">
      <c r="A308" s="18" t="s">
        <v>809</v>
      </c>
      <c r="B308" s="4">
        <f>Fact_Production_Hourly!B308</f>
        <v>20260702</v>
      </c>
      <c r="C308" s="4">
        <f>Fact_Production_Hourly!C308</f>
        <v>19</v>
      </c>
      <c r="D308" s="4" t="str">
        <f>Fact_Production_Hourly!D308</f>
        <v>M6</v>
      </c>
      <c r="E308" s="4" t="str">
        <f>Fact_Production_Hourly!E308</f>
        <v>B-PM</v>
      </c>
      <c r="F308" s="4" t="str">
        <f>Fact_Production_Hourly!F308</f>
        <v>A</v>
      </c>
      <c r="G308" s="4">
        <f>INDEX(Dim_Machine!$D$2:$D$8,MATCH(D308,Dim_Machine!$A$2:$A$8,0))*2</f>
        <v>24</v>
      </c>
      <c r="H308" s="4">
        <f>ROUND(G308*0.0178,0)</f>
        <v>0</v>
      </c>
      <c r="I308" s="4">
        <f t="shared" si="32"/>
        <v>0</v>
      </c>
      <c r="J308" s="4">
        <f t="shared" si="33"/>
        <v>0</v>
      </c>
      <c r="K308" s="4">
        <f t="shared" si="34"/>
        <v>0</v>
      </c>
      <c r="L308" s="4" t="s">
        <v>517</v>
      </c>
      <c r="M308" s="4">
        <f>INDEX(Dim_Product!$C$2:$C$4,MATCH(F308,Dim_Product!$A$2:$A$4,0))+-0.48</f>
        <v>249.52</v>
      </c>
      <c r="N308" s="4">
        <f>IF(AND(M308&gt;=INDEX(Dim_Product!$C$2:$C$4,MATCH(F308,Dim_Product!$A$2:$A$4,0))-INDEX(Dim_Product!$D$2:$D$4,MATCH(F308,Dim_Product!$A$2:$A$4,0)),M308&lt;=INDEX(Dim_Product!$C$2:$C$4,MATCH(F308,Dim_Product!$A$2:$A$4,0))+INDEX(Dim_Product!$D$2:$D$4,MATCH(F308,Dim_Product!$A$2:$A$4,0))),G308-H308,G308-H308-1)</f>
        <v>24</v>
      </c>
      <c r="O308" s="4">
        <f t="shared" si="35"/>
        <v>0</v>
      </c>
      <c r="P308" s="4">
        <f>INDEX(Dim_Product!$G$2:$G$4,MATCH(F308,Dim_Product!$A$2:$A$4,0))+-0.11</f>
        <v>69.89</v>
      </c>
      <c r="Q308" s="4">
        <f>IF(AND(P308&gt;=INDEX(Dim_Product!$G$2:$G$4,MATCH(F308,Dim_Product!$A$2:$A$4,0))-INDEX(Dim_Product!$H$2:$H$4,MATCH(F308,Dim_Product!$A$2:$A$4,0)),P308&lt;=INDEX(Dim_Product!$G$2:$G$4,MATCH(F308,Dim_Product!$A$2:$A$4,0))+INDEX(Dim_Product!$H$2:$H$4,MATCH(F308,Dim_Product!$A$2:$A$4,0))),G308-H308,G308-H308-1)</f>
        <v>24</v>
      </c>
      <c r="R308" s="4">
        <f t="shared" si="36"/>
        <v>0</v>
      </c>
      <c r="S308" s="4">
        <f>INDEX(Dim_Product!$K$2:$K$4,MATCH(F308,Dim_Product!$A$2:$A$4,0))+0.24</f>
        <v>120.24</v>
      </c>
      <c r="T308" s="4">
        <f>IF(AND(S308&gt;=INDEX(Dim_Product!$K$2:$K$4,MATCH(F308,Dim_Product!$A$2:$A$4,0))-INDEX(Dim_Product!$L$2:$L$4,MATCH(F308,Dim_Product!$A$2:$A$4,0)),S308&lt;=INDEX(Dim_Product!$K$2:$K$4,MATCH(F308,Dim_Product!$A$2:$A$4,0))+INDEX(Dim_Product!$L$2:$L$4,MATCH(F308,Dim_Product!$A$2:$A$4,0))),G308-H308,G308-H308-1)</f>
        <v>24</v>
      </c>
      <c r="U308" s="4">
        <f t="shared" si="37"/>
        <v>0</v>
      </c>
      <c r="V308" s="4">
        <f t="shared" si="38"/>
        <v>0</v>
      </c>
      <c r="W308" s="19">
        <f t="shared" si="39"/>
        <v>1</v>
      </c>
    </row>
    <row r="309" spans="1:23" x14ac:dyDescent="0.25">
      <c r="A309" s="18" t="s">
        <v>810</v>
      </c>
      <c r="B309" s="4">
        <f>Fact_Production_Hourly!B309</f>
        <v>20260702</v>
      </c>
      <c r="C309" s="4">
        <f>Fact_Production_Hourly!C309</f>
        <v>19</v>
      </c>
      <c r="D309" s="4" t="str">
        <f>Fact_Production_Hourly!D309</f>
        <v>M7</v>
      </c>
      <c r="E309" s="4" t="str">
        <f>Fact_Production_Hourly!E309</f>
        <v>B-PM</v>
      </c>
      <c r="F309" s="4" t="str">
        <f>Fact_Production_Hourly!F309</f>
        <v>C</v>
      </c>
      <c r="G309" s="4">
        <f>INDEX(Dim_Machine!$D$2:$D$8,MATCH(D309,Dim_Machine!$A$2:$A$8,0))*2</f>
        <v>48</v>
      </c>
      <c r="H309" s="4">
        <f>ROUND(G309*0.052,0)</f>
        <v>2</v>
      </c>
      <c r="I309" s="4">
        <f t="shared" si="32"/>
        <v>0</v>
      </c>
      <c r="J309" s="4">
        <f t="shared" si="33"/>
        <v>1</v>
      </c>
      <c r="K309" s="4">
        <f t="shared" si="34"/>
        <v>1</v>
      </c>
      <c r="L309" s="4" t="s">
        <v>520</v>
      </c>
      <c r="M309" s="4">
        <f>INDEX(Dim_Product!$C$2:$C$4,MATCH(F309,Dim_Product!$A$2:$A$4,0))+-0.35</f>
        <v>199.65</v>
      </c>
      <c r="N309" s="4">
        <f>IF(AND(M309&gt;=INDEX(Dim_Product!$C$2:$C$4,MATCH(F309,Dim_Product!$A$2:$A$4,0))-INDEX(Dim_Product!$D$2:$D$4,MATCH(F309,Dim_Product!$A$2:$A$4,0)),M309&lt;=INDEX(Dim_Product!$C$2:$C$4,MATCH(F309,Dim_Product!$A$2:$A$4,0))+INDEX(Dim_Product!$D$2:$D$4,MATCH(F309,Dim_Product!$A$2:$A$4,0))),G309-H309,G309-H309-1)</f>
        <v>46</v>
      </c>
      <c r="O309" s="4">
        <f t="shared" si="35"/>
        <v>2</v>
      </c>
      <c r="P309" s="4">
        <f>INDEX(Dim_Product!$G$2:$G$4,MATCH(F309,Dim_Product!$A$2:$A$4,0))+-0.03</f>
        <v>64.97</v>
      </c>
      <c r="Q309" s="4">
        <f>IF(AND(P309&gt;=INDEX(Dim_Product!$G$2:$G$4,MATCH(F309,Dim_Product!$A$2:$A$4,0))-INDEX(Dim_Product!$H$2:$H$4,MATCH(F309,Dim_Product!$A$2:$A$4,0)),P309&lt;=INDEX(Dim_Product!$G$2:$G$4,MATCH(F309,Dim_Product!$A$2:$A$4,0))+INDEX(Dim_Product!$H$2:$H$4,MATCH(F309,Dim_Product!$A$2:$A$4,0))),G309-H309,G309-H309-1)</f>
        <v>46</v>
      </c>
      <c r="R309" s="4">
        <f t="shared" si="36"/>
        <v>2</v>
      </c>
      <c r="S309" s="4">
        <f>INDEX(Dim_Product!$K$2:$K$4,MATCH(F309,Dim_Product!$A$2:$A$4,0))+-0.21</f>
        <v>109.79</v>
      </c>
      <c r="T309" s="4">
        <f>IF(AND(S309&gt;=INDEX(Dim_Product!$K$2:$K$4,MATCH(F309,Dim_Product!$A$2:$A$4,0))-INDEX(Dim_Product!$L$2:$L$4,MATCH(F309,Dim_Product!$A$2:$A$4,0)),S309&lt;=INDEX(Dim_Product!$K$2:$K$4,MATCH(F309,Dim_Product!$A$2:$A$4,0))+INDEX(Dim_Product!$L$2:$L$4,MATCH(F309,Dim_Product!$A$2:$A$4,0))),G309-H309,G309-H309-1)</f>
        <v>46</v>
      </c>
      <c r="U309" s="4">
        <f t="shared" si="37"/>
        <v>2</v>
      </c>
      <c r="V309" s="4">
        <f t="shared" si="38"/>
        <v>4.1666666666666664E-2</v>
      </c>
      <c r="W309" s="19">
        <f t="shared" si="39"/>
        <v>0.95833333333333337</v>
      </c>
    </row>
    <row r="310" spans="1:23" x14ac:dyDescent="0.25">
      <c r="A310" s="18" t="s">
        <v>811</v>
      </c>
      <c r="B310" s="4">
        <f>Fact_Production_Hourly!B310</f>
        <v>20260702</v>
      </c>
      <c r="C310" s="4">
        <f>Fact_Production_Hourly!C310</f>
        <v>20</v>
      </c>
      <c r="D310" s="4" t="str">
        <f>Fact_Production_Hourly!D310</f>
        <v>M1</v>
      </c>
      <c r="E310" s="4" t="str">
        <f>Fact_Production_Hourly!E310</f>
        <v>B-PM</v>
      </c>
      <c r="F310" s="4" t="str">
        <f>Fact_Production_Hourly!F310</f>
        <v>B</v>
      </c>
      <c r="G310" s="4">
        <f>INDEX(Dim_Machine!$D$2:$D$8,MATCH(D310,Dim_Machine!$A$2:$A$8,0))*2</f>
        <v>32</v>
      </c>
      <c r="H310" s="4">
        <f>ROUND(G310*0.0666,0)</f>
        <v>2</v>
      </c>
      <c r="I310" s="4">
        <f t="shared" si="32"/>
        <v>0</v>
      </c>
      <c r="J310" s="4">
        <f t="shared" si="33"/>
        <v>1</v>
      </c>
      <c r="K310" s="4">
        <f t="shared" si="34"/>
        <v>1</v>
      </c>
      <c r="L310" s="4" t="s">
        <v>500</v>
      </c>
      <c r="M310" s="4">
        <f>INDEX(Dim_Product!$C$2:$C$4,MATCH(F310,Dim_Product!$A$2:$A$4,0))+0.56</f>
        <v>300.56</v>
      </c>
      <c r="N310" s="4">
        <f>IF(AND(M310&gt;=INDEX(Dim_Product!$C$2:$C$4,MATCH(F310,Dim_Product!$A$2:$A$4,0))-INDEX(Dim_Product!$D$2:$D$4,MATCH(F310,Dim_Product!$A$2:$A$4,0)),M310&lt;=INDEX(Dim_Product!$C$2:$C$4,MATCH(F310,Dim_Product!$A$2:$A$4,0))+INDEX(Dim_Product!$D$2:$D$4,MATCH(F310,Dim_Product!$A$2:$A$4,0))),G310-H310,G310-H310-1)</f>
        <v>30</v>
      </c>
      <c r="O310" s="4">
        <f t="shared" si="35"/>
        <v>2</v>
      </c>
      <c r="P310" s="4">
        <f>INDEX(Dim_Product!$G$2:$G$4,MATCH(F310,Dim_Product!$A$2:$A$4,0))+0.05</f>
        <v>75.05</v>
      </c>
      <c r="Q310" s="4">
        <f>IF(AND(P310&gt;=INDEX(Dim_Product!$G$2:$G$4,MATCH(F310,Dim_Product!$A$2:$A$4,0))-INDEX(Dim_Product!$H$2:$H$4,MATCH(F310,Dim_Product!$A$2:$A$4,0)),P310&lt;=INDEX(Dim_Product!$G$2:$G$4,MATCH(F310,Dim_Product!$A$2:$A$4,0))+INDEX(Dim_Product!$H$2:$H$4,MATCH(F310,Dim_Product!$A$2:$A$4,0))),G310-H310,G310-H310-1)</f>
        <v>30</v>
      </c>
      <c r="R310" s="4">
        <f t="shared" si="36"/>
        <v>2</v>
      </c>
      <c r="S310" s="4">
        <f>INDEX(Dim_Product!$K$2:$K$4,MATCH(F310,Dim_Product!$A$2:$A$4,0))+-0.28</f>
        <v>129.72</v>
      </c>
      <c r="T310" s="4">
        <f>IF(AND(S310&gt;=INDEX(Dim_Product!$K$2:$K$4,MATCH(F310,Dim_Product!$A$2:$A$4,0))-INDEX(Dim_Product!$L$2:$L$4,MATCH(F310,Dim_Product!$A$2:$A$4,0)),S310&lt;=INDEX(Dim_Product!$K$2:$K$4,MATCH(F310,Dim_Product!$A$2:$A$4,0))+INDEX(Dim_Product!$L$2:$L$4,MATCH(F310,Dim_Product!$A$2:$A$4,0))),G310-H310,G310-H310-1)</f>
        <v>30</v>
      </c>
      <c r="U310" s="4">
        <f t="shared" si="37"/>
        <v>2</v>
      </c>
      <c r="V310" s="4">
        <f t="shared" si="38"/>
        <v>6.25E-2</v>
      </c>
      <c r="W310" s="19">
        <f t="shared" si="39"/>
        <v>0.9375</v>
      </c>
    </row>
    <row r="311" spans="1:23" x14ac:dyDescent="0.25">
      <c r="A311" s="18" t="s">
        <v>812</v>
      </c>
      <c r="B311" s="4">
        <f>Fact_Production_Hourly!B311</f>
        <v>20260702</v>
      </c>
      <c r="C311" s="4">
        <f>Fact_Production_Hourly!C311</f>
        <v>20</v>
      </c>
      <c r="D311" s="4" t="str">
        <f>Fact_Production_Hourly!D311</f>
        <v>M2</v>
      </c>
      <c r="E311" s="4" t="str">
        <f>Fact_Production_Hourly!E311</f>
        <v>B-PM</v>
      </c>
      <c r="F311" s="4" t="str">
        <f>Fact_Production_Hourly!F311</f>
        <v>A</v>
      </c>
      <c r="G311" s="4">
        <f>INDEX(Dim_Machine!$D$2:$D$8,MATCH(D311,Dim_Machine!$A$2:$A$8,0))*2</f>
        <v>48</v>
      </c>
      <c r="H311" s="4">
        <f>ROUND(G311*0.0199,0)</f>
        <v>1</v>
      </c>
      <c r="I311" s="4">
        <f t="shared" si="32"/>
        <v>0</v>
      </c>
      <c r="J311" s="4">
        <f t="shared" si="33"/>
        <v>0</v>
      </c>
      <c r="K311" s="4">
        <f t="shared" si="34"/>
        <v>1</v>
      </c>
      <c r="L311" s="4" t="s">
        <v>503</v>
      </c>
      <c r="M311" s="4">
        <f>INDEX(Dim_Product!$C$2:$C$4,MATCH(F311,Dim_Product!$A$2:$A$4,0))+-0.37</f>
        <v>249.63</v>
      </c>
      <c r="N311" s="4">
        <f>IF(AND(M311&gt;=INDEX(Dim_Product!$C$2:$C$4,MATCH(F311,Dim_Product!$A$2:$A$4,0))-INDEX(Dim_Product!$D$2:$D$4,MATCH(F311,Dim_Product!$A$2:$A$4,0)),M311&lt;=INDEX(Dim_Product!$C$2:$C$4,MATCH(F311,Dim_Product!$A$2:$A$4,0))+INDEX(Dim_Product!$D$2:$D$4,MATCH(F311,Dim_Product!$A$2:$A$4,0))),G311-H311,G311-H311-1)</f>
        <v>47</v>
      </c>
      <c r="O311" s="4">
        <f t="shared" si="35"/>
        <v>1</v>
      </c>
      <c r="P311" s="4">
        <f>INDEX(Dim_Product!$G$2:$G$4,MATCH(F311,Dim_Product!$A$2:$A$4,0))+-0.23</f>
        <v>69.77</v>
      </c>
      <c r="Q311" s="4">
        <f>IF(AND(P311&gt;=INDEX(Dim_Product!$G$2:$G$4,MATCH(F311,Dim_Product!$A$2:$A$4,0))-INDEX(Dim_Product!$H$2:$H$4,MATCH(F311,Dim_Product!$A$2:$A$4,0)),P311&lt;=INDEX(Dim_Product!$G$2:$G$4,MATCH(F311,Dim_Product!$A$2:$A$4,0))+INDEX(Dim_Product!$H$2:$H$4,MATCH(F311,Dim_Product!$A$2:$A$4,0))),G311-H311,G311-H311-1)</f>
        <v>47</v>
      </c>
      <c r="R311" s="4">
        <f t="shared" si="36"/>
        <v>1</v>
      </c>
      <c r="S311" s="4">
        <f>INDEX(Dim_Product!$K$2:$K$4,MATCH(F311,Dim_Product!$A$2:$A$4,0))+-0.11</f>
        <v>119.89</v>
      </c>
      <c r="T311" s="4">
        <f>IF(AND(S311&gt;=INDEX(Dim_Product!$K$2:$K$4,MATCH(F311,Dim_Product!$A$2:$A$4,0))-INDEX(Dim_Product!$L$2:$L$4,MATCH(F311,Dim_Product!$A$2:$A$4,0)),S311&lt;=INDEX(Dim_Product!$K$2:$K$4,MATCH(F311,Dim_Product!$A$2:$A$4,0))+INDEX(Dim_Product!$L$2:$L$4,MATCH(F311,Dim_Product!$A$2:$A$4,0))),G311-H311,G311-H311-1)</f>
        <v>47</v>
      </c>
      <c r="U311" s="4">
        <f t="shared" si="37"/>
        <v>1</v>
      </c>
      <c r="V311" s="4">
        <f t="shared" si="38"/>
        <v>2.0833333333333332E-2</v>
      </c>
      <c r="W311" s="19">
        <f t="shared" si="39"/>
        <v>0.97916666666666663</v>
      </c>
    </row>
    <row r="312" spans="1:23" x14ac:dyDescent="0.25">
      <c r="A312" s="18" t="s">
        <v>813</v>
      </c>
      <c r="B312" s="4">
        <f>Fact_Production_Hourly!B312</f>
        <v>20260702</v>
      </c>
      <c r="C312" s="4">
        <f>Fact_Production_Hourly!C312</f>
        <v>20</v>
      </c>
      <c r="D312" s="4" t="str">
        <f>Fact_Production_Hourly!D312</f>
        <v>M3</v>
      </c>
      <c r="E312" s="4" t="str">
        <f>Fact_Production_Hourly!E312</f>
        <v>B-PM</v>
      </c>
      <c r="F312" s="4" t="str">
        <f>Fact_Production_Hourly!F312</f>
        <v>A</v>
      </c>
      <c r="G312" s="4">
        <f>INDEX(Dim_Machine!$D$2:$D$8,MATCH(D312,Dim_Machine!$A$2:$A$8,0))*2</f>
        <v>24</v>
      </c>
      <c r="H312" s="4">
        <f>ROUND(G312*0.0562,0)</f>
        <v>1</v>
      </c>
      <c r="I312" s="4">
        <f t="shared" si="32"/>
        <v>0</v>
      </c>
      <c r="J312" s="4">
        <f t="shared" si="33"/>
        <v>0</v>
      </c>
      <c r="K312" s="4">
        <f t="shared" si="34"/>
        <v>1</v>
      </c>
      <c r="L312" s="4" t="s">
        <v>503</v>
      </c>
      <c r="M312" s="4">
        <f>INDEX(Dim_Product!$C$2:$C$4,MATCH(F312,Dim_Product!$A$2:$A$4,0))+-0.38</f>
        <v>249.62</v>
      </c>
      <c r="N312" s="4">
        <f>IF(AND(M312&gt;=INDEX(Dim_Product!$C$2:$C$4,MATCH(F312,Dim_Product!$A$2:$A$4,0))-INDEX(Dim_Product!$D$2:$D$4,MATCH(F312,Dim_Product!$A$2:$A$4,0)),M312&lt;=INDEX(Dim_Product!$C$2:$C$4,MATCH(F312,Dim_Product!$A$2:$A$4,0))+INDEX(Dim_Product!$D$2:$D$4,MATCH(F312,Dim_Product!$A$2:$A$4,0))),G312-H312,G312-H312-1)</f>
        <v>23</v>
      </c>
      <c r="O312" s="4">
        <f t="shared" si="35"/>
        <v>1</v>
      </c>
      <c r="P312" s="4">
        <f>INDEX(Dim_Product!$G$2:$G$4,MATCH(F312,Dim_Product!$A$2:$A$4,0))+-0.14</f>
        <v>69.86</v>
      </c>
      <c r="Q312" s="4">
        <f>IF(AND(P312&gt;=INDEX(Dim_Product!$G$2:$G$4,MATCH(F312,Dim_Product!$A$2:$A$4,0))-INDEX(Dim_Product!$H$2:$H$4,MATCH(F312,Dim_Product!$A$2:$A$4,0)),P312&lt;=INDEX(Dim_Product!$G$2:$G$4,MATCH(F312,Dim_Product!$A$2:$A$4,0))+INDEX(Dim_Product!$H$2:$H$4,MATCH(F312,Dim_Product!$A$2:$A$4,0))),G312-H312,G312-H312-1)</f>
        <v>23</v>
      </c>
      <c r="R312" s="4">
        <f t="shared" si="36"/>
        <v>1</v>
      </c>
      <c r="S312" s="4">
        <f>INDEX(Dim_Product!$K$2:$K$4,MATCH(F312,Dim_Product!$A$2:$A$4,0))+-0.3</f>
        <v>119.7</v>
      </c>
      <c r="T312" s="4">
        <f>IF(AND(S312&gt;=INDEX(Dim_Product!$K$2:$K$4,MATCH(F312,Dim_Product!$A$2:$A$4,0))-INDEX(Dim_Product!$L$2:$L$4,MATCH(F312,Dim_Product!$A$2:$A$4,0)),S312&lt;=INDEX(Dim_Product!$K$2:$K$4,MATCH(F312,Dim_Product!$A$2:$A$4,0))+INDEX(Dim_Product!$L$2:$L$4,MATCH(F312,Dim_Product!$A$2:$A$4,0))),G312-H312,G312-H312-1)</f>
        <v>23</v>
      </c>
      <c r="U312" s="4">
        <f t="shared" si="37"/>
        <v>1</v>
      </c>
      <c r="V312" s="4">
        <f t="shared" si="38"/>
        <v>4.1666666666666664E-2</v>
      </c>
      <c r="W312" s="19">
        <f t="shared" si="39"/>
        <v>0.95833333333333337</v>
      </c>
    </row>
    <row r="313" spans="1:23" x14ac:dyDescent="0.25">
      <c r="A313" s="18" t="s">
        <v>814</v>
      </c>
      <c r="B313" s="4">
        <f>Fact_Production_Hourly!B313</f>
        <v>20260702</v>
      </c>
      <c r="C313" s="4">
        <f>Fact_Production_Hourly!C313</f>
        <v>20</v>
      </c>
      <c r="D313" s="4" t="str">
        <f>Fact_Production_Hourly!D313</f>
        <v>M4</v>
      </c>
      <c r="E313" s="4" t="str">
        <f>Fact_Production_Hourly!E313</f>
        <v>B-PM</v>
      </c>
      <c r="F313" s="4" t="str">
        <f>Fact_Production_Hourly!F313</f>
        <v>C</v>
      </c>
      <c r="G313" s="4">
        <f>INDEX(Dim_Machine!$D$2:$D$8,MATCH(D313,Dim_Machine!$A$2:$A$8,0))*2</f>
        <v>48</v>
      </c>
      <c r="H313" s="4">
        <f>ROUND(G313*0.0195,0)</f>
        <v>1</v>
      </c>
      <c r="I313" s="4">
        <f t="shared" si="32"/>
        <v>0</v>
      </c>
      <c r="J313" s="4">
        <f t="shared" si="33"/>
        <v>0</v>
      </c>
      <c r="K313" s="4">
        <f t="shared" si="34"/>
        <v>1</v>
      </c>
      <c r="L313" s="4" t="s">
        <v>520</v>
      </c>
      <c r="M313" s="4">
        <f>INDEX(Dim_Product!$C$2:$C$4,MATCH(F313,Dim_Product!$A$2:$A$4,0))+-0.39</f>
        <v>199.61</v>
      </c>
      <c r="N313" s="4">
        <f>IF(AND(M313&gt;=INDEX(Dim_Product!$C$2:$C$4,MATCH(F313,Dim_Product!$A$2:$A$4,0))-INDEX(Dim_Product!$D$2:$D$4,MATCH(F313,Dim_Product!$A$2:$A$4,0)),M313&lt;=INDEX(Dim_Product!$C$2:$C$4,MATCH(F313,Dim_Product!$A$2:$A$4,0))+INDEX(Dim_Product!$D$2:$D$4,MATCH(F313,Dim_Product!$A$2:$A$4,0))),G313-H313,G313-H313-1)</f>
        <v>47</v>
      </c>
      <c r="O313" s="4">
        <f t="shared" si="35"/>
        <v>1</v>
      </c>
      <c r="P313" s="4">
        <f>INDEX(Dim_Product!$G$2:$G$4,MATCH(F313,Dim_Product!$A$2:$A$4,0))+0.12</f>
        <v>65.12</v>
      </c>
      <c r="Q313" s="4">
        <f>IF(AND(P313&gt;=INDEX(Dim_Product!$G$2:$G$4,MATCH(F313,Dim_Product!$A$2:$A$4,0))-INDEX(Dim_Product!$H$2:$H$4,MATCH(F313,Dim_Product!$A$2:$A$4,0)),P313&lt;=INDEX(Dim_Product!$G$2:$G$4,MATCH(F313,Dim_Product!$A$2:$A$4,0))+INDEX(Dim_Product!$H$2:$H$4,MATCH(F313,Dim_Product!$A$2:$A$4,0))),G313-H313,G313-H313-1)</f>
        <v>47</v>
      </c>
      <c r="R313" s="4">
        <f t="shared" si="36"/>
        <v>1</v>
      </c>
      <c r="S313" s="4">
        <f>INDEX(Dim_Product!$K$2:$K$4,MATCH(F313,Dim_Product!$A$2:$A$4,0))+0.08</f>
        <v>110.08</v>
      </c>
      <c r="T313" s="4">
        <f>IF(AND(S313&gt;=INDEX(Dim_Product!$K$2:$K$4,MATCH(F313,Dim_Product!$A$2:$A$4,0))-INDEX(Dim_Product!$L$2:$L$4,MATCH(F313,Dim_Product!$A$2:$A$4,0)),S313&lt;=INDEX(Dim_Product!$K$2:$K$4,MATCH(F313,Dim_Product!$A$2:$A$4,0))+INDEX(Dim_Product!$L$2:$L$4,MATCH(F313,Dim_Product!$A$2:$A$4,0))),G313-H313,G313-H313-1)</f>
        <v>47</v>
      </c>
      <c r="U313" s="4">
        <f t="shared" si="37"/>
        <v>1</v>
      </c>
      <c r="V313" s="4">
        <f t="shared" si="38"/>
        <v>2.0833333333333332E-2</v>
      </c>
      <c r="W313" s="19">
        <f t="shared" si="39"/>
        <v>0.97916666666666663</v>
      </c>
    </row>
    <row r="314" spans="1:23" x14ac:dyDescent="0.25">
      <c r="A314" s="18" t="s">
        <v>815</v>
      </c>
      <c r="B314" s="4">
        <f>Fact_Production_Hourly!B314</f>
        <v>20260702</v>
      </c>
      <c r="C314" s="4">
        <f>Fact_Production_Hourly!C314</f>
        <v>20</v>
      </c>
      <c r="D314" s="4" t="str">
        <f>Fact_Production_Hourly!D314</f>
        <v>M5</v>
      </c>
      <c r="E314" s="4" t="str">
        <f>Fact_Production_Hourly!E314</f>
        <v>B-PM</v>
      </c>
      <c r="F314" s="4" t="str">
        <f>Fact_Production_Hourly!F314</f>
        <v>A</v>
      </c>
      <c r="G314" s="4">
        <f>INDEX(Dim_Machine!$D$2:$D$8,MATCH(D314,Dim_Machine!$A$2:$A$8,0))*2</f>
        <v>32</v>
      </c>
      <c r="H314" s="4">
        <f>ROUND(G314*0.0229,0)</f>
        <v>1</v>
      </c>
      <c r="I314" s="4">
        <f t="shared" si="32"/>
        <v>0</v>
      </c>
      <c r="J314" s="4">
        <f t="shared" si="33"/>
        <v>0</v>
      </c>
      <c r="K314" s="4">
        <f t="shared" si="34"/>
        <v>1</v>
      </c>
      <c r="L314" s="4" t="s">
        <v>517</v>
      </c>
      <c r="M314" s="4">
        <f>INDEX(Dim_Product!$C$2:$C$4,MATCH(F314,Dim_Product!$A$2:$A$4,0))+-0.7</f>
        <v>249.3</v>
      </c>
      <c r="N314" s="4">
        <f>IF(AND(M314&gt;=INDEX(Dim_Product!$C$2:$C$4,MATCH(F314,Dim_Product!$A$2:$A$4,0))-INDEX(Dim_Product!$D$2:$D$4,MATCH(F314,Dim_Product!$A$2:$A$4,0)),M314&lt;=INDEX(Dim_Product!$C$2:$C$4,MATCH(F314,Dim_Product!$A$2:$A$4,0))+INDEX(Dim_Product!$D$2:$D$4,MATCH(F314,Dim_Product!$A$2:$A$4,0))),G314-H314,G314-H314-1)</f>
        <v>31</v>
      </c>
      <c r="O314" s="4">
        <f t="shared" si="35"/>
        <v>1</v>
      </c>
      <c r="P314" s="4">
        <f>INDEX(Dim_Product!$G$2:$G$4,MATCH(F314,Dim_Product!$A$2:$A$4,0))+0.13</f>
        <v>70.13</v>
      </c>
      <c r="Q314" s="4">
        <f>IF(AND(P314&gt;=INDEX(Dim_Product!$G$2:$G$4,MATCH(F314,Dim_Product!$A$2:$A$4,0))-INDEX(Dim_Product!$H$2:$H$4,MATCH(F314,Dim_Product!$A$2:$A$4,0)),P314&lt;=INDEX(Dim_Product!$G$2:$G$4,MATCH(F314,Dim_Product!$A$2:$A$4,0))+INDEX(Dim_Product!$H$2:$H$4,MATCH(F314,Dim_Product!$A$2:$A$4,0))),G314-H314,G314-H314-1)</f>
        <v>31</v>
      </c>
      <c r="R314" s="4">
        <f t="shared" si="36"/>
        <v>1</v>
      </c>
      <c r="S314" s="4">
        <f>INDEX(Dim_Product!$K$2:$K$4,MATCH(F314,Dim_Product!$A$2:$A$4,0))+0.37</f>
        <v>120.37</v>
      </c>
      <c r="T314" s="4">
        <f>IF(AND(S314&gt;=INDEX(Dim_Product!$K$2:$K$4,MATCH(F314,Dim_Product!$A$2:$A$4,0))-INDEX(Dim_Product!$L$2:$L$4,MATCH(F314,Dim_Product!$A$2:$A$4,0)),S314&lt;=INDEX(Dim_Product!$K$2:$K$4,MATCH(F314,Dim_Product!$A$2:$A$4,0))+INDEX(Dim_Product!$L$2:$L$4,MATCH(F314,Dim_Product!$A$2:$A$4,0))),G314-H314,G314-H314-1)</f>
        <v>31</v>
      </c>
      <c r="U314" s="4">
        <f t="shared" si="37"/>
        <v>1</v>
      </c>
      <c r="V314" s="4">
        <f t="shared" si="38"/>
        <v>3.125E-2</v>
      </c>
      <c r="W314" s="19">
        <f t="shared" si="39"/>
        <v>0.96875</v>
      </c>
    </row>
    <row r="315" spans="1:23" x14ac:dyDescent="0.25">
      <c r="A315" s="18" t="s">
        <v>816</v>
      </c>
      <c r="B315" s="4">
        <f>Fact_Production_Hourly!B315</f>
        <v>20260702</v>
      </c>
      <c r="C315" s="4">
        <f>Fact_Production_Hourly!C315</f>
        <v>20</v>
      </c>
      <c r="D315" s="4" t="str">
        <f>Fact_Production_Hourly!D315</f>
        <v>M6</v>
      </c>
      <c r="E315" s="4" t="str">
        <f>Fact_Production_Hourly!E315</f>
        <v>B-PM</v>
      </c>
      <c r="F315" s="4" t="str">
        <f>Fact_Production_Hourly!F315</f>
        <v>A</v>
      </c>
      <c r="G315" s="4">
        <f>INDEX(Dim_Machine!$D$2:$D$8,MATCH(D315,Dim_Machine!$A$2:$A$8,0))*2</f>
        <v>24</v>
      </c>
      <c r="H315" s="4">
        <f>ROUND(G315*0.0338,0)</f>
        <v>1</v>
      </c>
      <c r="I315" s="4">
        <f t="shared" si="32"/>
        <v>0</v>
      </c>
      <c r="J315" s="4">
        <f t="shared" si="33"/>
        <v>0</v>
      </c>
      <c r="K315" s="4">
        <f t="shared" si="34"/>
        <v>1</v>
      </c>
      <c r="L315" s="4" t="s">
        <v>498</v>
      </c>
      <c r="M315" s="4">
        <f>INDEX(Dim_Product!$C$2:$C$4,MATCH(F315,Dim_Product!$A$2:$A$4,0))+0.35</f>
        <v>250.35</v>
      </c>
      <c r="N315" s="4">
        <f>IF(AND(M315&gt;=INDEX(Dim_Product!$C$2:$C$4,MATCH(F315,Dim_Product!$A$2:$A$4,0))-INDEX(Dim_Product!$D$2:$D$4,MATCH(F315,Dim_Product!$A$2:$A$4,0)),M315&lt;=INDEX(Dim_Product!$C$2:$C$4,MATCH(F315,Dim_Product!$A$2:$A$4,0))+INDEX(Dim_Product!$D$2:$D$4,MATCH(F315,Dim_Product!$A$2:$A$4,0))),G315-H315,G315-H315-1)</f>
        <v>23</v>
      </c>
      <c r="O315" s="4">
        <f t="shared" si="35"/>
        <v>1</v>
      </c>
      <c r="P315" s="4">
        <f>INDEX(Dim_Product!$G$2:$G$4,MATCH(F315,Dim_Product!$A$2:$A$4,0))+-0.14</f>
        <v>69.86</v>
      </c>
      <c r="Q315" s="4">
        <f>IF(AND(P315&gt;=INDEX(Dim_Product!$G$2:$G$4,MATCH(F315,Dim_Product!$A$2:$A$4,0))-INDEX(Dim_Product!$H$2:$H$4,MATCH(F315,Dim_Product!$A$2:$A$4,0)),P315&lt;=INDEX(Dim_Product!$G$2:$G$4,MATCH(F315,Dim_Product!$A$2:$A$4,0))+INDEX(Dim_Product!$H$2:$H$4,MATCH(F315,Dim_Product!$A$2:$A$4,0))),G315-H315,G315-H315-1)</f>
        <v>23</v>
      </c>
      <c r="R315" s="4">
        <f t="shared" si="36"/>
        <v>1</v>
      </c>
      <c r="S315" s="4">
        <f>INDEX(Dim_Product!$K$2:$K$4,MATCH(F315,Dim_Product!$A$2:$A$4,0))+0.39</f>
        <v>120.39</v>
      </c>
      <c r="T315" s="4">
        <f>IF(AND(S315&gt;=INDEX(Dim_Product!$K$2:$K$4,MATCH(F315,Dim_Product!$A$2:$A$4,0))-INDEX(Dim_Product!$L$2:$L$4,MATCH(F315,Dim_Product!$A$2:$A$4,0)),S315&lt;=INDEX(Dim_Product!$K$2:$K$4,MATCH(F315,Dim_Product!$A$2:$A$4,0))+INDEX(Dim_Product!$L$2:$L$4,MATCH(F315,Dim_Product!$A$2:$A$4,0))),G315-H315,G315-H315-1)</f>
        <v>23</v>
      </c>
      <c r="U315" s="4">
        <f t="shared" si="37"/>
        <v>1</v>
      </c>
      <c r="V315" s="4">
        <f t="shared" si="38"/>
        <v>4.1666666666666664E-2</v>
      </c>
      <c r="W315" s="19">
        <f t="shared" si="39"/>
        <v>0.95833333333333337</v>
      </c>
    </row>
    <row r="316" spans="1:23" x14ac:dyDescent="0.25">
      <c r="A316" s="18" t="s">
        <v>817</v>
      </c>
      <c r="B316" s="4">
        <f>Fact_Production_Hourly!B316</f>
        <v>20260702</v>
      </c>
      <c r="C316" s="4">
        <f>Fact_Production_Hourly!C316</f>
        <v>20</v>
      </c>
      <c r="D316" s="4" t="str">
        <f>Fact_Production_Hourly!D316</f>
        <v>M7</v>
      </c>
      <c r="E316" s="4" t="str">
        <f>Fact_Production_Hourly!E316</f>
        <v>B-PM</v>
      </c>
      <c r="F316" s="4" t="str">
        <f>Fact_Production_Hourly!F316</f>
        <v>C</v>
      </c>
      <c r="G316" s="4">
        <f>INDEX(Dim_Machine!$D$2:$D$8,MATCH(D316,Dim_Machine!$A$2:$A$8,0))*2</f>
        <v>48</v>
      </c>
      <c r="H316" s="4">
        <f>ROUND(G316*0.0119,0)</f>
        <v>1</v>
      </c>
      <c r="I316" s="4">
        <f t="shared" si="32"/>
        <v>0</v>
      </c>
      <c r="J316" s="4">
        <f t="shared" si="33"/>
        <v>0</v>
      </c>
      <c r="K316" s="4">
        <f t="shared" si="34"/>
        <v>1</v>
      </c>
      <c r="L316" s="4" t="s">
        <v>503</v>
      </c>
      <c r="M316" s="4">
        <f>INDEX(Dim_Product!$C$2:$C$4,MATCH(F316,Dim_Product!$A$2:$A$4,0))+0.71</f>
        <v>200.71</v>
      </c>
      <c r="N316" s="4">
        <f>IF(AND(M316&gt;=INDEX(Dim_Product!$C$2:$C$4,MATCH(F316,Dim_Product!$A$2:$A$4,0))-INDEX(Dim_Product!$D$2:$D$4,MATCH(F316,Dim_Product!$A$2:$A$4,0)),M316&lt;=INDEX(Dim_Product!$C$2:$C$4,MATCH(F316,Dim_Product!$A$2:$A$4,0))+INDEX(Dim_Product!$D$2:$D$4,MATCH(F316,Dim_Product!$A$2:$A$4,0))),G316-H316,G316-H316-1)</f>
        <v>47</v>
      </c>
      <c r="O316" s="4">
        <f t="shared" si="35"/>
        <v>1</v>
      </c>
      <c r="P316" s="4">
        <f>INDEX(Dim_Product!$G$2:$G$4,MATCH(F316,Dim_Product!$A$2:$A$4,0))+0.03</f>
        <v>65.03</v>
      </c>
      <c r="Q316" s="4">
        <f>IF(AND(P316&gt;=INDEX(Dim_Product!$G$2:$G$4,MATCH(F316,Dim_Product!$A$2:$A$4,0))-INDEX(Dim_Product!$H$2:$H$4,MATCH(F316,Dim_Product!$A$2:$A$4,0)),P316&lt;=INDEX(Dim_Product!$G$2:$G$4,MATCH(F316,Dim_Product!$A$2:$A$4,0))+INDEX(Dim_Product!$H$2:$H$4,MATCH(F316,Dim_Product!$A$2:$A$4,0))),G316-H316,G316-H316-1)</f>
        <v>47</v>
      </c>
      <c r="R316" s="4">
        <f t="shared" si="36"/>
        <v>1</v>
      </c>
      <c r="S316" s="4">
        <f>INDEX(Dim_Product!$K$2:$K$4,MATCH(F316,Dim_Product!$A$2:$A$4,0))+0.04</f>
        <v>110.04</v>
      </c>
      <c r="T316" s="4">
        <f>IF(AND(S316&gt;=INDEX(Dim_Product!$K$2:$K$4,MATCH(F316,Dim_Product!$A$2:$A$4,0))-INDEX(Dim_Product!$L$2:$L$4,MATCH(F316,Dim_Product!$A$2:$A$4,0)),S316&lt;=INDEX(Dim_Product!$K$2:$K$4,MATCH(F316,Dim_Product!$A$2:$A$4,0))+INDEX(Dim_Product!$L$2:$L$4,MATCH(F316,Dim_Product!$A$2:$A$4,0))),G316-H316,G316-H316-1)</f>
        <v>47</v>
      </c>
      <c r="U316" s="4">
        <f t="shared" si="37"/>
        <v>1</v>
      </c>
      <c r="V316" s="4">
        <f t="shared" si="38"/>
        <v>2.0833333333333332E-2</v>
      </c>
      <c r="W316" s="19">
        <f t="shared" si="39"/>
        <v>0.97916666666666663</v>
      </c>
    </row>
    <row r="317" spans="1:23" x14ac:dyDescent="0.25">
      <c r="A317" s="18" t="s">
        <v>818</v>
      </c>
      <c r="B317" s="4">
        <f>Fact_Production_Hourly!B317</f>
        <v>20260702</v>
      </c>
      <c r="C317" s="4">
        <f>Fact_Production_Hourly!C317</f>
        <v>21</v>
      </c>
      <c r="D317" s="4" t="str">
        <f>Fact_Production_Hourly!D317</f>
        <v>M1</v>
      </c>
      <c r="E317" s="4" t="str">
        <f>Fact_Production_Hourly!E317</f>
        <v>B-PM</v>
      </c>
      <c r="F317" s="4" t="str">
        <f>Fact_Production_Hourly!F317</f>
        <v>B</v>
      </c>
      <c r="G317" s="4">
        <f>INDEX(Dim_Machine!$D$2:$D$8,MATCH(D317,Dim_Machine!$A$2:$A$8,0))*2</f>
        <v>32</v>
      </c>
      <c r="H317" s="4">
        <f>ROUND(G317*0.0157,0)</f>
        <v>1</v>
      </c>
      <c r="I317" s="4">
        <f t="shared" si="32"/>
        <v>0</v>
      </c>
      <c r="J317" s="4">
        <f t="shared" si="33"/>
        <v>0</v>
      </c>
      <c r="K317" s="4">
        <f t="shared" si="34"/>
        <v>1</v>
      </c>
      <c r="L317" s="4" t="s">
        <v>498</v>
      </c>
      <c r="M317" s="4">
        <f>INDEX(Dim_Product!$C$2:$C$4,MATCH(F317,Dim_Product!$A$2:$A$4,0))+0.61</f>
        <v>300.61</v>
      </c>
      <c r="N317" s="4">
        <f>IF(AND(M317&gt;=INDEX(Dim_Product!$C$2:$C$4,MATCH(F317,Dim_Product!$A$2:$A$4,0))-INDEX(Dim_Product!$D$2:$D$4,MATCH(F317,Dim_Product!$A$2:$A$4,0)),M317&lt;=INDEX(Dim_Product!$C$2:$C$4,MATCH(F317,Dim_Product!$A$2:$A$4,0))+INDEX(Dim_Product!$D$2:$D$4,MATCH(F317,Dim_Product!$A$2:$A$4,0))),G317-H317,G317-H317-1)</f>
        <v>31</v>
      </c>
      <c r="O317" s="4">
        <f t="shared" si="35"/>
        <v>1</v>
      </c>
      <c r="P317" s="4">
        <f>INDEX(Dim_Product!$G$2:$G$4,MATCH(F317,Dim_Product!$A$2:$A$4,0))+-0.22</f>
        <v>74.78</v>
      </c>
      <c r="Q317" s="4">
        <f>IF(AND(P317&gt;=INDEX(Dim_Product!$G$2:$G$4,MATCH(F317,Dim_Product!$A$2:$A$4,0))-INDEX(Dim_Product!$H$2:$H$4,MATCH(F317,Dim_Product!$A$2:$A$4,0)),P317&lt;=INDEX(Dim_Product!$G$2:$G$4,MATCH(F317,Dim_Product!$A$2:$A$4,0))+INDEX(Dim_Product!$H$2:$H$4,MATCH(F317,Dim_Product!$A$2:$A$4,0))),G317-H317,G317-H317-1)</f>
        <v>31</v>
      </c>
      <c r="R317" s="4">
        <f t="shared" si="36"/>
        <v>1</v>
      </c>
      <c r="S317" s="4">
        <f>INDEX(Dim_Product!$K$2:$K$4,MATCH(F317,Dim_Product!$A$2:$A$4,0))+-0.39</f>
        <v>129.61000000000001</v>
      </c>
      <c r="T317" s="4">
        <f>IF(AND(S317&gt;=INDEX(Dim_Product!$K$2:$K$4,MATCH(F317,Dim_Product!$A$2:$A$4,0))-INDEX(Dim_Product!$L$2:$L$4,MATCH(F317,Dim_Product!$A$2:$A$4,0)),S317&lt;=INDEX(Dim_Product!$K$2:$K$4,MATCH(F317,Dim_Product!$A$2:$A$4,0))+INDEX(Dim_Product!$L$2:$L$4,MATCH(F317,Dim_Product!$A$2:$A$4,0))),G317-H317,G317-H317-1)</f>
        <v>31</v>
      </c>
      <c r="U317" s="4">
        <f t="shared" si="37"/>
        <v>1</v>
      </c>
      <c r="V317" s="4">
        <f t="shared" si="38"/>
        <v>3.125E-2</v>
      </c>
      <c r="W317" s="19">
        <f t="shared" si="39"/>
        <v>0.96875</v>
      </c>
    </row>
    <row r="318" spans="1:23" x14ac:dyDescent="0.25">
      <c r="A318" s="18" t="s">
        <v>819</v>
      </c>
      <c r="B318" s="4">
        <f>Fact_Production_Hourly!B318</f>
        <v>20260702</v>
      </c>
      <c r="C318" s="4">
        <f>Fact_Production_Hourly!C318</f>
        <v>21</v>
      </c>
      <c r="D318" s="4" t="str">
        <f>Fact_Production_Hourly!D318</f>
        <v>M2</v>
      </c>
      <c r="E318" s="4" t="str">
        <f>Fact_Production_Hourly!E318</f>
        <v>B-PM</v>
      </c>
      <c r="F318" s="4" t="str">
        <f>Fact_Production_Hourly!F318</f>
        <v>A</v>
      </c>
      <c r="G318" s="4">
        <f>INDEX(Dim_Machine!$D$2:$D$8,MATCH(D318,Dim_Machine!$A$2:$A$8,0))*2</f>
        <v>48</v>
      </c>
      <c r="H318" s="4">
        <f>ROUND(G318*0.0598,0)</f>
        <v>3</v>
      </c>
      <c r="I318" s="4">
        <f t="shared" si="32"/>
        <v>0</v>
      </c>
      <c r="J318" s="4">
        <f t="shared" si="33"/>
        <v>1</v>
      </c>
      <c r="K318" s="4">
        <f t="shared" si="34"/>
        <v>2</v>
      </c>
      <c r="L318" s="4" t="s">
        <v>500</v>
      </c>
      <c r="M318" s="4">
        <f>INDEX(Dim_Product!$C$2:$C$4,MATCH(F318,Dim_Product!$A$2:$A$4,0))+-0.74</f>
        <v>249.26</v>
      </c>
      <c r="N318" s="4">
        <f>IF(AND(M318&gt;=INDEX(Dim_Product!$C$2:$C$4,MATCH(F318,Dim_Product!$A$2:$A$4,0))-INDEX(Dim_Product!$D$2:$D$4,MATCH(F318,Dim_Product!$A$2:$A$4,0)),M318&lt;=INDEX(Dim_Product!$C$2:$C$4,MATCH(F318,Dim_Product!$A$2:$A$4,0))+INDEX(Dim_Product!$D$2:$D$4,MATCH(F318,Dim_Product!$A$2:$A$4,0))),G318-H318,G318-H318-1)</f>
        <v>45</v>
      </c>
      <c r="O318" s="4">
        <f t="shared" si="35"/>
        <v>3</v>
      </c>
      <c r="P318" s="4">
        <f>INDEX(Dim_Product!$G$2:$G$4,MATCH(F318,Dim_Product!$A$2:$A$4,0))+0.19</f>
        <v>70.19</v>
      </c>
      <c r="Q318" s="4">
        <f>IF(AND(P318&gt;=INDEX(Dim_Product!$G$2:$G$4,MATCH(F318,Dim_Product!$A$2:$A$4,0))-INDEX(Dim_Product!$H$2:$H$4,MATCH(F318,Dim_Product!$A$2:$A$4,0)),P318&lt;=INDEX(Dim_Product!$G$2:$G$4,MATCH(F318,Dim_Product!$A$2:$A$4,0))+INDEX(Dim_Product!$H$2:$H$4,MATCH(F318,Dim_Product!$A$2:$A$4,0))),G318-H318,G318-H318-1)</f>
        <v>45</v>
      </c>
      <c r="R318" s="4">
        <f t="shared" si="36"/>
        <v>3</v>
      </c>
      <c r="S318" s="4">
        <f>INDEX(Dim_Product!$K$2:$K$4,MATCH(F318,Dim_Product!$A$2:$A$4,0))+-0.1</f>
        <v>119.9</v>
      </c>
      <c r="T318" s="4">
        <f>IF(AND(S318&gt;=INDEX(Dim_Product!$K$2:$K$4,MATCH(F318,Dim_Product!$A$2:$A$4,0))-INDEX(Dim_Product!$L$2:$L$4,MATCH(F318,Dim_Product!$A$2:$A$4,0)),S318&lt;=INDEX(Dim_Product!$K$2:$K$4,MATCH(F318,Dim_Product!$A$2:$A$4,0))+INDEX(Dim_Product!$L$2:$L$4,MATCH(F318,Dim_Product!$A$2:$A$4,0))),G318-H318,G318-H318-1)</f>
        <v>45</v>
      </c>
      <c r="U318" s="4">
        <f t="shared" si="37"/>
        <v>3</v>
      </c>
      <c r="V318" s="4">
        <f t="shared" si="38"/>
        <v>6.25E-2</v>
      </c>
      <c r="W318" s="19">
        <f t="shared" si="39"/>
        <v>0.9375</v>
      </c>
    </row>
    <row r="319" spans="1:23" x14ac:dyDescent="0.25">
      <c r="A319" s="18" t="s">
        <v>820</v>
      </c>
      <c r="B319" s="4">
        <f>Fact_Production_Hourly!B319</f>
        <v>20260702</v>
      </c>
      <c r="C319" s="4">
        <f>Fact_Production_Hourly!C319</f>
        <v>21</v>
      </c>
      <c r="D319" s="4" t="str">
        <f>Fact_Production_Hourly!D319</f>
        <v>M3</v>
      </c>
      <c r="E319" s="4" t="str">
        <f>Fact_Production_Hourly!E319</f>
        <v>B-PM</v>
      </c>
      <c r="F319" s="4" t="str">
        <f>Fact_Production_Hourly!F319</f>
        <v>A</v>
      </c>
      <c r="G319" s="4">
        <f>INDEX(Dim_Machine!$D$2:$D$8,MATCH(D319,Dim_Machine!$A$2:$A$8,0))*2</f>
        <v>24</v>
      </c>
      <c r="H319" s="4">
        <f>ROUND(G319*0.0478,0)</f>
        <v>1</v>
      </c>
      <c r="I319" s="4">
        <f t="shared" si="32"/>
        <v>0</v>
      </c>
      <c r="J319" s="4">
        <f t="shared" si="33"/>
        <v>0</v>
      </c>
      <c r="K319" s="4">
        <f t="shared" si="34"/>
        <v>1</v>
      </c>
      <c r="L319" s="4" t="s">
        <v>520</v>
      </c>
      <c r="M319" s="4">
        <f>INDEX(Dim_Product!$C$2:$C$4,MATCH(F319,Dim_Product!$A$2:$A$4,0))+-0.83</f>
        <v>249.17</v>
      </c>
      <c r="N319" s="4">
        <f>IF(AND(M319&gt;=INDEX(Dim_Product!$C$2:$C$4,MATCH(F319,Dim_Product!$A$2:$A$4,0))-INDEX(Dim_Product!$D$2:$D$4,MATCH(F319,Dim_Product!$A$2:$A$4,0)),M319&lt;=INDEX(Dim_Product!$C$2:$C$4,MATCH(F319,Dim_Product!$A$2:$A$4,0))+INDEX(Dim_Product!$D$2:$D$4,MATCH(F319,Dim_Product!$A$2:$A$4,0))),G319-H319,G319-H319-1)</f>
        <v>23</v>
      </c>
      <c r="O319" s="4">
        <f t="shared" si="35"/>
        <v>1</v>
      </c>
      <c r="P319" s="4">
        <f>INDEX(Dim_Product!$G$2:$G$4,MATCH(F319,Dim_Product!$A$2:$A$4,0))+0.05</f>
        <v>70.05</v>
      </c>
      <c r="Q319" s="4">
        <f>IF(AND(P319&gt;=INDEX(Dim_Product!$G$2:$G$4,MATCH(F319,Dim_Product!$A$2:$A$4,0))-INDEX(Dim_Product!$H$2:$H$4,MATCH(F319,Dim_Product!$A$2:$A$4,0)),P319&lt;=INDEX(Dim_Product!$G$2:$G$4,MATCH(F319,Dim_Product!$A$2:$A$4,0))+INDEX(Dim_Product!$H$2:$H$4,MATCH(F319,Dim_Product!$A$2:$A$4,0))),G319-H319,G319-H319-1)</f>
        <v>23</v>
      </c>
      <c r="R319" s="4">
        <f t="shared" si="36"/>
        <v>1</v>
      </c>
      <c r="S319" s="4">
        <f>INDEX(Dim_Product!$K$2:$K$4,MATCH(F319,Dim_Product!$A$2:$A$4,0))+0.33</f>
        <v>120.33</v>
      </c>
      <c r="T319" s="4">
        <f>IF(AND(S319&gt;=INDEX(Dim_Product!$K$2:$K$4,MATCH(F319,Dim_Product!$A$2:$A$4,0))-INDEX(Dim_Product!$L$2:$L$4,MATCH(F319,Dim_Product!$A$2:$A$4,0)),S319&lt;=INDEX(Dim_Product!$K$2:$K$4,MATCH(F319,Dim_Product!$A$2:$A$4,0))+INDEX(Dim_Product!$L$2:$L$4,MATCH(F319,Dim_Product!$A$2:$A$4,0))),G319-H319,G319-H319-1)</f>
        <v>23</v>
      </c>
      <c r="U319" s="4">
        <f t="shared" si="37"/>
        <v>1</v>
      </c>
      <c r="V319" s="4">
        <f t="shared" si="38"/>
        <v>4.1666666666666664E-2</v>
      </c>
      <c r="W319" s="19">
        <f t="shared" si="39"/>
        <v>0.95833333333333337</v>
      </c>
    </row>
    <row r="320" spans="1:23" x14ac:dyDescent="0.25">
      <c r="A320" s="18" t="s">
        <v>821</v>
      </c>
      <c r="B320" s="4">
        <f>Fact_Production_Hourly!B320</f>
        <v>20260702</v>
      </c>
      <c r="C320" s="4">
        <f>Fact_Production_Hourly!C320</f>
        <v>21</v>
      </c>
      <c r="D320" s="4" t="str">
        <f>Fact_Production_Hourly!D320</f>
        <v>M4</v>
      </c>
      <c r="E320" s="4" t="str">
        <f>Fact_Production_Hourly!E320</f>
        <v>B-PM</v>
      </c>
      <c r="F320" s="4" t="str">
        <f>Fact_Production_Hourly!F320</f>
        <v>C</v>
      </c>
      <c r="G320" s="4">
        <f>INDEX(Dim_Machine!$D$2:$D$8,MATCH(D320,Dim_Machine!$A$2:$A$8,0))*2</f>
        <v>48</v>
      </c>
      <c r="H320" s="4">
        <f>ROUND(G320*0.0145,0)</f>
        <v>1</v>
      </c>
      <c r="I320" s="4">
        <f t="shared" si="32"/>
        <v>0</v>
      </c>
      <c r="J320" s="4">
        <f t="shared" si="33"/>
        <v>0</v>
      </c>
      <c r="K320" s="4">
        <f t="shared" si="34"/>
        <v>1</v>
      </c>
      <c r="L320" s="4" t="s">
        <v>498</v>
      </c>
      <c r="M320" s="4">
        <f>INDEX(Dim_Product!$C$2:$C$4,MATCH(F320,Dim_Product!$A$2:$A$4,0))+-0.6</f>
        <v>199.4</v>
      </c>
      <c r="N320" s="4">
        <f>IF(AND(M320&gt;=INDEX(Dim_Product!$C$2:$C$4,MATCH(F320,Dim_Product!$A$2:$A$4,0))-INDEX(Dim_Product!$D$2:$D$4,MATCH(F320,Dim_Product!$A$2:$A$4,0)),M320&lt;=INDEX(Dim_Product!$C$2:$C$4,MATCH(F320,Dim_Product!$A$2:$A$4,0))+INDEX(Dim_Product!$D$2:$D$4,MATCH(F320,Dim_Product!$A$2:$A$4,0))),G320-H320,G320-H320-1)</f>
        <v>47</v>
      </c>
      <c r="O320" s="4">
        <f t="shared" si="35"/>
        <v>1</v>
      </c>
      <c r="P320" s="4">
        <f>INDEX(Dim_Product!$G$2:$G$4,MATCH(F320,Dim_Product!$A$2:$A$4,0))+0.09</f>
        <v>65.09</v>
      </c>
      <c r="Q320" s="4">
        <f>IF(AND(P320&gt;=INDEX(Dim_Product!$G$2:$G$4,MATCH(F320,Dim_Product!$A$2:$A$4,0))-INDEX(Dim_Product!$H$2:$H$4,MATCH(F320,Dim_Product!$A$2:$A$4,0)),P320&lt;=INDEX(Dim_Product!$G$2:$G$4,MATCH(F320,Dim_Product!$A$2:$A$4,0))+INDEX(Dim_Product!$H$2:$H$4,MATCH(F320,Dim_Product!$A$2:$A$4,0))),G320-H320,G320-H320-1)</f>
        <v>47</v>
      </c>
      <c r="R320" s="4">
        <f t="shared" si="36"/>
        <v>1</v>
      </c>
      <c r="S320" s="4">
        <f>INDEX(Dim_Product!$K$2:$K$4,MATCH(F320,Dim_Product!$A$2:$A$4,0))+0.25</f>
        <v>110.25</v>
      </c>
      <c r="T320" s="4">
        <f>IF(AND(S320&gt;=INDEX(Dim_Product!$K$2:$K$4,MATCH(F320,Dim_Product!$A$2:$A$4,0))-INDEX(Dim_Product!$L$2:$L$4,MATCH(F320,Dim_Product!$A$2:$A$4,0)),S320&lt;=INDEX(Dim_Product!$K$2:$K$4,MATCH(F320,Dim_Product!$A$2:$A$4,0))+INDEX(Dim_Product!$L$2:$L$4,MATCH(F320,Dim_Product!$A$2:$A$4,0))),G320-H320,G320-H320-1)</f>
        <v>47</v>
      </c>
      <c r="U320" s="4">
        <f t="shared" si="37"/>
        <v>1</v>
      </c>
      <c r="V320" s="4">
        <f t="shared" si="38"/>
        <v>2.0833333333333332E-2</v>
      </c>
      <c r="W320" s="19">
        <f t="shared" si="39"/>
        <v>0.97916666666666663</v>
      </c>
    </row>
    <row r="321" spans="1:23" x14ac:dyDescent="0.25">
      <c r="A321" s="18" t="s">
        <v>822</v>
      </c>
      <c r="B321" s="4">
        <f>Fact_Production_Hourly!B321</f>
        <v>20260702</v>
      </c>
      <c r="C321" s="4">
        <f>Fact_Production_Hourly!C321</f>
        <v>21</v>
      </c>
      <c r="D321" s="4" t="str">
        <f>Fact_Production_Hourly!D321</f>
        <v>M5</v>
      </c>
      <c r="E321" s="4" t="str">
        <f>Fact_Production_Hourly!E321</f>
        <v>B-PM</v>
      </c>
      <c r="F321" s="4" t="str">
        <f>Fact_Production_Hourly!F321</f>
        <v>A</v>
      </c>
      <c r="G321" s="4">
        <f>INDEX(Dim_Machine!$D$2:$D$8,MATCH(D321,Dim_Machine!$A$2:$A$8,0))*2</f>
        <v>32</v>
      </c>
      <c r="H321" s="4">
        <f>ROUND(G321*0.0155,0)</f>
        <v>0</v>
      </c>
      <c r="I321" s="4">
        <f t="shared" si="32"/>
        <v>0</v>
      </c>
      <c r="J321" s="4">
        <f t="shared" si="33"/>
        <v>0</v>
      </c>
      <c r="K321" s="4">
        <f t="shared" si="34"/>
        <v>0</v>
      </c>
      <c r="L321" s="4" t="s">
        <v>517</v>
      </c>
      <c r="M321" s="4">
        <f>INDEX(Dim_Product!$C$2:$C$4,MATCH(F321,Dim_Product!$A$2:$A$4,0))+-0.75</f>
        <v>249.25</v>
      </c>
      <c r="N321" s="4">
        <f>IF(AND(M321&gt;=INDEX(Dim_Product!$C$2:$C$4,MATCH(F321,Dim_Product!$A$2:$A$4,0))-INDEX(Dim_Product!$D$2:$D$4,MATCH(F321,Dim_Product!$A$2:$A$4,0)),M321&lt;=INDEX(Dim_Product!$C$2:$C$4,MATCH(F321,Dim_Product!$A$2:$A$4,0))+INDEX(Dim_Product!$D$2:$D$4,MATCH(F321,Dim_Product!$A$2:$A$4,0))),G321-H321,G321-H321-1)</f>
        <v>32</v>
      </c>
      <c r="O321" s="4">
        <f t="shared" si="35"/>
        <v>0</v>
      </c>
      <c r="P321" s="4">
        <f>INDEX(Dim_Product!$G$2:$G$4,MATCH(F321,Dim_Product!$A$2:$A$4,0))+0.27</f>
        <v>70.27</v>
      </c>
      <c r="Q321" s="4">
        <f>IF(AND(P321&gt;=INDEX(Dim_Product!$G$2:$G$4,MATCH(F321,Dim_Product!$A$2:$A$4,0))-INDEX(Dim_Product!$H$2:$H$4,MATCH(F321,Dim_Product!$A$2:$A$4,0)),P321&lt;=INDEX(Dim_Product!$G$2:$G$4,MATCH(F321,Dim_Product!$A$2:$A$4,0))+INDEX(Dim_Product!$H$2:$H$4,MATCH(F321,Dim_Product!$A$2:$A$4,0))),G321-H321,G321-H321-1)</f>
        <v>32</v>
      </c>
      <c r="R321" s="4">
        <f t="shared" si="36"/>
        <v>0</v>
      </c>
      <c r="S321" s="4">
        <f>INDEX(Dim_Product!$K$2:$K$4,MATCH(F321,Dim_Product!$A$2:$A$4,0))+-0.36</f>
        <v>119.64</v>
      </c>
      <c r="T321" s="4">
        <f>IF(AND(S321&gt;=INDEX(Dim_Product!$K$2:$K$4,MATCH(F321,Dim_Product!$A$2:$A$4,0))-INDEX(Dim_Product!$L$2:$L$4,MATCH(F321,Dim_Product!$A$2:$A$4,0)),S321&lt;=INDEX(Dim_Product!$K$2:$K$4,MATCH(F321,Dim_Product!$A$2:$A$4,0))+INDEX(Dim_Product!$L$2:$L$4,MATCH(F321,Dim_Product!$A$2:$A$4,0))),G321-H321,G321-H321-1)</f>
        <v>32</v>
      </c>
      <c r="U321" s="4">
        <f t="shared" si="37"/>
        <v>0</v>
      </c>
      <c r="V321" s="4">
        <f t="shared" si="38"/>
        <v>0</v>
      </c>
      <c r="W321" s="19">
        <f t="shared" si="39"/>
        <v>1</v>
      </c>
    </row>
    <row r="322" spans="1:23" x14ac:dyDescent="0.25">
      <c r="A322" s="18" t="s">
        <v>823</v>
      </c>
      <c r="B322" s="4">
        <f>Fact_Production_Hourly!B322</f>
        <v>20260702</v>
      </c>
      <c r="C322" s="4">
        <f>Fact_Production_Hourly!C322</f>
        <v>21</v>
      </c>
      <c r="D322" s="4" t="str">
        <f>Fact_Production_Hourly!D322</f>
        <v>M6</v>
      </c>
      <c r="E322" s="4" t="str">
        <f>Fact_Production_Hourly!E322</f>
        <v>B-PM</v>
      </c>
      <c r="F322" s="4" t="str">
        <f>Fact_Production_Hourly!F322</f>
        <v>A</v>
      </c>
      <c r="G322" s="4">
        <f>INDEX(Dim_Machine!$D$2:$D$8,MATCH(D322,Dim_Machine!$A$2:$A$8,0))*2</f>
        <v>24</v>
      </c>
      <c r="H322" s="4">
        <f>ROUND(G322*0.0654,0)</f>
        <v>2</v>
      </c>
      <c r="I322" s="4">
        <f t="shared" ref="I322:I337" si="40">ROUND(H322*0.15,0)</f>
        <v>0</v>
      </c>
      <c r="J322" s="4">
        <f t="shared" ref="J322:J337" si="41">ROUND(H322*0.45,0)</f>
        <v>1</v>
      </c>
      <c r="K322" s="4">
        <f t="shared" ref="K322:K337" si="42">MAX(H322-I322-J322,0)</f>
        <v>1</v>
      </c>
      <c r="L322" s="4" t="s">
        <v>503</v>
      </c>
      <c r="M322" s="4">
        <f>INDEX(Dim_Product!$C$2:$C$4,MATCH(F322,Dim_Product!$A$2:$A$4,0))+0.64</f>
        <v>250.64</v>
      </c>
      <c r="N322" s="4">
        <f>IF(AND(M322&gt;=INDEX(Dim_Product!$C$2:$C$4,MATCH(F322,Dim_Product!$A$2:$A$4,0))-INDEX(Dim_Product!$D$2:$D$4,MATCH(F322,Dim_Product!$A$2:$A$4,0)),M322&lt;=INDEX(Dim_Product!$C$2:$C$4,MATCH(F322,Dim_Product!$A$2:$A$4,0))+INDEX(Dim_Product!$D$2:$D$4,MATCH(F322,Dim_Product!$A$2:$A$4,0))),G322-H322,G322-H322-1)</f>
        <v>22</v>
      </c>
      <c r="O322" s="4">
        <f t="shared" ref="O322:O337" si="43">G322-N322</f>
        <v>2</v>
      </c>
      <c r="P322" s="4">
        <f>INDEX(Dim_Product!$G$2:$G$4,MATCH(F322,Dim_Product!$A$2:$A$4,0))+-0.06</f>
        <v>69.94</v>
      </c>
      <c r="Q322" s="4">
        <f>IF(AND(P322&gt;=INDEX(Dim_Product!$G$2:$G$4,MATCH(F322,Dim_Product!$A$2:$A$4,0))-INDEX(Dim_Product!$H$2:$H$4,MATCH(F322,Dim_Product!$A$2:$A$4,0)),P322&lt;=INDEX(Dim_Product!$G$2:$G$4,MATCH(F322,Dim_Product!$A$2:$A$4,0))+INDEX(Dim_Product!$H$2:$H$4,MATCH(F322,Dim_Product!$A$2:$A$4,0))),G322-H322,G322-H322-1)</f>
        <v>22</v>
      </c>
      <c r="R322" s="4">
        <f t="shared" ref="R322:R337" si="44">G322-Q322</f>
        <v>2</v>
      </c>
      <c r="S322" s="4">
        <f>INDEX(Dim_Product!$K$2:$K$4,MATCH(F322,Dim_Product!$A$2:$A$4,0))+-0.38</f>
        <v>119.62</v>
      </c>
      <c r="T322" s="4">
        <f>IF(AND(S322&gt;=INDEX(Dim_Product!$K$2:$K$4,MATCH(F322,Dim_Product!$A$2:$A$4,0))-INDEX(Dim_Product!$L$2:$L$4,MATCH(F322,Dim_Product!$A$2:$A$4,0)),S322&lt;=INDEX(Dim_Product!$K$2:$K$4,MATCH(F322,Dim_Product!$A$2:$A$4,0))+INDEX(Dim_Product!$L$2:$L$4,MATCH(F322,Dim_Product!$A$2:$A$4,0))),G322-H322,G322-H322-1)</f>
        <v>22</v>
      </c>
      <c r="U322" s="4">
        <f t="shared" ref="U322:U337" si="45">G322-T322</f>
        <v>2</v>
      </c>
      <c r="V322" s="4">
        <f t="shared" ref="V322:V337" si="46">IFERROR(H322/G322,0)</f>
        <v>8.3333333333333329E-2</v>
      </c>
      <c r="W322" s="19">
        <f t="shared" ref="W322:W337" si="47">1-V322</f>
        <v>0.91666666666666663</v>
      </c>
    </row>
    <row r="323" spans="1:23" x14ac:dyDescent="0.25">
      <c r="A323" s="18" t="s">
        <v>824</v>
      </c>
      <c r="B323" s="4">
        <f>Fact_Production_Hourly!B323</f>
        <v>20260702</v>
      </c>
      <c r="C323" s="4">
        <f>Fact_Production_Hourly!C323</f>
        <v>21</v>
      </c>
      <c r="D323" s="4" t="str">
        <f>Fact_Production_Hourly!D323</f>
        <v>M7</v>
      </c>
      <c r="E323" s="4" t="str">
        <f>Fact_Production_Hourly!E323</f>
        <v>B-PM</v>
      </c>
      <c r="F323" s="4" t="str">
        <f>Fact_Production_Hourly!F323</f>
        <v>C</v>
      </c>
      <c r="G323" s="4">
        <f>INDEX(Dim_Machine!$D$2:$D$8,MATCH(D323,Dim_Machine!$A$2:$A$8,0))*2</f>
        <v>48</v>
      </c>
      <c r="H323" s="4">
        <f>ROUND(G323*0.051,0)</f>
        <v>2</v>
      </c>
      <c r="I323" s="4">
        <f t="shared" si="40"/>
        <v>0</v>
      </c>
      <c r="J323" s="4">
        <f t="shared" si="41"/>
        <v>1</v>
      </c>
      <c r="K323" s="4">
        <f t="shared" si="42"/>
        <v>1</v>
      </c>
      <c r="L323" s="4" t="s">
        <v>500</v>
      </c>
      <c r="M323" s="4">
        <f>INDEX(Dim_Product!$C$2:$C$4,MATCH(F323,Dim_Product!$A$2:$A$4,0))+-0.29</f>
        <v>199.71</v>
      </c>
      <c r="N323" s="4">
        <f>IF(AND(M323&gt;=INDEX(Dim_Product!$C$2:$C$4,MATCH(F323,Dim_Product!$A$2:$A$4,0))-INDEX(Dim_Product!$D$2:$D$4,MATCH(F323,Dim_Product!$A$2:$A$4,0)),M323&lt;=INDEX(Dim_Product!$C$2:$C$4,MATCH(F323,Dim_Product!$A$2:$A$4,0))+INDEX(Dim_Product!$D$2:$D$4,MATCH(F323,Dim_Product!$A$2:$A$4,0))),G323-H323,G323-H323-1)</f>
        <v>46</v>
      </c>
      <c r="O323" s="4">
        <f t="shared" si="43"/>
        <v>2</v>
      </c>
      <c r="P323" s="4">
        <f>INDEX(Dim_Product!$G$2:$G$4,MATCH(F323,Dim_Product!$A$2:$A$4,0))+0.24</f>
        <v>65.239999999999995</v>
      </c>
      <c r="Q323" s="4">
        <f>IF(AND(P323&gt;=INDEX(Dim_Product!$G$2:$G$4,MATCH(F323,Dim_Product!$A$2:$A$4,0))-INDEX(Dim_Product!$H$2:$H$4,MATCH(F323,Dim_Product!$A$2:$A$4,0)),P323&lt;=INDEX(Dim_Product!$G$2:$G$4,MATCH(F323,Dim_Product!$A$2:$A$4,0))+INDEX(Dim_Product!$H$2:$H$4,MATCH(F323,Dim_Product!$A$2:$A$4,0))),G323-H323,G323-H323-1)</f>
        <v>46</v>
      </c>
      <c r="R323" s="4">
        <f t="shared" si="44"/>
        <v>2</v>
      </c>
      <c r="S323" s="4">
        <f>INDEX(Dim_Product!$K$2:$K$4,MATCH(F323,Dim_Product!$A$2:$A$4,0))+-0.18</f>
        <v>109.82</v>
      </c>
      <c r="T323" s="4">
        <f>IF(AND(S323&gt;=INDEX(Dim_Product!$K$2:$K$4,MATCH(F323,Dim_Product!$A$2:$A$4,0))-INDEX(Dim_Product!$L$2:$L$4,MATCH(F323,Dim_Product!$A$2:$A$4,0)),S323&lt;=INDEX(Dim_Product!$K$2:$K$4,MATCH(F323,Dim_Product!$A$2:$A$4,0))+INDEX(Dim_Product!$L$2:$L$4,MATCH(F323,Dim_Product!$A$2:$A$4,0))),G323-H323,G323-H323-1)</f>
        <v>46</v>
      </c>
      <c r="U323" s="4">
        <f t="shared" si="45"/>
        <v>2</v>
      </c>
      <c r="V323" s="4">
        <f t="shared" si="46"/>
        <v>4.1666666666666664E-2</v>
      </c>
      <c r="W323" s="19">
        <f t="shared" si="47"/>
        <v>0.95833333333333337</v>
      </c>
    </row>
    <row r="324" spans="1:23" x14ac:dyDescent="0.25">
      <c r="A324" s="18" t="s">
        <v>825</v>
      </c>
      <c r="B324" s="4">
        <f>Fact_Production_Hourly!B324</f>
        <v>20260702</v>
      </c>
      <c r="C324" s="4">
        <f>Fact_Production_Hourly!C324</f>
        <v>22</v>
      </c>
      <c r="D324" s="4" t="str">
        <f>Fact_Production_Hourly!D324</f>
        <v>M1</v>
      </c>
      <c r="E324" s="4" t="str">
        <f>Fact_Production_Hourly!E324</f>
        <v>B-PM</v>
      </c>
      <c r="F324" s="4" t="str">
        <f>Fact_Production_Hourly!F324</f>
        <v>B</v>
      </c>
      <c r="G324" s="4">
        <f>INDEX(Dim_Machine!$D$2:$D$8,MATCH(D324,Dim_Machine!$A$2:$A$8,0))*2</f>
        <v>32</v>
      </c>
      <c r="H324" s="4">
        <f>ROUND(G324*0.0368,0)</f>
        <v>1</v>
      </c>
      <c r="I324" s="4">
        <f t="shared" si="40"/>
        <v>0</v>
      </c>
      <c r="J324" s="4">
        <f t="shared" si="41"/>
        <v>0</v>
      </c>
      <c r="K324" s="4">
        <f t="shared" si="42"/>
        <v>1</v>
      </c>
      <c r="L324" s="4" t="s">
        <v>500</v>
      </c>
      <c r="M324" s="4">
        <f>INDEX(Dim_Product!$C$2:$C$4,MATCH(F324,Dim_Product!$A$2:$A$4,0))+-0.93</f>
        <v>299.07</v>
      </c>
      <c r="N324" s="4">
        <f>IF(AND(M324&gt;=INDEX(Dim_Product!$C$2:$C$4,MATCH(F324,Dim_Product!$A$2:$A$4,0))-INDEX(Dim_Product!$D$2:$D$4,MATCH(F324,Dim_Product!$A$2:$A$4,0)),M324&lt;=INDEX(Dim_Product!$C$2:$C$4,MATCH(F324,Dim_Product!$A$2:$A$4,0))+INDEX(Dim_Product!$D$2:$D$4,MATCH(F324,Dim_Product!$A$2:$A$4,0))),G324-H324,G324-H324-1)</f>
        <v>31</v>
      </c>
      <c r="O324" s="4">
        <f t="shared" si="43"/>
        <v>1</v>
      </c>
      <c r="P324" s="4">
        <f>INDEX(Dim_Product!$G$2:$G$4,MATCH(F324,Dim_Product!$A$2:$A$4,0))+0.07</f>
        <v>75.069999999999993</v>
      </c>
      <c r="Q324" s="4">
        <f>IF(AND(P324&gt;=INDEX(Dim_Product!$G$2:$G$4,MATCH(F324,Dim_Product!$A$2:$A$4,0))-INDEX(Dim_Product!$H$2:$H$4,MATCH(F324,Dim_Product!$A$2:$A$4,0)),P324&lt;=INDEX(Dim_Product!$G$2:$G$4,MATCH(F324,Dim_Product!$A$2:$A$4,0))+INDEX(Dim_Product!$H$2:$H$4,MATCH(F324,Dim_Product!$A$2:$A$4,0))),G324-H324,G324-H324-1)</f>
        <v>31</v>
      </c>
      <c r="R324" s="4">
        <f t="shared" si="44"/>
        <v>1</v>
      </c>
      <c r="S324" s="4">
        <f>INDEX(Dim_Product!$K$2:$K$4,MATCH(F324,Dim_Product!$A$2:$A$4,0))+-0.2</f>
        <v>129.80000000000001</v>
      </c>
      <c r="T324" s="4">
        <f>IF(AND(S324&gt;=INDEX(Dim_Product!$K$2:$K$4,MATCH(F324,Dim_Product!$A$2:$A$4,0))-INDEX(Dim_Product!$L$2:$L$4,MATCH(F324,Dim_Product!$A$2:$A$4,0)),S324&lt;=INDEX(Dim_Product!$K$2:$K$4,MATCH(F324,Dim_Product!$A$2:$A$4,0))+INDEX(Dim_Product!$L$2:$L$4,MATCH(F324,Dim_Product!$A$2:$A$4,0))),G324-H324,G324-H324-1)</f>
        <v>31</v>
      </c>
      <c r="U324" s="4">
        <f t="shared" si="45"/>
        <v>1</v>
      </c>
      <c r="V324" s="4">
        <f t="shared" si="46"/>
        <v>3.125E-2</v>
      </c>
      <c r="W324" s="19">
        <f t="shared" si="47"/>
        <v>0.96875</v>
      </c>
    </row>
    <row r="325" spans="1:23" x14ac:dyDescent="0.25">
      <c r="A325" s="18" t="s">
        <v>826</v>
      </c>
      <c r="B325" s="4">
        <f>Fact_Production_Hourly!B325</f>
        <v>20260702</v>
      </c>
      <c r="C325" s="4">
        <f>Fact_Production_Hourly!C325</f>
        <v>22</v>
      </c>
      <c r="D325" s="4" t="str">
        <f>Fact_Production_Hourly!D325</f>
        <v>M2</v>
      </c>
      <c r="E325" s="4" t="str">
        <f>Fact_Production_Hourly!E325</f>
        <v>B-PM</v>
      </c>
      <c r="F325" s="4" t="str">
        <f>Fact_Production_Hourly!F325</f>
        <v>A</v>
      </c>
      <c r="G325" s="4">
        <f>INDEX(Dim_Machine!$D$2:$D$8,MATCH(D325,Dim_Machine!$A$2:$A$8,0))*2</f>
        <v>48</v>
      </c>
      <c r="H325" s="4">
        <f>ROUND(G325*0.0277,0)</f>
        <v>1</v>
      </c>
      <c r="I325" s="4">
        <f t="shared" si="40"/>
        <v>0</v>
      </c>
      <c r="J325" s="4">
        <f t="shared" si="41"/>
        <v>0</v>
      </c>
      <c r="K325" s="4">
        <f t="shared" si="42"/>
        <v>1</v>
      </c>
      <c r="L325" s="4" t="s">
        <v>503</v>
      </c>
      <c r="M325" s="4">
        <f>INDEX(Dim_Product!$C$2:$C$4,MATCH(F325,Dim_Product!$A$2:$A$4,0))+0.77</f>
        <v>250.77</v>
      </c>
      <c r="N325" s="4">
        <f>IF(AND(M325&gt;=INDEX(Dim_Product!$C$2:$C$4,MATCH(F325,Dim_Product!$A$2:$A$4,0))-INDEX(Dim_Product!$D$2:$D$4,MATCH(F325,Dim_Product!$A$2:$A$4,0)),M325&lt;=INDEX(Dim_Product!$C$2:$C$4,MATCH(F325,Dim_Product!$A$2:$A$4,0))+INDEX(Dim_Product!$D$2:$D$4,MATCH(F325,Dim_Product!$A$2:$A$4,0))),G325-H325,G325-H325-1)</f>
        <v>47</v>
      </c>
      <c r="O325" s="4">
        <f t="shared" si="43"/>
        <v>1</v>
      </c>
      <c r="P325" s="4">
        <f>INDEX(Dim_Product!$G$2:$G$4,MATCH(F325,Dim_Product!$A$2:$A$4,0))+-0.01</f>
        <v>69.989999999999995</v>
      </c>
      <c r="Q325" s="4">
        <f>IF(AND(P325&gt;=INDEX(Dim_Product!$G$2:$G$4,MATCH(F325,Dim_Product!$A$2:$A$4,0))-INDEX(Dim_Product!$H$2:$H$4,MATCH(F325,Dim_Product!$A$2:$A$4,0)),P325&lt;=INDEX(Dim_Product!$G$2:$G$4,MATCH(F325,Dim_Product!$A$2:$A$4,0))+INDEX(Dim_Product!$H$2:$H$4,MATCH(F325,Dim_Product!$A$2:$A$4,0))),G325-H325,G325-H325-1)</f>
        <v>47</v>
      </c>
      <c r="R325" s="4">
        <f t="shared" si="44"/>
        <v>1</v>
      </c>
      <c r="S325" s="4">
        <f>INDEX(Dim_Product!$K$2:$K$4,MATCH(F325,Dim_Product!$A$2:$A$4,0))+-0.33</f>
        <v>119.67</v>
      </c>
      <c r="T325" s="4">
        <f>IF(AND(S325&gt;=INDEX(Dim_Product!$K$2:$K$4,MATCH(F325,Dim_Product!$A$2:$A$4,0))-INDEX(Dim_Product!$L$2:$L$4,MATCH(F325,Dim_Product!$A$2:$A$4,0)),S325&lt;=INDEX(Dim_Product!$K$2:$K$4,MATCH(F325,Dim_Product!$A$2:$A$4,0))+INDEX(Dim_Product!$L$2:$L$4,MATCH(F325,Dim_Product!$A$2:$A$4,0))),G325-H325,G325-H325-1)</f>
        <v>47</v>
      </c>
      <c r="U325" s="4">
        <f t="shared" si="45"/>
        <v>1</v>
      </c>
      <c r="V325" s="4">
        <f t="shared" si="46"/>
        <v>2.0833333333333332E-2</v>
      </c>
      <c r="W325" s="19">
        <f t="shared" si="47"/>
        <v>0.97916666666666663</v>
      </c>
    </row>
    <row r="326" spans="1:23" x14ac:dyDescent="0.25">
      <c r="A326" s="18" t="s">
        <v>827</v>
      </c>
      <c r="B326" s="4">
        <f>Fact_Production_Hourly!B326</f>
        <v>20260702</v>
      </c>
      <c r="C326" s="4">
        <f>Fact_Production_Hourly!C326</f>
        <v>22</v>
      </c>
      <c r="D326" s="4" t="str">
        <f>Fact_Production_Hourly!D326</f>
        <v>M3</v>
      </c>
      <c r="E326" s="4" t="str">
        <f>Fact_Production_Hourly!E326</f>
        <v>B-PM</v>
      </c>
      <c r="F326" s="4" t="str">
        <f>Fact_Production_Hourly!F326</f>
        <v>A</v>
      </c>
      <c r="G326" s="4">
        <f>INDEX(Dim_Machine!$D$2:$D$8,MATCH(D326,Dim_Machine!$A$2:$A$8,0))*2</f>
        <v>24</v>
      </c>
      <c r="H326" s="4">
        <f>ROUND(G326*0.033,0)</f>
        <v>1</v>
      </c>
      <c r="I326" s="4">
        <f t="shared" si="40"/>
        <v>0</v>
      </c>
      <c r="J326" s="4">
        <f t="shared" si="41"/>
        <v>0</v>
      </c>
      <c r="K326" s="4">
        <f t="shared" si="42"/>
        <v>1</v>
      </c>
      <c r="L326" s="4" t="s">
        <v>503</v>
      </c>
      <c r="M326" s="4">
        <f>INDEX(Dim_Product!$C$2:$C$4,MATCH(F326,Dim_Product!$A$2:$A$4,0))+-0.6</f>
        <v>249.4</v>
      </c>
      <c r="N326" s="4">
        <f>IF(AND(M326&gt;=INDEX(Dim_Product!$C$2:$C$4,MATCH(F326,Dim_Product!$A$2:$A$4,0))-INDEX(Dim_Product!$D$2:$D$4,MATCH(F326,Dim_Product!$A$2:$A$4,0)),M326&lt;=INDEX(Dim_Product!$C$2:$C$4,MATCH(F326,Dim_Product!$A$2:$A$4,0))+INDEX(Dim_Product!$D$2:$D$4,MATCH(F326,Dim_Product!$A$2:$A$4,0))),G326-H326,G326-H326-1)</f>
        <v>23</v>
      </c>
      <c r="O326" s="4">
        <f t="shared" si="43"/>
        <v>1</v>
      </c>
      <c r="P326" s="4">
        <f>INDEX(Dim_Product!$G$2:$G$4,MATCH(F326,Dim_Product!$A$2:$A$4,0))+0.23</f>
        <v>70.23</v>
      </c>
      <c r="Q326" s="4">
        <f>IF(AND(P326&gt;=INDEX(Dim_Product!$G$2:$G$4,MATCH(F326,Dim_Product!$A$2:$A$4,0))-INDEX(Dim_Product!$H$2:$H$4,MATCH(F326,Dim_Product!$A$2:$A$4,0)),P326&lt;=INDEX(Dim_Product!$G$2:$G$4,MATCH(F326,Dim_Product!$A$2:$A$4,0))+INDEX(Dim_Product!$H$2:$H$4,MATCH(F326,Dim_Product!$A$2:$A$4,0))),G326-H326,G326-H326-1)</f>
        <v>23</v>
      </c>
      <c r="R326" s="4">
        <f t="shared" si="44"/>
        <v>1</v>
      </c>
      <c r="S326" s="4">
        <f>INDEX(Dim_Product!$K$2:$K$4,MATCH(F326,Dim_Product!$A$2:$A$4,0))+0.02</f>
        <v>120.02</v>
      </c>
      <c r="T326" s="4">
        <f>IF(AND(S326&gt;=INDEX(Dim_Product!$K$2:$K$4,MATCH(F326,Dim_Product!$A$2:$A$4,0))-INDEX(Dim_Product!$L$2:$L$4,MATCH(F326,Dim_Product!$A$2:$A$4,0)),S326&lt;=INDEX(Dim_Product!$K$2:$K$4,MATCH(F326,Dim_Product!$A$2:$A$4,0))+INDEX(Dim_Product!$L$2:$L$4,MATCH(F326,Dim_Product!$A$2:$A$4,0))),G326-H326,G326-H326-1)</f>
        <v>23</v>
      </c>
      <c r="U326" s="4">
        <f t="shared" si="45"/>
        <v>1</v>
      </c>
      <c r="V326" s="4">
        <f t="shared" si="46"/>
        <v>4.1666666666666664E-2</v>
      </c>
      <c r="W326" s="19">
        <f t="shared" si="47"/>
        <v>0.95833333333333337</v>
      </c>
    </row>
    <row r="327" spans="1:23" x14ac:dyDescent="0.25">
      <c r="A327" s="18" t="s">
        <v>828</v>
      </c>
      <c r="B327" s="4">
        <f>Fact_Production_Hourly!B327</f>
        <v>20260702</v>
      </c>
      <c r="C327" s="4">
        <f>Fact_Production_Hourly!C327</f>
        <v>22</v>
      </c>
      <c r="D327" s="4" t="str">
        <f>Fact_Production_Hourly!D327</f>
        <v>M4</v>
      </c>
      <c r="E327" s="4" t="str">
        <f>Fact_Production_Hourly!E327</f>
        <v>B-PM</v>
      </c>
      <c r="F327" s="4" t="str">
        <f>Fact_Production_Hourly!F327</f>
        <v>C</v>
      </c>
      <c r="G327" s="4">
        <f>INDEX(Dim_Machine!$D$2:$D$8,MATCH(D327,Dim_Machine!$A$2:$A$8,0))*2</f>
        <v>48</v>
      </c>
      <c r="H327" s="4">
        <f>ROUND(G327*0.0478,0)</f>
        <v>2</v>
      </c>
      <c r="I327" s="4">
        <f t="shared" si="40"/>
        <v>0</v>
      </c>
      <c r="J327" s="4">
        <f t="shared" si="41"/>
        <v>1</v>
      </c>
      <c r="K327" s="4">
        <f t="shared" si="42"/>
        <v>1</v>
      </c>
      <c r="L327" s="4" t="s">
        <v>509</v>
      </c>
      <c r="M327" s="4">
        <f>INDEX(Dim_Product!$C$2:$C$4,MATCH(F327,Dim_Product!$A$2:$A$4,0))+0.59</f>
        <v>200.59</v>
      </c>
      <c r="N327" s="4">
        <f>IF(AND(M327&gt;=INDEX(Dim_Product!$C$2:$C$4,MATCH(F327,Dim_Product!$A$2:$A$4,0))-INDEX(Dim_Product!$D$2:$D$4,MATCH(F327,Dim_Product!$A$2:$A$4,0)),M327&lt;=INDEX(Dim_Product!$C$2:$C$4,MATCH(F327,Dim_Product!$A$2:$A$4,0))+INDEX(Dim_Product!$D$2:$D$4,MATCH(F327,Dim_Product!$A$2:$A$4,0))),G327-H327,G327-H327-1)</f>
        <v>46</v>
      </c>
      <c r="O327" s="4">
        <f t="shared" si="43"/>
        <v>2</v>
      </c>
      <c r="P327" s="4">
        <f>INDEX(Dim_Product!$G$2:$G$4,MATCH(F327,Dim_Product!$A$2:$A$4,0))+0.29</f>
        <v>65.290000000000006</v>
      </c>
      <c r="Q327" s="4">
        <f>IF(AND(P327&gt;=INDEX(Dim_Product!$G$2:$G$4,MATCH(F327,Dim_Product!$A$2:$A$4,0))-INDEX(Dim_Product!$H$2:$H$4,MATCH(F327,Dim_Product!$A$2:$A$4,0)),P327&lt;=INDEX(Dim_Product!$G$2:$G$4,MATCH(F327,Dim_Product!$A$2:$A$4,0))+INDEX(Dim_Product!$H$2:$H$4,MATCH(F327,Dim_Product!$A$2:$A$4,0))),G327-H327,G327-H327-1)</f>
        <v>46</v>
      </c>
      <c r="R327" s="4">
        <f t="shared" si="44"/>
        <v>2</v>
      </c>
      <c r="S327" s="4">
        <f>INDEX(Dim_Product!$K$2:$K$4,MATCH(F327,Dim_Product!$A$2:$A$4,0))+0.23</f>
        <v>110.23</v>
      </c>
      <c r="T327" s="4">
        <f>IF(AND(S327&gt;=INDEX(Dim_Product!$K$2:$K$4,MATCH(F327,Dim_Product!$A$2:$A$4,0))-INDEX(Dim_Product!$L$2:$L$4,MATCH(F327,Dim_Product!$A$2:$A$4,0)),S327&lt;=INDEX(Dim_Product!$K$2:$K$4,MATCH(F327,Dim_Product!$A$2:$A$4,0))+INDEX(Dim_Product!$L$2:$L$4,MATCH(F327,Dim_Product!$A$2:$A$4,0))),G327-H327,G327-H327-1)</f>
        <v>46</v>
      </c>
      <c r="U327" s="4">
        <f t="shared" si="45"/>
        <v>2</v>
      </c>
      <c r="V327" s="4">
        <f t="shared" si="46"/>
        <v>4.1666666666666664E-2</v>
      </c>
      <c r="W327" s="19">
        <f t="shared" si="47"/>
        <v>0.95833333333333337</v>
      </c>
    </row>
    <row r="328" spans="1:23" x14ac:dyDescent="0.25">
      <c r="A328" s="18" t="s">
        <v>829</v>
      </c>
      <c r="B328" s="4">
        <f>Fact_Production_Hourly!B328</f>
        <v>20260702</v>
      </c>
      <c r="C328" s="4">
        <f>Fact_Production_Hourly!C328</f>
        <v>22</v>
      </c>
      <c r="D328" s="4" t="str">
        <f>Fact_Production_Hourly!D328</f>
        <v>M5</v>
      </c>
      <c r="E328" s="4" t="str">
        <f>Fact_Production_Hourly!E328</f>
        <v>B-PM</v>
      </c>
      <c r="F328" s="4" t="str">
        <f>Fact_Production_Hourly!F328</f>
        <v>A</v>
      </c>
      <c r="G328" s="4">
        <f>INDEX(Dim_Machine!$D$2:$D$8,MATCH(D328,Dim_Machine!$A$2:$A$8,0))*2</f>
        <v>32</v>
      </c>
      <c r="H328" s="4">
        <f>ROUND(G328*0.0315,0)</f>
        <v>1</v>
      </c>
      <c r="I328" s="4">
        <f t="shared" si="40"/>
        <v>0</v>
      </c>
      <c r="J328" s="4">
        <f t="shared" si="41"/>
        <v>0</v>
      </c>
      <c r="K328" s="4">
        <f t="shared" si="42"/>
        <v>1</v>
      </c>
      <c r="L328" s="4" t="s">
        <v>509</v>
      </c>
      <c r="M328" s="4">
        <f>INDEX(Dim_Product!$C$2:$C$4,MATCH(F328,Dim_Product!$A$2:$A$4,0))+0.56</f>
        <v>250.56</v>
      </c>
      <c r="N328" s="4">
        <f>IF(AND(M328&gt;=INDEX(Dim_Product!$C$2:$C$4,MATCH(F328,Dim_Product!$A$2:$A$4,0))-INDEX(Dim_Product!$D$2:$D$4,MATCH(F328,Dim_Product!$A$2:$A$4,0)),M328&lt;=INDEX(Dim_Product!$C$2:$C$4,MATCH(F328,Dim_Product!$A$2:$A$4,0))+INDEX(Dim_Product!$D$2:$D$4,MATCH(F328,Dim_Product!$A$2:$A$4,0))),G328-H328,G328-H328-1)</f>
        <v>31</v>
      </c>
      <c r="O328" s="4">
        <f t="shared" si="43"/>
        <v>1</v>
      </c>
      <c r="P328" s="4">
        <f>INDEX(Dim_Product!$G$2:$G$4,MATCH(F328,Dim_Product!$A$2:$A$4,0))+-0.09</f>
        <v>69.91</v>
      </c>
      <c r="Q328" s="4">
        <f>IF(AND(P328&gt;=INDEX(Dim_Product!$G$2:$G$4,MATCH(F328,Dim_Product!$A$2:$A$4,0))-INDEX(Dim_Product!$H$2:$H$4,MATCH(F328,Dim_Product!$A$2:$A$4,0)),P328&lt;=INDEX(Dim_Product!$G$2:$G$4,MATCH(F328,Dim_Product!$A$2:$A$4,0))+INDEX(Dim_Product!$H$2:$H$4,MATCH(F328,Dim_Product!$A$2:$A$4,0))),G328-H328,G328-H328-1)</f>
        <v>31</v>
      </c>
      <c r="R328" s="4">
        <f t="shared" si="44"/>
        <v>1</v>
      </c>
      <c r="S328" s="4">
        <f>INDEX(Dim_Product!$K$2:$K$4,MATCH(F328,Dim_Product!$A$2:$A$4,0))+0.05</f>
        <v>120.05</v>
      </c>
      <c r="T328" s="4">
        <f>IF(AND(S328&gt;=INDEX(Dim_Product!$K$2:$K$4,MATCH(F328,Dim_Product!$A$2:$A$4,0))-INDEX(Dim_Product!$L$2:$L$4,MATCH(F328,Dim_Product!$A$2:$A$4,0)),S328&lt;=INDEX(Dim_Product!$K$2:$K$4,MATCH(F328,Dim_Product!$A$2:$A$4,0))+INDEX(Dim_Product!$L$2:$L$4,MATCH(F328,Dim_Product!$A$2:$A$4,0))),G328-H328,G328-H328-1)</f>
        <v>31</v>
      </c>
      <c r="U328" s="4">
        <f t="shared" si="45"/>
        <v>1</v>
      </c>
      <c r="V328" s="4">
        <f t="shared" si="46"/>
        <v>3.125E-2</v>
      </c>
      <c r="W328" s="19">
        <f t="shared" si="47"/>
        <v>0.96875</v>
      </c>
    </row>
    <row r="329" spans="1:23" x14ac:dyDescent="0.25">
      <c r="A329" s="18" t="s">
        <v>830</v>
      </c>
      <c r="B329" s="4">
        <f>Fact_Production_Hourly!B329</f>
        <v>20260702</v>
      </c>
      <c r="C329" s="4">
        <f>Fact_Production_Hourly!C329</f>
        <v>22</v>
      </c>
      <c r="D329" s="4" t="str">
        <f>Fact_Production_Hourly!D329</f>
        <v>M6</v>
      </c>
      <c r="E329" s="4" t="str">
        <f>Fact_Production_Hourly!E329</f>
        <v>B-PM</v>
      </c>
      <c r="F329" s="4" t="str">
        <f>Fact_Production_Hourly!F329</f>
        <v>A</v>
      </c>
      <c r="G329" s="4">
        <f>INDEX(Dim_Machine!$D$2:$D$8,MATCH(D329,Dim_Machine!$A$2:$A$8,0))*2</f>
        <v>24</v>
      </c>
      <c r="H329" s="4">
        <f>ROUND(G329*0.0293,0)</f>
        <v>1</v>
      </c>
      <c r="I329" s="4">
        <f t="shared" si="40"/>
        <v>0</v>
      </c>
      <c r="J329" s="4">
        <f t="shared" si="41"/>
        <v>0</v>
      </c>
      <c r="K329" s="4">
        <f t="shared" si="42"/>
        <v>1</v>
      </c>
      <c r="L329" s="4" t="s">
        <v>517</v>
      </c>
      <c r="M329" s="4">
        <f>INDEX(Dim_Product!$C$2:$C$4,MATCH(F329,Dim_Product!$A$2:$A$4,0))+-0.64</f>
        <v>249.36</v>
      </c>
      <c r="N329" s="4">
        <f>IF(AND(M329&gt;=INDEX(Dim_Product!$C$2:$C$4,MATCH(F329,Dim_Product!$A$2:$A$4,0))-INDEX(Dim_Product!$D$2:$D$4,MATCH(F329,Dim_Product!$A$2:$A$4,0)),M329&lt;=INDEX(Dim_Product!$C$2:$C$4,MATCH(F329,Dim_Product!$A$2:$A$4,0))+INDEX(Dim_Product!$D$2:$D$4,MATCH(F329,Dim_Product!$A$2:$A$4,0))),G329-H329,G329-H329-1)</f>
        <v>23</v>
      </c>
      <c r="O329" s="4">
        <f t="shared" si="43"/>
        <v>1</v>
      </c>
      <c r="P329" s="4">
        <f>INDEX(Dim_Product!$G$2:$G$4,MATCH(F329,Dim_Product!$A$2:$A$4,0))+-0.11</f>
        <v>69.89</v>
      </c>
      <c r="Q329" s="4">
        <f>IF(AND(P329&gt;=INDEX(Dim_Product!$G$2:$G$4,MATCH(F329,Dim_Product!$A$2:$A$4,0))-INDEX(Dim_Product!$H$2:$H$4,MATCH(F329,Dim_Product!$A$2:$A$4,0)),P329&lt;=INDEX(Dim_Product!$G$2:$G$4,MATCH(F329,Dim_Product!$A$2:$A$4,0))+INDEX(Dim_Product!$H$2:$H$4,MATCH(F329,Dim_Product!$A$2:$A$4,0))),G329-H329,G329-H329-1)</f>
        <v>23</v>
      </c>
      <c r="R329" s="4">
        <f t="shared" si="44"/>
        <v>1</v>
      </c>
      <c r="S329" s="4">
        <f>INDEX(Dim_Product!$K$2:$K$4,MATCH(F329,Dim_Product!$A$2:$A$4,0))+-0.22</f>
        <v>119.78</v>
      </c>
      <c r="T329" s="4">
        <f>IF(AND(S329&gt;=INDEX(Dim_Product!$K$2:$K$4,MATCH(F329,Dim_Product!$A$2:$A$4,0))-INDEX(Dim_Product!$L$2:$L$4,MATCH(F329,Dim_Product!$A$2:$A$4,0)),S329&lt;=INDEX(Dim_Product!$K$2:$K$4,MATCH(F329,Dim_Product!$A$2:$A$4,0))+INDEX(Dim_Product!$L$2:$L$4,MATCH(F329,Dim_Product!$A$2:$A$4,0))),G329-H329,G329-H329-1)</f>
        <v>23</v>
      </c>
      <c r="U329" s="4">
        <f t="shared" si="45"/>
        <v>1</v>
      </c>
      <c r="V329" s="4">
        <f t="shared" si="46"/>
        <v>4.1666666666666664E-2</v>
      </c>
      <c r="W329" s="19">
        <f t="shared" si="47"/>
        <v>0.95833333333333337</v>
      </c>
    </row>
    <row r="330" spans="1:23" x14ac:dyDescent="0.25">
      <c r="A330" s="18" t="s">
        <v>831</v>
      </c>
      <c r="B330" s="4">
        <f>Fact_Production_Hourly!B330</f>
        <v>20260702</v>
      </c>
      <c r="C330" s="4">
        <f>Fact_Production_Hourly!C330</f>
        <v>22</v>
      </c>
      <c r="D330" s="4" t="str">
        <f>Fact_Production_Hourly!D330</f>
        <v>M7</v>
      </c>
      <c r="E330" s="4" t="str">
        <f>Fact_Production_Hourly!E330</f>
        <v>B-PM</v>
      </c>
      <c r="F330" s="4" t="str">
        <f>Fact_Production_Hourly!F330</f>
        <v>C</v>
      </c>
      <c r="G330" s="4">
        <f>INDEX(Dim_Machine!$D$2:$D$8,MATCH(D330,Dim_Machine!$A$2:$A$8,0))*2</f>
        <v>48</v>
      </c>
      <c r="H330" s="4">
        <f>ROUND(G330*0.0637,0)</f>
        <v>3</v>
      </c>
      <c r="I330" s="4">
        <f t="shared" si="40"/>
        <v>0</v>
      </c>
      <c r="J330" s="4">
        <f t="shared" si="41"/>
        <v>1</v>
      </c>
      <c r="K330" s="4">
        <f t="shared" si="42"/>
        <v>2</v>
      </c>
      <c r="L330" s="4" t="s">
        <v>517</v>
      </c>
      <c r="M330" s="4">
        <f>INDEX(Dim_Product!$C$2:$C$4,MATCH(F330,Dim_Product!$A$2:$A$4,0))+-0.88</f>
        <v>199.12</v>
      </c>
      <c r="N330" s="4">
        <f>IF(AND(M330&gt;=INDEX(Dim_Product!$C$2:$C$4,MATCH(F330,Dim_Product!$A$2:$A$4,0))-INDEX(Dim_Product!$D$2:$D$4,MATCH(F330,Dim_Product!$A$2:$A$4,0)),M330&lt;=INDEX(Dim_Product!$C$2:$C$4,MATCH(F330,Dim_Product!$A$2:$A$4,0))+INDEX(Dim_Product!$D$2:$D$4,MATCH(F330,Dim_Product!$A$2:$A$4,0))),G330-H330,G330-H330-1)</f>
        <v>45</v>
      </c>
      <c r="O330" s="4">
        <f t="shared" si="43"/>
        <v>3</v>
      </c>
      <c r="P330" s="4">
        <f>INDEX(Dim_Product!$G$2:$G$4,MATCH(F330,Dim_Product!$A$2:$A$4,0))+0.29</f>
        <v>65.290000000000006</v>
      </c>
      <c r="Q330" s="4">
        <f>IF(AND(P330&gt;=INDEX(Dim_Product!$G$2:$G$4,MATCH(F330,Dim_Product!$A$2:$A$4,0))-INDEX(Dim_Product!$H$2:$H$4,MATCH(F330,Dim_Product!$A$2:$A$4,0)),P330&lt;=INDEX(Dim_Product!$G$2:$G$4,MATCH(F330,Dim_Product!$A$2:$A$4,0))+INDEX(Dim_Product!$H$2:$H$4,MATCH(F330,Dim_Product!$A$2:$A$4,0))),G330-H330,G330-H330-1)</f>
        <v>45</v>
      </c>
      <c r="R330" s="4">
        <f t="shared" si="44"/>
        <v>3</v>
      </c>
      <c r="S330" s="4">
        <f>INDEX(Dim_Product!$K$2:$K$4,MATCH(F330,Dim_Product!$A$2:$A$4,0))+0.02</f>
        <v>110.02</v>
      </c>
      <c r="T330" s="4">
        <f>IF(AND(S330&gt;=INDEX(Dim_Product!$K$2:$K$4,MATCH(F330,Dim_Product!$A$2:$A$4,0))-INDEX(Dim_Product!$L$2:$L$4,MATCH(F330,Dim_Product!$A$2:$A$4,0)),S330&lt;=INDEX(Dim_Product!$K$2:$K$4,MATCH(F330,Dim_Product!$A$2:$A$4,0))+INDEX(Dim_Product!$L$2:$L$4,MATCH(F330,Dim_Product!$A$2:$A$4,0))),G330-H330,G330-H330-1)</f>
        <v>45</v>
      </c>
      <c r="U330" s="4">
        <f t="shared" si="45"/>
        <v>3</v>
      </c>
      <c r="V330" s="4">
        <f t="shared" si="46"/>
        <v>6.25E-2</v>
      </c>
      <c r="W330" s="19">
        <f t="shared" si="47"/>
        <v>0.9375</v>
      </c>
    </row>
    <row r="331" spans="1:23" x14ac:dyDescent="0.25">
      <c r="A331" s="18" t="s">
        <v>832</v>
      </c>
      <c r="B331" s="4">
        <f>Fact_Production_Hourly!B331</f>
        <v>20260702</v>
      </c>
      <c r="C331" s="4">
        <f>Fact_Production_Hourly!C331</f>
        <v>23</v>
      </c>
      <c r="D331" s="4" t="str">
        <f>Fact_Production_Hourly!D331</f>
        <v>M1</v>
      </c>
      <c r="E331" s="4" t="str">
        <f>Fact_Production_Hourly!E331</f>
        <v>B-PM</v>
      </c>
      <c r="F331" s="4" t="str">
        <f>Fact_Production_Hourly!F331</f>
        <v>B</v>
      </c>
      <c r="G331" s="4">
        <f>INDEX(Dim_Machine!$D$2:$D$8,MATCH(D331,Dim_Machine!$A$2:$A$8,0))*2</f>
        <v>32</v>
      </c>
      <c r="H331" s="4">
        <f>ROUND(G331*0.056,0)</f>
        <v>2</v>
      </c>
      <c r="I331" s="4">
        <f t="shared" si="40"/>
        <v>0</v>
      </c>
      <c r="J331" s="4">
        <f t="shared" si="41"/>
        <v>1</v>
      </c>
      <c r="K331" s="4">
        <f t="shared" si="42"/>
        <v>1</v>
      </c>
      <c r="L331" s="4" t="s">
        <v>500</v>
      </c>
      <c r="M331" s="4">
        <f>INDEX(Dim_Product!$C$2:$C$4,MATCH(F331,Dim_Product!$A$2:$A$4,0))+0.95</f>
        <v>300.95</v>
      </c>
      <c r="N331" s="4">
        <f>IF(AND(M331&gt;=INDEX(Dim_Product!$C$2:$C$4,MATCH(F331,Dim_Product!$A$2:$A$4,0))-INDEX(Dim_Product!$D$2:$D$4,MATCH(F331,Dim_Product!$A$2:$A$4,0)),M331&lt;=INDEX(Dim_Product!$C$2:$C$4,MATCH(F331,Dim_Product!$A$2:$A$4,0))+INDEX(Dim_Product!$D$2:$D$4,MATCH(F331,Dim_Product!$A$2:$A$4,0))),G331-H331,G331-H331-1)</f>
        <v>30</v>
      </c>
      <c r="O331" s="4">
        <f t="shared" si="43"/>
        <v>2</v>
      </c>
      <c r="P331" s="4">
        <f>INDEX(Dim_Product!$G$2:$G$4,MATCH(F331,Dim_Product!$A$2:$A$4,0))+-0.24</f>
        <v>74.760000000000005</v>
      </c>
      <c r="Q331" s="4">
        <f>IF(AND(P331&gt;=INDEX(Dim_Product!$G$2:$G$4,MATCH(F331,Dim_Product!$A$2:$A$4,0))-INDEX(Dim_Product!$H$2:$H$4,MATCH(F331,Dim_Product!$A$2:$A$4,0)),P331&lt;=INDEX(Dim_Product!$G$2:$G$4,MATCH(F331,Dim_Product!$A$2:$A$4,0))+INDEX(Dim_Product!$H$2:$H$4,MATCH(F331,Dim_Product!$A$2:$A$4,0))),G331-H331,G331-H331-1)</f>
        <v>30</v>
      </c>
      <c r="R331" s="4">
        <f t="shared" si="44"/>
        <v>2</v>
      </c>
      <c r="S331" s="4">
        <f>INDEX(Dim_Product!$K$2:$K$4,MATCH(F331,Dim_Product!$A$2:$A$4,0))+0.13</f>
        <v>130.13</v>
      </c>
      <c r="T331" s="4">
        <f>IF(AND(S331&gt;=INDEX(Dim_Product!$K$2:$K$4,MATCH(F331,Dim_Product!$A$2:$A$4,0))-INDEX(Dim_Product!$L$2:$L$4,MATCH(F331,Dim_Product!$A$2:$A$4,0)),S331&lt;=INDEX(Dim_Product!$K$2:$K$4,MATCH(F331,Dim_Product!$A$2:$A$4,0))+INDEX(Dim_Product!$L$2:$L$4,MATCH(F331,Dim_Product!$A$2:$A$4,0))),G331-H331,G331-H331-1)</f>
        <v>30</v>
      </c>
      <c r="U331" s="4">
        <f t="shared" si="45"/>
        <v>2</v>
      </c>
      <c r="V331" s="4">
        <f t="shared" si="46"/>
        <v>6.25E-2</v>
      </c>
      <c r="W331" s="19">
        <f t="shared" si="47"/>
        <v>0.9375</v>
      </c>
    </row>
    <row r="332" spans="1:23" x14ac:dyDescent="0.25">
      <c r="A332" s="18" t="s">
        <v>833</v>
      </c>
      <c r="B332" s="4">
        <f>Fact_Production_Hourly!B332</f>
        <v>20260702</v>
      </c>
      <c r="C332" s="4">
        <f>Fact_Production_Hourly!C332</f>
        <v>23</v>
      </c>
      <c r="D332" s="4" t="str">
        <f>Fact_Production_Hourly!D332</f>
        <v>M2</v>
      </c>
      <c r="E332" s="4" t="str">
        <f>Fact_Production_Hourly!E332</f>
        <v>B-PM</v>
      </c>
      <c r="F332" s="4" t="str">
        <f>Fact_Production_Hourly!F332</f>
        <v>A</v>
      </c>
      <c r="G332" s="4">
        <f>INDEX(Dim_Machine!$D$2:$D$8,MATCH(D332,Dim_Machine!$A$2:$A$8,0))*2</f>
        <v>48</v>
      </c>
      <c r="H332" s="4">
        <f>ROUND(G332*0.026,0)</f>
        <v>1</v>
      </c>
      <c r="I332" s="4">
        <f t="shared" si="40"/>
        <v>0</v>
      </c>
      <c r="J332" s="4">
        <f t="shared" si="41"/>
        <v>0</v>
      </c>
      <c r="K332" s="4">
        <f t="shared" si="42"/>
        <v>1</v>
      </c>
      <c r="L332" s="4" t="s">
        <v>520</v>
      </c>
      <c r="M332" s="4">
        <f>INDEX(Dim_Product!$C$2:$C$4,MATCH(F332,Dim_Product!$A$2:$A$4,0))+-0.89</f>
        <v>249.11</v>
      </c>
      <c r="N332" s="4">
        <f>IF(AND(M332&gt;=INDEX(Dim_Product!$C$2:$C$4,MATCH(F332,Dim_Product!$A$2:$A$4,0))-INDEX(Dim_Product!$D$2:$D$4,MATCH(F332,Dim_Product!$A$2:$A$4,0)),M332&lt;=INDEX(Dim_Product!$C$2:$C$4,MATCH(F332,Dim_Product!$A$2:$A$4,0))+INDEX(Dim_Product!$D$2:$D$4,MATCH(F332,Dim_Product!$A$2:$A$4,0))),G332-H332,G332-H332-1)</f>
        <v>47</v>
      </c>
      <c r="O332" s="4">
        <f t="shared" si="43"/>
        <v>1</v>
      </c>
      <c r="P332" s="4">
        <f>INDEX(Dim_Product!$G$2:$G$4,MATCH(F332,Dim_Product!$A$2:$A$4,0))+0.3</f>
        <v>70.3</v>
      </c>
      <c r="Q332" s="4">
        <f>IF(AND(P332&gt;=INDEX(Dim_Product!$G$2:$G$4,MATCH(F332,Dim_Product!$A$2:$A$4,0))-INDEX(Dim_Product!$H$2:$H$4,MATCH(F332,Dim_Product!$A$2:$A$4,0)),P332&lt;=INDEX(Dim_Product!$G$2:$G$4,MATCH(F332,Dim_Product!$A$2:$A$4,0))+INDEX(Dim_Product!$H$2:$H$4,MATCH(F332,Dim_Product!$A$2:$A$4,0))),G332-H332,G332-H332-1)</f>
        <v>47</v>
      </c>
      <c r="R332" s="4">
        <f t="shared" si="44"/>
        <v>1</v>
      </c>
      <c r="S332" s="4">
        <f>INDEX(Dim_Product!$K$2:$K$4,MATCH(F332,Dim_Product!$A$2:$A$4,0))+-0.22</f>
        <v>119.78</v>
      </c>
      <c r="T332" s="4">
        <f>IF(AND(S332&gt;=INDEX(Dim_Product!$K$2:$K$4,MATCH(F332,Dim_Product!$A$2:$A$4,0))-INDEX(Dim_Product!$L$2:$L$4,MATCH(F332,Dim_Product!$A$2:$A$4,0)),S332&lt;=INDEX(Dim_Product!$K$2:$K$4,MATCH(F332,Dim_Product!$A$2:$A$4,0))+INDEX(Dim_Product!$L$2:$L$4,MATCH(F332,Dim_Product!$A$2:$A$4,0))),G332-H332,G332-H332-1)</f>
        <v>47</v>
      </c>
      <c r="U332" s="4">
        <f t="shared" si="45"/>
        <v>1</v>
      </c>
      <c r="V332" s="4">
        <f t="shared" si="46"/>
        <v>2.0833333333333332E-2</v>
      </c>
      <c r="W332" s="19">
        <f t="shared" si="47"/>
        <v>0.97916666666666663</v>
      </c>
    </row>
    <row r="333" spans="1:23" x14ac:dyDescent="0.25">
      <c r="A333" s="18" t="s">
        <v>834</v>
      </c>
      <c r="B333" s="4">
        <f>Fact_Production_Hourly!B333</f>
        <v>20260702</v>
      </c>
      <c r="C333" s="4">
        <f>Fact_Production_Hourly!C333</f>
        <v>23</v>
      </c>
      <c r="D333" s="4" t="str">
        <f>Fact_Production_Hourly!D333</f>
        <v>M3</v>
      </c>
      <c r="E333" s="4" t="str">
        <f>Fact_Production_Hourly!E333</f>
        <v>B-PM</v>
      </c>
      <c r="F333" s="4" t="str">
        <f>Fact_Production_Hourly!F333</f>
        <v>A</v>
      </c>
      <c r="G333" s="4">
        <f>INDEX(Dim_Machine!$D$2:$D$8,MATCH(D333,Dim_Machine!$A$2:$A$8,0))*2</f>
        <v>24</v>
      </c>
      <c r="H333" s="4">
        <f>ROUND(G333*0.0608,0)</f>
        <v>1</v>
      </c>
      <c r="I333" s="4">
        <f t="shared" si="40"/>
        <v>0</v>
      </c>
      <c r="J333" s="4">
        <f t="shared" si="41"/>
        <v>0</v>
      </c>
      <c r="K333" s="4">
        <f t="shared" si="42"/>
        <v>1</v>
      </c>
      <c r="L333" s="4" t="s">
        <v>503</v>
      </c>
      <c r="M333" s="4">
        <f>INDEX(Dim_Product!$C$2:$C$4,MATCH(F333,Dim_Product!$A$2:$A$4,0))+-0.29</f>
        <v>249.71</v>
      </c>
      <c r="N333" s="4">
        <f>IF(AND(M333&gt;=INDEX(Dim_Product!$C$2:$C$4,MATCH(F333,Dim_Product!$A$2:$A$4,0))-INDEX(Dim_Product!$D$2:$D$4,MATCH(F333,Dim_Product!$A$2:$A$4,0)),M333&lt;=INDEX(Dim_Product!$C$2:$C$4,MATCH(F333,Dim_Product!$A$2:$A$4,0))+INDEX(Dim_Product!$D$2:$D$4,MATCH(F333,Dim_Product!$A$2:$A$4,0))),G333-H333,G333-H333-1)</f>
        <v>23</v>
      </c>
      <c r="O333" s="4">
        <f t="shared" si="43"/>
        <v>1</v>
      </c>
      <c r="P333" s="4">
        <f>INDEX(Dim_Product!$G$2:$G$4,MATCH(F333,Dim_Product!$A$2:$A$4,0))+0.2</f>
        <v>70.2</v>
      </c>
      <c r="Q333" s="4">
        <f>IF(AND(P333&gt;=INDEX(Dim_Product!$G$2:$G$4,MATCH(F333,Dim_Product!$A$2:$A$4,0))-INDEX(Dim_Product!$H$2:$H$4,MATCH(F333,Dim_Product!$A$2:$A$4,0)),P333&lt;=INDEX(Dim_Product!$G$2:$G$4,MATCH(F333,Dim_Product!$A$2:$A$4,0))+INDEX(Dim_Product!$H$2:$H$4,MATCH(F333,Dim_Product!$A$2:$A$4,0))),G333-H333,G333-H333-1)</f>
        <v>23</v>
      </c>
      <c r="R333" s="4">
        <f t="shared" si="44"/>
        <v>1</v>
      </c>
      <c r="S333" s="4">
        <f>INDEX(Dim_Product!$K$2:$K$4,MATCH(F333,Dim_Product!$A$2:$A$4,0))+0.28</f>
        <v>120.28</v>
      </c>
      <c r="T333" s="4">
        <f>IF(AND(S333&gt;=INDEX(Dim_Product!$K$2:$K$4,MATCH(F333,Dim_Product!$A$2:$A$4,0))-INDEX(Dim_Product!$L$2:$L$4,MATCH(F333,Dim_Product!$A$2:$A$4,0)),S333&lt;=INDEX(Dim_Product!$K$2:$K$4,MATCH(F333,Dim_Product!$A$2:$A$4,0))+INDEX(Dim_Product!$L$2:$L$4,MATCH(F333,Dim_Product!$A$2:$A$4,0))),G333-H333,G333-H333-1)</f>
        <v>23</v>
      </c>
      <c r="U333" s="4">
        <f t="shared" si="45"/>
        <v>1</v>
      </c>
      <c r="V333" s="4">
        <f t="shared" si="46"/>
        <v>4.1666666666666664E-2</v>
      </c>
      <c r="W333" s="19">
        <f t="shared" si="47"/>
        <v>0.95833333333333337</v>
      </c>
    </row>
    <row r="334" spans="1:23" x14ac:dyDescent="0.25">
      <c r="A334" s="18" t="s">
        <v>835</v>
      </c>
      <c r="B334" s="4">
        <f>Fact_Production_Hourly!B334</f>
        <v>20260702</v>
      </c>
      <c r="C334" s="4">
        <f>Fact_Production_Hourly!C334</f>
        <v>23</v>
      </c>
      <c r="D334" s="4" t="str">
        <f>Fact_Production_Hourly!D334</f>
        <v>M4</v>
      </c>
      <c r="E334" s="4" t="str">
        <f>Fact_Production_Hourly!E334</f>
        <v>B-PM</v>
      </c>
      <c r="F334" s="4" t="str">
        <f>Fact_Production_Hourly!F334</f>
        <v>C</v>
      </c>
      <c r="G334" s="4">
        <f>INDEX(Dim_Machine!$D$2:$D$8,MATCH(D334,Dim_Machine!$A$2:$A$8,0))*2</f>
        <v>48</v>
      </c>
      <c r="H334" s="4">
        <f>ROUND(G334*0.0206,0)</f>
        <v>1</v>
      </c>
      <c r="I334" s="4">
        <f t="shared" si="40"/>
        <v>0</v>
      </c>
      <c r="J334" s="4">
        <f t="shared" si="41"/>
        <v>0</v>
      </c>
      <c r="K334" s="4">
        <f t="shared" si="42"/>
        <v>1</v>
      </c>
      <c r="L334" s="4" t="s">
        <v>509</v>
      </c>
      <c r="M334" s="4">
        <f>INDEX(Dim_Product!$C$2:$C$4,MATCH(F334,Dim_Product!$A$2:$A$4,0))+-0.36</f>
        <v>199.64</v>
      </c>
      <c r="N334" s="4">
        <f>IF(AND(M334&gt;=INDEX(Dim_Product!$C$2:$C$4,MATCH(F334,Dim_Product!$A$2:$A$4,0))-INDEX(Dim_Product!$D$2:$D$4,MATCH(F334,Dim_Product!$A$2:$A$4,0)),M334&lt;=INDEX(Dim_Product!$C$2:$C$4,MATCH(F334,Dim_Product!$A$2:$A$4,0))+INDEX(Dim_Product!$D$2:$D$4,MATCH(F334,Dim_Product!$A$2:$A$4,0))),G334-H334,G334-H334-1)</f>
        <v>47</v>
      </c>
      <c r="O334" s="4">
        <f t="shared" si="43"/>
        <v>1</v>
      </c>
      <c r="P334" s="4">
        <f>INDEX(Dim_Product!$G$2:$G$4,MATCH(F334,Dim_Product!$A$2:$A$4,0))+0.14</f>
        <v>65.14</v>
      </c>
      <c r="Q334" s="4">
        <f>IF(AND(P334&gt;=INDEX(Dim_Product!$G$2:$G$4,MATCH(F334,Dim_Product!$A$2:$A$4,0))-INDEX(Dim_Product!$H$2:$H$4,MATCH(F334,Dim_Product!$A$2:$A$4,0)),P334&lt;=INDEX(Dim_Product!$G$2:$G$4,MATCH(F334,Dim_Product!$A$2:$A$4,0))+INDEX(Dim_Product!$H$2:$H$4,MATCH(F334,Dim_Product!$A$2:$A$4,0))),G334-H334,G334-H334-1)</f>
        <v>47</v>
      </c>
      <c r="R334" s="4">
        <f t="shared" si="44"/>
        <v>1</v>
      </c>
      <c r="S334" s="4">
        <f>INDEX(Dim_Product!$K$2:$K$4,MATCH(F334,Dim_Product!$A$2:$A$4,0))+-0.11</f>
        <v>109.89</v>
      </c>
      <c r="T334" s="4">
        <f>IF(AND(S334&gt;=INDEX(Dim_Product!$K$2:$K$4,MATCH(F334,Dim_Product!$A$2:$A$4,0))-INDEX(Dim_Product!$L$2:$L$4,MATCH(F334,Dim_Product!$A$2:$A$4,0)),S334&lt;=INDEX(Dim_Product!$K$2:$K$4,MATCH(F334,Dim_Product!$A$2:$A$4,0))+INDEX(Dim_Product!$L$2:$L$4,MATCH(F334,Dim_Product!$A$2:$A$4,0))),G334-H334,G334-H334-1)</f>
        <v>47</v>
      </c>
      <c r="U334" s="4">
        <f t="shared" si="45"/>
        <v>1</v>
      </c>
      <c r="V334" s="4">
        <f t="shared" si="46"/>
        <v>2.0833333333333332E-2</v>
      </c>
      <c r="W334" s="19">
        <f t="shared" si="47"/>
        <v>0.97916666666666663</v>
      </c>
    </row>
    <row r="335" spans="1:23" x14ac:dyDescent="0.25">
      <c r="A335" s="18" t="s">
        <v>836</v>
      </c>
      <c r="B335" s="4">
        <f>Fact_Production_Hourly!B335</f>
        <v>20260702</v>
      </c>
      <c r="C335" s="4">
        <f>Fact_Production_Hourly!C335</f>
        <v>23</v>
      </c>
      <c r="D335" s="4" t="str">
        <f>Fact_Production_Hourly!D335</f>
        <v>M5</v>
      </c>
      <c r="E335" s="4" t="str">
        <f>Fact_Production_Hourly!E335</f>
        <v>B-PM</v>
      </c>
      <c r="F335" s="4" t="str">
        <f>Fact_Production_Hourly!F335</f>
        <v>A</v>
      </c>
      <c r="G335" s="4">
        <f>INDEX(Dim_Machine!$D$2:$D$8,MATCH(D335,Dim_Machine!$A$2:$A$8,0))*2</f>
        <v>32</v>
      </c>
      <c r="H335" s="4">
        <f>ROUND(G335*0.0455,0)</f>
        <v>1</v>
      </c>
      <c r="I335" s="4">
        <f t="shared" si="40"/>
        <v>0</v>
      </c>
      <c r="J335" s="4">
        <f t="shared" si="41"/>
        <v>0</v>
      </c>
      <c r="K335" s="4">
        <f t="shared" si="42"/>
        <v>1</v>
      </c>
      <c r="L335" s="4" t="s">
        <v>520</v>
      </c>
      <c r="M335" s="4">
        <f>INDEX(Dim_Product!$C$2:$C$4,MATCH(F335,Dim_Product!$A$2:$A$4,0))+0.4</f>
        <v>250.4</v>
      </c>
      <c r="N335" s="4">
        <f>IF(AND(M335&gt;=INDEX(Dim_Product!$C$2:$C$4,MATCH(F335,Dim_Product!$A$2:$A$4,0))-INDEX(Dim_Product!$D$2:$D$4,MATCH(F335,Dim_Product!$A$2:$A$4,0)),M335&lt;=INDEX(Dim_Product!$C$2:$C$4,MATCH(F335,Dim_Product!$A$2:$A$4,0))+INDEX(Dim_Product!$D$2:$D$4,MATCH(F335,Dim_Product!$A$2:$A$4,0))),G335-H335,G335-H335-1)</f>
        <v>31</v>
      </c>
      <c r="O335" s="4">
        <f t="shared" si="43"/>
        <v>1</v>
      </c>
      <c r="P335" s="4">
        <f>INDEX(Dim_Product!$G$2:$G$4,MATCH(F335,Dim_Product!$A$2:$A$4,0))+0.27</f>
        <v>70.27</v>
      </c>
      <c r="Q335" s="4">
        <f>IF(AND(P335&gt;=INDEX(Dim_Product!$G$2:$G$4,MATCH(F335,Dim_Product!$A$2:$A$4,0))-INDEX(Dim_Product!$H$2:$H$4,MATCH(F335,Dim_Product!$A$2:$A$4,0)),P335&lt;=INDEX(Dim_Product!$G$2:$G$4,MATCH(F335,Dim_Product!$A$2:$A$4,0))+INDEX(Dim_Product!$H$2:$H$4,MATCH(F335,Dim_Product!$A$2:$A$4,0))),G335-H335,G335-H335-1)</f>
        <v>31</v>
      </c>
      <c r="R335" s="4">
        <f t="shared" si="44"/>
        <v>1</v>
      </c>
      <c r="S335" s="4">
        <f>INDEX(Dim_Product!$K$2:$K$4,MATCH(F335,Dim_Product!$A$2:$A$4,0))+0.05</f>
        <v>120.05</v>
      </c>
      <c r="T335" s="4">
        <f>IF(AND(S335&gt;=INDEX(Dim_Product!$K$2:$K$4,MATCH(F335,Dim_Product!$A$2:$A$4,0))-INDEX(Dim_Product!$L$2:$L$4,MATCH(F335,Dim_Product!$A$2:$A$4,0)),S335&lt;=INDEX(Dim_Product!$K$2:$K$4,MATCH(F335,Dim_Product!$A$2:$A$4,0))+INDEX(Dim_Product!$L$2:$L$4,MATCH(F335,Dim_Product!$A$2:$A$4,0))),G335-H335,G335-H335-1)</f>
        <v>31</v>
      </c>
      <c r="U335" s="4">
        <f t="shared" si="45"/>
        <v>1</v>
      </c>
      <c r="V335" s="4">
        <f t="shared" si="46"/>
        <v>3.125E-2</v>
      </c>
      <c r="W335" s="19">
        <f t="shared" si="47"/>
        <v>0.96875</v>
      </c>
    </row>
    <row r="336" spans="1:23" x14ac:dyDescent="0.25">
      <c r="A336" s="18" t="s">
        <v>837</v>
      </c>
      <c r="B336" s="4">
        <f>Fact_Production_Hourly!B336</f>
        <v>20260702</v>
      </c>
      <c r="C336" s="4">
        <f>Fact_Production_Hourly!C336</f>
        <v>23</v>
      </c>
      <c r="D336" s="4" t="str">
        <f>Fact_Production_Hourly!D336</f>
        <v>M6</v>
      </c>
      <c r="E336" s="4" t="str">
        <f>Fact_Production_Hourly!E336</f>
        <v>B-PM</v>
      </c>
      <c r="F336" s="4" t="str">
        <f>Fact_Production_Hourly!F336</f>
        <v>A</v>
      </c>
      <c r="G336" s="4">
        <f>INDEX(Dim_Machine!$D$2:$D$8,MATCH(D336,Dim_Machine!$A$2:$A$8,0))*2</f>
        <v>24</v>
      </c>
      <c r="H336" s="4">
        <f>ROUND(G336*0.0438,0)</f>
        <v>1</v>
      </c>
      <c r="I336" s="4">
        <f t="shared" si="40"/>
        <v>0</v>
      </c>
      <c r="J336" s="4">
        <f t="shared" si="41"/>
        <v>0</v>
      </c>
      <c r="K336" s="4">
        <f t="shared" si="42"/>
        <v>1</v>
      </c>
      <c r="L336" s="4" t="s">
        <v>500</v>
      </c>
      <c r="M336" s="4">
        <f>INDEX(Dim_Product!$C$2:$C$4,MATCH(F336,Dim_Product!$A$2:$A$4,0))+0.67</f>
        <v>250.67</v>
      </c>
      <c r="N336" s="4">
        <f>IF(AND(M336&gt;=INDEX(Dim_Product!$C$2:$C$4,MATCH(F336,Dim_Product!$A$2:$A$4,0))-INDEX(Dim_Product!$D$2:$D$4,MATCH(F336,Dim_Product!$A$2:$A$4,0)),M336&lt;=INDEX(Dim_Product!$C$2:$C$4,MATCH(F336,Dim_Product!$A$2:$A$4,0))+INDEX(Dim_Product!$D$2:$D$4,MATCH(F336,Dim_Product!$A$2:$A$4,0))),G336-H336,G336-H336-1)</f>
        <v>23</v>
      </c>
      <c r="O336" s="4">
        <f t="shared" si="43"/>
        <v>1</v>
      </c>
      <c r="P336" s="4">
        <f>INDEX(Dim_Product!$G$2:$G$4,MATCH(F336,Dim_Product!$A$2:$A$4,0))+0.19</f>
        <v>70.19</v>
      </c>
      <c r="Q336" s="4">
        <f>IF(AND(P336&gt;=INDEX(Dim_Product!$G$2:$G$4,MATCH(F336,Dim_Product!$A$2:$A$4,0))-INDEX(Dim_Product!$H$2:$H$4,MATCH(F336,Dim_Product!$A$2:$A$4,0)),P336&lt;=INDEX(Dim_Product!$G$2:$G$4,MATCH(F336,Dim_Product!$A$2:$A$4,0))+INDEX(Dim_Product!$H$2:$H$4,MATCH(F336,Dim_Product!$A$2:$A$4,0))),G336-H336,G336-H336-1)</f>
        <v>23</v>
      </c>
      <c r="R336" s="4">
        <f t="shared" si="44"/>
        <v>1</v>
      </c>
      <c r="S336" s="4">
        <f>INDEX(Dim_Product!$K$2:$K$4,MATCH(F336,Dim_Product!$A$2:$A$4,0))+0.38</f>
        <v>120.38</v>
      </c>
      <c r="T336" s="4">
        <f>IF(AND(S336&gt;=INDEX(Dim_Product!$K$2:$K$4,MATCH(F336,Dim_Product!$A$2:$A$4,0))-INDEX(Dim_Product!$L$2:$L$4,MATCH(F336,Dim_Product!$A$2:$A$4,0)),S336&lt;=INDEX(Dim_Product!$K$2:$K$4,MATCH(F336,Dim_Product!$A$2:$A$4,0))+INDEX(Dim_Product!$L$2:$L$4,MATCH(F336,Dim_Product!$A$2:$A$4,0))),G336-H336,G336-H336-1)</f>
        <v>23</v>
      </c>
      <c r="U336" s="4">
        <f t="shared" si="45"/>
        <v>1</v>
      </c>
      <c r="V336" s="4">
        <f t="shared" si="46"/>
        <v>4.1666666666666664E-2</v>
      </c>
      <c r="W336" s="19">
        <f t="shared" si="47"/>
        <v>0.95833333333333337</v>
      </c>
    </row>
    <row r="337" spans="1:23" x14ac:dyDescent="0.25">
      <c r="A337" s="20" t="s">
        <v>838</v>
      </c>
      <c r="B337" s="21">
        <f>Fact_Production_Hourly!B337</f>
        <v>20260702</v>
      </c>
      <c r="C337" s="21">
        <f>Fact_Production_Hourly!C337</f>
        <v>23</v>
      </c>
      <c r="D337" s="21" t="str">
        <f>Fact_Production_Hourly!D337</f>
        <v>M7</v>
      </c>
      <c r="E337" s="21" t="str">
        <f>Fact_Production_Hourly!E337</f>
        <v>B-PM</v>
      </c>
      <c r="F337" s="21" t="str">
        <f>Fact_Production_Hourly!F337</f>
        <v>C</v>
      </c>
      <c r="G337" s="21">
        <f>INDEX(Dim_Machine!$D$2:$D$8,MATCH(D337,Dim_Machine!$A$2:$A$8,0))*2</f>
        <v>48</v>
      </c>
      <c r="H337" s="21">
        <f>ROUND(G337*0.0425,0)</f>
        <v>2</v>
      </c>
      <c r="I337" s="21">
        <f t="shared" si="40"/>
        <v>0</v>
      </c>
      <c r="J337" s="21">
        <f t="shared" si="41"/>
        <v>1</v>
      </c>
      <c r="K337" s="21">
        <f t="shared" si="42"/>
        <v>1</v>
      </c>
      <c r="L337" s="21" t="s">
        <v>500</v>
      </c>
      <c r="M337" s="21">
        <f>INDEX(Dim_Product!$C$2:$C$4,MATCH(F337,Dim_Product!$A$2:$A$4,0))+-0.02</f>
        <v>199.98</v>
      </c>
      <c r="N337" s="21">
        <f>IF(AND(M337&gt;=INDEX(Dim_Product!$C$2:$C$4,MATCH(F337,Dim_Product!$A$2:$A$4,0))-INDEX(Dim_Product!$D$2:$D$4,MATCH(F337,Dim_Product!$A$2:$A$4,0)),M337&lt;=INDEX(Dim_Product!$C$2:$C$4,MATCH(F337,Dim_Product!$A$2:$A$4,0))+INDEX(Dim_Product!$D$2:$D$4,MATCH(F337,Dim_Product!$A$2:$A$4,0))),G337-H337,G337-H337-1)</f>
        <v>46</v>
      </c>
      <c r="O337" s="21">
        <f t="shared" si="43"/>
        <v>2</v>
      </c>
      <c r="P337" s="21">
        <f>INDEX(Dim_Product!$G$2:$G$4,MATCH(F337,Dim_Product!$A$2:$A$4,0))+-0.25</f>
        <v>64.75</v>
      </c>
      <c r="Q337" s="21">
        <f>IF(AND(P337&gt;=INDEX(Dim_Product!$G$2:$G$4,MATCH(F337,Dim_Product!$A$2:$A$4,0))-INDEX(Dim_Product!$H$2:$H$4,MATCH(F337,Dim_Product!$A$2:$A$4,0)),P337&lt;=INDEX(Dim_Product!$G$2:$G$4,MATCH(F337,Dim_Product!$A$2:$A$4,0))+INDEX(Dim_Product!$H$2:$H$4,MATCH(F337,Dim_Product!$A$2:$A$4,0))),G337-H337,G337-H337-1)</f>
        <v>46</v>
      </c>
      <c r="R337" s="21">
        <f t="shared" si="44"/>
        <v>2</v>
      </c>
      <c r="S337" s="21">
        <f>INDEX(Dim_Product!$K$2:$K$4,MATCH(F337,Dim_Product!$A$2:$A$4,0))+-0.21</f>
        <v>109.79</v>
      </c>
      <c r="T337" s="21">
        <f>IF(AND(S337&gt;=INDEX(Dim_Product!$K$2:$K$4,MATCH(F337,Dim_Product!$A$2:$A$4,0))-INDEX(Dim_Product!$L$2:$L$4,MATCH(F337,Dim_Product!$A$2:$A$4,0)),S337&lt;=INDEX(Dim_Product!$K$2:$K$4,MATCH(F337,Dim_Product!$A$2:$A$4,0))+INDEX(Dim_Product!$L$2:$L$4,MATCH(F337,Dim_Product!$A$2:$A$4,0))),G337-H337,G337-H337-1)</f>
        <v>46</v>
      </c>
      <c r="U337" s="21">
        <f t="shared" si="45"/>
        <v>2</v>
      </c>
      <c r="V337" s="21">
        <f t="shared" si="46"/>
        <v>4.1666666666666664E-2</v>
      </c>
      <c r="W337" s="22">
        <f t="shared" si="47"/>
        <v>0.95833333333333337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017"/>
  <sheetViews>
    <sheetView zoomScaleNormal="100" workbookViewId="0">
      <pane xSplit="7" ySplit="1" topLeftCell="H1994" activePane="bottomRight" state="frozen"/>
      <selection pane="topRight" activeCell="H1" sqref="H1"/>
      <selection pane="bottomLeft" activeCell="A2" sqref="A2"/>
      <selection pane="bottomRight" activeCell="H1994" sqref="H1994"/>
    </sheetView>
  </sheetViews>
  <sheetFormatPr defaultColWidth="8.7109375" defaultRowHeight="15" x14ac:dyDescent="0.25"/>
  <cols>
    <col min="1" max="1" width="22" customWidth="1"/>
    <col min="2" max="2" width="14.85546875" customWidth="1"/>
    <col min="3" max="3" width="15" customWidth="1"/>
    <col min="4" max="4" width="18.42578125" customWidth="1"/>
    <col min="5" max="5" width="15" customWidth="1"/>
    <col min="6" max="7" width="17.7109375" customWidth="1"/>
    <col min="8" max="8" width="14.140625" customWidth="1"/>
  </cols>
  <sheetData>
    <row r="1" spans="1:8" ht="30" customHeight="1" x14ac:dyDescent="0.25">
      <c r="A1" s="15" t="s">
        <v>980</v>
      </c>
      <c r="B1" s="16" t="s">
        <v>122</v>
      </c>
      <c r="C1" s="16" t="s">
        <v>123</v>
      </c>
      <c r="D1" s="16" t="s">
        <v>124</v>
      </c>
      <c r="E1" s="16" t="s">
        <v>125</v>
      </c>
      <c r="F1" s="16" t="s">
        <v>126</v>
      </c>
      <c r="G1" s="16" t="s">
        <v>981</v>
      </c>
      <c r="H1" s="17" t="s">
        <v>982</v>
      </c>
    </row>
    <row r="2" spans="1:8" x14ac:dyDescent="0.25">
      <c r="A2" s="18" t="s">
        <v>983</v>
      </c>
      <c r="B2" s="4">
        <f>Fact_Defect_Split!B2</f>
        <v>20260701</v>
      </c>
      <c r="C2" s="4">
        <f>Fact_Defect_Split!C2</f>
        <v>0</v>
      </c>
      <c r="D2" s="4" t="str">
        <f>Fact_Defect_Split!D2</f>
        <v>M1</v>
      </c>
      <c r="E2" s="4" t="str">
        <f>Fact_Defect_Split!E2</f>
        <v>B-PM</v>
      </c>
      <c r="F2" s="4" t="str">
        <f>Fact_Defect_Split!F2</f>
        <v>A</v>
      </c>
      <c r="G2" s="4" t="s">
        <v>498</v>
      </c>
      <c r="H2" s="19">
        <f>Fact_Defect_Split!G2</f>
        <v>0</v>
      </c>
    </row>
    <row r="3" spans="1:8" x14ac:dyDescent="0.25">
      <c r="A3" s="18" t="s">
        <v>984</v>
      </c>
      <c r="B3" s="4">
        <f>Fact_Defect_Split!B2</f>
        <v>20260701</v>
      </c>
      <c r="C3" s="4">
        <f>Fact_Defect_Split!C2</f>
        <v>0</v>
      </c>
      <c r="D3" s="4" t="str">
        <f>Fact_Defect_Split!D2</f>
        <v>M1</v>
      </c>
      <c r="E3" s="4" t="str">
        <f>Fact_Defect_Split!E2</f>
        <v>B-PM</v>
      </c>
      <c r="F3" s="4" t="str">
        <f>Fact_Defect_Split!F2</f>
        <v>A</v>
      </c>
      <c r="G3" s="4" t="s">
        <v>500</v>
      </c>
      <c r="H3" s="19">
        <f>Fact_Defect_Split!H2</f>
        <v>0</v>
      </c>
    </row>
    <row r="4" spans="1:8" x14ac:dyDescent="0.25">
      <c r="A4" s="18" t="s">
        <v>985</v>
      </c>
      <c r="B4" s="4">
        <f>Fact_Defect_Split!B2</f>
        <v>20260701</v>
      </c>
      <c r="C4" s="4">
        <f>Fact_Defect_Split!C2</f>
        <v>0</v>
      </c>
      <c r="D4" s="4" t="str">
        <f>Fact_Defect_Split!D2</f>
        <v>M1</v>
      </c>
      <c r="E4" s="4" t="str">
        <f>Fact_Defect_Split!E2</f>
        <v>B-PM</v>
      </c>
      <c r="F4" s="4" t="str">
        <f>Fact_Defect_Split!F2</f>
        <v>A</v>
      </c>
      <c r="G4" s="4" t="s">
        <v>517</v>
      </c>
      <c r="H4" s="19">
        <f>Fact_Defect_Split!I2</f>
        <v>0</v>
      </c>
    </row>
    <row r="5" spans="1:8" x14ac:dyDescent="0.25">
      <c r="A5" s="18" t="s">
        <v>986</v>
      </c>
      <c r="B5" s="4">
        <f>Fact_Defect_Split!B2</f>
        <v>20260701</v>
      </c>
      <c r="C5" s="4">
        <f>Fact_Defect_Split!C2</f>
        <v>0</v>
      </c>
      <c r="D5" s="4" t="str">
        <f>Fact_Defect_Split!D2</f>
        <v>M1</v>
      </c>
      <c r="E5" s="4" t="str">
        <f>Fact_Defect_Split!E2</f>
        <v>B-PM</v>
      </c>
      <c r="F5" s="4" t="str">
        <f>Fact_Defect_Split!F2</f>
        <v>A</v>
      </c>
      <c r="G5" s="4" t="s">
        <v>503</v>
      </c>
      <c r="H5" s="19">
        <f>Fact_Defect_Split!J2</f>
        <v>0</v>
      </c>
    </row>
    <row r="6" spans="1:8" x14ac:dyDescent="0.25">
      <c r="A6" s="18" t="s">
        <v>987</v>
      </c>
      <c r="B6" s="4">
        <f>Fact_Defect_Split!B2</f>
        <v>20260701</v>
      </c>
      <c r="C6" s="4">
        <f>Fact_Defect_Split!C2</f>
        <v>0</v>
      </c>
      <c r="D6" s="4" t="str">
        <f>Fact_Defect_Split!D2</f>
        <v>M1</v>
      </c>
      <c r="E6" s="4" t="str">
        <f>Fact_Defect_Split!E2</f>
        <v>B-PM</v>
      </c>
      <c r="F6" s="4" t="str">
        <f>Fact_Defect_Split!F2</f>
        <v>A</v>
      </c>
      <c r="G6" s="4" t="s">
        <v>509</v>
      </c>
      <c r="H6" s="19">
        <f>Fact_Defect_Split!K2</f>
        <v>1</v>
      </c>
    </row>
    <row r="7" spans="1:8" x14ac:dyDescent="0.25">
      <c r="A7" s="18" t="s">
        <v>988</v>
      </c>
      <c r="B7" s="4">
        <f>Fact_Defect_Split!B2</f>
        <v>20260701</v>
      </c>
      <c r="C7" s="4">
        <f>Fact_Defect_Split!C2</f>
        <v>0</v>
      </c>
      <c r="D7" s="4" t="str">
        <f>Fact_Defect_Split!D2</f>
        <v>M1</v>
      </c>
      <c r="E7" s="4" t="str">
        <f>Fact_Defect_Split!E2</f>
        <v>B-PM</v>
      </c>
      <c r="F7" s="4" t="str">
        <f>Fact_Defect_Split!F2</f>
        <v>A</v>
      </c>
      <c r="G7" s="4" t="s">
        <v>520</v>
      </c>
      <c r="H7" s="19">
        <f>Fact_Defect_Split!L2</f>
        <v>0</v>
      </c>
    </row>
    <row r="8" spans="1:8" x14ac:dyDescent="0.25">
      <c r="A8" s="18" t="s">
        <v>989</v>
      </c>
      <c r="B8" s="4">
        <f>Fact_Defect_Split!B3</f>
        <v>20260701</v>
      </c>
      <c r="C8" s="4">
        <f>Fact_Defect_Split!C3</f>
        <v>0</v>
      </c>
      <c r="D8" s="4" t="str">
        <f>Fact_Defect_Split!D3</f>
        <v>M2</v>
      </c>
      <c r="E8" s="4" t="str">
        <f>Fact_Defect_Split!E3</f>
        <v>B-PM</v>
      </c>
      <c r="F8" s="4" t="str">
        <f>Fact_Defect_Split!F3</f>
        <v>C</v>
      </c>
      <c r="G8" s="4" t="s">
        <v>498</v>
      </c>
      <c r="H8" s="19">
        <f>Fact_Defect_Split!G3</f>
        <v>0</v>
      </c>
    </row>
    <row r="9" spans="1:8" x14ac:dyDescent="0.25">
      <c r="A9" s="18" t="s">
        <v>990</v>
      </c>
      <c r="B9" s="4">
        <f>Fact_Defect_Split!B3</f>
        <v>20260701</v>
      </c>
      <c r="C9" s="4">
        <f>Fact_Defect_Split!C3</f>
        <v>0</v>
      </c>
      <c r="D9" s="4" t="str">
        <f>Fact_Defect_Split!D3</f>
        <v>M2</v>
      </c>
      <c r="E9" s="4" t="str">
        <f>Fact_Defect_Split!E3</f>
        <v>B-PM</v>
      </c>
      <c r="F9" s="4" t="str">
        <f>Fact_Defect_Split!F3</f>
        <v>C</v>
      </c>
      <c r="G9" s="4" t="s">
        <v>500</v>
      </c>
      <c r="H9" s="19">
        <f>Fact_Defect_Split!H3</f>
        <v>0</v>
      </c>
    </row>
    <row r="10" spans="1:8" x14ac:dyDescent="0.25">
      <c r="A10" s="18" t="s">
        <v>991</v>
      </c>
      <c r="B10" s="4">
        <f>Fact_Defect_Split!B3</f>
        <v>20260701</v>
      </c>
      <c r="C10" s="4">
        <f>Fact_Defect_Split!C3</f>
        <v>0</v>
      </c>
      <c r="D10" s="4" t="str">
        <f>Fact_Defect_Split!D3</f>
        <v>M2</v>
      </c>
      <c r="E10" s="4" t="str">
        <f>Fact_Defect_Split!E3</f>
        <v>B-PM</v>
      </c>
      <c r="F10" s="4" t="str">
        <f>Fact_Defect_Split!F3</f>
        <v>C</v>
      </c>
      <c r="G10" s="4" t="s">
        <v>517</v>
      </c>
      <c r="H10" s="19">
        <f>Fact_Defect_Split!I3</f>
        <v>0</v>
      </c>
    </row>
    <row r="11" spans="1:8" x14ac:dyDescent="0.25">
      <c r="A11" s="18" t="s">
        <v>992</v>
      </c>
      <c r="B11" s="4">
        <f>Fact_Defect_Split!B3</f>
        <v>20260701</v>
      </c>
      <c r="C11" s="4">
        <f>Fact_Defect_Split!C3</f>
        <v>0</v>
      </c>
      <c r="D11" s="4" t="str">
        <f>Fact_Defect_Split!D3</f>
        <v>M2</v>
      </c>
      <c r="E11" s="4" t="str">
        <f>Fact_Defect_Split!E3</f>
        <v>B-PM</v>
      </c>
      <c r="F11" s="4" t="str">
        <f>Fact_Defect_Split!F3</f>
        <v>C</v>
      </c>
      <c r="G11" s="4" t="s">
        <v>503</v>
      </c>
      <c r="H11" s="19">
        <f>Fact_Defect_Split!J3</f>
        <v>0</v>
      </c>
    </row>
    <row r="12" spans="1:8" x14ac:dyDescent="0.25">
      <c r="A12" s="18" t="s">
        <v>993</v>
      </c>
      <c r="B12" s="4">
        <f>Fact_Defect_Split!B3</f>
        <v>20260701</v>
      </c>
      <c r="C12" s="4">
        <f>Fact_Defect_Split!C3</f>
        <v>0</v>
      </c>
      <c r="D12" s="4" t="str">
        <f>Fact_Defect_Split!D3</f>
        <v>M2</v>
      </c>
      <c r="E12" s="4" t="str">
        <f>Fact_Defect_Split!E3</f>
        <v>B-PM</v>
      </c>
      <c r="F12" s="4" t="str">
        <f>Fact_Defect_Split!F3</f>
        <v>C</v>
      </c>
      <c r="G12" s="4" t="s">
        <v>509</v>
      </c>
      <c r="H12" s="19">
        <f>Fact_Defect_Split!K3</f>
        <v>1</v>
      </c>
    </row>
    <row r="13" spans="1:8" x14ac:dyDescent="0.25">
      <c r="A13" s="18" t="s">
        <v>994</v>
      </c>
      <c r="B13" s="4">
        <f>Fact_Defect_Split!B3</f>
        <v>20260701</v>
      </c>
      <c r="C13" s="4">
        <f>Fact_Defect_Split!C3</f>
        <v>0</v>
      </c>
      <c r="D13" s="4" t="str">
        <f>Fact_Defect_Split!D3</f>
        <v>M2</v>
      </c>
      <c r="E13" s="4" t="str">
        <f>Fact_Defect_Split!E3</f>
        <v>B-PM</v>
      </c>
      <c r="F13" s="4" t="str">
        <f>Fact_Defect_Split!F3</f>
        <v>C</v>
      </c>
      <c r="G13" s="4" t="s">
        <v>520</v>
      </c>
      <c r="H13" s="19">
        <f>Fact_Defect_Split!L3</f>
        <v>0</v>
      </c>
    </row>
    <row r="14" spans="1:8" x14ac:dyDescent="0.25">
      <c r="A14" s="18" t="s">
        <v>995</v>
      </c>
      <c r="B14" s="4">
        <f>Fact_Defect_Split!B4</f>
        <v>20260701</v>
      </c>
      <c r="C14" s="4">
        <f>Fact_Defect_Split!C4</f>
        <v>0</v>
      </c>
      <c r="D14" s="4" t="str">
        <f>Fact_Defect_Split!D4</f>
        <v>M3</v>
      </c>
      <c r="E14" s="4" t="str">
        <f>Fact_Defect_Split!E4</f>
        <v>B-PM</v>
      </c>
      <c r="F14" s="4" t="str">
        <f>Fact_Defect_Split!F4</f>
        <v>A</v>
      </c>
      <c r="G14" s="4" t="s">
        <v>498</v>
      </c>
      <c r="H14" s="19">
        <f>Fact_Defect_Split!G4</f>
        <v>0</v>
      </c>
    </row>
    <row r="15" spans="1:8" x14ac:dyDescent="0.25">
      <c r="A15" s="18" t="s">
        <v>996</v>
      </c>
      <c r="B15" s="4">
        <f>Fact_Defect_Split!B4</f>
        <v>20260701</v>
      </c>
      <c r="C15" s="4">
        <f>Fact_Defect_Split!C4</f>
        <v>0</v>
      </c>
      <c r="D15" s="4" t="str">
        <f>Fact_Defect_Split!D4</f>
        <v>M3</v>
      </c>
      <c r="E15" s="4" t="str">
        <f>Fact_Defect_Split!E4</f>
        <v>B-PM</v>
      </c>
      <c r="F15" s="4" t="str">
        <f>Fact_Defect_Split!F4</f>
        <v>A</v>
      </c>
      <c r="G15" s="4" t="s">
        <v>500</v>
      </c>
      <c r="H15" s="19">
        <f>Fact_Defect_Split!H4</f>
        <v>0</v>
      </c>
    </row>
    <row r="16" spans="1:8" x14ac:dyDescent="0.25">
      <c r="A16" s="18" t="s">
        <v>997</v>
      </c>
      <c r="B16" s="4">
        <f>Fact_Defect_Split!B4</f>
        <v>20260701</v>
      </c>
      <c r="C16" s="4">
        <f>Fact_Defect_Split!C4</f>
        <v>0</v>
      </c>
      <c r="D16" s="4" t="str">
        <f>Fact_Defect_Split!D4</f>
        <v>M3</v>
      </c>
      <c r="E16" s="4" t="str">
        <f>Fact_Defect_Split!E4</f>
        <v>B-PM</v>
      </c>
      <c r="F16" s="4" t="str">
        <f>Fact_Defect_Split!F4</f>
        <v>A</v>
      </c>
      <c r="G16" s="4" t="s">
        <v>517</v>
      </c>
      <c r="H16" s="19">
        <f>Fact_Defect_Split!I4</f>
        <v>0</v>
      </c>
    </row>
    <row r="17" spans="1:8" x14ac:dyDescent="0.25">
      <c r="A17" s="18" t="s">
        <v>998</v>
      </c>
      <c r="B17" s="4">
        <f>Fact_Defect_Split!B4</f>
        <v>20260701</v>
      </c>
      <c r="C17" s="4">
        <f>Fact_Defect_Split!C4</f>
        <v>0</v>
      </c>
      <c r="D17" s="4" t="str">
        <f>Fact_Defect_Split!D4</f>
        <v>M3</v>
      </c>
      <c r="E17" s="4" t="str">
        <f>Fact_Defect_Split!E4</f>
        <v>B-PM</v>
      </c>
      <c r="F17" s="4" t="str">
        <f>Fact_Defect_Split!F4</f>
        <v>A</v>
      </c>
      <c r="G17" s="4" t="s">
        <v>503</v>
      </c>
      <c r="H17" s="19">
        <f>Fact_Defect_Split!J4</f>
        <v>0</v>
      </c>
    </row>
    <row r="18" spans="1:8" x14ac:dyDescent="0.25">
      <c r="A18" s="18" t="s">
        <v>999</v>
      </c>
      <c r="B18" s="4">
        <f>Fact_Defect_Split!B4</f>
        <v>20260701</v>
      </c>
      <c r="C18" s="4">
        <f>Fact_Defect_Split!C4</f>
        <v>0</v>
      </c>
      <c r="D18" s="4" t="str">
        <f>Fact_Defect_Split!D4</f>
        <v>M3</v>
      </c>
      <c r="E18" s="4" t="str">
        <f>Fact_Defect_Split!E4</f>
        <v>B-PM</v>
      </c>
      <c r="F18" s="4" t="str">
        <f>Fact_Defect_Split!F4</f>
        <v>A</v>
      </c>
      <c r="G18" s="4" t="s">
        <v>509</v>
      </c>
      <c r="H18" s="19">
        <f>Fact_Defect_Split!K4</f>
        <v>0</v>
      </c>
    </row>
    <row r="19" spans="1:8" x14ac:dyDescent="0.25">
      <c r="A19" s="18" t="s">
        <v>1000</v>
      </c>
      <c r="B19" s="4">
        <f>Fact_Defect_Split!B4</f>
        <v>20260701</v>
      </c>
      <c r="C19" s="4">
        <f>Fact_Defect_Split!C4</f>
        <v>0</v>
      </c>
      <c r="D19" s="4" t="str">
        <f>Fact_Defect_Split!D4</f>
        <v>M3</v>
      </c>
      <c r="E19" s="4" t="str">
        <f>Fact_Defect_Split!E4</f>
        <v>B-PM</v>
      </c>
      <c r="F19" s="4" t="str">
        <f>Fact_Defect_Split!F4</f>
        <v>A</v>
      </c>
      <c r="G19" s="4" t="s">
        <v>520</v>
      </c>
      <c r="H19" s="19">
        <f>Fact_Defect_Split!L4</f>
        <v>1</v>
      </c>
    </row>
    <row r="20" spans="1:8" x14ac:dyDescent="0.25">
      <c r="A20" s="18" t="s">
        <v>1001</v>
      </c>
      <c r="B20" s="4">
        <f>Fact_Defect_Split!B5</f>
        <v>20260701</v>
      </c>
      <c r="C20" s="4">
        <f>Fact_Defect_Split!C5</f>
        <v>0</v>
      </c>
      <c r="D20" s="4" t="str">
        <f>Fact_Defect_Split!D5</f>
        <v>M4</v>
      </c>
      <c r="E20" s="4" t="str">
        <f>Fact_Defect_Split!E5</f>
        <v>B-PM</v>
      </c>
      <c r="F20" s="4" t="str">
        <f>Fact_Defect_Split!F5</f>
        <v>A</v>
      </c>
      <c r="G20" s="4" t="s">
        <v>498</v>
      </c>
      <c r="H20" s="19">
        <f>Fact_Defect_Split!G5</f>
        <v>0</v>
      </c>
    </row>
    <row r="21" spans="1:8" x14ac:dyDescent="0.25">
      <c r="A21" s="18" t="s">
        <v>1002</v>
      </c>
      <c r="B21" s="4">
        <f>Fact_Defect_Split!B5</f>
        <v>20260701</v>
      </c>
      <c r="C21" s="4">
        <f>Fact_Defect_Split!C5</f>
        <v>0</v>
      </c>
      <c r="D21" s="4" t="str">
        <f>Fact_Defect_Split!D5</f>
        <v>M4</v>
      </c>
      <c r="E21" s="4" t="str">
        <f>Fact_Defect_Split!E5</f>
        <v>B-PM</v>
      </c>
      <c r="F21" s="4" t="str">
        <f>Fact_Defect_Split!F5</f>
        <v>A</v>
      </c>
      <c r="G21" s="4" t="s">
        <v>500</v>
      </c>
      <c r="H21" s="19">
        <f>Fact_Defect_Split!H5</f>
        <v>0</v>
      </c>
    </row>
    <row r="22" spans="1:8" x14ac:dyDescent="0.25">
      <c r="A22" s="18" t="s">
        <v>1003</v>
      </c>
      <c r="B22" s="4">
        <f>Fact_Defect_Split!B5</f>
        <v>20260701</v>
      </c>
      <c r="C22" s="4">
        <f>Fact_Defect_Split!C5</f>
        <v>0</v>
      </c>
      <c r="D22" s="4" t="str">
        <f>Fact_Defect_Split!D5</f>
        <v>M4</v>
      </c>
      <c r="E22" s="4" t="str">
        <f>Fact_Defect_Split!E5</f>
        <v>B-PM</v>
      </c>
      <c r="F22" s="4" t="str">
        <f>Fact_Defect_Split!F5</f>
        <v>A</v>
      </c>
      <c r="G22" s="4" t="s">
        <v>517</v>
      </c>
      <c r="H22" s="19">
        <f>Fact_Defect_Split!I5</f>
        <v>0</v>
      </c>
    </row>
    <row r="23" spans="1:8" x14ac:dyDescent="0.25">
      <c r="A23" s="18" t="s">
        <v>1004</v>
      </c>
      <c r="B23" s="4">
        <f>Fact_Defect_Split!B5</f>
        <v>20260701</v>
      </c>
      <c r="C23" s="4">
        <f>Fact_Defect_Split!C5</f>
        <v>0</v>
      </c>
      <c r="D23" s="4" t="str">
        <f>Fact_Defect_Split!D5</f>
        <v>M4</v>
      </c>
      <c r="E23" s="4" t="str">
        <f>Fact_Defect_Split!E5</f>
        <v>B-PM</v>
      </c>
      <c r="F23" s="4" t="str">
        <f>Fact_Defect_Split!F5</f>
        <v>A</v>
      </c>
      <c r="G23" s="4" t="s">
        <v>503</v>
      </c>
      <c r="H23" s="19">
        <f>Fact_Defect_Split!J5</f>
        <v>1</v>
      </c>
    </row>
    <row r="24" spans="1:8" x14ac:dyDescent="0.25">
      <c r="A24" s="18" t="s">
        <v>1005</v>
      </c>
      <c r="B24" s="4">
        <f>Fact_Defect_Split!B5</f>
        <v>20260701</v>
      </c>
      <c r="C24" s="4">
        <f>Fact_Defect_Split!C5</f>
        <v>0</v>
      </c>
      <c r="D24" s="4" t="str">
        <f>Fact_Defect_Split!D5</f>
        <v>M4</v>
      </c>
      <c r="E24" s="4" t="str">
        <f>Fact_Defect_Split!E5</f>
        <v>B-PM</v>
      </c>
      <c r="F24" s="4" t="str">
        <f>Fact_Defect_Split!F5</f>
        <v>A</v>
      </c>
      <c r="G24" s="4" t="s">
        <v>509</v>
      </c>
      <c r="H24" s="19">
        <f>Fact_Defect_Split!K5</f>
        <v>0</v>
      </c>
    </row>
    <row r="25" spans="1:8" x14ac:dyDescent="0.25">
      <c r="A25" s="18" t="s">
        <v>1006</v>
      </c>
      <c r="B25" s="4">
        <f>Fact_Defect_Split!B5</f>
        <v>20260701</v>
      </c>
      <c r="C25" s="4">
        <f>Fact_Defect_Split!C5</f>
        <v>0</v>
      </c>
      <c r="D25" s="4" t="str">
        <f>Fact_Defect_Split!D5</f>
        <v>M4</v>
      </c>
      <c r="E25" s="4" t="str">
        <f>Fact_Defect_Split!E5</f>
        <v>B-PM</v>
      </c>
      <c r="F25" s="4" t="str">
        <f>Fact_Defect_Split!F5</f>
        <v>A</v>
      </c>
      <c r="G25" s="4" t="s">
        <v>520</v>
      </c>
      <c r="H25" s="19">
        <f>Fact_Defect_Split!L5</f>
        <v>1</v>
      </c>
    </row>
    <row r="26" spans="1:8" x14ac:dyDescent="0.25">
      <c r="A26" s="18" t="s">
        <v>1007</v>
      </c>
      <c r="B26" s="4">
        <f>Fact_Defect_Split!B6</f>
        <v>20260701</v>
      </c>
      <c r="C26" s="4">
        <f>Fact_Defect_Split!C6</f>
        <v>0</v>
      </c>
      <c r="D26" s="4" t="str">
        <f>Fact_Defect_Split!D6</f>
        <v>M5</v>
      </c>
      <c r="E26" s="4" t="str">
        <f>Fact_Defect_Split!E6</f>
        <v>B-PM</v>
      </c>
      <c r="F26" s="4" t="str">
        <f>Fact_Defect_Split!F6</f>
        <v>A</v>
      </c>
      <c r="G26" s="4" t="s">
        <v>498</v>
      </c>
      <c r="H26" s="19">
        <f>Fact_Defect_Split!G6</f>
        <v>0</v>
      </c>
    </row>
    <row r="27" spans="1:8" x14ac:dyDescent="0.25">
      <c r="A27" s="18" t="s">
        <v>1008</v>
      </c>
      <c r="B27" s="4">
        <f>Fact_Defect_Split!B6</f>
        <v>20260701</v>
      </c>
      <c r="C27" s="4">
        <f>Fact_Defect_Split!C6</f>
        <v>0</v>
      </c>
      <c r="D27" s="4" t="str">
        <f>Fact_Defect_Split!D6</f>
        <v>M5</v>
      </c>
      <c r="E27" s="4" t="str">
        <f>Fact_Defect_Split!E6</f>
        <v>B-PM</v>
      </c>
      <c r="F27" s="4" t="str">
        <f>Fact_Defect_Split!F6</f>
        <v>A</v>
      </c>
      <c r="G27" s="4" t="s">
        <v>500</v>
      </c>
      <c r="H27" s="19">
        <f>Fact_Defect_Split!H6</f>
        <v>0</v>
      </c>
    </row>
    <row r="28" spans="1:8" x14ac:dyDescent="0.25">
      <c r="A28" s="18" t="s">
        <v>1009</v>
      </c>
      <c r="B28" s="4">
        <f>Fact_Defect_Split!B6</f>
        <v>20260701</v>
      </c>
      <c r="C28" s="4">
        <f>Fact_Defect_Split!C6</f>
        <v>0</v>
      </c>
      <c r="D28" s="4" t="str">
        <f>Fact_Defect_Split!D6</f>
        <v>M5</v>
      </c>
      <c r="E28" s="4" t="str">
        <f>Fact_Defect_Split!E6</f>
        <v>B-PM</v>
      </c>
      <c r="F28" s="4" t="str">
        <f>Fact_Defect_Split!F6</f>
        <v>A</v>
      </c>
      <c r="G28" s="4" t="s">
        <v>517</v>
      </c>
      <c r="H28" s="19">
        <f>Fact_Defect_Split!I6</f>
        <v>0</v>
      </c>
    </row>
    <row r="29" spans="1:8" x14ac:dyDescent="0.25">
      <c r="A29" s="18" t="s">
        <v>1010</v>
      </c>
      <c r="B29" s="4">
        <f>Fact_Defect_Split!B6</f>
        <v>20260701</v>
      </c>
      <c r="C29" s="4">
        <f>Fact_Defect_Split!C6</f>
        <v>0</v>
      </c>
      <c r="D29" s="4" t="str">
        <f>Fact_Defect_Split!D6</f>
        <v>M5</v>
      </c>
      <c r="E29" s="4" t="str">
        <f>Fact_Defect_Split!E6</f>
        <v>B-PM</v>
      </c>
      <c r="F29" s="4" t="str">
        <f>Fact_Defect_Split!F6</f>
        <v>A</v>
      </c>
      <c r="G29" s="4" t="s">
        <v>503</v>
      </c>
      <c r="H29" s="19">
        <f>Fact_Defect_Split!J6</f>
        <v>0</v>
      </c>
    </row>
    <row r="30" spans="1:8" x14ac:dyDescent="0.25">
      <c r="A30" s="18" t="s">
        <v>1011</v>
      </c>
      <c r="B30" s="4">
        <f>Fact_Defect_Split!B6</f>
        <v>20260701</v>
      </c>
      <c r="C30" s="4">
        <f>Fact_Defect_Split!C6</f>
        <v>0</v>
      </c>
      <c r="D30" s="4" t="str">
        <f>Fact_Defect_Split!D6</f>
        <v>M5</v>
      </c>
      <c r="E30" s="4" t="str">
        <f>Fact_Defect_Split!E6</f>
        <v>B-PM</v>
      </c>
      <c r="F30" s="4" t="str">
        <f>Fact_Defect_Split!F6</f>
        <v>A</v>
      </c>
      <c r="G30" s="4" t="s">
        <v>509</v>
      </c>
      <c r="H30" s="19">
        <f>Fact_Defect_Split!K6</f>
        <v>0</v>
      </c>
    </row>
    <row r="31" spans="1:8" x14ac:dyDescent="0.25">
      <c r="A31" s="18" t="s">
        <v>1012</v>
      </c>
      <c r="B31" s="4">
        <f>Fact_Defect_Split!B6</f>
        <v>20260701</v>
      </c>
      <c r="C31" s="4">
        <f>Fact_Defect_Split!C6</f>
        <v>0</v>
      </c>
      <c r="D31" s="4" t="str">
        <f>Fact_Defect_Split!D6</f>
        <v>M5</v>
      </c>
      <c r="E31" s="4" t="str">
        <f>Fact_Defect_Split!E6</f>
        <v>B-PM</v>
      </c>
      <c r="F31" s="4" t="str">
        <f>Fact_Defect_Split!F6</f>
        <v>A</v>
      </c>
      <c r="G31" s="4" t="s">
        <v>520</v>
      </c>
      <c r="H31" s="19">
        <f>Fact_Defect_Split!L6</f>
        <v>1</v>
      </c>
    </row>
    <row r="32" spans="1:8" x14ac:dyDescent="0.25">
      <c r="A32" s="18" t="s">
        <v>1013</v>
      </c>
      <c r="B32" s="4">
        <f>Fact_Defect_Split!B7</f>
        <v>20260701</v>
      </c>
      <c r="C32" s="4">
        <f>Fact_Defect_Split!C7</f>
        <v>0</v>
      </c>
      <c r="D32" s="4" t="str">
        <f>Fact_Defect_Split!D7</f>
        <v>M6</v>
      </c>
      <c r="E32" s="4" t="str">
        <f>Fact_Defect_Split!E7</f>
        <v>B-PM</v>
      </c>
      <c r="F32" s="4" t="str">
        <f>Fact_Defect_Split!F7</f>
        <v>C</v>
      </c>
      <c r="G32" s="4" t="s">
        <v>498</v>
      </c>
      <c r="H32" s="19">
        <f>Fact_Defect_Split!G7</f>
        <v>0</v>
      </c>
    </row>
    <row r="33" spans="1:8" x14ac:dyDescent="0.25">
      <c r="A33" s="18" t="s">
        <v>1014</v>
      </c>
      <c r="B33" s="4">
        <f>Fact_Defect_Split!B7</f>
        <v>20260701</v>
      </c>
      <c r="C33" s="4">
        <f>Fact_Defect_Split!C7</f>
        <v>0</v>
      </c>
      <c r="D33" s="4" t="str">
        <f>Fact_Defect_Split!D7</f>
        <v>M6</v>
      </c>
      <c r="E33" s="4" t="str">
        <f>Fact_Defect_Split!E7</f>
        <v>B-PM</v>
      </c>
      <c r="F33" s="4" t="str">
        <f>Fact_Defect_Split!F7</f>
        <v>C</v>
      </c>
      <c r="G33" s="4" t="s">
        <v>500</v>
      </c>
      <c r="H33" s="19">
        <f>Fact_Defect_Split!H7</f>
        <v>0</v>
      </c>
    </row>
    <row r="34" spans="1:8" x14ac:dyDescent="0.25">
      <c r="A34" s="18" t="s">
        <v>1015</v>
      </c>
      <c r="B34" s="4">
        <f>Fact_Defect_Split!B7</f>
        <v>20260701</v>
      </c>
      <c r="C34" s="4">
        <f>Fact_Defect_Split!C7</f>
        <v>0</v>
      </c>
      <c r="D34" s="4" t="str">
        <f>Fact_Defect_Split!D7</f>
        <v>M6</v>
      </c>
      <c r="E34" s="4" t="str">
        <f>Fact_Defect_Split!E7</f>
        <v>B-PM</v>
      </c>
      <c r="F34" s="4" t="str">
        <f>Fact_Defect_Split!F7</f>
        <v>C</v>
      </c>
      <c r="G34" s="4" t="s">
        <v>517</v>
      </c>
      <c r="H34" s="19">
        <f>Fact_Defect_Split!I7</f>
        <v>0</v>
      </c>
    </row>
    <row r="35" spans="1:8" x14ac:dyDescent="0.25">
      <c r="A35" s="18" t="s">
        <v>1016</v>
      </c>
      <c r="B35" s="4">
        <f>Fact_Defect_Split!B7</f>
        <v>20260701</v>
      </c>
      <c r="C35" s="4">
        <f>Fact_Defect_Split!C7</f>
        <v>0</v>
      </c>
      <c r="D35" s="4" t="str">
        <f>Fact_Defect_Split!D7</f>
        <v>M6</v>
      </c>
      <c r="E35" s="4" t="str">
        <f>Fact_Defect_Split!E7</f>
        <v>B-PM</v>
      </c>
      <c r="F35" s="4" t="str">
        <f>Fact_Defect_Split!F7</f>
        <v>C</v>
      </c>
      <c r="G35" s="4" t="s">
        <v>503</v>
      </c>
      <c r="H35" s="19">
        <f>Fact_Defect_Split!J7</f>
        <v>0</v>
      </c>
    </row>
    <row r="36" spans="1:8" x14ac:dyDescent="0.25">
      <c r="A36" s="18" t="s">
        <v>1017</v>
      </c>
      <c r="B36" s="4">
        <f>Fact_Defect_Split!B7</f>
        <v>20260701</v>
      </c>
      <c r="C36" s="4">
        <f>Fact_Defect_Split!C7</f>
        <v>0</v>
      </c>
      <c r="D36" s="4" t="str">
        <f>Fact_Defect_Split!D7</f>
        <v>M6</v>
      </c>
      <c r="E36" s="4" t="str">
        <f>Fact_Defect_Split!E7</f>
        <v>B-PM</v>
      </c>
      <c r="F36" s="4" t="str">
        <f>Fact_Defect_Split!F7</f>
        <v>C</v>
      </c>
      <c r="G36" s="4" t="s">
        <v>509</v>
      </c>
      <c r="H36" s="19">
        <f>Fact_Defect_Split!K7</f>
        <v>1</v>
      </c>
    </row>
    <row r="37" spans="1:8" x14ac:dyDescent="0.25">
      <c r="A37" s="18" t="s">
        <v>1018</v>
      </c>
      <c r="B37" s="4">
        <f>Fact_Defect_Split!B7</f>
        <v>20260701</v>
      </c>
      <c r="C37" s="4">
        <f>Fact_Defect_Split!C7</f>
        <v>0</v>
      </c>
      <c r="D37" s="4" t="str">
        <f>Fact_Defect_Split!D7</f>
        <v>M6</v>
      </c>
      <c r="E37" s="4" t="str">
        <f>Fact_Defect_Split!E7</f>
        <v>B-PM</v>
      </c>
      <c r="F37" s="4" t="str">
        <f>Fact_Defect_Split!F7</f>
        <v>C</v>
      </c>
      <c r="G37" s="4" t="s">
        <v>520</v>
      </c>
      <c r="H37" s="19">
        <f>Fact_Defect_Split!L7</f>
        <v>0</v>
      </c>
    </row>
    <row r="38" spans="1:8" x14ac:dyDescent="0.25">
      <c r="A38" s="18" t="s">
        <v>1019</v>
      </c>
      <c r="B38" s="4">
        <f>Fact_Defect_Split!B8</f>
        <v>20260701</v>
      </c>
      <c r="C38" s="4">
        <f>Fact_Defect_Split!C8</f>
        <v>0</v>
      </c>
      <c r="D38" s="4" t="str">
        <f>Fact_Defect_Split!D8</f>
        <v>M7</v>
      </c>
      <c r="E38" s="4" t="str">
        <f>Fact_Defect_Split!E8</f>
        <v>B-PM</v>
      </c>
      <c r="F38" s="4" t="str">
        <f>Fact_Defect_Split!F8</f>
        <v>A</v>
      </c>
      <c r="G38" s="4" t="s">
        <v>498</v>
      </c>
      <c r="H38" s="19">
        <f>Fact_Defect_Split!G8</f>
        <v>0</v>
      </c>
    </row>
    <row r="39" spans="1:8" x14ac:dyDescent="0.25">
      <c r="A39" s="18" t="s">
        <v>1020</v>
      </c>
      <c r="B39" s="4">
        <f>Fact_Defect_Split!B8</f>
        <v>20260701</v>
      </c>
      <c r="C39" s="4">
        <f>Fact_Defect_Split!C8</f>
        <v>0</v>
      </c>
      <c r="D39" s="4" t="str">
        <f>Fact_Defect_Split!D8</f>
        <v>M7</v>
      </c>
      <c r="E39" s="4" t="str">
        <f>Fact_Defect_Split!E8</f>
        <v>B-PM</v>
      </c>
      <c r="F39" s="4" t="str">
        <f>Fact_Defect_Split!F8</f>
        <v>A</v>
      </c>
      <c r="G39" s="4" t="s">
        <v>500</v>
      </c>
      <c r="H39" s="19">
        <f>Fact_Defect_Split!H8</f>
        <v>0</v>
      </c>
    </row>
    <row r="40" spans="1:8" x14ac:dyDescent="0.25">
      <c r="A40" s="18" t="s">
        <v>1021</v>
      </c>
      <c r="B40" s="4">
        <f>Fact_Defect_Split!B8</f>
        <v>20260701</v>
      </c>
      <c r="C40" s="4">
        <f>Fact_Defect_Split!C8</f>
        <v>0</v>
      </c>
      <c r="D40" s="4" t="str">
        <f>Fact_Defect_Split!D8</f>
        <v>M7</v>
      </c>
      <c r="E40" s="4" t="str">
        <f>Fact_Defect_Split!E8</f>
        <v>B-PM</v>
      </c>
      <c r="F40" s="4" t="str">
        <f>Fact_Defect_Split!F8</f>
        <v>A</v>
      </c>
      <c r="G40" s="4" t="s">
        <v>517</v>
      </c>
      <c r="H40" s="19">
        <f>Fact_Defect_Split!I8</f>
        <v>1</v>
      </c>
    </row>
    <row r="41" spans="1:8" x14ac:dyDescent="0.25">
      <c r="A41" s="18" t="s">
        <v>1022</v>
      </c>
      <c r="B41" s="4">
        <f>Fact_Defect_Split!B8</f>
        <v>20260701</v>
      </c>
      <c r="C41" s="4">
        <f>Fact_Defect_Split!C8</f>
        <v>0</v>
      </c>
      <c r="D41" s="4" t="str">
        <f>Fact_Defect_Split!D8</f>
        <v>M7</v>
      </c>
      <c r="E41" s="4" t="str">
        <f>Fact_Defect_Split!E8</f>
        <v>B-PM</v>
      </c>
      <c r="F41" s="4" t="str">
        <f>Fact_Defect_Split!F8</f>
        <v>A</v>
      </c>
      <c r="G41" s="4" t="s">
        <v>503</v>
      </c>
      <c r="H41" s="19">
        <f>Fact_Defect_Split!J8</f>
        <v>0</v>
      </c>
    </row>
    <row r="42" spans="1:8" x14ac:dyDescent="0.25">
      <c r="A42" s="18" t="s">
        <v>1023</v>
      </c>
      <c r="B42" s="4">
        <f>Fact_Defect_Split!B8</f>
        <v>20260701</v>
      </c>
      <c r="C42" s="4">
        <f>Fact_Defect_Split!C8</f>
        <v>0</v>
      </c>
      <c r="D42" s="4" t="str">
        <f>Fact_Defect_Split!D8</f>
        <v>M7</v>
      </c>
      <c r="E42" s="4" t="str">
        <f>Fact_Defect_Split!E8</f>
        <v>B-PM</v>
      </c>
      <c r="F42" s="4" t="str">
        <f>Fact_Defect_Split!F8</f>
        <v>A</v>
      </c>
      <c r="G42" s="4" t="s">
        <v>509</v>
      </c>
      <c r="H42" s="19">
        <f>Fact_Defect_Split!K8</f>
        <v>1</v>
      </c>
    </row>
    <row r="43" spans="1:8" x14ac:dyDescent="0.25">
      <c r="A43" s="18" t="s">
        <v>1024</v>
      </c>
      <c r="B43" s="4">
        <f>Fact_Defect_Split!B8</f>
        <v>20260701</v>
      </c>
      <c r="C43" s="4">
        <f>Fact_Defect_Split!C8</f>
        <v>0</v>
      </c>
      <c r="D43" s="4" t="str">
        <f>Fact_Defect_Split!D8</f>
        <v>M7</v>
      </c>
      <c r="E43" s="4" t="str">
        <f>Fact_Defect_Split!E8</f>
        <v>B-PM</v>
      </c>
      <c r="F43" s="4" t="str">
        <f>Fact_Defect_Split!F8</f>
        <v>A</v>
      </c>
      <c r="G43" s="4" t="s">
        <v>520</v>
      </c>
      <c r="H43" s="19">
        <f>Fact_Defect_Split!L8</f>
        <v>0</v>
      </c>
    </row>
    <row r="44" spans="1:8" x14ac:dyDescent="0.25">
      <c r="A44" s="18" t="s">
        <v>1025</v>
      </c>
      <c r="B44" s="4">
        <f>Fact_Defect_Split!B9</f>
        <v>20260701</v>
      </c>
      <c r="C44" s="4">
        <f>Fact_Defect_Split!C9</f>
        <v>1</v>
      </c>
      <c r="D44" s="4" t="str">
        <f>Fact_Defect_Split!D9</f>
        <v>M1</v>
      </c>
      <c r="E44" s="4" t="str">
        <f>Fact_Defect_Split!E9</f>
        <v>B-PM</v>
      </c>
      <c r="F44" s="4" t="str">
        <f>Fact_Defect_Split!F9</f>
        <v>A</v>
      </c>
      <c r="G44" s="4" t="s">
        <v>498</v>
      </c>
      <c r="H44" s="19">
        <f>Fact_Defect_Split!G9</f>
        <v>0</v>
      </c>
    </row>
    <row r="45" spans="1:8" x14ac:dyDescent="0.25">
      <c r="A45" s="18" t="s">
        <v>1026</v>
      </c>
      <c r="B45" s="4">
        <f>Fact_Defect_Split!B9</f>
        <v>20260701</v>
      </c>
      <c r="C45" s="4">
        <f>Fact_Defect_Split!C9</f>
        <v>1</v>
      </c>
      <c r="D45" s="4" t="str">
        <f>Fact_Defect_Split!D9</f>
        <v>M1</v>
      </c>
      <c r="E45" s="4" t="str">
        <f>Fact_Defect_Split!E9</f>
        <v>B-PM</v>
      </c>
      <c r="F45" s="4" t="str">
        <f>Fact_Defect_Split!F9</f>
        <v>A</v>
      </c>
      <c r="G45" s="4" t="s">
        <v>500</v>
      </c>
      <c r="H45" s="19">
        <f>Fact_Defect_Split!H9</f>
        <v>0</v>
      </c>
    </row>
    <row r="46" spans="1:8" x14ac:dyDescent="0.25">
      <c r="A46" s="18" t="s">
        <v>1027</v>
      </c>
      <c r="B46" s="4">
        <f>Fact_Defect_Split!B9</f>
        <v>20260701</v>
      </c>
      <c r="C46" s="4">
        <f>Fact_Defect_Split!C9</f>
        <v>1</v>
      </c>
      <c r="D46" s="4" t="str">
        <f>Fact_Defect_Split!D9</f>
        <v>M1</v>
      </c>
      <c r="E46" s="4" t="str">
        <f>Fact_Defect_Split!E9</f>
        <v>B-PM</v>
      </c>
      <c r="F46" s="4" t="str">
        <f>Fact_Defect_Split!F9</f>
        <v>A</v>
      </c>
      <c r="G46" s="4" t="s">
        <v>517</v>
      </c>
      <c r="H46" s="19">
        <f>Fact_Defect_Split!I9</f>
        <v>1</v>
      </c>
    </row>
    <row r="47" spans="1:8" x14ac:dyDescent="0.25">
      <c r="A47" s="18" t="s">
        <v>1028</v>
      </c>
      <c r="B47" s="4">
        <f>Fact_Defect_Split!B9</f>
        <v>20260701</v>
      </c>
      <c r="C47" s="4">
        <f>Fact_Defect_Split!C9</f>
        <v>1</v>
      </c>
      <c r="D47" s="4" t="str">
        <f>Fact_Defect_Split!D9</f>
        <v>M1</v>
      </c>
      <c r="E47" s="4" t="str">
        <f>Fact_Defect_Split!E9</f>
        <v>B-PM</v>
      </c>
      <c r="F47" s="4" t="str">
        <f>Fact_Defect_Split!F9</f>
        <v>A</v>
      </c>
      <c r="G47" s="4" t="s">
        <v>503</v>
      </c>
      <c r="H47" s="19">
        <f>Fact_Defect_Split!J9</f>
        <v>0</v>
      </c>
    </row>
    <row r="48" spans="1:8" x14ac:dyDescent="0.25">
      <c r="A48" s="18" t="s">
        <v>1029</v>
      </c>
      <c r="B48" s="4">
        <f>Fact_Defect_Split!B9</f>
        <v>20260701</v>
      </c>
      <c r="C48" s="4">
        <f>Fact_Defect_Split!C9</f>
        <v>1</v>
      </c>
      <c r="D48" s="4" t="str">
        <f>Fact_Defect_Split!D9</f>
        <v>M1</v>
      </c>
      <c r="E48" s="4" t="str">
        <f>Fact_Defect_Split!E9</f>
        <v>B-PM</v>
      </c>
      <c r="F48" s="4" t="str">
        <f>Fact_Defect_Split!F9</f>
        <v>A</v>
      </c>
      <c r="G48" s="4" t="s">
        <v>509</v>
      </c>
      <c r="H48" s="19">
        <f>Fact_Defect_Split!K9</f>
        <v>0</v>
      </c>
    </row>
    <row r="49" spans="1:8" x14ac:dyDescent="0.25">
      <c r="A49" s="18" t="s">
        <v>1030</v>
      </c>
      <c r="B49" s="4">
        <f>Fact_Defect_Split!B9</f>
        <v>20260701</v>
      </c>
      <c r="C49" s="4">
        <f>Fact_Defect_Split!C9</f>
        <v>1</v>
      </c>
      <c r="D49" s="4" t="str">
        <f>Fact_Defect_Split!D9</f>
        <v>M1</v>
      </c>
      <c r="E49" s="4" t="str">
        <f>Fact_Defect_Split!E9</f>
        <v>B-PM</v>
      </c>
      <c r="F49" s="4" t="str">
        <f>Fact_Defect_Split!F9</f>
        <v>A</v>
      </c>
      <c r="G49" s="4" t="s">
        <v>520</v>
      </c>
      <c r="H49" s="19">
        <f>Fact_Defect_Split!L9</f>
        <v>1</v>
      </c>
    </row>
    <row r="50" spans="1:8" x14ac:dyDescent="0.25">
      <c r="A50" s="18" t="s">
        <v>1031</v>
      </c>
      <c r="B50" s="4">
        <f>Fact_Defect_Split!B10</f>
        <v>20260701</v>
      </c>
      <c r="C50" s="4">
        <f>Fact_Defect_Split!C10</f>
        <v>1</v>
      </c>
      <c r="D50" s="4" t="str">
        <f>Fact_Defect_Split!D10</f>
        <v>M2</v>
      </c>
      <c r="E50" s="4" t="str">
        <f>Fact_Defect_Split!E10</f>
        <v>B-PM</v>
      </c>
      <c r="F50" s="4" t="str">
        <f>Fact_Defect_Split!F10</f>
        <v>C</v>
      </c>
      <c r="G50" s="4" t="s">
        <v>498</v>
      </c>
      <c r="H50" s="19">
        <f>Fact_Defect_Split!G10</f>
        <v>0</v>
      </c>
    </row>
    <row r="51" spans="1:8" x14ac:dyDescent="0.25">
      <c r="A51" s="18" t="s">
        <v>1032</v>
      </c>
      <c r="B51" s="4">
        <f>Fact_Defect_Split!B10</f>
        <v>20260701</v>
      </c>
      <c r="C51" s="4">
        <f>Fact_Defect_Split!C10</f>
        <v>1</v>
      </c>
      <c r="D51" s="4" t="str">
        <f>Fact_Defect_Split!D10</f>
        <v>M2</v>
      </c>
      <c r="E51" s="4" t="str">
        <f>Fact_Defect_Split!E10</f>
        <v>B-PM</v>
      </c>
      <c r="F51" s="4" t="str">
        <f>Fact_Defect_Split!F10</f>
        <v>C</v>
      </c>
      <c r="G51" s="4" t="s">
        <v>500</v>
      </c>
      <c r="H51" s="19">
        <f>Fact_Defect_Split!H10</f>
        <v>0</v>
      </c>
    </row>
    <row r="52" spans="1:8" x14ac:dyDescent="0.25">
      <c r="A52" s="18" t="s">
        <v>1033</v>
      </c>
      <c r="B52" s="4">
        <f>Fact_Defect_Split!B10</f>
        <v>20260701</v>
      </c>
      <c r="C52" s="4">
        <f>Fact_Defect_Split!C10</f>
        <v>1</v>
      </c>
      <c r="D52" s="4" t="str">
        <f>Fact_Defect_Split!D10</f>
        <v>M2</v>
      </c>
      <c r="E52" s="4" t="str">
        <f>Fact_Defect_Split!E10</f>
        <v>B-PM</v>
      </c>
      <c r="F52" s="4" t="str">
        <f>Fact_Defect_Split!F10</f>
        <v>C</v>
      </c>
      <c r="G52" s="4" t="s">
        <v>517</v>
      </c>
      <c r="H52" s="19">
        <f>Fact_Defect_Split!I10</f>
        <v>0</v>
      </c>
    </row>
    <row r="53" spans="1:8" x14ac:dyDescent="0.25">
      <c r="A53" s="18" t="s">
        <v>1034</v>
      </c>
      <c r="B53" s="4">
        <f>Fact_Defect_Split!B10</f>
        <v>20260701</v>
      </c>
      <c r="C53" s="4">
        <f>Fact_Defect_Split!C10</f>
        <v>1</v>
      </c>
      <c r="D53" s="4" t="str">
        <f>Fact_Defect_Split!D10</f>
        <v>M2</v>
      </c>
      <c r="E53" s="4" t="str">
        <f>Fact_Defect_Split!E10</f>
        <v>B-PM</v>
      </c>
      <c r="F53" s="4" t="str">
        <f>Fact_Defect_Split!F10</f>
        <v>C</v>
      </c>
      <c r="G53" s="4" t="s">
        <v>503</v>
      </c>
      <c r="H53" s="19">
        <f>Fact_Defect_Split!J10</f>
        <v>1</v>
      </c>
    </row>
    <row r="54" spans="1:8" x14ac:dyDescent="0.25">
      <c r="A54" s="18" t="s">
        <v>1035</v>
      </c>
      <c r="B54" s="4">
        <f>Fact_Defect_Split!B10</f>
        <v>20260701</v>
      </c>
      <c r="C54" s="4">
        <f>Fact_Defect_Split!C10</f>
        <v>1</v>
      </c>
      <c r="D54" s="4" t="str">
        <f>Fact_Defect_Split!D10</f>
        <v>M2</v>
      </c>
      <c r="E54" s="4" t="str">
        <f>Fact_Defect_Split!E10</f>
        <v>B-PM</v>
      </c>
      <c r="F54" s="4" t="str">
        <f>Fact_Defect_Split!F10</f>
        <v>C</v>
      </c>
      <c r="G54" s="4" t="s">
        <v>509</v>
      </c>
      <c r="H54" s="19">
        <f>Fact_Defect_Split!K10</f>
        <v>1</v>
      </c>
    </row>
    <row r="55" spans="1:8" x14ac:dyDescent="0.25">
      <c r="A55" s="18" t="s">
        <v>1036</v>
      </c>
      <c r="B55" s="4">
        <f>Fact_Defect_Split!B10</f>
        <v>20260701</v>
      </c>
      <c r="C55" s="4">
        <f>Fact_Defect_Split!C10</f>
        <v>1</v>
      </c>
      <c r="D55" s="4" t="str">
        <f>Fact_Defect_Split!D10</f>
        <v>M2</v>
      </c>
      <c r="E55" s="4" t="str">
        <f>Fact_Defect_Split!E10</f>
        <v>B-PM</v>
      </c>
      <c r="F55" s="4" t="str">
        <f>Fact_Defect_Split!F10</f>
        <v>C</v>
      </c>
      <c r="G55" s="4" t="s">
        <v>520</v>
      </c>
      <c r="H55" s="19">
        <f>Fact_Defect_Split!L10</f>
        <v>1</v>
      </c>
    </row>
    <row r="56" spans="1:8" x14ac:dyDescent="0.25">
      <c r="A56" s="18" t="s">
        <v>1037</v>
      </c>
      <c r="B56" s="4">
        <f>Fact_Defect_Split!B11</f>
        <v>20260701</v>
      </c>
      <c r="C56" s="4">
        <f>Fact_Defect_Split!C11</f>
        <v>1</v>
      </c>
      <c r="D56" s="4" t="str">
        <f>Fact_Defect_Split!D11</f>
        <v>M3</v>
      </c>
      <c r="E56" s="4" t="str">
        <f>Fact_Defect_Split!E11</f>
        <v>B-PM</v>
      </c>
      <c r="F56" s="4" t="str">
        <f>Fact_Defect_Split!F11</f>
        <v>A</v>
      </c>
      <c r="G56" s="4" t="s">
        <v>498</v>
      </c>
      <c r="H56" s="19">
        <f>Fact_Defect_Split!G11</f>
        <v>0</v>
      </c>
    </row>
    <row r="57" spans="1:8" x14ac:dyDescent="0.25">
      <c r="A57" s="18" t="s">
        <v>1038</v>
      </c>
      <c r="B57" s="4">
        <f>Fact_Defect_Split!B11</f>
        <v>20260701</v>
      </c>
      <c r="C57" s="4">
        <f>Fact_Defect_Split!C11</f>
        <v>1</v>
      </c>
      <c r="D57" s="4" t="str">
        <f>Fact_Defect_Split!D11</f>
        <v>M3</v>
      </c>
      <c r="E57" s="4" t="str">
        <f>Fact_Defect_Split!E11</f>
        <v>B-PM</v>
      </c>
      <c r="F57" s="4" t="str">
        <f>Fact_Defect_Split!F11</f>
        <v>A</v>
      </c>
      <c r="G57" s="4" t="s">
        <v>500</v>
      </c>
      <c r="H57" s="19">
        <f>Fact_Defect_Split!H11</f>
        <v>0</v>
      </c>
    </row>
    <row r="58" spans="1:8" x14ac:dyDescent="0.25">
      <c r="A58" s="18" t="s">
        <v>1039</v>
      </c>
      <c r="B58" s="4">
        <f>Fact_Defect_Split!B11</f>
        <v>20260701</v>
      </c>
      <c r="C58" s="4">
        <f>Fact_Defect_Split!C11</f>
        <v>1</v>
      </c>
      <c r="D58" s="4" t="str">
        <f>Fact_Defect_Split!D11</f>
        <v>M3</v>
      </c>
      <c r="E58" s="4" t="str">
        <f>Fact_Defect_Split!E11</f>
        <v>B-PM</v>
      </c>
      <c r="F58" s="4" t="str">
        <f>Fact_Defect_Split!F11</f>
        <v>A</v>
      </c>
      <c r="G58" s="4" t="s">
        <v>517</v>
      </c>
      <c r="H58" s="19">
        <f>Fact_Defect_Split!I11</f>
        <v>0</v>
      </c>
    </row>
    <row r="59" spans="1:8" x14ac:dyDescent="0.25">
      <c r="A59" s="18" t="s">
        <v>1040</v>
      </c>
      <c r="B59" s="4">
        <f>Fact_Defect_Split!B11</f>
        <v>20260701</v>
      </c>
      <c r="C59" s="4">
        <f>Fact_Defect_Split!C11</f>
        <v>1</v>
      </c>
      <c r="D59" s="4" t="str">
        <f>Fact_Defect_Split!D11</f>
        <v>M3</v>
      </c>
      <c r="E59" s="4" t="str">
        <f>Fact_Defect_Split!E11</f>
        <v>B-PM</v>
      </c>
      <c r="F59" s="4" t="str">
        <f>Fact_Defect_Split!F11</f>
        <v>A</v>
      </c>
      <c r="G59" s="4" t="s">
        <v>503</v>
      </c>
      <c r="H59" s="19">
        <f>Fact_Defect_Split!J11</f>
        <v>0</v>
      </c>
    </row>
    <row r="60" spans="1:8" x14ac:dyDescent="0.25">
      <c r="A60" s="18" t="s">
        <v>1041</v>
      </c>
      <c r="B60" s="4">
        <f>Fact_Defect_Split!B11</f>
        <v>20260701</v>
      </c>
      <c r="C60" s="4">
        <f>Fact_Defect_Split!C11</f>
        <v>1</v>
      </c>
      <c r="D60" s="4" t="str">
        <f>Fact_Defect_Split!D11</f>
        <v>M3</v>
      </c>
      <c r="E60" s="4" t="str">
        <f>Fact_Defect_Split!E11</f>
        <v>B-PM</v>
      </c>
      <c r="F60" s="4" t="str">
        <f>Fact_Defect_Split!F11</f>
        <v>A</v>
      </c>
      <c r="G60" s="4" t="s">
        <v>509</v>
      </c>
      <c r="H60" s="19">
        <f>Fact_Defect_Split!K11</f>
        <v>0</v>
      </c>
    </row>
    <row r="61" spans="1:8" x14ac:dyDescent="0.25">
      <c r="A61" s="18" t="s">
        <v>1042</v>
      </c>
      <c r="B61" s="4">
        <f>Fact_Defect_Split!B11</f>
        <v>20260701</v>
      </c>
      <c r="C61" s="4">
        <f>Fact_Defect_Split!C11</f>
        <v>1</v>
      </c>
      <c r="D61" s="4" t="str">
        <f>Fact_Defect_Split!D11</f>
        <v>M3</v>
      </c>
      <c r="E61" s="4" t="str">
        <f>Fact_Defect_Split!E11</f>
        <v>B-PM</v>
      </c>
      <c r="F61" s="4" t="str">
        <f>Fact_Defect_Split!F11</f>
        <v>A</v>
      </c>
      <c r="G61" s="4" t="s">
        <v>520</v>
      </c>
      <c r="H61" s="19">
        <f>Fact_Defect_Split!L11</f>
        <v>0</v>
      </c>
    </row>
    <row r="62" spans="1:8" x14ac:dyDescent="0.25">
      <c r="A62" s="18" t="s">
        <v>1043</v>
      </c>
      <c r="B62" s="4">
        <f>Fact_Defect_Split!B12</f>
        <v>20260701</v>
      </c>
      <c r="C62" s="4">
        <f>Fact_Defect_Split!C12</f>
        <v>1</v>
      </c>
      <c r="D62" s="4" t="str">
        <f>Fact_Defect_Split!D12</f>
        <v>M4</v>
      </c>
      <c r="E62" s="4" t="str">
        <f>Fact_Defect_Split!E12</f>
        <v>B-PM</v>
      </c>
      <c r="F62" s="4" t="str">
        <f>Fact_Defect_Split!F12</f>
        <v>A</v>
      </c>
      <c r="G62" s="4" t="s">
        <v>498</v>
      </c>
      <c r="H62" s="19">
        <f>Fact_Defect_Split!G12</f>
        <v>0</v>
      </c>
    </row>
    <row r="63" spans="1:8" x14ac:dyDescent="0.25">
      <c r="A63" s="18" t="s">
        <v>1044</v>
      </c>
      <c r="B63" s="4">
        <f>Fact_Defect_Split!B12</f>
        <v>20260701</v>
      </c>
      <c r="C63" s="4">
        <f>Fact_Defect_Split!C12</f>
        <v>1</v>
      </c>
      <c r="D63" s="4" t="str">
        <f>Fact_Defect_Split!D12</f>
        <v>M4</v>
      </c>
      <c r="E63" s="4" t="str">
        <f>Fact_Defect_Split!E12</f>
        <v>B-PM</v>
      </c>
      <c r="F63" s="4" t="str">
        <f>Fact_Defect_Split!F12</f>
        <v>A</v>
      </c>
      <c r="G63" s="4" t="s">
        <v>500</v>
      </c>
      <c r="H63" s="19">
        <f>Fact_Defect_Split!H12</f>
        <v>0</v>
      </c>
    </row>
    <row r="64" spans="1:8" x14ac:dyDescent="0.25">
      <c r="A64" s="18" t="s">
        <v>1045</v>
      </c>
      <c r="B64" s="4">
        <f>Fact_Defect_Split!B12</f>
        <v>20260701</v>
      </c>
      <c r="C64" s="4">
        <f>Fact_Defect_Split!C12</f>
        <v>1</v>
      </c>
      <c r="D64" s="4" t="str">
        <f>Fact_Defect_Split!D12</f>
        <v>M4</v>
      </c>
      <c r="E64" s="4" t="str">
        <f>Fact_Defect_Split!E12</f>
        <v>B-PM</v>
      </c>
      <c r="F64" s="4" t="str">
        <f>Fact_Defect_Split!F12</f>
        <v>A</v>
      </c>
      <c r="G64" s="4" t="s">
        <v>517</v>
      </c>
      <c r="H64" s="19">
        <f>Fact_Defect_Split!I12</f>
        <v>0</v>
      </c>
    </row>
    <row r="65" spans="1:8" x14ac:dyDescent="0.25">
      <c r="A65" s="18" t="s">
        <v>1046</v>
      </c>
      <c r="B65" s="4">
        <f>Fact_Defect_Split!B12</f>
        <v>20260701</v>
      </c>
      <c r="C65" s="4">
        <f>Fact_Defect_Split!C12</f>
        <v>1</v>
      </c>
      <c r="D65" s="4" t="str">
        <f>Fact_Defect_Split!D12</f>
        <v>M4</v>
      </c>
      <c r="E65" s="4" t="str">
        <f>Fact_Defect_Split!E12</f>
        <v>B-PM</v>
      </c>
      <c r="F65" s="4" t="str">
        <f>Fact_Defect_Split!F12</f>
        <v>A</v>
      </c>
      <c r="G65" s="4" t="s">
        <v>503</v>
      </c>
      <c r="H65" s="19">
        <f>Fact_Defect_Split!J12</f>
        <v>0</v>
      </c>
    </row>
    <row r="66" spans="1:8" x14ac:dyDescent="0.25">
      <c r="A66" s="18" t="s">
        <v>1047</v>
      </c>
      <c r="B66" s="4">
        <f>Fact_Defect_Split!B12</f>
        <v>20260701</v>
      </c>
      <c r="C66" s="4">
        <f>Fact_Defect_Split!C12</f>
        <v>1</v>
      </c>
      <c r="D66" s="4" t="str">
        <f>Fact_Defect_Split!D12</f>
        <v>M4</v>
      </c>
      <c r="E66" s="4" t="str">
        <f>Fact_Defect_Split!E12</f>
        <v>B-PM</v>
      </c>
      <c r="F66" s="4" t="str">
        <f>Fact_Defect_Split!F12</f>
        <v>A</v>
      </c>
      <c r="G66" s="4" t="s">
        <v>509</v>
      </c>
      <c r="H66" s="19">
        <f>Fact_Defect_Split!K12</f>
        <v>1</v>
      </c>
    </row>
    <row r="67" spans="1:8" x14ac:dyDescent="0.25">
      <c r="A67" s="18" t="s">
        <v>1048</v>
      </c>
      <c r="B67" s="4">
        <f>Fact_Defect_Split!B12</f>
        <v>20260701</v>
      </c>
      <c r="C67" s="4">
        <f>Fact_Defect_Split!C12</f>
        <v>1</v>
      </c>
      <c r="D67" s="4" t="str">
        <f>Fact_Defect_Split!D12</f>
        <v>M4</v>
      </c>
      <c r="E67" s="4" t="str">
        <f>Fact_Defect_Split!E12</f>
        <v>B-PM</v>
      </c>
      <c r="F67" s="4" t="str">
        <f>Fact_Defect_Split!F12</f>
        <v>A</v>
      </c>
      <c r="G67" s="4" t="s">
        <v>520</v>
      </c>
      <c r="H67" s="19">
        <f>Fact_Defect_Split!L12</f>
        <v>0</v>
      </c>
    </row>
    <row r="68" spans="1:8" x14ac:dyDescent="0.25">
      <c r="A68" s="18" t="s">
        <v>1049</v>
      </c>
      <c r="B68" s="4">
        <f>Fact_Defect_Split!B13</f>
        <v>20260701</v>
      </c>
      <c r="C68" s="4">
        <f>Fact_Defect_Split!C13</f>
        <v>1</v>
      </c>
      <c r="D68" s="4" t="str">
        <f>Fact_Defect_Split!D13</f>
        <v>M5</v>
      </c>
      <c r="E68" s="4" t="str">
        <f>Fact_Defect_Split!E13</f>
        <v>B-PM</v>
      </c>
      <c r="F68" s="4" t="str">
        <f>Fact_Defect_Split!F13</f>
        <v>A</v>
      </c>
      <c r="G68" s="4" t="s">
        <v>498</v>
      </c>
      <c r="H68" s="19">
        <f>Fact_Defect_Split!G13</f>
        <v>0</v>
      </c>
    </row>
    <row r="69" spans="1:8" x14ac:dyDescent="0.25">
      <c r="A69" s="18" t="s">
        <v>1050</v>
      </c>
      <c r="B69" s="4">
        <f>Fact_Defect_Split!B13</f>
        <v>20260701</v>
      </c>
      <c r="C69" s="4">
        <f>Fact_Defect_Split!C13</f>
        <v>1</v>
      </c>
      <c r="D69" s="4" t="str">
        <f>Fact_Defect_Split!D13</f>
        <v>M5</v>
      </c>
      <c r="E69" s="4" t="str">
        <f>Fact_Defect_Split!E13</f>
        <v>B-PM</v>
      </c>
      <c r="F69" s="4" t="str">
        <f>Fact_Defect_Split!F13</f>
        <v>A</v>
      </c>
      <c r="G69" s="4" t="s">
        <v>500</v>
      </c>
      <c r="H69" s="19">
        <f>Fact_Defect_Split!H13</f>
        <v>0</v>
      </c>
    </row>
    <row r="70" spans="1:8" x14ac:dyDescent="0.25">
      <c r="A70" s="18" t="s">
        <v>1051</v>
      </c>
      <c r="B70" s="4">
        <f>Fact_Defect_Split!B13</f>
        <v>20260701</v>
      </c>
      <c r="C70" s="4">
        <f>Fact_Defect_Split!C13</f>
        <v>1</v>
      </c>
      <c r="D70" s="4" t="str">
        <f>Fact_Defect_Split!D13</f>
        <v>M5</v>
      </c>
      <c r="E70" s="4" t="str">
        <f>Fact_Defect_Split!E13</f>
        <v>B-PM</v>
      </c>
      <c r="F70" s="4" t="str">
        <f>Fact_Defect_Split!F13</f>
        <v>A</v>
      </c>
      <c r="G70" s="4" t="s">
        <v>517</v>
      </c>
      <c r="H70" s="19">
        <f>Fact_Defect_Split!I13</f>
        <v>0</v>
      </c>
    </row>
    <row r="71" spans="1:8" x14ac:dyDescent="0.25">
      <c r="A71" s="18" t="s">
        <v>1052</v>
      </c>
      <c r="B71" s="4">
        <f>Fact_Defect_Split!B13</f>
        <v>20260701</v>
      </c>
      <c r="C71" s="4">
        <f>Fact_Defect_Split!C13</f>
        <v>1</v>
      </c>
      <c r="D71" s="4" t="str">
        <f>Fact_Defect_Split!D13</f>
        <v>M5</v>
      </c>
      <c r="E71" s="4" t="str">
        <f>Fact_Defect_Split!E13</f>
        <v>B-PM</v>
      </c>
      <c r="F71" s="4" t="str">
        <f>Fact_Defect_Split!F13</f>
        <v>A</v>
      </c>
      <c r="G71" s="4" t="s">
        <v>503</v>
      </c>
      <c r="H71" s="19">
        <f>Fact_Defect_Split!J13</f>
        <v>0</v>
      </c>
    </row>
    <row r="72" spans="1:8" x14ac:dyDescent="0.25">
      <c r="A72" s="18" t="s">
        <v>1053</v>
      </c>
      <c r="B72" s="4">
        <f>Fact_Defect_Split!B13</f>
        <v>20260701</v>
      </c>
      <c r="C72" s="4">
        <f>Fact_Defect_Split!C13</f>
        <v>1</v>
      </c>
      <c r="D72" s="4" t="str">
        <f>Fact_Defect_Split!D13</f>
        <v>M5</v>
      </c>
      <c r="E72" s="4" t="str">
        <f>Fact_Defect_Split!E13</f>
        <v>B-PM</v>
      </c>
      <c r="F72" s="4" t="str">
        <f>Fact_Defect_Split!F13</f>
        <v>A</v>
      </c>
      <c r="G72" s="4" t="s">
        <v>509</v>
      </c>
      <c r="H72" s="19">
        <f>Fact_Defect_Split!K13</f>
        <v>0</v>
      </c>
    </row>
    <row r="73" spans="1:8" x14ac:dyDescent="0.25">
      <c r="A73" s="18" t="s">
        <v>1054</v>
      </c>
      <c r="B73" s="4">
        <f>Fact_Defect_Split!B13</f>
        <v>20260701</v>
      </c>
      <c r="C73" s="4">
        <f>Fact_Defect_Split!C13</f>
        <v>1</v>
      </c>
      <c r="D73" s="4" t="str">
        <f>Fact_Defect_Split!D13</f>
        <v>M5</v>
      </c>
      <c r="E73" s="4" t="str">
        <f>Fact_Defect_Split!E13</f>
        <v>B-PM</v>
      </c>
      <c r="F73" s="4" t="str">
        <f>Fact_Defect_Split!F13</f>
        <v>A</v>
      </c>
      <c r="G73" s="4" t="s">
        <v>520</v>
      </c>
      <c r="H73" s="19">
        <f>Fact_Defect_Split!L13</f>
        <v>1</v>
      </c>
    </row>
    <row r="74" spans="1:8" x14ac:dyDescent="0.25">
      <c r="A74" s="18" t="s">
        <v>1055</v>
      </c>
      <c r="B74" s="4">
        <f>Fact_Defect_Split!B14</f>
        <v>20260701</v>
      </c>
      <c r="C74" s="4">
        <f>Fact_Defect_Split!C14</f>
        <v>1</v>
      </c>
      <c r="D74" s="4" t="str">
        <f>Fact_Defect_Split!D14</f>
        <v>M6</v>
      </c>
      <c r="E74" s="4" t="str">
        <f>Fact_Defect_Split!E14</f>
        <v>B-PM</v>
      </c>
      <c r="F74" s="4" t="str">
        <f>Fact_Defect_Split!F14</f>
        <v>C</v>
      </c>
      <c r="G74" s="4" t="s">
        <v>498</v>
      </c>
      <c r="H74" s="19">
        <f>Fact_Defect_Split!G14</f>
        <v>0</v>
      </c>
    </row>
    <row r="75" spans="1:8" x14ac:dyDescent="0.25">
      <c r="A75" s="18" t="s">
        <v>1056</v>
      </c>
      <c r="B75" s="4">
        <f>Fact_Defect_Split!B14</f>
        <v>20260701</v>
      </c>
      <c r="C75" s="4">
        <f>Fact_Defect_Split!C14</f>
        <v>1</v>
      </c>
      <c r="D75" s="4" t="str">
        <f>Fact_Defect_Split!D14</f>
        <v>M6</v>
      </c>
      <c r="E75" s="4" t="str">
        <f>Fact_Defect_Split!E14</f>
        <v>B-PM</v>
      </c>
      <c r="F75" s="4" t="str">
        <f>Fact_Defect_Split!F14</f>
        <v>C</v>
      </c>
      <c r="G75" s="4" t="s">
        <v>500</v>
      </c>
      <c r="H75" s="19">
        <f>Fact_Defect_Split!H14</f>
        <v>0</v>
      </c>
    </row>
    <row r="76" spans="1:8" x14ac:dyDescent="0.25">
      <c r="A76" s="18" t="s">
        <v>1057</v>
      </c>
      <c r="B76" s="4">
        <f>Fact_Defect_Split!B14</f>
        <v>20260701</v>
      </c>
      <c r="C76" s="4">
        <f>Fact_Defect_Split!C14</f>
        <v>1</v>
      </c>
      <c r="D76" s="4" t="str">
        <f>Fact_Defect_Split!D14</f>
        <v>M6</v>
      </c>
      <c r="E76" s="4" t="str">
        <f>Fact_Defect_Split!E14</f>
        <v>B-PM</v>
      </c>
      <c r="F76" s="4" t="str">
        <f>Fact_Defect_Split!F14</f>
        <v>C</v>
      </c>
      <c r="G76" s="4" t="s">
        <v>517</v>
      </c>
      <c r="H76" s="19">
        <f>Fact_Defect_Split!I14</f>
        <v>0</v>
      </c>
    </row>
    <row r="77" spans="1:8" x14ac:dyDescent="0.25">
      <c r="A77" s="18" t="s">
        <v>1058</v>
      </c>
      <c r="B77" s="4">
        <f>Fact_Defect_Split!B14</f>
        <v>20260701</v>
      </c>
      <c r="C77" s="4">
        <f>Fact_Defect_Split!C14</f>
        <v>1</v>
      </c>
      <c r="D77" s="4" t="str">
        <f>Fact_Defect_Split!D14</f>
        <v>M6</v>
      </c>
      <c r="E77" s="4" t="str">
        <f>Fact_Defect_Split!E14</f>
        <v>B-PM</v>
      </c>
      <c r="F77" s="4" t="str">
        <f>Fact_Defect_Split!F14</f>
        <v>C</v>
      </c>
      <c r="G77" s="4" t="s">
        <v>503</v>
      </c>
      <c r="H77" s="19">
        <f>Fact_Defect_Split!J14</f>
        <v>0</v>
      </c>
    </row>
    <row r="78" spans="1:8" x14ac:dyDescent="0.25">
      <c r="A78" s="18" t="s">
        <v>1059</v>
      </c>
      <c r="B78" s="4">
        <f>Fact_Defect_Split!B14</f>
        <v>20260701</v>
      </c>
      <c r="C78" s="4">
        <f>Fact_Defect_Split!C14</f>
        <v>1</v>
      </c>
      <c r="D78" s="4" t="str">
        <f>Fact_Defect_Split!D14</f>
        <v>M6</v>
      </c>
      <c r="E78" s="4" t="str">
        <f>Fact_Defect_Split!E14</f>
        <v>B-PM</v>
      </c>
      <c r="F78" s="4" t="str">
        <f>Fact_Defect_Split!F14</f>
        <v>C</v>
      </c>
      <c r="G78" s="4" t="s">
        <v>509</v>
      </c>
      <c r="H78" s="19">
        <f>Fact_Defect_Split!K14</f>
        <v>0</v>
      </c>
    </row>
    <row r="79" spans="1:8" x14ac:dyDescent="0.25">
      <c r="A79" s="18" t="s">
        <v>1060</v>
      </c>
      <c r="B79" s="4">
        <f>Fact_Defect_Split!B14</f>
        <v>20260701</v>
      </c>
      <c r="C79" s="4">
        <f>Fact_Defect_Split!C14</f>
        <v>1</v>
      </c>
      <c r="D79" s="4" t="str">
        <f>Fact_Defect_Split!D14</f>
        <v>M6</v>
      </c>
      <c r="E79" s="4" t="str">
        <f>Fact_Defect_Split!E14</f>
        <v>B-PM</v>
      </c>
      <c r="F79" s="4" t="str">
        <f>Fact_Defect_Split!F14</f>
        <v>C</v>
      </c>
      <c r="G79" s="4" t="s">
        <v>520</v>
      </c>
      <c r="H79" s="19">
        <f>Fact_Defect_Split!L14</f>
        <v>1</v>
      </c>
    </row>
    <row r="80" spans="1:8" x14ac:dyDescent="0.25">
      <c r="A80" s="18" t="s">
        <v>1061</v>
      </c>
      <c r="B80" s="4">
        <f>Fact_Defect_Split!B15</f>
        <v>20260701</v>
      </c>
      <c r="C80" s="4">
        <f>Fact_Defect_Split!C15</f>
        <v>1</v>
      </c>
      <c r="D80" s="4" t="str">
        <f>Fact_Defect_Split!D15</f>
        <v>M7</v>
      </c>
      <c r="E80" s="4" t="str">
        <f>Fact_Defect_Split!E15</f>
        <v>B-PM</v>
      </c>
      <c r="F80" s="4" t="str">
        <f>Fact_Defect_Split!F15</f>
        <v>A</v>
      </c>
      <c r="G80" s="4" t="s">
        <v>498</v>
      </c>
      <c r="H80" s="19">
        <f>Fact_Defect_Split!G15</f>
        <v>0</v>
      </c>
    </row>
    <row r="81" spans="1:8" x14ac:dyDescent="0.25">
      <c r="A81" s="18" t="s">
        <v>1062</v>
      </c>
      <c r="B81" s="4">
        <f>Fact_Defect_Split!B15</f>
        <v>20260701</v>
      </c>
      <c r="C81" s="4">
        <f>Fact_Defect_Split!C15</f>
        <v>1</v>
      </c>
      <c r="D81" s="4" t="str">
        <f>Fact_Defect_Split!D15</f>
        <v>M7</v>
      </c>
      <c r="E81" s="4" t="str">
        <f>Fact_Defect_Split!E15</f>
        <v>B-PM</v>
      </c>
      <c r="F81" s="4" t="str">
        <f>Fact_Defect_Split!F15</f>
        <v>A</v>
      </c>
      <c r="G81" s="4" t="s">
        <v>500</v>
      </c>
      <c r="H81" s="19">
        <f>Fact_Defect_Split!H15</f>
        <v>0</v>
      </c>
    </row>
    <row r="82" spans="1:8" x14ac:dyDescent="0.25">
      <c r="A82" s="18" t="s">
        <v>1063</v>
      </c>
      <c r="B82" s="4">
        <f>Fact_Defect_Split!B15</f>
        <v>20260701</v>
      </c>
      <c r="C82" s="4">
        <f>Fact_Defect_Split!C15</f>
        <v>1</v>
      </c>
      <c r="D82" s="4" t="str">
        <f>Fact_Defect_Split!D15</f>
        <v>M7</v>
      </c>
      <c r="E82" s="4" t="str">
        <f>Fact_Defect_Split!E15</f>
        <v>B-PM</v>
      </c>
      <c r="F82" s="4" t="str">
        <f>Fact_Defect_Split!F15</f>
        <v>A</v>
      </c>
      <c r="G82" s="4" t="s">
        <v>517</v>
      </c>
      <c r="H82" s="19">
        <f>Fact_Defect_Split!I15</f>
        <v>0</v>
      </c>
    </row>
    <row r="83" spans="1:8" x14ac:dyDescent="0.25">
      <c r="A83" s="18" t="s">
        <v>1064</v>
      </c>
      <c r="B83" s="4">
        <f>Fact_Defect_Split!B15</f>
        <v>20260701</v>
      </c>
      <c r="C83" s="4">
        <f>Fact_Defect_Split!C15</f>
        <v>1</v>
      </c>
      <c r="D83" s="4" t="str">
        <f>Fact_Defect_Split!D15</f>
        <v>M7</v>
      </c>
      <c r="E83" s="4" t="str">
        <f>Fact_Defect_Split!E15</f>
        <v>B-PM</v>
      </c>
      <c r="F83" s="4" t="str">
        <f>Fact_Defect_Split!F15</f>
        <v>A</v>
      </c>
      <c r="G83" s="4" t="s">
        <v>503</v>
      </c>
      <c r="H83" s="19">
        <f>Fact_Defect_Split!J15</f>
        <v>0</v>
      </c>
    </row>
    <row r="84" spans="1:8" x14ac:dyDescent="0.25">
      <c r="A84" s="18" t="s">
        <v>1065</v>
      </c>
      <c r="B84" s="4">
        <f>Fact_Defect_Split!B15</f>
        <v>20260701</v>
      </c>
      <c r="C84" s="4">
        <f>Fact_Defect_Split!C15</f>
        <v>1</v>
      </c>
      <c r="D84" s="4" t="str">
        <f>Fact_Defect_Split!D15</f>
        <v>M7</v>
      </c>
      <c r="E84" s="4" t="str">
        <f>Fact_Defect_Split!E15</f>
        <v>B-PM</v>
      </c>
      <c r="F84" s="4" t="str">
        <f>Fact_Defect_Split!F15</f>
        <v>A</v>
      </c>
      <c r="G84" s="4" t="s">
        <v>509</v>
      </c>
      <c r="H84" s="19">
        <f>Fact_Defect_Split!K15</f>
        <v>0</v>
      </c>
    </row>
    <row r="85" spans="1:8" x14ac:dyDescent="0.25">
      <c r="A85" s="18" t="s">
        <v>1066</v>
      </c>
      <c r="B85" s="4">
        <f>Fact_Defect_Split!B15</f>
        <v>20260701</v>
      </c>
      <c r="C85" s="4">
        <f>Fact_Defect_Split!C15</f>
        <v>1</v>
      </c>
      <c r="D85" s="4" t="str">
        <f>Fact_Defect_Split!D15</f>
        <v>M7</v>
      </c>
      <c r="E85" s="4" t="str">
        <f>Fact_Defect_Split!E15</f>
        <v>B-PM</v>
      </c>
      <c r="F85" s="4" t="str">
        <f>Fact_Defect_Split!F15</f>
        <v>A</v>
      </c>
      <c r="G85" s="4" t="s">
        <v>520</v>
      </c>
      <c r="H85" s="19">
        <f>Fact_Defect_Split!L15</f>
        <v>1</v>
      </c>
    </row>
    <row r="86" spans="1:8" x14ac:dyDescent="0.25">
      <c r="A86" s="18" t="s">
        <v>1067</v>
      </c>
      <c r="B86" s="4">
        <f>Fact_Defect_Split!B16</f>
        <v>20260701</v>
      </c>
      <c r="C86" s="4">
        <f>Fact_Defect_Split!C16</f>
        <v>2</v>
      </c>
      <c r="D86" s="4" t="str">
        <f>Fact_Defect_Split!D16</f>
        <v>M1</v>
      </c>
      <c r="E86" s="4" t="str">
        <f>Fact_Defect_Split!E16</f>
        <v>B-PM</v>
      </c>
      <c r="F86" s="4" t="str">
        <f>Fact_Defect_Split!F16</f>
        <v>A</v>
      </c>
      <c r="G86" s="4" t="s">
        <v>498</v>
      </c>
      <c r="H86" s="19">
        <f>Fact_Defect_Split!G16</f>
        <v>0</v>
      </c>
    </row>
    <row r="87" spans="1:8" x14ac:dyDescent="0.25">
      <c r="A87" s="18" t="s">
        <v>1068</v>
      </c>
      <c r="B87" s="4">
        <f>Fact_Defect_Split!B16</f>
        <v>20260701</v>
      </c>
      <c r="C87" s="4">
        <f>Fact_Defect_Split!C16</f>
        <v>2</v>
      </c>
      <c r="D87" s="4" t="str">
        <f>Fact_Defect_Split!D16</f>
        <v>M1</v>
      </c>
      <c r="E87" s="4" t="str">
        <f>Fact_Defect_Split!E16</f>
        <v>B-PM</v>
      </c>
      <c r="F87" s="4" t="str">
        <f>Fact_Defect_Split!F16</f>
        <v>A</v>
      </c>
      <c r="G87" s="4" t="s">
        <v>500</v>
      </c>
      <c r="H87" s="19">
        <f>Fact_Defect_Split!H16</f>
        <v>0</v>
      </c>
    </row>
    <row r="88" spans="1:8" x14ac:dyDescent="0.25">
      <c r="A88" s="18" t="s">
        <v>1069</v>
      </c>
      <c r="B88" s="4">
        <f>Fact_Defect_Split!B16</f>
        <v>20260701</v>
      </c>
      <c r="C88" s="4">
        <f>Fact_Defect_Split!C16</f>
        <v>2</v>
      </c>
      <c r="D88" s="4" t="str">
        <f>Fact_Defect_Split!D16</f>
        <v>M1</v>
      </c>
      <c r="E88" s="4" t="str">
        <f>Fact_Defect_Split!E16</f>
        <v>B-PM</v>
      </c>
      <c r="F88" s="4" t="str">
        <f>Fact_Defect_Split!F16</f>
        <v>A</v>
      </c>
      <c r="G88" s="4" t="s">
        <v>517</v>
      </c>
      <c r="H88" s="19">
        <f>Fact_Defect_Split!I16</f>
        <v>0</v>
      </c>
    </row>
    <row r="89" spans="1:8" x14ac:dyDescent="0.25">
      <c r="A89" s="18" t="s">
        <v>1070</v>
      </c>
      <c r="B89" s="4">
        <f>Fact_Defect_Split!B16</f>
        <v>20260701</v>
      </c>
      <c r="C89" s="4">
        <f>Fact_Defect_Split!C16</f>
        <v>2</v>
      </c>
      <c r="D89" s="4" t="str">
        <f>Fact_Defect_Split!D16</f>
        <v>M1</v>
      </c>
      <c r="E89" s="4" t="str">
        <f>Fact_Defect_Split!E16</f>
        <v>B-PM</v>
      </c>
      <c r="F89" s="4" t="str">
        <f>Fact_Defect_Split!F16</f>
        <v>A</v>
      </c>
      <c r="G89" s="4" t="s">
        <v>503</v>
      </c>
      <c r="H89" s="19">
        <f>Fact_Defect_Split!J16</f>
        <v>0</v>
      </c>
    </row>
    <row r="90" spans="1:8" x14ac:dyDescent="0.25">
      <c r="A90" s="18" t="s">
        <v>1071</v>
      </c>
      <c r="B90" s="4">
        <f>Fact_Defect_Split!B16</f>
        <v>20260701</v>
      </c>
      <c r="C90" s="4">
        <f>Fact_Defect_Split!C16</f>
        <v>2</v>
      </c>
      <c r="D90" s="4" t="str">
        <f>Fact_Defect_Split!D16</f>
        <v>M1</v>
      </c>
      <c r="E90" s="4" t="str">
        <f>Fact_Defect_Split!E16</f>
        <v>B-PM</v>
      </c>
      <c r="F90" s="4" t="str">
        <f>Fact_Defect_Split!F16</f>
        <v>A</v>
      </c>
      <c r="G90" s="4" t="s">
        <v>509</v>
      </c>
      <c r="H90" s="19">
        <f>Fact_Defect_Split!K16</f>
        <v>0</v>
      </c>
    </row>
    <row r="91" spans="1:8" x14ac:dyDescent="0.25">
      <c r="A91" s="18" t="s">
        <v>1072</v>
      </c>
      <c r="B91" s="4">
        <f>Fact_Defect_Split!B16</f>
        <v>20260701</v>
      </c>
      <c r="C91" s="4">
        <f>Fact_Defect_Split!C16</f>
        <v>2</v>
      </c>
      <c r="D91" s="4" t="str">
        <f>Fact_Defect_Split!D16</f>
        <v>M1</v>
      </c>
      <c r="E91" s="4" t="str">
        <f>Fact_Defect_Split!E16</f>
        <v>B-PM</v>
      </c>
      <c r="F91" s="4" t="str">
        <f>Fact_Defect_Split!F16</f>
        <v>A</v>
      </c>
      <c r="G91" s="4" t="s">
        <v>520</v>
      </c>
      <c r="H91" s="19">
        <f>Fact_Defect_Split!L16</f>
        <v>0</v>
      </c>
    </row>
    <row r="92" spans="1:8" x14ac:dyDescent="0.25">
      <c r="A92" s="18" t="s">
        <v>1073</v>
      </c>
      <c r="B92" s="4">
        <f>Fact_Defect_Split!B17</f>
        <v>20260701</v>
      </c>
      <c r="C92" s="4">
        <f>Fact_Defect_Split!C17</f>
        <v>2</v>
      </c>
      <c r="D92" s="4" t="str">
        <f>Fact_Defect_Split!D17</f>
        <v>M2</v>
      </c>
      <c r="E92" s="4" t="str">
        <f>Fact_Defect_Split!E17</f>
        <v>B-PM</v>
      </c>
      <c r="F92" s="4" t="str">
        <f>Fact_Defect_Split!F17</f>
        <v>C</v>
      </c>
      <c r="G92" s="4" t="s">
        <v>498</v>
      </c>
      <c r="H92" s="19">
        <f>Fact_Defect_Split!G17</f>
        <v>0</v>
      </c>
    </row>
    <row r="93" spans="1:8" x14ac:dyDescent="0.25">
      <c r="A93" s="18" t="s">
        <v>1074</v>
      </c>
      <c r="B93" s="4">
        <f>Fact_Defect_Split!B17</f>
        <v>20260701</v>
      </c>
      <c r="C93" s="4">
        <f>Fact_Defect_Split!C17</f>
        <v>2</v>
      </c>
      <c r="D93" s="4" t="str">
        <f>Fact_Defect_Split!D17</f>
        <v>M2</v>
      </c>
      <c r="E93" s="4" t="str">
        <f>Fact_Defect_Split!E17</f>
        <v>B-PM</v>
      </c>
      <c r="F93" s="4" t="str">
        <f>Fact_Defect_Split!F17</f>
        <v>C</v>
      </c>
      <c r="G93" s="4" t="s">
        <v>500</v>
      </c>
      <c r="H93" s="19">
        <f>Fact_Defect_Split!H17</f>
        <v>0</v>
      </c>
    </row>
    <row r="94" spans="1:8" x14ac:dyDescent="0.25">
      <c r="A94" s="18" t="s">
        <v>1075</v>
      </c>
      <c r="B94" s="4">
        <f>Fact_Defect_Split!B17</f>
        <v>20260701</v>
      </c>
      <c r="C94" s="4">
        <f>Fact_Defect_Split!C17</f>
        <v>2</v>
      </c>
      <c r="D94" s="4" t="str">
        <f>Fact_Defect_Split!D17</f>
        <v>M2</v>
      </c>
      <c r="E94" s="4" t="str">
        <f>Fact_Defect_Split!E17</f>
        <v>B-PM</v>
      </c>
      <c r="F94" s="4" t="str">
        <f>Fact_Defect_Split!F17</f>
        <v>C</v>
      </c>
      <c r="G94" s="4" t="s">
        <v>517</v>
      </c>
      <c r="H94" s="19">
        <f>Fact_Defect_Split!I17</f>
        <v>1</v>
      </c>
    </row>
    <row r="95" spans="1:8" x14ac:dyDescent="0.25">
      <c r="A95" s="18" t="s">
        <v>1076</v>
      </c>
      <c r="B95" s="4">
        <f>Fact_Defect_Split!B17</f>
        <v>20260701</v>
      </c>
      <c r="C95" s="4">
        <f>Fact_Defect_Split!C17</f>
        <v>2</v>
      </c>
      <c r="D95" s="4" t="str">
        <f>Fact_Defect_Split!D17</f>
        <v>M2</v>
      </c>
      <c r="E95" s="4" t="str">
        <f>Fact_Defect_Split!E17</f>
        <v>B-PM</v>
      </c>
      <c r="F95" s="4" t="str">
        <f>Fact_Defect_Split!F17</f>
        <v>C</v>
      </c>
      <c r="G95" s="4" t="s">
        <v>503</v>
      </c>
      <c r="H95" s="19">
        <f>Fact_Defect_Split!J17</f>
        <v>0</v>
      </c>
    </row>
    <row r="96" spans="1:8" x14ac:dyDescent="0.25">
      <c r="A96" s="18" t="s">
        <v>1077</v>
      </c>
      <c r="B96" s="4">
        <f>Fact_Defect_Split!B17</f>
        <v>20260701</v>
      </c>
      <c r="C96" s="4">
        <f>Fact_Defect_Split!C17</f>
        <v>2</v>
      </c>
      <c r="D96" s="4" t="str">
        <f>Fact_Defect_Split!D17</f>
        <v>M2</v>
      </c>
      <c r="E96" s="4" t="str">
        <f>Fact_Defect_Split!E17</f>
        <v>B-PM</v>
      </c>
      <c r="F96" s="4" t="str">
        <f>Fact_Defect_Split!F17</f>
        <v>C</v>
      </c>
      <c r="G96" s="4" t="s">
        <v>509</v>
      </c>
      <c r="H96" s="19">
        <f>Fact_Defect_Split!K17</f>
        <v>1</v>
      </c>
    </row>
    <row r="97" spans="1:8" x14ac:dyDescent="0.25">
      <c r="A97" s="18" t="s">
        <v>1078</v>
      </c>
      <c r="B97" s="4">
        <f>Fact_Defect_Split!B17</f>
        <v>20260701</v>
      </c>
      <c r="C97" s="4">
        <f>Fact_Defect_Split!C17</f>
        <v>2</v>
      </c>
      <c r="D97" s="4" t="str">
        <f>Fact_Defect_Split!D17</f>
        <v>M2</v>
      </c>
      <c r="E97" s="4" t="str">
        <f>Fact_Defect_Split!E17</f>
        <v>B-PM</v>
      </c>
      <c r="F97" s="4" t="str">
        <f>Fact_Defect_Split!F17</f>
        <v>C</v>
      </c>
      <c r="G97" s="4" t="s">
        <v>520</v>
      </c>
      <c r="H97" s="19">
        <f>Fact_Defect_Split!L17</f>
        <v>1</v>
      </c>
    </row>
    <row r="98" spans="1:8" x14ac:dyDescent="0.25">
      <c r="A98" s="18" t="s">
        <v>1079</v>
      </c>
      <c r="B98" s="4">
        <f>Fact_Defect_Split!B18</f>
        <v>20260701</v>
      </c>
      <c r="C98" s="4">
        <f>Fact_Defect_Split!C18</f>
        <v>2</v>
      </c>
      <c r="D98" s="4" t="str">
        <f>Fact_Defect_Split!D18</f>
        <v>M3</v>
      </c>
      <c r="E98" s="4" t="str">
        <f>Fact_Defect_Split!E18</f>
        <v>B-PM</v>
      </c>
      <c r="F98" s="4" t="str">
        <f>Fact_Defect_Split!F18</f>
        <v>A</v>
      </c>
      <c r="G98" s="4" t="s">
        <v>498</v>
      </c>
      <c r="H98" s="19">
        <f>Fact_Defect_Split!G18</f>
        <v>0</v>
      </c>
    </row>
    <row r="99" spans="1:8" x14ac:dyDescent="0.25">
      <c r="A99" s="18" t="s">
        <v>1080</v>
      </c>
      <c r="B99" s="4">
        <f>Fact_Defect_Split!B18</f>
        <v>20260701</v>
      </c>
      <c r="C99" s="4">
        <f>Fact_Defect_Split!C18</f>
        <v>2</v>
      </c>
      <c r="D99" s="4" t="str">
        <f>Fact_Defect_Split!D18</f>
        <v>M3</v>
      </c>
      <c r="E99" s="4" t="str">
        <f>Fact_Defect_Split!E18</f>
        <v>B-PM</v>
      </c>
      <c r="F99" s="4" t="str">
        <f>Fact_Defect_Split!F18</f>
        <v>A</v>
      </c>
      <c r="G99" s="4" t="s">
        <v>500</v>
      </c>
      <c r="H99" s="19">
        <f>Fact_Defect_Split!H18</f>
        <v>0</v>
      </c>
    </row>
    <row r="100" spans="1:8" x14ac:dyDescent="0.25">
      <c r="A100" s="18" t="s">
        <v>1081</v>
      </c>
      <c r="B100" s="4">
        <f>Fact_Defect_Split!B18</f>
        <v>20260701</v>
      </c>
      <c r="C100" s="4">
        <f>Fact_Defect_Split!C18</f>
        <v>2</v>
      </c>
      <c r="D100" s="4" t="str">
        <f>Fact_Defect_Split!D18</f>
        <v>M3</v>
      </c>
      <c r="E100" s="4" t="str">
        <f>Fact_Defect_Split!E18</f>
        <v>B-PM</v>
      </c>
      <c r="F100" s="4" t="str">
        <f>Fact_Defect_Split!F18</f>
        <v>A</v>
      </c>
      <c r="G100" s="4" t="s">
        <v>517</v>
      </c>
      <c r="H100" s="19">
        <f>Fact_Defect_Split!I18</f>
        <v>0</v>
      </c>
    </row>
    <row r="101" spans="1:8" x14ac:dyDescent="0.25">
      <c r="A101" s="18" t="s">
        <v>1082</v>
      </c>
      <c r="B101" s="4">
        <f>Fact_Defect_Split!B18</f>
        <v>20260701</v>
      </c>
      <c r="C101" s="4">
        <f>Fact_Defect_Split!C18</f>
        <v>2</v>
      </c>
      <c r="D101" s="4" t="str">
        <f>Fact_Defect_Split!D18</f>
        <v>M3</v>
      </c>
      <c r="E101" s="4" t="str">
        <f>Fact_Defect_Split!E18</f>
        <v>B-PM</v>
      </c>
      <c r="F101" s="4" t="str">
        <f>Fact_Defect_Split!F18</f>
        <v>A</v>
      </c>
      <c r="G101" s="4" t="s">
        <v>503</v>
      </c>
      <c r="H101" s="19">
        <f>Fact_Defect_Split!J18</f>
        <v>0</v>
      </c>
    </row>
    <row r="102" spans="1:8" x14ac:dyDescent="0.25">
      <c r="A102" s="18" t="s">
        <v>1083</v>
      </c>
      <c r="B102" s="4">
        <f>Fact_Defect_Split!B18</f>
        <v>20260701</v>
      </c>
      <c r="C102" s="4">
        <f>Fact_Defect_Split!C18</f>
        <v>2</v>
      </c>
      <c r="D102" s="4" t="str">
        <f>Fact_Defect_Split!D18</f>
        <v>M3</v>
      </c>
      <c r="E102" s="4" t="str">
        <f>Fact_Defect_Split!E18</f>
        <v>B-PM</v>
      </c>
      <c r="F102" s="4" t="str">
        <f>Fact_Defect_Split!F18</f>
        <v>A</v>
      </c>
      <c r="G102" s="4" t="s">
        <v>509</v>
      </c>
      <c r="H102" s="19">
        <f>Fact_Defect_Split!K18</f>
        <v>1</v>
      </c>
    </row>
    <row r="103" spans="1:8" x14ac:dyDescent="0.25">
      <c r="A103" s="18" t="s">
        <v>1084</v>
      </c>
      <c r="B103" s="4">
        <f>Fact_Defect_Split!B18</f>
        <v>20260701</v>
      </c>
      <c r="C103" s="4">
        <f>Fact_Defect_Split!C18</f>
        <v>2</v>
      </c>
      <c r="D103" s="4" t="str">
        <f>Fact_Defect_Split!D18</f>
        <v>M3</v>
      </c>
      <c r="E103" s="4" t="str">
        <f>Fact_Defect_Split!E18</f>
        <v>B-PM</v>
      </c>
      <c r="F103" s="4" t="str">
        <f>Fact_Defect_Split!F18</f>
        <v>A</v>
      </c>
      <c r="G103" s="4" t="s">
        <v>520</v>
      </c>
      <c r="H103" s="19">
        <f>Fact_Defect_Split!L18</f>
        <v>0</v>
      </c>
    </row>
    <row r="104" spans="1:8" x14ac:dyDescent="0.25">
      <c r="A104" s="18" t="s">
        <v>1085</v>
      </c>
      <c r="B104" s="4">
        <f>Fact_Defect_Split!B19</f>
        <v>20260701</v>
      </c>
      <c r="C104" s="4">
        <f>Fact_Defect_Split!C19</f>
        <v>2</v>
      </c>
      <c r="D104" s="4" t="str">
        <f>Fact_Defect_Split!D19</f>
        <v>M4</v>
      </c>
      <c r="E104" s="4" t="str">
        <f>Fact_Defect_Split!E19</f>
        <v>B-PM</v>
      </c>
      <c r="F104" s="4" t="str">
        <f>Fact_Defect_Split!F19</f>
        <v>A</v>
      </c>
      <c r="G104" s="4" t="s">
        <v>498</v>
      </c>
      <c r="H104" s="19">
        <f>Fact_Defect_Split!G19</f>
        <v>0</v>
      </c>
    </row>
    <row r="105" spans="1:8" x14ac:dyDescent="0.25">
      <c r="A105" s="18" t="s">
        <v>1086</v>
      </c>
      <c r="B105" s="4">
        <f>Fact_Defect_Split!B19</f>
        <v>20260701</v>
      </c>
      <c r="C105" s="4">
        <f>Fact_Defect_Split!C19</f>
        <v>2</v>
      </c>
      <c r="D105" s="4" t="str">
        <f>Fact_Defect_Split!D19</f>
        <v>M4</v>
      </c>
      <c r="E105" s="4" t="str">
        <f>Fact_Defect_Split!E19</f>
        <v>B-PM</v>
      </c>
      <c r="F105" s="4" t="str">
        <f>Fact_Defect_Split!F19</f>
        <v>A</v>
      </c>
      <c r="G105" s="4" t="s">
        <v>500</v>
      </c>
      <c r="H105" s="19">
        <f>Fact_Defect_Split!H19</f>
        <v>0</v>
      </c>
    </row>
    <row r="106" spans="1:8" x14ac:dyDescent="0.25">
      <c r="A106" s="18" t="s">
        <v>1087</v>
      </c>
      <c r="B106" s="4">
        <f>Fact_Defect_Split!B19</f>
        <v>20260701</v>
      </c>
      <c r="C106" s="4">
        <f>Fact_Defect_Split!C19</f>
        <v>2</v>
      </c>
      <c r="D106" s="4" t="str">
        <f>Fact_Defect_Split!D19</f>
        <v>M4</v>
      </c>
      <c r="E106" s="4" t="str">
        <f>Fact_Defect_Split!E19</f>
        <v>B-PM</v>
      </c>
      <c r="F106" s="4" t="str">
        <f>Fact_Defect_Split!F19</f>
        <v>A</v>
      </c>
      <c r="G106" s="4" t="s">
        <v>517</v>
      </c>
      <c r="H106" s="19">
        <f>Fact_Defect_Split!I19</f>
        <v>1</v>
      </c>
    </row>
    <row r="107" spans="1:8" x14ac:dyDescent="0.25">
      <c r="A107" s="18" t="s">
        <v>1088</v>
      </c>
      <c r="B107" s="4">
        <f>Fact_Defect_Split!B19</f>
        <v>20260701</v>
      </c>
      <c r="C107" s="4">
        <f>Fact_Defect_Split!C19</f>
        <v>2</v>
      </c>
      <c r="D107" s="4" t="str">
        <f>Fact_Defect_Split!D19</f>
        <v>M4</v>
      </c>
      <c r="E107" s="4" t="str">
        <f>Fact_Defect_Split!E19</f>
        <v>B-PM</v>
      </c>
      <c r="F107" s="4" t="str">
        <f>Fact_Defect_Split!F19</f>
        <v>A</v>
      </c>
      <c r="G107" s="4" t="s">
        <v>503</v>
      </c>
      <c r="H107" s="19">
        <f>Fact_Defect_Split!J19</f>
        <v>0</v>
      </c>
    </row>
    <row r="108" spans="1:8" x14ac:dyDescent="0.25">
      <c r="A108" s="18" t="s">
        <v>1089</v>
      </c>
      <c r="B108" s="4">
        <f>Fact_Defect_Split!B19</f>
        <v>20260701</v>
      </c>
      <c r="C108" s="4">
        <f>Fact_Defect_Split!C19</f>
        <v>2</v>
      </c>
      <c r="D108" s="4" t="str">
        <f>Fact_Defect_Split!D19</f>
        <v>M4</v>
      </c>
      <c r="E108" s="4" t="str">
        <f>Fact_Defect_Split!E19</f>
        <v>B-PM</v>
      </c>
      <c r="F108" s="4" t="str">
        <f>Fact_Defect_Split!F19</f>
        <v>A</v>
      </c>
      <c r="G108" s="4" t="s">
        <v>509</v>
      </c>
      <c r="H108" s="19">
        <f>Fact_Defect_Split!K19</f>
        <v>1</v>
      </c>
    </row>
    <row r="109" spans="1:8" x14ac:dyDescent="0.25">
      <c r="A109" s="18" t="s">
        <v>1090</v>
      </c>
      <c r="B109" s="4">
        <f>Fact_Defect_Split!B19</f>
        <v>20260701</v>
      </c>
      <c r="C109" s="4">
        <f>Fact_Defect_Split!C19</f>
        <v>2</v>
      </c>
      <c r="D109" s="4" t="str">
        <f>Fact_Defect_Split!D19</f>
        <v>M4</v>
      </c>
      <c r="E109" s="4" t="str">
        <f>Fact_Defect_Split!E19</f>
        <v>B-PM</v>
      </c>
      <c r="F109" s="4" t="str">
        <f>Fact_Defect_Split!F19</f>
        <v>A</v>
      </c>
      <c r="G109" s="4" t="s">
        <v>520</v>
      </c>
      <c r="H109" s="19">
        <f>Fact_Defect_Split!L19</f>
        <v>0</v>
      </c>
    </row>
    <row r="110" spans="1:8" x14ac:dyDescent="0.25">
      <c r="A110" s="18" t="s">
        <v>1091</v>
      </c>
      <c r="B110" s="4">
        <f>Fact_Defect_Split!B20</f>
        <v>20260701</v>
      </c>
      <c r="C110" s="4">
        <f>Fact_Defect_Split!C20</f>
        <v>2</v>
      </c>
      <c r="D110" s="4" t="str">
        <f>Fact_Defect_Split!D20</f>
        <v>M5</v>
      </c>
      <c r="E110" s="4" t="str">
        <f>Fact_Defect_Split!E20</f>
        <v>B-PM</v>
      </c>
      <c r="F110" s="4" t="str">
        <f>Fact_Defect_Split!F20</f>
        <v>A</v>
      </c>
      <c r="G110" s="4" t="s">
        <v>498</v>
      </c>
      <c r="H110" s="19">
        <f>Fact_Defect_Split!G20</f>
        <v>0</v>
      </c>
    </row>
    <row r="111" spans="1:8" x14ac:dyDescent="0.25">
      <c r="A111" s="18" t="s">
        <v>1092</v>
      </c>
      <c r="B111" s="4">
        <f>Fact_Defect_Split!B20</f>
        <v>20260701</v>
      </c>
      <c r="C111" s="4">
        <f>Fact_Defect_Split!C20</f>
        <v>2</v>
      </c>
      <c r="D111" s="4" t="str">
        <f>Fact_Defect_Split!D20</f>
        <v>M5</v>
      </c>
      <c r="E111" s="4" t="str">
        <f>Fact_Defect_Split!E20</f>
        <v>B-PM</v>
      </c>
      <c r="F111" s="4" t="str">
        <f>Fact_Defect_Split!F20</f>
        <v>A</v>
      </c>
      <c r="G111" s="4" t="s">
        <v>500</v>
      </c>
      <c r="H111" s="19">
        <f>Fact_Defect_Split!H20</f>
        <v>0</v>
      </c>
    </row>
    <row r="112" spans="1:8" x14ac:dyDescent="0.25">
      <c r="A112" s="18" t="s">
        <v>1093</v>
      </c>
      <c r="B112" s="4">
        <f>Fact_Defect_Split!B20</f>
        <v>20260701</v>
      </c>
      <c r="C112" s="4">
        <f>Fact_Defect_Split!C20</f>
        <v>2</v>
      </c>
      <c r="D112" s="4" t="str">
        <f>Fact_Defect_Split!D20</f>
        <v>M5</v>
      </c>
      <c r="E112" s="4" t="str">
        <f>Fact_Defect_Split!E20</f>
        <v>B-PM</v>
      </c>
      <c r="F112" s="4" t="str">
        <f>Fact_Defect_Split!F20</f>
        <v>A</v>
      </c>
      <c r="G112" s="4" t="s">
        <v>517</v>
      </c>
      <c r="H112" s="19">
        <f>Fact_Defect_Split!I20</f>
        <v>1</v>
      </c>
    </row>
    <row r="113" spans="1:8" x14ac:dyDescent="0.25">
      <c r="A113" s="18" t="s">
        <v>1094</v>
      </c>
      <c r="B113" s="4">
        <f>Fact_Defect_Split!B20</f>
        <v>20260701</v>
      </c>
      <c r="C113" s="4">
        <f>Fact_Defect_Split!C20</f>
        <v>2</v>
      </c>
      <c r="D113" s="4" t="str">
        <f>Fact_Defect_Split!D20</f>
        <v>M5</v>
      </c>
      <c r="E113" s="4" t="str">
        <f>Fact_Defect_Split!E20</f>
        <v>B-PM</v>
      </c>
      <c r="F113" s="4" t="str">
        <f>Fact_Defect_Split!F20</f>
        <v>A</v>
      </c>
      <c r="G113" s="4" t="s">
        <v>503</v>
      </c>
      <c r="H113" s="19">
        <f>Fact_Defect_Split!J20</f>
        <v>0</v>
      </c>
    </row>
    <row r="114" spans="1:8" x14ac:dyDescent="0.25">
      <c r="A114" s="18" t="s">
        <v>1095</v>
      </c>
      <c r="B114" s="4">
        <f>Fact_Defect_Split!B20</f>
        <v>20260701</v>
      </c>
      <c r="C114" s="4">
        <f>Fact_Defect_Split!C20</f>
        <v>2</v>
      </c>
      <c r="D114" s="4" t="str">
        <f>Fact_Defect_Split!D20</f>
        <v>M5</v>
      </c>
      <c r="E114" s="4" t="str">
        <f>Fact_Defect_Split!E20</f>
        <v>B-PM</v>
      </c>
      <c r="F114" s="4" t="str">
        <f>Fact_Defect_Split!F20</f>
        <v>A</v>
      </c>
      <c r="G114" s="4" t="s">
        <v>509</v>
      </c>
      <c r="H114" s="19">
        <f>Fact_Defect_Split!K20</f>
        <v>0</v>
      </c>
    </row>
    <row r="115" spans="1:8" x14ac:dyDescent="0.25">
      <c r="A115" s="18" t="s">
        <v>1096</v>
      </c>
      <c r="B115" s="4">
        <f>Fact_Defect_Split!B20</f>
        <v>20260701</v>
      </c>
      <c r="C115" s="4">
        <f>Fact_Defect_Split!C20</f>
        <v>2</v>
      </c>
      <c r="D115" s="4" t="str">
        <f>Fact_Defect_Split!D20</f>
        <v>M5</v>
      </c>
      <c r="E115" s="4" t="str">
        <f>Fact_Defect_Split!E20</f>
        <v>B-PM</v>
      </c>
      <c r="F115" s="4" t="str">
        <f>Fact_Defect_Split!F20</f>
        <v>A</v>
      </c>
      <c r="G115" s="4" t="s">
        <v>520</v>
      </c>
      <c r="H115" s="19">
        <f>Fact_Defect_Split!L20</f>
        <v>1</v>
      </c>
    </row>
    <row r="116" spans="1:8" x14ac:dyDescent="0.25">
      <c r="A116" s="18" t="s">
        <v>1097</v>
      </c>
      <c r="B116" s="4">
        <f>Fact_Defect_Split!B21</f>
        <v>20260701</v>
      </c>
      <c r="C116" s="4">
        <f>Fact_Defect_Split!C21</f>
        <v>2</v>
      </c>
      <c r="D116" s="4" t="str">
        <f>Fact_Defect_Split!D21</f>
        <v>M6</v>
      </c>
      <c r="E116" s="4" t="str">
        <f>Fact_Defect_Split!E21</f>
        <v>B-PM</v>
      </c>
      <c r="F116" s="4" t="str">
        <f>Fact_Defect_Split!F21</f>
        <v>C</v>
      </c>
      <c r="G116" s="4" t="s">
        <v>498</v>
      </c>
      <c r="H116" s="19">
        <f>Fact_Defect_Split!G21</f>
        <v>0</v>
      </c>
    </row>
    <row r="117" spans="1:8" x14ac:dyDescent="0.25">
      <c r="A117" s="18" t="s">
        <v>1098</v>
      </c>
      <c r="B117" s="4">
        <f>Fact_Defect_Split!B21</f>
        <v>20260701</v>
      </c>
      <c r="C117" s="4">
        <f>Fact_Defect_Split!C21</f>
        <v>2</v>
      </c>
      <c r="D117" s="4" t="str">
        <f>Fact_Defect_Split!D21</f>
        <v>M6</v>
      </c>
      <c r="E117" s="4" t="str">
        <f>Fact_Defect_Split!E21</f>
        <v>B-PM</v>
      </c>
      <c r="F117" s="4" t="str">
        <f>Fact_Defect_Split!F21</f>
        <v>C</v>
      </c>
      <c r="G117" s="4" t="s">
        <v>500</v>
      </c>
      <c r="H117" s="19">
        <f>Fact_Defect_Split!H21</f>
        <v>0</v>
      </c>
    </row>
    <row r="118" spans="1:8" x14ac:dyDescent="0.25">
      <c r="A118" s="18" t="s">
        <v>1099</v>
      </c>
      <c r="B118" s="4">
        <f>Fact_Defect_Split!B21</f>
        <v>20260701</v>
      </c>
      <c r="C118" s="4">
        <f>Fact_Defect_Split!C21</f>
        <v>2</v>
      </c>
      <c r="D118" s="4" t="str">
        <f>Fact_Defect_Split!D21</f>
        <v>M6</v>
      </c>
      <c r="E118" s="4" t="str">
        <f>Fact_Defect_Split!E21</f>
        <v>B-PM</v>
      </c>
      <c r="F118" s="4" t="str">
        <f>Fact_Defect_Split!F21</f>
        <v>C</v>
      </c>
      <c r="G118" s="4" t="s">
        <v>517</v>
      </c>
      <c r="H118" s="19">
        <f>Fact_Defect_Split!I21</f>
        <v>1</v>
      </c>
    </row>
    <row r="119" spans="1:8" x14ac:dyDescent="0.25">
      <c r="A119" s="18" t="s">
        <v>1100</v>
      </c>
      <c r="B119" s="4">
        <f>Fact_Defect_Split!B21</f>
        <v>20260701</v>
      </c>
      <c r="C119" s="4">
        <f>Fact_Defect_Split!C21</f>
        <v>2</v>
      </c>
      <c r="D119" s="4" t="str">
        <f>Fact_Defect_Split!D21</f>
        <v>M6</v>
      </c>
      <c r="E119" s="4" t="str">
        <f>Fact_Defect_Split!E21</f>
        <v>B-PM</v>
      </c>
      <c r="F119" s="4" t="str">
        <f>Fact_Defect_Split!F21</f>
        <v>C</v>
      </c>
      <c r="G119" s="4" t="s">
        <v>503</v>
      </c>
      <c r="H119" s="19">
        <f>Fact_Defect_Split!J21</f>
        <v>0</v>
      </c>
    </row>
    <row r="120" spans="1:8" x14ac:dyDescent="0.25">
      <c r="A120" s="18" t="s">
        <v>1101</v>
      </c>
      <c r="B120" s="4">
        <f>Fact_Defect_Split!B21</f>
        <v>20260701</v>
      </c>
      <c r="C120" s="4">
        <f>Fact_Defect_Split!C21</f>
        <v>2</v>
      </c>
      <c r="D120" s="4" t="str">
        <f>Fact_Defect_Split!D21</f>
        <v>M6</v>
      </c>
      <c r="E120" s="4" t="str">
        <f>Fact_Defect_Split!E21</f>
        <v>B-PM</v>
      </c>
      <c r="F120" s="4" t="str">
        <f>Fact_Defect_Split!F21</f>
        <v>C</v>
      </c>
      <c r="G120" s="4" t="s">
        <v>509</v>
      </c>
      <c r="H120" s="19">
        <f>Fact_Defect_Split!K21</f>
        <v>1</v>
      </c>
    </row>
    <row r="121" spans="1:8" x14ac:dyDescent="0.25">
      <c r="A121" s="18" t="s">
        <v>1102</v>
      </c>
      <c r="B121" s="4">
        <f>Fact_Defect_Split!B21</f>
        <v>20260701</v>
      </c>
      <c r="C121" s="4">
        <f>Fact_Defect_Split!C21</f>
        <v>2</v>
      </c>
      <c r="D121" s="4" t="str">
        <f>Fact_Defect_Split!D21</f>
        <v>M6</v>
      </c>
      <c r="E121" s="4" t="str">
        <f>Fact_Defect_Split!E21</f>
        <v>B-PM</v>
      </c>
      <c r="F121" s="4" t="str">
        <f>Fact_Defect_Split!F21</f>
        <v>C</v>
      </c>
      <c r="G121" s="4" t="s">
        <v>520</v>
      </c>
      <c r="H121" s="19">
        <f>Fact_Defect_Split!L21</f>
        <v>0</v>
      </c>
    </row>
    <row r="122" spans="1:8" x14ac:dyDescent="0.25">
      <c r="A122" s="18" t="s">
        <v>1103</v>
      </c>
      <c r="B122" s="4">
        <f>Fact_Defect_Split!B22</f>
        <v>20260701</v>
      </c>
      <c r="C122" s="4">
        <f>Fact_Defect_Split!C22</f>
        <v>2</v>
      </c>
      <c r="D122" s="4" t="str">
        <f>Fact_Defect_Split!D22</f>
        <v>M7</v>
      </c>
      <c r="E122" s="4" t="str">
        <f>Fact_Defect_Split!E22</f>
        <v>B-PM</v>
      </c>
      <c r="F122" s="4" t="str">
        <f>Fact_Defect_Split!F22</f>
        <v>A</v>
      </c>
      <c r="G122" s="4" t="s">
        <v>498</v>
      </c>
      <c r="H122" s="19">
        <f>Fact_Defect_Split!G22</f>
        <v>0</v>
      </c>
    </row>
    <row r="123" spans="1:8" x14ac:dyDescent="0.25">
      <c r="A123" s="18" t="s">
        <v>1104</v>
      </c>
      <c r="B123" s="4">
        <f>Fact_Defect_Split!B22</f>
        <v>20260701</v>
      </c>
      <c r="C123" s="4">
        <f>Fact_Defect_Split!C22</f>
        <v>2</v>
      </c>
      <c r="D123" s="4" t="str">
        <f>Fact_Defect_Split!D22</f>
        <v>M7</v>
      </c>
      <c r="E123" s="4" t="str">
        <f>Fact_Defect_Split!E22</f>
        <v>B-PM</v>
      </c>
      <c r="F123" s="4" t="str">
        <f>Fact_Defect_Split!F22</f>
        <v>A</v>
      </c>
      <c r="G123" s="4" t="s">
        <v>500</v>
      </c>
      <c r="H123" s="19">
        <f>Fact_Defect_Split!H22</f>
        <v>0</v>
      </c>
    </row>
    <row r="124" spans="1:8" x14ac:dyDescent="0.25">
      <c r="A124" s="18" t="s">
        <v>1105</v>
      </c>
      <c r="B124" s="4">
        <f>Fact_Defect_Split!B22</f>
        <v>20260701</v>
      </c>
      <c r="C124" s="4">
        <f>Fact_Defect_Split!C22</f>
        <v>2</v>
      </c>
      <c r="D124" s="4" t="str">
        <f>Fact_Defect_Split!D22</f>
        <v>M7</v>
      </c>
      <c r="E124" s="4" t="str">
        <f>Fact_Defect_Split!E22</f>
        <v>B-PM</v>
      </c>
      <c r="F124" s="4" t="str">
        <f>Fact_Defect_Split!F22</f>
        <v>A</v>
      </c>
      <c r="G124" s="4" t="s">
        <v>517</v>
      </c>
      <c r="H124" s="19">
        <f>Fact_Defect_Split!I22</f>
        <v>0</v>
      </c>
    </row>
    <row r="125" spans="1:8" x14ac:dyDescent="0.25">
      <c r="A125" s="18" t="s">
        <v>1106</v>
      </c>
      <c r="B125" s="4">
        <f>Fact_Defect_Split!B22</f>
        <v>20260701</v>
      </c>
      <c r="C125" s="4">
        <f>Fact_Defect_Split!C22</f>
        <v>2</v>
      </c>
      <c r="D125" s="4" t="str">
        <f>Fact_Defect_Split!D22</f>
        <v>M7</v>
      </c>
      <c r="E125" s="4" t="str">
        <f>Fact_Defect_Split!E22</f>
        <v>B-PM</v>
      </c>
      <c r="F125" s="4" t="str">
        <f>Fact_Defect_Split!F22</f>
        <v>A</v>
      </c>
      <c r="G125" s="4" t="s">
        <v>503</v>
      </c>
      <c r="H125" s="19">
        <f>Fact_Defect_Split!J22</f>
        <v>0</v>
      </c>
    </row>
    <row r="126" spans="1:8" x14ac:dyDescent="0.25">
      <c r="A126" s="18" t="s">
        <v>1107</v>
      </c>
      <c r="B126" s="4">
        <f>Fact_Defect_Split!B22</f>
        <v>20260701</v>
      </c>
      <c r="C126" s="4">
        <f>Fact_Defect_Split!C22</f>
        <v>2</v>
      </c>
      <c r="D126" s="4" t="str">
        <f>Fact_Defect_Split!D22</f>
        <v>M7</v>
      </c>
      <c r="E126" s="4" t="str">
        <f>Fact_Defect_Split!E22</f>
        <v>B-PM</v>
      </c>
      <c r="F126" s="4" t="str">
        <f>Fact_Defect_Split!F22</f>
        <v>A</v>
      </c>
      <c r="G126" s="4" t="s">
        <v>509</v>
      </c>
      <c r="H126" s="19">
        <f>Fact_Defect_Split!K22</f>
        <v>1</v>
      </c>
    </row>
    <row r="127" spans="1:8" x14ac:dyDescent="0.25">
      <c r="A127" s="18" t="s">
        <v>1108</v>
      </c>
      <c r="B127" s="4">
        <f>Fact_Defect_Split!B22</f>
        <v>20260701</v>
      </c>
      <c r="C127" s="4">
        <f>Fact_Defect_Split!C22</f>
        <v>2</v>
      </c>
      <c r="D127" s="4" t="str">
        <f>Fact_Defect_Split!D22</f>
        <v>M7</v>
      </c>
      <c r="E127" s="4" t="str">
        <f>Fact_Defect_Split!E22</f>
        <v>B-PM</v>
      </c>
      <c r="F127" s="4" t="str">
        <f>Fact_Defect_Split!F22</f>
        <v>A</v>
      </c>
      <c r="G127" s="4" t="s">
        <v>520</v>
      </c>
      <c r="H127" s="19">
        <f>Fact_Defect_Split!L22</f>
        <v>0</v>
      </c>
    </row>
    <row r="128" spans="1:8" x14ac:dyDescent="0.25">
      <c r="A128" s="18" t="s">
        <v>1109</v>
      </c>
      <c r="B128" s="4">
        <f>Fact_Defect_Split!B23</f>
        <v>20260701</v>
      </c>
      <c r="C128" s="4">
        <f>Fact_Defect_Split!C23</f>
        <v>3</v>
      </c>
      <c r="D128" s="4" t="str">
        <f>Fact_Defect_Split!D23</f>
        <v>M1</v>
      </c>
      <c r="E128" s="4" t="str">
        <f>Fact_Defect_Split!E23</f>
        <v>B-PM</v>
      </c>
      <c r="F128" s="4" t="str">
        <f>Fact_Defect_Split!F23</f>
        <v>A</v>
      </c>
      <c r="G128" s="4" t="s">
        <v>498</v>
      </c>
      <c r="H128" s="19">
        <f>Fact_Defect_Split!G23</f>
        <v>0</v>
      </c>
    </row>
    <row r="129" spans="1:8" x14ac:dyDescent="0.25">
      <c r="A129" s="18" t="s">
        <v>1110</v>
      </c>
      <c r="B129" s="4">
        <f>Fact_Defect_Split!B23</f>
        <v>20260701</v>
      </c>
      <c r="C129" s="4">
        <f>Fact_Defect_Split!C23</f>
        <v>3</v>
      </c>
      <c r="D129" s="4" t="str">
        <f>Fact_Defect_Split!D23</f>
        <v>M1</v>
      </c>
      <c r="E129" s="4" t="str">
        <f>Fact_Defect_Split!E23</f>
        <v>B-PM</v>
      </c>
      <c r="F129" s="4" t="str">
        <f>Fact_Defect_Split!F23</f>
        <v>A</v>
      </c>
      <c r="G129" s="4" t="s">
        <v>500</v>
      </c>
      <c r="H129" s="19">
        <f>Fact_Defect_Split!H23</f>
        <v>0</v>
      </c>
    </row>
    <row r="130" spans="1:8" x14ac:dyDescent="0.25">
      <c r="A130" s="18" t="s">
        <v>1111</v>
      </c>
      <c r="B130" s="4">
        <f>Fact_Defect_Split!B23</f>
        <v>20260701</v>
      </c>
      <c r="C130" s="4">
        <f>Fact_Defect_Split!C23</f>
        <v>3</v>
      </c>
      <c r="D130" s="4" t="str">
        <f>Fact_Defect_Split!D23</f>
        <v>M1</v>
      </c>
      <c r="E130" s="4" t="str">
        <f>Fact_Defect_Split!E23</f>
        <v>B-PM</v>
      </c>
      <c r="F130" s="4" t="str">
        <f>Fact_Defect_Split!F23</f>
        <v>A</v>
      </c>
      <c r="G130" s="4" t="s">
        <v>517</v>
      </c>
      <c r="H130" s="19">
        <f>Fact_Defect_Split!I23</f>
        <v>0</v>
      </c>
    </row>
    <row r="131" spans="1:8" x14ac:dyDescent="0.25">
      <c r="A131" s="18" t="s">
        <v>1112</v>
      </c>
      <c r="B131" s="4">
        <f>Fact_Defect_Split!B23</f>
        <v>20260701</v>
      </c>
      <c r="C131" s="4">
        <f>Fact_Defect_Split!C23</f>
        <v>3</v>
      </c>
      <c r="D131" s="4" t="str">
        <f>Fact_Defect_Split!D23</f>
        <v>M1</v>
      </c>
      <c r="E131" s="4" t="str">
        <f>Fact_Defect_Split!E23</f>
        <v>B-PM</v>
      </c>
      <c r="F131" s="4" t="str">
        <f>Fact_Defect_Split!F23</f>
        <v>A</v>
      </c>
      <c r="G131" s="4" t="s">
        <v>503</v>
      </c>
      <c r="H131" s="19">
        <f>Fact_Defect_Split!J23</f>
        <v>0</v>
      </c>
    </row>
    <row r="132" spans="1:8" x14ac:dyDescent="0.25">
      <c r="A132" s="18" t="s">
        <v>1113</v>
      </c>
      <c r="B132" s="4">
        <f>Fact_Defect_Split!B23</f>
        <v>20260701</v>
      </c>
      <c r="C132" s="4">
        <f>Fact_Defect_Split!C23</f>
        <v>3</v>
      </c>
      <c r="D132" s="4" t="str">
        <f>Fact_Defect_Split!D23</f>
        <v>M1</v>
      </c>
      <c r="E132" s="4" t="str">
        <f>Fact_Defect_Split!E23</f>
        <v>B-PM</v>
      </c>
      <c r="F132" s="4" t="str">
        <f>Fact_Defect_Split!F23</f>
        <v>A</v>
      </c>
      <c r="G132" s="4" t="s">
        <v>509</v>
      </c>
      <c r="H132" s="19">
        <f>Fact_Defect_Split!K23</f>
        <v>1</v>
      </c>
    </row>
    <row r="133" spans="1:8" x14ac:dyDescent="0.25">
      <c r="A133" s="18" t="s">
        <v>1114</v>
      </c>
      <c r="B133" s="4">
        <f>Fact_Defect_Split!B23</f>
        <v>20260701</v>
      </c>
      <c r="C133" s="4">
        <f>Fact_Defect_Split!C23</f>
        <v>3</v>
      </c>
      <c r="D133" s="4" t="str">
        <f>Fact_Defect_Split!D23</f>
        <v>M1</v>
      </c>
      <c r="E133" s="4" t="str">
        <f>Fact_Defect_Split!E23</f>
        <v>B-PM</v>
      </c>
      <c r="F133" s="4" t="str">
        <f>Fact_Defect_Split!F23</f>
        <v>A</v>
      </c>
      <c r="G133" s="4" t="s">
        <v>520</v>
      </c>
      <c r="H133" s="19">
        <f>Fact_Defect_Split!L23</f>
        <v>0</v>
      </c>
    </row>
    <row r="134" spans="1:8" x14ac:dyDescent="0.25">
      <c r="A134" s="18" t="s">
        <v>1115</v>
      </c>
      <c r="B134" s="4">
        <f>Fact_Defect_Split!B24</f>
        <v>20260701</v>
      </c>
      <c r="C134" s="4">
        <f>Fact_Defect_Split!C24</f>
        <v>3</v>
      </c>
      <c r="D134" s="4" t="str">
        <f>Fact_Defect_Split!D24</f>
        <v>M2</v>
      </c>
      <c r="E134" s="4" t="str">
        <f>Fact_Defect_Split!E24</f>
        <v>B-PM</v>
      </c>
      <c r="F134" s="4" t="str">
        <f>Fact_Defect_Split!F24</f>
        <v>C</v>
      </c>
      <c r="G134" s="4" t="s">
        <v>498</v>
      </c>
      <c r="H134" s="19">
        <f>Fact_Defect_Split!G24</f>
        <v>0</v>
      </c>
    </row>
    <row r="135" spans="1:8" x14ac:dyDescent="0.25">
      <c r="A135" s="18" t="s">
        <v>1116</v>
      </c>
      <c r="B135" s="4">
        <f>Fact_Defect_Split!B24</f>
        <v>20260701</v>
      </c>
      <c r="C135" s="4">
        <f>Fact_Defect_Split!C24</f>
        <v>3</v>
      </c>
      <c r="D135" s="4" t="str">
        <f>Fact_Defect_Split!D24</f>
        <v>M2</v>
      </c>
      <c r="E135" s="4" t="str">
        <f>Fact_Defect_Split!E24</f>
        <v>B-PM</v>
      </c>
      <c r="F135" s="4" t="str">
        <f>Fact_Defect_Split!F24</f>
        <v>C</v>
      </c>
      <c r="G135" s="4" t="s">
        <v>500</v>
      </c>
      <c r="H135" s="19">
        <f>Fact_Defect_Split!H24</f>
        <v>0</v>
      </c>
    </row>
    <row r="136" spans="1:8" x14ac:dyDescent="0.25">
      <c r="A136" s="18" t="s">
        <v>1117</v>
      </c>
      <c r="B136" s="4">
        <f>Fact_Defect_Split!B24</f>
        <v>20260701</v>
      </c>
      <c r="C136" s="4">
        <f>Fact_Defect_Split!C24</f>
        <v>3</v>
      </c>
      <c r="D136" s="4" t="str">
        <f>Fact_Defect_Split!D24</f>
        <v>M2</v>
      </c>
      <c r="E136" s="4" t="str">
        <f>Fact_Defect_Split!E24</f>
        <v>B-PM</v>
      </c>
      <c r="F136" s="4" t="str">
        <f>Fact_Defect_Split!F24</f>
        <v>C</v>
      </c>
      <c r="G136" s="4" t="s">
        <v>517</v>
      </c>
      <c r="H136" s="19">
        <f>Fact_Defect_Split!I24</f>
        <v>1</v>
      </c>
    </row>
    <row r="137" spans="1:8" x14ac:dyDescent="0.25">
      <c r="A137" s="18" t="s">
        <v>1118</v>
      </c>
      <c r="B137" s="4">
        <f>Fact_Defect_Split!B24</f>
        <v>20260701</v>
      </c>
      <c r="C137" s="4">
        <f>Fact_Defect_Split!C24</f>
        <v>3</v>
      </c>
      <c r="D137" s="4" t="str">
        <f>Fact_Defect_Split!D24</f>
        <v>M2</v>
      </c>
      <c r="E137" s="4" t="str">
        <f>Fact_Defect_Split!E24</f>
        <v>B-PM</v>
      </c>
      <c r="F137" s="4" t="str">
        <f>Fact_Defect_Split!F24</f>
        <v>C</v>
      </c>
      <c r="G137" s="4" t="s">
        <v>503</v>
      </c>
      <c r="H137" s="19">
        <f>Fact_Defect_Split!J24</f>
        <v>0</v>
      </c>
    </row>
    <row r="138" spans="1:8" x14ac:dyDescent="0.25">
      <c r="A138" s="18" t="s">
        <v>1119</v>
      </c>
      <c r="B138" s="4">
        <f>Fact_Defect_Split!B24</f>
        <v>20260701</v>
      </c>
      <c r="C138" s="4">
        <f>Fact_Defect_Split!C24</f>
        <v>3</v>
      </c>
      <c r="D138" s="4" t="str">
        <f>Fact_Defect_Split!D24</f>
        <v>M2</v>
      </c>
      <c r="E138" s="4" t="str">
        <f>Fact_Defect_Split!E24</f>
        <v>B-PM</v>
      </c>
      <c r="F138" s="4" t="str">
        <f>Fact_Defect_Split!F24</f>
        <v>C</v>
      </c>
      <c r="G138" s="4" t="s">
        <v>509</v>
      </c>
      <c r="H138" s="19">
        <f>Fact_Defect_Split!K24</f>
        <v>1</v>
      </c>
    </row>
    <row r="139" spans="1:8" x14ac:dyDescent="0.25">
      <c r="A139" s="18" t="s">
        <v>1120</v>
      </c>
      <c r="B139" s="4">
        <f>Fact_Defect_Split!B24</f>
        <v>20260701</v>
      </c>
      <c r="C139" s="4">
        <f>Fact_Defect_Split!C24</f>
        <v>3</v>
      </c>
      <c r="D139" s="4" t="str">
        <f>Fact_Defect_Split!D24</f>
        <v>M2</v>
      </c>
      <c r="E139" s="4" t="str">
        <f>Fact_Defect_Split!E24</f>
        <v>B-PM</v>
      </c>
      <c r="F139" s="4" t="str">
        <f>Fact_Defect_Split!F24</f>
        <v>C</v>
      </c>
      <c r="G139" s="4" t="s">
        <v>520</v>
      </c>
      <c r="H139" s="19">
        <f>Fact_Defect_Split!L24</f>
        <v>1</v>
      </c>
    </row>
    <row r="140" spans="1:8" x14ac:dyDescent="0.25">
      <c r="A140" s="18" t="s">
        <v>1121</v>
      </c>
      <c r="B140" s="4">
        <f>Fact_Defect_Split!B25</f>
        <v>20260701</v>
      </c>
      <c r="C140" s="4">
        <f>Fact_Defect_Split!C25</f>
        <v>3</v>
      </c>
      <c r="D140" s="4" t="str">
        <f>Fact_Defect_Split!D25</f>
        <v>M3</v>
      </c>
      <c r="E140" s="4" t="str">
        <f>Fact_Defect_Split!E25</f>
        <v>B-PM</v>
      </c>
      <c r="F140" s="4" t="str">
        <f>Fact_Defect_Split!F25</f>
        <v>A</v>
      </c>
      <c r="G140" s="4" t="s">
        <v>498</v>
      </c>
      <c r="H140" s="19">
        <f>Fact_Defect_Split!G25</f>
        <v>0</v>
      </c>
    </row>
    <row r="141" spans="1:8" x14ac:dyDescent="0.25">
      <c r="A141" s="18" t="s">
        <v>1122</v>
      </c>
      <c r="B141" s="4">
        <f>Fact_Defect_Split!B25</f>
        <v>20260701</v>
      </c>
      <c r="C141" s="4">
        <f>Fact_Defect_Split!C25</f>
        <v>3</v>
      </c>
      <c r="D141" s="4" t="str">
        <f>Fact_Defect_Split!D25</f>
        <v>M3</v>
      </c>
      <c r="E141" s="4" t="str">
        <f>Fact_Defect_Split!E25</f>
        <v>B-PM</v>
      </c>
      <c r="F141" s="4" t="str">
        <f>Fact_Defect_Split!F25</f>
        <v>A</v>
      </c>
      <c r="G141" s="4" t="s">
        <v>500</v>
      </c>
      <c r="H141" s="19">
        <f>Fact_Defect_Split!H25</f>
        <v>0</v>
      </c>
    </row>
    <row r="142" spans="1:8" x14ac:dyDescent="0.25">
      <c r="A142" s="18" t="s">
        <v>1123</v>
      </c>
      <c r="B142" s="4">
        <f>Fact_Defect_Split!B25</f>
        <v>20260701</v>
      </c>
      <c r="C142" s="4">
        <f>Fact_Defect_Split!C25</f>
        <v>3</v>
      </c>
      <c r="D142" s="4" t="str">
        <f>Fact_Defect_Split!D25</f>
        <v>M3</v>
      </c>
      <c r="E142" s="4" t="str">
        <f>Fact_Defect_Split!E25</f>
        <v>B-PM</v>
      </c>
      <c r="F142" s="4" t="str">
        <f>Fact_Defect_Split!F25</f>
        <v>A</v>
      </c>
      <c r="G142" s="4" t="s">
        <v>517</v>
      </c>
      <c r="H142" s="19">
        <f>Fact_Defect_Split!I25</f>
        <v>0</v>
      </c>
    </row>
    <row r="143" spans="1:8" x14ac:dyDescent="0.25">
      <c r="A143" s="18" t="s">
        <v>1124</v>
      </c>
      <c r="B143" s="4">
        <f>Fact_Defect_Split!B25</f>
        <v>20260701</v>
      </c>
      <c r="C143" s="4">
        <f>Fact_Defect_Split!C25</f>
        <v>3</v>
      </c>
      <c r="D143" s="4" t="str">
        <f>Fact_Defect_Split!D25</f>
        <v>M3</v>
      </c>
      <c r="E143" s="4" t="str">
        <f>Fact_Defect_Split!E25</f>
        <v>B-PM</v>
      </c>
      <c r="F143" s="4" t="str">
        <f>Fact_Defect_Split!F25</f>
        <v>A</v>
      </c>
      <c r="G143" s="4" t="s">
        <v>503</v>
      </c>
      <c r="H143" s="19">
        <f>Fact_Defect_Split!J25</f>
        <v>0</v>
      </c>
    </row>
    <row r="144" spans="1:8" x14ac:dyDescent="0.25">
      <c r="A144" s="18" t="s">
        <v>1125</v>
      </c>
      <c r="B144" s="4">
        <f>Fact_Defect_Split!B25</f>
        <v>20260701</v>
      </c>
      <c r="C144" s="4">
        <f>Fact_Defect_Split!C25</f>
        <v>3</v>
      </c>
      <c r="D144" s="4" t="str">
        <f>Fact_Defect_Split!D25</f>
        <v>M3</v>
      </c>
      <c r="E144" s="4" t="str">
        <f>Fact_Defect_Split!E25</f>
        <v>B-PM</v>
      </c>
      <c r="F144" s="4" t="str">
        <f>Fact_Defect_Split!F25</f>
        <v>A</v>
      </c>
      <c r="G144" s="4" t="s">
        <v>509</v>
      </c>
      <c r="H144" s="19">
        <f>Fact_Defect_Split!K25</f>
        <v>1</v>
      </c>
    </row>
    <row r="145" spans="1:8" x14ac:dyDescent="0.25">
      <c r="A145" s="18" t="s">
        <v>1126</v>
      </c>
      <c r="B145" s="4">
        <f>Fact_Defect_Split!B25</f>
        <v>20260701</v>
      </c>
      <c r="C145" s="4">
        <f>Fact_Defect_Split!C25</f>
        <v>3</v>
      </c>
      <c r="D145" s="4" t="str">
        <f>Fact_Defect_Split!D25</f>
        <v>M3</v>
      </c>
      <c r="E145" s="4" t="str">
        <f>Fact_Defect_Split!E25</f>
        <v>B-PM</v>
      </c>
      <c r="F145" s="4" t="str">
        <f>Fact_Defect_Split!F25</f>
        <v>A</v>
      </c>
      <c r="G145" s="4" t="s">
        <v>520</v>
      </c>
      <c r="H145" s="19">
        <f>Fact_Defect_Split!L25</f>
        <v>0</v>
      </c>
    </row>
    <row r="146" spans="1:8" x14ac:dyDescent="0.25">
      <c r="A146" s="18" t="s">
        <v>1127</v>
      </c>
      <c r="B146" s="4">
        <f>Fact_Defect_Split!B26</f>
        <v>20260701</v>
      </c>
      <c r="C146" s="4">
        <f>Fact_Defect_Split!C26</f>
        <v>3</v>
      </c>
      <c r="D146" s="4" t="str">
        <f>Fact_Defect_Split!D26</f>
        <v>M4</v>
      </c>
      <c r="E146" s="4" t="str">
        <f>Fact_Defect_Split!E26</f>
        <v>B-PM</v>
      </c>
      <c r="F146" s="4" t="str">
        <f>Fact_Defect_Split!F26</f>
        <v>A</v>
      </c>
      <c r="G146" s="4" t="s">
        <v>498</v>
      </c>
      <c r="H146" s="19">
        <f>Fact_Defect_Split!G26</f>
        <v>0</v>
      </c>
    </row>
    <row r="147" spans="1:8" x14ac:dyDescent="0.25">
      <c r="A147" s="18" t="s">
        <v>1128</v>
      </c>
      <c r="B147" s="4">
        <f>Fact_Defect_Split!B26</f>
        <v>20260701</v>
      </c>
      <c r="C147" s="4">
        <f>Fact_Defect_Split!C26</f>
        <v>3</v>
      </c>
      <c r="D147" s="4" t="str">
        <f>Fact_Defect_Split!D26</f>
        <v>M4</v>
      </c>
      <c r="E147" s="4" t="str">
        <f>Fact_Defect_Split!E26</f>
        <v>B-PM</v>
      </c>
      <c r="F147" s="4" t="str">
        <f>Fact_Defect_Split!F26</f>
        <v>A</v>
      </c>
      <c r="G147" s="4" t="s">
        <v>500</v>
      </c>
      <c r="H147" s="19">
        <f>Fact_Defect_Split!H26</f>
        <v>0</v>
      </c>
    </row>
    <row r="148" spans="1:8" x14ac:dyDescent="0.25">
      <c r="A148" s="18" t="s">
        <v>1129</v>
      </c>
      <c r="B148" s="4">
        <f>Fact_Defect_Split!B26</f>
        <v>20260701</v>
      </c>
      <c r="C148" s="4">
        <f>Fact_Defect_Split!C26</f>
        <v>3</v>
      </c>
      <c r="D148" s="4" t="str">
        <f>Fact_Defect_Split!D26</f>
        <v>M4</v>
      </c>
      <c r="E148" s="4" t="str">
        <f>Fact_Defect_Split!E26</f>
        <v>B-PM</v>
      </c>
      <c r="F148" s="4" t="str">
        <f>Fact_Defect_Split!F26</f>
        <v>A</v>
      </c>
      <c r="G148" s="4" t="s">
        <v>517</v>
      </c>
      <c r="H148" s="19">
        <f>Fact_Defect_Split!I26</f>
        <v>1</v>
      </c>
    </row>
    <row r="149" spans="1:8" x14ac:dyDescent="0.25">
      <c r="A149" s="18" t="s">
        <v>1130</v>
      </c>
      <c r="B149" s="4">
        <f>Fact_Defect_Split!B26</f>
        <v>20260701</v>
      </c>
      <c r="C149" s="4">
        <f>Fact_Defect_Split!C26</f>
        <v>3</v>
      </c>
      <c r="D149" s="4" t="str">
        <f>Fact_Defect_Split!D26</f>
        <v>M4</v>
      </c>
      <c r="E149" s="4" t="str">
        <f>Fact_Defect_Split!E26</f>
        <v>B-PM</v>
      </c>
      <c r="F149" s="4" t="str">
        <f>Fact_Defect_Split!F26</f>
        <v>A</v>
      </c>
      <c r="G149" s="4" t="s">
        <v>503</v>
      </c>
      <c r="H149" s="19">
        <f>Fact_Defect_Split!J26</f>
        <v>0</v>
      </c>
    </row>
    <row r="150" spans="1:8" x14ac:dyDescent="0.25">
      <c r="A150" s="18" t="s">
        <v>1131</v>
      </c>
      <c r="B150" s="4">
        <f>Fact_Defect_Split!B26</f>
        <v>20260701</v>
      </c>
      <c r="C150" s="4">
        <f>Fact_Defect_Split!C26</f>
        <v>3</v>
      </c>
      <c r="D150" s="4" t="str">
        <f>Fact_Defect_Split!D26</f>
        <v>M4</v>
      </c>
      <c r="E150" s="4" t="str">
        <f>Fact_Defect_Split!E26</f>
        <v>B-PM</v>
      </c>
      <c r="F150" s="4" t="str">
        <f>Fact_Defect_Split!F26</f>
        <v>A</v>
      </c>
      <c r="G150" s="4" t="s">
        <v>509</v>
      </c>
      <c r="H150" s="19">
        <f>Fact_Defect_Split!K26</f>
        <v>1</v>
      </c>
    </row>
    <row r="151" spans="1:8" x14ac:dyDescent="0.25">
      <c r="A151" s="18" t="s">
        <v>1132</v>
      </c>
      <c r="B151" s="4">
        <f>Fact_Defect_Split!B26</f>
        <v>20260701</v>
      </c>
      <c r="C151" s="4">
        <f>Fact_Defect_Split!C26</f>
        <v>3</v>
      </c>
      <c r="D151" s="4" t="str">
        <f>Fact_Defect_Split!D26</f>
        <v>M4</v>
      </c>
      <c r="E151" s="4" t="str">
        <f>Fact_Defect_Split!E26</f>
        <v>B-PM</v>
      </c>
      <c r="F151" s="4" t="str">
        <f>Fact_Defect_Split!F26</f>
        <v>A</v>
      </c>
      <c r="G151" s="4" t="s">
        <v>520</v>
      </c>
      <c r="H151" s="19">
        <f>Fact_Defect_Split!L26</f>
        <v>0</v>
      </c>
    </row>
    <row r="152" spans="1:8" x14ac:dyDescent="0.25">
      <c r="A152" s="18" t="s">
        <v>1133</v>
      </c>
      <c r="B152" s="4">
        <f>Fact_Defect_Split!B27</f>
        <v>20260701</v>
      </c>
      <c r="C152" s="4">
        <f>Fact_Defect_Split!C27</f>
        <v>3</v>
      </c>
      <c r="D152" s="4" t="str">
        <f>Fact_Defect_Split!D27</f>
        <v>M5</v>
      </c>
      <c r="E152" s="4" t="str">
        <f>Fact_Defect_Split!E27</f>
        <v>B-PM</v>
      </c>
      <c r="F152" s="4" t="str">
        <f>Fact_Defect_Split!F27</f>
        <v>A</v>
      </c>
      <c r="G152" s="4" t="s">
        <v>498</v>
      </c>
      <c r="H152" s="19">
        <f>Fact_Defect_Split!G27</f>
        <v>0</v>
      </c>
    </row>
    <row r="153" spans="1:8" x14ac:dyDescent="0.25">
      <c r="A153" s="18" t="s">
        <v>1134</v>
      </c>
      <c r="B153" s="4">
        <f>Fact_Defect_Split!B27</f>
        <v>20260701</v>
      </c>
      <c r="C153" s="4">
        <f>Fact_Defect_Split!C27</f>
        <v>3</v>
      </c>
      <c r="D153" s="4" t="str">
        <f>Fact_Defect_Split!D27</f>
        <v>M5</v>
      </c>
      <c r="E153" s="4" t="str">
        <f>Fact_Defect_Split!E27</f>
        <v>B-PM</v>
      </c>
      <c r="F153" s="4" t="str">
        <f>Fact_Defect_Split!F27</f>
        <v>A</v>
      </c>
      <c r="G153" s="4" t="s">
        <v>500</v>
      </c>
      <c r="H153" s="19">
        <f>Fact_Defect_Split!H27</f>
        <v>0</v>
      </c>
    </row>
    <row r="154" spans="1:8" x14ac:dyDescent="0.25">
      <c r="A154" s="18" t="s">
        <v>1135</v>
      </c>
      <c r="B154" s="4">
        <f>Fact_Defect_Split!B27</f>
        <v>20260701</v>
      </c>
      <c r="C154" s="4">
        <f>Fact_Defect_Split!C27</f>
        <v>3</v>
      </c>
      <c r="D154" s="4" t="str">
        <f>Fact_Defect_Split!D27</f>
        <v>M5</v>
      </c>
      <c r="E154" s="4" t="str">
        <f>Fact_Defect_Split!E27</f>
        <v>B-PM</v>
      </c>
      <c r="F154" s="4" t="str">
        <f>Fact_Defect_Split!F27</f>
        <v>A</v>
      </c>
      <c r="G154" s="4" t="s">
        <v>517</v>
      </c>
      <c r="H154" s="19">
        <f>Fact_Defect_Split!I27</f>
        <v>0</v>
      </c>
    </row>
    <row r="155" spans="1:8" x14ac:dyDescent="0.25">
      <c r="A155" s="18" t="s">
        <v>1136</v>
      </c>
      <c r="B155" s="4">
        <f>Fact_Defect_Split!B27</f>
        <v>20260701</v>
      </c>
      <c r="C155" s="4">
        <f>Fact_Defect_Split!C27</f>
        <v>3</v>
      </c>
      <c r="D155" s="4" t="str">
        <f>Fact_Defect_Split!D27</f>
        <v>M5</v>
      </c>
      <c r="E155" s="4" t="str">
        <f>Fact_Defect_Split!E27</f>
        <v>B-PM</v>
      </c>
      <c r="F155" s="4" t="str">
        <f>Fact_Defect_Split!F27</f>
        <v>A</v>
      </c>
      <c r="G155" s="4" t="s">
        <v>503</v>
      </c>
      <c r="H155" s="19">
        <f>Fact_Defect_Split!J27</f>
        <v>0</v>
      </c>
    </row>
    <row r="156" spans="1:8" x14ac:dyDescent="0.25">
      <c r="A156" s="18" t="s">
        <v>1137</v>
      </c>
      <c r="B156" s="4">
        <f>Fact_Defect_Split!B27</f>
        <v>20260701</v>
      </c>
      <c r="C156" s="4">
        <f>Fact_Defect_Split!C27</f>
        <v>3</v>
      </c>
      <c r="D156" s="4" t="str">
        <f>Fact_Defect_Split!D27</f>
        <v>M5</v>
      </c>
      <c r="E156" s="4" t="str">
        <f>Fact_Defect_Split!E27</f>
        <v>B-PM</v>
      </c>
      <c r="F156" s="4" t="str">
        <f>Fact_Defect_Split!F27</f>
        <v>A</v>
      </c>
      <c r="G156" s="4" t="s">
        <v>509</v>
      </c>
      <c r="H156" s="19">
        <f>Fact_Defect_Split!K27</f>
        <v>0</v>
      </c>
    </row>
    <row r="157" spans="1:8" x14ac:dyDescent="0.25">
      <c r="A157" s="18" t="s">
        <v>1138</v>
      </c>
      <c r="B157" s="4">
        <f>Fact_Defect_Split!B27</f>
        <v>20260701</v>
      </c>
      <c r="C157" s="4">
        <f>Fact_Defect_Split!C27</f>
        <v>3</v>
      </c>
      <c r="D157" s="4" t="str">
        <f>Fact_Defect_Split!D27</f>
        <v>M5</v>
      </c>
      <c r="E157" s="4" t="str">
        <f>Fact_Defect_Split!E27</f>
        <v>B-PM</v>
      </c>
      <c r="F157" s="4" t="str">
        <f>Fact_Defect_Split!F27</f>
        <v>A</v>
      </c>
      <c r="G157" s="4" t="s">
        <v>520</v>
      </c>
      <c r="H157" s="19">
        <f>Fact_Defect_Split!L27</f>
        <v>0</v>
      </c>
    </row>
    <row r="158" spans="1:8" x14ac:dyDescent="0.25">
      <c r="A158" s="18" t="s">
        <v>1139</v>
      </c>
      <c r="B158" s="4">
        <f>Fact_Defect_Split!B28</f>
        <v>20260701</v>
      </c>
      <c r="C158" s="4">
        <f>Fact_Defect_Split!C28</f>
        <v>3</v>
      </c>
      <c r="D158" s="4" t="str">
        <f>Fact_Defect_Split!D28</f>
        <v>M6</v>
      </c>
      <c r="E158" s="4" t="str">
        <f>Fact_Defect_Split!E28</f>
        <v>B-PM</v>
      </c>
      <c r="F158" s="4" t="str">
        <f>Fact_Defect_Split!F28</f>
        <v>C</v>
      </c>
      <c r="G158" s="4" t="s">
        <v>498</v>
      </c>
      <c r="H158" s="19">
        <f>Fact_Defect_Split!G28</f>
        <v>0</v>
      </c>
    </row>
    <row r="159" spans="1:8" x14ac:dyDescent="0.25">
      <c r="A159" s="18" t="s">
        <v>1140</v>
      </c>
      <c r="B159" s="4">
        <f>Fact_Defect_Split!B28</f>
        <v>20260701</v>
      </c>
      <c r="C159" s="4">
        <f>Fact_Defect_Split!C28</f>
        <v>3</v>
      </c>
      <c r="D159" s="4" t="str">
        <f>Fact_Defect_Split!D28</f>
        <v>M6</v>
      </c>
      <c r="E159" s="4" t="str">
        <f>Fact_Defect_Split!E28</f>
        <v>B-PM</v>
      </c>
      <c r="F159" s="4" t="str">
        <f>Fact_Defect_Split!F28</f>
        <v>C</v>
      </c>
      <c r="G159" s="4" t="s">
        <v>500</v>
      </c>
      <c r="H159" s="19">
        <f>Fact_Defect_Split!H28</f>
        <v>0</v>
      </c>
    </row>
    <row r="160" spans="1:8" x14ac:dyDescent="0.25">
      <c r="A160" s="18" t="s">
        <v>1141</v>
      </c>
      <c r="B160" s="4">
        <f>Fact_Defect_Split!B28</f>
        <v>20260701</v>
      </c>
      <c r="C160" s="4">
        <f>Fact_Defect_Split!C28</f>
        <v>3</v>
      </c>
      <c r="D160" s="4" t="str">
        <f>Fact_Defect_Split!D28</f>
        <v>M6</v>
      </c>
      <c r="E160" s="4" t="str">
        <f>Fact_Defect_Split!E28</f>
        <v>B-PM</v>
      </c>
      <c r="F160" s="4" t="str">
        <f>Fact_Defect_Split!F28</f>
        <v>C</v>
      </c>
      <c r="G160" s="4" t="s">
        <v>517</v>
      </c>
      <c r="H160" s="19">
        <f>Fact_Defect_Split!I28</f>
        <v>0</v>
      </c>
    </row>
    <row r="161" spans="1:8" x14ac:dyDescent="0.25">
      <c r="A161" s="18" t="s">
        <v>1142</v>
      </c>
      <c r="B161" s="4">
        <f>Fact_Defect_Split!B28</f>
        <v>20260701</v>
      </c>
      <c r="C161" s="4">
        <f>Fact_Defect_Split!C28</f>
        <v>3</v>
      </c>
      <c r="D161" s="4" t="str">
        <f>Fact_Defect_Split!D28</f>
        <v>M6</v>
      </c>
      <c r="E161" s="4" t="str">
        <f>Fact_Defect_Split!E28</f>
        <v>B-PM</v>
      </c>
      <c r="F161" s="4" t="str">
        <f>Fact_Defect_Split!F28</f>
        <v>C</v>
      </c>
      <c r="G161" s="4" t="s">
        <v>503</v>
      </c>
      <c r="H161" s="19">
        <f>Fact_Defect_Split!J28</f>
        <v>0</v>
      </c>
    </row>
    <row r="162" spans="1:8" x14ac:dyDescent="0.25">
      <c r="A162" s="18" t="s">
        <v>1143</v>
      </c>
      <c r="B162" s="4">
        <f>Fact_Defect_Split!B28</f>
        <v>20260701</v>
      </c>
      <c r="C162" s="4">
        <f>Fact_Defect_Split!C28</f>
        <v>3</v>
      </c>
      <c r="D162" s="4" t="str">
        <f>Fact_Defect_Split!D28</f>
        <v>M6</v>
      </c>
      <c r="E162" s="4" t="str">
        <f>Fact_Defect_Split!E28</f>
        <v>B-PM</v>
      </c>
      <c r="F162" s="4" t="str">
        <f>Fact_Defect_Split!F28</f>
        <v>C</v>
      </c>
      <c r="G162" s="4" t="s">
        <v>509</v>
      </c>
      <c r="H162" s="19">
        <f>Fact_Defect_Split!K28</f>
        <v>0</v>
      </c>
    </row>
    <row r="163" spans="1:8" x14ac:dyDescent="0.25">
      <c r="A163" s="18" t="s">
        <v>1144</v>
      </c>
      <c r="B163" s="4">
        <f>Fact_Defect_Split!B28</f>
        <v>20260701</v>
      </c>
      <c r="C163" s="4">
        <f>Fact_Defect_Split!C28</f>
        <v>3</v>
      </c>
      <c r="D163" s="4" t="str">
        <f>Fact_Defect_Split!D28</f>
        <v>M6</v>
      </c>
      <c r="E163" s="4" t="str">
        <f>Fact_Defect_Split!E28</f>
        <v>B-PM</v>
      </c>
      <c r="F163" s="4" t="str">
        <f>Fact_Defect_Split!F28</f>
        <v>C</v>
      </c>
      <c r="G163" s="4" t="s">
        <v>520</v>
      </c>
      <c r="H163" s="19">
        <f>Fact_Defect_Split!L28</f>
        <v>1</v>
      </c>
    </row>
    <row r="164" spans="1:8" x14ac:dyDescent="0.25">
      <c r="A164" s="18" t="s">
        <v>1145</v>
      </c>
      <c r="B164" s="4">
        <f>Fact_Defect_Split!B29</f>
        <v>20260701</v>
      </c>
      <c r="C164" s="4">
        <f>Fact_Defect_Split!C29</f>
        <v>3</v>
      </c>
      <c r="D164" s="4" t="str">
        <f>Fact_Defect_Split!D29</f>
        <v>M7</v>
      </c>
      <c r="E164" s="4" t="str">
        <f>Fact_Defect_Split!E29</f>
        <v>B-PM</v>
      </c>
      <c r="F164" s="4" t="str">
        <f>Fact_Defect_Split!F29</f>
        <v>A</v>
      </c>
      <c r="G164" s="4" t="s">
        <v>498</v>
      </c>
      <c r="H164" s="19">
        <f>Fact_Defect_Split!G29</f>
        <v>0</v>
      </c>
    </row>
    <row r="165" spans="1:8" x14ac:dyDescent="0.25">
      <c r="A165" s="18" t="s">
        <v>1146</v>
      </c>
      <c r="B165" s="4">
        <f>Fact_Defect_Split!B29</f>
        <v>20260701</v>
      </c>
      <c r="C165" s="4">
        <f>Fact_Defect_Split!C29</f>
        <v>3</v>
      </c>
      <c r="D165" s="4" t="str">
        <f>Fact_Defect_Split!D29</f>
        <v>M7</v>
      </c>
      <c r="E165" s="4" t="str">
        <f>Fact_Defect_Split!E29</f>
        <v>B-PM</v>
      </c>
      <c r="F165" s="4" t="str">
        <f>Fact_Defect_Split!F29</f>
        <v>A</v>
      </c>
      <c r="G165" s="4" t="s">
        <v>500</v>
      </c>
      <c r="H165" s="19">
        <f>Fact_Defect_Split!H29</f>
        <v>0</v>
      </c>
    </row>
    <row r="166" spans="1:8" x14ac:dyDescent="0.25">
      <c r="A166" s="18" t="s">
        <v>1147</v>
      </c>
      <c r="B166" s="4">
        <f>Fact_Defect_Split!B29</f>
        <v>20260701</v>
      </c>
      <c r="C166" s="4">
        <f>Fact_Defect_Split!C29</f>
        <v>3</v>
      </c>
      <c r="D166" s="4" t="str">
        <f>Fact_Defect_Split!D29</f>
        <v>M7</v>
      </c>
      <c r="E166" s="4" t="str">
        <f>Fact_Defect_Split!E29</f>
        <v>B-PM</v>
      </c>
      <c r="F166" s="4" t="str">
        <f>Fact_Defect_Split!F29</f>
        <v>A</v>
      </c>
      <c r="G166" s="4" t="s">
        <v>517</v>
      </c>
      <c r="H166" s="19">
        <f>Fact_Defect_Split!I29</f>
        <v>0</v>
      </c>
    </row>
    <row r="167" spans="1:8" x14ac:dyDescent="0.25">
      <c r="A167" s="18" t="s">
        <v>1148</v>
      </c>
      <c r="B167" s="4">
        <f>Fact_Defect_Split!B29</f>
        <v>20260701</v>
      </c>
      <c r="C167" s="4">
        <f>Fact_Defect_Split!C29</f>
        <v>3</v>
      </c>
      <c r="D167" s="4" t="str">
        <f>Fact_Defect_Split!D29</f>
        <v>M7</v>
      </c>
      <c r="E167" s="4" t="str">
        <f>Fact_Defect_Split!E29</f>
        <v>B-PM</v>
      </c>
      <c r="F167" s="4" t="str">
        <f>Fact_Defect_Split!F29</f>
        <v>A</v>
      </c>
      <c r="G167" s="4" t="s">
        <v>503</v>
      </c>
      <c r="H167" s="19">
        <f>Fact_Defect_Split!J29</f>
        <v>1</v>
      </c>
    </row>
    <row r="168" spans="1:8" x14ac:dyDescent="0.25">
      <c r="A168" s="18" t="s">
        <v>1149</v>
      </c>
      <c r="B168" s="4">
        <f>Fact_Defect_Split!B29</f>
        <v>20260701</v>
      </c>
      <c r="C168" s="4">
        <f>Fact_Defect_Split!C29</f>
        <v>3</v>
      </c>
      <c r="D168" s="4" t="str">
        <f>Fact_Defect_Split!D29</f>
        <v>M7</v>
      </c>
      <c r="E168" s="4" t="str">
        <f>Fact_Defect_Split!E29</f>
        <v>B-PM</v>
      </c>
      <c r="F168" s="4" t="str">
        <f>Fact_Defect_Split!F29</f>
        <v>A</v>
      </c>
      <c r="G168" s="4" t="s">
        <v>509</v>
      </c>
      <c r="H168" s="19">
        <f>Fact_Defect_Split!K29</f>
        <v>1</v>
      </c>
    </row>
    <row r="169" spans="1:8" x14ac:dyDescent="0.25">
      <c r="A169" s="18" t="s">
        <v>1150</v>
      </c>
      <c r="B169" s="4">
        <f>Fact_Defect_Split!B29</f>
        <v>20260701</v>
      </c>
      <c r="C169" s="4">
        <f>Fact_Defect_Split!C29</f>
        <v>3</v>
      </c>
      <c r="D169" s="4" t="str">
        <f>Fact_Defect_Split!D29</f>
        <v>M7</v>
      </c>
      <c r="E169" s="4" t="str">
        <f>Fact_Defect_Split!E29</f>
        <v>B-PM</v>
      </c>
      <c r="F169" s="4" t="str">
        <f>Fact_Defect_Split!F29</f>
        <v>A</v>
      </c>
      <c r="G169" s="4" t="s">
        <v>520</v>
      </c>
      <c r="H169" s="19">
        <f>Fact_Defect_Split!L29</f>
        <v>0</v>
      </c>
    </row>
    <row r="170" spans="1:8" x14ac:dyDescent="0.25">
      <c r="A170" s="18" t="s">
        <v>1151</v>
      </c>
      <c r="B170" s="4">
        <f>Fact_Defect_Split!B30</f>
        <v>20260701</v>
      </c>
      <c r="C170" s="4">
        <f>Fact_Defect_Split!C30</f>
        <v>4</v>
      </c>
      <c r="D170" s="4" t="str">
        <f>Fact_Defect_Split!D30</f>
        <v>M1</v>
      </c>
      <c r="E170" s="4" t="str">
        <f>Fact_Defect_Split!E30</f>
        <v>B-PM</v>
      </c>
      <c r="F170" s="4" t="str">
        <f>Fact_Defect_Split!F30</f>
        <v>A</v>
      </c>
      <c r="G170" s="4" t="s">
        <v>498</v>
      </c>
      <c r="H170" s="19">
        <f>Fact_Defect_Split!G30</f>
        <v>0</v>
      </c>
    </row>
    <row r="171" spans="1:8" x14ac:dyDescent="0.25">
      <c r="A171" s="18" t="s">
        <v>1152</v>
      </c>
      <c r="B171" s="4">
        <f>Fact_Defect_Split!B30</f>
        <v>20260701</v>
      </c>
      <c r="C171" s="4">
        <f>Fact_Defect_Split!C30</f>
        <v>4</v>
      </c>
      <c r="D171" s="4" t="str">
        <f>Fact_Defect_Split!D30</f>
        <v>M1</v>
      </c>
      <c r="E171" s="4" t="str">
        <f>Fact_Defect_Split!E30</f>
        <v>B-PM</v>
      </c>
      <c r="F171" s="4" t="str">
        <f>Fact_Defect_Split!F30</f>
        <v>A</v>
      </c>
      <c r="G171" s="4" t="s">
        <v>500</v>
      </c>
      <c r="H171" s="19">
        <f>Fact_Defect_Split!H30</f>
        <v>0</v>
      </c>
    </row>
    <row r="172" spans="1:8" x14ac:dyDescent="0.25">
      <c r="A172" s="18" t="s">
        <v>1153</v>
      </c>
      <c r="B172" s="4">
        <f>Fact_Defect_Split!B30</f>
        <v>20260701</v>
      </c>
      <c r="C172" s="4">
        <f>Fact_Defect_Split!C30</f>
        <v>4</v>
      </c>
      <c r="D172" s="4" t="str">
        <f>Fact_Defect_Split!D30</f>
        <v>M1</v>
      </c>
      <c r="E172" s="4" t="str">
        <f>Fact_Defect_Split!E30</f>
        <v>B-PM</v>
      </c>
      <c r="F172" s="4" t="str">
        <f>Fact_Defect_Split!F30</f>
        <v>A</v>
      </c>
      <c r="G172" s="4" t="s">
        <v>517</v>
      </c>
      <c r="H172" s="19">
        <f>Fact_Defect_Split!I30</f>
        <v>0</v>
      </c>
    </row>
    <row r="173" spans="1:8" x14ac:dyDescent="0.25">
      <c r="A173" s="18" t="s">
        <v>1154</v>
      </c>
      <c r="B173" s="4">
        <f>Fact_Defect_Split!B30</f>
        <v>20260701</v>
      </c>
      <c r="C173" s="4">
        <f>Fact_Defect_Split!C30</f>
        <v>4</v>
      </c>
      <c r="D173" s="4" t="str">
        <f>Fact_Defect_Split!D30</f>
        <v>M1</v>
      </c>
      <c r="E173" s="4" t="str">
        <f>Fact_Defect_Split!E30</f>
        <v>B-PM</v>
      </c>
      <c r="F173" s="4" t="str">
        <f>Fact_Defect_Split!F30</f>
        <v>A</v>
      </c>
      <c r="G173" s="4" t="s">
        <v>503</v>
      </c>
      <c r="H173" s="19">
        <f>Fact_Defect_Split!J30</f>
        <v>0</v>
      </c>
    </row>
    <row r="174" spans="1:8" x14ac:dyDescent="0.25">
      <c r="A174" s="18" t="s">
        <v>1155</v>
      </c>
      <c r="B174" s="4">
        <f>Fact_Defect_Split!B30</f>
        <v>20260701</v>
      </c>
      <c r="C174" s="4">
        <f>Fact_Defect_Split!C30</f>
        <v>4</v>
      </c>
      <c r="D174" s="4" t="str">
        <f>Fact_Defect_Split!D30</f>
        <v>M1</v>
      </c>
      <c r="E174" s="4" t="str">
        <f>Fact_Defect_Split!E30</f>
        <v>B-PM</v>
      </c>
      <c r="F174" s="4" t="str">
        <f>Fact_Defect_Split!F30</f>
        <v>A</v>
      </c>
      <c r="G174" s="4" t="s">
        <v>509</v>
      </c>
      <c r="H174" s="19">
        <f>Fact_Defect_Split!K30</f>
        <v>0</v>
      </c>
    </row>
    <row r="175" spans="1:8" x14ac:dyDescent="0.25">
      <c r="A175" s="18" t="s">
        <v>1156</v>
      </c>
      <c r="B175" s="4">
        <f>Fact_Defect_Split!B30</f>
        <v>20260701</v>
      </c>
      <c r="C175" s="4">
        <f>Fact_Defect_Split!C30</f>
        <v>4</v>
      </c>
      <c r="D175" s="4" t="str">
        <f>Fact_Defect_Split!D30</f>
        <v>M1</v>
      </c>
      <c r="E175" s="4" t="str">
        <f>Fact_Defect_Split!E30</f>
        <v>B-PM</v>
      </c>
      <c r="F175" s="4" t="str">
        <f>Fact_Defect_Split!F30</f>
        <v>A</v>
      </c>
      <c r="G175" s="4" t="s">
        <v>520</v>
      </c>
      <c r="H175" s="19">
        <f>Fact_Defect_Split!L30</f>
        <v>0</v>
      </c>
    </row>
    <row r="176" spans="1:8" x14ac:dyDescent="0.25">
      <c r="A176" s="18" t="s">
        <v>1157</v>
      </c>
      <c r="B176" s="4">
        <f>Fact_Defect_Split!B31</f>
        <v>20260701</v>
      </c>
      <c r="C176" s="4">
        <f>Fact_Defect_Split!C31</f>
        <v>4</v>
      </c>
      <c r="D176" s="4" t="str">
        <f>Fact_Defect_Split!D31</f>
        <v>M2</v>
      </c>
      <c r="E176" s="4" t="str">
        <f>Fact_Defect_Split!E31</f>
        <v>B-PM</v>
      </c>
      <c r="F176" s="4" t="str">
        <f>Fact_Defect_Split!F31</f>
        <v>C</v>
      </c>
      <c r="G176" s="4" t="s">
        <v>498</v>
      </c>
      <c r="H176" s="19">
        <f>Fact_Defect_Split!G31</f>
        <v>0</v>
      </c>
    </row>
    <row r="177" spans="1:8" x14ac:dyDescent="0.25">
      <c r="A177" s="18" t="s">
        <v>1158</v>
      </c>
      <c r="B177" s="4">
        <f>Fact_Defect_Split!B31</f>
        <v>20260701</v>
      </c>
      <c r="C177" s="4">
        <f>Fact_Defect_Split!C31</f>
        <v>4</v>
      </c>
      <c r="D177" s="4" t="str">
        <f>Fact_Defect_Split!D31</f>
        <v>M2</v>
      </c>
      <c r="E177" s="4" t="str">
        <f>Fact_Defect_Split!E31</f>
        <v>B-PM</v>
      </c>
      <c r="F177" s="4" t="str">
        <f>Fact_Defect_Split!F31</f>
        <v>C</v>
      </c>
      <c r="G177" s="4" t="s">
        <v>500</v>
      </c>
      <c r="H177" s="19">
        <f>Fact_Defect_Split!H31</f>
        <v>0</v>
      </c>
    </row>
    <row r="178" spans="1:8" x14ac:dyDescent="0.25">
      <c r="A178" s="18" t="s">
        <v>1159</v>
      </c>
      <c r="B178" s="4">
        <f>Fact_Defect_Split!B31</f>
        <v>20260701</v>
      </c>
      <c r="C178" s="4">
        <f>Fact_Defect_Split!C31</f>
        <v>4</v>
      </c>
      <c r="D178" s="4" t="str">
        <f>Fact_Defect_Split!D31</f>
        <v>M2</v>
      </c>
      <c r="E178" s="4" t="str">
        <f>Fact_Defect_Split!E31</f>
        <v>B-PM</v>
      </c>
      <c r="F178" s="4" t="str">
        <f>Fact_Defect_Split!F31</f>
        <v>C</v>
      </c>
      <c r="G178" s="4" t="s">
        <v>517</v>
      </c>
      <c r="H178" s="19">
        <f>Fact_Defect_Split!I31</f>
        <v>0</v>
      </c>
    </row>
    <row r="179" spans="1:8" x14ac:dyDescent="0.25">
      <c r="A179" s="18" t="s">
        <v>1160</v>
      </c>
      <c r="B179" s="4">
        <f>Fact_Defect_Split!B31</f>
        <v>20260701</v>
      </c>
      <c r="C179" s="4">
        <f>Fact_Defect_Split!C31</f>
        <v>4</v>
      </c>
      <c r="D179" s="4" t="str">
        <f>Fact_Defect_Split!D31</f>
        <v>M2</v>
      </c>
      <c r="E179" s="4" t="str">
        <f>Fact_Defect_Split!E31</f>
        <v>B-PM</v>
      </c>
      <c r="F179" s="4" t="str">
        <f>Fact_Defect_Split!F31</f>
        <v>C</v>
      </c>
      <c r="G179" s="4" t="s">
        <v>503</v>
      </c>
      <c r="H179" s="19">
        <f>Fact_Defect_Split!J31</f>
        <v>1</v>
      </c>
    </row>
    <row r="180" spans="1:8" x14ac:dyDescent="0.25">
      <c r="A180" s="18" t="s">
        <v>1161</v>
      </c>
      <c r="B180" s="4">
        <f>Fact_Defect_Split!B31</f>
        <v>20260701</v>
      </c>
      <c r="C180" s="4">
        <f>Fact_Defect_Split!C31</f>
        <v>4</v>
      </c>
      <c r="D180" s="4" t="str">
        <f>Fact_Defect_Split!D31</f>
        <v>M2</v>
      </c>
      <c r="E180" s="4" t="str">
        <f>Fact_Defect_Split!E31</f>
        <v>B-PM</v>
      </c>
      <c r="F180" s="4" t="str">
        <f>Fact_Defect_Split!F31</f>
        <v>C</v>
      </c>
      <c r="G180" s="4" t="s">
        <v>509</v>
      </c>
      <c r="H180" s="19">
        <f>Fact_Defect_Split!K31</f>
        <v>1</v>
      </c>
    </row>
    <row r="181" spans="1:8" x14ac:dyDescent="0.25">
      <c r="A181" s="18" t="s">
        <v>1162</v>
      </c>
      <c r="B181" s="4">
        <f>Fact_Defect_Split!B31</f>
        <v>20260701</v>
      </c>
      <c r="C181" s="4">
        <f>Fact_Defect_Split!C31</f>
        <v>4</v>
      </c>
      <c r="D181" s="4" t="str">
        <f>Fact_Defect_Split!D31</f>
        <v>M2</v>
      </c>
      <c r="E181" s="4" t="str">
        <f>Fact_Defect_Split!E31</f>
        <v>B-PM</v>
      </c>
      <c r="F181" s="4" t="str">
        <f>Fact_Defect_Split!F31</f>
        <v>C</v>
      </c>
      <c r="G181" s="4" t="s">
        <v>520</v>
      </c>
      <c r="H181" s="19">
        <f>Fact_Defect_Split!L31</f>
        <v>1</v>
      </c>
    </row>
    <row r="182" spans="1:8" x14ac:dyDescent="0.25">
      <c r="A182" s="18" t="s">
        <v>1163</v>
      </c>
      <c r="B182" s="4">
        <f>Fact_Defect_Split!B32</f>
        <v>20260701</v>
      </c>
      <c r="C182" s="4">
        <f>Fact_Defect_Split!C32</f>
        <v>4</v>
      </c>
      <c r="D182" s="4" t="str">
        <f>Fact_Defect_Split!D32</f>
        <v>M3</v>
      </c>
      <c r="E182" s="4" t="str">
        <f>Fact_Defect_Split!E32</f>
        <v>B-PM</v>
      </c>
      <c r="F182" s="4" t="str">
        <f>Fact_Defect_Split!F32</f>
        <v>A</v>
      </c>
      <c r="G182" s="4" t="s">
        <v>498</v>
      </c>
      <c r="H182" s="19">
        <f>Fact_Defect_Split!G32</f>
        <v>0</v>
      </c>
    </row>
    <row r="183" spans="1:8" x14ac:dyDescent="0.25">
      <c r="A183" s="18" t="s">
        <v>1164</v>
      </c>
      <c r="B183" s="4">
        <f>Fact_Defect_Split!B32</f>
        <v>20260701</v>
      </c>
      <c r="C183" s="4">
        <f>Fact_Defect_Split!C32</f>
        <v>4</v>
      </c>
      <c r="D183" s="4" t="str">
        <f>Fact_Defect_Split!D32</f>
        <v>M3</v>
      </c>
      <c r="E183" s="4" t="str">
        <f>Fact_Defect_Split!E32</f>
        <v>B-PM</v>
      </c>
      <c r="F183" s="4" t="str">
        <f>Fact_Defect_Split!F32</f>
        <v>A</v>
      </c>
      <c r="G183" s="4" t="s">
        <v>500</v>
      </c>
      <c r="H183" s="19">
        <f>Fact_Defect_Split!H32</f>
        <v>0</v>
      </c>
    </row>
    <row r="184" spans="1:8" x14ac:dyDescent="0.25">
      <c r="A184" s="18" t="s">
        <v>1165</v>
      </c>
      <c r="B184" s="4">
        <f>Fact_Defect_Split!B32</f>
        <v>20260701</v>
      </c>
      <c r="C184" s="4">
        <f>Fact_Defect_Split!C32</f>
        <v>4</v>
      </c>
      <c r="D184" s="4" t="str">
        <f>Fact_Defect_Split!D32</f>
        <v>M3</v>
      </c>
      <c r="E184" s="4" t="str">
        <f>Fact_Defect_Split!E32</f>
        <v>B-PM</v>
      </c>
      <c r="F184" s="4" t="str">
        <f>Fact_Defect_Split!F32</f>
        <v>A</v>
      </c>
      <c r="G184" s="4" t="s">
        <v>517</v>
      </c>
      <c r="H184" s="19">
        <f>Fact_Defect_Split!I32</f>
        <v>0</v>
      </c>
    </row>
    <row r="185" spans="1:8" x14ac:dyDescent="0.25">
      <c r="A185" s="18" t="s">
        <v>1166</v>
      </c>
      <c r="B185" s="4">
        <f>Fact_Defect_Split!B32</f>
        <v>20260701</v>
      </c>
      <c r="C185" s="4">
        <f>Fact_Defect_Split!C32</f>
        <v>4</v>
      </c>
      <c r="D185" s="4" t="str">
        <f>Fact_Defect_Split!D32</f>
        <v>M3</v>
      </c>
      <c r="E185" s="4" t="str">
        <f>Fact_Defect_Split!E32</f>
        <v>B-PM</v>
      </c>
      <c r="F185" s="4" t="str">
        <f>Fact_Defect_Split!F32</f>
        <v>A</v>
      </c>
      <c r="G185" s="4" t="s">
        <v>503</v>
      </c>
      <c r="H185" s="19">
        <f>Fact_Defect_Split!J32</f>
        <v>0</v>
      </c>
    </row>
    <row r="186" spans="1:8" x14ac:dyDescent="0.25">
      <c r="A186" s="18" t="s">
        <v>1167</v>
      </c>
      <c r="B186" s="4">
        <f>Fact_Defect_Split!B32</f>
        <v>20260701</v>
      </c>
      <c r="C186" s="4">
        <f>Fact_Defect_Split!C32</f>
        <v>4</v>
      </c>
      <c r="D186" s="4" t="str">
        <f>Fact_Defect_Split!D32</f>
        <v>M3</v>
      </c>
      <c r="E186" s="4" t="str">
        <f>Fact_Defect_Split!E32</f>
        <v>B-PM</v>
      </c>
      <c r="F186" s="4" t="str">
        <f>Fact_Defect_Split!F32</f>
        <v>A</v>
      </c>
      <c r="G186" s="4" t="s">
        <v>509</v>
      </c>
      <c r="H186" s="19">
        <f>Fact_Defect_Split!K32</f>
        <v>1</v>
      </c>
    </row>
    <row r="187" spans="1:8" x14ac:dyDescent="0.25">
      <c r="A187" s="18" t="s">
        <v>1168</v>
      </c>
      <c r="B187" s="4">
        <f>Fact_Defect_Split!B32</f>
        <v>20260701</v>
      </c>
      <c r="C187" s="4">
        <f>Fact_Defect_Split!C32</f>
        <v>4</v>
      </c>
      <c r="D187" s="4" t="str">
        <f>Fact_Defect_Split!D32</f>
        <v>M3</v>
      </c>
      <c r="E187" s="4" t="str">
        <f>Fact_Defect_Split!E32</f>
        <v>B-PM</v>
      </c>
      <c r="F187" s="4" t="str">
        <f>Fact_Defect_Split!F32</f>
        <v>A</v>
      </c>
      <c r="G187" s="4" t="s">
        <v>520</v>
      </c>
      <c r="H187" s="19">
        <f>Fact_Defect_Split!L32</f>
        <v>0</v>
      </c>
    </row>
    <row r="188" spans="1:8" x14ac:dyDescent="0.25">
      <c r="A188" s="18" t="s">
        <v>1169</v>
      </c>
      <c r="B188" s="4">
        <f>Fact_Defect_Split!B33</f>
        <v>20260701</v>
      </c>
      <c r="C188" s="4">
        <f>Fact_Defect_Split!C33</f>
        <v>4</v>
      </c>
      <c r="D188" s="4" t="str">
        <f>Fact_Defect_Split!D33</f>
        <v>M4</v>
      </c>
      <c r="E188" s="4" t="str">
        <f>Fact_Defect_Split!E33</f>
        <v>B-PM</v>
      </c>
      <c r="F188" s="4" t="str">
        <f>Fact_Defect_Split!F33</f>
        <v>A</v>
      </c>
      <c r="G188" s="4" t="s">
        <v>498</v>
      </c>
      <c r="H188" s="19">
        <f>Fact_Defect_Split!G33</f>
        <v>0</v>
      </c>
    </row>
    <row r="189" spans="1:8" x14ac:dyDescent="0.25">
      <c r="A189" s="18" t="s">
        <v>1170</v>
      </c>
      <c r="B189" s="4">
        <f>Fact_Defect_Split!B33</f>
        <v>20260701</v>
      </c>
      <c r="C189" s="4">
        <f>Fact_Defect_Split!C33</f>
        <v>4</v>
      </c>
      <c r="D189" s="4" t="str">
        <f>Fact_Defect_Split!D33</f>
        <v>M4</v>
      </c>
      <c r="E189" s="4" t="str">
        <f>Fact_Defect_Split!E33</f>
        <v>B-PM</v>
      </c>
      <c r="F189" s="4" t="str">
        <f>Fact_Defect_Split!F33</f>
        <v>A</v>
      </c>
      <c r="G189" s="4" t="s">
        <v>500</v>
      </c>
      <c r="H189" s="19">
        <f>Fact_Defect_Split!H33</f>
        <v>0</v>
      </c>
    </row>
    <row r="190" spans="1:8" x14ac:dyDescent="0.25">
      <c r="A190" s="18" t="s">
        <v>1171</v>
      </c>
      <c r="B190" s="4">
        <f>Fact_Defect_Split!B33</f>
        <v>20260701</v>
      </c>
      <c r="C190" s="4">
        <f>Fact_Defect_Split!C33</f>
        <v>4</v>
      </c>
      <c r="D190" s="4" t="str">
        <f>Fact_Defect_Split!D33</f>
        <v>M4</v>
      </c>
      <c r="E190" s="4" t="str">
        <f>Fact_Defect_Split!E33</f>
        <v>B-PM</v>
      </c>
      <c r="F190" s="4" t="str">
        <f>Fact_Defect_Split!F33</f>
        <v>A</v>
      </c>
      <c r="G190" s="4" t="s">
        <v>517</v>
      </c>
      <c r="H190" s="19">
        <f>Fact_Defect_Split!I33</f>
        <v>0</v>
      </c>
    </row>
    <row r="191" spans="1:8" x14ac:dyDescent="0.25">
      <c r="A191" s="18" t="s">
        <v>1172</v>
      </c>
      <c r="B191" s="4">
        <f>Fact_Defect_Split!B33</f>
        <v>20260701</v>
      </c>
      <c r="C191" s="4">
        <f>Fact_Defect_Split!C33</f>
        <v>4</v>
      </c>
      <c r="D191" s="4" t="str">
        <f>Fact_Defect_Split!D33</f>
        <v>M4</v>
      </c>
      <c r="E191" s="4" t="str">
        <f>Fact_Defect_Split!E33</f>
        <v>B-PM</v>
      </c>
      <c r="F191" s="4" t="str">
        <f>Fact_Defect_Split!F33</f>
        <v>A</v>
      </c>
      <c r="G191" s="4" t="s">
        <v>503</v>
      </c>
      <c r="H191" s="19">
        <f>Fact_Defect_Split!J33</f>
        <v>1</v>
      </c>
    </row>
    <row r="192" spans="1:8" x14ac:dyDescent="0.25">
      <c r="A192" s="18" t="s">
        <v>1173</v>
      </c>
      <c r="B192" s="4">
        <f>Fact_Defect_Split!B33</f>
        <v>20260701</v>
      </c>
      <c r="C192" s="4">
        <f>Fact_Defect_Split!C33</f>
        <v>4</v>
      </c>
      <c r="D192" s="4" t="str">
        <f>Fact_Defect_Split!D33</f>
        <v>M4</v>
      </c>
      <c r="E192" s="4" t="str">
        <f>Fact_Defect_Split!E33</f>
        <v>B-PM</v>
      </c>
      <c r="F192" s="4" t="str">
        <f>Fact_Defect_Split!F33</f>
        <v>A</v>
      </c>
      <c r="G192" s="4" t="s">
        <v>509</v>
      </c>
      <c r="H192" s="19">
        <f>Fact_Defect_Split!K33</f>
        <v>1</v>
      </c>
    </row>
    <row r="193" spans="1:8" x14ac:dyDescent="0.25">
      <c r="A193" s="18" t="s">
        <v>1174</v>
      </c>
      <c r="B193" s="4">
        <f>Fact_Defect_Split!B33</f>
        <v>20260701</v>
      </c>
      <c r="C193" s="4">
        <f>Fact_Defect_Split!C33</f>
        <v>4</v>
      </c>
      <c r="D193" s="4" t="str">
        <f>Fact_Defect_Split!D33</f>
        <v>M4</v>
      </c>
      <c r="E193" s="4" t="str">
        <f>Fact_Defect_Split!E33</f>
        <v>B-PM</v>
      </c>
      <c r="F193" s="4" t="str">
        <f>Fact_Defect_Split!F33</f>
        <v>A</v>
      </c>
      <c r="G193" s="4" t="s">
        <v>520</v>
      </c>
      <c r="H193" s="19">
        <f>Fact_Defect_Split!L33</f>
        <v>0</v>
      </c>
    </row>
    <row r="194" spans="1:8" x14ac:dyDescent="0.25">
      <c r="A194" s="18" t="s">
        <v>1175</v>
      </c>
      <c r="B194" s="4">
        <f>Fact_Defect_Split!B34</f>
        <v>20260701</v>
      </c>
      <c r="C194" s="4">
        <f>Fact_Defect_Split!C34</f>
        <v>4</v>
      </c>
      <c r="D194" s="4" t="str">
        <f>Fact_Defect_Split!D34</f>
        <v>M5</v>
      </c>
      <c r="E194" s="4" t="str">
        <f>Fact_Defect_Split!E34</f>
        <v>B-PM</v>
      </c>
      <c r="F194" s="4" t="str">
        <f>Fact_Defect_Split!F34</f>
        <v>A</v>
      </c>
      <c r="G194" s="4" t="s">
        <v>498</v>
      </c>
      <c r="H194" s="19">
        <f>Fact_Defect_Split!G34</f>
        <v>0</v>
      </c>
    </row>
    <row r="195" spans="1:8" x14ac:dyDescent="0.25">
      <c r="A195" s="18" t="s">
        <v>1176</v>
      </c>
      <c r="B195" s="4">
        <f>Fact_Defect_Split!B34</f>
        <v>20260701</v>
      </c>
      <c r="C195" s="4">
        <f>Fact_Defect_Split!C34</f>
        <v>4</v>
      </c>
      <c r="D195" s="4" t="str">
        <f>Fact_Defect_Split!D34</f>
        <v>M5</v>
      </c>
      <c r="E195" s="4" t="str">
        <f>Fact_Defect_Split!E34</f>
        <v>B-PM</v>
      </c>
      <c r="F195" s="4" t="str">
        <f>Fact_Defect_Split!F34</f>
        <v>A</v>
      </c>
      <c r="G195" s="4" t="s">
        <v>500</v>
      </c>
      <c r="H195" s="19">
        <f>Fact_Defect_Split!H34</f>
        <v>0</v>
      </c>
    </row>
    <row r="196" spans="1:8" x14ac:dyDescent="0.25">
      <c r="A196" s="18" t="s">
        <v>1177</v>
      </c>
      <c r="B196" s="4">
        <f>Fact_Defect_Split!B34</f>
        <v>20260701</v>
      </c>
      <c r="C196" s="4">
        <f>Fact_Defect_Split!C34</f>
        <v>4</v>
      </c>
      <c r="D196" s="4" t="str">
        <f>Fact_Defect_Split!D34</f>
        <v>M5</v>
      </c>
      <c r="E196" s="4" t="str">
        <f>Fact_Defect_Split!E34</f>
        <v>B-PM</v>
      </c>
      <c r="F196" s="4" t="str">
        <f>Fact_Defect_Split!F34</f>
        <v>A</v>
      </c>
      <c r="G196" s="4" t="s">
        <v>517</v>
      </c>
      <c r="H196" s="19">
        <f>Fact_Defect_Split!I34</f>
        <v>0</v>
      </c>
    </row>
    <row r="197" spans="1:8" x14ac:dyDescent="0.25">
      <c r="A197" s="18" t="s">
        <v>1178</v>
      </c>
      <c r="B197" s="4">
        <f>Fact_Defect_Split!B34</f>
        <v>20260701</v>
      </c>
      <c r="C197" s="4">
        <f>Fact_Defect_Split!C34</f>
        <v>4</v>
      </c>
      <c r="D197" s="4" t="str">
        <f>Fact_Defect_Split!D34</f>
        <v>M5</v>
      </c>
      <c r="E197" s="4" t="str">
        <f>Fact_Defect_Split!E34</f>
        <v>B-PM</v>
      </c>
      <c r="F197" s="4" t="str">
        <f>Fact_Defect_Split!F34</f>
        <v>A</v>
      </c>
      <c r="G197" s="4" t="s">
        <v>503</v>
      </c>
      <c r="H197" s="19">
        <f>Fact_Defect_Split!J34</f>
        <v>0</v>
      </c>
    </row>
    <row r="198" spans="1:8" x14ac:dyDescent="0.25">
      <c r="A198" s="18" t="s">
        <v>1179</v>
      </c>
      <c r="B198" s="4">
        <f>Fact_Defect_Split!B34</f>
        <v>20260701</v>
      </c>
      <c r="C198" s="4">
        <f>Fact_Defect_Split!C34</f>
        <v>4</v>
      </c>
      <c r="D198" s="4" t="str">
        <f>Fact_Defect_Split!D34</f>
        <v>M5</v>
      </c>
      <c r="E198" s="4" t="str">
        <f>Fact_Defect_Split!E34</f>
        <v>B-PM</v>
      </c>
      <c r="F198" s="4" t="str">
        <f>Fact_Defect_Split!F34</f>
        <v>A</v>
      </c>
      <c r="G198" s="4" t="s">
        <v>509</v>
      </c>
      <c r="H198" s="19">
        <f>Fact_Defect_Split!K34</f>
        <v>1</v>
      </c>
    </row>
    <row r="199" spans="1:8" x14ac:dyDescent="0.25">
      <c r="A199" s="18" t="s">
        <v>1180</v>
      </c>
      <c r="B199" s="4">
        <f>Fact_Defect_Split!B34</f>
        <v>20260701</v>
      </c>
      <c r="C199" s="4">
        <f>Fact_Defect_Split!C34</f>
        <v>4</v>
      </c>
      <c r="D199" s="4" t="str">
        <f>Fact_Defect_Split!D34</f>
        <v>M5</v>
      </c>
      <c r="E199" s="4" t="str">
        <f>Fact_Defect_Split!E34</f>
        <v>B-PM</v>
      </c>
      <c r="F199" s="4" t="str">
        <f>Fact_Defect_Split!F34</f>
        <v>A</v>
      </c>
      <c r="G199" s="4" t="s">
        <v>520</v>
      </c>
      <c r="H199" s="19">
        <f>Fact_Defect_Split!L34</f>
        <v>0</v>
      </c>
    </row>
    <row r="200" spans="1:8" x14ac:dyDescent="0.25">
      <c r="A200" s="18" t="s">
        <v>1181</v>
      </c>
      <c r="B200" s="4">
        <f>Fact_Defect_Split!B35</f>
        <v>20260701</v>
      </c>
      <c r="C200" s="4">
        <f>Fact_Defect_Split!C35</f>
        <v>4</v>
      </c>
      <c r="D200" s="4" t="str">
        <f>Fact_Defect_Split!D35</f>
        <v>M6</v>
      </c>
      <c r="E200" s="4" t="str">
        <f>Fact_Defect_Split!E35</f>
        <v>B-PM</v>
      </c>
      <c r="F200" s="4" t="str">
        <f>Fact_Defect_Split!F35</f>
        <v>C</v>
      </c>
      <c r="G200" s="4" t="s">
        <v>498</v>
      </c>
      <c r="H200" s="19">
        <f>Fact_Defect_Split!G35</f>
        <v>0</v>
      </c>
    </row>
    <row r="201" spans="1:8" x14ac:dyDescent="0.25">
      <c r="A201" s="18" t="s">
        <v>1182</v>
      </c>
      <c r="B201" s="4">
        <f>Fact_Defect_Split!B35</f>
        <v>20260701</v>
      </c>
      <c r="C201" s="4">
        <f>Fact_Defect_Split!C35</f>
        <v>4</v>
      </c>
      <c r="D201" s="4" t="str">
        <f>Fact_Defect_Split!D35</f>
        <v>M6</v>
      </c>
      <c r="E201" s="4" t="str">
        <f>Fact_Defect_Split!E35</f>
        <v>B-PM</v>
      </c>
      <c r="F201" s="4" t="str">
        <f>Fact_Defect_Split!F35</f>
        <v>C</v>
      </c>
      <c r="G201" s="4" t="s">
        <v>500</v>
      </c>
      <c r="H201" s="19">
        <f>Fact_Defect_Split!H35</f>
        <v>0</v>
      </c>
    </row>
    <row r="202" spans="1:8" x14ac:dyDescent="0.25">
      <c r="A202" s="18" t="s">
        <v>1183</v>
      </c>
      <c r="B202" s="4">
        <f>Fact_Defect_Split!B35</f>
        <v>20260701</v>
      </c>
      <c r="C202" s="4">
        <f>Fact_Defect_Split!C35</f>
        <v>4</v>
      </c>
      <c r="D202" s="4" t="str">
        <f>Fact_Defect_Split!D35</f>
        <v>M6</v>
      </c>
      <c r="E202" s="4" t="str">
        <f>Fact_Defect_Split!E35</f>
        <v>B-PM</v>
      </c>
      <c r="F202" s="4" t="str">
        <f>Fact_Defect_Split!F35</f>
        <v>C</v>
      </c>
      <c r="G202" s="4" t="s">
        <v>517</v>
      </c>
      <c r="H202" s="19">
        <f>Fact_Defect_Split!I35</f>
        <v>0</v>
      </c>
    </row>
    <row r="203" spans="1:8" x14ac:dyDescent="0.25">
      <c r="A203" s="18" t="s">
        <v>1184</v>
      </c>
      <c r="B203" s="4">
        <f>Fact_Defect_Split!B35</f>
        <v>20260701</v>
      </c>
      <c r="C203" s="4">
        <f>Fact_Defect_Split!C35</f>
        <v>4</v>
      </c>
      <c r="D203" s="4" t="str">
        <f>Fact_Defect_Split!D35</f>
        <v>M6</v>
      </c>
      <c r="E203" s="4" t="str">
        <f>Fact_Defect_Split!E35</f>
        <v>B-PM</v>
      </c>
      <c r="F203" s="4" t="str">
        <f>Fact_Defect_Split!F35</f>
        <v>C</v>
      </c>
      <c r="G203" s="4" t="s">
        <v>503</v>
      </c>
      <c r="H203" s="19">
        <f>Fact_Defect_Split!J35</f>
        <v>0</v>
      </c>
    </row>
    <row r="204" spans="1:8" x14ac:dyDescent="0.25">
      <c r="A204" s="18" t="s">
        <v>1185</v>
      </c>
      <c r="B204" s="4">
        <f>Fact_Defect_Split!B35</f>
        <v>20260701</v>
      </c>
      <c r="C204" s="4">
        <f>Fact_Defect_Split!C35</f>
        <v>4</v>
      </c>
      <c r="D204" s="4" t="str">
        <f>Fact_Defect_Split!D35</f>
        <v>M6</v>
      </c>
      <c r="E204" s="4" t="str">
        <f>Fact_Defect_Split!E35</f>
        <v>B-PM</v>
      </c>
      <c r="F204" s="4" t="str">
        <f>Fact_Defect_Split!F35</f>
        <v>C</v>
      </c>
      <c r="G204" s="4" t="s">
        <v>509</v>
      </c>
      <c r="H204" s="19">
        <f>Fact_Defect_Split!K35</f>
        <v>0</v>
      </c>
    </row>
    <row r="205" spans="1:8" x14ac:dyDescent="0.25">
      <c r="A205" s="18" t="s">
        <v>1186</v>
      </c>
      <c r="B205" s="4">
        <f>Fact_Defect_Split!B35</f>
        <v>20260701</v>
      </c>
      <c r="C205" s="4">
        <f>Fact_Defect_Split!C35</f>
        <v>4</v>
      </c>
      <c r="D205" s="4" t="str">
        <f>Fact_Defect_Split!D35</f>
        <v>M6</v>
      </c>
      <c r="E205" s="4" t="str">
        <f>Fact_Defect_Split!E35</f>
        <v>B-PM</v>
      </c>
      <c r="F205" s="4" t="str">
        <f>Fact_Defect_Split!F35</f>
        <v>C</v>
      </c>
      <c r="G205" s="4" t="s">
        <v>520</v>
      </c>
      <c r="H205" s="19">
        <f>Fact_Defect_Split!L35</f>
        <v>1</v>
      </c>
    </row>
    <row r="206" spans="1:8" x14ac:dyDescent="0.25">
      <c r="A206" s="18" t="s">
        <v>1187</v>
      </c>
      <c r="B206" s="4">
        <f>Fact_Defect_Split!B36</f>
        <v>20260701</v>
      </c>
      <c r="C206" s="4">
        <f>Fact_Defect_Split!C36</f>
        <v>4</v>
      </c>
      <c r="D206" s="4" t="str">
        <f>Fact_Defect_Split!D36</f>
        <v>M7</v>
      </c>
      <c r="E206" s="4" t="str">
        <f>Fact_Defect_Split!E36</f>
        <v>B-PM</v>
      </c>
      <c r="F206" s="4" t="str">
        <f>Fact_Defect_Split!F36</f>
        <v>A</v>
      </c>
      <c r="G206" s="4" t="s">
        <v>498</v>
      </c>
      <c r="H206" s="19">
        <f>Fact_Defect_Split!G36</f>
        <v>0</v>
      </c>
    </row>
    <row r="207" spans="1:8" x14ac:dyDescent="0.25">
      <c r="A207" s="18" t="s">
        <v>1188</v>
      </c>
      <c r="B207" s="4">
        <f>Fact_Defect_Split!B36</f>
        <v>20260701</v>
      </c>
      <c r="C207" s="4">
        <f>Fact_Defect_Split!C36</f>
        <v>4</v>
      </c>
      <c r="D207" s="4" t="str">
        <f>Fact_Defect_Split!D36</f>
        <v>M7</v>
      </c>
      <c r="E207" s="4" t="str">
        <f>Fact_Defect_Split!E36</f>
        <v>B-PM</v>
      </c>
      <c r="F207" s="4" t="str">
        <f>Fact_Defect_Split!F36</f>
        <v>A</v>
      </c>
      <c r="G207" s="4" t="s">
        <v>500</v>
      </c>
      <c r="H207" s="19">
        <f>Fact_Defect_Split!H36</f>
        <v>0</v>
      </c>
    </row>
    <row r="208" spans="1:8" x14ac:dyDescent="0.25">
      <c r="A208" s="18" t="s">
        <v>1189</v>
      </c>
      <c r="B208" s="4">
        <f>Fact_Defect_Split!B36</f>
        <v>20260701</v>
      </c>
      <c r="C208" s="4">
        <f>Fact_Defect_Split!C36</f>
        <v>4</v>
      </c>
      <c r="D208" s="4" t="str">
        <f>Fact_Defect_Split!D36</f>
        <v>M7</v>
      </c>
      <c r="E208" s="4" t="str">
        <f>Fact_Defect_Split!E36</f>
        <v>B-PM</v>
      </c>
      <c r="F208" s="4" t="str">
        <f>Fact_Defect_Split!F36</f>
        <v>A</v>
      </c>
      <c r="G208" s="4" t="s">
        <v>517</v>
      </c>
      <c r="H208" s="19">
        <f>Fact_Defect_Split!I36</f>
        <v>1</v>
      </c>
    </row>
    <row r="209" spans="1:8" x14ac:dyDescent="0.25">
      <c r="A209" s="18" t="s">
        <v>1190</v>
      </c>
      <c r="B209" s="4">
        <f>Fact_Defect_Split!B36</f>
        <v>20260701</v>
      </c>
      <c r="C209" s="4">
        <f>Fact_Defect_Split!C36</f>
        <v>4</v>
      </c>
      <c r="D209" s="4" t="str">
        <f>Fact_Defect_Split!D36</f>
        <v>M7</v>
      </c>
      <c r="E209" s="4" t="str">
        <f>Fact_Defect_Split!E36</f>
        <v>B-PM</v>
      </c>
      <c r="F209" s="4" t="str">
        <f>Fact_Defect_Split!F36</f>
        <v>A</v>
      </c>
      <c r="G209" s="4" t="s">
        <v>503</v>
      </c>
      <c r="H209" s="19">
        <f>Fact_Defect_Split!J36</f>
        <v>0</v>
      </c>
    </row>
    <row r="210" spans="1:8" x14ac:dyDescent="0.25">
      <c r="A210" s="18" t="s">
        <v>1191</v>
      </c>
      <c r="B210" s="4">
        <f>Fact_Defect_Split!B36</f>
        <v>20260701</v>
      </c>
      <c r="C210" s="4">
        <f>Fact_Defect_Split!C36</f>
        <v>4</v>
      </c>
      <c r="D210" s="4" t="str">
        <f>Fact_Defect_Split!D36</f>
        <v>M7</v>
      </c>
      <c r="E210" s="4" t="str">
        <f>Fact_Defect_Split!E36</f>
        <v>B-PM</v>
      </c>
      <c r="F210" s="4" t="str">
        <f>Fact_Defect_Split!F36</f>
        <v>A</v>
      </c>
      <c r="G210" s="4" t="s">
        <v>509</v>
      </c>
      <c r="H210" s="19">
        <f>Fact_Defect_Split!K36</f>
        <v>1</v>
      </c>
    </row>
    <row r="211" spans="1:8" x14ac:dyDescent="0.25">
      <c r="A211" s="18" t="s">
        <v>1192</v>
      </c>
      <c r="B211" s="4">
        <f>Fact_Defect_Split!B36</f>
        <v>20260701</v>
      </c>
      <c r="C211" s="4">
        <f>Fact_Defect_Split!C36</f>
        <v>4</v>
      </c>
      <c r="D211" s="4" t="str">
        <f>Fact_Defect_Split!D36</f>
        <v>M7</v>
      </c>
      <c r="E211" s="4" t="str">
        <f>Fact_Defect_Split!E36</f>
        <v>B-PM</v>
      </c>
      <c r="F211" s="4" t="str">
        <f>Fact_Defect_Split!F36</f>
        <v>A</v>
      </c>
      <c r="G211" s="4" t="s">
        <v>520</v>
      </c>
      <c r="H211" s="19">
        <f>Fact_Defect_Split!L36</f>
        <v>0</v>
      </c>
    </row>
    <row r="212" spans="1:8" x14ac:dyDescent="0.25">
      <c r="A212" s="18" t="s">
        <v>1193</v>
      </c>
      <c r="B212" s="4">
        <f>Fact_Defect_Split!B37</f>
        <v>20260701</v>
      </c>
      <c r="C212" s="4">
        <f>Fact_Defect_Split!C37</f>
        <v>5</v>
      </c>
      <c r="D212" s="4" t="str">
        <f>Fact_Defect_Split!D37</f>
        <v>M1</v>
      </c>
      <c r="E212" s="4" t="str">
        <f>Fact_Defect_Split!E37</f>
        <v>B-PM</v>
      </c>
      <c r="F212" s="4" t="str">
        <f>Fact_Defect_Split!F37</f>
        <v>A</v>
      </c>
      <c r="G212" s="4" t="s">
        <v>498</v>
      </c>
      <c r="H212" s="19">
        <f>Fact_Defect_Split!G37</f>
        <v>0</v>
      </c>
    </row>
    <row r="213" spans="1:8" x14ac:dyDescent="0.25">
      <c r="A213" s="18" t="s">
        <v>1194</v>
      </c>
      <c r="B213" s="4">
        <f>Fact_Defect_Split!B37</f>
        <v>20260701</v>
      </c>
      <c r="C213" s="4">
        <f>Fact_Defect_Split!C37</f>
        <v>5</v>
      </c>
      <c r="D213" s="4" t="str">
        <f>Fact_Defect_Split!D37</f>
        <v>M1</v>
      </c>
      <c r="E213" s="4" t="str">
        <f>Fact_Defect_Split!E37</f>
        <v>B-PM</v>
      </c>
      <c r="F213" s="4" t="str">
        <f>Fact_Defect_Split!F37</f>
        <v>A</v>
      </c>
      <c r="G213" s="4" t="s">
        <v>500</v>
      </c>
      <c r="H213" s="19">
        <f>Fact_Defect_Split!H37</f>
        <v>0</v>
      </c>
    </row>
    <row r="214" spans="1:8" x14ac:dyDescent="0.25">
      <c r="A214" s="18" t="s">
        <v>1195</v>
      </c>
      <c r="B214" s="4">
        <f>Fact_Defect_Split!B37</f>
        <v>20260701</v>
      </c>
      <c r="C214" s="4">
        <f>Fact_Defect_Split!C37</f>
        <v>5</v>
      </c>
      <c r="D214" s="4" t="str">
        <f>Fact_Defect_Split!D37</f>
        <v>M1</v>
      </c>
      <c r="E214" s="4" t="str">
        <f>Fact_Defect_Split!E37</f>
        <v>B-PM</v>
      </c>
      <c r="F214" s="4" t="str">
        <f>Fact_Defect_Split!F37</f>
        <v>A</v>
      </c>
      <c r="G214" s="4" t="s">
        <v>517</v>
      </c>
      <c r="H214" s="19">
        <f>Fact_Defect_Split!I37</f>
        <v>0</v>
      </c>
    </row>
    <row r="215" spans="1:8" x14ac:dyDescent="0.25">
      <c r="A215" s="18" t="s">
        <v>1196</v>
      </c>
      <c r="B215" s="4">
        <f>Fact_Defect_Split!B37</f>
        <v>20260701</v>
      </c>
      <c r="C215" s="4">
        <f>Fact_Defect_Split!C37</f>
        <v>5</v>
      </c>
      <c r="D215" s="4" t="str">
        <f>Fact_Defect_Split!D37</f>
        <v>M1</v>
      </c>
      <c r="E215" s="4" t="str">
        <f>Fact_Defect_Split!E37</f>
        <v>B-PM</v>
      </c>
      <c r="F215" s="4" t="str">
        <f>Fact_Defect_Split!F37</f>
        <v>A</v>
      </c>
      <c r="G215" s="4" t="s">
        <v>503</v>
      </c>
      <c r="H215" s="19">
        <f>Fact_Defect_Split!J37</f>
        <v>0</v>
      </c>
    </row>
    <row r="216" spans="1:8" x14ac:dyDescent="0.25">
      <c r="A216" s="18" t="s">
        <v>1197</v>
      </c>
      <c r="B216" s="4">
        <f>Fact_Defect_Split!B37</f>
        <v>20260701</v>
      </c>
      <c r="C216" s="4">
        <f>Fact_Defect_Split!C37</f>
        <v>5</v>
      </c>
      <c r="D216" s="4" t="str">
        <f>Fact_Defect_Split!D37</f>
        <v>M1</v>
      </c>
      <c r="E216" s="4" t="str">
        <f>Fact_Defect_Split!E37</f>
        <v>B-PM</v>
      </c>
      <c r="F216" s="4" t="str">
        <f>Fact_Defect_Split!F37</f>
        <v>A</v>
      </c>
      <c r="G216" s="4" t="s">
        <v>509</v>
      </c>
      <c r="H216" s="19">
        <f>Fact_Defect_Split!K37</f>
        <v>0</v>
      </c>
    </row>
    <row r="217" spans="1:8" x14ac:dyDescent="0.25">
      <c r="A217" s="18" t="s">
        <v>1198</v>
      </c>
      <c r="B217" s="4">
        <f>Fact_Defect_Split!B37</f>
        <v>20260701</v>
      </c>
      <c r="C217" s="4">
        <f>Fact_Defect_Split!C37</f>
        <v>5</v>
      </c>
      <c r="D217" s="4" t="str">
        <f>Fact_Defect_Split!D37</f>
        <v>M1</v>
      </c>
      <c r="E217" s="4" t="str">
        <f>Fact_Defect_Split!E37</f>
        <v>B-PM</v>
      </c>
      <c r="F217" s="4" t="str">
        <f>Fact_Defect_Split!F37</f>
        <v>A</v>
      </c>
      <c r="G217" s="4" t="s">
        <v>520</v>
      </c>
      <c r="H217" s="19">
        <f>Fact_Defect_Split!L37</f>
        <v>0</v>
      </c>
    </row>
    <row r="218" spans="1:8" x14ac:dyDescent="0.25">
      <c r="A218" s="18" t="s">
        <v>1199</v>
      </c>
      <c r="B218" s="4">
        <f>Fact_Defect_Split!B38</f>
        <v>20260701</v>
      </c>
      <c r="C218" s="4">
        <f>Fact_Defect_Split!C38</f>
        <v>5</v>
      </c>
      <c r="D218" s="4" t="str">
        <f>Fact_Defect_Split!D38</f>
        <v>M2</v>
      </c>
      <c r="E218" s="4" t="str">
        <f>Fact_Defect_Split!E38</f>
        <v>B-PM</v>
      </c>
      <c r="F218" s="4" t="str">
        <f>Fact_Defect_Split!F38</f>
        <v>C</v>
      </c>
      <c r="G218" s="4" t="s">
        <v>498</v>
      </c>
      <c r="H218" s="19">
        <f>Fact_Defect_Split!G38</f>
        <v>0</v>
      </c>
    </row>
    <row r="219" spans="1:8" x14ac:dyDescent="0.25">
      <c r="A219" s="18" t="s">
        <v>1200</v>
      </c>
      <c r="B219" s="4">
        <f>Fact_Defect_Split!B38</f>
        <v>20260701</v>
      </c>
      <c r="C219" s="4">
        <f>Fact_Defect_Split!C38</f>
        <v>5</v>
      </c>
      <c r="D219" s="4" t="str">
        <f>Fact_Defect_Split!D38</f>
        <v>M2</v>
      </c>
      <c r="E219" s="4" t="str">
        <f>Fact_Defect_Split!E38</f>
        <v>B-PM</v>
      </c>
      <c r="F219" s="4" t="str">
        <f>Fact_Defect_Split!F38</f>
        <v>C</v>
      </c>
      <c r="G219" s="4" t="s">
        <v>500</v>
      </c>
      <c r="H219" s="19">
        <f>Fact_Defect_Split!H38</f>
        <v>0</v>
      </c>
    </row>
    <row r="220" spans="1:8" x14ac:dyDescent="0.25">
      <c r="A220" s="18" t="s">
        <v>1201</v>
      </c>
      <c r="B220" s="4">
        <f>Fact_Defect_Split!B38</f>
        <v>20260701</v>
      </c>
      <c r="C220" s="4">
        <f>Fact_Defect_Split!C38</f>
        <v>5</v>
      </c>
      <c r="D220" s="4" t="str">
        <f>Fact_Defect_Split!D38</f>
        <v>M2</v>
      </c>
      <c r="E220" s="4" t="str">
        <f>Fact_Defect_Split!E38</f>
        <v>B-PM</v>
      </c>
      <c r="F220" s="4" t="str">
        <f>Fact_Defect_Split!F38</f>
        <v>C</v>
      </c>
      <c r="G220" s="4" t="s">
        <v>517</v>
      </c>
      <c r="H220" s="19">
        <f>Fact_Defect_Split!I38</f>
        <v>0</v>
      </c>
    </row>
    <row r="221" spans="1:8" x14ac:dyDescent="0.25">
      <c r="A221" s="18" t="s">
        <v>1202</v>
      </c>
      <c r="B221" s="4">
        <f>Fact_Defect_Split!B38</f>
        <v>20260701</v>
      </c>
      <c r="C221" s="4">
        <f>Fact_Defect_Split!C38</f>
        <v>5</v>
      </c>
      <c r="D221" s="4" t="str">
        <f>Fact_Defect_Split!D38</f>
        <v>M2</v>
      </c>
      <c r="E221" s="4" t="str">
        <f>Fact_Defect_Split!E38</f>
        <v>B-PM</v>
      </c>
      <c r="F221" s="4" t="str">
        <f>Fact_Defect_Split!F38</f>
        <v>C</v>
      </c>
      <c r="G221" s="4" t="s">
        <v>503</v>
      </c>
      <c r="H221" s="19">
        <f>Fact_Defect_Split!J38</f>
        <v>0</v>
      </c>
    </row>
    <row r="222" spans="1:8" x14ac:dyDescent="0.25">
      <c r="A222" s="18" t="s">
        <v>1203</v>
      </c>
      <c r="B222" s="4">
        <f>Fact_Defect_Split!B38</f>
        <v>20260701</v>
      </c>
      <c r="C222" s="4">
        <f>Fact_Defect_Split!C38</f>
        <v>5</v>
      </c>
      <c r="D222" s="4" t="str">
        <f>Fact_Defect_Split!D38</f>
        <v>M2</v>
      </c>
      <c r="E222" s="4" t="str">
        <f>Fact_Defect_Split!E38</f>
        <v>B-PM</v>
      </c>
      <c r="F222" s="4" t="str">
        <f>Fact_Defect_Split!F38</f>
        <v>C</v>
      </c>
      <c r="G222" s="4" t="s">
        <v>509</v>
      </c>
      <c r="H222" s="19">
        <f>Fact_Defect_Split!K38</f>
        <v>1</v>
      </c>
    </row>
    <row r="223" spans="1:8" x14ac:dyDescent="0.25">
      <c r="A223" s="18" t="s">
        <v>1204</v>
      </c>
      <c r="B223" s="4">
        <f>Fact_Defect_Split!B38</f>
        <v>20260701</v>
      </c>
      <c r="C223" s="4">
        <f>Fact_Defect_Split!C38</f>
        <v>5</v>
      </c>
      <c r="D223" s="4" t="str">
        <f>Fact_Defect_Split!D38</f>
        <v>M2</v>
      </c>
      <c r="E223" s="4" t="str">
        <f>Fact_Defect_Split!E38</f>
        <v>B-PM</v>
      </c>
      <c r="F223" s="4" t="str">
        <f>Fact_Defect_Split!F38</f>
        <v>C</v>
      </c>
      <c r="G223" s="4" t="s">
        <v>520</v>
      </c>
      <c r="H223" s="19">
        <f>Fact_Defect_Split!L38</f>
        <v>0</v>
      </c>
    </row>
    <row r="224" spans="1:8" x14ac:dyDescent="0.25">
      <c r="A224" s="18" t="s">
        <v>1205</v>
      </c>
      <c r="B224" s="4">
        <f>Fact_Defect_Split!B39</f>
        <v>20260701</v>
      </c>
      <c r="C224" s="4">
        <f>Fact_Defect_Split!C39</f>
        <v>5</v>
      </c>
      <c r="D224" s="4" t="str">
        <f>Fact_Defect_Split!D39</f>
        <v>M3</v>
      </c>
      <c r="E224" s="4" t="str">
        <f>Fact_Defect_Split!E39</f>
        <v>B-PM</v>
      </c>
      <c r="F224" s="4" t="str">
        <f>Fact_Defect_Split!F39</f>
        <v>A</v>
      </c>
      <c r="G224" s="4" t="s">
        <v>498</v>
      </c>
      <c r="H224" s="19">
        <f>Fact_Defect_Split!G39</f>
        <v>0</v>
      </c>
    </row>
    <row r="225" spans="1:8" x14ac:dyDescent="0.25">
      <c r="A225" s="18" t="s">
        <v>1206</v>
      </c>
      <c r="B225" s="4">
        <f>Fact_Defect_Split!B39</f>
        <v>20260701</v>
      </c>
      <c r="C225" s="4">
        <f>Fact_Defect_Split!C39</f>
        <v>5</v>
      </c>
      <c r="D225" s="4" t="str">
        <f>Fact_Defect_Split!D39</f>
        <v>M3</v>
      </c>
      <c r="E225" s="4" t="str">
        <f>Fact_Defect_Split!E39</f>
        <v>B-PM</v>
      </c>
      <c r="F225" s="4" t="str">
        <f>Fact_Defect_Split!F39</f>
        <v>A</v>
      </c>
      <c r="G225" s="4" t="s">
        <v>500</v>
      </c>
      <c r="H225" s="19">
        <f>Fact_Defect_Split!H39</f>
        <v>0</v>
      </c>
    </row>
    <row r="226" spans="1:8" x14ac:dyDescent="0.25">
      <c r="A226" s="18" t="s">
        <v>1207</v>
      </c>
      <c r="B226" s="4">
        <f>Fact_Defect_Split!B39</f>
        <v>20260701</v>
      </c>
      <c r="C226" s="4">
        <f>Fact_Defect_Split!C39</f>
        <v>5</v>
      </c>
      <c r="D226" s="4" t="str">
        <f>Fact_Defect_Split!D39</f>
        <v>M3</v>
      </c>
      <c r="E226" s="4" t="str">
        <f>Fact_Defect_Split!E39</f>
        <v>B-PM</v>
      </c>
      <c r="F226" s="4" t="str">
        <f>Fact_Defect_Split!F39</f>
        <v>A</v>
      </c>
      <c r="G226" s="4" t="s">
        <v>517</v>
      </c>
      <c r="H226" s="19">
        <f>Fact_Defect_Split!I39</f>
        <v>0</v>
      </c>
    </row>
    <row r="227" spans="1:8" x14ac:dyDescent="0.25">
      <c r="A227" s="18" t="s">
        <v>1208</v>
      </c>
      <c r="B227" s="4">
        <f>Fact_Defect_Split!B39</f>
        <v>20260701</v>
      </c>
      <c r="C227" s="4">
        <f>Fact_Defect_Split!C39</f>
        <v>5</v>
      </c>
      <c r="D227" s="4" t="str">
        <f>Fact_Defect_Split!D39</f>
        <v>M3</v>
      </c>
      <c r="E227" s="4" t="str">
        <f>Fact_Defect_Split!E39</f>
        <v>B-PM</v>
      </c>
      <c r="F227" s="4" t="str">
        <f>Fact_Defect_Split!F39</f>
        <v>A</v>
      </c>
      <c r="G227" s="4" t="s">
        <v>503</v>
      </c>
      <c r="H227" s="19">
        <f>Fact_Defect_Split!J39</f>
        <v>0</v>
      </c>
    </row>
    <row r="228" spans="1:8" x14ac:dyDescent="0.25">
      <c r="A228" s="18" t="s">
        <v>1209</v>
      </c>
      <c r="B228" s="4">
        <f>Fact_Defect_Split!B39</f>
        <v>20260701</v>
      </c>
      <c r="C228" s="4">
        <f>Fact_Defect_Split!C39</f>
        <v>5</v>
      </c>
      <c r="D228" s="4" t="str">
        <f>Fact_Defect_Split!D39</f>
        <v>M3</v>
      </c>
      <c r="E228" s="4" t="str">
        <f>Fact_Defect_Split!E39</f>
        <v>B-PM</v>
      </c>
      <c r="F228" s="4" t="str">
        <f>Fact_Defect_Split!F39</f>
        <v>A</v>
      </c>
      <c r="G228" s="4" t="s">
        <v>509</v>
      </c>
      <c r="H228" s="19">
        <f>Fact_Defect_Split!K39</f>
        <v>1</v>
      </c>
    </row>
    <row r="229" spans="1:8" x14ac:dyDescent="0.25">
      <c r="A229" s="18" t="s">
        <v>1210</v>
      </c>
      <c r="B229" s="4">
        <f>Fact_Defect_Split!B39</f>
        <v>20260701</v>
      </c>
      <c r="C229" s="4">
        <f>Fact_Defect_Split!C39</f>
        <v>5</v>
      </c>
      <c r="D229" s="4" t="str">
        <f>Fact_Defect_Split!D39</f>
        <v>M3</v>
      </c>
      <c r="E229" s="4" t="str">
        <f>Fact_Defect_Split!E39</f>
        <v>B-PM</v>
      </c>
      <c r="F229" s="4" t="str">
        <f>Fact_Defect_Split!F39</f>
        <v>A</v>
      </c>
      <c r="G229" s="4" t="s">
        <v>520</v>
      </c>
      <c r="H229" s="19">
        <f>Fact_Defect_Split!L39</f>
        <v>0</v>
      </c>
    </row>
    <row r="230" spans="1:8" x14ac:dyDescent="0.25">
      <c r="A230" s="18" t="s">
        <v>1211</v>
      </c>
      <c r="B230" s="4">
        <f>Fact_Defect_Split!B40</f>
        <v>20260701</v>
      </c>
      <c r="C230" s="4">
        <f>Fact_Defect_Split!C40</f>
        <v>5</v>
      </c>
      <c r="D230" s="4" t="str">
        <f>Fact_Defect_Split!D40</f>
        <v>M4</v>
      </c>
      <c r="E230" s="4" t="str">
        <f>Fact_Defect_Split!E40</f>
        <v>B-PM</v>
      </c>
      <c r="F230" s="4" t="str">
        <f>Fact_Defect_Split!F40</f>
        <v>A</v>
      </c>
      <c r="G230" s="4" t="s">
        <v>498</v>
      </c>
      <c r="H230" s="19">
        <f>Fact_Defect_Split!G40</f>
        <v>0</v>
      </c>
    </row>
    <row r="231" spans="1:8" x14ac:dyDescent="0.25">
      <c r="A231" s="18" t="s">
        <v>1212</v>
      </c>
      <c r="B231" s="4">
        <f>Fact_Defect_Split!B40</f>
        <v>20260701</v>
      </c>
      <c r="C231" s="4">
        <f>Fact_Defect_Split!C40</f>
        <v>5</v>
      </c>
      <c r="D231" s="4" t="str">
        <f>Fact_Defect_Split!D40</f>
        <v>M4</v>
      </c>
      <c r="E231" s="4" t="str">
        <f>Fact_Defect_Split!E40</f>
        <v>B-PM</v>
      </c>
      <c r="F231" s="4" t="str">
        <f>Fact_Defect_Split!F40</f>
        <v>A</v>
      </c>
      <c r="G231" s="4" t="s">
        <v>500</v>
      </c>
      <c r="H231" s="19">
        <f>Fact_Defect_Split!H40</f>
        <v>0</v>
      </c>
    </row>
    <row r="232" spans="1:8" x14ac:dyDescent="0.25">
      <c r="A232" s="18" t="s">
        <v>1213</v>
      </c>
      <c r="B232" s="4">
        <f>Fact_Defect_Split!B40</f>
        <v>20260701</v>
      </c>
      <c r="C232" s="4">
        <f>Fact_Defect_Split!C40</f>
        <v>5</v>
      </c>
      <c r="D232" s="4" t="str">
        <f>Fact_Defect_Split!D40</f>
        <v>M4</v>
      </c>
      <c r="E232" s="4" t="str">
        <f>Fact_Defect_Split!E40</f>
        <v>B-PM</v>
      </c>
      <c r="F232" s="4" t="str">
        <f>Fact_Defect_Split!F40</f>
        <v>A</v>
      </c>
      <c r="G232" s="4" t="s">
        <v>517</v>
      </c>
      <c r="H232" s="19">
        <f>Fact_Defect_Split!I40</f>
        <v>0</v>
      </c>
    </row>
    <row r="233" spans="1:8" x14ac:dyDescent="0.25">
      <c r="A233" s="18" t="s">
        <v>1214</v>
      </c>
      <c r="B233" s="4">
        <f>Fact_Defect_Split!B40</f>
        <v>20260701</v>
      </c>
      <c r="C233" s="4">
        <f>Fact_Defect_Split!C40</f>
        <v>5</v>
      </c>
      <c r="D233" s="4" t="str">
        <f>Fact_Defect_Split!D40</f>
        <v>M4</v>
      </c>
      <c r="E233" s="4" t="str">
        <f>Fact_Defect_Split!E40</f>
        <v>B-PM</v>
      </c>
      <c r="F233" s="4" t="str">
        <f>Fact_Defect_Split!F40</f>
        <v>A</v>
      </c>
      <c r="G233" s="4" t="s">
        <v>503</v>
      </c>
      <c r="H233" s="19">
        <f>Fact_Defect_Split!J40</f>
        <v>0</v>
      </c>
    </row>
    <row r="234" spans="1:8" x14ac:dyDescent="0.25">
      <c r="A234" s="18" t="s">
        <v>1215</v>
      </c>
      <c r="B234" s="4">
        <f>Fact_Defect_Split!B40</f>
        <v>20260701</v>
      </c>
      <c r="C234" s="4">
        <f>Fact_Defect_Split!C40</f>
        <v>5</v>
      </c>
      <c r="D234" s="4" t="str">
        <f>Fact_Defect_Split!D40</f>
        <v>M4</v>
      </c>
      <c r="E234" s="4" t="str">
        <f>Fact_Defect_Split!E40</f>
        <v>B-PM</v>
      </c>
      <c r="F234" s="4" t="str">
        <f>Fact_Defect_Split!F40</f>
        <v>A</v>
      </c>
      <c r="G234" s="4" t="s">
        <v>509</v>
      </c>
      <c r="H234" s="19">
        <f>Fact_Defect_Split!K40</f>
        <v>1</v>
      </c>
    </row>
    <row r="235" spans="1:8" x14ac:dyDescent="0.25">
      <c r="A235" s="18" t="s">
        <v>1216</v>
      </c>
      <c r="B235" s="4">
        <f>Fact_Defect_Split!B40</f>
        <v>20260701</v>
      </c>
      <c r="C235" s="4">
        <f>Fact_Defect_Split!C40</f>
        <v>5</v>
      </c>
      <c r="D235" s="4" t="str">
        <f>Fact_Defect_Split!D40</f>
        <v>M4</v>
      </c>
      <c r="E235" s="4" t="str">
        <f>Fact_Defect_Split!E40</f>
        <v>B-PM</v>
      </c>
      <c r="F235" s="4" t="str">
        <f>Fact_Defect_Split!F40</f>
        <v>A</v>
      </c>
      <c r="G235" s="4" t="s">
        <v>520</v>
      </c>
      <c r="H235" s="19">
        <f>Fact_Defect_Split!L40</f>
        <v>0</v>
      </c>
    </row>
    <row r="236" spans="1:8" x14ac:dyDescent="0.25">
      <c r="A236" s="18" t="s">
        <v>1217</v>
      </c>
      <c r="B236" s="4">
        <f>Fact_Defect_Split!B41</f>
        <v>20260701</v>
      </c>
      <c r="C236" s="4">
        <f>Fact_Defect_Split!C41</f>
        <v>5</v>
      </c>
      <c r="D236" s="4" t="str">
        <f>Fact_Defect_Split!D41</f>
        <v>M5</v>
      </c>
      <c r="E236" s="4" t="str">
        <f>Fact_Defect_Split!E41</f>
        <v>B-PM</v>
      </c>
      <c r="F236" s="4" t="str">
        <f>Fact_Defect_Split!F41</f>
        <v>A</v>
      </c>
      <c r="G236" s="4" t="s">
        <v>498</v>
      </c>
      <c r="H236" s="19">
        <f>Fact_Defect_Split!G41</f>
        <v>0</v>
      </c>
    </row>
    <row r="237" spans="1:8" x14ac:dyDescent="0.25">
      <c r="A237" s="18" t="s">
        <v>1218</v>
      </c>
      <c r="B237" s="4">
        <f>Fact_Defect_Split!B41</f>
        <v>20260701</v>
      </c>
      <c r="C237" s="4">
        <f>Fact_Defect_Split!C41</f>
        <v>5</v>
      </c>
      <c r="D237" s="4" t="str">
        <f>Fact_Defect_Split!D41</f>
        <v>M5</v>
      </c>
      <c r="E237" s="4" t="str">
        <f>Fact_Defect_Split!E41</f>
        <v>B-PM</v>
      </c>
      <c r="F237" s="4" t="str">
        <f>Fact_Defect_Split!F41</f>
        <v>A</v>
      </c>
      <c r="G237" s="4" t="s">
        <v>500</v>
      </c>
      <c r="H237" s="19">
        <f>Fact_Defect_Split!H41</f>
        <v>0</v>
      </c>
    </row>
    <row r="238" spans="1:8" x14ac:dyDescent="0.25">
      <c r="A238" s="18" t="s">
        <v>1219</v>
      </c>
      <c r="B238" s="4">
        <f>Fact_Defect_Split!B41</f>
        <v>20260701</v>
      </c>
      <c r="C238" s="4">
        <f>Fact_Defect_Split!C41</f>
        <v>5</v>
      </c>
      <c r="D238" s="4" t="str">
        <f>Fact_Defect_Split!D41</f>
        <v>M5</v>
      </c>
      <c r="E238" s="4" t="str">
        <f>Fact_Defect_Split!E41</f>
        <v>B-PM</v>
      </c>
      <c r="F238" s="4" t="str">
        <f>Fact_Defect_Split!F41</f>
        <v>A</v>
      </c>
      <c r="G238" s="4" t="s">
        <v>517</v>
      </c>
      <c r="H238" s="19">
        <f>Fact_Defect_Split!I41</f>
        <v>1</v>
      </c>
    </row>
    <row r="239" spans="1:8" x14ac:dyDescent="0.25">
      <c r="A239" s="18" t="s">
        <v>1220</v>
      </c>
      <c r="B239" s="4">
        <f>Fact_Defect_Split!B41</f>
        <v>20260701</v>
      </c>
      <c r="C239" s="4">
        <f>Fact_Defect_Split!C41</f>
        <v>5</v>
      </c>
      <c r="D239" s="4" t="str">
        <f>Fact_Defect_Split!D41</f>
        <v>M5</v>
      </c>
      <c r="E239" s="4" t="str">
        <f>Fact_Defect_Split!E41</f>
        <v>B-PM</v>
      </c>
      <c r="F239" s="4" t="str">
        <f>Fact_Defect_Split!F41</f>
        <v>A</v>
      </c>
      <c r="G239" s="4" t="s">
        <v>503</v>
      </c>
      <c r="H239" s="19">
        <f>Fact_Defect_Split!J41</f>
        <v>0</v>
      </c>
    </row>
    <row r="240" spans="1:8" x14ac:dyDescent="0.25">
      <c r="A240" s="18" t="s">
        <v>1221</v>
      </c>
      <c r="B240" s="4">
        <f>Fact_Defect_Split!B41</f>
        <v>20260701</v>
      </c>
      <c r="C240" s="4">
        <f>Fact_Defect_Split!C41</f>
        <v>5</v>
      </c>
      <c r="D240" s="4" t="str">
        <f>Fact_Defect_Split!D41</f>
        <v>M5</v>
      </c>
      <c r="E240" s="4" t="str">
        <f>Fact_Defect_Split!E41</f>
        <v>B-PM</v>
      </c>
      <c r="F240" s="4" t="str">
        <f>Fact_Defect_Split!F41</f>
        <v>A</v>
      </c>
      <c r="G240" s="4" t="s">
        <v>509</v>
      </c>
      <c r="H240" s="19">
        <f>Fact_Defect_Split!K41</f>
        <v>1</v>
      </c>
    </row>
    <row r="241" spans="1:8" x14ac:dyDescent="0.25">
      <c r="A241" s="18" t="s">
        <v>1222</v>
      </c>
      <c r="B241" s="4">
        <f>Fact_Defect_Split!B41</f>
        <v>20260701</v>
      </c>
      <c r="C241" s="4">
        <f>Fact_Defect_Split!C41</f>
        <v>5</v>
      </c>
      <c r="D241" s="4" t="str">
        <f>Fact_Defect_Split!D41</f>
        <v>M5</v>
      </c>
      <c r="E241" s="4" t="str">
        <f>Fact_Defect_Split!E41</f>
        <v>B-PM</v>
      </c>
      <c r="F241" s="4" t="str">
        <f>Fact_Defect_Split!F41</f>
        <v>A</v>
      </c>
      <c r="G241" s="4" t="s">
        <v>520</v>
      </c>
      <c r="H241" s="19">
        <f>Fact_Defect_Split!L41</f>
        <v>0</v>
      </c>
    </row>
    <row r="242" spans="1:8" x14ac:dyDescent="0.25">
      <c r="A242" s="18" t="s">
        <v>1223</v>
      </c>
      <c r="B242" s="4">
        <f>Fact_Defect_Split!B42</f>
        <v>20260701</v>
      </c>
      <c r="C242" s="4">
        <f>Fact_Defect_Split!C42</f>
        <v>5</v>
      </c>
      <c r="D242" s="4" t="str">
        <f>Fact_Defect_Split!D42</f>
        <v>M6</v>
      </c>
      <c r="E242" s="4" t="str">
        <f>Fact_Defect_Split!E42</f>
        <v>B-PM</v>
      </c>
      <c r="F242" s="4" t="str">
        <f>Fact_Defect_Split!F42</f>
        <v>C</v>
      </c>
      <c r="G242" s="4" t="s">
        <v>498</v>
      </c>
      <c r="H242" s="19">
        <f>Fact_Defect_Split!G42</f>
        <v>0</v>
      </c>
    </row>
    <row r="243" spans="1:8" x14ac:dyDescent="0.25">
      <c r="A243" s="18" t="s">
        <v>1224</v>
      </c>
      <c r="B243" s="4">
        <f>Fact_Defect_Split!B42</f>
        <v>20260701</v>
      </c>
      <c r="C243" s="4">
        <f>Fact_Defect_Split!C42</f>
        <v>5</v>
      </c>
      <c r="D243" s="4" t="str">
        <f>Fact_Defect_Split!D42</f>
        <v>M6</v>
      </c>
      <c r="E243" s="4" t="str">
        <f>Fact_Defect_Split!E42</f>
        <v>B-PM</v>
      </c>
      <c r="F243" s="4" t="str">
        <f>Fact_Defect_Split!F42</f>
        <v>C</v>
      </c>
      <c r="G243" s="4" t="s">
        <v>500</v>
      </c>
      <c r="H243" s="19">
        <f>Fact_Defect_Split!H42</f>
        <v>0</v>
      </c>
    </row>
    <row r="244" spans="1:8" x14ac:dyDescent="0.25">
      <c r="A244" s="18" t="s">
        <v>1225</v>
      </c>
      <c r="B244" s="4">
        <f>Fact_Defect_Split!B42</f>
        <v>20260701</v>
      </c>
      <c r="C244" s="4">
        <f>Fact_Defect_Split!C42</f>
        <v>5</v>
      </c>
      <c r="D244" s="4" t="str">
        <f>Fact_Defect_Split!D42</f>
        <v>M6</v>
      </c>
      <c r="E244" s="4" t="str">
        <f>Fact_Defect_Split!E42</f>
        <v>B-PM</v>
      </c>
      <c r="F244" s="4" t="str">
        <f>Fact_Defect_Split!F42</f>
        <v>C</v>
      </c>
      <c r="G244" s="4" t="s">
        <v>517</v>
      </c>
      <c r="H244" s="19">
        <f>Fact_Defect_Split!I42</f>
        <v>0</v>
      </c>
    </row>
    <row r="245" spans="1:8" x14ac:dyDescent="0.25">
      <c r="A245" s="18" t="s">
        <v>1226</v>
      </c>
      <c r="B245" s="4">
        <f>Fact_Defect_Split!B42</f>
        <v>20260701</v>
      </c>
      <c r="C245" s="4">
        <f>Fact_Defect_Split!C42</f>
        <v>5</v>
      </c>
      <c r="D245" s="4" t="str">
        <f>Fact_Defect_Split!D42</f>
        <v>M6</v>
      </c>
      <c r="E245" s="4" t="str">
        <f>Fact_Defect_Split!E42</f>
        <v>B-PM</v>
      </c>
      <c r="F245" s="4" t="str">
        <f>Fact_Defect_Split!F42</f>
        <v>C</v>
      </c>
      <c r="G245" s="4" t="s">
        <v>503</v>
      </c>
      <c r="H245" s="19">
        <f>Fact_Defect_Split!J42</f>
        <v>0</v>
      </c>
    </row>
    <row r="246" spans="1:8" x14ac:dyDescent="0.25">
      <c r="A246" s="18" t="s">
        <v>1227</v>
      </c>
      <c r="B246" s="4">
        <f>Fact_Defect_Split!B42</f>
        <v>20260701</v>
      </c>
      <c r="C246" s="4">
        <f>Fact_Defect_Split!C42</f>
        <v>5</v>
      </c>
      <c r="D246" s="4" t="str">
        <f>Fact_Defect_Split!D42</f>
        <v>M6</v>
      </c>
      <c r="E246" s="4" t="str">
        <f>Fact_Defect_Split!E42</f>
        <v>B-PM</v>
      </c>
      <c r="F246" s="4" t="str">
        <f>Fact_Defect_Split!F42</f>
        <v>C</v>
      </c>
      <c r="G246" s="4" t="s">
        <v>509</v>
      </c>
      <c r="H246" s="19">
        <f>Fact_Defect_Split!K42</f>
        <v>0</v>
      </c>
    </row>
    <row r="247" spans="1:8" x14ac:dyDescent="0.25">
      <c r="A247" s="18" t="s">
        <v>1228</v>
      </c>
      <c r="B247" s="4">
        <f>Fact_Defect_Split!B42</f>
        <v>20260701</v>
      </c>
      <c r="C247" s="4">
        <f>Fact_Defect_Split!C42</f>
        <v>5</v>
      </c>
      <c r="D247" s="4" t="str">
        <f>Fact_Defect_Split!D42</f>
        <v>M6</v>
      </c>
      <c r="E247" s="4" t="str">
        <f>Fact_Defect_Split!E42</f>
        <v>B-PM</v>
      </c>
      <c r="F247" s="4" t="str">
        <f>Fact_Defect_Split!F42</f>
        <v>C</v>
      </c>
      <c r="G247" s="4" t="s">
        <v>520</v>
      </c>
      <c r="H247" s="19">
        <f>Fact_Defect_Split!L42</f>
        <v>1</v>
      </c>
    </row>
    <row r="248" spans="1:8" x14ac:dyDescent="0.25">
      <c r="A248" s="18" t="s">
        <v>1229</v>
      </c>
      <c r="B248" s="4">
        <f>Fact_Defect_Split!B43</f>
        <v>20260701</v>
      </c>
      <c r="C248" s="4">
        <f>Fact_Defect_Split!C43</f>
        <v>5</v>
      </c>
      <c r="D248" s="4" t="str">
        <f>Fact_Defect_Split!D43</f>
        <v>M7</v>
      </c>
      <c r="E248" s="4" t="str">
        <f>Fact_Defect_Split!E43</f>
        <v>B-PM</v>
      </c>
      <c r="F248" s="4" t="str">
        <f>Fact_Defect_Split!F43</f>
        <v>A</v>
      </c>
      <c r="G248" s="4" t="s">
        <v>498</v>
      </c>
      <c r="H248" s="19">
        <f>Fact_Defect_Split!G43</f>
        <v>0</v>
      </c>
    </row>
    <row r="249" spans="1:8" x14ac:dyDescent="0.25">
      <c r="A249" s="18" t="s">
        <v>1230</v>
      </c>
      <c r="B249" s="4">
        <f>Fact_Defect_Split!B43</f>
        <v>20260701</v>
      </c>
      <c r="C249" s="4">
        <f>Fact_Defect_Split!C43</f>
        <v>5</v>
      </c>
      <c r="D249" s="4" t="str">
        <f>Fact_Defect_Split!D43</f>
        <v>M7</v>
      </c>
      <c r="E249" s="4" t="str">
        <f>Fact_Defect_Split!E43</f>
        <v>B-PM</v>
      </c>
      <c r="F249" s="4" t="str">
        <f>Fact_Defect_Split!F43</f>
        <v>A</v>
      </c>
      <c r="G249" s="4" t="s">
        <v>500</v>
      </c>
      <c r="H249" s="19">
        <f>Fact_Defect_Split!H43</f>
        <v>0</v>
      </c>
    </row>
    <row r="250" spans="1:8" x14ac:dyDescent="0.25">
      <c r="A250" s="18" t="s">
        <v>1231</v>
      </c>
      <c r="B250" s="4">
        <f>Fact_Defect_Split!B43</f>
        <v>20260701</v>
      </c>
      <c r="C250" s="4">
        <f>Fact_Defect_Split!C43</f>
        <v>5</v>
      </c>
      <c r="D250" s="4" t="str">
        <f>Fact_Defect_Split!D43</f>
        <v>M7</v>
      </c>
      <c r="E250" s="4" t="str">
        <f>Fact_Defect_Split!E43</f>
        <v>B-PM</v>
      </c>
      <c r="F250" s="4" t="str">
        <f>Fact_Defect_Split!F43</f>
        <v>A</v>
      </c>
      <c r="G250" s="4" t="s">
        <v>517</v>
      </c>
      <c r="H250" s="19">
        <f>Fact_Defect_Split!I43</f>
        <v>0</v>
      </c>
    </row>
    <row r="251" spans="1:8" x14ac:dyDescent="0.25">
      <c r="A251" s="18" t="s">
        <v>1232</v>
      </c>
      <c r="B251" s="4">
        <f>Fact_Defect_Split!B43</f>
        <v>20260701</v>
      </c>
      <c r="C251" s="4">
        <f>Fact_Defect_Split!C43</f>
        <v>5</v>
      </c>
      <c r="D251" s="4" t="str">
        <f>Fact_Defect_Split!D43</f>
        <v>M7</v>
      </c>
      <c r="E251" s="4" t="str">
        <f>Fact_Defect_Split!E43</f>
        <v>B-PM</v>
      </c>
      <c r="F251" s="4" t="str">
        <f>Fact_Defect_Split!F43</f>
        <v>A</v>
      </c>
      <c r="G251" s="4" t="s">
        <v>503</v>
      </c>
      <c r="H251" s="19">
        <f>Fact_Defect_Split!J43</f>
        <v>1</v>
      </c>
    </row>
    <row r="252" spans="1:8" x14ac:dyDescent="0.25">
      <c r="A252" s="18" t="s">
        <v>1233</v>
      </c>
      <c r="B252" s="4">
        <f>Fact_Defect_Split!B43</f>
        <v>20260701</v>
      </c>
      <c r="C252" s="4">
        <f>Fact_Defect_Split!C43</f>
        <v>5</v>
      </c>
      <c r="D252" s="4" t="str">
        <f>Fact_Defect_Split!D43</f>
        <v>M7</v>
      </c>
      <c r="E252" s="4" t="str">
        <f>Fact_Defect_Split!E43</f>
        <v>B-PM</v>
      </c>
      <c r="F252" s="4" t="str">
        <f>Fact_Defect_Split!F43</f>
        <v>A</v>
      </c>
      <c r="G252" s="4" t="s">
        <v>509</v>
      </c>
      <c r="H252" s="19">
        <f>Fact_Defect_Split!K43</f>
        <v>0</v>
      </c>
    </row>
    <row r="253" spans="1:8" x14ac:dyDescent="0.25">
      <c r="A253" s="18" t="s">
        <v>1234</v>
      </c>
      <c r="B253" s="4">
        <f>Fact_Defect_Split!B43</f>
        <v>20260701</v>
      </c>
      <c r="C253" s="4">
        <f>Fact_Defect_Split!C43</f>
        <v>5</v>
      </c>
      <c r="D253" s="4" t="str">
        <f>Fact_Defect_Split!D43</f>
        <v>M7</v>
      </c>
      <c r="E253" s="4" t="str">
        <f>Fact_Defect_Split!E43</f>
        <v>B-PM</v>
      </c>
      <c r="F253" s="4" t="str">
        <f>Fact_Defect_Split!F43</f>
        <v>A</v>
      </c>
      <c r="G253" s="4" t="s">
        <v>520</v>
      </c>
      <c r="H253" s="19">
        <f>Fact_Defect_Split!L43</f>
        <v>1</v>
      </c>
    </row>
    <row r="254" spans="1:8" x14ac:dyDescent="0.25">
      <c r="A254" s="18" t="s">
        <v>1235</v>
      </c>
      <c r="B254" s="4">
        <f>Fact_Defect_Split!B44</f>
        <v>20260701</v>
      </c>
      <c r="C254" s="4">
        <f>Fact_Defect_Split!C44</f>
        <v>6</v>
      </c>
      <c r="D254" s="4" t="str">
        <f>Fact_Defect_Split!D44</f>
        <v>M1</v>
      </c>
      <c r="E254" s="4" t="str">
        <f>Fact_Defect_Split!E44</f>
        <v>A-AM</v>
      </c>
      <c r="F254" s="4" t="str">
        <f>Fact_Defect_Split!F44</f>
        <v>C</v>
      </c>
      <c r="G254" s="4" t="s">
        <v>498</v>
      </c>
      <c r="H254" s="19">
        <f>Fact_Defect_Split!G44</f>
        <v>0</v>
      </c>
    </row>
    <row r="255" spans="1:8" x14ac:dyDescent="0.25">
      <c r="A255" s="18" t="s">
        <v>1236</v>
      </c>
      <c r="B255" s="4">
        <f>Fact_Defect_Split!B44</f>
        <v>20260701</v>
      </c>
      <c r="C255" s="4">
        <f>Fact_Defect_Split!C44</f>
        <v>6</v>
      </c>
      <c r="D255" s="4" t="str">
        <f>Fact_Defect_Split!D44</f>
        <v>M1</v>
      </c>
      <c r="E255" s="4" t="str">
        <f>Fact_Defect_Split!E44</f>
        <v>A-AM</v>
      </c>
      <c r="F255" s="4" t="str">
        <f>Fact_Defect_Split!F44</f>
        <v>C</v>
      </c>
      <c r="G255" s="4" t="s">
        <v>500</v>
      </c>
      <c r="H255" s="19">
        <f>Fact_Defect_Split!H44</f>
        <v>0</v>
      </c>
    </row>
    <row r="256" spans="1:8" x14ac:dyDescent="0.25">
      <c r="A256" s="18" t="s">
        <v>1237</v>
      </c>
      <c r="B256" s="4">
        <f>Fact_Defect_Split!B44</f>
        <v>20260701</v>
      </c>
      <c r="C256" s="4">
        <f>Fact_Defect_Split!C44</f>
        <v>6</v>
      </c>
      <c r="D256" s="4" t="str">
        <f>Fact_Defect_Split!D44</f>
        <v>M1</v>
      </c>
      <c r="E256" s="4" t="str">
        <f>Fact_Defect_Split!E44</f>
        <v>A-AM</v>
      </c>
      <c r="F256" s="4" t="str">
        <f>Fact_Defect_Split!F44</f>
        <v>C</v>
      </c>
      <c r="G256" s="4" t="s">
        <v>517</v>
      </c>
      <c r="H256" s="19">
        <f>Fact_Defect_Split!I44</f>
        <v>0</v>
      </c>
    </row>
    <row r="257" spans="1:8" x14ac:dyDescent="0.25">
      <c r="A257" s="18" t="s">
        <v>1238</v>
      </c>
      <c r="B257" s="4">
        <f>Fact_Defect_Split!B44</f>
        <v>20260701</v>
      </c>
      <c r="C257" s="4">
        <f>Fact_Defect_Split!C44</f>
        <v>6</v>
      </c>
      <c r="D257" s="4" t="str">
        <f>Fact_Defect_Split!D44</f>
        <v>M1</v>
      </c>
      <c r="E257" s="4" t="str">
        <f>Fact_Defect_Split!E44</f>
        <v>A-AM</v>
      </c>
      <c r="F257" s="4" t="str">
        <f>Fact_Defect_Split!F44</f>
        <v>C</v>
      </c>
      <c r="G257" s="4" t="s">
        <v>503</v>
      </c>
      <c r="H257" s="19">
        <f>Fact_Defect_Split!J44</f>
        <v>0</v>
      </c>
    </row>
    <row r="258" spans="1:8" x14ac:dyDescent="0.25">
      <c r="A258" s="18" t="s">
        <v>1239</v>
      </c>
      <c r="B258" s="4">
        <f>Fact_Defect_Split!B44</f>
        <v>20260701</v>
      </c>
      <c r="C258" s="4">
        <f>Fact_Defect_Split!C44</f>
        <v>6</v>
      </c>
      <c r="D258" s="4" t="str">
        <f>Fact_Defect_Split!D44</f>
        <v>M1</v>
      </c>
      <c r="E258" s="4" t="str">
        <f>Fact_Defect_Split!E44</f>
        <v>A-AM</v>
      </c>
      <c r="F258" s="4" t="str">
        <f>Fact_Defect_Split!F44</f>
        <v>C</v>
      </c>
      <c r="G258" s="4" t="s">
        <v>509</v>
      </c>
      <c r="H258" s="19">
        <f>Fact_Defect_Split!K44</f>
        <v>1</v>
      </c>
    </row>
    <row r="259" spans="1:8" x14ac:dyDescent="0.25">
      <c r="A259" s="18" t="s">
        <v>1240</v>
      </c>
      <c r="B259" s="4">
        <f>Fact_Defect_Split!B44</f>
        <v>20260701</v>
      </c>
      <c r="C259" s="4">
        <f>Fact_Defect_Split!C44</f>
        <v>6</v>
      </c>
      <c r="D259" s="4" t="str">
        <f>Fact_Defect_Split!D44</f>
        <v>M1</v>
      </c>
      <c r="E259" s="4" t="str">
        <f>Fact_Defect_Split!E44</f>
        <v>A-AM</v>
      </c>
      <c r="F259" s="4" t="str">
        <f>Fact_Defect_Split!F44</f>
        <v>C</v>
      </c>
      <c r="G259" s="4" t="s">
        <v>520</v>
      </c>
      <c r="H259" s="19">
        <f>Fact_Defect_Split!L44</f>
        <v>0</v>
      </c>
    </row>
    <row r="260" spans="1:8" x14ac:dyDescent="0.25">
      <c r="A260" s="18" t="s">
        <v>1241</v>
      </c>
      <c r="B260" s="4">
        <f>Fact_Defect_Split!B45</f>
        <v>20260701</v>
      </c>
      <c r="C260" s="4">
        <f>Fact_Defect_Split!C45</f>
        <v>6</v>
      </c>
      <c r="D260" s="4" t="str">
        <f>Fact_Defect_Split!D45</f>
        <v>M2</v>
      </c>
      <c r="E260" s="4" t="str">
        <f>Fact_Defect_Split!E45</f>
        <v>A-AM</v>
      </c>
      <c r="F260" s="4" t="str">
        <f>Fact_Defect_Split!F45</f>
        <v>A</v>
      </c>
      <c r="G260" s="4" t="s">
        <v>498</v>
      </c>
      <c r="H260" s="19">
        <f>Fact_Defect_Split!G45</f>
        <v>0</v>
      </c>
    </row>
    <row r="261" spans="1:8" x14ac:dyDescent="0.25">
      <c r="A261" s="18" t="s">
        <v>1242</v>
      </c>
      <c r="B261" s="4">
        <f>Fact_Defect_Split!B45</f>
        <v>20260701</v>
      </c>
      <c r="C261" s="4">
        <f>Fact_Defect_Split!C45</f>
        <v>6</v>
      </c>
      <c r="D261" s="4" t="str">
        <f>Fact_Defect_Split!D45</f>
        <v>M2</v>
      </c>
      <c r="E261" s="4" t="str">
        <f>Fact_Defect_Split!E45</f>
        <v>A-AM</v>
      </c>
      <c r="F261" s="4" t="str">
        <f>Fact_Defect_Split!F45</f>
        <v>A</v>
      </c>
      <c r="G261" s="4" t="s">
        <v>500</v>
      </c>
      <c r="H261" s="19">
        <f>Fact_Defect_Split!H45</f>
        <v>0</v>
      </c>
    </row>
    <row r="262" spans="1:8" x14ac:dyDescent="0.25">
      <c r="A262" s="18" t="s">
        <v>1243</v>
      </c>
      <c r="B262" s="4">
        <f>Fact_Defect_Split!B45</f>
        <v>20260701</v>
      </c>
      <c r="C262" s="4">
        <f>Fact_Defect_Split!C45</f>
        <v>6</v>
      </c>
      <c r="D262" s="4" t="str">
        <f>Fact_Defect_Split!D45</f>
        <v>M2</v>
      </c>
      <c r="E262" s="4" t="str">
        <f>Fact_Defect_Split!E45</f>
        <v>A-AM</v>
      </c>
      <c r="F262" s="4" t="str">
        <f>Fact_Defect_Split!F45</f>
        <v>A</v>
      </c>
      <c r="G262" s="4" t="s">
        <v>517</v>
      </c>
      <c r="H262" s="19">
        <f>Fact_Defect_Split!I45</f>
        <v>0</v>
      </c>
    </row>
    <row r="263" spans="1:8" x14ac:dyDescent="0.25">
      <c r="A263" s="18" t="s">
        <v>1244</v>
      </c>
      <c r="B263" s="4">
        <f>Fact_Defect_Split!B45</f>
        <v>20260701</v>
      </c>
      <c r="C263" s="4">
        <f>Fact_Defect_Split!C45</f>
        <v>6</v>
      </c>
      <c r="D263" s="4" t="str">
        <f>Fact_Defect_Split!D45</f>
        <v>M2</v>
      </c>
      <c r="E263" s="4" t="str">
        <f>Fact_Defect_Split!E45</f>
        <v>A-AM</v>
      </c>
      <c r="F263" s="4" t="str">
        <f>Fact_Defect_Split!F45</f>
        <v>A</v>
      </c>
      <c r="G263" s="4" t="s">
        <v>503</v>
      </c>
      <c r="H263" s="19">
        <f>Fact_Defect_Split!J45</f>
        <v>1</v>
      </c>
    </row>
    <row r="264" spans="1:8" x14ac:dyDescent="0.25">
      <c r="A264" s="18" t="s">
        <v>1245</v>
      </c>
      <c r="B264" s="4">
        <f>Fact_Defect_Split!B45</f>
        <v>20260701</v>
      </c>
      <c r="C264" s="4">
        <f>Fact_Defect_Split!C45</f>
        <v>6</v>
      </c>
      <c r="D264" s="4" t="str">
        <f>Fact_Defect_Split!D45</f>
        <v>M2</v>
      </c>
      <c r="E264" s="4" t="str">
        <f>Fact_Defect_Split!E45</f>
        <v>A-AM</v>
      </c>
      <c r="F264" s="4" t="str">
        <f>Fact_Defect_Split!F45</f>
        <v>A</v>
      </c>
      <c r="G264" s="4" t="s">
        <v>509</v>
      </c>
      <c r="H264" s="19">
        <f>Fact_Defect_Split!K45</f>
        <v>1</v>
      </c>
    </row>
    <row r="265" spans="1:8" x14ac:dyDescent="0.25">
      <c r="A265" s="18" t="s">
        <v>1246</v>
      </c>
      <c r="B265" s="4">
        <f>Fact_Defect_Split!B45</f>
        <v>20260701</v>
      </c>
      <c r="C265" s="4">
        <f>Fact_Defect_Split!C45</f>
        <v>6</v>
      </c>
      <c r="D265" s="4" t="str">
        <f>Fact_Defect_Split!D45</f>
        <v>M2</v>
      </c>
      <c r="E265" s="4" t="str">
        <f>Fact_Defect_Split!E45</f>
        <v>A-AM</v>
      </c>
      <c r="F265" s="4" t="str">
        <f>Fact_Defect_Split!F45</f>
        <v>A</v>
      </c>
      <c r="G265" s="4" t="s">
        <v>520</v>
      </c>
      <c r="H265" s="19">
        <f>Fact_Defect_Split!L45</f>
        <v>1</v>
      </c>
    </row>
    <row r="266" spans="1:8" x14ac:dyDescent="0.25">
      <c r="A266" s="18" t="s">
        <v>1247</v>
      </c>
      <c r="B266" s="4">
        <f>Fact_Defect_Split!B46</f>
        <v>20260701</v>
      </c>
      <c r="C266" s="4">
        <f>Fact_Defect_Split!C46</f>
        <v>6</v>
      </c>
      <c r="D266" s="4" t="str">
        <f>Fact_Defect_Split!D46</f>
        <v>M3</v>
      </c>
      <c r="E266" s="4" t="str">
        <f>Fact_Defect_Split!E46</f>
        <v>A-AM</v>
      </c>
      <c r="F266" s="4" t="str">
        <f>Fact_Defect_Split!F46</f>
        <v>B</v>
      </c>
      <c r="G266" s="4" t="s">
        <v>498</v>
      </c>
      <c r="H266" s="19">
        <f>Fact_Defect_Split!G46</f>
        <v>0</v>
      </c>
    </row>
    <row r="267" spans="1:8" x14ac:dyDescent="0.25">
      <c r="A267" s="18" t="s">
        <v>1248</v>
      </c>
      <c r="B267" s="4">
        <f>Fact_Defect_Split!B46</f>
        <v>20260701</v>
      </c>
      <c r="C267" s="4">
        <f>Fact_Defect_Split!C46</f>
        <v>6</v>
      </c>
      <c r="D267" s="4" t="str">
        <f>Fact_Defect_Split!D46</f>
        <v>M3</v>
      </c>
      <c r="E267" s="4" t="str">
        <f>Fact_Defect_Split!E46</f>
        <v>A-AM</v>
      </c>
      <c r="F267" s="4" t="str">
        <f>Fact_Defect_Split!F46</f>
        <v>B</v>
      </c>
      <c r="G267" s="4" t="s">
        <v>500</v>
      </c>
      <c r="H267" s="19">
        <f>Fact_Defect_Split!H46</f>
        <v>0</v>
      </c>
    </row>
    <row r="268" spans="1:8" x14ac:dyDescent="0.25">
      <c r="A268" s="18" t="s">
        <v>1249</v>
      </c>
      <c r="B268" s="4">
        <f>Fact_Defect_Split!B46</f>
        <v>20260701</v>
      </c>
      <c r="C268" s="4">
        <f>Fact_Defect_Split!C46</f>
        <v>6</v>
      </c>
      <c r="D268" s="4" t="str">
        <f>Fact_Defect_Split!D46</f>
        <v>M3</v>
      </c>
      <c r="E268" s="4" t="str">
        <f>Fact_Defect_Split!E46</f>
        <v>A-AM</v>
      </c>
      <c r="F268" s="4" t="str">
        <f>Fact_Defect_Split!F46</f>
        <v>B</v>
      </c>
      <c r="G268" s="4" t="s">
        <v>517</v>
      </c>
      <c r="H268" s="19">
        <f>Fact_Defect_Split!I46</f>
        <v>0</v>
      </c>
    </row>
    <row r="269" spans="1:8" x14ac:dyDescent="0.25">
      <c r="A269" s="18" t="s">
        <v>1250</v>
      </c>
      <c r="B269" s="4">
        <f>Fact_Defect_Split!B46</f>
        <v>20260701</v>
      </c>
      <c r="C269" s="4">
        <f>Fact_Defect_Split!C46</f>
        <v>6</v>
      </c>
      <c r="D269" s="4" t="str">
        <f>Fact_Defect_Split!D46</f>
        <v>M3</v>
      </c>
      <c r="E269" s="4" t="str">
        <f>Fact_Defect_Split!E46</f>
        <v>A-AM</v>
      </c>
      <c r="F269" s="4" t="str">
        <f>Fact_Defect_Split!F46</f>
        <v>B</v>
      </c>
      <c r="G269" s="4" t="s">
        <v>503</v>
      </c>
      <c r="H269" s="19">
        <f>Fact_Defect_Split!J46</f>
        <v>0</v>
      </c>
    </row>
    <row r="270" spans="1:8" x14ac:dyDescent="0.25">
      <c r="A270" s="18" t="s">
        <v>1251</v>
      </c>
      <c r="B270" s="4">
        <f>Fact_Defect_Split!B46</f>
        <v>20260701</v>
      </c>
      <c r="C270" s="4">
        <f>Fact_Defect_Split!C46</f>
        <v>6</v>
      </c>
      <c r="D270" s="4" t="str">
        <f>Fact_Defect_Split!D46</f>
        <v>M3</v>
      </c>
      <c r="E270" s="4" t="str">
        <f>Fact_Defect_Split!E46</f>
        <v>A-AM</v>
      </c>
      <c r="F270" s="4" t="str">
        <f>Fact_Defect_Split!F46</f>
        <v>B</v>
      </c>
      <c r="G270" s="4" t="s">
        <v>509</v>
      </c>
      <c r="H270" s="19">
        <f>Fact_Defect_Split!K46</f>
        <v>0</v>
      </c>
    </row>
    <row r="271" spans="1:8" x14ac:dyDescent="0.25">
      <c r="A271" s="18" t="s">
        <v>1252</v>
      </c>
      <c r="B271" s="4">
        <f>Fact_Defect_Split!B46</f>
        <v>20260701</v>
      </c>
      <c r="C271" s="4">
        <f>Fact_Defect_Split!C46</f>
        <v>6</v>
      </c>
      <c r="D271" s="4" t="str">
        <f>Fact_Defect_Split!D46</f>
        <v>M3</v>
      </c>
      <c r="E271" s="4" t="str">
        <f>Fact_Defect_Split!E46</f>
        <v>A-AM</v>
      </c>
      <c r="F271" s="4" t="str">
        <f>Fact_Defect_Split!F46</f>
        <v>B</v>
      </c>
      <c r="G271" s="4" t="s">
        <v>520</v>
      </c>
      <c r="H271" s="19">
        <f>Fact_Defect_Split!L46</f>
        <v>1</v>
      </c>
    </row>
    <row r="272" spans="1:8" x14ac:dyDescent="0.25">
      <c r="A272" s="18" t="s">
        <v>1253</v>
      </c>
      <c r="B272" s="4">
        <f>Fact_Defect_Split!B47</f>
        <v>20260701</v>
      </c>
      <c r="C272" s="4">
        <f>Fact_Defect_Split!C47</f>
        <v>6</v>
      </c>
      <c r="D272" s="4" t="str">
        <f>Fact_Defect_Split!D47</f>
        <v>M4</v>
      </c>
      <c r="E272" s="4" t="str">
        <f>Fact_Defect_Split!E47</f>
        <v>A-AM</v>
      </c>
      <c r="F272" s="4" t="str">
        <f>Fact_Defect_Split!F47</f>
        <v>A</v>
      </c>
      <c r="G272" s="4" t="s">
        <v>498</v>
      </c>
      <c r="H272" s="19">
        <f>Fact_Defect_Split!G47</f>
        <v>0</v>
      </c>
    </row>
    <row r="273" spans="1:8" x14ac:dyDescent="0.25">
      <c r="A273" s="18" t="s">
        <v>1254</v>
      </c>
      <c r="B273" s="4">
        <f>Fact_Defect_Split!B47</f>
        <v>20260701</v>
      </c>
      <c r="C273" s="4">
        <f>Fact_Defect_Split!C47</f>
        <v>6</v>
      </c>
      <c r="D273" s="4" t="str">
        <f>Fact_Defect_Split!D47</f>
        <v>M4</v>
      </c>
      <c r="E273" s="4" t="str">
        <f>Fact_Defect_Split!E47</f>
        <v>A-AM</v>
      </c>
      <c r="F273" s="4" t="str">
        <f>Fact_Defect_Split!F47</f>
        <v>A</v>
      </c>
      <c r="G273" s="4" t="s">
        <v>500</v>
      </c>
      <c r="H273" s="19">
        <f>Fact_Defect_Split!H47</f>
        <v>0</v>
      </c>
    </row>
    <row r="274" spans="1:8" x14ac:dyDescent="0.25">
      <c r="A274" s="18" t="s">
        <v>1255</v>
      </c>
      <c r="B274" s="4">
        <f>Fact_Defect_Split!B47</f>
        <v>20260701</v>
      </c>
      <c r="C274" s="4">
        <f>Fact_Defect_Split!C47</f>
        <v>6</v>
      </c>
      <c r="D274" s="4" t="str">
        <f>Fact_Defect_Split!D47</f>
        <v>M4</v>
      </c>
      <c r="E274" s="4" t="str">
        <f>Fact_Defect_Split!E47</f>
        <v>A-AM</v>
      </c>
      <c r="F274" s="4" t="str">
        <f>Fact_Defect_Split!F47</f>
        <v>A</v>
      </c>
      <c r="G274" s="4" t="s">
        <v>517</v>
      </c>
      <c r="H274" s="19">
        <f>Fact_Defect_Split!I47</f>
        <v>1</v>
      </c>
    </row>
    <row r="275" spans="1:8" x14ac:dyDescent="0.25">
      <c r="A275" s="18" t="s">
        <v>1256</v>
      </c>
      <c r="B275" s="4">
        <f>Fact_Defect_Split!B47</f>
        <v>20260701</v>
      </c>
      <c r="C275" s="4">
        <f>Fact_Defect_Split!C47</f>
        <v>6</v>
      </c>
      <c r="D275" s="4" t="str">
        <f>Fact_Defect_Split!D47</f>
        <v>M4</v>
      </c>
      <c r="E275" s="4" t="str">
        <f>Fact_Defect_Split!E47</f>
        <v>A-AM</v>
      </c>
      <c r="F275" s="4" t="str">
        <f>Fact_Defect_Split!F47</f>
        <v>A</v>
      </c>
      <c r="G275" s="4" t="s">
        <v>503</v>
      </c>
      <c r="H275" s="19">
        <f>Fact_Defect_Split!J47</f>
        <v>0</v>
      </c>
    </row>
    <row r="276" spans="1:8" x14ac:dyDescent="0.25">
      <c r="A276" s="18" t="s">
        <v>1257</v>
      </c>
      <c r="B276" s="4">
        <f>Fact_Defect_Split!B47</f>
        <v>20260701</v>
      </c>
      <c r="C276" s="4">
        <f>Fact_Defect_Split!C47</f>
        <v>6</v>
      </c>
      <c r="D276" s="4" t="str">
        <f>Fact_Defect_Split!D47</f>
        <v>M4</v>
      </c>
      <c r="E276" s="4" t="str">
        <f>Fact_Defect_Split!E47</f>
        <v>A-AM</v>
      </c>
      <c r="F276" s="4" t="str">
        <f>Fact_Defect_Split!F47</f>
        <v>A</v>
      </c>
      <c r="G276" s="4" t="s">
        <v>509</v>
      </c>
      <c r="H276" s="19">
        <f>Fact_Defect_Split!K47</f>
        <v>1</v>
      </c>
    </row>
    <row r="277" spans="1:8" x14ac:dyDescent="0.25">
      <c r="A277" s="18" t="s">
        <v>1258</v>
      </c>
      <c r="B277" s="4">
        <f>Fact_Defect_Split!B47</f>
        <v>20260701</v>
      </c>
      <c r="C277" s="4">
        <f>Fact_Defect_Split!C47</f>
        <v>6</v>
      </c>
      <c r="D277" s="4" t="str">
        <f>Fact_Defect_Split!D47</f>
        <v>M4</v>
      </c>
      <c r="E277" s="4" t="str">
        <f>Fact_Defect_Split!E47</f>
        <v>A-AM</v>
      </c>
      <c r="F277" s="4" t="str">
        <f>Fact_Defect_Split!F47</f>
        <v>A</v>
      </c>
      <c r="G277" s="4" t="s">
        <v>520</v>
      </c>
      <c r="H277" s="19">
        <f>Fact_Defect_Split!L47</f>
        <v>1</v>
      </c>
    </row>
    <row r="278" spans="1:8" x14ac:dyDescent="0.25">
      <c r="A278" s="18" t="s">
        <v>1259</v>
      </c>
      <c r="B278" s="4">
        <f>Fact_Defect_Split!B48</f>
        <v>20260701</v>
      </c>
      <c r="C278" s="4">
        <f>Fact_Defect_Split!C48</f>
        <v>6</v>
      </c>
      <c r="D278" s="4" t="str">
        <f>Fact_Defect_Split!D48</f>
        <v>M5</v>
      </c>
      <c r="E278" s="4" t="str">
        <f>Fact_Defect_Split!E48</f>
        <v>A-AM</v>
      </c>
      <c r="F278" s="4" t="str">
        <f>Fact_Defect_Split!F48</f>
        <v>C</v>
      </c>
      <c r="G278" s="4" t="s">
        <v>498</v>
      </c>
      <c r="H278" s="19">
        <f>Fact_Defect_Split!G48</f>
        <v>0</v>
      </c>
    </row>
    <row r="279" spans="1:8" x14ac:dyDescent="0.25">
      <c r="A279" s="18" t="s">
        <v>1260</v>
      </c>
      <c r="B279" s="4">
        <f>Fact_Defect_Split!B48</f>
        <v>20260701</v>
      </c>
      <c r="C279" s="4">
        <f>Fact_Defect_Split!C48</f>
        <v>6</v>
      </c>
      <c r="D279" s="4" t="str">
        <f>Fact_Defect_Split!D48</f>
        <v>M5</v>
      </c>
      <c r="E279" s="4" t="str">
        <f>Fact_Defect_Split!E48</f>
        <v>A-AM</v>
      </c>
      <c r="F279" s="4" t="str">
        <f>Fact_Defect_Split!F48</f>
        <v>C</v>
      </c>
      <c r="G279" s="4" t="s">
        <v>500</v>
      </c>
      <c r="H279" s="19">
        <f>Fact_Defect_Split!H48</f>
        <v>0</v>
      </c>
    </row>
    <row r="280" spans="1:8" x14ac:dyDescent="0.25">
      <c r="A280" s="18" t="s">
        <v>1261</v>
      </c>
      <c r="B280" s="4">
        <f>Fact_Defect_Split!B48</f>
        <v>20260701</v>
      </c>
      <c r="C280" s="4">
        <f>Fact_Defect_Split!C48</f>
        <v>6</v>
      </c>
      <c r="D280" s="4" t="str">
        <f>Fact_Defect_Split!D48</f>
        <v>M5</v>
      </c>
      <c r="E280" s="4" t="str">
        <f>Fact_Defect_Split!E48</f>
        <v>A-AM</v>
      </c>
      <c r="F280" s="4" t="str">
        <f>Fact_Defect_Split!F48</f>
        <v>C</v>
      </c>
      <c r="G280" s="4" t="s">
        <v>517</v>
      </c>
      <c r="H280" s="19">
        <f>Fact_Defect_Split!I48</f>
        <v>0</v>
      </c>
    </row>
    <row r="281" spans="1:8" x14ac:dyDescent="0.25">
      <c r="A281" s="18" t="s">
        <v>1262</v>
      </c>
      <c r="B281" s="4">
        <f>Fact_Defect_Split!B48</f>
        <v>20260701</v>
      </c>
      <c r="C281" s="4">
        <f>Fact_Defect_Split!C48</f>
        <v>6</v>
      </c>
      <c r="D281" s="4" t="str">
        <f>Fact_Defect_Split!D48</f>
        <v>M5</v>
      </c>
      <c r="E281" s="4" t="str">
        <f>Fact_Defect_Split!E48</f>
        <v>A-AM</v>
      </c>
      <c r="F281" s="4" t="str">
        <f>Fact_Defect_Split!F48</f>
        <v>C</v>
      </c>
      <c r="G281" s="4" t="s">
        <v>503</v>
      </c>
      <c r="H281" s="19">
        <f>Fact_Defect_Split!J48</f>
        <v>0</v>
      </c>
    </row>
    <row r="282" spans="1:8" x14ac:dyDescent="0.25">
      <c r="A282" s="18" t="s">
        <v>1263</v>
      </c>
      <c r="B282" s="4">
        <f>Fact_Defect_Split!B48</f>
        <v>20260701</v>
      </c>
      <c r="C282" s="4">
        <f>Fact_Defect_Split!C48</f>
        <v>6</v>
      </c>
      <c r="D282" s="4" t="str">
        <f>Fact_Defect_Split!D48</f>
        <v>M5</v>
      </c>
      <c r="E282" s="4" t="str">
        <f>Fact_Defect_Split!E48</f>
        <v>A-AM</v>
      </c>
      <c r="F282" s="4" t="str">
        <f>Fact_Defect_Split!F48</f>
        <v>C</v>
      </c>
      <c r="G282" s="4" t="s">
        <v>509</v>
      </c>
      <c r="H282" s="19">
        <f>Fact_Defect_Split!K48</f>
        <v>1</v>
      </c>
    </row>
    <row r="283" spans="1:8" x14ac:dyDescent="0.25">
      <c r="A283" s="18" t="s">
        <v>1264</v>
      </c>
      <c r="B283" s="4">
        <f>Fact_Defect_Split!B48</f>
        <v>20260701</v>
      </c>
      <c r="C283" s="4">
        <f>Fact_Defect_Split!C48</f>
        <v>6</v>
      </c>
      <c r="D283" s="4" t="str">
        <f>Fact_Defect_Split!D48</f>
        <v>M5</v>
      </c>
      <c r="E283" s="4" t="str">
        <f>Fact_Defect_Split!E48</f>
        <v>A-AM</v>
      </c>
      <c r="F283" s="4" t="str">
        <f>Fact_Defect_Split!F48</f>
        <v>C</v>
      </c>
      <c r="G283" s="4" t="s">
        <v>520</v>
      </c>
      <c r="H283" s="19">
        <f>Fact_Defect_Split!L48</f>
        <v>0</v>
      </c>
    </row>
    <row r="284" spans="1:8" x14ac:dyDescent="0.25">
      <c r="A284" s="18" t="s">
        <v>1265</v>
      </c>
      <c r="B284" s="4">
        <f>Fact_Defect_Split!B49</f>
        <v>20260701</v>
      </c>
      <c r="C284" s="4">
        <f>Fact_Defect_Split!C49</f>
        <v>6</v>
      </c>
      <c r="D284" s="4" t="str">
        <f>Fact_Defect_Split!D49</f>
        <v>M6</v>
      </c>
      <c r="E284" s="4" t="str">
        <f>Fact_Defect_Split!E49</f>
        <v>A-AM</v>
      </c>
      <c r="F284" s="4" t="str">
        <f>Fact_Defect_Split!F49</f>
        <v>C</v>
      </c>
      <c r="G284" s="4" t="s">
        <v>498</v>
      </c>
      <c r="H284" s="19">
        <f>Fact_Defect_Split!G49</f>
        <v>0</v>
      </c>
    </row>
    <row r="285" spans="1:8" x14ac:dyDescent="0.25">
      <c r="A285" s="18" t="s">
        <v>1266</v>
      </c>
      <c r="B285" s="4">
        <f>Fact_Defect_Split!B49</f>
        <v>20260701</v>
      </c>
      <c r="C285" s="4">
        <f>Fact_Defect_Split!C49</f>
        <v>6</v>
      </c>
      <c r="D285" s="4" t="str">
        <f>Fact_Defect_Split!D49</f>
        <v>M6</v>
      </c>
      <c r="E285" s="4" t="str">
        <f>Fact_Defect_Split!E49</f>
        <v>A-AM</v>
      </c>
      <c r="F285" s="4" t="str">
        <f>Fact_Defect_Split!F49</f>
        <v>C</v>
      </c>
      <c r="G285" s="4" t="s">
        <v>500</v>
      </c>
      <c r="H285" s="19">
        <f>Fact_Defect_Split!H49</f>
        <v>0</v>
      </c>
    </row>
    <row r="286" spans="1:8" x14ac:dyDescent="0.25">
      <c r="A286" s="18" t="s">
        <v>1267</v>
      </c>
      <c r="B286" s="4">
        <f>Fact_Defect_Split!B49</f>
        <v>20260701</v>
      </c>
      <c r="C286" s="4">
        <f>Fact_Defect_Split!C49</f>
        <v>6</v>
      </c>
      <c r="D286" s="4" t="str">
        <f>Fact_Defect_Split!D49</f>
        <v>M6</v>
      </c>
      <c r="E286" s="4" t="str">
        <f>Fact_Defect_Split!E49</f>
        <v>A-AM</v>
      </c>
      <c r="F286" s="4" t="str">
        <f>Fact_Defect_Split!F49</f>
        <v>C</v>
      </c>
      <c r="G286" s="4" t="s">
        <v>517</v>
      </c>
      <c r="H286" s="19">
        <f>Fact_Defect_Split!I49</f>
        <v>0</v>
      </c>
    </row>
    <row r="287" spans="1:8" x14ac:dyDescent="0.25">
      <c r="A287" s="18" t="s">
        <v>1268</v>
      </c>
      <c r="B287" s="4">
        <f>Fact_Defect_Split!B49</f>
        <v>20260701</v>
      </c>
      <c r="C287" s="4">
        <f>Fact_Defect_Split!C49</f>
        <v>6</v>
      </c>
      <c r="D287" s="4" t="str">
        <f>Fact_Defect_Split!D49</f>
        <v>M6</v>
      </c>
      <c r="E287" s="4" t="str">
        <f>Fact_Defect_Split!E49</f>
        <v>A-AM</v>
      </c>
      <c r="F287" s="4" t="str">
        <f>Fact_Defect_Split!F49</f>
        <v>C</v>
      </c>
      <c r="G287" s="4" t="s">
        <v>503</v>
      </c>
      <c r="H287" s="19">
        <f>Fact_Defect_Split!J49</f>
        <v>0</v>
      </c>
    </row>
    <row r="288" spans="1:8" x14ac:dyDescent="0.25">
      <c r="A288" s="18" t="s">
        <v>1269</v>
      </c>
      <c r="B288" s="4">
        <f>Fact_Defect_Split!B49</f>
        <v>20260701</v>
      </c>
      <c r="C288" s="4">
        <f>Fact_Defect_Split!C49</f>
        <v>6</v>
      </c>
      <c r="D288" s="4" t="str">
        <f>Fact_Defect_Split!D49</f>
        <v>M6</v>
      </c>
      <c r="E288" s="4" t="str">
        <f>Fact_Defect_Split!E49</f>
        <v>A-AM</v>
      </c>
      <c r="F288" s="4" t="str">
        <f>Fact_Defect_Split!F49</f>
        <v>C</v>
      </c>
      <c r="G288" s="4" t="s">
        <v>509</v>
      </c>
      <c r="H288" s="19">
        <f>Fact_Defect_Split!K49</f>
        <v>1</v>
      </c>
    </row>
    <row r="289" spans="1:8" x14ac:dyDescent="0.25">
      <c r="A289" s="18" t="s">
        <v>1270</v>
      </c>
      <c r="B289" s="4">
        <f>Fact_Defect_Split!B49</f>
        <v>20260701</v>
      </c>
      <c r="C289" s="4">
        <f>Fact_Defect_Split!C49</f>
        <v>6</v>
      </c>
      <c r="D289" s="4" t="str">
        <f>Fact_Defect_Split!D49</f>
        <v>M6</v>
      </c>
      <c r="E289" s="4" t="str">
        <f>Fact_Defect_Split!E49</f>
        <v>A-AM</v>
      </c>
      <c r="F289" s="4" t="str">
        <f>Fact_Defect_Split!F49</f>
        <v>C</v>
      </c>
      <c r="G289" s="4" t="s">
        <v>520</v>
      </c>
      <c r="H289" s="19">
        <f>Fact_Defect_Split!L49</f>
        <v>0</v>
      </c>
    </row>
    <row r="290" spans="1:8" x14ac:dyDescent="0.25">
      <c r="A290" s="18" t="s">
        <v>1271</v>
      </c>
      <c r="B290" s="4">
        <f>Fact_Defect_Split!B50</f>
        <v>20260701</v>
      </c>
      <c r="C290" s="4">
        <f>Fact_Defect_Split!C50</f>
        <v>6</v>
      </c>
      <c r="D290" s="4" t="str">
        <f>Fact_Defect_Split!D50</f>
        <v>M7</v>
      </c>
      <c r="E290" s="4" t="str">
        <f>Fact_Defect_Split!E50</f>
        <v>A-AM</v>
      </c>
      <c r="F290" s="4" t="str">
        <f>Fact_Defect_Split!F50</f>
        <v>C</v>
      </c>
      <c r="G290" s="4" t="s">
        <v>498</v>
      </c>
      <c r="H290" s="19">
        <f>Fact_Defect_Split!G50</f>
        <v>0</v>
      </c>
    </row>
    <row r="291" spans="1:8" x14ac:dyDescent="0.25">
      <c r="A291" s="18" t="s">
        <v>1272</v>
      </c>
      <c r="B291" s="4">
        <f>Fact_Defect_Split!B50</f>
        <v>20260701</v>
      </c>
      <c r="C291" s="4">
        <f>Fact_Defect_Split!C50</f>
        <v>6</v>
      </c>
      <c r="D291" s="4" t="str">
        <f>Fact_Defect_Split!D50</f>
        <v>M7</v>
      </c>
      <c r="E291" s="4" t="str">
        <f>Fact_Defect_Split!E50</f>
        <v>A-AM</v>
      </c>
      <c r="F291" s="4" t="str">
        <f>Fact_Defect_Split!F50</f>
        <v>C</v>
      </c>
      <c r="G291" s="4" t="s">
        <v>500</v>
      </c>
      <c r="H291" s="19">
        <f>Fact_Defect_Split!H50</f>
        <v>0</v>
      </c>
    </row>
    <row r="292" spans="1:8" x14ac:dyDescent="0.25">
      <c r="A292" s="18" t="s">
        <v>1273</v>
      </c>
      <c r="B292" s="4">
        <f>Fact_Defect_Split!B50</f>
        <v>20260701</v>
      </c>
      <c r="C292" s="4">
        <f>Fact_Defect_Split!C50</f>
        <v>6</v>
      </c>
      <c r="D292" s="4" t="str">
        <f>Fact_Defect_Split!D50</f>
        <v>M7</v>
      </c>
      <c r="E292" s="4" t="str">
        <f>Fact_Defect_Split!E50</f>
        <v>A-AM</v>
      </c>
      <c r="F292" s="4" t="str">
        <f>Fact_Defect_Split!F50</f>
        <v>C</v>
      </c>
      <c r="G292" s="4" t="s">
        <v>517</v>
      </c>
      <c r="H292" s="19">
        <f>Fact_Defect_Split!I50</f>
        <v>1</v>
      </c>
    </row>
    <row r="293" spans="1:8" x14ac:dyDescent="0.25">
      <c r="A293" s="18" t="s">
        <v>1274</v>
      </c>
      <c r="B293" s="4">
        <f>Fact_Defect_Split!B50</f>
        <v>20260701</v>
      </c>
      <c r="C293" s="4">
        <f>Fact_Defect_Split!C50</f>
        <v>6</v>
      </c>
      <c r="D293" s="4" t="str">
        <f>Fact_Defect_Split!D50</f>
        <v>M7</v>
      </c>
      <c r="E293" s="4" t="str">
        <f>Fact_Defect_Split!E50</f>
        <v>A-AM</v>
      </c>
      <c r="F293" s="4" t="str">
        <f>Fact_Defect_Split!F50</f>
        <v>C</v>
      </c>
      <c r="G293" s="4" t="s">
        <v>503</v>
      </c>
      <c r="H293" s="19">
        <f>Fact_Defect_Split!J50</f>
        <v>0</v>
      </c>
    </row>
    <row r="294" spans="1:8" x14ac:dyDescent="0.25">
      <c r="A294" s="18" t="s">
        <v>1275</v>
      </c>
      <c r="B294" s="4">
        <f>Fact_Defect_Split!B50</f>
        <v>20260701</v>
      </c>
      <c r="C294" s="4">
        <f>Fact_Defect_Split!C50</f>
        <v>6</v>
      </c>
      <c r="D294" s="4" t="str">
        <f>Fact_Defect_Split!D50</f>
        <v>M7</v>
      </c>
      <c r="E294" s="4" t="str">
        <f>Fact_Defect_Split!E50</f>
        <v>A-AM</v>
      </c>
      <c r="F294" s="4" t="str">
        <f>Fact_Defect_Split!F50</f>
        <v>C</v>
      </c>
      <c r="G294" s="4" t="s">
        <v>509</v>
      </c>
      <c r="H294" s="19">
        <f>Fact_Defect_Split!K50</f>
        <v>1</v>
      </c>
    </row>
    <row r="295" spans="1:8" x14ac:dyDescent="0.25">
      <c r="A295" s="18" t="s">
        <v>1276</v>
      </c>
      <c r="B295" s="4">
        <f>Fact_Defect_Split!B50</f>
        <v>20260701</v>
      </c>
      <c r="C295" s="4">
        <f>Fact_Defect_Split!C50</f>
        <v>6</v>
      </c>
      <c r="D295" s="4" t="str">
        <f>Fact_Defect_Split!D50</f>
        <v>M7</v>
      </c>
      <c r="E295" s="4" t="str">
        <f>Fact_Defect_Split!E50</f>
        <v>A-AM</v>
      </c>
      <c r="F295" s="4" t="str">
        <f>Fact_Defect_Split!F50</f>
        <v>C</v>
      </c>
      <c r="G295" s="4" t="s">
        <v>520</v>
      </c>
      <c r="H295" s="19">
        <f>Fact_Defect_Split!L50</f>
        <v>1</v>
      </c>
    </row>
    <row r="296" spans="1:8" x14ac:dyDescent="0.25">
      <c r="A296" s="18" t="s">
        <v>1277</v>
      </c>
      <c r="B296" s="4">
        <f>Fact_Defect_Split!B51</f>
        <v>20260701</v>
      </c>
      <c r="C296" s="4">
        <f>Fact_Defect_Split!C51</f>
        <v>7</v>
      </c>
      <c r="D296" s="4" t="str">
        <f>Fact_Defect_Split!D51</f>
        <v>M1</v>
      </c>
      <c r="E296" s="4" t="str">
        <f>Fact_Defect_Split!E51</f>
        <v>A-AM</v>
      </c>
      <c r="F296" s="4" t="str">
        <f>Fact_Defect_Split!F51</f>
        <v>C</v>
      </c>
      <c r="G296" s="4" t="s">
        <v>498</v>
      </c>
      <c r="H296" s="19">
        <f>Fact_Defect_Split!G51</f>
        <v>0</v>
      </c>
    </row>
    <row r="297" spans="1:8" x14ac:dyDescent="0.25">
      <c r="A297" s="18" t="s">
        <v>1278</v>
      </c>
      <c r="B297" s="4">
        <f>Fact_Defect_Split!B51</f>
        <v>20260701</v>
      </c>
      <c r="C297" s="4">
        <f>Fact_Defect_Split!C51</f>
        <v>7</v>
      </c>
      <c r="D297" s="4" t="str">
        <f>Fact_Defect_Split!D51</f>
        <v>M1</v>
      </c>
      <c r="E297" s="4" t="str">
        <f>Fact_Defect_Split!E51</f>
        <v>A-AM</v>
      </c>
      <c r="F297" s="4" t="str">
        <f>Fact_Defect_Split!F51</f>
        <v>C</v>
      </c>
      <c r="G297" s="4" t="s">
        <v>500</v>
      </c>
      <c r="H297" s="19">
        <f>Fact_Defect_Split!H51</f>
        <v>0</v>
      </c>
    </row>
    <row r="298" spans="1:8" x14ac:dyDescent="0.25">
      <c r="A298" s="18" t="s">
        <v>1279</v>
      </c>
      <c r="B298" s="4">
        <f>Fact_Defect_Split!B51</f>
        <v>20260701</v>
      </c>
      <c r="C298" s="4">
        <f>Fact_Defect_Split!C51</f>
        <v>7</v>
      </c>
      <c r="D298" s="4" t="str">
        <f>Fact_Defect_Split!D51</f>
        <v>M1</v>
      </c>
      <c r="E298" s="4" t="str">
        <f>Fact_Defect_Split!E51</f>
        <v>A-AM</v>
      </c>
      <c r="F298" s="4" t="str">
        <f>Fact_Defect_Split!F51</f>
        <v>C</v>
      </c>
      <c r="G298" s="4" t="s">
        <v>517</v>
      </c>
      <c r="H298" s="19">
        <f>Fact_Defect_Split!I51</f>
        <v>1</v>
      </c>
    </row>
    <row r="299" spans="1:8" x14ac:dyDescent="0.25">
      <c r="A299" s="18" t="s">
        <v>1280</v>
      </c>
      <c r="B299" s="4">
        <f>Fact_Defect_Split!B51</f>
        <v>20260701</v>
      </c>
      <c r="C299" s="4">
        <f>Fact_Defect_Split!C51</f>
        <v>7</v>
      </c>
      <c r="D299" s="4" t="str">
        <f>Fact_Defect_Split!D51</f>
        <v>M1</v>
      </c>
      <c r="E299" s="4" t="str">
        <f>Fact_Defect_Split!E51</f>
        <v>A-AM</v>
      </c>
      <c r="F299" s="4" t="str">
        <f>Fact_Defect_Split!F51</f>
        <v>C</v>
      </c>
      <c r="G299" s="4" t="s">
        <v>503</v>
      </c>
      <c r="H299" s="19">
        <f>Fact_Defect_Split!J51</f>
        <v>0</v>
      </c>
    </row>
    <row r="300" spans="1:8" x14ac:dyDescent="0.25">
      <c r="A300" s="18" t="s">
        <v>1281</v>
      </c>
      <c r="B300" s="4">
        <f>Fact_Defect_Split!B51</f>
        <v>20260701</v>
      </c>
      <c r="C300" s="4">
        <f>Fact_Defect_Split!C51</f>
        <v>7</v>
      </c>
      <c r="D300" s="4" t="str">
        <f>Fact_Defect_Split!D51</f>
        <v>M1</v>
      </c>
      <c r="E300" s="4" t="str">
        <f>Fact_Defect_Split!E51</f>
        <v>A-AM</v>
      </c>
      <c r="F300" s="4" t="str">
        <f>Fact_Defect_Split!F51</f>
        <v>C</v>
      </c>
      <c r="G300" s="4" t="s">
        <v>509</v>
      </c>
      <c r="H300" s="19">
        <f>Fact_Defect_Split!K51</f>
        <v>0</v>
      </c>
    </row>
    <row r="301" spans="1:8" x14ac:dyDescent="0.25">
      <c r="A301" s="18" t="s">
        <v>1282</v>
      </c>
      <c r="B301" s="4">
        <f>Fact_Defect_Split!B51</f>
        <v>20260701</v>
      </c>
      <c r="C301" s="4">
        <f>Fact_Defect_Split!C51</f>
        <v>7</v>
      </c>
      <c r="D301" s="4" t="str">
        <f>Fact_Defect_Split!D51</f>
        <v>M1</v>
      </c>
      <c r="E301" s="4" t="str">
        <f>Fact_Defect_Split!E51</f>
        <v>A-AM</v>
      </c>
      <c r="F301" s="4" t="str">
        <f>Fact_Defect_Split!F51</f>
        <v>C</v>
      </c>
      <c r="G301" s="4" t="s">
        <v>520</v>
      </c>
      <c r="H301" s="19">
        <f>Fact_Defect_Split!L51</f>
        <v>1</v>
      </c>
    </row>
    <row r="302" spans="1:8" x14ac:dyDescent="0.25">
      <c r="A302" s="18" t="s">
        <v>1283</v>
      </c>
      <c r="B302" s="4">
        <f>Fact_Defect_Split!B52</f>
        <v>20260701</v>
      </c>
      <c r="C302" s="4">
        <f>Fact_Defect_Split!C52</f>
        <v>7</v>
      </c>
      <c r="D302" s="4" t="str">
        <f>Fact_Defect_Split!D52</f>
        <v>M2</v>
      </c>
      <c r="E302" s="4" t="str">
        <f>Fact_Defect_Split!E52</f>
        <v>A-AM</v>
      </c>
      <c r="F302" s="4" t="str">
        <f>Fact_Defect_Split!F52</f>
        <v>A</v>
      </c>
      <c r="G302" s="4" t="s">
        <v>498</v>
      </c>
      <c r="H302" s="19">
        <f>Fact_Defect_Split!G52</f>
        <v>0</v>
      </c>
    </row>
    <row r="303" spans="1:8" x14ac:dyDescent="0.25">
      <c r="A303" s="18" t="s">
        <v>1284</v>
      </c>
      <c r="B303" s="4">
        <f>Fact_Defect_Split!B52</f>
        <v>20260701</v>
      </c>
      <c r="C303" s="4">
        <f>Fact_Defect_Split!C52</f>
        <v>7</v>
      </c>
      <c r="D303" s="4" t="str">
        <f>Fact_Defect_Split!D52</f>
        <v>M2</v>
      </c>
      <c r="E303" s="4" t="str">
        <f>Fact_Defect_Split!E52</f>
        <v>A-AM</v>
      </c>
      <c r="F303" s="4" t="str">
        <f>Fact_Defect_Split!F52</f>
        <v>A</v>
      </c>
      <c r="G303" s="4" t="s">
        <v>500</v>
      </c>
      <c r="H303" s="19">
        <f>Fact_Defect_Split!H52</f>
        <v>0</v>
      </c>
    </row>
    <row r="304" spans="1:8" x14ac:dyDescent="0.25">
      <c r="A304" s="18" t="s">
        <v>1285</v>
      </c>
      <c r="B304" s="4">
        <f>Fact_Defect_Split!B52</f>
        <v>20260701</v>
      </c>
      <c r="C304" s="4">
        <f>Fact_Defect_Split!C52</f>
        <v>7</v>
      </c>
      <c r="D304" s="4" t="str">
        <f>Fact_Defect_Split!D52</f>
        <v>M2</v>
      </c>
      <c r="E304" s="4" t="str">
        <f>Fact_Defect_Split!E52</f>
        <v>A-AM</v>
      </c>
      <c r="F304" s="4" t="str">
        <f>Fact_Defect_Split!F52</f>
        <v>A</v>
      </c>
      <c r="G304" s="4" t="s">
        <v>517</v>
      </c>
      <c r="H304" s="19">
        <f>Fact_Defect_Split!I52</f>
        <v>0</v>
      </c>
    </row>
    <row r="305" spans="1:8" x14ac:dyDescent="0.25">
      <c r="A305" s="18" t="s">
        <v>1286</v>
      </c>
      <c r="B305" s="4">
        <f>Fact_Defect_Split!B52</f>
        <v>20260701</v>
      </c>
      <c r="C305" s="4">
        <f>Fact_Defect_Split!C52</f>
        <v>7</v>
      </c>
      <c r="D305" s="4" t="str">
        <f>Fact_Defect_Split!D52</f>
        <v>M2</v>
      </c>
      <c r="E305" s="4" t="str">
        <f>Fact_Defect_Split!E52</f>
        <v>A-AM</v>
      </c>
      <c r="F305" s="4" t="str">
        <f>Fact_Defect_Split!F52</f>
        <v>A</v>
      </c>
      <c r="G305" s="4" t="s">
        <v>503</v>
      </c>
      <c r="H305" s="19">
        <f>Fact_Defect_Split!J52</f>
        <v>1</v>
      </c>
    </row>
    <row r="306" spans="1:8" x14ac:dyDescent="0.25">
      <c r="A306" s="18" t="s">
        <v>1287</v>
      </c>
      <c r="B306" s="4">
        <f>Fact_Defect_Split!B52</f>
        <v>20260701</v>
      </c>
      <c r="C306" s="4">
        <f>Fact_Defect_Split!C52</f>
        <v>7</v>
      </c>
      <c r="D306" s="4" t="str">
        <f>Fact_Defect_Split!D52</f>
        <v>M2</v>
      </c>
      <c r="E306" s="4" t="str">
        <f>Fact_Defect_Split!E52</f>
        <v>A-AM</v>
      </c>
      <c r="F306" s="4" t="str">
        <f>Fact_Defect_Split!F52</f>
        <v>A</v>
      </c>
      <c r="G306" s="4" t="s">
        <v>509</v>
      </c>
      <c r="H306" s="19">
        <f>Fact_Defect_Split!K52</f>
        <v>1</v>
      </c>
    </row>
    <row r="307" spans="1:8" x14ac:dyDescent="0.25">
      <c r="A307" s="18" t="s">
        <v>1288</v>
      </c>
      <c r="B307" s="4">
        <f>Fact_Defect_Split!B52</f>
        <v>20260701</v>
      </c>
      <c r="C307" s="4">
        <f>Fact_Defect_Split!C52</f>
        <v>7</v>
      </c>
      <c r="D307" s="4" t="str">
        <f>Fact_Defect_Split!D52</f>
        <v>M2</v>
      </c>
      <c r="E307" s="4" t="str">
        <f>Fact_Defect_Split!E52</f>
        <v>A-AM</v>
      </c>
      <c r="F307" s="4" t="str">
        <f>Fact_Defect_Split!F52</f>
        <v>A</v>
      </c>
      <c r="G307" s="4" t="s">
        <v>520</v>
      </c>
      <c r="H307" s="19">
        <f>Fact_Defect_Split!L52</f>
        <v>1</v>
      </c>
    </row>
    <row r="308" spans="1:8" x14ac:dyDescent="0.25">
      <c r="A308" s="18" t="s">
        <v>1289</v>
      </c>
      <c r="B308" s="4">
        <f>Fact_Defect_Split!B53</f>
        <v>20260701</v>
      </c>
      <c r="C308" s="4">
        <f>Fact_Defect_Split!C53</f>
        <v>7</v>
      </c>
      <c r="D308" s="4" t="str">
        <f>Fact_Defect_Split!D53</f>
        <v>M3</v>
      </c>
      <c r="E308" s="4" t="str">
        <f>Fact_Defect_Split!E53</f>
        <v>A-AM</v>
      </c>
      <c r="F308" s="4" t="str">
        <f>Fact_Defect_Split!F53</f>
        <v>B</v>
      </c>
      <c r="G308" s="4" t="s">
        <v>498</v>
      </c>
      <c r="H308" s="19">
        <f>Fact_Defect_Split!G53</f>
        <v>0</v>
      </c>
    </row>
    <row r="309" spans="1:8" x14ac:dyDescent="0.25">
      <c r="A309" s="18" t="s">
        <v>1290</v>
      </c>
      <c r="B309" s="4">
        <f>Fact_Defect_Split!B53</f>
        <v>20260701</v>
      </c>
      <c r="C309" s="4">
        <f>Fact_Defect_Split!C53</f>
        <v>7</v>
      </c>
      <c r="D309" s="4" t="str">
        <f>Fact_Defect_Split!D53</f>
        <v>M3</v>
      </c>
      <c r="E309" s="4" t="str">
        <f>Fact_Defect_Split!E53</f>
        <v>A-AM</v>
      </c>
      <c r="F309" s="4" t="str">
        <f>Fact_Defect_Split!F53</f>
        <v>B</v>
      </c>
      <c r="G309" s="4" t="s">
        <v>500</v>
      </c>
      <c r="H309" s="19">
        <f>Fact_Defect_Split!H53</f>
        <v>0</v>
      </c>
    </row>
    <row r="310" spans="1:8" x14ac:dyDescent="0.25">
      <c r="A310" s="18" t="s">
        <v>1291</v>
      </c>
      <c r="B310" s="4">
        <f>Fact_Defect_Split!B53</f>
        <v>20260701</v>
      </c>
      <c r="C310" s="4">
        <f>Fact_Defect_Split!C53</f>
        <v>7</v>
      </c>
      <c r="D310" s="4" t="str">
        <f>Fact_Defect_Split!D53</f>
        <v>M3</v>
      </c>
      <c r="E310" s="4" t="str">
        <f>Fact_Defect_Split!E53</f>
        <v>A-AM</v>
      </c>
      <c r="F310" s="4" t="str">
        <f>Fact_Defect_Split!F53</f>
        <v>B</v>
      </c>
      <c r="G310" s="4" t="s">
        <v>517</v>
      </c>
      <c r="H310" s="19">
        <f>Fact_Defect_Split!I53</f>
        <v>0</v>
      </c>
    </row>
    <row r="311" spans="1:8" x14ac:dyDescent="0.25">
      <c r="A311" s="18" t="s">
        <v>1292</v>
      </c>
      <c r="B311" s="4">
        <f>Fact_Defect_Split!B53</f>
        <v>20260701</v>
      </c>
      <c r="C311" s="4">
        <f>Fact_Defect_Split!C53</f>
        <v>7</v>
      </c>
      <c r="D311" s="4" t="str">
        <f>Fact_Defect_Split!D53</f>
        <v>M3</v>
      </c>
      <c r="E311" s="4" t="str">
        <f>Fact_Defect_Split!E53</f>
        <v>A-AM</v>
      </c>
      <c r="F311" s="4" t="str">
        <f>Fact_Defect_Split!F53</f>
        <v>B</v>
      </c>
      <c r="G311" s="4" t="s">
        <v>503</v>
      </c>
      <c r="H311" s="19">
        <f>Fact_Defect_Split!J53</f>
        <v>0</v>
      </c>
    </row>
    <row r="312" spans="1:8" x14ac:dyDescent="0.25">
      <c r="A312" s="18" t="s">
        <v>1293</v>
      </c>
      <c r="B312" s="4">
        <f>Fact_Defect_Split!B53</f>
        <v>20260701</v>
      </c>
      <c r="C312" s="4">
        <f>Fact_Defect_Split!C53</f>
        <v>7</v>
      </c>
      <c r="D312" s="4" t="str">
        <f>Fact_Defect_Split!D53</f>
        <v>M3</v>
      </c>
      <c r="E312" s="4" t="str">
        <f>Fact_Defect_Split!E53</f>
        <v>A-AM</v>
      </c>
      <c r="F312" s="4" t="str">
        <f>Fact_Defect_Split!F53</f>
        <v>B</v>
      </c>
      <c r="G312" s="4" t="s">
        <v>509</v>
      </c>
      <c r="H312" s="19">
        <f>Fact_Defect_Split!K53</f>
        <v>0</v>
      </c>
    </row>
    <row r="313" spans="1:8" x14ac:dyDescent="0.25">
      <c r="A313" s="18" t="s">
        <v>1294</v>
      </c>
      <c r="B313" s="4">
        <f>Fact_Defect_Split!B53</f>
        <v>20260701</v>
      </c>
      <c r="C313" s="4">
        <f>Fact_Defect_Split!C53</f>
        <v>7</v>
      </c>
      <c r="D313" s="4" t="str">
        <f>Fact_Defect_Split!D53</f>
        <v>M3</v>
      </c>
      <c r="E313" s="4" t="str">
        <f>Fact_Defect_Split!E53</f>
        <v>A-AM</v>
      </c>
      <c r="F313" s="4" t="str">
        <f>Fact_Defect_Split!F53</f>
        <v>B</v>
      </c>
      <c r="G313" s="4" t="s">
        <v>520</v>
      </c>
      <c r="H313" s="19">
        <f>Fact_Defect_Split!L53</f>
        <v>1</v>
      </c>
    </row>
    <row r="314" spans="1:8" x14ac:dyDescent="0.25">
      <c r="A314" s="18" t="s">
        <v>1295</v>
      </c>
      <c r="B314" s="4">
        <f>Fact_Defect_Split!B54</f>
        <v>20260701</v>
      </c>
      <c r="C314" s="4">
        <f>Fact_Defect_Split!C54</f>
        <v>7</v>
      </c>
      <c r="D314" s="4" t="str">
        <f>Fact_Defect_Split!D54</f>
        <v>M4</v>
      </c>
      <c r="E314" s="4" t="str">
        <f>Fact_Defect_Split!E54</f>
        <v>A-AM</v>
      </c>
      <c r="F314" s="4" t="str">
        <f>Fact_Defect_Split!F54</f>
        <v>A</v>
      </c>
      <c r="G314" s="4" t="s">
        <v>498</v>
      </c>
      <c r="H314" s="19">
        <f>Fact_Defect_Split!G54</f>
        <v>0</v>
      </c>
    </row>
    <row r="315" spans="1:8" x14ac:dyDescent="0.25">
      <c r="A315" s="18" t="s">
        <v>1296</v>
      </c>
      <c r="B315" s="4">
        <f>Fact_Defect_Split!B54</f>
        <v>20260701</v>
      </c>
      <c r="C315" s="4">
        <f>Fact_Defect_Split!C54</f>
        <v>7</v>
      </c>
      <c r="D315" s="4" t="str">
        <f>Fact_Defect_Split!D54</f>
        <v>M4</v>
      </c>
      <c r="E315" s="4" t="str">
        <f>Fact_Defect_Split!E54</f>
        <v>A-AM</v>
      </c>
      <c r="F315" s="4" t="str">
        <f>Fact_Defect_Split!F54</f>
        <v>A</v>
      </c>
      <c r="G315" s="4" t="s">
        <v>500</v>
      </c>
      <c r="H315" s="19">
        <f>Fact_Defect_Split!H54</f>
        <v>0</v>
      </c>
    </row>
    <row r="316" spans="1:8" x14ac:dyDescent="0.25">
      <c r="A316" s="18" t="s">
        <v>1297</v>
      </c>
      <c r="B316" s="4">
        <f>Fact_Defect_Split!B54</f>
        <v>20260701</v>
      </c>
      <c r="C316" s="4">
        <f>Fact_Defect_Split!C54</f>
        <v>7</v>
      </c>
      <c r="D316" s="4" t="str">
        <f>Fact_Defect_Split!D54</f>
        <v>M4</v>
      </c>
      <c r="E316" s="4" t="str">
        <f>Fact_Defect_Split!E54</f>
        <v>A-AM</v>
      </c>
      <c r="F316" s="4" t="str">
        <f>Fact_Defect_Split!F54</f>
        <v>A</v>
      </c>
      <c r="G316" s="4" t="s">
        <v>517</v>
      </c>
      <c r="H316" s="19">
        <f>Fact_Defect_Split!I54</f>
        <v>0</v>
      </c>
    </row>
    <row r="317" spans="1:8" x14ac:dyDescent="0.25">
      <c r="A317" s="18" t="s">
        <v>1298</v>
      </c>
      <c r="B317" s="4">
        <f>Fact_Defect_Split!B54</f>
        <v>20260701</v>
      </c>
      <c r="C317" s="4">
        <f>Fact_Defect_Split!C54</f>
        <v>7</v>
      </c>
      <c r="D317" s="4" t="str">
        <f>Fact_Defect_Split!D54</f>
        <v>M4</v>
      </c>
      <c r="E317" s="4" t="str">
        <f>Fact_Defect_Split!E54</f>
        <v>A-AM</v>
      </c>
      <c r="F317" s="4" t="str">
        <f>Fact_Defect_Split!F54</f>
        <v>A</v>
      </c>
      <c r="G317" s="4" t="s">
        <v>503</v>
      </c>
      <c r="H317" s="19">
        <f>Fact_Defect_Split!J54</f>
        <v>1</v>
      </c>
    </row>
    <row r="318" spans="1:8" x14ac:dyDescent="0.25">
      <c r="A318" s="18" t="s">
        <v>1299</v>
      </c>
      <c r="B318" s="4">
        <f>Fact_Defect_Split!B54</f>
        <v>20260701</v>
      </c>
      <c r="C318" s="4">
        <f>Fact_Defect_Split!C54</f>
        <v>7</v>
      </c>
      <c r="D318" s="4" t="str">
        <f>Fact_Defect_Split!D54</f>
        <v>M4</v>
      </c>
      <c r="E318" s="4" t="str">
        <f>Fact_Defect_Split!E54</f>
        <v>A-AM</v>
      </c>
      <c r="F318" s="4" t="str">
        <f>Fact_Defect_Split!F54</f>
        <v>A</v>
      </c>
      <c r="G318" s="4" t="s">
        <v>509</v>
      </c>
      <c r="H318" s="19">
        <f>Fact_Defect_Split!K54</f>
        <v>1</v>
      </c>
    </row>
    <row r="319" spans="1:8" x14ac:dyDescent="0.25">
      <c r="A319" s="18" t="s">
        <v>1300</v>
      </c>
      <c r="B319" s="4">
        <f>Fact_Defect_Split!B54</f>
        <v>20260701</v>
      </c>
      <c r="C319" s="4">
        <f>Fact_Defect_Split!C54</f>
        <v>7</v>
      </c>
      <c r="D319" s="4" t="str">
        <f>Fact_Defect_Split!D54</f>
        <v>M4</v>
      </c>
      <c r="E319" s="4" t="str">
        <f>Fact_Defect_Split!E54</f>
        <v>A-AM</v>
      </c>
      <c r="F319" s="4" t="str">
        <f>Fact_Defect_Split!F54</f>
        <v>A</v>
      </c>
      <c r="G319" s="4" t="s">
        <v>520</v>
      </c>
      <c r="H319" s="19">
        <f>Fact_Defect_Split!L54</f>
        <v>1</v>
      </c>
    </row>
    <row r="320" spans="1:8" x14ac:dyDescent="0.25">
      <c r="A320" s="18" t="s">
        <v>1301</v>
      </c>
      <c r="B320" s="4">
        <f>Fact_Defect_Split!B55</f>
        <v>20260701</v>
      </c>
      <c r="C320" s="4">
        <f>Fact_Defect_Split!C55</f>
        <v>7</v>
      </c>
      <c r="D320" s="4" t="str">
        <f>Fact_Defect_Split!D55</f>
        <v>M5</v>
      </c>
      <c r="E320" s="4" t="str">
        <f>Fact_Defect_Split!E55</f>
        <v>A-AM</v>
      </c>
      <c r="F320" s="4" t="str">
        <f>Fact_Defect_Split!F55</f>
        <v>C</v>
      </c>
      <c r="G320" s="4" t="s">
        <v>498</v>
      </c>
      <c r="H320" s="19">
        <f>Fact_Defect_Split!G55</f>
        <v>0</v>
      </c>
    </row>
    <row r="321" spans="1:8" x14ac:dyDescent="0.25">
      <c r="A321" s="18" t="s">
        <v>1302</v>
      </c>
      <c r="B321" s="4">
        <f>Fact_Defect_Split!B55</f>
        <v>20260701</v>
      </c>
      <c r="C321" s="4">
        <f>Fact_Defect_Split!C55</f>
        <v>7</v>
      </c>
      <c r="D321" s="4" t="str">
        <f>Fact_Defect_Split!D55</f>
        <v>M5</v>
      </c>
      <c r="E321" s="4" t="str">
        <f>Fact_Defect_Split!E55</f>
        <v>A-AM</v>
      </c>
      <c r="F321" s="4" t="str">
        <f>Fact_Defect_Split!F55</f>
        <v>C</v>
      </c>
      <c r="G321" s="4" t="s">
        <v>500</v>
      </c>
      <c r="H321" s="19">
        <f>Fact_Defect_Split!H55</f>
        <v>0</v>
      </c>
    </row>
    <row r="322" spans="1:8" x14ac:dyDescent="0.25">
      <c r="A322" s="18" t="s">
        <v>1303</v>
      </c>
      <c r="B322" s="4">
        <f>Fact_Defect_Split!B55</f>
        <v>20260701</v>
      </c>
      <c r="C322" s="4">
        <f>Fact_Defect_Split!C55</f>
        <v>7</v>
      </c>
      <c r="D322" s="4" t="str">
        <f>Fact_Defect_Split!D55</f>
        <v>M5</v>
      </c>
      <c r="E322" s="4" t="str">
        <f>Fact_Defect_Split!E55</f>
        <v>A-AM</v>
      </c>
      <c r="F322" s="4" t="str">
        <f>Fact_Defect_Split!F55</f>
        <v>C</v>
      </c>
      <c r="G322" s="4" t="s">
        <v>517</v>
      </c>
      <c r="H322" s="19">
        <f>Fact_Defect_Split!I55</f>
        <v>0</v>
      </c>
    </row>
    <row r="323" spans="1:8" x14ac:dyDescent="0.25">
      <c r="A323" s="18" t="s">
        <v>1304</v>
      </c>
      <c r="B323" s="4">
        <f>Fact_Defect_Split!B55</f>
        <v>20260701</v>
      </c>
      <c r="C323" s="4">
        <f>Fact_Defect_Split!C55</f>
        <v>7</v>
      </c>
      <c r="D323" s="4" t="str">
        <f>Fact_Defect_Split!D55</f>
        <v>M5</v>
      </c>
      <c r="E323" s="4" t="str">
        <f>Fact_Defect_Split!E55</f>
        <v>A-AM</v>
      </c>
      <c r="F323" s="4" t="str">
        <f>Fact_Defect_Split!F55</f>
        <v>C</v>
      </c>
      <c r="G323" s="4" t="s">
        <v>503</v>
      </c>
      <c r="H323" s="19">
        <f>Fact_Defect_Split!J55</f>
        <v>0</v>
      </c>
    </row>
    <row r="324" spans="1:8" x14ac:dyDescent="0.25">
      <c r="A324" s="18" t="s">
        <v>1305</v>
      </c>
      <c r="B324" s="4">
        <f>Fact_Defect_Split!B55</f>
        <v>20260701</v>
      </c>
      <c r="C324" s="4">
        <f>Fact_Defect_Split!C55</f>
        <v>7</v>
      </c>
      <c r="D324" s="4" t="str">
        <f>Fact_Defect_Split!D55</f>
        <v>M5</v>
      </c>
      <c r="E324" s="4" t="str">
        <f>Fact_Defect_Split!E55</f>
        <v>A-AM</v>
      </c>
      <c r="F324" s="4" t="str">
        <f>Fact_Defect_Split!F55</f>
        <v>C</v>
      </c>
      <c r="G324" s="4" t="s">
        <v>509</v>
      </c>
      <c r="H324" s="19">
        <f>Fact_Defect_Split!K55</f>
        <v>1</v>
      </c>
    </row>
    <row r="325" spans="1:8" x14ac:dyDescent="0.25">
      <c r="A325" s="18" t="s">
        <v>1306</v>
      </c>
      <c r="B325" s="4">
        <f>Fact_Defect_Split!B55</f>
        <v>20260701</v>
      </c>
      <c r="C325" s="4">
        <f>Fact_Defect_Split!C55</f>
        <v>7</v>
      </c>
      <c r="D325" s="4" t="str">
        <f>Fact_Defect_Split!D55</f>
        <v>M5</v>
      </c>
      <c r="E325" s="4" t="str">
        <f>Fact_Defect_Split!E55</f>
        <v>A-AM</v>
      </c>
      <c r="F325" s="4" t="str">
        <f>Fact_Defect_Split!F55</f>
        <v>C</v>
      </c>
      <c r="G325" s="4" t="s">
        <v>520</v>
      </c>
      <c r="H325" s="19">
        <f>Fact_Defect_Split!L55</f>
        <v>0</v>
      </c>
    </row>
    <row r="326" spans="1:8" x14ac:dyDescent="0.25">
      <c r="A326" s="18" t="s">
        <v>1307</v>
      </c>
      <c r="B326" s="4">
        <f>Fact_Defect_Split!B56</f>
        <v>20260701</v>
      </c>
      <c r="C326" s="4">
        <f>Fact_Defect_Split!C56</f>
        <v>7</v>
      </c>
      <c r="D326" s="4" t="str">
        <f>Fact_Defect_Split!D56</f>
        <v>M6</v>
      </c>
      <c r="E326" s="4" t="str">
        <f>Fact_Defect_Split!E56</f>
        <v>A-AM</v>
      </c>
      <c r="F326" s="4" t="str">
        <f>Fact_Defect_Split!F56</f>
        <v>C</v>
      </c>
      <c r="G326" s="4" t="s">
        <v>498</v>
      </c>
      <c r="H326" s="19">
        <f>Fact_Defect_Split!G56</f>
        <v>0</v>
      </c>
    </row>
    <row r="327" spans="1:8" x14ac:dyDescent="0.25">
      <c r="A327" s="18" t="s">
        <v>1308</v>
      </c>
      <c r="B327" s="4">
        <f>Fact_Defect_Split!B56</f>
        <v>20260701</v>
      </c>
      <c r="C327" s="4">
        <f>Fact_Defect_Split!C56</f>
        <v>7</v>
      </c>
      <c r="D327" s="4" t="str">
        <f>Fact_Defect_Split!D56</f>
        <v>M6</v>
      </c>
      <c r="E327" s="4" t="str">
        <f>Fact_Defect_Split!E56</f>
        <v>A-AM</v>
      </c>
      <c r="F327" s="4" t="str">
        <f>Fact_Defect_Split!F56</f>
        <v>C</v>
      </c>
      <c r="G327" s="4" t="s">
        <v>500</v>
      </c>
      <c r="H327" s="19">
        <f>Fact_Defect_Split!H56</f>
        <v>0</v>
      </c>
    </row>
    <row r="328" spans="1:8" x14ac:dyDescent="0.25">
      <c r="A328" s="18" t="s">
        <v>1309</v>
      </c>
      <c r="B328" s="4">
        <f>Fact_Defect_Split!B56</f>
        <v>20260701</v>
      </c>
      <c r="C328" s="4">
        <f>Fact_Defect_Split!C56</f>
        <v>7</v>
      </c>
      <c r="D328" s="4" t="str">
        <f>Fact_Defect_Split!D56</f>
        <v>M6</v>
      </c>
      <c r="E328" s="4" t="str">
        <f>Fact_Defect_Split!E56</f>
        <v>A-AM</v>
      </c>
      <c r="F328" s="4" t="str">
        <f>Fact_Defect_Split!F56</f>
        <v>C</v>
      </c>
      <c r="G328" s="4" t="s">
        <v>517</v>
      </c>
      <c r="H328" s="19">
        <f>Fact_Defect_Split!I56</f>
        <v>1</v>
      </c>
    </row>
    <row r="329" spans="1:8" x14ac:dyDescent="0.25">
      <c r="A329" s="18" t="s">
        <v>1310</v>
      </c>
      <c r="B329" s="4">
        <f>Fact_Defect_Split!B56</f>
        <v>20260701</v>
      </c>
      <c r="C329" s="4">
        <f>Fact_Defect_Split!C56</f>
        <v>7</v>
      </c>
      <c r="D329" s="4" t="str">
        <f>Fact_Defect_Split!D56</f>
        <v>M6</v>
      </c>
      <c r="E329" s="4" t="str">
        <f>Fact_Defect_Split!E56</f>
        <v>A-AM</v>
      </c>
      <c r="F329" s="4" t="str">
        <f>Fact_Defect_Split!F56</f>
        <v>C</v>
      </c>
      <c r="G329" s="4" t="s">
        <v>503</v>
      </c>
      <c r="H329" s="19">
        <f>Fact_Defect_Split!J56</f>
        <v>0</v>
      </c>
    </row>
    <row r="330" spans="1:8" x14ac:dyDescent="0.25">
      <c r="A330" s="18" t="s">
        <v>1311</v>
      </c>
      <c r="B330" s="4">
        <f>Fact_Defect_Split!B56</f>
        <v>20260701</v>
      </c>
      <c r="C330" s="4">
        <f>Fact_Defect_Split!C56</f>
        <v>7</v>
      </c>
      <c r="D330" s="4" t="str">
        <f>Fact_Defect_Split!D56</f>
        <v>M6</v>
      </c>
      <c r="E330" s="4" t="str">
        <f>Fact_Defect_Split!E56</f>
        <v>A-AM</v>
      </c>
      <c r="F330" s="4" t="str">
        <f>Fact_Defect_Split!F56</f>
        <v>C</v>
      </c>
      <c r="G330" s="4" t="s">
        <v>509</v>
      </c>
      <c r="H330" s="19">
        <f>Fact_Defect_Split!K56</f>
        <v>0</v>
      </c>
    </row>
    <row r="331" spans="1:8" x14ac:dyDescent="0.25">
      <c r="A331" s="18" t="s">
        <v>1312</v>
      </c>
      <c r="B331" s="4">
        <f>Fact_Defect_Split!B56</f>
        <v>20260701</v>
      </c>
      <c r="C331" s="4">
        <f>Fact_Defect_Split!C56</f>
        <v>7</v>
      </c>
      <c r="D331" s="4" t="str">
        <f>Fact_Defect_Split!D56</f>
        <v>M6</v>
      </c>
      <c r="E331" s="4" t="str">
        <f>Fact_Defect_Split!E56</f>
        <v>A-AM</v>
      </c>
      <c r="F331" s="4" t="str">
        <f>Fact_Defect_Split!F56</f>
        <v>C</v>
      </c>
      <c r="G331" s="4" t="s">
        <v>520</v>
      </c>
      <c r="H331" s="19">
        <f>Fact_Defect_Split!L56</f>
        <v>1</v>
      </c>
    </row>
    <row r="332" spans="1:8" x14ac:dyDescent="0.25">
      <c r="A332" s="18" t="s">
        <v>1313</v>
      </c>
      <c r="B332" s="4">
        <f>Fact_Defect_Split!B57</f>
        <v>20260701</v>
      </c>
      <c r="C332" s="4">
        <f>Fact_Defect_Split!C57</f>
        <v>7</v>
      </c>
      <c r="D332" s="4" t="str">
        <f>Fact_Defect_Split!D57</f>
        <v>M7</v>
      </c>
      <c r="E332" s="4" t="str">
        <f>Fact_Defect_Split!E57</f>
        <v>A-AM</v>
      </c>
      <c r="F332" s="4" t="str">
        <f>Fact_Defect_Split!F57</f>
        <v>C</v>
      </c>
      <c r="G332" s="4" t="s">
        <v>498</v>
      </c>
      <c r="H332" s="19">
        <f>Fact_Defect_Split!G57</f>
        <v>0</v>
      </c>
    </row>
    <row r="333" spans="1:8" x14ac:dyDescent="0.25">
      <c r="A333" s="18" t="s">
        <v>1314</v>
      </c>
      <c r="B333" s="4">
        <f>Fact_Defect_Split!B57</f>
        <v>20260701</v>
      </c>
      <c r="C333" s="4">
        <f>Fact_Defect_Split!C57</f>
        <v>7</v>
      </c>
      <c r="D333" s="4" t="str">
        <f>Fact_Defect_Split!D57</f>
        <v>M7</v>
      </c>
      <c r="E333" s="4" t="str">
        <f>Fact_Defect_Split!E57</f>
        <v>A-AM</v>
      </c>
      <c r="F333" s="4" t="str">
        <f>Fact_Defect_Split!F57</f>
        <v>C</v>
      </c>
      <c r="G333" s="4" t="s">
        <v>500</v>
      </c>
      <c r="H333" s="19">
        <f>Fact_Defect_Split!H57</f>
        <v>0</v>
      </c>
    </row>
    <row r="334" spans="1:8" x14ac:dyDescent="0.25">
      <c r="A334" s="18" t="s">
        <v>1315</v>
      </c>
      <c r="B334" s="4">
        <f>Fact_Defect_Split!B57</f>
        <v>20260701</v>
      </c>
      <c r="C334" s="4">
        <f>Fact_Defect_Split!C57</f>
        <v>7</v>
      </c>
      <c r="D334" s="4" t="str">
        <f>Fact_Defect_Split!D57</f>
        <v>M7</v>
      </c>
      <c r="E334" s="4" t="str">
        <f>Fact_Defect_Split!E57</f>
        <v>A-AM</v>
      </c>
      <c r="F334" s="4" t="str">
        <f>Fact_Defect_Split!F57</f>
        <v>C</v>
      </c>
      <c r="G334" s="4" t="s">
        <v>517</v>
      </c>
      <c r="H334" s="19">
        <f>Fact_Defect_Split!I57</f>
        <v>1</v>
      </c>
    </row>
    <row r="335" spans="1:8" x14ac:dyDescent="0.25">
      <c r="A335" s="18" t="s">
        <v>1316</v>
      </c>
      <c r="B335" s="4">
        <f>Fact_Defect_Split!B57</f>
        <v>20260701</v>
      </c>
      <c r="C335" s="4">
        <f>Fact_Defect_Split!C57</f>
        <v>7</v>
      </c>
      <c r="D335" s="4" t="str">
        <f>Fact_Defect_Split!D57</f>
        <v>M7</v>
      </c>
      <c r="E335" s="4" t="str">
        <f>Fact_Defect_Split!E57</f>
        <v>A-AM</v>
      </c>
      <c r="F335" s="4" t="str">
        <f>Fact_Defect_Split!F57</f>
        <v>C</v>
      </c>
      <c r="G335" s="4" t="s">
        <v>503</v>
      </c>
      <c r="H335" s="19">
        <f>Fact_Defect_Split!J57</f>
        <v>0</v>
      </c>
    </row>
    <row r="336" spans="1:8" x14ac:dyDescent="0.25">
      <c r="A336" s="18" t="s">
        <v>1317</v>
      </c>
      <c r="B336" s="4">
        <f>Fact_Defect_Split!B57</f>
        <v>20260701</v>
      </c>
      <c r="C336" s="4">
        <f>Fact_Defect_Split!C57</f>
        <v>7</v>
      </c>
      <c r="D336" s="4" t="str">
        <f>Fact_Defect_Split!D57</f>
        <v>M7</v>
      </c>
      <c r="E336" s="4" t="str">
        <f>Fact_Defect_Split!E57</f>
        <v>A-AM</v>
      </c>
      <c r="F336" s="4" t="str">
        <f>Fact_Defect_Split!F57</f>
        <v>C</v>
      </c>
      <c r="G336" s="4" t="s">
        <v>509</v>
      </c>
      <c r="H336" s="19">
        <f>Fact_Defect_Split!K57</f>
        <v>1</v>
      </c>
    </row>
    <row r="337" spans="1:8" x14ac:dyDescent="0.25">
      <c r="A337" s="18" t="s">
        <v>1318</v>
      </c>
      <c r="B337" s="4">
        <f>Fact_Defect_Split!B57</f>
        <v>20260701</v>
      </c>
      <c r="C337" s="4">
        <f>Fact_Defect_Split!C57</f>
        <v>7</v>
      </c>
      <c r="D337" s="4" t="str">
        <f>Fact_Defect_Split!D57</f>
        <v>M7</v>
      </c>
      <c r="E337" s="4" t="str">
        <f>Fact_Defect_Split!E57</f>
        <v>A-AM</v>
      </c>
      <c r="F337" s="4" t="str">
        <f>Fact_Defect_Split!F57</f>
        <v>C</v>
      </c>
      <c r="G337" s="4" t="s">
        <v>520</v>
      </c>
      <c r="H337" s="19">
        <f>Fact_Defect_Split!L57</f>
        <v>0</v>
      </c>
    </row>
    <row r="338" spans="1:8" x14ac:dyDescent="0.25">
      <c r="A338" s="18" t="s">
        <v>1319</v>
      </c>
      <c r="B338" s="4">
        <f>Fact_Defect_Split!B58</f>
        <v>20260701</v>
      </c>
      <c r="C338" s="4">
        <f>Fact_Defect_Split!C58</f>
        <v>8</v>
      </c>
      <c r="D338" s="4" t="str">
        <f>Fact_Defect_Split!D58</f>
        <v>M1</v>
      </c>
      <c r="E338" s="4" t="str">
        <f>Fact_Defect_Split!E58</f>
        <v>A-AM</v>
      </c>
      <c r="F338" s="4" t="str">
        <f>Fact_Defect_Split!F58</f>
        <v>C</v>
      </c>
      <c r="G338" s="4" t="s">
        <v>498</v>
      </c>
      <c r="H338" s="19">
        <f>Fact_Defect_Split!G58</f>
        <v>0</v>
      </c>
    </row>
    <row r="339" spans="1:8" x14ac:dyDescent="0.25">
      <c r="A339" s="18" t="s">
        <v>1320</v>
      </c>
      <c r="B339" s="4">
        <f>Fact_Defect_Split!B58</f>
        <v>20260701</v>
      </c>
      <c r="C339" s="4">
        <f>Fact_Defect_Split!C58</f>
        <v>8</v>
      </c>
      <c r="D339" s="4" t="str">
        <f>Fact_Defect_Split!D58</f>
        <v>M1</v>
      </c>
      <c r="E339" s="4" t="str">
        <f>Fact_Defect_Split!E58</f>
        <v>A-AM</v>
      </c>
      <c r="F339" s="4" t="str">
        <f>Fact_Defect_Split!F58</f>
        <v>C</v>
      </c>
      <c r="G339" s="4" t="s">
        <v>500</v>
      </c>
      <c r="H339" s="19">
        <f>Fact_Defect_Split!H58</f>
        <v>0</v>
      </c>
    </row>
    <row r="340" spans="1:8" x14ac:dyDescent="0.25">
      <c r="A340" s="18" t="s">
        <v>1321</v>
      </c>
      <c r="B340" s="4">
        <f>Fact_Defect_Split!B58</f>
        <v>20260701</v>
      </c>
      <c r="C340" s="4">
        <f>Fact_Defect_Split!C58</f>
        <v>8</v>
      </c>
      <c r="D340" s="4" t="str">
        <f>Fact_Defect_Split!D58</f>
        <v>M1</v>
      </c>
      <c r="E340" s="4" t="str">
        <f>Fact_Defect_Split!E58</f>
        <v>A-AM</v>
      </c>
      <c r="F340" s="4" t="str">
        <f>Fact_Defect_Split!F58</f>
        <v>C</v>
      </c>
      <c r="G340" s="4" t="s">
        <v>517</v>
      </c>
      <c r="H340" s="19">
        <f>Fact_Defect_Split!I58</f>
        <v>0</v>
      </c>
    </row>
    <row r="341" spans="1:8" x14ac:dyDescent="0.25">
      <c r="A341" s="18" t="s">
        <v>1322</v>
      </c>
      <c r="B341" s="4">
        <f>Fact_Defect_Split!B58</f>
        <v>20260701</v>
      </c>
      <c r="C341" s="4">
        <f>Fact_Defect_Split!C58</f>
        <v>8</v>
      </c>
      <c r="D341" s="4" t="str">
        <f>Fact_Defect_Split!D58</f>
        <v>M1</v>
      </c>
      <c r="E341" s="4" t="str">
        <f>Fact_Defect_Split!E58</f>
        <v>A-AM</v>
      </c>
      <c r="F341" s="4" t="str">
        <f>Fact_Defect_Split!F58</f>
        <v>C</v>
      </c>
      <c r="G341" s="4" t="s">
        <v>503</v>
      </c>
      <c r="H341" s="19">
        <f>Fact_Defect_Split!J58</f>
        <v>1</v>
      </c>
    </row>
    <row r="342" spans="1:8" x14ac:dyDescent="0.25">
      <c r="A342" s="18" t="s">
        <v>1323</v>
      </c>
      <c r="B342" s="4">
        <f>Fact_Defect_Split!B58</f>
        <v>20260701</v>
      </c>
      <c r="C342" s="4">
        <f>Fact_Defect_Split!C58</f>
        <v>8</v>
      </c>
      <c r="D342" s="4" t="str">
        <f>Fact_Defect_Split!D58</f>
        <v>M1</v>
      </c>
      <c r="E342" s="4" t="str">
        <f>Fact_Defect_Split!E58</f>
        <v>A-AM</v>
      </c>
      <c r="F342" s="4" t="str">
        <f>Fact_Defect_Split!F58</f>
        <v>C</v>
      </c>
      <c r="G342" s="4" t="s">
        <v>509</v>
      </c>
      <c r="H342" s="19">
        <f>Fact_Defect_Split!K58</f>
        <v>1</v>
      </c>
    </row>
    <row r="343" spans="1:8" x14ac:dyDescent="0.25">
      <c r="A343" s="18" t="s">
        <v>1324</v>
      </c>
      <c r="B343" s="4">
        <f>Fact_Defect_Split!B58</f>
        <v>20260701</v>
      </c>
      <c r="C343" s="4">
        <f>Fact_Defect_Split!C58</f>
        <v>8</v>
      </c>
      <c r="D343" s="4" t="str">
        <f>Fact_Defect_Split!D58</f>
        <v>M1</v>
      </c>
      <c r="E343" s="4" t="str">
        <f>Fact_Defect_Split!E58</f>
        <v>A-AM</v>
      </c>
      <c r="F343" s="4" t="str">
        <f>Fact_Defect_Split!F58</f>
        <v>C</v>
      </c>
      <c r="G343" s="4" t="s">
        <v>520</v>
      </c>
      <c r="H343" s="19">
        <f>Fact_Defect_Split!L58</f>
        <v>0</v>
      </c>
    </row>
    <row r="344" spans="1:8" x14ac:dyDescent="0.25">
      <c r="A344" s="18" t="s">
        <v>1325</v>
      </c>
      <c r="B344" s="4">
        <f>Fact_Defect_Split!B59</f>
        <v>20260701</v>
      </c>
      <c r="C344" s="4">
        <f>Fact_Defect_Split!C59</f>
        <v>8</v>
      </c>
      <c r="D344" s="4" t="str">
        <f>Fact_Defect_Split!D59</f>
        <v>M2</v>
      </c>
      <c r="E344" s="4" t="str">
        <f>Fact_Defect_Split!E59</f>
        <v>A-AM</v>
      </c>
      <c r="F344" s="4" t="str">
        <f>Fact_Defect_Split!F59</f>
        <v>A</v>
      </c>
      <c r="G344" s="4" t="s">
        <v>498</v>
      </c>
      <c r="H344" s="19">
        <f>Fact_Defect_Split!G59</f>
        <v>0</v>
      </c>
    </row>
    <row r="345" spans="1:8" x14ac:dyDescent="0.25">
      <c r="A345" s="18" t="s">
        <v>1326</v>
      </c>
      <c r="B345" s="4">
        <f>Fact_Defect_Split!B59</f>
        <v>20260701</v>
      </c>
      <c r="C345" s="4">
        <f>Fact_Defect_Split!C59</f>
        <v>8</v>
      </c>
      <c r="D345" s="4" t="str">
        <f>Fact_Defect_Split!D59</f>
        <v>M2</v>
      </c>
      <c r="E345" s="4" t="str">
        <f>Fact_Defect_Split!E59</f>
        <v>A-AM</v>
      </c>
      <c r="F345" s="4" t="str">
        <f>Fact_Defect_Split!F59</f>
        <v>A</v>
      </c>
      <c r="G345" s="4" t="s">
        <v>500</v>
      </c>
      <c r="H345" s="19">
        <f>Fact_Defect_Split!H59</f>
        <v>0</v>
      </c>
    </row>
    <row r="346" spans="1:8" x14ac:dyDescent="0.25">
      <c r="A346" s="18" t="s">
        <v>1327</v>
      </c>
      <c r="B346" s="4">
        <f>Fact_Defect_Split!B59</f>
        <v>20260701</v>
      </c>
      <c r="C346" s="4">
        <f>Fact_Defect_Split!C59</f>
        <v>8</v>
      </c>
      <c r="D346" s="4" t="str">
        <f>Fact_Defect_Split!D59</f>
        <v>M2</v>
      </c>
      <c r="E346" s="4" t="str">
        <f>Fact_Defect_Split!E59</f>
        <v>A-AM</v>
      </c>
      <c r="F346" s="4" t="str">
        <f>Fact_Defect_Split!F59</f>
        <v>A</v>
      </c>
      <c r="G346" s="4" t="s">
        <v>517</v>
      </c>
      <c r="H346" s="19">
        <f>Fact_Defect_Split!I59</f>
        <v>1</v>
      </c>
    </row>
    <row r="347" spans="1:8" x14ac:dyDescent="0.25">
      <c r="A347" s="18" t="s">
        <v>1328</v>
      </c>
      <c r="B347" s="4">
        <f>Fact_Defect_Split!B59</f>
        <v>20260701</v>
      </c>
      <c r="C347" s="4">
        <f>Fact_Defect_Split!C59</f>
        <v>8</v>
      </c>
      <c r="D347" s="4" t="str">
        <f>Fact_Defect_Split!D59</f>
        <v>M2</v>
      </c>
      <c r="E347" s="4" t="str">
        <f>Fact_Defect_Split!E59</f>
        <v>A-AM</v>
      </c>
      <c r="F347" s="4" t="str">
        <f>Fact_Defect_Split!F59</f>
        <v>A</v>
      </c>
      <c r="G347" s="4" t="s">
        <v>503</v>
      </c>
      <c r="H347" s="19">
        <f>Fact_Defect_Split!J59</f>
        <v>0</v>
      </c>
    </row>
    <row r="348" spans="1:8" x14ac:dyDescent="0.25">
      <c r="A348" s="18" t="s">
        <v>1329</v>
      </c>
      <c r="B348" s="4">
        <f>Fact_Defect_Split!B59</f>
        <v>20260701</v>
      </c>
      <c r="C348" s="4">
        <f>Fact_Defect_Split!C59</f>
        <v>8</v>
      </c>
      <c r="D348" s="4" t="str">
        <f>Fact_Defect_Split!D59</f>
        <v>M2</v>
      </c>
      <c r="E348" s="4" t="str">
        <f>Fact_Defect_Split!E59</f>
        <v>A-AM</v>
      </c>
      <c r="F348" s="4" t="str">
        <f>Fact_Defect_Split!F59</f>
        <v>A</v>
      </c>
      <c r="G348" s="4" t="s">
        <v>509</v>
      </c>
      <c r="H348" s="19">
        <f>Fact_Defect_Split!K59</f>
        <v>1</v>
      </c>
    </row>
    <row r="349" spans="1:8" x14ac:dyDescent="0.25">
      <c r="A349" s="18" t="s">
        <v>1330</v>
      </c>
      <c r="B349" s="4">
        <f>Fact_Defect_Split!B59</f>
        <v>20260701</v>
      </c>
      <c r="C349" s="4">
        <f>Fact_Defect_Split!C59</f>
        <v>8</v>
      </c>
      <c r="D349" s="4" t="str">
        <f>Fact_Defect_Split!D59</f>
        <v>M2</v>
      </c>
      <c r="E349" s="4" t="str">
        <f>Fact_Defect_Split!E59</f>
        <v>A-AM</v>
      </c>
      <c r="F349" s="4" t="str">
        <f>Fact_Defect_Split!F59</f>
        <v>A</v>
      </c>
      <c r="G349" s="4" t="s">
        <v>520</v>
      </c>
      <c r="H349" s="19">
        <f>Fact_Defect_Split!L59</f>
        <v>0</v>
      </c>
    </row>
    <row r="350" spans="1:8" x14ac:dyDescent="0.25">
      <c r="A350" s="18" t="s">
        <v>1331</v>
      </c>
      <c r="B350" s="4">
        <f>Fact_Defect_Split!B60</f>
        <v>20260701</v>
      </c>
      <c r="C350" s="4">
        <f>Fact_Defect_Split!C60</f>
        <v>8</v>
      </c>
      <c r="D350" s="4" t="str">
        <f>Fact_Defect_Split!D60</f>
        <v>M3</v>
      </c>
      <c r="E350" s="4" t="str">
        <f>Fact_Defect_Split!E60</f>
        <v>A-AM</v>
      </c>
      <c r="F350" s="4" t="str">
        <f>Fact_Defect_Split!F60</f>
        <v>B</v>
      </c>
      <c r="G350" s="4" t="s">
        <v>498</v>
      </c>
      <c r="H350" s="19">
        <f>Fact_Defect_Split!G60</f>
        <v>0</v>
      </c>
    </row>
    <row r="351" spans="1:8" x14ac:dyDescent="0.25">
      <c r="A351" s="18" t="s">
        <v>1332</v>
      </c>
      <c r="B351" s="4">
        <f>Fact_Defect_Split!B60</f>
        <v>20260701</v>
      </c>
      <c r="C351" s="4">
        <f>Fact_Defect_Split!C60</f>
        <v>8</v>
      </c>
      <c r="D351" s="4" t="str">
        <f>Fact_Defect_Split!D60</f>
        <v>M3</v>
      </c>
      <c r="E351" s="4" t="str">
        <f>Fact_Defect_Split!E60</f>
        <v>A-AM</v>
      </c>
      <c r="F351" s="4" t="str">
        <f>Fact_Defect_Split!F60</f>
        <v>B</v>
      </c>
      <c r="G351" s="4" t="s">
        <v>500</v>
      </c>
      <c r="H351" s="19">
        <f>Fact_Defect_Split!H60</f>
        <v>0</v>
      </c>
    </row>
    <row r="352" spans="1:8" x14ac:dyDescent="0.25">
      <c r="A352" s="18" t="s">
        <v>1333</v>
      </c>
      <c r="B352" s="4">
        <f>Fact_Defect_Split!B60</f>
        <v>20260701</v>
      </c>
      <c r="C352" s="4">
        <f>Fact_Defect_Split!C60</f>
        <v>8</v>
      </c>
      <c r="D352" s="4" t="str">
        <f>Fact_Defect_Split!D60</f>
        <v>M3</v>
      </c>
      <c r="E352" s="4" t="str">
        <f>Fact_Defect_Split!E60</f>
        <v>A-AM</v>
      </c>
      <c r="F352" s="4" t="str">
        <f>Fact_Defect_Split!F60</f>
        <v>B</v>
      </c>
      <c r="G352" s="4" t="s">
        <v>517</v>
      </c>
      <c r="H352" s="19">
        <f>Fact_Defect_Split!I60</f>
        <v>0</v>
      </c>
    </row>
    <row r="353" spans="1:8" x14ac:dyDescent="0.25">
      <c r="A353" s="18" t="s">
        <v>1334</v>
      </c>
      <c r="B353" s="4">
        <f>Fact_Defect_Split!B60</f>
        <v>20260701</v>
      </c>
      <c r="C353" s="4">
        <f>Fact_Defect_Split!C60</f>
        <v>8</v>
      </c>
      <c r="D353" s="4" t="str">
        <f>Fact_Defect_Split!D60</f>
        <v>M3</v>
      </c>
      <c r="E353" s="4" t="str">
        <f>Fact_Defect_Split!E60</f>
        <v>A-AM</v>
      </c>
      <c r="F353" s="4" t="str">
        <f>Fact_Defect_Split!F60</f>
        <v>B</v>
      </c>
      <c r="G353" s="4" t="s">
        <v>503</v>
      </c>
      <c r="H353" s="19">
        <f>Fact_Defect_Split!J60</f>
        <v>0</v>
      </c>
    </row>
    <row r="354" spans="1:8" x14ac:dyDescent="0.25">
      <c r="A354" s="18" t="s">
        <v>1335</v>
      </c>
      <c r="B354" s="4">
        <f>Fact_Defect_Split!B60</f>
        <v>20260701</v>
      </c>
      <c r="C354" s="4">
        <f>Fact_Defect_Split!C60</f>
        <v>8</v>
      </c>
      <c r="D354" s="4" t="str">
        <f>Fact_Defect_Split!D60</f>
        <v>M3</v>
      </c>
      <c r="E354" s="4" t="str">
        <f>Fact_Defect_Split!E60</f>
        <v>A-AM</v>
      </c>
      <c r="F354" s="4" t="str">
        <f>Fact_Defect_Split!F60</f>
        <v>B</v>
      </c>
      <c r="G354" s="4" t="s">
        <v>509</v>
      </c>
      <c r="H354" s="19">
        <f>Fact_Defect_Split!K60</f>
        <v>0</v>
      </c>
    </row>
    <row r="355" spans="1:8" x14ac:dyDescent="0.25">
      <c r="A355" s="18" t="s">
        <v>1336</v>
      </c>
      <c r="B355" s="4">
        <f>Fact_Defect_Split!B60</f>
        <v>20260701</v>
      </c>
      <c r="C355" s="4">
        <f>Fact_Defect_Split!C60</f>
        <v>8</v>
      </c>
      <c r="D355" s="4" t="str">
        <f>Fact_Defect_Split!D60</f>
        <v>M3</v>
      </c>
      <c r="E355" s="4" t="str">
        <f>Fact_Defect_Split!E60</f>
        <v>A-AM</v>
      </c>
      <c r="F355" s="4" t="str">
        <f>Fact_Defect_Split!F60</f>
        <v>B</v>
      </c>
      <c r="G355" s="4" t="s">
        <v>520</v>
      </c>
      <c r="H355" s="19">
        <f>Fact_Defect_Split!L60</f>
        <v>1</v>
      </c>
    </row>
    <row r="356" spans="1:8" x14ac:dyDescent="0.25">
      <c r="A356" s="18" t="s">
        <v>1337</v>
      </c>
      <c r="B356" s="4">
        <f>Fact_Defect_Split!B61</f>
        <v>20260701</v>
      </c>
      <c r="C356" s="4">
        <f>Fact_Defect_Split!C61</f>
        <v>8</v>
      </c>
      <c r="D356" s="4" t="str">
        <f>Fact_Defect_Split!D61</f>
        <v>M4</v>
      </c>
      <c r="E356" s="4" t="str">
        <f>Fact_Defect_Split!E61</f>
        <v>A-AM</v>
      </c>
      <c r="F356" s="4" t="str">
        <f>Fact_Defect_Split!F61</f>
        <v>A</v>
      </c>
      <c r="G356" s="4" t="s">
        <v>498</v>
      </c>
      <c r="H356" s="19">
        <f>Fact_Defect_Split!G61</f>
        <v>0</v>
      </c>
    </row>
    <row r="357" spans="1:8" x14ac:dyDescent="0.25">
      <c r="A357" s="18" t="s">
        <v>1338</v>
      </c>
      <c r="B357" s="4">
        <f>Fact_Defect_Split!B61</f>
        <v>20260701</v>
      </c>
      <c r="C357" s="4">
        <f>Fact_Defect_Split!C61</f>
        <v>8</v>
      </c>
      <c r="D357" s="4" t="str">
        <f>Fact_Defect_Split!D61</f>
        <v>M4</v>
      </c>
      <c r="E357" s="4" t="str">
        <f>Fact_Defect_Split!E61</f>
        <v>A-AM</v>
      </c>
      <c r="F357" s="4" t="str">
        <f>Fact_Defect_Split!F61</f>
        <v>A</v>
      </c>
      <c r="G357" s="4" t="s">
        <v>500</v>
      </c>
      <c r="H357" s="19">
        <f>Fact_Defect_Split!H61</f>
        <v>0</v>
      </c>
    </row>
    <row r="358" spans="1:8" x14ac:dyDescent="0.25">
      <c r="A358" s="18" t="s">
        <v>1339</v>
      </c>
      <c r="B358" s="4">
        <f>Fact_Defect_Split!B61</f>
        <v>20260701</v>
      </c>
      <c r="C358" s="4">
        <f>Fact_Defect_Split!C61</f>
        <v>8</v>
      </c>
      <c r="D358" s="4" t="str">
        <f>Fact_Defect_Split!D61</f>
        <v>M4</v>
      </c>
      <c r="E358" s="4" t="str">
        <f>Fact_Defect_Split!E61</f>
        <v>A-AM</v>
      </c>
      <c r="F358" s="4" t="str">
        <f>Fact_Defect_Split!F61</f>
        <v>A</v>
      </c>
      <c r="G358" s="4" t="s">
        <v>517</v>
      </c>
      <c r="H358" s="19">
        <f>Fact_Defect_Split!I61</f>
        <v>1</v>
      </c>
    </row>
    <row r="359" spans="1:8" x14ac:dyDescent="0.25">
      <c r="A359" s="18" t="s">
        <v>1340</v>
      </c>
      <c r="B359" s="4">
        <f>Fact_Defect_Split!B61</f>
        <v>20260701</v>
      </c>
      <c r="C359" s="4">
        <f>Fact_Defect_Split!C61</f>
        <v>8</v>
      </c>
      <c r="D359" s="4" t="str">
        <f>Fact_Defect_Split!D61</f>
        <v>M4</v>
      </c>
      <c r="E359" s="4" t="str">
        <f>Fact_Defect_Split!E61</f>
        <v>A-AM</v>
      </c>
      <c r="F359" s="4" t="str">
        <f>Fact_Defect_Split!F61</f>
        <v>A</v>
      </c>
      <c r="G359" s="4" t="s">
        <v>503</v>
      </c>
      <c r="H359" s="19">
        <f>Fact_Defect_Split!J61</f>
        <v>0</v>
      </c>
    </row>
    <row r="360" spans="1:8" x14ac:dyDescent="0.25">
      <c r="A360" s="18" t="s">
        <v>1341</v>
      </c>
      <c r="B360" s="4">
        <f>Fact_Defect_Split!B61</f>
        <v>20260701</v>
      </c>
      <c r="C360" s="4">
        <f>Fact_Defect_Split!C61</f>
        <v>8</v>
      </c>
      <c r="D360" s="4" t="str">
        <f>Fact_Defect_Split!D61</f>
        <v>M4</v>
      </c>
      <c r="E360" s="4" t="str">
        <f>Fact_Defect_Split!E61</f>
        <v>A-AM</v>
      </c>
      <c r="F360" s="4" t="str">
        <f>Fact_Defect_Split!F61</f>
        <v>A</v>
      </c>
      <c r="G360" s="4" t="s">
        <v>509</v>
      </c>
      <c r="H360" s="19">
        <f>Fact_Defect_Split!K61</f>
        <v>1</v>
      </c>
    </row>
    <row r="361" spans="1:8" x14ac:dyDescent="0.25">
      <c r="A361" s="18" t="s">
        <v>1342</v>
      </c>
      <c r="B361" s="4">
        <f>Fact_Defect_Split!B61</f>
        <v>20260701</v>
      </c>
      <c r="C361" s="4">
        <f>Fact_Defect_Split!C61</f>
        <v>8</v>
      </c>
      <c r="D361" s="4" t="str">
        <f>Fact_Defect_Split!D61</f>
        <v>M4</v>
      </c>
      <c r="E361" s="4" t="str">
        <f>Fact_Defect_Split!E61</f>
        <v>A-AM</v>
      </c>
      <c r="F361" s="4" t="str">
        <f>Fact_Defect_Split!F61</f>
        <v>A</v>
      </c>
      <c r="G361" s="4" t="s">
        <v>520</v>
      </c>
      <c r="H361" s="19">
        <f>Fact_Defect_Split!L61</f>
        <v>1</v>
      </c>
    </row>
    <row r="362" spans="1:8" x14ac:dyDescent="0.25">
      <c r="A362" s="18" t="s">
        <v>1343</v>
      </c>
      <c r="B362" s="4">
        <f>Fact_Defect_Split!B62</f>
        <v>20260701</v>
      </c>
      <c r="C362" s="4">
        <f>Fact_Defect_Split!C62</f>
        <v>8</v>
      </c>
      <c r="D362" s="4" t="str">
        <f>Fact_Defect_Split!D62</f>
        <v>M5</v>
      </c>
      <c r="E362" s="4" t="str">
        <f>Fact_Defect_Split!E62</f>
        <v>A-AM</v>
      </c>
      <c r="F362" s="4" t="str">
        <f>Fact_Defect_Split!F62</f>
        <v>C</v>
      </c>
      <c r="G362" s="4" t="s">
        <v>498</v>
      </c>
      <c r="H362" s="19">
        <f>Fact_Defect_Split!G62</f>
        <v>0</v>
      </c>
    </row>
    <row r="363" spans="1:8" x14ac:dyDescent="0.25">
      <c r="A363" s="18" t="s">
        <v>1344</v>
      </c>
      <c r="B363" s="4">
        <f>Fact_Defect_Split!B62</f>
        <v>20260701</v>
      </c>
      <c r="C363" s="4">
        <f>Fact_Defect_Split!C62</f>
        <v>8</v>
      </c>
      <c r="D363" s="4" t="str">
        <f>Fact_Defect_Split!D62</f>
        <v>M5</v>
      </c>
      <c r="E363" s="4" t="str">
        <f>Fact_Defect_Split!E62</f>
        <v>A-AM</v>
      </c>
      <c r="F363" s="4" t="str">
        <f>Fact_Defect_Split!F62</f>
        <v>C</v>
      </c>
      <c r="G363" s="4" t="s">
        <v>500</v>
      </c>
      <c r="H363" s="19">
        <f>Fact_Defect_Split!H62</f>
        <v>0</v>
      </c>
    </row>
    <row r="364" spans="1:8" x14ac:dyDescent="0.25">
      <c r="A364" s="18" t="s">
        <v>1345</v>
      </c>
      <c r="B364" s="4">
        <f>Fact_Defect_Split!B62</f>
        <v>20260701</v>
      </c>
      <c r="C364" s="4">
        <f>Fact_Defect_Split!C62</f>
        <v>8</v>
      </c>
      <c r="D364" s="4" t="str">
        <f>Fact_Defect_Split!D62</f>
        <v>M5</v>
      </c>
      <c r="E364" s="4" t="str">
        <f>Fact_Defect_Split!E62</f>
        <v>A-AM</v>
      </c>
      <c r="F364" s="4" t="str">
        <f>Fact_Defect_Split!F62</f>
        <v>C</v>
      </c>
      <c r="G364" s="4" t="s">
        <v>517</v>
      </c>
      <c r="H364" s="19">
        <f>Fact_Defect_Split!I62</f>
        <v>0</v>
      </c>
    </row>
    <row r="365" spans="1:8" x14ac:dyDescent="0.25">
      <c r="A365" s="18" t="s">
        <v>1346</v>
      </c>
      <c r="B365" s="4">
        <f>Fact_Defect_Split!B62</f>
        <v>20260701</v>
      </c>
      <c r="C365" s="4">
        <f>Fact_Defect_Split!C62</f>
        <v>8</v>
      </c>
      <c r="D365" s="4" t="str">
        <f>Fact_Defect_Split!D62</f>
        <v>M5</v>
      </c>
      <c r="E365" s="4" t="str">
        <f>Fact_Defect_Split!E62</f>
        <v>A-AM</v>
      </c>
      <c r="F365" s="4" t="str">
        <f>Fact_Defect_Split!F62</f>
        <v>C</v>
      </c>
      <c r="G365" s="4" t="s">
        <v>503</v>
      </c>
      <c r="H365" s="19">
        <f>Fact_Defect_Split!J62</f>
        <v>0</v>
      </c>
    </row>
    <row r="366" spans="1:8" x14ac:dyDescent="0.25">
      <c r="A366" s="18" t="s">
        <v>1347</v>
      </c>
      <c r="B366" s="4">
        <f>Fact_Defect_Split!B62</f>
        <v>20260701</v>
      </c>
      <c r="C366" s="4">
        <f>Fact_Defect_Split!C62</f>
        <v>8</v>
      </c>
      <c r="D366" s="4" t="str">
        <f>Fact_Defect_Split!D62</f>
        <v>M5</v>
      </c>
      <c r="E366" s="4" t="str">
        <f>Fact_Defect_Split!E62</f>
        <v>A-AM</v>
      </c>
      <c r="F366" s="4" t="str">
        <f>Fact_Defect_Split!F62</f>
        <v>C</v>
      </c>
      <c r="G366" s="4" t="s">
        <v>509</v>
      </c>
      <c r="H366" s="19">
        <f>Fact_Defect_Split!K62</f>
        <v>0</v>
      </c>
    </row>
    <row r="367" spans="1:8" x14ac:dyDescent="0.25">
      <c r="A367" s="18" t="s">
        <v>1348</v>
      </c>
      <c r="B367" s="4">
        <f>Fact_Defect_Split!B62</f>
        <v>20260701</v>
      </c>
      <c r="C367" s="4">
        <f>Fact_Defect_Split!C62</f>
        <v>8</v>
      </c>
      <c r="D367" s="4" t="str">
        <f>Fact_Defect_Split!D62</f>
        <v>M5</v>
      </c>
      <c r="E367" s="4" t="str">
        <f>Fact_Defect_Split!E62</f>
        <v>A-AM</v>
      </c>
      <c r="F367" s="4" t="str">
        <f>Fact_Defect_Split!F62</f>
        <v>C</v>
      </c>
      <c r="G367" s="4" t="s">
        <v>520</v>
      </c>
      <c r="H367" s="19">
        <f>Fact_Defect_Split!L62</f>
        <v>1</v>
      </c>
    </row>
    <row r="368" spans="1:8" x14ac:dyDescent="0.25">
      <c r="A368" s="18" t="s">
        <v>1349</v>
      </c>
      <c r="B368" s="4">
        <f>Fact_Defect_Split!B63</f>
        <v>20260701</v>
      </c>
      <c r="C368" s="4">
        <f>Fact_Defect_Split!C63</f>
        <v>8</v>
      </c>
      <c r="D368" s="4" t="str">
        <f>Fact_Defect_Split!D63</f>
        <v>M6</v>
      </c>
      <c r="E368" s="4" t="str">
        <f>Fact_Defect_Split!E63</f>
        <v>A-AM</v>
      </c>
      <c r="F368" s="4" t="str">
        <f>Fact_Defect_Split!F63</f>
        <v>C</v>
      </c>
      <c r="G368" s="4" t="s">
        <v>498</v>
      </c>
      <c r="H368" s="19">
        <f>Fact_Defect_Split!G63</f>
        <v>0</v>
      </c>
    </row>
    <row r="369" spans="1:8" x14ac:dyDescent="0.25">
      <c r="A369" s="18" t="s">
        <v>1350</v>
      </c>
      <c r="B369" s="4">
        <f>Fact_Defect_Split!B63</f>
        <v>20260701</v>
      </c>
      <c r="C369" s="4">
        <f>Fact_Defect_Split!C63</f>
        <v>8</v>
      </c>
      <c r="D369" s="4" t="str">
        <f>Fact_Defect_Split!D63</f>
        <v>M6</v>
      </c>
      <c r="E369" s="4" t="str">
        <f>Fact_Defect_Split!E63</f>
        <v>A-AM</v>
      </c>
      <c r="F369" s="4" t="str">
        <f>Fact_Defect_Split!F63</f>
        <v>C</v>
      </c>
      <c r="G369" s="4" t="s">
        <v>500</v>
      </c>
      <c r="H369" s="19">
        <f>Fact_Defect_Split!H63</f>
        <v>0</v>
      </c>
    </row>
    <row r="370" spans="1:8" x14ac:dyDescent="0.25">
      <c r="A370" s="18" t="s">
        <v>1351</v>
      </c>
      <c r="B370" s="4">
        <f>Fact_Defect_Split!B63</f>
        <v>20260701</v>
      </c>
      <c r="C370" s="4">
        <f>Fact_Defect_Split!C63</f>
        <v>8</v>
      </c>
      <c r="D370" s="4" t="str">
        <f>Fact_Defect_Split!D63</f>
        <v>M6</v>
      </c>
      <c r="E370" s="4" t="str">
        <f>Fact_Defect_Split!E63</f>
        <v>A-AM</v>
      </c>
      <c r="F370" s="4" t="str">
        <f>Fact_Defect_Split!F63</f>
        <v>C</v>
      </c>
      <c r="G370" s="4" t="s">
        <v>517</v>
      </c>
      <c r="H370" s="19">
        <f>Fact_Defect_Split!I63</f>
        <v>0</v>
      </c>
    </row>
    <row r="371" spans="1:8" x14ac:dyDescent="0.25">
      <c r="A371" s="18" t="s">
        <v>1352</v>
      </c>
      <c r="B371" s="4">
        <f>Fact_Defect_Split!B63</f>
        <v>20260701</v>
      </c>
      <c r="C371" s="4">
        <f>Fact_Defect_Split!C63</f>
        <v>8</v>
      </c>
      <c r="D371" s="4" t="str">
        <f>Fact_Defect_Split!D63</f>
        <v>M6</v>
      </c>
      <c r="E371" s="4" t="str">
        <f>Fact_Defect_Split!E63</f>
        <v>A-AM</v>
      </c>
      <c r="F371" s="4" t="str">
        <f>Fact_Defect_Split!F63</f>
        <v>C</v>
      </c>
      <c r="G371" s="4" t="s">
        <v>503</v>
      </c>
      <c r="H371" s="19">
        <f>Fact_Defect_Split!J63</f>
        <v>0</v>
      </c>
    </row>
    <row r="372" spans="1:8" x14ac:dyDescent="0.25">
      <c r="A372" s="18" t="s">
        <v>1353</v>
      </c>
      <c r="B372" s="4">
        <f>Fact_Defect_Split!B63</f>
        <v>20260701</v>
      </c>
      <c r="C372" s="4">
        <f>Fact_Defect_Split!C63</f>
        <v>8</v>
      </c>
      <c r="D372" s="4" t="str">
        <f>Fact_Defect_Split!D63</f>
        <v>M6</v>
      </c>
      <c r="E372" s="4" t="str">
        <f>Fact_Defect_Split!E63</f>
        <v>A-AM</v>
      </c>
      <c r="F372" s="4" t="str">
        <f>Fact_Defect_Split!F63</f>
        <v>C</v>
      </c>
      <c r="G372" s="4" t="s">
        <v>509</v>
      </c>
      <c r="H372" s="19">
        <f>Fact_Defect_Split!K63</f>
        <v>0</v>
      </c>
    </row>
    <row r="373" spans="1:8" x14ac:dyDescent="0.25">
      <c r="A373" s="18" t="s">
        <v>1354</v>
      </c>
      <c r="B373" s="4">
        <f>Fact_Defect_Split!B63</f>
        <v>20260701</v>
      </c>
      <c r="C373" s="4">
        <f>Fact_Defect_Split!C63</f>
        <v>8</v>
      </c>
      <c r="D373" s="4" t="str">
        <f>Fact_Defect_Split!D63</f>
        <v>M6</v>
      </c>
      <c r="E373" s="4" t="str">
        <f>Fact_Defect_Split!E63</f>
        <v>A-AM</v>
      </c>
      <c r="F373" s="4" t="str">
        <f>Fact_Defect_Split!F63</f>
        <v>C</v>
      </c>
      <c r="G373" s="4" t="s">
        <v>520</v>
      </c>
      <c r="H373" s="19">
        <f>Fact_Defect_Split!L63</f>
        <v>0</v>
      </c>
    </row>
    <row r="374" spans="1:8" x14ac:dyDescent="0.25">
      <c r="A374" s="18" t="s">
        <v>1355</v>
      </c>
      <c r="B374" s="4">
        <f>Fact_Defect_Split!B64</f>
        <v>20260701</v>
      </c>
      <c r="C374" s="4">
        <f>Fact_Defect_Split!C64</f>
        <v>8</v>
      </c>
      <c r="D374" s="4" t="str">
        <f>Fact_Defect_Split!D64</f>
        <v>M7</v>
      </c>
      <c r="E374" s="4" t="str">
        <f>Fact_Defect_Split!E64</f>
        <v>A-AM</v>
      </c>
      <c r="F374" s="4" t="str">
        <f>Fact_Defect_Split!F64</f>
        <v>C</v>
      </c>
      <c r="G374" s="4" t="s">
        <v>498</v>
      </c>
      <c r="H374" s="19">
        <f>Fact_Defect_Split!G64</f>
        <v>0</v>
      </c>
    </row>
    <row r="375" spans="1:8" x14ac:dyDescent="0.25">
      <c r="A375" s="18" t="s">
        <v>1356</v>
      </c>
      <c r="B375" s="4">
        <f>Fact_Defect_Split!B64</f>
        <v>20260701</v>
      </c>
      <c r="C375" s="4">
        <f>Fact_Defect_Split!C64</f>
        <v>8</v>
      </c>
      <c r="D375" s="4" t="str">
        <f>Fact_Defect_Split!D64</f>
        <v>M7</v>
      </c>
      <c r="E375" s="4" t="str">
        <f>Fact_Defect_Split!E64</f>
        <v>A-AM</v>
      </c>
      <c r="F375" s="4" t="str">
        <f>Fact_Defect_Split!F64</f>
        <v>C</v>
      </c>
      <c r="G375" s="4" t="s">
        <v>500</v>
      </c>
      <c r="H375" s="19">
        <f>Fact_Defect_Split!H64</f>
        <v>0</v>
      </c>
    </row>
    <row r="376" spans="1:8" x14ac:dyDescent="0.25">
      <c r="A376" s="18" t="s">
        <v>1357</v>
      </c>
      <c r="B376" s="4">
        <f>Fact_Defect_Split!B64</f>
        <v>20260701</v>
      </c>
      <c r="C376" s="4">
        <f>Fact_Defect_Split!C64</f>
        <v>8</v>
      </c>
      <c r="D376" s="4" t="str">
        <f>Fact_Defect_Split!D64</f>
        <v>M7</v>
      </c>
      <c r="E376" s="4" t="str">
        <f>Fact_Defect_Split!E64</f>
        <v>A-AM</v>
      </c>
      <c r="F376" s="4" t="str">
        <f>Fact_Defect_Split!F64</f>
        <v>C</v>
      </c>
      <c r="G376" s="4" t="s">
        <v>517</v>
      </c>
      <c r="H376" s="19">
        <f>Fact_Defect_Split!I64</f>
        <v>0</v>
      </c>
    </row>
    <row r="377" spans="1:8" x14ac:dyDescent="0.25">
      <c r="A377" s="18" t="s">
        <v>1358</v>
      </c>
      <c r="B377" s="4">
        <f>Fact_Defect_Split!B64</f>
        <v>20260701</v>
      </c>
      <c r="C377" s="4">
        <f>Fact_Defect_Split!C64</f>
        <v>8</v>
      </c>
      <c r="D377" s="4" t="str">
        <f>Fact_Defect_Split!D64</f>
        <v>M7</v>
      </c>
      <c r="E377" s="4" t="str">
        <f>Fact_Defect_Split!E64</f>
        <v>A-AM</v>
      </c>
      <c r="F377" s="4" t="str">
        <f>Fact_Defect_Split!F64</f>
        <v>C</v>
      </c>
      <c r="G377" s="4" t="s">
        <v>503</v>
      </c>
      <c r="H377" s="19">
        <f>Fact_Defect_Split!J64</f>
        <v>0</v>
      </c>
    </row>
    <row r="378" spans="1:8" x14ac:dyDescent="0.25">
      <c r="A378" s="18" t="s">
        <v>1359</v>
      </c>
      <c r="B378" s="4">
        <f>Fact_Defect_Split!B64</f>
        <v>20260701</v>
      </c>
      <c r="C378" s="4">
        <f>Fact_Defect_Split!C64</f>
        <v>8</v>
      </c>
      <c r="D378" s="4" t="str">
        <f>Fact_Defect_Split!D64</f>
        <v>M7</v>
      </c>
      <c r="E378" s="4" t="str">
        <f>Fact_Defect_Split!E64</f>
        <v>A-AM</v>
      </c>
      <c r="F378" s="4" t="str">
        <f>Fact_Defect_Split!F64</f>
        <v>C</v>
      </c>
      <c r="G378" s="4" t="s">
        <v>509</v>
      </c>
      <c r="H378" s="19">
        <f>Fact_Defect_Split!K64</f>
        <v>1</v>
      </c>
    </row>
    <row r="379" spans="1:8" x14ac:dyDescent="0.25">
      <c r="A379" s="18" t="s">
        <v>1360</v>
      </c>
      <c r="B379" s="4">
        <f>Fact_Defect_Split!B64</f>
        <v>20260701</v>
      </c>
      <c r="C379" s="4">
        <f>Fact_Defect_Split!C64</f>
        <v>8</v>
      </c>
      <c r="D379" s="4" t="str">
        <f>Fact_Defect_Split!D64</f>
        <v>M7</v>
      </c>
      <c r="E379" s="4" t="str">
        <f>Fact_Defect_Split!E64</f>
        <v>A-AM</v>
      </c>
      <c r="F379" s="4" t="str">
        <f>Fact_Defect_Split!F64</f>
        <v>C</v>
      </c>
      <c r="G379" s="4" t="s">
        <v>520</v>
      </c>
      <c r="H379" s="19">
        <f>Fact_Defect_Split!L64</f>
        <v>0</v>
      </c>
    </row>
    <row r="380" spans="1:8" x14ac:dyDescent="0.25">
      <c r="A380" s="18" t="s">
        <v>1361</v>
      </c>
      <c r="B380" s="4">
        <f>Fact_Defect_Split!B65</f>
        <v>20260701</v>
      </c>
      <c r="C380" s="4">
        <f>Fact_Defect_Split!C65</f>
        <v>9</v>
      </c>
      <c r="D380" s="4" t="str">
        <f>Fact_Defect_Split!D65</f>
        <v>M1</v>
      </c>
      <c r="E380" s="4" t="str">
        <f>Fact_Defect_Split!E65</f>
        <v>A-AM</v>
      </c>
      <c r="F380" s="4" t="str">
        <f>Fact_Defect_Split!F65</f>
        <v>C</v>
      </c>
      <c r="G380" s="4" t="s">
        <v>498</v>
      </c>
      <c r="H380" s="19">
        <f>Fact_Defect_Split!G65</f>
        <v>0</v>
      </c>
    </row>
    <row r="381" spans="1:8" x14ac:dyDescent="0.25">
      <c r="A381" s="18" t="s">
        <v>1362</v>
      </c>
      <c r="B381" s="4">
        <f>Fact_Defect_Split!B65</f>
        <v>20260701</v>
      </c>
      <c r="C381" s="4">
        <f>Fact_Defect_Split!C65</f>
        <v>9</v>
      </c>
      <c r="D381" s="4" t="str">
        <f>Fact_Defect_Split!D65</f>
        <v>M1</v>
      </c>
      <c r="E381" s="4" t="str">
        <f>Fact_Defect_Split!E65</f>
        <v>A-AM</v>
      </c>
      <c r="F381" s="4" t="str">
        <f>Fact_Defect_Split!F65</f>
        <v>C</v>
      </c>
      <c r="G381" s="4" t="s">
        <v>500</v>
      </c>
      <c r="H381" s="19">
        <f>Fact_Defect_Split!H65</f>
        <v>0</v>
      </c>
    </row>
    <row r="382" spans="1:8" x14ac:dyDescent="0.25">
      <c r="A382" s="18" t="s">
        <v>1363</v>
      </c>
      <c r="B382" s="4">
        <f>Fact_Defect_Split!B65</f>
        <v>20260701</v>
      </c>
      <c r="C382" s="4">
        <f>Fact_Defect_Split!C65</f>
        <v>9</v>
      </c>
      <c r="D382" s="4" t="str">
        <f>Fact_Defect_Split!D65</f>
        <v>M1</v>
      </c>
      <c r="E382" s="4" t="str">
        <f>Fact_Defect_Split!E65</f>
        <v>A-AM</v>
      </c>
      <c r="F382" s="4" t="str">
        <f>Fact_Defect_Split!F65</f>
        <v>C</v>
      </c>
      <c r="G382" s="4" t="s">
        <v>517</v>
      </c>
      <c r="H382" s="19">
        <f>Fact_Defect_Split!I65</f>
        <v>0</v>
      </c>
    </row>
    <row r="383" spans="1:8" x14ac:dyDescent="0.25">
      <c r="A383" s="18" t="s">
        <v>1364</v>
      </c>
      <c r="B383" s="4">
        <f>Fact_Defect_Split!B65</f>
        <v>20260701</v>
      </c>
      <c r="C383" s="4">
        <f>Fact_Defect_Split!C65</f>
        <v>9</v>
      </c>
      <c r="D383" s="4" t="str">
        <f>Fact_Defect_Split!D65</f>
        <v>M1</v>
      </c>
      <c r="E383" s="4" t="str">
        <f>Fact_Defect_Split!E65</f>
        <v>A-AM</v>
      </c>
      <c r="F383" s="4" t="str">
        <f>Fact_Defect_Split!F65</f>
        <v>C</v>
      </c>
      <c r="G383" s="4" t="s">
        <v>503</v>
      </c>
      <c r="H383" s="19">
        <f>Fact_Defect_Split!J65</f>
        <v>0</v>
      </c>
    </row>
    <row r="384" spans="1:8" x14ac:dyDescent="0.25">
      <c r="A384" s="18" t="s">
        <v>1365</v>
      </c>
      <c r="B384" s="4">
        <f>Fact_Defect_Split!B65</f>
        <v>20260701</v>
      </c>
      <c r="C384" s="4">
        <f>Fact_Defect_Split!C65</f>
        <v>9</v>
      </c>
      <c r="D384" s="4" t="str">
        <f>Fact_Defect_Split!D65</f>
        <v>M1</v>
      </c>
      <c r="E384" s="4" t="str">
        <f>Fact_Defect_Split!E65</f>
        <v>A-AM</v>
      </c>
      <c r="F384" s="4" t="str">
        <f>Fact_Defect_Split!F65</f>
        <v>C</v>
      </c>
      <c r="G384" s="4" t="s">
        <v>509</v>
      </c>
      <c r="H384" s="19">
        <f>Fact_Defect_Split!K65</f>
        <v>0</v>
      </c>
    </row>
    <row r="385" spans="1:8" x14ac:dyDescent="0.25">
      <c r="A385" s="18" t="s">
        <v>1366</v>
      </c>
      <c r="B385" s="4">
        <f>Fact_Defect_Split!B65</f>
        <v>20260701</v>
      </c>
      <c r="C385" s="4">
        <f>Fact_Defect_Split!C65</f>
        <v>9</v>
      </c>
      <c r="D385" s="4" t="str">
        <f>Fact_Defect_Split!D65</f>
        <v>M1</v>
      </c>
      <c r="E385" s="4" t="str">
        <f>Fact_Defect_Split!E65</f>
        <v>A-AM</v>
      </c>
      <c r="F385" s="4" t="str">
        <f>Fact_Defect_Split!F65</f>
        <v>C</v>
      </c>
      <c r="G385" s="4" t="s">
        <v>520</v>
      </c>
      <c r="H385" s="19">
        <f>Fact_Defect_Split!L65</f>
        <v>1</v>
      </c>
    </row>
    <row r="386" spans="1:8" x14ac:dyDescent="0.25">
      <c r="A386" s="18" t="s">
        <v>1367</v>
      </c>
      <c r="B386" s="4">
        <f>Fact_Defect_Split!B66</f>
        <v>20260701</v>
      </c>
      <c r="C386" s="4">
        <f>Fact_Defect_Split!C66</f>
        <v>9</v>
      </c>
      <c r="D386" s="4" t="str">
        <f>Fact_Defect_Split!D66</f>
        <v>M2</v>
      </c>
      <c r="E386" s="4" t="str">
        <f>Fact_Defect_Split!E66</f>
        <v>A-AM</v>
      </c>
      <c r="F386" s="4" t="str">
        <f>Fact_Defect_Split!F66</f>
        <v>A</v>
      </c>
      <c r="G386" s="4" t="s">
        <v>498</v>
      </c>
      <c r="H386" s="19">
        <f>Fact_Defect_Split!G66</f>
        <v>0</v>
      </c>
    </row>
    <row r="387" spans="1:8" x14ac:dyDescent="0.25">
      <c r="A387" s="18" t="s">
        <v>1368</v>
      </c>
      <c r="B387" s="4">
        <f>Fact_Defect_Split!B66</f>
        <v>20260701</v>
      </c>
      <c r="C387" s="4">
        <f>Fact_Defect_Split!C66</f>
        <v>9</v>
      </c>
      <c r="D387" s="4" t="str">
        <f>Fact_Defect_Split!D66</f>
        <v>M2</v>
      </c>
      <c r="E387" s="4" t="str">
        <f>Fact_Defect_Split!E66</f>
        <v>A-AM</v>
      </c>
      <c r="F387" s="4" t="str">
        <f>Fact_Defect_Split!F66</f>
        <v>A</v>
      </c>
      <c r="G387" s="4" t="s">
        <v>500</v>
      </c>
      <c r="H387" s="19">
        <f>Fact_Defect_Split!H66</f>
        <v>0</v>
      </c>
    </row>
    <row r="388" spans="1:8" x14ac:dyDescent="0.25">
      <c r="A388" s="18" t="s">
        <v>1369</v>
      </c>
      <c r="B388" s="4">
        <f>Fact_Defect_Split!B66</f>
        <v>20260701</v>
      </c>
      <c r="C388" s="4">
        <f>Fact_Defect_Split!C66</f>
        <v>9</v>
      </c>
      <c r="D388" s="4" t="str">
        <f>Fact_Defect_Split!D66</f>
        <v>M2</v>
      </c>
      <c r="E388" s="4" t="str">
        <f>Fact_Defect_Split!E66</f>
        <v>A-AM</v>
      </c>
      <c r="F388" s="4" t="str">
        <f>Fact_Defect_Split!F66</f>
        <v>A</v>
      </c>
      <c r="G388" s="4" t="s">
        <v>517</v>
      </c>
      <c r="H388" s="19">
        <f>Fact_Defect_Split!I66</f>
        <v>0</v>
      </c>
    </row>
    <row r="389" spans="1:8" x14ac:dyDescent="0.25">
      <c r="A389" s="18" t="s">
        <v>1370</v>
      </c>
      <c r="B389" s="4">
        <f>Fact_Defect_Split!B66</f>
        <v>20260701</v>
      </c>
      <c r="C389" s="4">
        <f>Fact_Defect_Split!C66</f>
        <v>9</v>
      </c>
      <c r="D389" s="4" t="str">
        <f>Fact_Defect_Split!D66</f>
        <v>M2</v>
      </c>
      <c r="E389" s="4" t="str">
        <f>Fact_Defect_Split!E66</f>
        <v>A-AM</v>
      </c>
      <c r="F389" s="4" t="str">
        <f>Fact_Defect_Split!F66</f>
        <v>A</v>
      </c>
      <c r="G389" s="4" t="s">
        <v>503</v>
      </c>
      <c r="H389" s="19">
        <f>Fact_Defect_Split!J66</f>
        <v>0</v>
      </c>
    </row>
    <row r="390" spans="1:8" x14ac:dyDescent="0.25">
      <c r="A390" s="18" t="s">
        <v>1371</v>
      </c>
      <c r="B390" s="4">
        <f>Fact_Defect_Split!B66</f>
        <v>20260701</v>
      </c>
      <c r="C390" s="4">
        <f>Fact_Defect_Split!C66</f>
        <v>9</v>
      </c>
      <c r="D390" s="4" t="str">
        <f>Fact_Defect_Split!D66</f>
        <v>M2</v>
      </c>
      <c r="E390" s="4" t="str">
        <f>Fact_Defect_Split!E66</f>
        <v>A-AM</v>
      </c>
      <c r="F390" s="4" t="str">
        <f>Fact_Defect_Split!F66</f>
        <v>A</v>
      </c>
      <c r="G390" s="4" t="s">
        <v>509</v>
      </c>
      <c r="H390" s="19">
        <f>Fact_Defect_Split!K66</f>
        <v>1</v>
      </c>
    </row>
    <row r="391" spans="1:8" x14ac:dyDescent="0.25">
      <c r="A391" s="18" t="s">
        <v>1372</v>
      </c>
      <c r="B391" s="4">
        <f>Fact_Defect_Split!B66</f>
        <v>20260701</v>
      </c>
      <c r="C391" s="4">
        <f>Fact_Defect_Split!C66</f>
        <v>9</v>
      </c>
      <c r="D391" s="4" t="str">
        <f>Fact_Defect_Split!D66</f>
        <v>M2</v>
      </c>
      <c r="E391" s="4" t="str">
        <f>Fact_Defect_Split!E66</f>
        <v>A-AM</v>
      </c>
      <c r="F391" s="4" t="str">
        <f>Fact_Defect_Split!F66</f>
        <v>A</v>
      </c>
      <c r="G391" s="4" t="s">
        <v>520</v>
      </c>
      <c r="H391" s="19">
        <f>Fact_Defect_Split!L66</f>
        <v>0</v>
      </c>
    </row>
    <row r="392" spans="1:8" x14ac:dyDescent="0.25">
      <c r="A392" s="18" t="s">
        <v>1373</v>
      </c>
      <c r="B392" s="4">
        <f>Fact_Defect_Split!B67</f>
        <v>20260701</v>
      </c>
      <c r="C392" s="4">
        <f>Fact_Defect_Split!C67</f>
        <v>9</v>
      </c>
      <c r="D392" s="4" t="str">
        <f>Fact_Defect_Split!D67</f>
        <v>M3</v>
      </c>
      <c r="E392" s="4" t="str">
        <f>Fact_Defect_Split!E67</f>
        <v>A-AM</v>
      </c>
      <c r="F392" s="4" t="str">
        <f>Fact_Defect_Split!F67</f>
        <v>B</v>
      </c>
      <c r="G392" s="4" t="s">
        <v>498</v>
      </c>
      <c r="H392" s="19">
        <f>Fact_Defect_Split!G67</f>
        <v>0</v>
      </c>
    </row>
    <row r="393" spans="1:8" x14ac:dyDescent="0.25">
      <c r="A393" s="18" t="s">
        <v>1374</v>
      </c>
      <c r="B393" s="4">
        <f>Fact_Defect_Split!B67</f>
        <v>20260701</v>
      </c>
      <c r="C393" s="4">
        <f>Fact_Defect_Split!C67</f>
        <v>9</v>
      </c>
      <c r="D393" s="4" t="str">
        <f>Fact_Defect_Split!D67</f>
        <v>M3</v>
      </c>
      <c r="E393" s="4" t="str">
        <f>Fact_Defect_Split!E67</f>
        <v>A-AM</v>
      </c>
      <c r="F393" s="4" t="str">
        <f>Fact_Defect_Split!F67</f>
        <v>B</v>
      </c>
      <c r="G393" s="4" t="s">
        <v>500</v>
      </c>
      <c r="H393" s="19">
        <f>Fact_Defect_Split!H67</f>
        <v>0</v>
      </c>
    </row>
    <row r="394" spans="1:8" x14ac:dyDescent="0.25">
      <c r="A394" s="18" t="s">
        <v>1375</v>
      </c>
      <c r="B394" s="4">
        <f>Fact_Defect_Split!B67</f>
        <v>20260701</v>
      </c>
      <c r="C394" s="4">
        <f>Fact_Defect_Split!C67</f>
        <v>9</v>
      </c>
      <c r="D394" s="4" t="str">
        <f>Fact_Defect_Split!D67</f>
        <v>M3</v>
      </c>
      <c r="E394" s="4" t="str">
        <f>Fact_Defect_Split!E67</f>
        <v>A-AM</v>
      </c>
      <c r="F394" s="4" t="str">
        <f>Fact_Defect_Split!F67</f>
        <v>B</v>
      </c>
      <c r="G394" s="4" t="s">
        <v>517</v>
      </c>
      <c r="H394" s="19">
        <f>Fact_Defect_Split!I67</f>
        <v>0</v>
      </c>
    </row>
    <row r="395" spans="1:8" x14ac:dyDescent="0.25">
      <c r="A395" s="18" t="s">
        <v>1376</v>
      </c>
      <c r="B395" s="4">
        <f>Fact_Defect_Split!B67</f>
        <v>20260701</v>
      </c>
      <c r="C395" s="4">
        <f>Fact_Defect_Split!C67</f>
        <v>9</v>
      </c>
      <c r="D395" s="4" t="str">
        <f>Fact_Defect_Split!D67</f>
        <v>M3</v>
      </c>
      <c r="E395" s="4" t="str">
        <f>Fact_Defect_Split!E67</f>
        <v>A-AM</v>
      </c>
      <c r="F395" s="4" t="str">
        <f>Fact_Defect_Split!F67</f>
        <v>B</v>
      </c>
      <c r="G395" s="4" t="s">
        <v>503</v>
      </c>
      <c r="H395" s="19">
        <f>Fact_Defect_Split!J67</f>
        <v>0</v>
      </c>
    </row>
    <row r="396" spans="1:8" x14ac:dyDescent="0.25">
      <c r="A396" s="18" t="s">
        <v>1377</v>
      </c>
      <c r="B396" s="4">
        <f>Fact_Defect_Split!B67</f>
        <v>20260701</v>
      </c>
      <c r="C396" s="4">
        <f>Fact_Defect_Split!C67</f>
        <v>9</v>
      </c>
      <c r="D396" s="4" t="str">
        <f>Fact_Defect_Split!D67</f>
        <v>M3</v>
      </c>
      <c r="E396" s="4" t="str">
        <f>Fact_Defect_Split!E67</f>
        <v>A-AM</v>
      </c>
      <c r="F396" s="4" t="str">
        <f>Fact_Defect_Split!F67</f>
        <v>B</v>
      </c>
      <c r="G396" s="4" t="s">
        <v>509</v>
      </c>
      <c r="H396" s="19">
        <f>Fact_Defect_Split!K67</f>
        <v>1</v>
      </c>
    </row>
    <row r="397" spans="1:8" x14ac:dyDescent="0.25">
      <c r="A397" s="18" t="s">
        <v>1378</v>
      </c>
      <c r="B397" s="4">
        <f>Fact_Defect_Split!B67</f>
        <v>20260701</v>
      </c>
      <c r="C397" s="4">
        <f>Fact_Defect_Split!C67</f>
        <v>9</v>
      </c>
      <c r="D397" s="4" t="str">
        <f>Fact_Defect_Split!D67</f>
        <v>M3</v>
      </c>
      <c r="E397" s="4" t="str">
        <f>Fact_Defect_Split!E67</f>
        <v>A-AM</v>
      </c>
      <c r="F397" s="4" t="str">
        <f>Fact_Defect_Split!F67</f>
        <v>B</v>
      </c>
      <c r="G397" s="4" t="s">
        <v>520</v>
      </c>
      <c r="H397" s="19">
        <f>Fact_Defect_Split!L67</f>
        <v>0</v>
      </c>
    </row>
    <row r="398" spans="1:8" x14ac:dyDescent="0.25">
      <c r="A398" s="18" t="s">
        <v>1379</v>
      </c>
      <c r="B398" s="4">
        <f>Fact_Defect_Split!B68</f>
        <v>20260701</v>
      </c>
      <c r="C398" s="4">
        <f>Fact_Defect_Split!C68</f>
        <v>9</v>
      </c>
      <c r="D398" s="4" t="str">
        <f>Fact_Defect_Split!D68</f>
        <v>M4</v>
      </c>
      <c r="E398" s="4" t="str">
        <f>Fact_Defect_Split!E68</f>
        <v>A-AM</v>
      </c>
      <c r="F398" s="4" t="str">
        <f>Fact_Defect_Split!F68</f>
        <v>A</v>
      </c>
      <c r="G398" s="4" t="s">
        <v>498</v>
      </c>
      <c r="H398" s="19">
        <f>Fact_Defect_Split!G68</f>
        <v>0</v>
      </c>
    </row>
    <row r="399" spans="1:8" x14ac:dyDescent="0.25">
      <c r="A399" s="18" t="s">
        <v>1380</v>
      </c>
      <c r="B399" s="4">
        <f>Fact_Defect_Split!B68</f>
        <v>20260701</v>
      </c>
      <c r="C399" s="4">
        <f>Fact_Defect_Split!C68</f>
        <v>9</v>
      </c>
      <c r="D399" s="4" t="str">
        <f>Fact_Defect_Split!D68</f>
        <v>M4</v>
      </c>
      <c r="E399" s="4" t="str">
        <f>Fact_Defect_Split!E68</f>
        <v>A-AM</v>
      </c>
      <c r="F399" s="4" t="str">
        <f>Fact_Defect_Split!F68</f>
        <v>A</v>
      </c>
      <c r="G399" s="4" t="s">
        <v>500</v>
      </c>
      <c r="H399" s="19">
        <f>Fact_Defect_Split!H68</f>
        <v>0</v>
      </c>
    </row>
    <row r="400" spans="1:8" x14ac:dyDescent="0.25">
      <c r="A400" s="18" t="s">
        <v>1381</v>
      </c>
      <c r="B400" s="4">
        <f>Fact_Defect_Split!B68</f>
        <v>20260701</v>
      </c>
      <c r="C400" s="4">
        <f>Fact_Defect_Split!C68</f>
        <v>9</v>
      </c>
      <c r="D400" s="4" t="str">
        <f>Fact_Defect_Split!D68</f>
        <v>M4</v>
      </c>
      <c r="E400" s="4" t="str">
        <f>Fact_Defect_Split!E68</f>
        <v>A-AM</v>
      </c>
      <c r="F400" s="4" t="str">
        <f>Fact_Defect_Split!F68</f>
        <v>A</v>
      </c>
      <c r="G400" s="4" t="s">
        <v>517</v>
      </c>
      <c r="H400" s="19">
        <f>Fact_Defect_Split!I68</f>
        <v>1</v>
      </c>
    </row>
    <row r="401" spans="1:8" x14ac:dyDescent="0.25">
      <c r="A401" s="18" t="s">
        <v>1382</v>
      </c>
      <c r="B401" s="4">
        <f>Fact_Defect_Split!B68</f>
        <v>20260701</v>
      </c>
      <c r="C401" s="4">
        <f>Fact_Defect_Split!C68</f>
        <v>9</v>
      </c>
      <c r="D401" s="4" t="str">
        <f>Fact_Defect_Split!D68</f>
        <v>M4</v>
      </c>
      <c r="E401" s="4" t="str">
        <f>Fact_Defect_Split!E68</f>
        <v>A-AM</v>
      </c>
      <c r="F401" s="4" t="str">
        <f>Fact_Defect_Split!F68</f>
        <v>A</v>
      </c>
      <c r="G401" s="4" t="s">
        <v>503</v>
      </c>
      <c r="H401" s="19">
        <f>Fact_Defect_Split!J68</f>
        <v>0</v>
      </c>
    </row>
    <row r="402" spans="1:8" x14ac:dyDescent="0.25">
      <c r="A402" s="18" t="s">
        <v>1383</v>
      </c>
      <c r="B402" s="4">
        <f>Fact_Defect_Split!B68</f>
        <v>20260701</v>
      </c>
      <c r="C402" s="4">
        <f>Fact_Defect_Split!C68</f>
        <v>9</v>
      </c>
      <c r="D402" s="4" t="str">
        <f>Fact_Defect_Split!D68</f>
        <v>M4</v>
      </c>
      <c r="E402" s="4" t="str">
        <f>Fact_Defect_Split!E68</f>
        <v>A-AM</v>
      </c>
      <c r="F402" s="4" t="str">
        <f>Fact_Defect_Split!F68</f>
        <v>A</v>
      </c>
      <c r="G402" s="4" t="s">
        <v>509</v>
      </c>
      <c r="H402" s="19">
        <f>Fact_Defect_Split!K68</f>
        <v>1</v>
      </c>
    </row>
    <row r="403" spans="1:8" x14ac:dyDescent="0.25">
      <c r="A403" s="18" t="s">
        <v>1384</v>
      </c>
      <c r="B403" s="4">
        <f>Fact_Defect_Split!B68</f>
        <v>20260701</v>
      </c>
      <c r="C403" s="4">
        <f>Fact_Defect_Split!C68</f>
        <v>9</v>
      </c>
      <c r="D403" s="4" t="str">
        <f>Fact_Defect_Split!D68</f>
        <v>M4</v>
      </c>
      <c r="E403" s="4" t="str">
        <f>Fact_Defect_Split!E68</f>
        <v>A-AM</v>
      </c>
      <c r="F403" s="4" t="str">
        <f>Fact_Defect_Split!F68</f>
        <v>A</v>
      </c>
      <c r="G403" s="4" t="s">
        <v>520</v>
      </c>
      <c r="H403" s="19">
        <f>Fact_Defect_Split!L68</f>
        <v>1</v>
      </c>
    </row>
    <row r="404" spans="1:8" x14ac:dyDescent="0.25">
      <c r="A404" s="18" t="s">
        <v>1385</v>
      </c>
      <c r="B404" s="4">
        <f>Fact_Defect_Split!B69</f>
        <v>20260701</v>
      </c>
      <c r="C404" s="4">
        <f>Fact_Defect_Split!C69</f>
        <v>9</v>
      </c>
      <c r="D404" s="4" t="str">
        <f>Fact_Defect_Split!D69</f>
        <v>M5</v>
      </c>
      <c r="E404" s="4" t="str">
        <f>Fact_Defect_Split!E69</f>
        <v>A-AM</v>
      </c>
      <c r="F404" s="4" t="str">
        <f>Fact_Defect_Split!F69</f>
        <v>C</v>
      </c>
      <c r="G404" s="4" t="s">
        <v>498</v>
      </c>
      <c r="H404" s="19">
        <f>Fact_Defect_Split!G69</f>
        <v>0</v>
      </c>
    </row>
    <row r="405" spans="1:8" x14ac:dyDescent="0.25">
      <c r="A405" s="18" t="s">
        <v>1386</v>
      </c>
      <c r="B405" s="4">
        <f>Fact_Defect_Split!B69</f>
        <v>20260701</v>
      </c>
      <c r="C405" s="4">
        <f>Fact_Defect_Split!C69</f>
        <v>9</v>
      </c>
      <c r="D405" s="4" t="str">
        <f>Fact_Defect_Split!D69</f>
        <v>M5</v>
      </c>
      <c r="E405" s="4" t="str">
        <f>Fact_Defect_Split!E69</f>
        <v>A-AM</v>
      </c>
      <c r="F405" s="4" t="str">
        <f>Fact_Defect_Split!F69</f>
        <v>C</v>
      </c>
      <c r="G405" s="4" t="s">
        <v>500</v>
      </c>
      <c r="H405" s="19">
        <f>Fact_Defect_Split!H69</f>
        <v>0</v>
      </c>
    </row>
    <row r="406" spans="1:8" x14ac:dyDescent="0.25">
      <c r="A406" s="18" t="s">
        <v>1387</v>
      </c>
      <c r="B406" s="4">
        <f>Fact_Defect_Split!B69</f>
        <v>20260701</v>
      </c>
      <c r="C406" s="4">
        <f>Fact_Defect_Split!C69</f>
        <v>9</v>
      </c>
      <c r="D406" s="4" t="str">
        <f>Fact_Defect_Split!D69</f>
        <v>M5</v>
      </c>
      <c r="E406" s="4" t="str">
        <f>Fact_Defect_Split!E69</f>
        <v>A-AM</v>
      </c>
      <c r="F406" s="4" t="str">
        <f>Fact_Defect_Split!F69</f>
        <v>C</v>
      </c>
      <c r="G406" s="4" t="s">
        <v>517</v>
      </c>
      <c r="H406" s="19">
        <f>Fact_Defect_Split!I69</f>
        <v>0</v>
      </c>
    </row>
    <row r="407" spans="1:8" x14ac:dyDescent="0.25">
      <c r="A407" s="18" t="s">
        <v>1388</v>
      </c>
      <c r="B407" s="4">
        <f>Fact_Defect_Split!B69</f>
        <v>20260701</v>
      </c>
      <c r="C407" s="4">
        <f>Fact_Defect_Split!C69</f>
        <v>9</v>
      </c>
      <c r="D407" s="4" t="str">
        <f>Fact_Defect_Split!D69</f>
        <v>M5</v>
      </c>
      <c r="E407" s="4" t="str">
        <f>Fact_Defect_Split!E69</f>
        <v>A-AM</v>
      </c>
      <c r="F407" s="4" t="str">
        <f>Fact_Defect_Split!F69</f>
        <v>C</v>
      </c>
      <c r="G407" s="4" t="s">
        <v>503</v>
      </c>
      <c r="H407" s="19">
        <f>Fact_Defect_Split!J69</f>
        <v>0</v>
      </c>
    </row>
    <row r="408" spans="1:8" x14ac:dyDescent="0.25">
      <c r="A408" s="18" t="s">
        <v>1389</v>
      </c>
      <c r="B408" s="4">
        <f>Fact_Defect_Split!B69</f>
        <v>20260701</v>
      </c>
      <c r="C408" s="4">
        <f>Fact_Defect_Split!C69</f>
        <v>9</v>
      </c>
      <c r="D408" s="4" t="str">
        <f>Fact_Defect_Split!D69</f>
        <v>M5</v>
      </c>
      <c r="E408" s="4" t="str">
        <f>Fact_Defect_Split!E69</f>
        <v>A-AM</v>
      </c>
      <c r="F408" s="4" t="str">
        <f>Fact_Defect_Split!F69</f>
        <v>C</v>
      </c>
      <c r="G408" s="4" t="s">
        <v>509</v>
      </c>
      <c r="H408" s="19">
        <f>Fact_Defect_Split!K69</f>
        <v>1</v>
      </c>
    </row>
    <row r="409" spans="1:8" x14ac:dyDescent="0.25">
      <c r="A409" s="18" t="s">
        <v>1390</v>
      </c>
      <c r="B409" s="4">
        <f>Fact_Defect_Split!B69</f>
        <v>20260701</v>
      </c>
      <c r="C409" s="4">
        <f>Fact_Defect_Split!C69</f>
        <v>9</v>
      </c>
      <c r="D409" s="4" t="str">
        <f>Fact_Defect_Split!D69</f>
        <v>M5</v>
      </c>
      <c r="E409" s="4" t="str">
        <f>Fact_Defect_Split!E69</f>
        <v>A-AM</v>
      </c>
      <c r="F409" s="4" t="str">
        <f>Fact_Defect_Split!F69</f>
        <v>C</v>
      </c>
      <c r="G409" s="4" t="s">
        <v>520</v>
      </c>
      <c r="H409" s="19">
        <f>Fact_Defect_Split!L69</f>
        <v>0</v>
      </c>
    </row>
    <row r="410" spans="1:8" x14ac:dyDescent="0.25">
      <c r="A410" s="18" t="s">
        <v>1391</v>
      </c>
      <c r="B410" s="4">
        <f>Fact_Defect_Split!B70</f>
        <v>20260701</v>
      </c>
      <c r="C410" s="4">
        <f>Fact_Defect_Split!C70</f>
        <v>9</v>
      </c>
      <c r="D410" s="4" t="str">
        <f>Fact_Defect_Split!D70</f>
        <v>M6</v>
      </c>
      <c r="E410" s="4" t="str">
        <f>Fact_Defect_Split!E70</f>
        <v>A-AM</v>
      </c>
      <c r="F410" s="4" t="str">
        <f>Fact_Defect_Split!F70</f>
        <v>C</v>
      </c>
      <c r="G410" s="4" t="s">
        <v>498</v>
      </c>
      <c r="H410" s="19">
        <f>Fact_Defect_Split!G70</f>
        <v>0</v>
      </c>
    </row>
    <row r="411" spans="1:8" x14ac:dyDescent="0.25">
      <c r="A411" s="18" t="s">
        <v>1392</v>
      </c>
      <c r="B411" s="4">
        <f>Fact_Defect_Split!B70</f>
        <v>20260701</v>
      </c>
      <c r="C411" s="4">
        <f>Fact_Defect_Split!C70</f>
        <v>9</v>
      </c>
      <c r="D411" s="4" t="str">
        <f>Fact_Defect_Split!D70</f>
        <v>M6</v>
      </c>
      <c r="E411" s="4" t="str">
        <f>Fact_Defect_Split!E70</f>
        <v>A-AM</v>
      </c>
      <c r="F411" s="4" t="str">
        <f>Fact_Defect_Split!F70</f>
        <v>C</v>
      </c>
      <c r="G411" s="4" t="s">
        <v>500</v>
      </c>
      <c r="H411" s="19">
        <f>Fact_Defect_Split!H70</f>
        <v>0</v>
      </c>
    </row>
    <row r="412" spans="1:8" x14ac:dyDescent="0.25">
      <c r="A412" s="18" t="s">
        <v>1393</v>
      </c>
      <c r="B412" s="4">
        <f>Fact_Defect_Split!B70</f>
        <v>20260701</v>
      </c>
      <c r="C412" s="4">
        <f>Fact_Defect_Split!C70</f>
        <v>9</v>
      </c>
      <c r="D412" s="4" t="str">
        <f>Fact_Defect_Split!D70</f>
        <v>M6</v>
      </c>
      <c r="E412" s="4" t="str">
        <f>Fact_Defect_Split!E70</f>
        <v>A-AM</v>
      </c>
      <c r="F412" s="4" t="str">
        <f>Fact_Defect_Split!F70</f>
        <v>C</v>
      </c>
      <c r="G412" s="4" t="s">
        <v>517</v>
      </c>
      <c r="H412" s="19">
        <f>Fact_Defect_Split!I70</f>
        <v>0</v>
      </c>
    </row>
    <row r="413" spans="1:8" x14ac:dyDescent="0.25">
      <c r="A413" s="18" t="s">
        <v>1394</v>
      </c>
      <c r="B413" s="4">
        <f>Fact_Defect_Split!B70</f>
        <v>20260701</v>
      </c>
      <c r="C413" s="4">
        <f>Fact_Defect_Split!C70</f>
        <v>9</v>
      </c>
      <c r="D413" s="4" t="str">
        <f>Fact_Defect_Split!D70</f>
        <v>M6</v>
      </c>
      <c r="E413" s="4" t="str">
        <f>Fact_Defect_Split!E70</f>
        <v>A-AM</v>
      </c>
      <c r="F413" s="4" t="str">
        <f>Fact_Defect_Split!F70</f>
        <v>C</v>
      </c>
      <c r="G413" s="4" t="s">
        <v>503</v>
      </c>
      <c r="H413" s="19">
        <f>Fact_Defect_Split!J70</f>
        <v>0</v>
      </c>
    </row>
    <row r="414" spans="1:8" x14ac:dyDescent="0.25">
      <c r="A414" s="18" t="s">
        <v>1395</v>
      </c>
      <c r="B414" s="4">
        <f>Fact_Defect_Split!B70</f>
        <v>20260701</v>
      </c>
      <c r="C414" s="4">
        <f>Fact_Defect_Split!C70</f>
        <v>9</v>
      </c>
      <c r="D414" s="4" t="str">
        <f>Fact_Defect_Split!D70</f>
        <v>M6</v>
      </c>
      <c r="E414" s="4" t="str">
        <f>Fact_Defect_Split!E70</f>
        <v>A-AM</v>
      </c>
      <c r="F414" s="4" t="str">
        <f>Fact_Defect_Split!F70</f>
        <v>C</v>
      </c>
      <c r="G414" s="4" t="s">
        <v>509</v>
      </c>
      <c r="H414" s="19">
        <f>Fact_Defect_Split!K70</f>
        <v>0</v>
      </c>
    </row>
    <row r="415" spans="1:8" x14ac:dyDescent="0.25">
      <c r="A415" s="18" t="s">
        <v>1396</v>
      </c>
      <c r="B415" s="4">
        <f>Fact_Defect_Split!B70</f>
        <v>20260701</v>
      </c>
      <c r="C415" s="4">
        <f>Fact_Defect_Split!C70</f>
        <v>9</v>
      </c>
      <c r="D415" s="4" t="str">
        <f>Fact_Defect_Split!D70</f>
        <v>M6</v>
      </c>
      <c r="E415" s="4" t="str">
        <f>Fact_Defect_Split!E70</f>
        <v>A-AM</v>
      </c>
      <c r="F415" s="4" t="str">
        <f>Fact_Defect_Split!F70</f>
        <v>C</v>
      </c>
      <c r="G415" s="4" t="s">
        <v>520</v>
      </c>
      <c r="H415" s="19">
        <f>Fact_Defect_Split!L70</f>
        <v>1</v>
      </c>
    </row>
    <row r="416" spans="1:8" x14ac:dyDescent="0.25">
      <c r="A416" s="18" t="s">
        <v>1397</v>
      </c>
      <c r="B416" s="4">
        <f>Fact_Defect_Split!B71</f>
        <v>20260701</v>
      </c>
      <c r="C416" s="4">
        <f>Fact_Defect_Split!C71</f>
        <v>9</v>
      </c>
      <c r="D416" s="4" t="str">
        <f>Fact_Defect_Split!D71</f>
        <v>M7</v>
      </c>
      <c r="E416" s="4" t="str">
        <f>Fact_Defect_Split!E71</f>
        <v>A-AM</v>
      </c>
      <c r="F416" s="4" t="str">
        <f>Fact_Defect_Split!F71</f>
        <v>C</v>
      </c>
      <c r="G416" s="4" t="s">
        <v>498</v>
      </c>
      <c r="H416" s="19">
        <f>Fact_Defect_Split!G71</f>
        <v>0</v>
      </c>
    </row>
    <row r="417" spans="1:8" x14ac:dyDescent="0.25">
      <c r="A417" s="18" t="s">
        <v>1398</v>
      </c>
      <c r="B417" s="4">
        <f>Fact_Defect_Split!B71</f>
        <v>20260701</v>
      </c>
      <c r="C417" s="4">
        <f>Fact_Defect_Split!C71</f>
        <v>9</v>
      </c>
      <c r="D417" s="4" t="str">
        <f>Fact_Defect_Split!D71</f>
        <v>M7</v>
      </c>
      <c r="E417" s="4" t="str">
        <f>Fact_Defect_Split!E71</f>
        <v>A-AM</v>
      </c>
      <c r="F417" s="4" t="str">
        <f>Fact_Defect_Split!F71</f>
        <v>C</v>
      </c>
      <c r="G417" s="4" t="s">
        <v>500</v>
      </c>
      <c r="H417" s="19">
        <f>Fact_Defect_Split!H71</f>
        <v>0</v>
      </c>
    </row>
    <row r="418" spans="1:8" x14ac:dyDescent="0.25">
      <c r="A418" s="18" t="s">
        <v>1399</v>
      </c>
      <c r="B418" s="4">
        <f>Fact_Defect_Split!B71</f>
        <v>20260701</v>
      </c>
      <c r="C418" s="4">
        <f>Fact_Defect_Split!C71</f>
        <v>9</v>
      </c>
      <c r="D418" s="4" t="str">
        <f>Fact_Defect_Split!D71</f>
        <v>M7</v>
      </c>
      <c r="E418" s="4" t="str">
        <f>Fact_Defect_Split!E71</f>
        <v>A-AM</v>
      </c>
      <c r="F418" s="4" t="str">
        <f>Fact_Defect_Split!F71</f>
        <v>C</v>
      </c>
      <c r="G418" s="4" t="s">
        <v>517</v>
      </c>
      <c r="H418" s="19">
        <f>Fact_Defect_Split!I71</f>
        <v>0</v>
      </c>
    </row>
    <row r="419" spans="1:8" x14ac:dyDescent="0.25">
      <c r="A419" s="18" t="s">
        <v>1400</v>
      </c>
      <c r="B419" s="4">
        <f>Fact_Defect_Split!B71</f>
        <v>20260701</v>
      </c>
      <c r="C419" s="4">
        <f>Fact_Defect_Split!C71</f>
        <v>9</v>
      </c>
      <c r="D419" s="4" t="str">
        <f>Fact_Defect_Split!D71</f>
        <v>M7</v>
      </c>
      <c r="E419" s="4" t="str">
        <f>Fact_Defect_Split!E71</f>
        <v>A-AM</v>
      </c>
      <c r="F419" s="4" t="str">
        <f>Fact_Defect_Split!F71</f>
        <v>C</v>
      </c>
      <c r="G419" s="4" t="s">
        <v>503</v>
      </c>
      <c r="H419" s="19">
        <f>Fact_Defect_Split!J71</f>
        <v>0</v>
      </c>
    </row>
    <row r="420" spans="1:8" x14ac:dyDescent="0.25">
      <c r="A420" s="18" t="s">
        <v>1401</v>
      </c>
      <c r="B420" s="4">
        <f>Fact_Defect_Split!B71</f>
        <v>20260701</v>
      </c>
      <c r="C420" s="4">
        <f>Fact_Defect_Split!C71</f>
        <v>9</v>
      </c>
      <c r="D420" s="4" t="str">
        <f>Fact_Defect_Split!D71</f>
        <v>M7</v>
      </c>
      <c r="E420" s="4" t="str">
        <f>Fact_Defect_Split!E71</f>
        <v>A-AM</v>
      </c>
      <c r="F420" s="4" t="str">
        <f>Fact_Defect_Split!F71</f>
        <v>C</v>
      </c>
      <c r="G420" s="4" t="s">
        <v>509</v>
      </c>
      <c r="H420" s="19">
        <f>Fact_Defect_Split!K71</f>
        <v>1</v>
      </c>
    </row>
    <row r="421" spans="1:8" x14ac:dyDescent="0.25">
      <c r="A421" s="18" t="s">
        <v>1402</v>
      </c>
      <c r="B421" s="4">
        <f>Fact_Defect_Split!B71</f>
        <v>20260701</v>
      </c>
      <c r="C421" s="4">
        <f>Fact_Defect_Split!C71</f>
        <v>9</v>
      </c>
      <c r="D421" s="4" t="str">
        <f>Fact_Defect_Split!D71</f>
        <v>M7</v>
      </c>
      <c r="E421" s="4" t="str">
        <f>Fact_Defect_Split!E71</f>
        <v>A-AM</v>
      </c>
      <c r="F421" s="4" t="str">
        <f>Fact_Defect_Split!F71</f>
        <v>C</v>
      </c>
      <c r="G421" s="4" t="s">
        <v>520</v>
      </c>
      <c r="H421" s="19">
        <f>Fact_Defect_Split!L71</f>
        <v>0</v>
      </c>
    </row>
    <row r="422" spans="1:8" x14ac:dyDescent="0.25">
      <c r="A422" s="18" t="s">
        <v>1403</v>
      </c>
      <c r="B422" s="4">
        <f>Fact_Defect_Split!B72</f>
        <v>20260701</v>
      </c>
      <c r="C422" s="4">
        <f>Fact_Defect_Split!C72</f>
        <v>10</v>
      </c>
      <c r="D422" s="4" t="str">
        <f>Fact_Defect_Split!D72</f>
        <v>M1</v>
      </c>
      <c r="E422" s="4" t="str">
        <f>Fact_Defect_Split!E72</f>
        <v>A-AM</v>
      </c>
      <c r="F422" s="4" t="str">
        <f>Fact_Defect_Split!F72</f>
        <v>C</v>
      </c>
      <c r="G422" s="4" t="s">
        <v>498</v>
      </c>
      <c r="H422" s="19">
        <f>Fact_Defect_Split!G72</f>
        <v>0</v>
      </c>
    </row>
    <row r="423" spans="1:8" x14ac:dyDescent="0.25">
      <c r="A423" s="18" t="s">
        <v>1404</v>
      </c>
      <c r="B423" s="4">
        <f>Fact_Defect_Split!B72</f>
        <v>20260701</v>
      </c>
      <c r="C423" s="4">
        <f>Fact_Defect_Split!C72</f>
        <v>10</v>
      </c>
      <c r="D423" s="4" t="str">
        <f>Fact_Defect_Split!D72</f>
        <v>M1</v>
      </c>
      <c r="E423" s="4" t="str">
        <f>Fact_Defect_Split!E72</f>
        <v>A-AM</v>
      </c>
      <c r="F423" s="4" t="str">
        <f>Fact_Defect_Split!F72</f>
        <v>C</v>
      </c>
      <c r="G423" s="4" t="s">
        <v>500</v>
      </c>
      <c r="H423" s="19">
        <f>Fact_Defect_Split!H72</f>
        <v>0</v>
      </c>
    </row>
    <row r="424" spans="1:8" x14ac:dyDescent="0.25">
      <c r="A424" s="18" t="s">
        <v>1405</v>
      </c>
      <c r="B424" s="4">
        <f>Fact_Defect_Split!B72</f>
        <v>20260701</v>
      </c>
      <c r="C424" s="4">
        <f>Fact_Defect_Split!C72</f>
        <v>10</v>
      </c>
      <c r="D424" s="4" t="str">
        <f>Fact_Defect_Split!D72</f>
        <v>M1</v>
      </c>
      <c r="E424" s="4" t="str">
        <f>Fact_Defect_Split!E72</f>
        <v>A-AM</v>
      </c>
      <c r="F424" s="4" t="str">
        <f>Fact_Defect_Split!F72</f>
        <v>C</v>
      </c>
      <c r="G424" s="4" t="s">
        <v>517</v>
      </c>
      <c r="H424" s="19">
        <f>Fact_Defect_Split!I72</f>
        <v>1</v>
      </c>
    </row>
    <row r="425" spans="1:8" x14ac:dyDescent="0.25">
      <c r="A425" s="18" t="s">
        <v>1406</v>
      </c>
      <c r="B425" s="4">
        <f>Fact_Defect_Split!B72</f>
        <v>20260701</v>
      </c>
      <c r="C425" s="4">
        <f>Fact_Defect_Split!C72</f>
        <v>10</v>
      </c>
      <c r="D425" s="4" t="str">
        <f>Fact_Defect_Split!D72</f>
        <v>M1</v>
      </c>
      <c r="E425" s="4" t="str">
        <f>Fact_Defect_Split!E72</f>
        <v>A-AM</v>
      </c>
      <c r="F425" s="4" t="str">
        <f>Fact_Defect_Split!F72</f>
        <v>C</v>
      </c>
      <c r="G425" s="4" t="s">
        <v>503</v>
      </c>
      <c r="H425" s="19">
        <f>Fact_Defect_Split!J72</f>
        <v>0</v>
      </c>
    </row>
    <row r="426" spans="1:8" x14ac:dyDescent="0.25">
      <c r="A426" s="18" t="s">
        <v>1407</v>
      </c>
      <c r="B426" s="4">
        <f>Fact_Defect_Split!B72</f>
        <v>20260701</v>
      </c>
      <c r="C426" s="4">
        <f>Fact_Defect_Split!C72</f>
        <v>10</v>
      </c>
      <c r="D426" s="4" t="str">
        <f>Fact_Defect_Split!D72</f>
        <v>M1</v>
      </c>
      <c r="E426" s="4" t="str">
        <f>Fact_Defect_Split!E72</f>
        <v>A-AM</v>
      </c>
      <c r="F426" s="4" t="str">
        <f>Fact_Defect_Split!F72</f>
        <v>C</v>
      </c>
      <c r="G426" s="4" t="s">
        <v>509</v>
      </c>
      <c r="H426" s="19">
        <f>Fact_Defect_Split!K72</f>
        <v>1</v>
      </c>
    </row>
    <row r="427" spans="1:8" x14ac:dyDescent="0.25">
      <c r="A427" s="18" t="s">
        <v>1408</v>
      </c>
      <c r="B427" s="4">
        <f>Fact_Defect_Split!B72</f>
        <v>20260701</v>
      </c>
      <c r="C427" s="4">
        <f>Fact_Defect_Split!C72</f>
        <v>10</v>
      </c>
      <c r="D427" s="4" t="str">
        <f>Fact_Defect_Split!D72</f>
        <v>M1</v>
      </c>
      <c r="E427" s="4" t="str">
        <f>Fact_Defect_Split!E72</f>
        <v>A-AM</v>
      </c>
      <c r="F427" s="4" t="str">
        <f>Fact_Defect_Split!F72</f>
        <v>C</v>
      </c>
      <c r="G427" s="4" t="s">
        <v>520</v>
      </c>
      <c r="H427" s="19">
        <f>Fact_Defect_Split!L72</f>
        <v>0</v>
      </c>
    </row>
    <row r="428" spans="1:8" x14ac:dyDescent="0.25">
      <c r="A428" s="18" t="s">
        <v>1409</v>
      </c>
      <c r="B428" s="4">
        <f>Fact_Defect_Split!B73</f>
        <v>20260701</v>
      </c>
      <c r="C428" s="4">
        <f>Fact_Defect_Split!C73</f>
        <v>10</v>
      </c>
      <c r="D428" s="4" t="str">
        <f>Fact_Defect_Split!D73</f>
        <v>M2</v>
      </c>
      <c r="E428" s="4" t="str">
        <f>Fact_Defect_Split!E73</f>
        <v>A-AM</v>
      </c>
      <c r="F428" s="4" t="str">
        <f>Fact_Defect_Split!F73</f>
        <v>A</v>
      </c>
      <c r="G428" s="4" t="s">
        <v>498</v>
      </c>
      <c r="H428" s="19">
        <f>Fact_Defect_Split!G73</f>
        <v>0</v>
      </c>
    </row>
    <row r="429" spans="1:8" x14ac:dyDescent="0.25">
      <c r="A429" s="18" t="s">
        <v>1410</v>
      </c>
      <c r="B429" s="4">
        <f>Fact_Defect_Split!B73</f>
        <v>20260701</v>
      </c>
      <c r="C429" s="4">
        <f>Fact_Defect_Split!C73</f>
        <v>10</v>
      </c>
      <c r="D429" s="4" t="str">
        <f>Fact_Defect_Split!D73</f>
        <v>M2</v>
      </c>
      <c r="E429" s="4" t="str">
        <f>Fact_Defect_Split!E73</f>
        <v>A-AM</v>
      </c>
      <c r="F429" s="4" t="str">
        <f>Fact_Defect_Split!F73</f>
        <v>A</v>
      </c>
      <c r="G429" s="4" t="s">
        <v>500</v>
      </c>
      <c r="H429" s="19">
        <f>Fact_Defect_Split!H73</f>
        <v>0</v>
      </c>
    </row>
    <row r="430" spans="1:8" x14ac:dyDescent="0.25">
      <c r="A430" s="18" t="s">
        <v>1411</v>
      </c>
      <c r="B430" s="4">
        <f>Fact_Defect_Split!B73</f>
        <v>20260701</v>
      </c>
      <c r="C430" s="4">
        <f>Fact_Defect_Split!C73</f>
        <v>10</v>
      </c>
      <c r="D430" s="4" t="str">
        <f>Fact_Defect_Split!D73</f>
        <v>M2</v>
      </c>
      <c r="E430" s="4" t="str">
        <f>Fact_Defect_Split!E73</f>
        <v>A-AM</v>
      </c>
      <c r="F430" s="4" t="str">
        <f>Fact_Defect_Split!F73</f>
        <v>A</v>
      </c>
      <c r="G430" s="4" t="s">
        <v>517</v>
      </c>
      <c r="H430" s="19">
        <f>Fact_Defect_Split!I73</f>
        <v>1</v>
      </c>
    </row>
    <row r="431" spans="1:8" x14ac:dyDescent="0.25">
      <c r="A431" s="18" t="s">
        <v>1412</v>
      </c>
      <c r="B431" s="4">
        <f>Fact_Defect_Split!B73</f>
        <v>20260701</v>
      </c>
      <c r="C431" s="4">
        <f>Fact_Defect_Split!C73</f>
        <v>10</v>
      </c>
      <c r="D431" s="4" t="str">
        <f>Fact_Defect_Split!D73</f>
        <v>M2</v>
      </c>
      <c r="E431" s="4" t="str">
        <f>Fact_Defect_Split!E73</f>
        <v>A-AM</v>
      </c>
      <c r="F431" s="4" t="str">
        <f>Fact_Defect_Split!F73</f>
        <v>A</v>
      </c>
      <c r="G431" s="4" t="s">
        <v>503</v>
      </c>
      <c r="H431" s="19">
        <f>Fact_Defect_Split!J73</f>
        <v>0</v>
      </c>
    </row>
    <row r="432" spans="1:8" x14ac:dyDescent="0.25">
      <c r="A432" s="18" t="s">
        <v>1413</v>
      </c>
      <c r="B432" s="4">
        <f>Fact_Defect_Split!B73</f>
        <v>20260701</v>
      </c>
      <c r="C432" s="4">
        <f>Fact_Defect_Split!C73</f>
        <v>10</v>
      </c>
      <c r="D432" s="4" t="str">
        <f>Fact_Defect_Split!D73</f>
        <v>M2</v>
      </c>
      <c r="E432" s="4" t="str">
        <f>Fact_Defect_Split!E73</f>
        <v>A-AM</v>
      </c>
      <c r="F432" s="4" t="str">
        <f>Fact_Defect_Split!F73</f>
        <v>A</v>
      </c>
      <c r="G432" s="4" t="s">
        <v>509</v>
      </c>
      <c r="H432" s="19">
        <f>Fact_Defect_Split!K73</f>
        <v>0</v>
      </c>
    </row>
    <row r="433" spans="1:8" x14ac:dyDescent="0.25">
      <c r="A433" s="18" t="s">
        <v>1414</v>
      </c>
      <c r="B433" s="4">
        <f>Fact_Defect_Split!B73</f>
        <v>20260701</v>
      </c>
      <c r="C433" s="4">
        <f>Fact_Defect_Split!C73</f>
        <v>10</v>
      </c>
      <c r="D433" s="4" t="str">
        <f>Fact_Defect_Split!D73</f>
        <v>M2</v>
      </c>
      <c r="E433" s="4" t="str">
        <f>Fact_Defect_Split!E73</f>
        <v>A-AM</v>
      </c>
      <c r="F433" s="4" t="str">
        <f>Fact_Defect_Split!F73</f>
        <v>A</v>
      </c>
      <c r="G433" s="4" t="s">
        <v>520</v>
      </c>
      <c r="H433" s="19">
        <f>Fact_Defect_Split!L73</f>
        <v>1</v>
      </c>
    </row>
    <row r="434" spans="1:8" x14ac:dyDescent="0.25">
      <c r="A434" s="18" t="s">
        <v>1415</v>
      </c>
      <c r="B434" s="4">
        <f>Fact_Defect_Split!B74</f>
        <v>20260701</v>
      </c>
      <c r="C434" s="4">
        <f>Fact_Defect_Split!C74</f>
        <v>10</v>
      </c>
      <c r="D434" s="4" t="str">
        <f>Fact_Defect_Split!D74</f>
        <v>M3</v>
      </c>
      <c r="E434" s="4" t="str">
        <f>Fact_Defect_Split!E74</f>
        <v>A-AM</v>
      </c>
      <c r="F434" s="4" t="str">
        <f>Fact_Defect_Split!F74</f>
        <v>B</v>
      </c>
      <c r="G434" s="4" t="s">
        <v>498</v>
      </c>
      <c r="H434" s="19">
        <f>Fact_Defect_Split!G74</f>
        <v>0</v>
      </c>
    </row>
    <row r="435" spans="1:8" x14ac:dyDescent="0.25">
      <c r="A435" s="18" t="s">
        <v>1416</v>
      </c>
      <c r="B435" s="4">
        <f>Fact_Defect_Split!B74</f>
        <v>20260701</v>
      </c>
      <c r="C435" s="4">
        <f>Fact_Defect_Split!C74</f>
        <v>10</v>
      </c>
      <c r="D435" s="4" t="str">
        <f>Fact_Defect_Split!D74</f>
        <v>M3</v>
      </c>
      <c r="E435" s="4" t="str">
        <f>Fact_Defect_Split!E74</f>
        <v>A-AM</v>
      </c>
      <c r="F435" s="4" t="str">
        <f>Fact_Defect_Split!F74</f>
        <v>B</v>
      </c>
      <c r="G435" s="4" t="s">
        <v>500</v>
      </c>
      <c r="H435" s="19">
        <f>Fact_Defect_Split!H74</f>
        <v>0</v>
      </c>
    </row>
    <row r="436" spans="1:8" x14ac:dyDescent="0.25">
      <c r="A436" s="18" t="s">
        <v>1417</v>
      </c>
      <c r="B436" s="4">
        <f>Fact_Defect_Split!B74</f>
        <v>20260701</v>
      </c>
      <c r="C436" s="4">
        <f>Fact_Defect_Split!C74</f>
        <v>10</v>
      </c>
      <c r="D436" s="4" t="str">
        <f>Fact_Defect_Split!D74</f>
        <v>M3</v>
      </c>
      <c r="E436" s="4" t="str">
        <f>Fact_Defect_Split!E74</f>
        <v>A-AM</v>
      </c>
      <c r="F436" s="4" t="str">
        <f>Fact_Defect_Split!F74</f>
        <v>B</v>
      </c>
      <c r="G436" s="4" t="s">
        <v>517</v>
      </c>
      <c r="H436" s="19">
        <f>Fact_Defect_Split!I74</f>
        <v>0</v>
      </c>
    </row>
    <row r="437" spans="1:8" x14ac:dyDescent="0.25">
      <c r="A437" s="18" t="s">
        <v>1418</v>
      </c>
      <c r="B437" s="4">
        <f>Fact_Defect_Split!B74</f>
        <v>20260701</v>
      </c>
      <c r="C437" s="4">
        <f>Fact_Defect_Split!C74</f>
        <v>10</v>
      </c>
      <c r="D437" s="4" t="str">
        <f>Fact_Defect_Split!D74</f>
        <v>M3</v>
      </c>
      <c r="E437" s="4" t="str">
        <f>Fact_Defect_Split!E74</f>
        <v>A-AM</v>
      </c>
      <c r="F437" s="4" t="str">
        <f>Fact_Defect_Split!F74</f>
        <v>B</v>
      </c>
      <c r="G437" s="4" t="s">
        <v>503</v>
      </c>
      <c r="H437" s="19">
        <f>Fact_Defect_Split!J74</f>
        <v>0</v>
      </c>
    </row>
    <row r="438" spans="1:8" x14ac:dyDescent="0.25">
      <c r="A438" s="18" t="s">
        <v>1419</v>
      </c>
      <c r="B438" s="4">
        <f>Fact_Defect_Split!B74</f>
        <v>20260701</v>
      </c>
      <c r="C438" s="4">
        <f>Fact_Defect_Split!C74</f>
        <v>10</v>
      </c>
      <c r="D438" s="4" t="str">
        <f>Fact_Defect_Split!D74</f>
        <v>M3</v>
      </c>
      <c r="E438" s="4" t="str">
        <f>Fact_Defect_Split!E74</f>
        <v>A-AM</v>
      </c>
      <c r="F438" s="4" t="str">
        <f>Fact_Defect_Split!F74</f>
        <v>B</v>
      </c>
      <c r="G438" s="4" t="s">
        <v>509</v>
      </c>
      <c r="H438" s="19">
        <f>Fact_Defect_Split!K74</f>
        <v>1</v>
      </c>
    </row>
    <row r="439" spans="1:8" x14ac:dyDescent="0.25">
      <c r="A439" s="18" t="s">
        <v>1420</v>
      </c>
      <c r="B439" s="4">
        <f>Fact_Defect_Split!B74</f>
        <v>20260701</v>
      </c>
      <c r="C439" s="4">
        <f>Fact_Defect_Split!C74</f>
        <v>10</v>
      </c>
      <c r="D439" s="4" t="str">
        <f>Fact_Defect_Split!D74</f>
        <v>M3</v>
      </c>
      <c r="E439" s="4" t="str">
        <f>Fact_Defect_Split!E74</f>
        <v>A-AM</v>
      </c>
      <c r="F439" s="4" t="str">
        <f>Fact_Defect_Split!F74</f>
        <v>B</v>
      </c>
      <c r="G439" s="4" t="s">
        <v>520</v>
      </c>
      <c r="H439" s="19">
        <f>Fact_Defect_Split!L74</f>
        <v>0</v>
      </c>
    </row>
    <row r="440" spans="1:8" x14ac:dyDescent="0.25">
      <c r="A440" s="18" t="s">
        <v>1421</v>
      </c>
      <c r="B440" s="4">
        <f>Fact_Defect_Split!B75</f>
        <v>20260701</v>
      </c>
      <c r="C440" s="4">
        <f>Fact_Defect_Split!C75</f>
        <v>10</v>
      </c>
      <c r="D440" s="4" t="str">
        <f>Fact_Defect_Split!D75</f>
        <v>M4</v>
      </c>
      <c r="E440" s="4" t="str">
        <f>Fact_Defect_Split!E75</f>
        <v>A-AM</v>
      </c>
      <c r="F440" s="4" t="str">
        <f>Fact_Defect_Split!F75</f>
        <v>A</v>
      </c>
      <c r="G440" s="4" t="s">
        <v>498</v>
      </c>
      <c r="H440" s="19">
        <f>Fact_Defect_Split!G75</f>
        <v>0</v>
      </c>
    </row>
    <row r="441" spans="1:8" x14ac:dyDescent="0.25">
      <c r="A441" s="18" t="s">
        <v>1422</v>
      </c>
      <c r="B441" s="4">
        <f>Fact_Defect_Split!B75</f>
        <v>20260701</v>
      </c>
      <c r="C441" s="4">
        <f>Fact_Defect_Split!C75</f>
        <v>10</v>
      </c>
      <c r="D441" s="4" t="str">
        <f>Fact_Defect_Split!D75</f>
        <v>M4</v>
      </c>
      <c r="E441" s="4" t="str">
        <f>Fact_Defect_Split!E75</f>
        <v>A-AM</v>
      </c>
      <c r="F441" s="4" t="str">
        <f>Fact_Defect_Split!F75</f>
        <v>A</v>
      </c>
      <c r="G441" s="4" t="s">
        <v>500</v>
      </c>
      <c r="H441" s="19">
        <f>Fact_Defect_Split!H75</f>
        <v>0</v>
      </c>
    </row>
    <row r="442" spans="1:8" x14ac:dyDescent="0.25">
      <c r="A442" s="18" t="s">
        <v>1423</v>
      </c>
      <c r="B442" s="4">
        <f>Fact_Defect_Split!B75</f>
        <v>20260701</v>
      </c>
      <c r="C442" s="4">
        <f>Fact_Defect_Split!C75</f>
        <v>10</v>
      </c>
      <c r="D442" s="4" t="str">
        <f>Fact_Defect_Split!D75</f>
        <v>M4</v>
      </c>
      <c r="E442" s="4" t="str">
        <f>Fact_Defect_Split!E75</f>
        <v>A-AM</v>
      </c>
      <c r="F442" s="4" t="str">
        <f>Fact_Defect_Split!F75</f>
        <v>A</v>
      </c>
      <c r="G442" s="4" t="s">
        <v>517</v>
      </c>
      <c r="H442" s="19">
        <f>Fact_Defect_Split!I75</f>
        <v>0</v>
      </c>
    </row>
    <row r="443" spans="1:8" x14ac:dyDescent="0.25">
      <c r="A443" s="18" t="s">
        <v>1424</v>
      </c>
      <c r="B443" s="4">
        <f>Fact_Defect_Split!B75</f>
        <v>20260701</v>
      </c>
      <c r="C443" s="4">
        <f>Fact_Defect_Split!C75</f>
        <v>10</v>
      </c>
      <c r="D443" s="4" t="str">
        <f>Fact_Defect_Split!D75</f>
        <v>M4</v>
      </c>
      <c r="E443" s="4" t="str">
        <f>Fact_Defect_Split!E75</f>
        <v>A-AM</v>
      </c>
      <c r="F443" s="4" t="str">
        <f>Fact_Defect_Split!F75</f>
        <v>A</v>
      </c>
      <c r="G443" s="4" t="s">
        <v>503</v>
      </c>
      <c r="H443" s="19">
        <f>Fact_Defect_Split!J75</f>
        <v>0</v>
      </c>
    </row>
    <row r="444" spans="1:8" x14ac:dyDescent="0.25">
      <c r="A444" s="18" t="s">
        <v>1425</v>
      </c>
      <c r="B444" s="4">
        <f>Fact_Defect_Split!B75</f>
        <v>20260701</v>
      </c>
      <c r="C444" s="4">
        <f>Fact_Defect_Split!C75</f>
        <v>10</v>
      </c>
      <c r="D444" s="4" t="str">
        <f>Fact_Defect_Split!D75</f>
        <v>M4</v>
      </c>
      <c r="E444" s="4" t="str">
        <f>Fact_Defect_Split!E75</f>
        <v>A-AM</v>
      </c>
      <c r="F444" s="4" t="str">
        <f>Fact_Defect_Split!F75</f>
        <v>A</v>
      </c>
      <c r="G444" s="4" t="s">
        <v>509</v>
      </c>
      <c r="H444" s="19">
        <f>Fact_Defect_Split!K75</f>
        <v>1</v>
      </c>
    </row>
    <row r="445" spans="1:8" x14ac:dyDescent="0.25">
      <c r="A445" s="18" t="s">
        <v>1426</v>
      </c>
      <c r="B445" s="4">
        <f>Fact_Defect_Split!B75</f>
        <v>20260701</v>
      </c>
      <c r="C445" s="4">
        <f>Fact_Defect_Split!C75</f>
        <v>10</v>
      </c>
      <c r="D445" s="4" t="str">
        <f>Fact_Defect_Split!D75</f>
        <v>M4</v>
      </c>
      <c r="E445" s="4" t="str">
        <f>Fact_Defect_Split!E75</f>
        <v>A-AM</v>
      </c>
      <c r="F445" s="4" t="str">
        <f>Fact_Defect_Split!F75</f>
        <v>A</v>
      </c>
      <c r="G445" s="4" t="s">
        <v>520</v>
      </c>
      <c r="H445" s="19">
        <f>Fact_Defect_Split!L75</f>
        <v>0</v>
      </c>
    </row>
    <row r="446" spans="1:8" x14ac:dyDescent="0.25">
      <c r="A446" s="18" t="s">
        <v>1427</v>
      </c>
      <c r="B446" s="4">
        <f>Fact_Defect_Split!B76</f>
        <v>20260701</v>
      </c>
      <c r="C446" s="4">
        <f>Fact_Defect_Split!C76</f>
        <v>10</v>
      </c>
      <c r="D446" s="4" t="str">
        <f>Fact_Defect_Split!D76</f>
        <v>M5</v>
      </c>
      <c r="E446" s="4" t="str">
        <f>Fact_Defect_Split!E76</f>
        <v>A-AM</v>
      </c>
      <c r="F446" s="4" t="str">
        <f>Fact_Defect_Split!F76</f>
        <v>C</v>
      </c>
      <c r="G446" s="4" t="s">
        <v>498</v>
      </c>
      <c r="H446" s="19">
        <f>Fact_Defect_Split!G76</f>
        <v>0</v>
      </c>
    </row>
    <row r="447" spans="1:8" x14ac:dyDescent="0.25">
      <c r="A447" s="18" t="s">
        <v>1428</v>
      </c>
      <c r="B447" s="4">
        <f>Fact_Defect_Split!B76</f>
        <v>20260701</v>
      </c>
      <c r="C447" s="4">
        <f>Fact_Defect_Split!C76</f>
        <v>10</v>
      </c>
      <c r="D447" s="4" t="str">
        <f>Fact_Defect_Split!D76</f>
        <v>M5</v>
      </c>
      <c r="E447" s="4" t="str">
        <f>Fact_Defect_Split!E76</f>
        <v>A-AM</v>
      </c>
      <c r="F447" s="4" t="str">
        <f>Fact_Defect_Split!F76</f>
        <v>C</v>
      </c>
      <c r="G447" s="4" t="s">
        <v>500</v>
      </c>
      <c r="H447" s="19">
        <f>Fact_Defect_Split!H76</f>
        <v>0</v>
      </c>
    </row>
    <row r="448" spans="1:8" x14ac:dyDescent="0.25">
      <c r="A448" s="18" t="s">
        <v>1429</v>
      </c>
      <c r="B448" s="4">
        <f>Fact_Defect_Split!B76</f>
        <v>20260701</v>
      </c>
      <c r="C448" s="4">
        <f>Fact_Defect_Split!C76</f>
        <v>10</v>
      </c>
      <c r="D448" s="4" t="str">
        <f>Fact_Defect_Split!D76</f>
        <v>M5</v>
      </c>
      <c r="E448" s="4" t="str">
        <f>Fact_Defect_Split!E76</f>
        <v>A-AM</v>
      </c>
      <c r="F448" s="4" t="str">
        <f>Fact_Defect_Split!F76</f>
        <v>C</v>
      </c>
      <c r="G448" s="4" t="s">
        <v>517</v>
      </c>
      <c r="H448" s="19">
        <f>Fact_Defect_Split!I76</f>
        <v>0</v>
      </c>
    </row>
    <row r="449" spans="1:8" x14ac:dyDescent="0.25">
      <c r="A449" s="18" t="s">
        <v>1430</v>
      </c>
      <c r="B449" s="4">
        <f>Fact_Defect_Split!B76</f>
        <v>20260701</v>
      </c>
      <c r="C449" s="4">
        <f>Fact_Defect_Split!C76</f>
        <v>10</v>
      </c>
      <c r="D449" s="4" t="str">
        <f>Fact_Defect_Split!D76</f>
        <v>M5</v>
      </c>
      <c r="E449" s="4" t="str">
        <f>Fact_Defect_Split!E76</f>
        <v>A-AM</v>
      </c>
      <c r="F449" s="4" t="str">
        <f>Fact_Defect_Split!F76</f>
        <v>C</v>
      </c>
      <c r="G449" s="4" t="s">
        <v>503</v>
      </c>
      <c r="H449" s="19">
        <f>Fact_Defect_Split!J76</f>
        <v>0</v>
      </c>
    </row>
    <row r="450" spans="1:8" x14ac:dyDescent="0.25">
      <c r="A450" s="18" t="s">
        <v>1431</v>
      </c>
      <c r="B450" s="4">
        <f>Fact_Defect_Split!B76</f>
        <v>20260701</v>
      </c>
      <c r="C450" s="4">
        <f>Fact_Defect_Split!C76</f>
        <v>10</v>
      </c>
      <c r="D450" s="4" t="str">
        <f>Fact_Defect_Split!D76</f>
        <v>M5</v>
      </c>
      <c r="E450" s="4" t="str">
        <f>Fact_Defect_Split!E76</f>
        <v>A-AM</v>
      </c>
      <c r="F450" s="4" t="str">
        <f>Fact_Defect_Split!F76</f>
        <v>C</v>
      </c>
      <c r="G450" s="4" t="s">
        <v>509</v>
      </c>
      <c r="H450" s="19">
        <f>Fact_Defect_Split!K76</f>
        <v>1</v>
      </c>
    </row>
    <row r="451" spans="1:8" x14ac:dyDescent="0.25">
      <c r="A451" s="18" t="s">
        <v>1432</v>
      </c>
      <c r="B451" s="4">
        <f>Fact_Defect_Split!B76</f>
        <v>20260701</v>
      </c>
      <c r="C451" s="4">
        <f>Fact_Defect_Split!C76</f>
        <v>10</v>
      </c>
      <c r="D451" s="4" t="str">
        <f>Fact_Defect_Split!D76</f>
        <v>M5</v>
      </c>
      <c r="E451" s="4" t="str">
        <f>Fact_Defect_Split!E76</f>
        <v>A-AM</v>
      </c>
      <c r="F451" s="4" t="str">
        <f>Fact_Defect_Split!F76</f>
        <v>C</v>
      </c>
      <c r="G451" s="4" t="s">
        <v>520</v>
      </c>
      <c r="H451" s="19">
        <f>Fact_Defect_Split!L76</f>
        <v>0</v>
      </c>
    </row>
    <row r="452" spans="1:8" x14ac:dyDescent="0.25">
      <c r="A452" s="18" t="s">
        <v>1433</v>
      </c>
      <c r="B452" s="4">
        <f>Fact_Defect_Split!B77</f>
        <v>20260701</v>
      </c>
      <c r="C452" s="4">
        <f>Fact_Defect_Split!C77</f>
        <v>10</v>
      </c>
      <c r="D452" s="4" t="str">
        <f>Fact_Defect_Split!D77</f>
        <v>M6</v>
      </c>
      <c r="E452" s="4" t="str">
        <f>Fact_Defect_Split!E77</f>
        <v>A-AM</v>
      </c>
      <c r="F452" s="4" t="str">
        <f>Fact_Defect_Split!F77</f>
        <v>C</v>
      </c>
      <c r="G452" s="4" t="s">
        <v>498</v>
      </c>
      <c r="H452" s="19">
        <f>Fact_Defect_Split!G77</f>
        <v>0</v>
      </c>
    </row>
    <row r="453" spans="1:8" x14ac:dyDescent="0.25">
      <c r="A453" s="18" t="s">
        <v>1434</v>
      </c>
      <c r="B453" s="4">
        <f>Fact_Defect_Split!B77</f>
        <v>20260701</v>
      </c>
      <c r="C453" s="4">
        <f>Fact_Defect_Split!C77</f>
        <v>10</v>
      </c>
      <c r="D453" s="4" t="str">
        <f>Fact_Defect_Split!D77</f>
        <v>M6</v>
      </c>
      <c r="E453" s="4" t="str">
        <f>Fact_Defect_Split!E77</f>
        <v>A-AM</v>
      </c>
      <c r="F453" s="4" t="str">
        <f>Fact_Defect_Split!F77</f>
        <v>C</v>
      </c>
      <c r="G453" s="4" t="s">
        <v>500</v>
      </c>
      <c r="H453" s="19">
        <f>Fact_Defect_Split!H77</f>
        <v>0</v>
      </c>
    </row>
    <row r="454" spans="1:8" x14ac:dyDescent="0.25">
      <c r="A454" s="18" t="s">
        <v>1435</v>
      </c>
      <c r="B454" s="4">
        <f>Fact_Defect_Split!B77</f>
        <v>20260701</v>
      </c>
      <c r="C454" s="4">
        <f>Fact_Defect_Split!C77</f>
        <v>10</v>
      </c>
      <c r="D454" s="4" t="str">
        <f>Fact_Defect_Split!D77</f>
        <v>M6</v>
      </c>
      <c r="E454" s="4" t="str">
        <f>Fact_Defect_Split!E77</f>
        <v>A-AM</v>
      </c>
      <c r="F454" s="4" t="str">
        <f>Fact_Defect_Split!F77</f>
        <v>C</v>
      </c>
      <c r="G454" s="4" t="s">
        <v>517</v>
      </c>
      <c r="H454" s="19">
        <f>Fact_Defect_Split!I77</f>
        <v>0</v>
      </c>
    </row>
    <row r="455" spans="1:8" x14ac:dyDescent="0.25">
      <c r="A455" s="18" t="s">
        <v>1436</v>
      </c>
      <c r="B455" s="4">
        <f>Fact_Defect_Split!B77</f>
        <v>20260701</v>
      </c>
      <c r="C455" s="4">
        <f>Fact_Defect_Split!C77</f>
        <v>10</v>
      </c>
      <c r="D455" s="4" t="str">
        <f>Fact_Defect_Split!D77</f>
        <v>M6</v>
      </c>
      <c r="E455" s="4" t="str">
        <f>Fact_Defect_Split!E77</f>
        <v>A-AM</v>
      </c>
      <c r="F455" s="4" t="str">
        <f>Fact_Defect_Split!F77</f>
        <v>C</v>
      </c>
      <c r="G455" s="4" t="s">
        <v>503</v>
      </c>
      <c r="H455" s="19">
        <f>Fact_Defect_Split!J77</f>
        <v>0</v>
      </c>
    </row>
    <row r="456" spans="1:8" x14ac:dyDescent="0.25">
      <c r="A456" s="18" t="s">
        <v>1437</v>
      </c>
      <c r="B456" s="4">
        <f>Fact_Defect_Split!B77</f>
        <v>20260701</v>
      </c>
      <c r="C456" s="4">
        <f>Fact_Defect_Split!C77</f>
        <v>10</v>
      </c>
      <c r="D456" s="4" t="str">
        <f>Fact_Defect_Split!D77</f>
        <v>M6</v>
      </c>
      <c r="E456" s="4" t="str">
        <f>Fact_Defect_Split!E77</f>
        <v>A-AM</v>
      </c>
      <c r="F456" s="4" t="str">
        <f>Fact_Defect_Split!F77</f>
        <v>C</v>
      </c>
      <c r="G456" s="4" t="s">
        <v>509</v>
      </c>
      <c r="H456" s="19">
        <f>Fact_Defect_Split!K77</f>
        <v>0</v>
      </c>
    </row>
    <row r="457" spans="1:8" x14ac:dyDescent="0.25">
      <c r="A457" s="18" t="s">
        <v>1438</v>
      </c>
      <c r="B457" s="4">
        <f>Fact_Defect_Split!B77</f>
        <v>20260701</v>
      </c>
      <c r="C457" s="4">
        <f>Fact_Defect_Split!C77</f>
        <v>10</v>
      </c>
      <c r="D457" s="4" t="str">
        <f>Fact_Defect_Split!D77</f>
        <v>M6</v>
      </c>
      <c r="E457" s="4" t="str">
        <f>Fact_Defect_Split!E77</f>
        <v>A-AM</v>
      </c>
      <c r="F457" s="4" t="str">
        <f>Fact_Defect_Split!F77</f>
        <v>C</v>
      </c>
      <c r="G457" s="4" t="s">
        <v>520</v>
      </c>
      <c r="H457" s="19">
        <f>Fact_Defect_Split!L77</f>
        <v>1</v>
      </c>
    </row>
    <row r="458" spans="1:8" x14ac:dyDescent="0.25">
      <c r="A458" s="18" t="s">
        <v>1439</v>
      </c>
      <c r="B458" s="4">
        <f>Fact_Defect_Split!B78</f>
        <v>20260701</v>
      </c>
      <c r="C458" s="4">
        <f>Fact_Defect_Split!C78</f>
        <v>10</v>
      </c>
      <c r="D458" s="4" t="str">
        <f>Fact_Defect_Split!D78</f>
        <v>M7</v>
      </c>
      <c r="E458" s="4" t="str">
        <f>Fact_Defect_Split!E78</f>
        <v>A-AM</v>
      </c>
      <c r="F458" s="4" t="str">
        <f>Fact_Defect_Split!F78</f>
        <v>C</v>
      </c>
      <c r="G458" s="4" t="s">
        <v>498</v>
      </c>
      <c r="H458" s="19">
        <f>Fact_Defect_Split!G78</f>
        <v>0</v>
      </c>
    </row>
    <row r="459" spans="1:8" x14ac:dyDescent="0.25">
      <c r="A459" s="18" t="s">
        <v>1440</v>
      </c>
      <c r="B459" s="4">
        <f>Fact_Defect_Split!B78</f>
        <v>20260701</v>
      </c>
      <c r="C459" s="4">
        <f>Fact_Defect_Split!C78</f>
        <v>10</v>
      </c>
      <c r="D459" s="4" t="str">
        <f>Fact_Defect_Split!D78</f>
        <v>M7</v>
      </c>
      <c r="E459" s="4" t="str">
        <f>Fact_Defect_Split!E78</f>
        <v>A-AM</v>
      </c>
      <c r="F459" s="4" t="str">
        <f>Fact_Defect_Split!F78</f>
        <v>C</v>
      </c>
      <c r="G459" s="4" t="s">
        <v>500</v>
      </c>
      <c r="H459" s="19">
        <f>Fact_Defect_Split!H78</f>
        <v>0</v>
      </c>
    </row>
    <row r="460" spans="1:8" x14ac:dyDescent="0.25">
      <c r="A460" s="18" t="s">
        <v>1441</v>
      </c>
      <c r="B460" s="4">
        <f>Fact_Defect_Split!B78</f>
        <v>20260701</v>
      </c>
      <c r="C460" s="4">
        <f>Fact_Defect_Split!C78</f>
        <v>10</v>
      </c>
      <c r="D460" s="4" t="str">
        <f>Fact_Defect_Split!D78</f>
        <v>M7</v>
      </c>
      <c r="E460" s="4" t="str">
        <f>Fact_Defect_Split!E78</f>
        <v>A-AM</v>
      </c>
      <c r="F460" s="4" t="str">
        <f>Fact_Defect_Split!F78</f>
        <v>C</v>
      </c>
      <c r="G460" s="4" t="s">
        <v>517</v>
      </c>
      <c r="H460" s="19">
        <f>Fact_Defect_Split!I78</f>
        <v>1</v>
      </c>
    </row>
    <row r="461" spans="1:8" x14ac:dyDescent="0.25">
      <c r="A461" s="18" t="s">
        <v>1442</v>
      </c>
      <c r="B461" s="4">
        <f>Fact_Defect_Split!B78</f>
        <v>20260701</v>
      </c>
      <c r="C461" s="4">
        <f>Fact_Defect_Split!C78</f>
        <v>10</v>
      </c>
      <c r="D461" s="4" t="str">
        <f>Fact_Defect_Split!D78</f>
        <v>M7</v>
      </c>
      <c r="E461" s="4" t="str">
        <f>Fact_Defect_Split!E78</f>
        <v>A-AM</v>
      </c>
      <c r="F461" s="4" t="str">
        <f>Fact_Defect_Split!F78</f>
        <v>C</v>
      </c>
      <c r="G461" s="4" t="s">
        <v>503</v>
      </c>
      <c r="H461" s="19">
        <f>Fact_Defect_Split!J78</f>
        <v>0</v>
      </c>
    </row>
    <row r="462" spans="1:8" x14ac:dyDescent="0.25">
      <c r="A462" s="18" t="s">
        <v>1443</v>
      </c>
      <c r="B462" s="4">
        <f>Fact_Defect_Split!B78</f>
        <v>20260701</v>
      </c>
      <c r="C462" s="4">
        <f>Fact_Defect_Split!C78</f>
        <v>10</v>
      </c>
      <c r="D462" s="4" t="str">
        <f>Fact_Defect_Split!D78</f>
        <v>M7</v>
      </c>
      <c r="E462" s="4" t="str">
        <f>Fact_Defect_Split!E78</f>
        <v>A-AM</v>
      </c>
      <c r="F462" s="4" t="str">
        <f>Fact_Defect_Split!F78</f>
        <v>C</v>
      </c>
      <c r="G462" s="4" t="s">
        <v>509</v>
      </c>
      <c r="H462" s="19">
        <f>Fact_Defect_Split!K78</f>
        <v>1</v>
      </c>
    </row>
    <row r="463" spans="1:8" x14ac:dyDescent="0.25">
      <c r="A463" s="18" t="s">
        <v>1444</v>
      </c>
      <c r="B463" s="4">
        <f>Fact_Defect_Split!B78</f>
        <v>20260701</v>
      </c>
      <c r="C463" s="4">
        <f>Fact_Defect_Split!C78</f>
        <v>10</v>
      </c>
      <c r="D463" s="4" t="str">
        <f>Fact_Defect_Split!D78</f>
        <v>M7</v>
      </c>
      <c r="E463" s="4" t="str">
        <f>Fact_Defect_Split!E78</f>
        <v>A-AM</v>
      </c>
      <c r="F463" s="4" t="str">
        <f>Fact_Defect_Split!F78</f>
        <v>C</v>
      </c>
      <c r="G463" s="4" t="s">
        <v>520</v>
      </c>
      <c r="H463" s="19">
        <f>Fact_Defect_Split!L78</f>
        <v>1</v>
      </c>
    </row>
    <row r="464" spans="1:8" x14ac:dyDescent="0.25">
      <c r="A464" s="18" t="s">
        <v>1445</v>
      </c>
      <c r="B464" s="4">
        <f>Fact_Defect_Split!B79</f>
        <v>20260701</v>
      </c>
      <c r="C464" s="4">
        <f>Fact_Defect_Split!C79</f>
        <v>11</v>
      </c>
      <c r="D464" s="4" t="str">
        <f>Fact_Defect_Split!D79</f>
        <v>M1</v>
      </c>
      <c r="E464" s="4" t="str">
        <f>Fact_Defect_Split!E79</f>
        <v>A-AM</v>
      </c>
      <c r="F464" s="4" t="str">
        <f>Fact_Defect_Split!F79</f>
        <v>C</v>
      </c>
      <c r="G464" s="4" t="s">
        <v>498</v>
      </c>
      <c r="H464" s="19">
        <f>Fact_Defect_Split!G79</f>
        <v>0</v>
      </c>
    </row>
    <row r="465" spans="1:8" x14ac:dyDescent="0.25">
      <c r="A465" s="18" t="s">
        <v>1446</v>
      </c>
      <c r="B465" s="4">
        <f>Fact_Defect_Split!B79</f>
        <v>20260701</v>
      </c>
      <c r="C465" s="4">
        <f>Fact_Defect_Split!C79</f>
        <v>11</v>
      </c>
      <c r="D465" s="4" t="str">
        <f>Fact_Defect_Split!D79</f>
        <v>M1</v>
      </c>
      <c r="E465" s="4" t="str">
        <f>Fact_Defect_Split!E79</f>
        <v>A-AM</v>
      </c>
      <c r="F465" s="4" t="str">
        <f>Fact_Defect_Split!F79</f>
        <v>C</v>
      </c>
      <c r="G465" s="4" t="s">
        <v>500</v>
      </c>
      <c r="H465" s="19">
        <f>Fact_Defect_Split!H79</f>
        <v>0</v>
      </c>
    </row>
    <row r="466" spans="1:8" x14ac:dyDescent="0.25">
      <c r="A466" s="18" t="s">
        <v>1447</v>
      </c>
      <c r="B466" s="4">
        <f>Fact_Defect_Split!B79</f>
        <v>20260701</v>
      </c>
      <c r="C466" s="4">
        <f>Fact_Defect_Split!C79</f>
        <v>11</v>
      </c>
      <c r="D466" s="4" t="str">
        <f>Fact_Defect_Split!D79</f>
        <v>M1</v>
      </c>
      <c r="E466" s="4" t="str">
        <f>Fact_Defect_Split!E79</f>
        <v>A-AM</v>
      </c>
      <c r="F466" s="4" t="str">
        <f>Fact_Defect_Split!F79</f>
        <v>C</v>
      </c>
      <c r="G466" s="4" t="s">
        <v>517</v>
      </c>
      <c r="H466" s="19">
        <f>Fact_Defect_Split!I79</f>
        <v>0</v>
      </c>
    </row>
    <row r="467" spans="1:8" x14ac:dyDescent="0.25">
      <c r="A467" s="18" t="s">
        <v>1448</v>
      </c>
      <c r="B467" s="4">
        <f>Fact_Defect_Split!B79</f>
        <v>20260701</v>
      </c>
      <c r="C467" s="4">
        <f>Fact_Defect_Split!C79</f>
        <v>11</v>
      </c>
      <c r="D467" s="4" t="str">
        <f>Fact_Defect_Split!D79</f>
        <v>M1</v>
      </c>
      <c r="E467" s="4" t="str">
        <f>Fact_Defect_Split!E79</f>
        <v>A-AM</v>
      </c>
      <c r="F467" s="4" t="str">
        <f>Fact_Defect_Split!F79</f>
        <v>C</v>
      </c>
      <c r="G467" s="4" t="s">
        <v>503</v>
      </c>
      <c r="H467" s="19">
        <f>Fact_Defect_Split!J79</f>
        <v>0</v>
      </c>
    </row>
    <row r="468" spans="1:8" x14ac:dyDescent="0.25">
      <c r="A468" s="18" t="s">
        <v>1449</v>
      </c>
      <c r="B468" s="4">
        <f>Fact_Defect_Split!B79</f>
        <v>20260701</v>
      </c>
      <c r="C468" s="4">
        <f>Fact_Defect_Split!C79</f>
        <v>11</v>
      </c>
      <c r="D468" s="4" t="str">
        <f>Fact_Defect_Split!D79</f>
        <v>M1</v>
      </c>
      <c r="E468" s="4" t="str">
        <f>Fact_Defect_Split!E79</f>
        <v>A-AM</v>
      </c>
      <c r="F468" s="4" t="str">
        <f>Fact_Defect_Split!F79</f>
        <v>C</v>
      </c>
      <c r="G468" s="4" t="s">
        <v>509</v>
      </c>
      <c r="H468" s="19">
        <f>Fact_Defect_Split!K79</f>
        <v>1</v>
      </c>
    </row>
    <row r="469" spans="1:8" x14ac:dyDescent="0.25">
      <c r="A469" s="18" t="s">
        <v>1450</v>
      </c>
      <c r="B469" s="4">
        <f>Fact_Defect_Split!B79</f>
        <v>20260701</v>
      </c>
      <c r="C469" s="4">
        <f>Fact_Defect_Split!C79</f>
        <v>11</v>
      </c>
      <c r="D469" s="4" t="str">
        <f>Fact_Defect_Split!D79</f>
        <v>M1</v>
      </c>
      <c r="E469" s="4" t="str">
        <f>Fact_Defect_Split!E79</f>
        <v>A-AM</v>
      </c>
      <c r="F469" s="4" t="str">
        <f>Fact_Defect_Split!F79</f>
        <v>C</v>
      </c>
      <c r="G469" s="4" t="s">
        <v>520</v>
      </c>
      <c r="H469" s="19">
        <f>Fact_Defect_Split!L79</f>
        <v>0</v>
      </c>
    </row>
    <row r="470" spans="1:8" x14ac:dyDescent="0.25">
      <c r="A470" s="18" t="s">
        <v>1451</v>
      </c>
      <c r="B470" s="4">
        <f>Fact_Defect_Split!B80</f>
        <v>20260701</v>
      </c>
      <c r="C470" s="4">
        <f>Fact_Defect_Split!C80</f>
        <v>11</v>
      </c>
      <c r="D470" s="4" t="str">
        <f>Fact_Defect_Split!D80</f>
        <v>M2</v>
      </c>
      <c r="E470" s="4" t="str">
        <f>Fact_Defect_Split!E80</f>
        <v>A-AM</v>
      </c>
      <c r="F470" s="4" t="str">
        <f>Fact_Defect_Split!F80</f>
        <v>A</v>
      </c>
      <c r="G470" s="4" t="s">
        <v>498</v>
      </c>
      <c r="H470" s="19">
        <f>Fact_Defect_Split!G80</f>
        <v>0</v>
      </c>
    </row>
    <row r="471" spans="1:8" x14ac:dyDescent="0.25">
      <c r="A471" s="18" t="s">
        <v>1452</v>
      </c>
      <c r="B471" s="4">
        <f>Fact_Defect_Split!B80</f>
        <v>20260701</v>
      </c>
      <c r="C471" s="4">
        <f>Fact_Defect_Split!C80</f>
        <v>11</v>
      </c>
      <c r="D471" s="4" t="str">
        <f>Fact_Defect_Split!D80</f>
        <v>M2</v>
      </c>
      <c r="E471" s="4" t="str">
        <f>Fact_Defect_Split!E80</f>
        <v>A-AM</v>
      </c>
      <c r="F471" s="4" t="str">
        <f>Fact_Defect_Split!F80</f>
        <v>A</v>
      </c>
      <c r="G471" s="4" t="s">
        <v>500</v>
      </c>
      <c r="H471" s="19">
        <f>Fact_Defect_Split!H80</f>
        <v>0</v>
      </c>
    </row>
    <row r="472" spans="1:8" x14ac:dyDescent="0.25">
      <c r="A472" s="18" t="s">
        <v>1453</v>
      </c>
      <c r="B472" s="4">
        <f>Fact_Defect_Split!B80</f>
        <v>20260701</v>
      </c>
      <c r="C472" s="4">
        <f>Fact_Defect_Split!C80</f>
        <v>11</v>
      </c>
      <c r="D472" s="4" t="str">
        <f>Fact_Defect_Split!D80</f>
        <v>M2</v>
      </c>
      <c r="E472" s="4" t="str">
        <f>Fact_Defect_Split!E80</f>
        <v>A-AM</v>
      </c>
      <c r="F472" s="4" t="str">
        <f>Fact_Defect_Split!F80</f>
        <v>A</v>
      </c>
      <c r="G472" s="4" t="s">
        <v>517</v>
      </c>
      <c r="H472" s="19">
        <f>Fact_Defect_Split!I80</f>
        <v>0</v>
      </c>
    </row>
    <row r="473" spans="1:8" x14ac:dyDescent="0.25">
      <c r="A473" s="18" t="s">
        <v>1454</v>
      </c>
      <c r="B473" s="4">
        <f>Fact_Defect_Split!B80</f>
        <v>20260701</v>
      </c>
      <c r="C473" s="4">
        <f>Fact_Defect_Split!C80</f>
        <v>11</v>
      </c>
      <c r="D473" s="4" t="str">
        <f>Fact_Defect_Split!D80</f>
        <v>M2</v>
      </c>
      <c r="E473" s="4" t="str">
        <f>Fact_Defect_Split!E80</f>
        <v>A-AM</v>
      </c>
      <c r="F473" s="4" t="str">
        <f>Fact_Defect_Split!F80</f>
        <v>A</v>
      </c>
      <c r="G473" s="4" t="s">
        <v>503</v>
      </c>
      <c r="H473" s="19">
        <f>Fact_Defect_Split!J80</f>
        <v>1</v>
      </c>
    </row>
    <row r="474" spans="1:8" x14ac:dyDescent="0.25">
      <c r="A474" s="18" t="s">
        <v>1455</v>
      </c>
      <c r="B474" s="4">
        <f>Fact_Defect_Split!B80</f>
        <v>20260701</v>
      </c>
      <c r="C474" s="4">
        <f>Fact_Defect_Split!C80</f>
        <v>11</v>
      </c>
      <c r="D474" s="4" t="str">
        <f>Fact_Defect_Split!D80</f>
        <v>M2</v>
      </c>
      <c r="E474" s="4" t="str">
        <f>Fact_Defect_Split!E80</f>
        <v>A-AM</v>
      </c>
      <c r="F474" s="4" t="str">
        <f>Fact_Defect_Split!F80</f>
        <v>A</v>
      </c>
      <c r="G474" s="4" t="s">
        <v>509</v>
      </c>
      <c r="H474" s="19">
        <f>Fact_Defect_Split!K80</f>
        <v>0</v>
      </c>
    </row>
    <row r="475" spans="1:8" x14ac:dyDescent="0.25">
      <c r="A475" s="18" t="s">
        <v>1456</v>
      </c>
      <c r="B475" s="4">
        <f>Fact_Defect_Split!B80</f>
        <v>20260701</v>
      </c>
      <c r="C475" s="4">
        <f>Fact_Defect_Split!C80</f>
        <v>11</v>
      </c>
      <c r="D475" s="4" t="str">
        <f>Fact_Defect_Split!D80</f>
        <v>M2</v>
      </c>
      <c r="E475" s="4" t="str">
        <f>Fact_Defect_Split!E80</f>
        <v>A-AM</v>
      </c>
      <c r="F475" s="4" t="str">
        <f>Fact_Defect_Split!F80</f>
        <v>A</v>
      </c>
      <c r="G475" s="4" t="s">
        <v>520</v>
      </c>
      <c r="H475" s="19">
        <f>Fact_Defect_Split!L80</f>
        <v>1</v>
      </c>
    </row>
    <row r="476" spans="1:8" x14ac:dyDescent="0.25">
      <c r="A476" s="18" t="s">
        <v>1457</v>
      </c>
      <c r="B476" s="4">
        <f>Fact_Defect_Split!B81</f>
        <v>20260701</v>
      </c>
      <c r="C476" s="4">
        <f>Fact_Defect_Split!C81</f>
        <v>11</v>
      </c>
      <c r="D476" s="4" t="str">
        <f>Fact_Defect_Split!D81</f>
        <v>M3</v>
      </c>
      <c r="E476" s="4" t="str">
        <f>Fact_Defect_Split!E81</f>
        <v>A-AM</v>
      </c>
      <c r="F476" s="4" t="str">
        <f>Fact_Defect_Split!F81</f>
        <v>B</v>
      </c>
      <c r="G476" s="4" t="s">
        <v>498</v>
      </c>
      <c r="H476" s="19">
        <f>Fact_Defect_Split!G81</f>
        <v>0</v>
      </c>
    </row>
    <row r="477" spans="1:8" x14ac:dyDescent="0.25">
      <c r="A477" s="18" t="s">
        <v>1458</v>
      </c>
      <c r="B477" s="4">
        <f>Fact_Defect_Split!B81</f>
        <v>20260701</v>
      </c>
      <c r="C477" s="4">
        <f>Fact_Defect_Split!C81</f>
        <v>11</v>
      </c>
      <c r="D477" s="4" t="str">
        <f>Fact_Defect_Split!D81</f>
        <v>M3</v>
      </c>
      <c r="E477" s="4" t="str">
        <f>Fact_Defect_Split!E81</f>
        <v>A-AM</v>
      </c>
      <c r="F477" s="4" t="str">
        <f>Fact_Defect_Split!F81</f>
        <v>B</v>
      </c>
      <c r="G477" s="4" t="s">
        <v>500</v>
      </c>
      <c r="H477" s="19">
        <f>Fact_Defect_Split!H81</f>
        <v>0</v>
      </c>
    </row>
    <row r="478" spans="1:8" x14ac:dyDescent="0.25">
      <c r="A478" s="18" t="s">
        <v>1459</v>
      </c>
      <c r="B478" s="4">
        <f>Fact_Defect_Split!B81</f>
        <v>20260701</v>
      </c>
      <c r="C478" s="4">
        <f>Fact_Defect_Split!C81</f>
        <v>11</v>
      </c>
      <c r="D478" s="4" t="str">
        <f>Fact_Defect_Split!D81</f>
        <v>M3</v>
      </c>
      <c r="E478" s="4" t="str">
        <f>Fact_Defect_Split!E81</f>
        <v>A-AM</v>
      </c>
      <c r="F478" s="4" t="str">
        <f>Fact_Defect_Split!F81</f>
        <v>B</v>
      </c>
      <c r="G478" s="4" t="s">
        <v>517</v>
      </c>
      <c r="H478" s="19">
        <f>Fact_Defect_Split!I81</f>
        <v>0</v>
      </c>
    </row>
    <row r="479" spans="1:8" x14ac:dyDescent="0.25">
      <c r="A479" s="18" t="s">
        <v>1460</v>
      </c>
      <c r="B479" s="4">
        <f>Fact_Defect_Split!B81</f>
        <v>20260701</v>
      </c>
      <c r="C479" s="4">
        <f>Fact_Defect_Split!C81</f>
        <v>11</v>
      </c>
      <c r="D479" s="4" t="str">
        <f>Fact_Defect_Split!D81</f>
        <v>M3</v>
      </c>
      <c r="E479" s="4" t="str">
        <f>Fact_Defect_Split!E81</f>
        <v>A-AM</v>
      </c>
      <c r="F479" s="4" t="str">
        <f>Fact_Defect_Split!F81</f>
        <v>B</v>
      </c>
      <c r="G479" s="4" t="s">
        <v>503</v>
      </c>
      <c r="H479" s="19">
        <f>Fact_Defect_Split!J81</f>
        <v>1</v>
      </c>
    </row>
    <row r="480" spans="1:8" x14ac:dyDescent="0.25">
      <c r="A480" s="18" t="s">
        <v>1461</v>
      </c>
      <c r="B480" s="4">
        <f>Fact_Defect_Split!B81</f>
        <v>20260701</v>
      </c>
      <c r="C480" s="4">
        <f>Fact_Defect_Split!C81</f>
        <v>11</v>
      </c>
      <c r="D480" s="4" t="str">
        <f>Fact_Defect_Split!D81</f>
        <v>M3</v>
      </c>
      <c r="E480" s="4" t="str">
        <f>Fact_Defect_Split!E81</f>
        <v>A-AM</v>
      </c>
      <c r="F480" s="4" t="str">
        <f>Fact_Defect_Split!F81</f>
        <v>B</v>
      </c>
      <c r="G480" s="4" t="s">
        <v>509</v>
      </c>
      <c r="H480" s="19">
        <f>Fact_Defect_Split!K81</f>
        <v>1</v>
      </c>
    </row>
    <row r="481" spans="1:8" x14ac:dyDescent="0.25">
      <c r="A481" s="18" t="s">
        <v>1462</v>
      </c>
      <c r="B481" s="4">
        <f>Fact_Defect_Split!B81</f>
        <v>20260701</v>
      </c>
      <c r="C481" s="4">
        <f>Fact_Defect_Split!C81</f>
        <v>11</v>
      </c>
      <c r="D481" s="4" t="str">
        <f>Fact_Defect_Split!D81</f>
        <v>M3</v>
      </c>
      <c r="E481" s="4" t="str">
        <f>Fact_Defect_Split!E81</f>
        <v>A-AM</v>
      </c>
      <c r="F481" s="4" t="str">
        <f>Fact_Defect_Split!F81</f>
        <v>B</v>
      </c>
      <c r="G481" s="4" t="s">
        <v>520</v>
      </c>
      <c r="H481" s="19">
        <f>Fact_Defect_Split!L81</f>
        <v>0</v>
      </c>
    </row>
    <row r="482" spans="1:8" x14ac:dyDescent="0.25">
      <c r="A482" s="18" t="s">
        <v>1463</v>
      </c>
      <c r="B482" s="4">
        <f>Fact_Defect_Split!B82</f>
        <v>20260701</v>
      </c>
      <c r="C482" s="4">
        <f>Fact_Defect_Split!C82</f>
        <v>11</v>
      </c>
      <c r="D482" s="4" t="str">
        <f>Fact_Defect_Split!D82</f>
        <v>M4</v>
      </c>
      <c r="E482" s="4" t="str">
        <f>Fact_Defect_Split!E82</f>
        <v>A-AM</v>
      </c>
      <c r="F482" s="4" t="str">
        <f>Fact_Defect_Split!F82</f>
        <v>A</v>
      </c>
      <c r="G482" s="4" t="s">
        <v>498</v>
      </c>
      <c r="H482" s="19">
        <f>Fact_Defect_Split!G82</f>
        <v>0</v>
      </c>
    </row>
    <row r="483" spans="1:8" x14ac:dyDescent="0.25">
      <c r="A483" s="18" t="s">
        <v>1464</v>
      </c>
      <c r="B483" s="4">
        <f>Fact_Defect_Split!B82</f>
        <v>20260701</v>
      </c>
      <c r="C483" s="4">
        <f>Fact_Defect_Split!C82</f>
        <v>11</v>
      </c>
      <c r="D483" s="4" t="str">
        <f>Fact_Defect_Split!D82</f>
        <v>M4</v>
      </c>
      <c r="E483" s="4" t="str">
        <f>Fact_Defect_Split!E82</f>
        <v>A-AM</v>
      </c>
      <c r="F483" s="4" t="str">
        <f>Fact_Defect_Split!F82</f>
        <v>A</v>
      </c>
      <c r="G483" s="4" t="s">
        <v>500</v>
      </c>
      <c r="H483" s="19">
        <f>Fact_Defect_Split!H82</f>
        <v>0</v>
      </c>
    </row>
    <row r="484" spans="1:8" x14ac:dyDescent="0.25">
      <c r="A484" s="18" t="s">
        <v>1465</v>
      </c>
      <c r="B484" s="4">
        <f>Fact_Defect_Split!B82</f>
        <v>20260701</v>
      </c>
      <c r="C484" s="4">
        <f>Fact_Defect_Split!C82</f>
        <v>11</v>
      </c>
      <c r="D484" s="4" t="str">
        <f>Fact_Defect_Split!D82</f>
        <v>M4</v>
      </c>
      <c r="E484" s="4" t="str">
        <f>Fact_Defect_Split!E82</f>
        <v>A-AM</v>
      </c>
      <c r="F484" s="4" t="str">
        <f>Fact_Defect_Split!F82</f>
        <v>A</v>
      </c>
      <c r="G484" s="4" t="s">
        <v>517</v>
      </c>
      <c r="H484" s="19">
        <f>Fact_Defect_Split!I82</f>
        <v>0</v>
      </c>
    </row>
    <row r="485" spans="1:8" x14ac:dyDescent="0.25">
      <c r="A485" s="18" t="s">
        <v>1466</v>
      </c>
      <c r="B485" s="4">
        <f>Fact_Defect_Split!B82</f>
        <v>20260701</v>
      </c>
      <c r="C485" s="4">
        <f>Fact_Defect_Split!C82</f>
        <v>11</v>
      </c>
      <c r="D485" s="4" t="str">
        <f>Fact_Defect_Split!D82</f>
        <v>M4</v>
      </c>
      <c r="E485" s="4" t="str">
        <f>Fact_Defect_Split!E82</f>
        <v>A-AM</v>
      </c>
      <c r="F485" s="4" t="str">
        <f>Fact_Defect_Split!F82</f>
        <v>A</v>
      </c>
      <c r="G485" s="4" t="s">
        <v>503</v>
      </c>
      <c r="H485" s="19">
        <f>Fact_Defect_Split!J82</f>
        <v>0</v>
      </c>
    </row>
    <row r="486" spans="1:8" x14ac:dyDescent="0.25">
      <c r="A486" s="18" t="s">
        <v>1467</v>
      </c>
      <c r="B486" s="4">
        <f>Fact_Defect_Split!B82</f>
        <v>20260701</v>
      </c>
      <c r="C486" s="4">
        <f>Fact_Defect_Split!C82</f>
        <v>11</v>
      </c>
      <c r="D486" s="4" t="str">
        <f>Fact_Defect_Split!D82</f>
        <v>M4</v>
      </c>
      <c r="E486" s="4" t="str">
        <f>Fact_Defect_Split!E82</f>
        <v>A-AM</v>
      </c>
      <c r="F486" s="4" t="str">
        <f>Fact_Defect_Split!F82</f>
        <v>A</v>
      </c>
      <c r="G486" s="4" t="s">
        <v>509</v>
      </c>
      <c r="H486" s="19">
        <f>Fact_Defect_Split!K82</f>
        <v>0</v>
      </c>
    </row>
    <row r="487" spans="1:8" x14ac:dyDescent="0.25">
      <c r="A487" s="18" t="s">
        <v>1468</v>
      </c>
      <c r="B487" s="4">
        <f>Fact_Defect_Split!B82</f>
        <v>20260701</v>
      </c>
      <c r="C487" s="4">
        <f>Fact_Defect_Split!C82</f>
        <v>11</v>
      </c>
      <c r="D487" s="4" t="str">
        <f>Fact_Defect_Split!D82</f>
        <v>M4</v>
      </c>
      <c r="E487" s="4" t="str">
        <f>Fact_Defect_Split!E82</f>
        <v>A-AM</v>
      </c>
      <c r="F487" s="4" t="str">
        <f>Fact_Defect_Split!F82</f>
        <v>A</v>
      </c>
      <c r="G487" s="4" t="s">
        <v>520</v>
      </c>
      <c r="H487" s="19">
        <f>Fact_Defect_Split!L82</f>
        <v>1</v>
      </c>
    </row>
    <row r="488" spans="1:8" x14ac:dyDescent="0.25">
      <c r="A488" s="18" t="s">
        <v>1469</v>
      </c>
      <c r="B488" s="4">
        <f>Fact_Defect_Split!B83</f>
        <v>20260701</v>
      </c>
      <c r="C488" s="4">
        <f>Fact_Defect_Split!C83</f>
        <v>11</v>
      </c>
      <c r="D488" s="4" t="str">
        <f>Fact_Defect_Split!D83</f>
        <v>M5</v>
      </c>
      <c r="E488" s="4" t="str">
        <f>Fact_Defect_Split!E83</f>
        <v>A-AM</v>
      </c>
      <c r="F488" s="4" t="str">
        <f>Fact_Defect_Split!F83</f>
        <v>C</v>
      </c>
      <c r="G488" s="4" t="s">
        <v>498</v>
      </c>
      <c r="H488" s="19">
        <f>Fact_Defect_Split!G83</f>
        <v>0</v>
      </c>
    </row>
    <row r="489" spans="1:8" x14ac:dyDescent="0.25">
      <c r="A489" s="18" t="s">
        <v>1470</v>
      </c>
      <c r="B489" s="4">
        <f>Fact_Defect_Split!B83</f>
        <v>20260701</v>
      </c>
      <c r="C489" s="4">
        <f>Fact_Defect_Split!C83</f>
        <v>11</v>
      </c>
      <c r="D489" s="4" t="str">
        <f>Fact_Defect_Split!D83</f>
        <v>M5</v>
      </c>
      <c r="E489" s="4" t="str">
        <f>Fact_Defect_Split!E83</f>
        <v>A-AM</v>
      </c>
      <c r="F489" s="4" t="str">
        <f>Fact_Defect_Split!F83</f>
        <v>C</v>
      </c>
      <c r="G489" s="4" t="s">
        <v>500</v>
      </c>
      <c r="H489" s="19">
        <f>Fact_Defect_Split!H83</f>
        <v>0</v>
      </c>
    </row>
    <row r="490" spans="1:8" x14ac:dyDescent="0.25">
      <c r="A490" s="18" t="s">
        <v>1471</v>
      </c>
      <c r="B490" s="4">
        <f>Fact_Defect_Split!B83</f>
        <v>20260701</v>
      </c>
      <c r="C490" s="4">
        <f>Fact_Defect_Split!C83</f>
        <v>11</v>
      </c>
      <c r="D490" s="4" t="str">
        <f>Fact_Defect_Split!D83</f>
        <v>M5</v>
      </c>
      <c r="E490" s="4" t="str">
        <f>Fact_Defect_Split!E83</f>
        <v>A-AM</v>
      </c>
      <c r="F490" s="4" t="str">
        <f>Fact_Defect_Split!F83</f>
        <v>C</v>
      </c>
      <c r="G490" s="4" t="s">
        <v>517</v>
      </c>
      <c r="H490" s="19">
        <f>Fact_Defect_Split!I83</f>
        <v>1</v>
      </c>
    </row>
    <row r="491" spans="1:8" x14ac:dyDescent="0.25">
      <c r="A491" s="18" t="s">
        <v>1472</v>
      </c>
      <c r="B491" s="4">
        <f>Fact_Defect_Split!B83</f>
        <v>20260701</v>
      </c>
      <c r="C491" s="4">
        <f>Fact_Defect_Split!C83</f>
        <v>11</v>
      </c>
      <c r="D491" s="4" t="str">
        <f>Fact_Defect_Split!D83</f>
        <v>M5</v>
      </c>
      <c r="E491" s="4" t="str">
        <f>Fact_Defect_Split!E83</f>
        <v>A-AM</v>
      </c>
      <c r="F491" s="4" t="str">
        <f>Fact_Defect_Split!F83</f>
        <v>C</v>
      </c>
      <c r="G491" s="4" t="s">
        <v>503</v>
      </c>
      <c r="H491" s="19">
        <f>Fact_Defect_Split!J83</f>
        <v>0</v>
      </c>
    </row>
    <row r="492" spans="1:8" x14ac:dyDescent="0.25">
      <c r="A492" s="18" t="s">
        <v>1473</v>
      </c>
      <c r="B492" s="4">
        <f>Fact_Defect_Split!B83</f>
        <v>20260701</v>
      </c>
      <c r="C492" s="4">
        <f>Fact_Defect_Split!C83</f>
        <v>11</v>
      </c>
      <c r="D492" s="4" t="str">
        <f>Fact_Defect_Split!D83</f>
        <v>M5</v>
      </c>
      <c r="E492" s="4" t="str">
        <f>Fact_Defect_Split!E83</f>
        <v>A-AM</v>
      </c>
      <c r="F492" s="4" t="str">
        <f>Fact_Defect_Split!F83</f>
        <v>C</v>
      </c>
      <c r="G492" s="4" t="s">
        <v>509</v>
      </c>
      <c r="H492" s="19">
        <f>Fact_Defect_Split!K83</f>
        <v>1</v>
      </c>
    </row>
    <row r="493" spans="1:8" x14ac:dyDescent="0.25">
      <c r="A493" s="18" t="s">
        <v>1474</v>
      </c>
      <c r="B493" s="4">
        <f>Fact_Defect_Split!B83</f>
        <v>20260701</v>
      </c>
      <c r="C493" s="4">
        <f>Fact_Defect_Split!C83</f>
        <v>11</v>
      </c>
      <c r="D493" s="4" t="str">
        <f>Fact_Defect_Split!D83</f>
        <v>M5</v>
      </c>
      <c r="E493" s="4" t="str">
        <f>Fact_Defect_Split!E83</f>
        <v>A-AM</v>
      </c>
      <c r="F493" s="4" t="str">
        <f>Fact_Defect_Split!F83</f>
        <v>C</v>
      </c>
      <c r="G493" s="4" t="s">
        <v>520</v>
      </c>
      <c r="H493" s="19">
        <f>Fact_Defect_Split!L83</f>
        <v>0</v>
      </c>
    </row>
    <row r="494" spans="1:8" x14ac:dyDescent="0.25">
      <c r="A494" s="18" t="s">
        <v>1475</v>
      </c>
      <c r="B494" s="4">
        <f>Fact_Defect_Split!B84</f>
        <v>20260701</v>
      </c>
      <c r="C494" s="4">
        <f>Fact_Defect_Split!C84</f>
        <v>11</v>
      </c>
      <c r="D494" s="4" t="str">
        <f>Fact_Defect_Split!D84</f>
        <v>M6</v>
      </c>
      <c r="E494" s="4" t="str">
        <f>Fact_Defect_Split!E84</f>
        <v>A-AM</v>
      </c>
      <c r="F494" s="4" t="str">
        <f>Fact_Defect_Split!F84</f>
        <v>C</v>
      </c>
      <c r="G494" s="4" t="s">
        <v>498</v>
      </c>
      <c r="H494" s="19">
        <f>Fact_Defect_Split!G84</f>
        <v>0</v>
      </c>
    </row>
    <row r="495" spans="1:8" x14ac:dyDescent="0.25">
      <c r="A495" s="18" t="s">
        <v>1476</v>
      </c>
      <c r="B495" s="4">
        <f>Fact_Defect_Split!B84</f>
        <v>20260701</v>
      </c>
      <c r="C495" s="4">
        <f>Fact_Defect_Split!C84</f>
        <v>11</v>
      </c>
      <c r="D495" s="4" t="str">
        <f>Fact_Defect_Split!D84</f>
        <v>M6</v>
      </c>
      <c r="E495" s="4" t="str">
        <f>Fact_Defect_Split!E84</f>
        <v>A-AM</v>
      </c>
      <c r="F495" s="4" t="str">
        <f>Fact_Defect_Split!F84</f>
        <v>C</v>
      </c>
      <c r="G495" s="4" t="s">
        <v>500</v>
      </c>
      <c r="H495" s="19">
        <f>Fact_Defect_Split!H84</f>
        <v>0</v>
      </c>
    </row>
    <row r="496" spans="1:8" x14ac:dyDescent="0.25">
      <c r="A496" s="18" t="s">
        <v>1477</v>
      </c>
      <c r="B496" s="4">
        <f>Fact_Defect_Split!B84</f>
        <v>20260701</v>
      </c>
      <c r="C496" s="4">
        <f>Fact_Defect_Split!C84</f>
        <v>11</v>
      </c>
      <c r="D496" s="4" t="str">
        <f>Fact_Defect_Split!D84</f>
        <v>M6</v>
      </c>
      <c r="E496" s="4" t="str">
        <f>Fact_Defect_Split!E84</f>
        <v>A-AM</v>
      </c>
      <c r="F496" s="4" t="str">
        <f>Fact_Defect_Split!F84</f>
        <v>C</v>
      </c>
      <c r="G496" s="4" t="s">
        <v>517</v>
      </c>
      <c r="H496" s="19">
        <f>Fact_Defect_Split!I84</f>
        <v>0</v>
      </c>
    </row>
    <row r="497" spans="1:8" x14ac:dyDescent="0.25">
      <c r="A497" s="18" t="s">
        <v>1478</v>
      </c>
      <c r="B497" s="4">
        <f>Fact_Defect_Split!B84</f>
        <v>20260701</v>
      </c>
      <c r="C497" s="4">
        <f>Fact_Defect_Split!C84</f>
        <v>11</v>
      </c>
      <c r="D497" s="4" t="str">
        <f>Fact_Defect_Split!D84</f>
        <v>M6</v>
      </c>
      <c r="E497" s="4" t="str">
        <f>Fact_Defect_Split!E84</f>
        <v>A-AM</v>
      </c>
      <c r="F497" s="4" t="str">
        <f>Fact_Defect_Split!F84</f>
        <v>C</v>
      </c>
      <c r="G497" s="4" t="s">
        <v>503</v>
      </c>
      <c r="H497" s="19">
        <f>Fact_Defect_Split!J84</f>
        <v>0</v>
      </c>
    </row>
    <row r="498" spans="1:8" x14ac:dyDescent="0.25">
      <c r="A498" s="18" t="s">
        <v>1479</v>
      </c>
      <c r="B498" s="4">
        <f>Fact_Defect_Split!B84</f>
        <v>20260701</v>
      </c>
      <c r="C498" s="4">
        <f>Fact_Defect_Split!C84</f>
        <v>11</v>
      </c>
      <c r="D498" s="4" t="str">
        <f>Fact_Defect_Split!D84</f>
        <v>M6</v>
      </c>
      <c r="E498" s="4" t="str">
        <f>Fact_Defect_Split!E84</f>
        <v>A-AM</v>
      </c>
      <c r="F498" s="4" t="str">
        <f>Fact_Defect_Split!F84</f>
        <v>C</v>
      </c>
      <c r="G498" s="4" t="s">
        <v>509</v>
      </c>
      <c r="H498" s="19">
        <f>Fact_Defect_Split!K84</f>
        <v>0</v>
      </c>
    </row>
    <row r="499" spans="1:8" x14ac:dyDescent="0.25">
      <c r="A499" s="18" t="s">
        <v>1480</v>
      </c>
      <c r="B499" s="4">
        <f>Fact_Defect_Split!B84</f>
        <v>20260701</v>
      </c>
      <c r="C499" s="4">
        <f>Fact_Defect_Split!C84</f>
        <v>11</v>
      </c>
      <c r="D499" s="4" t="str">
        <f>Fact_Defect_Split!D84</f>
        <v>M6</v>
      </c>
      <c r="E499" s="4" t="str">
        <f>Fact_Defect_Split!E84</f>
        <v>A-AM</v>
      </c>
      <c r="F499" s="4" t="str">
        <f>Fact_Defect_Split!F84</f>
        <v>C</v>
      </c>
      <c r="G499" s="4" t="s">
        <v>520</v>
      </c>
      <c r="H499" s="19">
        <f>Fact_Defect_Split!L84</f>
        <v>0</v>
      </c>
    </row>
    <row r="500" spans="1:8" x14ac:dyDescent="0.25">
      <c r="A500" s="18" t="s">
        <v>1481</v>
      </c>
      <c r="B500" s="4">
        <f>Fact_Defect_Split!B85</f>
        <v>20260701</v>
      </c>
      <c r="C500" s="4">
        <f>Fact_Defect_Split!C85</f>
        <v>11</v>
      </c>
      <c r="D500" s="4" t="str">
        <f>Fact_Defect_Split!D85</f>
        <v>M7</v>
      </c>
      <c r="E500" s="4" t="str">
        <f>Fact_Defect_Split!E85</f>
        <v>A-AM</v>
      </c>
      <c r="F500" s="4" t="str">
        <f>Fact_Defect_Split!F85</f>
        <v>C</v>
      </c>
      <c r="G500" s="4" t="s">
        <v>498</v>
      </c>
      <c r="H500" s="19">
        <f>Fact_Defect_Split!G85</f>
        <v>0</v>
      </c>
    </row>
    <row r="501" spans="1:8" x14ac:dyDescent="0.25">
      <c r="A501" s="18" t="s">
        <v>1482</v>
      </c>
      <c r="B501" s="4">
        <f>Fact_Defect_Split!B85</f>
        <v>20260701</v>
      </c>
      <c r="C501" s="4">
        <f>Fact_Defect_Split!C85</f>
        <v>11</v>
      </c>
      <c r="D501" s="4" t="str">
        <f>Fact_Defect_Split!D85</f>
        <v>M7</v>
      </c>
      <c r="E501" s="4" t="str">
        <f>Fact_Defect_Split!E85</f>
        <v>A-AM</v>
      </c>
      <c r="F501" s="4" t="str">
        <f>Fact_Defect_Split!F85</f>
        <v>C</v>
      </c>
      <c r="G501" s="4" t="s">
        <v>500</v>
      </c>
      <c r="H501" s="19">
        <f>Fact_Defect_Split!H85</f>
        <v>0</v>
      </c>
    </row>
    <row r="502" spans="1:8" x14ac:dyDescent="0.25">
      <c r="A502" s="18" t="s">
        <v>1483</v>
      </c>
      <c r="B502" s="4">
        <f>Fact_Defect_Split!B85</f>
        <v>20260701</v>
      </c>
      <c r="C502" s="4">
        <f>Fact_Defect_Split!C85</f>
        <v>11</v>
      </c>
      <c r="D502" s="4" t="str">
        <f>Fact_Defect_Split!D85</f>
        <v>M7</v>
      </c>
      <c r="E502" s="4" t="str">
        <f>Fact_Defect_Split!E85</f>
        <v>A-AM</v>
      </c>
      <c r="F502" s="4" t="str">
        <f>Fact_Defect_Split!F85</f>
        <v>C</v>
      </c>
      <c r="G502" s="4" t="s">
        <v>517</v>
      </c>
      <c r="H502" s="19">
        <f>Fact_Defect_Split!I85</f>
        <v>1</v>
      </c>
    </row>
    <row r="503" spans="1:8" x14ac:dyDescent="0.25">
      <c r="A503" s="18" t="s">
        <v>1484</v>
      </c>
      <c r="B503" s="4">
        <f>Fact_Defect_Split!B85</f>
        <v>20260701</v>
      </c>
      <c r="C503" s="4">
        <f>Fact_Defect_Split!C85</f>
        <v>11</v>
      </c>
      <c r="D503" s="4" t="str">
        <f>Fact_Defect_Split!D85</f>
        <v>M7</v>
      </c>
      <c r="E503" s="4" t="str">
        <f>Fact_Defect_Split!E85</f>
        <v>A-AM</v>
      </c>
      <c r="F503" s="4" t="str">
        <f>Fact_Defect_Split!F85</f>
        <v>C</v>
      </c>
      <c r="G503" s="4" t="s">
        <v>503</v>
      </c>
      <c r="H503" s="19">
        <f>Fact_Defect_Split!J85</f>
        <v>0</v>
      </c>
    </row>
    <row r="504" spans="1:8" x14ac:dyDescent="0.25">
      <c r="A504" s="18" t="s">
        <v>1485</v>
      </c>
      <c r="B504" s="4">
        <f>Fact_Defect_Split!B85</f>
        <v>20260701</v>
      </c>
      <c r="C504" s="4">
        <f>Fact_Defect_Split!C85</f>
        <v>11</v>
      </c>
      <c r="D504" s="4" t="str">
        <f>Fact_Defect_Split!D85</f>
        <v>M7</v>
      </c>
      <c r="E504" s="4" t="str">
        <f>Fact_Defect_Split!E85</f>
        <v>A-AM</v>
      </c>
      <c r="F504" s="4" t="str">
        <f>Fact_Defect_Split!F85</f>
        <v>C</v>
      </c>
      <c r="G504" s="4" t="s">
        <v>509</v>
      </c>
      <c r="H504" s="19">
        <f>Fact_Defect_Split!K85</f>
        <v>1</v>
      </c>
    </row>
    <row r="505" spans="1:8" x14ac:dyDescent="0.25">
      <c r="A505" s="18" t="s">
        <v>1486</v>
      </c>
      <c r="B505" s="4">
        <f>Fact_Defect_Split!B85</f>
        <v>20260701</v>
      </c>
      <c r="C505" s="4">
        <f>Fact_Defect_Split!C85</f>
        <v>11</v>
      </c>
      <c r="D505" s="4" t="str">
        <f>Fact_Defect_Split!D85</f>
        <v>M7</v>
      </c>
      <c r="E505" s="4" t="str">
        <f>Fact_Defect_Split!E85</f>
        <v>A-AM</v>
      </c>
      <c r="F505" s="4" t="str">
        <f>Fact_Defect_Split!F85</f>
        <v>C</v>
      </c>
      <c r="G505" s="4" t="s">
        <v>520</v>
      </c>
      <c r="H505" s="19">
        <f>Fact_Defect_Split!L85</f>
        <v>0</v>
      </c>
    </row>
    <row r="506" spans="1:8" x14ac:dyDescent="0.25">
      <c r="A506" s="18" t="s">
        <v>1487</v>
      </c>
      <c r="B506" s="4">
        <f>Fact_Defect_Split!B86</f>
        <v>20260701</v>
      </c>
      <c r="C506" s="4">
        <f>Fact_Defect_Split!C86</f>
        <v>12</v>
      </c>
      <c r="D506" s="4" t="str">
        <f>Fact_Defect_Split!D86</f>
        <v>M1</v>
      </c>
      <c r="E506" s="4" t="str">
        <f>Fact_Defect_Split!E86</f>
        <v>A-AM</v>
      </c>
      <c r="F506" s="4" t="str">
        <f>Fact_Defect_Split!F86</f>
        <v>C</v>
      </c>
      <c r="G506" s="4" t="s">
        <v>498</v>
      </c>
      <c r="H506" s="19">
        <f>Fact_Defect_Split!G86</f>
        <v>0</v>
      </c>
    </row>
    <row r="507" spans="1:8" x14ac:dyDescent="0.25">
      <c r="A507" s="18" t="s">
        <v>1488</v>
      </c>
      <c r="B507" s="4">
        <f>Fact_Defect_Split!B86</f>
        <v>20260701</v>
      </c>
      <c r="C507" s="4">
        <f>Fact_Defect_Split!C86</f>
        <v>12</v>
      </c>
      <c r="D507" s="4" t="str">
        <f>Fact_Defect_Split!D86</f>
        <v>M1</v>
      </c>
      <c r="E507" s="4" t="str">
        <f>Fact_Defect_Split!E86</f>
        <v>A-AM</v>
      </c>
      <c r="F507" s="4" t="str">
        <f>Fact_Defect_Split!F86</f>
        <v>C</v>
      </c>
      <c r="G507" s="4" t="s">
        <v>500</v>
      </c>
      <c r="H507" s="19">
        <f>Fact_Defect_Split!H86</f>
        <v>0</v>
      </c>
    </row>
    <row r="508" spans="1:8" x14ac:dyDescent="0.25">
      <c r="A508" s="18" t="s">
        <v>1489</v>
      </c>
      <c r="B508" s="4">
        <f>Fact_Defect_Split!B86</f>
        <v>20260701</v>
      </c>
      <c r="C508" s="4">
        <f>Fact_Defect_Split!C86</f>
        <v>12</v>
      </c>
      <c r="D508" s="4" t="str">
        <f>Fact_Defect_Split!D86</f>
        <v>M1</v>
      </c>
      <c r="E508" s="4" t="str">
        <f>Fact_Defect_Split!E86</f>
        <v>A-AM</v>
      </c>
      <c r="F508" s="4" t="str">
        <f>Fact_Defect_Split!F86</f>
        <v>C</v>
      </c>
      <c r="G508" s="4" t="s">
        <v>517</v>
      </c>
      <c r="H508" s="19">
        <f>Fact_Defect_Split!I86</f>
        <v>0</v>
      </c>
    </row>
    <row r="509" spans="1:8" x14ac:dyDescent="0.25">
      <c r="A509" s="18" t="s">
        <v>1490</v>
      </c>
      <c r="B509" s="4">
        <f>Fact_Defect_Split!B86</f>
        <v>20260701</v>
      </c>
      <c r="C509" s="4">
        <f>Fact_Defect_Split!C86</f>
        <v>12</v>
      </c>
      <c r="D509" s="4" t="str">
        <f>Fact_Defect_Split!D86</f>
        <v>M1</v>
      </c>
      <c r="E509" s="4" t="str">
        <f>Fact_Defect_Split!E86</f>
        <v>A-AM</v>
      </c>
      <c r="F509" s="4" t="str">
        <f>Fact_Defect_Split!F86</f>
        <v>C</v>
      </c>
      <c r="G509" s="4" t="s">
        <v>503</v>
      </c>
      <c r="H509" s="19">
        <f>Fact_Defect_Split!J86</f>
        <v>0</v>
      </c>
    </row>
    <row r="510" spans="1:8" x14ac:dyDescent="0.25">
      <c r="A510" s="18" t="s">
        <v>1491</v>
      </c>
      <c r="B510" s="4">
        <f>Fact_Defect_Split!B86</f>
        <v>20260701</v>
      </c>
      <c r="C510" s="4">
        <f>Fact_Defect_Split!C86</f>
        <v>12</v>
      </c>
      <c r="D510" s="4" t="str">
        <f>Fact_Defect_Split!D86</f>
        <v>M1</v>
      </c>
      <c r="E510" s="4" t="str">
        <f>Fact_Defect_Split!E86</f>
        <v>A-AM</v>
      </c>
      <c r="F510" s="4" t="str">
        <f>Fact_Defect_Split!F86</f>
        <v>C</v>
      </c>
      <c r="G510" s="4" t="s">
        <v>509</v>
      </c>
      <c r="H510" s="19">
        <f>Fact_Defect_Split!K86</f>
        <v>0</v>
      </c>
    </row>
    <row r="511" spans="1:8" x14ac:dyDescent="0.25">
      <c r="A511" s="18" t="s">
        <v>1492</v>
      </c>
      <c r="B511" s="4">
        <f>Fact_Defect_Split!B86</f>
        <v>20260701</v>
      </c>
      <c r="C511" s="4">
        <f>Fact_Defect_Split!C86</f>
        <v>12</v>
      </c>
      <c r="D511" s="4" t="str">
        <f>Fact_Defect_Split!D86</f>
        <v>M1</v>
      </c>
      <c r="E511" s="4" t="str">
        <f>Fact_Defect_Split!E86</f>
        <v>A-AM</v>
      </c>
      <c r="F511" s="4" t="str">
        <f>Fact_Defect_Split!F86</f>
        <v>C</v>
      </c>
      <c r="G511" s="4" t="s">
        <v>520</v>
      </c>
      <c r="H511" s="19">
        <f>Fact_Defect_Split!L86</f>
        <v>0</v>
      </c>
    </row>
    <row r="512" spans="1:8" x14ac:dyDescent="0.25">
      <c r="A512" s="18" t="s">
        <v>1493</v>
      </c>
      <c r="B512" s="4">
        <f>Fact_Defect_Split!B87</f>
        <v>20260701</v>
      </c>
      <c r="C512" s="4">
        <f>Fact_Defect_Split!C87</f>
        <v>12</v>
      </c>
      <c r="D512" s="4" t="str">
        <f>Fact_Defect_Split!D87</f>
        <v>M2</v>
      </c>
      <c r="E512" s="4" t="str">
        <f>Fact_Defect_Split!E87</f>
        <v>A-AM</v>
      </c>
      <c r="F512" s="4" t="str">
        <f>Fact_Defect_Split!F87</f>
        <v>A</v>
      </c>
      <c r="G512" s="4" t="s">
        <v>498</v>
      </c>
      <c r="H512" s="19">
        <f>Fact_Defect_Split!G87</f>
        <v>0</v>
      </c>
    </row>
    <row r="513" spans="1:8" x14ac:dyDescent="0.25">
      <c r="A513" s="18" t="s">
        <v>1494</v>
      </c>
      <c r="B513" s="4">
        <f>Fact_Defect_Split!B87</f>
        <v>20260701</v>
      </c>
      <c r="C513" s="4">
        <f>Fact_Defect_Split!C87</f>
        <v>12</v>
      </c>
      <c r="D513" s="4" t="str">
        <f>Fact_Defect_Split!D87</f>
        <v>M2</v>
      </c>
      <c r="E513" s="4" t="str">
        <f>Fact_Defect_Split!E87</f>
        <v>A-AM</v>
      </c>
      <c r="F513" s="4" t="str">
        <f>Fact_Defect_Split!F87</f>
        <v>A</v>
      </c>
      <c r="G513" s="4" t="s">
        <v>500</v>
      </c>
      <c r="H513" s="19">
        <f>Fact_Defect_Split!H87</f>
        <v>0</v>
      </c>
    </row>
    <row r="514" spans="1:8" x14ac:dyDescent="0.25">
      <c r="A514" s="18" t="s">
        <v>1495</v>
      </c>
      <c r="B514" s="4">
        <f>Fact_Defect_Split!B87</f>
        <v>20260701</v>
      </c>
      <c r="C514" s="4">
        <f>Fact_Defect_Split!C87</f>
        <v>12</v>
      </c>
      <c r="D514" s="4" t="str">
        <f>Fact_Defect_Split!D87</f>
        <v>M2</v>
      </c>
      <c r="E514" s="4" t="str">
        <f>Fact_Defect_Split!E87</f>
        <v>A-AM</v>
      </c>
      <c r="F514" s="4" t="str">
        <f>Fact_Defect_Split!F87</f>
        <v>A</v>
      </c>
      <c r="G514" s="4" t="s">
        <v>517</v>
      </c>
      <c r="H514" s="19">
        <f>Fact_Defect_Split!I87</f>
        <v>0</v>
      </c>
    </row>
    <row r="515" spans="1:8" x14ac:dyDescent="0.25">
      <c r="A515" s="18" t="s">
        <v>1496</v>
      </c>
      <c r="B515" s="4">
        <f>Fact_Defect_Split!B87</f>
        <v>20260701</v>
      </c>
      <c r="C515" s="4">
        <f>Fact_Defect_Split!C87</f>
        <v>12</v>
      </c>
      <c r="D515" s="4" t="str">
        <f>Fact_Defect_Split!D87</f>
        <v>M2</v>
      </c>
      <c r="E515" s="4" t="str">
        <f>Fact_Defect_Split!E87</f>
        <v>A-AM</v>
      </c>
      <c r="F515" s="4" t="str">
        <f>Fact_Defect_Split!F87</f>
        <v>A</v>
      </c>
      <c r="G515" s="4" t="s">
        <v>503</v>
      </c>
      <c r="H515" s="19">
        <f>Fact_Defect_Split!J87</f>
        <v>1</v>
      </c>
    </row>
    <row r="516" spans="1:8" x14ac:dyDescent="0.25">
      <c r="A516" s="18" t="s">
        <v>1497</v>
      </c>
      <c r="B516" s="4">
        <f>Fact_Defect_Split!B87</f>
        <v>20260701</v>
      </c>
      <c r="C516" s="4">
        <f>Fact_Defect_Split!C87</f>
        <v>12</v>
      </c>
      <c r="D516" s="4" t="str">
        <f>Fact_Defect_Split!D87</f>
        <v>M2</v>
      </c>
      <c r="E516" s="4" t="str">
        <f>Fact_Defect_Split!E87</f>
        <v>A-AM</v>
      </c>
      <c r="F516" s="4" t="str">
        <f>Fact_Defect_Split!F87</f>
        <v>A</v>
      </c>
      <c r="G516" s="4" t="s">
        <v>509</v>
      </c>
      <c r="H516" s="19">
        <f>Fact_Defect_Split!K87</f>
        <v>1</v>
      </c>
    </row>
    <row r="517" spans="1:8" x14ac:dyDescent="0.25">
      <c r="A517" s="18" t="s">
        <v>1498</v>
      </c>
      <c r="B517" s="4">
        <f>Fact_Defect_Split!B87</f>
        <v>20260701</v>
      </c>
      <c r="C517" s="4">
        <f>Fact_Defect_Split!C87</f>
        <v>12</v>
      </c>
      <c r="D517" s="4" t="str">
        <f>Fact_Defect_Split!D87</f>
        <v>M2</v>
      </c>
      <c r="E517" s="4" t="str">
        <f>Fact_Defect_Split!E87</f>
        <v>A-AM</v>
      </c>
      <c r="F517" s="4" t="str">
        <f>Fact_Defect_Split!F87</f>
        <v>A</v>
      </c>
      <c r="G517" s="4" t="s">
        <v>520</v>
      </c>
      <c r="H517" s="19">
        <f>Fact_Defect_Split!L87</f>
        <v>0</v>
      </c>
    </row>
    <row r="518" spans="1:8" x14ac:dyDescent="0.25">
      <c r="A518" s="18" t="s">
        <v>1499</v>
      </c>
      <c r="B518" s="4">
        <f>Fact_Defect_Split!B88</f>
        <v>20260701</v>
      </c>
      <c r="C518" s="4">
        <f>Fact_Defect_Split!C88</f>
        <v>12</v>
      </c>
      <c r="D518" s="4" t="str">
        <f>Fact_Defect_Split!D88</f>
        <v>M3</v>
      </c>
      <c r="E518" s="4" t="str">
        <f>Fact_Defect_Split!E88</f>
        <v>A-AM</v>
      </c>
      <c r="F518" s="4" t="str">
        <f>Fact_Defect_Split!F88</f>
        <v>B</v>
      </c>
      <c r="G518" s="4" t="s">
        <v>498</v>
      </c>
      <c r="H518" s="19">
        <f>Fact_Defect_Split!G88</f>
        <v>0</v>
      </c>
    </row>
    <row r="519" spans="1:8" x14ac:dyDescent="0.25">
      <c r="A519" s="18" t="s">
        <v>1500</v>
      </c>
      <c r="B519" s="4">
        <f>Fact_Defect_Split!B88</f>
        <v>20260701</v>
      </c>
      <c r="C519" s="4">
        <f>Fact_Defect_Split!C88</f>
        <v>12</v>
      </c>
      <c r="D519" s="4" t="str">
        <f>Fact_Defect_Split!D88</f>
        <v>M3</v>
      </c>
      <c r="E519" s="4" t="str">
        <f>Fact_Defect_Split!E88</f>
        <v>A-AM</v>
      </c>
      <c r="F519" s="4" t="str">
        <f>Fact_Defect_Split!F88</f>
        <v>B</v>
      </c>
      <c r="G519" s="4" t="s">
        <v>500</v>
      </c>
      <c r="H519" s="19">
        <f>Fact_Defect_Split!H88</f>
        <v>0</v>
      </c>
    </row>
    <row r="520" spans="1:8" x14ac:dyDescent="0.25">
      <c r="A520" s="18" t="s">
        <v>1501</v>
      </c>
      <c r="B520" s="4">
        <f>Fact_Defect_Split!B88</f>
        <v>20260701</v>
      </c>
      <c r="C520" s="4">
        <f>Fact_Defect_Split!C88</f>
        <v>12</v>
      </c>
      <c r="D520" s="4" t="str">
        <f>Fact_Defect_Split!D88</f>
        <v>M3</v>
      </c>
      <c r="E520" s="4" t="str">
        <f>Fact_Defect_Split!E88</f>
        <v>A-AM</v>
      </c>
      <c r="F520" s="4" t="str">
        <f>Fact_Defect_Split!F88</f>
        <v>B</v>
      </c>
      <c r="G520" s="4" t="s">
        <v>517</v>
      </c>
      <c r="H520" s="19">
        <f>Fact_Defect_Split!I88</f>
        <v>0</v>
      </c>
    </row>
    <row r="521" spans="1:8" x14ac:dyDescent="0.25">
      <c r="A521" s="18" t="s">
        <v>1502</v>
      </c>
      <c r="B521" s="4">
        <f>Fact_Defect_Split!B88</f>
        <v>20260701</v>
      </c>
      <c r="C521" s="4">
        <f>Fact_Defect_Split!C88</f>
        <v>12</v>
      </c>
      <c r="D521" s="4" t="str">
        <f>Fact_Defect_Split!D88</f>
        <v>M3</v>
      </c>
      <c r="E521" s="4" t="str">
        <f>Fact_Defect_Split!E88</f>
        <v>A-AM</v>
      </c>
      <c r="F521" s="4" t="str">
        <f>Fact_Defect_Split!F88</f>
        <v>B</v>
      </c>
      <c r="G521" s="4" t="s">
        <v>503</v>
      </c>
      <c r="H521" s="19">
        <f>Fact_Defect_Split!J88</f>
        <v>0</v>
      </c>
    </row>
    <row r="522" spans="1:8" x14ac:dyDescent="0.25">
      <c r="A522" s="18" t="s">
        <v>1503</v>
      </c>
      <c r="B522" s="4">
        <f>Fact_Defect_Split!B88</f>
        <v>20260701</v>
      </c>
      <c r="C522" s="4">
        <f>Fact_Defect_Split!C88</f>
        <v>12</v>
      </c>
      <c r="D522" s="4" t="str">
        <f>Fact_Defect_Split!D88</f>
        <v>M3</v>
      </c>
      <c r="E522" s="4" t="str">
        <f>Fact_Defect_Split!E88</f>
        <v>A-AM</v>
      </c>
      <c r="F522" s="4" t="str">
        <f>Fact_Defect_Split!F88</f>
        <v>B</v>
      </c>
      <c r="G522" s="4" t="s">
        <v>509</v>
      </c>
      <c r="H522" s="19">
        <f>Fact_Defect_Split!K88</f>
        <v>1</v>
      </c>
    </row>
    <row r="523" spans="1:8" x14ac:dyDescent="0.25">
      <c r="A523" s="18" t="s">
        <v>1504</v>
      </c>
      <c r="B523" s="4">
        <f>Fact_Defect_Split!B88</f>
        <v>20260701</v>
      </c>
      <c r="C523" s="4">
        <f>Fact_Defect_Split!C88</f>
        <v>12</v>
      </c>
      <c r="D523" s="4" t="str">
        <f>Fact_Defect_Split!D88</f>
        <v>M3</v>
      </c>
      <c r="E523" s="4" t="str">
        <f>Fact_Defect_Split!E88</f>
        <v>A-AM</v>
      </c>
      <c r="F523" s="4" t="str">
        <f>Fact_Defect_Split!F88</f>
        <v>B</v>
      </c>
      <c r="G523" s="4" t="s">
        <v>520</v>
      </c>
      <c r="H523" s="19">
        <f>Fact_Defect_Split!L88</f>
        <v>0</v>
      </c>
    </row>
    <row r="524" spans="1:8" x14ac:dyDescent="0.25">
      <c r="A524" s="18" t="s">
        <v>1505</v>
      </c>
      <c r="B524" s="4">
        <f>Fact_Defect_Split!B89</f>
        <v>20260701</v>
      </c>
      <c r="C524" s="4">
        <f>Fact_Defect_Split!C89</f>
        <v>12</v>
      </c>
      <c r="D524" s="4" t="str">
        <f>Fact_Defect_Split!D89</f>
        <v>M4</v>
      </c>
      <c r="E524" s="4" t="str">
        <f>Fact_Defect_Split!E89</f>
        <v>A-AM</v>
      </c>
      <c r="F524" s="4" t="str">
        <f>Fact_Defect_Split!F89</f>
        <v>A</v>
      </c>
      <c r="G524" s="4" t="s">
        <v>498</v>
      </c>
      <c r="H524" s="19">
        <f>Fact_Defect_Split!G89</f>
        <v>0</v>
      </c>
    </row>
    <row r="525" spans="1:8" x14ac:dyDescent="0.25">
      <c r="A525" s="18" t="s">
        <v>1506</v>
      </c>
      <c r="B525" s="4">
        <f>Fact_Defect_Split!B89</f>
        <v>20260701</v>
      </c>
      <c r="C525" s="4">
        <f>Fact_Defect_Split!C89</f>
        <v>12</v>
      </c>
      <c r="D525" s="4" t="str">
        <f>Fact_Defect_Split!D89</f>
        <v>M4</v>
      </c>
      <c r="E525" s="4" t="str">
        <f>Fact_Defect_Split!E89</f>
        <v>A-AM</v>
      </c>
      <c r="F525" s="4" t="str">
        <f>Fact_Defect_Split!F89</f>
        <v>A</v>
      </c>
      <c r="G525" s="4" t="s">
        <v>500</v>
      </c>
      <c r="H525" s="19">
        <f>Fact_Defect_Split!H89</f>
        <v>0</v>
      </c>
    </row>
    <row r="526" spans="1:8" x14ac:dyDescent="0.25">
      <c r="A526" s="18" t="s">
        <v>1507</v>
      </c>
      <c r="B526" s="4">
        <f>Fact_Defect_Split!B89</f>
        <v>20260701</v>
      </c>
      <c r="C526" s="4">
        <f>Fact_Defect_Split!C89</f>
        <v>12</v>
      </c>
      <c r="D526" s="4" t="str">
        <f>Fact_Defect_Split!D89</f>
        <v>M4</v>
      </c>
      <c r="E526" s="4" t="str">
        <f>Fact_Defect_Split!E89</f>
        <v>A-AM</v>
      </c>
      <c r="F526" s="4" t="str">
        <f>Fact_Defect_Split!F89</f>
        <v>A</v>
      </c>
      <c r="G526" s="4" t="s">
        <v>517</v>
      </c>
      <c r="H526" s="19">
        <f>Fact_Defect_Split!I89</f>
        <v>1</v>
      </c>
    </row>
    <row r="527" spans="1:8" x14ac:dyDescent="0.25">
      <c r="A527" s="18" t="s">
        <v>1508</v>
      </c>
      <c r="B527" s="4">
        <f>Fact_Defect_Split!B89</f>
        <v>20260701</v>
      </c>
      <c r="C527" s="4">
        <f>Fact_Defect_Split!C89</f>
        <v>12</v>
      </c>
      <c r="D527" s="4" t="str">
        <f>Fact_Defect_Split!D89</f>
        <v>M4</v>
      </c>
      <c r="E527" s="4" t="str">
        <f>Fact_Defect_Split!E89</f>
        <v>A-AM</v>
      </c>
      <c r="F527" s="4" t="str">
        <f>Fact_Defect_Split!F89</f>
        <v>A</v>
      </c>
      <c r="G527" s="4" t="s">
        <v>503</v>
      </c>
      <c r="H527" s="19">
        <f>Fact_Defect_Split!J89</f>
        <v>0</v>
      </c>
    </row>
    <row r="528" spans="1:8" x14ac:dyDescent="0.25">
      <c r="A528" s="18" t="s">
        <v>1509</v>
      </c>
      <c r="B528" s="4">
        <f>Fact_Defect_Split!B89</f>
        <v>20260701</v>
      </c>
      <c r="C528" s="4">
        <f>Fact_Defect_Split!C89</f>
        <v>12</v>
      </c>
      <c r="D528" s="4" t="str">
        <f>Fact_Defect_Split!D89</f>
        <v>M4</v>
      </c>
      <c r="E528" s="4" t="str">
        <f>Fact_Defect_Split!E89</f>
        <v>A-AM</v>
      </c>
      <c r="F528" s="4" t="str">
        <f>Fact_Defect_Split!F89</f>
        <v>A</v>
      </c>
      <c r="G528" s="4" t="s">
        <v>509</v>
      </c>
      <c r="H528" s="19">
        <f>Fact_Defect_Split!K89</f>
        <v>1</v>
      </c>
    </row>
    <row r="529" spans="1:8" x14ac:dyDescent="0.25">
      <c r="A529" s="18" t="s">
        <v>1510</v>
      </c>
      <c r="B529" s="4">
        <f>Fact_Defect_Split!B89</f>
        <v>20260701</v>
      </c>
      <c r="C529" s="4">
        <f>Fact_Defect_Split!C89</f>
        <v>12</v>
      </c>
      <c r="D529" s="4" t="str">
        <f>Fact_Defect_Split!D89</f>
        <v>M4</v>
      </c>
      <c r="E529" s="4" t="str">
        <f>Fact_Defect_Split!E89</f>
        <v>A-AM</v>
      </c>
      <c r="F529" s="4" t="str">
        <f>Fact_Defect_Split!F89</f>
        <v>A</v>
      </c>
      <c r="G529" s="4" t="s">
        <v>520</v>
      </c>
      <c r="H529" s="19">
        <f>Fact_Defect_Split!L89</f>
        <v>1</v>
      </c>
    </row>
    <row r="530" spans="1:8" x14ac:dyDescent="0.25">
      <c r="A530" s="18" t="s">
        <v>1511</v>
      </c>
      <c r="B530" s="4">
        <f>Fact_Defect_Split!B90</f>
        <v>20260701</v>
      </c>
      <c r="C530" s="4">
        <f>Fact_Defect_Split!C90</f>
        <v>12</v>
      </c>
      <c r="D530" s="4" t="str">
        <f>Fact_Defect_Split!D90</f>
        <v>M5</v>
      </c>
      <c r="E530" s="4" t="str">
        <f>Fact_Defect_Split!E90</f>
        <v>A-AM</v>
      </c>
      <c r="F530" s="4" t="str">
        <f>Fact_Defect_Split!F90</f>
        <v>C</v>
      </c>
      <c r="G530" s="4" t="s">
        <v>498</v>
      </c>
      <c r="H530" s="19">
        <f>Fact_Defect_Split!G90</f>
        <v>0</v>
      </c>
    </row>
    <row r="531" spans="1:8" x14ac:dyDescent="0.25">
      <c r="A531" s="18" t="s">
        <v>1512</v>
      </c>
      <c r="B531" s="4">
        <f>Fact_Defect_Split!B90</f>
        <v>20260701</v>
      </c>
      <c r="C531" s="4">
        <f>Fact_Defect_Split!C90</f>
        <v>12</v>
      </c>
      <c r="D531" s="4" t="str">
        <f>Fact_Defect_Split!D90</f>
        <v>M5</v>
      </c>
      <c r="E531" s="4" t="str">
        <f>Fact_Defect_Split!E90</f>
        <v>A-AM</v>
      </c>
      <c r="F531" s="4" t="str">
        <f>Fact_Defect_Split!F90</f>
        <v>C</v>
      </c>
      <c r="G531" s="4" t="s">
        <v>500</v>
      </c>
      <c r="H531" s="19">
        <f>Fact_Defect_Split!H90</f>
        <v>0</v>
      </c>
    </row>
    <row r="532" spans="1:8" x14ac:dyDescent="0.25">
      <c r="A532" s="18" t="s">
        <v>1513</v>
      </c>
      <c r="B532" s="4">
        <f>Fact_Defect_Split!B90</f>
        <v>20260701</v>
      </c>
      <c r="C532" s="4">
        <f>Fact_Defect_Split!C90</f>
        <v>12</v>
      </c>
      <c r="D532" s="4" t="str">
        <f>Fact_Defect_Split!D90</f>
        <v>M5</v>
      </c>
      <c r="E532" s="4" t="str">
        <f>Fact_Defect_Split!E90</f>
        <v>A-AM</v>
      </c>
      <c r="F532" s="4" t="str">
        <f>Fact_Defect_Split!F90</f>
        <v>C</v>
      </c>
      <c r="G532" s="4" t="s">
        <v>517</v>
      </c>
      <c r="H532" s="19">
        <f>Fact_Defect_Split!I90</f>
        <v>0</v>
      </c>
    </row>
    <row r="533" spans="1:8" x14ac:dyDescent="0.25">
      <c r="A533" s="18" t="s">
        <v>1514</v>
      </c>
      <c r="B533" s="4">
        <f>Fact_Defect_Split!B90</f>
        <v>20260701</v>
      </c>
      <c r="C533" s="4">
        <f>Fact_Defect_Split!C90</f>
        <v>12</v>
      </c>
      <c r="D533" s="4" t="str">
        <f>Fact_Defect_Split!D90</f>
        <v>M5</v>
      </c>
      <c r="E533" s="4" t="str">
        <f>Fact_Defect_Split!E90</f>
        <v>A-AM</v>
      </c>
      <c r="F533" s="4" t="str">
        <f>Fact_Defect_Split!F90</f>
        <v>C</v>
      </c>
      <c r="G533" s="4" t="s">
        <v>503</v>
      </c>
      <c r="H533" s="19">
        <f>Fact_Defect_Split!J90</f>
        <v>0</v>
      </c>
    </row>
    <row r="534" spans="1:8" x14ac:dyDescent="0.25">
      <c r="A534" s="18" t="s">
        <v>1515</v>
      </c>
      <c r="B534" s="4">
        <f>Fact_Defect_Split!B90</f>
        <v>20260701</v>
      </c>
      <c r="C534" s="4">
        <f>Fact_Defect_Split!C90</f>
        <v>12</v>
      </c>
      <c r="D534" s="4" t="str">
        <f>Fact_Defect_Split!D90</f>
        <v>M5</v>
      </c>
      <c r="E534" s="4" t="str">
        <f>Fact_Defect_Split!E90</f>
        <v>A-AM</v>
      </c>
      <c r="F534" s="4" t="str">
        <f>Fact_Defect_Split!F90</f>
        <v>C</v>
      </c>
      <c r="G534" s="4" t="s">
        <v>509</v>
      </c>
      <c r="H534" s="19">
        <f>Fact_Defect_Split!K90</f>
        <v>0</v>
      </c>
    </row>
    <row r="535" spans="1:8" x14ac:dyDescent="0.25">
      <c r="A535" s="18" t="s">
        <v>1516</v>
      </c>
      <c r="B535" s="4">
        <f>Fact_Defect_Split!B90</f>
        <v>20260701</v>
      </c>
      <c r="C535" s="4">
        <f>Fact_Defect_Split!C90</f>
        <v>12</v>
      </c>
      <c r="D535" s="4" t="str">
        <f>Fact_Defect_Split!D90</f>
        <v>M5</v>
      </c>
      <c r="E535" s="4" t="str">
        <f>Fact_Defect_Split!E90</f>
        <v>A-AM</v>
      </c>
      <c r="F535" s="4" t="str">
        <f>Fact_Defect_Split!F90</f>
        <v>C</v>
      </c>
      <c r="G535" s="4" t="s">
        <v>520</v>
      </c>
      <c r="H535" s="19">
        <f>Fact_Defect_Split!L90</f>
        <v>1</v>
      </c>
    </row>
    <row r="536" spans="1:8" x14ac:dyDescent="0.25">
      <c r="A536" s="18" t="s">
        <v>1517</v>
      </c>
      <c r="B536" s="4">
        <f>Fact_Defect_Split!B91</f>
        <v>20260701</v>
      </c>
      <c r="C536" s="4">
        <f>Fact_Defect_Split!C91</f>
        <v>12</v>
      </c>
      <c r="D536" s="4" t="str">
        <f>Fact_Defect_Split!D91</f>
        <v>M6</v>
      </c>
      <c r="E536" s="4" t="str">
        <f>Fact_Defect_Split!E91</f>
        <v>A-AM</v>
      </c>
      <c r="F536" s="4" t="str">
        <f>Fact_Defect_Split!F91</f>
        <v>C</v>
      </c>
      <c r="G536" s="4" t="s">
        <v>498</v>
      </c>
      <c r="H536" s="19">
        <f>Fact_Defect_Split!G91</f>
        <v>0</v>
      </c>
    </row>
    <row r="537" spans="1:8" x14ac:dyDescent="0.25">
      <c r="A537" s="18" t="s">
        <v>1518</v>
      </c>
      <c r="B537" s="4">
        <f>Fact_Defect_Split!B91</f>
        <v>20260701</v>
      </c>
      <c r="C537" s="4">
        <f>Fact_Defect_Split!C91</f>
        <v>12</v>
      </c>
      <c r="D537" s="4" t="str">
        <f>Fact_Defect_Split!D91</f>
        <v>M6</v>
      </c>
      <c r="E537" s="4" t="str">
        <f>Fact_Defect_Split!E91</f>
        <v>A-AM</v>
      </c>
      <c r="F537" s="4" t="str">
        <f>Fact_Defect_Split!F91</f>
        <v>C</v>
      </c>
      <c r="G537" s="4" t="s">
        <v>500</v>
      </c>
      <c r="H537" s="19">
        <f>Fact_Defect_Split!H91</f>
        <v>0</v>
      </c>
    </row>
    <row r="538" spans="1:8" x14ac:dyDescent="0.25">
      <c r="A538" s="18" t="s">
        <v>1519</v>
      </c>
      <c r="B538" s="4">
        <f>Fact_Defect_Split!B91</f>
        <v>20260701</v>
      </c>
      <c r="C538" s="4">
        <f>Fact_Defect_Split!C91</f>
        <v>12</v>
      </c>
      <c r="D538" s="4" t="str">
        <f>Fact_Defect_Split!D91</f>
        <v>M6</v>
      </c>
      <c r="E538" s="4" t="str">
        <f>Fact_Defect_Split!E91</f>
        <v>A-AM</v>
      </c>
      <c r="F538" s="4" t="str">
        <f>Fact_Defect_Split!F91</f>
        <v>C</v>
      </c>
      <c r="G538" s="4" t="s">
        <v>517</v>
      </c>
      <c r="H538" s="19">
        <f>Fact_Defect_Split!I91</f>
        <v>0</v>
      </c>
    </row>
    <row r="539" spans="1:8" x14ac:dyDescent="0.25">
      <c r="A539" s="18" t="s">
        <v>1520</v>
      </c>
      <c r="B539" s="4">
        <f>Fact_Defect_Split!B91</f>
        <v>20260701</v>
      </c>
      <c r="C539" s="4">
        <f>Fact_Defect_Split!C91</f>
        <v>12</v>
      </c>
      <c r="D539" s="4" t="str">
        <f>Fact_Defect_Split!D91</f>
        <v>M6</v>
      </c>
      <c r="E539" s="4" t="str">
        <f>Fact_Defect_Split!E91</f>
        <v>A-AM</v>
      </c>
      <c r="F539" s="4" t="str">
        <f>Fact_Defect_Split!F91</f>
        <v>C</v>
      </c>
      <c r="G539" s="4" t="s">
        <v>503</v>
      </c>
      <c r="H539" s="19">
        <f>Fact_Defect_Split!J91</f>
        <v>0</v>
      </c>
    </row>
    <row r="540" spans="1:8" x14ac:dyDescent="0.25">
      <c r="A540" s="18" t="s">
        <v>1521</v>
      </c>
      <c r="B540" s="4">
        <f>Fact_Defect_Split!B91</f>
        <v>20260701</v>
      </c>
      <c r="C540" s="4">
        <f>Fact_Defect_Split!C91</f>
        <v>12</v>
      </c>
      <c r="D540" s="4" t="str">
        <f>Fact_Defect_Split!D91</f>
        <v>M6</v>
      </c>
      <c r="E540" s="4" t="str">
        <f>Fact_Defect_Split!E91</f>
        <v>A-AM</v>
      </c>
      <c r="F540" s="4" t="str">
        <f>Fact_Defect_Split!F91</f>
        <v>C</v>
      </c>
      <c r="G540" s="4" t="s">
        <v>509</v>
      </c>
      <c r="H540" s="19">
        <f>Fact_Defect_Split!K91</f>
        <v>0</v>
      </c>
    </row>
    <row r="541" spans="1:8" x14ac:dyDescent="0.25">
      <c r="A541" s="18" t="s">
        <v>1522</v>
      </c>
      <c r="B541" s="4">
        <f>Fact_Defect_Split!B91</f>
        <v>20260701</v>
      </c>
      <c r="C541" s="4">
        <f>Fact_Defect_Split!C91</f>
        <v>12</v>
      </c>
      <c r="D541" s="4" t="str">
        <f>Fact_Defect_Split!D91</f>
        <v>M6</v>
      </c>
      <c r="E541" s="4" t="str">
        <f>Fact_Defect_Split!E91</f>
        <v>A-AM</v>
      </c>
      <c r="F541" s="4" t="str">
        <f>Fact_Defect_Split!F91</f>
        <v>C</v>
      </c>
      <c r="G541" s="4" t="s">
        <v>520</v>
      </c>
      <c r="H541" s="19">
        <f>Fact_Defect_Split!L91</f>
        <v>1</v>
      </c>
    </row>
    <row r="542" spans="1:8" x14ac:dyDescent="0.25">
      <c r="A542" s="18" t="s">
        <v>1523</v>
      </c>
      <c r="B542" s="4">
        <f>Fact_Defect_Split!B92</f>
        <v>20260701</v>
      </c>
      <c r="C542" s="4">
        <f>Fact_Defect_Split!C92</f>
        <v>12</v>
      </c>
      <c r="D542" s="4" t="str">
        <f>Fact_Defect_Split!D92</f>
        <v>M7</v>
      </c>
      <c r="E542" s="4" t="str">
        <f>Fact_Defect_Split!E92</f>
        <v>A-AM</v>
      </c>
      <c r="F542" s="4" t="str">
        <f>Fact_Defect_Split!F92</f>
        <v>C</v>
      </c>
      <c r="G542" s="4" t="s">
        <v>498</v>
      </c>
      <c r="H542" s="19">
        <f>Fact_Defect_Split!G92</f>
        <v>0</v>
      </c>
    </row>
    <row r="543" spans="1:8" x14ac:dyDescent="0.25">
      <c r="A543" s="18" t="s">
        <v>1524</v>
      </c>
      <c r="B543" s="4">
        <f>Fact_Defect_Split!B92</f>
        <v>20260701</v>
      </c>
      <c r="C543" s="4">
        <f>Fact_Defect_Split!C92</f>
        <v>12</v>
      </c>
      <c r="D543" s="4" t="str">
        <f>Fact_Defect_Split!D92</f>
        <v>M7</v>
      </c>
      <c r="E543" s="4" t="str">
        <f>Fact_Defect_Split!E92</f>
        <v>A-AM</v>
      </c>
      <c r="F543" s="4" t="str">
        <f>Fact_Defect_Split!F92</f>
        <v>C</v>
      </c>
      <c r="G543" s="4" t="s">
        <v>500</v>
      </c>
      <c r="H543" s="19">
        <f>Fact_Defect_Split!H92</f>
        <v>0</v>
      </c>
    </row>
    <row r="544" spans="1:8" x14ac:dyDescent="0.25">
      <c r="A544" s="18" t="s">
        <v>1525</v>
      </c>
      <c r="B544" s="4">
        <f>Fact_Defect_Split!B92</f>
        <v>20260701</v>
      </c>
      <c r="C544" s="4">
        <f>Fact_Defect_Split!C92</f>
        <v>12</v>
      </c>
      <c r="D544" s="4" t="str">
        <f>Fact_Defect_Split!D92</f>
        <v>M7</v>
      </c>
      <c r="E544" s="4" t="str">
        <f>Fact_Defect_Split!E92</f>
        <v>A-AM</v>
      </c>
      <c r="F544" s="4" t="str">
        <f>Fact_Defect_Split!F92</f>
        <v>C</v>
      </c>
      <c r="G544" s="4" t="s">
        <v>517</v>
      </c>
      <c r="H544" s="19">
        <f>Fact_Defect_Split!I92</f>
        <v>1</v>
      </c>
    </row>
    <row r="545" spans="1:8" x14ac:dyDescent="0.25">
      <c r="A545" s="18" t="s">
        <v>1526</v>
      </c>
      <c r="B545" s="4">
        <f>Fact_Defect_Split!B92</f>
        <v>20260701</v>
      </c>
      <c r="C545" s="4">
        <f>Fact_Defect_Split!C92</f>
        <v>12</v>
      </c>
      <c r="D545" s="4" t="str">
        <f>Fact_Defect_Split!D92</f>
        <v>M7</v>
      </c>
      <c r="E545" s="4" t="str">
        <f>Fact_Defect_Split!E92</f>
        <v>A-AM</v>
      </c>
      <c r="F545" s="4" t="str">
        <f>Fact_Defect_Split!F92</f>
        <v>C</v>
      </c>
      <c r="G545" s="4" t="s">
        <v>503</v>
      </c>
      <c r="H545" s="19">
        <f>Fact_Defect_Split!J92</f>
        <v>0</v>
      </c>
    </row>
    <row r="546" spans="1:8" x14ac:dyDescent="0.25">
      <c r="A546" s="18" t="s">
        <v>1527</v>
      </c>
      <c r="B546" s="4">
        <f>Fact_Defect_Split!B92</f>
        <v>20260701</v>
      </c>
      <c r="C546" s="4">
        <f>Fact_Defect_Split!C92</f>
        <v>12</v>
      </c>
      <c r="D546" s="4" t="str">
        <f>Fact_Defect_Split!D92</f>
        <v>M7</v>
      </c>
      <c r="E546" s="4" t="str">
        <f>Fact_Defect_Split!E92</f>
        <v>A-AM</v>
      </c>
      <c r="F546" s="4" t="str">
        <f>Fact_Defect_Split!F92</f>
        <v>C</v>
      </c>
      <c r="G546" s="4" t="s">
        <v>509</v>
      </c>
      <c r="H546" s="19">
        <f>Fact_Defect_Split!K92</f>
        <v>1</v>
      </c>
    </row>
    <row r="547" spans="1:8" x14ac:dyDescent="0.25">
      <c r="A547" s="18" t="s">
        <v>1528</v>
      </c>
      <c r="B547" s="4">
        <f>Fact_Defect_Split!B92</f>
        <v>20260701</v>
      </c>
      <c r="C547" s="4">
        <f>Fact_Defect_Split!C92</f>
        <v>12</v>
      </c>
      <c r="D547" s="4" t="str">
        <f>Fact_Defect_Split!D92</f>
        <v>M7</v>
      </c>
      <c r="E547" s="4" t="str">
        <f>Fact_Defect_Split!E92</f>
        <v>A-AM</v>
      </c>
      <c r="F547" s="4" t="str">
        <f>Fact_Defect_Split!F92</f>
        <v>C</v>
      </c>
      <c r="G547" s="4" t="s">
        <v>520</v>
      </c>
      <c r="H547" s="19">
        <f>Fact_Defect_Split!L92</f>
        <v>1</v>
      </c>
    </row>
    <row r="548" spans="1:8" x14ac:dyDescent="0.25">
      <c r="A548" s="18" t="s">
        <v>1529</v>
      </c>
      <c r="B548" s="4">
        <f>Fact_Defect_Split!B93</f>
        <v>20260701</v>
      </c>
      <c r="C548" s="4">
        <f>Fact_Defect_Split!C93</f>
        <v>13</v>
      </c>
      <c r="D548" s="4" t="str">
        <f>Fact_Defect_Split!D93</f>
        <v>M1</v>
      </c>
      <c r="E548" s="4" t="str">
        <f>Fact_Defect_Split!E93</f>
        <v>A-AM</v>
      </c>
      <c r="F548" s="4" t="str">
        <f>Fact_Defect_Split!F93</f>
        <v>C</v>
      </c>
      <c r="G548" s="4" t="s">
        <v>498</v>
      </c>
      <c r="H548" s="19">
        <f>Fact_Defect_Split!G93</f>
        <v>0</v>
      </c>
    </row>
    <row r="549" spans="1:8" x14ac:dyDescent="0.25">
      <c r="A549" s="18" t="s">
        <v>1530</v>
      </c>
      <c r="B549" s="4">
        <f>Fact_Defect_Split!B93</f>
        <v>20260701</v>
      </c>
      <c r="C549" s="4">
        <f>Fact_Defect_Split!C93</f>
        <v>13</v>
      </c>
      <c r="D549" s="4" t="str">
        <f>Fact_Defect_Split!D93</f>
        <v>M1</v>
      </c>
      <c r="E549" s="4" t="str">
        <f>Fact_Defect_Split!E93</f>
        <v>A-AM</v>
      </c>
      <c r="F549" s="4" t="str">
        <f>Fact_Defect_Split!F93</f>
        <v>C</v>
      </c>
      <c r="G549" s="4" t="s">
        <v>500</v>
      </c>
      <c r="H549" s="19">
        <f>Fact_Defect_Split!H93</f>
        <v>0</v>
      </c>
    </row>
    <row r="550" spans="1:8" x14ac:dyDescent="0.25">
      <c r="A550" s="18" t="s">
        <v>1531</v>
      </c>
      <c r="B550" s="4">
        <f>Fact_Defect_Split!B93</f>
        <v>20260701</v>
      </c>
      <c r="C550" s="4">
        <f>Fact_Defect_Split!C93</f>
        <v>13</v>
      </c>
      <c r="D550" s="4" t="str">
        <f>Fact_Defect_Split!D93</f>
        <v>M1</v>
      </c>
      <c r="E550" s="4" t="str">
        <f>Fact_Defect_Split!E93</f>
        <v>A-AM</v>
      </c>
      <c r="F550" s="4" t="str">
        <f>Fact_Defect_Split!F93</f>
        <v>C</v>
      </c>
      <c r="G550" s="4" t="s">
        <v>517</v>
      </c>
      <c r="H550" s="19">
        <f>Fact_Defect_Split!I93</f>
        <v>0</v>
      </c>
    </row>
    <row r="551" spans="1:8" x14ac:dyDescent="0.25">
      <c r="A551" s="18" t="s">
        <v>1532</v>
      </c>
      <c r="B551" s="4">
        <f>Fact_Defect_Split!B93</f>
        <v>20260701</v>
      </c>
      <c r="C551" s="4">
        <f>Fact_Defect_Split!C93</f>
        <v>13</v>
      </c>
      <c r="D551" s="4" t="str">
        <f>Fact_Defect_Split!D93</f>
        <v>M1</v>
      </c>
      <c r="E551" s="4" t="str">
        <f>Fact_Defect_Split!E93</f>
        <v>A-AM</v>
      </c>
      <c r="F551" s="4" t="str">
        <f>Fact_Defect_Split!F93</f>
        <v>C</v>
      </c>
      <c r="G551" s="4" t="s">
        <v>503</v>
      </c>
      <c r="H551" s="19">
        <f>Fact_Defect_Split!J93</f>
        <v>0</v>
      </c>
    </row>
    <row r="552" spans="1:8" x14ac:dyDescent="0.25">
      <c r="A552" s="18" t="s">
        <v>1533</v>
      </c>
      <c r="B552" s="4">
        <f>Fact_Defect_Split!B93</f>
        <v>20260701</v>
      </c>
      <c r="C552" s="4">
        <f>Fact_Defect_Split!C93</f>
        <v>13</v>
      </c>
      <c r="D552" s="4" t="str">
        <f>Fact_Defect_Split!D93</f>
        <v>M1</v>
      </c>
      <c r="E552" s="4" t="str">
        <f>Fact_Defect_Split!E93</f>
        <v>A-AM</v>
      </c>
      <c r="F552" s="4" t="str">
        <f>Fact_Defect_Split!F93</f>
        <v>C</v>
      </c>
      <c r="G552" s="4" t="s">
        <v>509</v>
      </c>
      <c r="H552" s="19">
        <f>Fact_Defect_Split!K93</f>
        <v>1</v>
      </c>
    </row>
    <row r="553" spans="1:8" x14ac:dyDescent="0.25">
      <c r="A553" s="18" t="s">
        <v>1534</v>
      </c>
      <c r="B553" s="4">
        <f>Fact_Defect_Split!B93</f>
        <v>20260701</v>
      </c>
      <c r="C553" s="4">
        <f>Fact_Defect_Split!C93</f>
        <v>13</v>
      </c>
      <c r="D553" s="4" t="str">
        <f>Fact_Defect_Split!D93</f>
        <v>M1</v>
      </c>
      <c r="E553" s="4" t="str">
        <f>Fact_Defect_Split!E93</f>
        <v>A-AM</v>
      </c>
      <c r="F553" s="4" t="str">
        <f>Fact_Defect_Split!F93</f>
        <v>C</v>
      </c>
      <c r="G553" s="4" t="s">
        <v>520</v>
      </c>
      <c r="H553" s="19">
        <f>Fact_Defect_Split!L93</f>
        <v>0</v>
      </c>
    </row>
    <row r="554" spans="1:8" x14ac:dyDescent="0.25">
      <c r="A554" s="18" t="s">
        <v>1535</v>
      </c>
      <c r="B554" s="4">
        <f>Fact_Defect_Split!B94</f>
        <v>20260701</v>
      </c>
      <c r="C554" s="4">
        <f>Fact_Defect_Split!C94</f>
        <v>13</v>
      </c>
      <c r="D554" s="4" t="str">
        <f>Fact_Defect_Split!D94</f>
        <v>M2</v>
      </c>
      <c r="E554" s="4" t="str">
        <f>Fact_Defect_Split!E94</f>
        <v>A-AM</v>
      </c>
      <c r="F554" s="4" t="str">
        <f>Fact_Defect_Split!F94</f>
        <v>A</v>
      </c>
      <c r="G554" s="4" t="s">
        <v>498</v>
      </c>
      <c r="H554" s="19">
        <f>Fact_Defect_Split!G94</f>
        <v>0</v>
      </c>
    </row>
    <row r="555" spans="1:8" x14ac:dyDescent="0.25">
      <c r="A555" s="18" t="s">
        <v>1536</v>
      </c>
      <c r="B555" s="4">
        <f>Fact_Defect_Split!B94</f>
        <v>20260701</v>
      </c>
      <c r="C555" s="4">
        <f>Fact_Defect_Split!C94</f>
        <v>13</v>
      </c>
      <c r="D555" s="4" t="str">
        <f>Fact_Defect_Split!D94</f>
        <v>M2</v>
      </c>
      <c r="E555" s="4" t="str">
        <f>Fact_Defect_Split!E94</f>
        <v>A-AM</v>
      </c>
      <c r="F555" s="4" t="str">
        <f>Fact_Defect_Split!F94</f>
        <v>A</v>
      </c>
      <c r="G555" s="4" t="s">
        <v>500</v>
      </c>
      <c r="H555" s="19">
        <f>Fact_Defect_Split!H94</f>
        <v>0</v>
      </c>
    </row>
    <row r="556" spans="1:8" x14ac:dyDescent="0.25">
      <c r="A556" s="18" t="s">
        <v>1537</v>
      </c>
      <c r="B556" s="4">
        <f>Fact_Defect_Split!B94</f>
        <v>20260701</v>
      </c>
      <c r="C556" s="4">
        <f>Fact_Defect_Split!C94</f>
        <v>13</v>
      </c>
      <c r="D556" s="4" t="str">
        <f>Fact_Defect_Split!D94</f>
        <v>M2</v>
      </c>
      <c r="E556" s="4" t="str">
        <f>Fact_Defect_Split!E94</f>
        <v>A-AM</v>
      </c>
      <c r="F556" s="4" t="str">
        <f>Fact_Defect_Split!F94</f>
        <v>A</v>
      </c>
      <c r="G556" s="4" t="s">
        <v>517</v>
      </c>
      <c r="H556" s="19">
        <f>Fact_Defect_Split!I94</f>
        <v>0</v>
      </c>
    </row>
    <row r="557" spans="1:8" x14ac:dyDescent="0.25">
      <c r="A557" s="18" t="s">
        <v>1538</v>
      </c>
      <c r="B557" s="4">
        <f>Fact_Defect_Split!B94</f>
        <v>20260701</v>
      </c>
      <c r="C557" s="4">
        <f>Fact_Defect_Split!C94</f>
        <v>13</v>
      </c>
      <c r="D557" s="4" t="str">
        <f>Fact_Defect_Split!D94</f>
        <v>M2</v>
      </c>
      <c r="E557" s="4" t="str">
        <f>Fact_Defect_Split!E94</f>
        <v>A-AM</v>
      </c>
      <c r="F557" s="4" t="str">
        <f>Fact_Defect_Split!F94</f>
        <v>A</v>
      </c>
      <c r="G557" s="4" t="s">
        <v>503</v>
      </c>
      <c r="H557" s="19">
        <f>Fact_Defect_Split!J94</f>
        <v>0</v>
      </c>
    </row>
    <row r="558" spans="1:8" x14ac:dyDescent="0.25">
      <c r="A558" s="18" t="s">
        <v>1539</v>
      </c>
      <c r="B558" s="4">
        <f>Fact_Defect_Split!B94</f>
        <v>20260701</v>
      </c>
      <c r="C558" s="4">
        <f>Fact_Defect_Split!C94</f>
        <v>13</v>
      </c>
      <c r="D558" s="4" t="str">
        <f>Fact_Defect_Split!D94</f>
        <v>M2</v>
      </c>
      <c r="E558" s="4" t="str">
        <f>Fact_Defect_Split!E94</f>
        <v>A-AM</v>
      </c>
      <c r="F558" s="4" t="str">
        <f>Fact_Defect_Split!F94</f>
        <v>A</v>
      </c>
      <c r="G558" s="4" t="s">
        <v>509</v>
      </c>
      <c r="H558" s="19">
        <f>Fact_Defect_Split!K94</f>
        <v>1</v>
      </c>
    </row>
    <row r="559" spans="1:8" x14ac:dyDescent="0.25">
      <c r="A559" s="18" t="s">
        <v>1540</v>
      </c>
      <c r="B559" s="4">
        <f>Fact_Defect_Split!B94</f>
        <v>20260701</v>
      </c>
      <c r="C559" s="4">
        <f>Fact_Defect_Split!C94</f>
        <v>13</v>
      </c>
      <c r="D559" s="4" t="str">
        <f>Fact_Defect_Split!D94</f>
        <v>M2</v>
      </c>
      <c r="E559" s="4" t="str">
        <f>Fact_Defect_Split!E94</f>
        <v>A-AM</v>
      </c>
      <c r="F559" s="4" t="str">
        <f>Fact_Defect_Split!F94</f>
        <v>A</v>
      </c>
      <c r="G559" s="4" t="s">
        <v>520</v>
      </c>
      <c r="H559" s="19">
        <f>Fact_Defect_Split!L94</f>
        <v>0</v>
      </c>
    </row>
    <row r="560" spans="1:8" x14ac:dyDescent="0.25">
      <c r="A560" s="18" t="s">
        <v>1541</v>
      </c>
      <c r="B560" s="4">
        <f>Fact_Defect_Split!B95</f>
        <v>20260701</v>
      </c>
      <c r="C560" s="4">
        <f>Fact_Defect_Split!C95</f>
        <v>13</v>
      </c>
      <c r="D560" s="4" t="str">
        <f>Fact_Defect_Split!D95</f>
        <v>M3</v>
      </c>
      <c r="E560" s="4" t="str">
        <f>Fact_Defect_Split!E95</f>
        <v>A-AM</v>
      </c>
      <c r="F560" s="4" t="str">
        <f>Fact_Defect_Split!F95</f>
        <v>B</v>
      </c>
      <c r="G560" s="4" t="s">
        <v>498</v>
      </c>
      <c r="H560" s="19">
        <f>Fact_Defect_Split!G95</f>
        <v>0</v>
      </c>
    </row>
    <row r="561" spans="1:8" x14ac:dyDescent="0.25">
      <c r="A561" s="18" t="s">
        <v>1542</v>
      </c>
      <c r="B561" s="4">
        <f>Fact_Defect_Split!B95</f>
        <v>20260701</v>
      </c>
      <c r="C561" s="4">
        <f>Fact_Defect_Split!C95</f>
        <v>13</v>
      </c>
      <c r="D561" s="4" t="str">
        <f>Fact_Defect_Split!D95</f>
        <v>M3</v>
      </c>
      <c r="E561" s="4" t="str">
        <f>Fact_Defect_Split!E95</f>
        <v>A-AM</v>
      </c>
      <c r="F561" s="4" t="str">
        <f>Fact_Defect_Split!F95</f>
        <v>B</v>
      </c>
      <c r="G561" s="4" t="s">
        <v>500</v>
      </c>
      <c r="H561" s="19">
        <f>Fact_Defect_Split!H95</f>
        <v>0</v>
      </c>
    </row>
    <row r="562" spans="1:8" x14ac:dyDescent="0.25">
      <c r="A562" s="18" t="s">
        <v>1543</v>
      </c>
      <c r="B562" s="4">
        <f>Fact_Defect_Split!B95</f>
        <v>20260701</v>
      </c>
      <c r="C562" s="4">
        <f>Fact_Defect_Split!C95</f>
        <v>13</v>
      </c>
      <c r="D562" s="4" t="str">
        <f>Fact_Defect_Split!D95</f>
        <v>M3</v>
      </c>
      <c r="E562" s="4" t="str">
        <f>Fact_Defect_Split!E95</f>
        <v>A-AM</v>
      </c>
      <c r="F562" s="4" t="str">
        <f>Fact_Defect_Split!F95</f>
        <v>B</v>
      </c>
      <c r="G562" s="4" t="s">
        <v>517</v>
      </c>
      <c r="H562" s="19">
        <f>Fact_Defect_Split!I95</f>
        <v>0</v>
      </c>
    </row>
    <row r="563" spans="1:8" x14ac:dyDescent="0.25">
      <c r="A563" s="18" t="s">
        <v>1544</v>
      </c>
      <c r="B563" s="4">
        <f>Fact_Defect_Split!B95</f>
        <v>20260701</v>
      </c>
      <c r="C563" s="4">
        <f>Fact_Defect_Split!C95</f>
        <v>13</v>
      </c>
      <c r="D563" s="4" t="str">
        <f>Fact_Defect_Split!D95</f>
        <v>M3</v>
      </c>
      <c r="E563" s="4" t="str">
        <f>Fact_Defect_Split!E95</f>
        <v>A-AM</v>
      </c>
      <c r="F563" s="4" t="str">
        <f>Fact_Defect_Split!F95</f>
        <v>B</v>
      </c>
      <c r="G563" s="4" t="s">
        <v>503</v>
      </c>
      <c r="H563" s="19">
        <f>Fact_Defect_Split!J95</f>
        <v>0</v>
      </c>
    </row>
    <row r="564" spans="1:8" x14ac:dyDescent="0.25">
      <c r="A564" s="18" t="s">
        <v>1545</v>
      </c>
      <c r="B564" s="4">
        <f>Fact_Defect_Split!B95</f>
        <v>20260701</v>
      </c>
      <c r="C564" s="4">
        <f>Fact_Defect_Split!C95</f>
        <v>13</v>
      </c>
      <c r="D564" s="4" t="str">
        <f>Fact_Defect_Split!D95</f>
        <v>M3</v>
      </c>
      <c r="E564" s="4" t="str">
        <f>Fact_Defect_Split!E95</f>
        <v>A-AM</v>
      </c>
      <c r="F564" s="4" t="str">
        <f>Fact_Defect_Split!F95</f>
        <v>B</v>
      </c>
      <c r="G564" s="4" t="s">
        <v>509</v>
      </c>
      <c r="H564" s="19">
        <f>Fact_Defect_Split!K95</f>
        <v>1</v>
      </c>
    </row>
    <row r="565" spans="1:8" x14ac:dyDescent="0.25">
      <c r="A565" s="18" t="s">
        <v>1546</v>
      </c>
      <c r="B565" s="4">
        <f>Fact_Defect_Split!B95</f>
        <v>20260701</v>
      </c>
      <c r="C565" s="4">
        <f>Fact_Defect_Split!C95</f>
        <v>13</v>
      </c>
      <c r="D565" s="4" t="str">
        <f>Fact_Defect_Split!D95</f>
        <v>M3</v>
      </c>
      <c r="E565" s="4" t="str">
        <f>Fact_Defect_Split!E95</f>
        <v>A-AM</v>
      </c>
      <c r="F565" s="4" t="str">
        <f>Fact_Defect_Split!F95</f>
        <v>B</v>
      </c>
      <c r="G565" s="4" t="s">
        <v>520</v>
      </c>
      <c r="H565" s="19">
        <f>Fact_Defect_Split!L95</f>
        <v>0</v>
      </c>
    </row>
    <row r="566" spans="1:8" x14ac:dyDescent="0.25">
      <c r="A566" s="18" t="s">
        <v>1547</v>
      </c>
      <c r="B566" s="4">
        <f>Fact_Defect_Split!B96</f>
        <v>20260701</v>
      </c>
      <c r="C566" s="4">
        <f>Fact_Defect_Split!C96</f>
        <v>13</v>
      </c>
      <c r="D566" s="4" t="str">
        <f>Fact_Defect_Split!D96</f>
        <v>M4</v>
      </c>
      <c r="E566" s="4" t="str">
        <f>Fact_Defect_Split!E96</f>
        <v>A-AM</v>
      </c>
      <c r="F566" s="4" t="str">
        <f>Fact_Defect_Split!F96</f>
        <v>A</v>
      </c>
      <c r="G566" s="4" t="s">
        <v>498</v>
      </c>
      <c r="H566" s="19">
        <f>Fact_Defect_Split!G96</f>
        <v>0</v>
      </c>
    </row>
    <row r="567" spans="1:8" x14ac:dyDescent="0.25">
      <c r="A567" s="18" t="s">
        <v>1548</v>
      </c>
      <c r="B567" s="4">
        <f>Fact_Defect_Split!B96</f>
        <v>20260701</v>
      </c>
      <c r="C567" s="4">
        <f>Fact_Defect_Split!C96</f>
        <v>13</v>
      </c>
      <c r="D567" s="4" t="str">
        <f>Fact_Defect_Split!D96</f>
        <v>M4</v>
      </c>
      <c r="E567" s="4" t="str">
        <f>Fact_Defect_Split!E96</f>
        <v>A-AM</v>
      </c>
      <c r="F567" s="4" t="str">
        <f>Fact_Defect_Split!F96</f>
        <v>A</v>
      </c>
      <c r="G567" s="4" t="s">
        <v>500</v>
      </c>
      <c r="H567" s="19">
        <f>Fact_Defect_Split!H96</f>
        <v>0</v>
      </c>
    </row>
    <row r="568" spans="1:8" x14ac:dyDescent="0.25">
      <c r="A568" s="18" t="s">
        <v>1549</v>
      </c>
      <c r="B568" s="4">
        <f>Fact_Defect_Split!B96</f>
        <v>20260701</v>
      </c>
      <c r="C568" s="4">
        <f>Fact_Defect_Split!C96</f>
        <v>13</v>
      </c>
      <c r="D568" s="4" t="str">
        <f>Fact_Defect_Split!D96</f>
        <v>M4</v>
      </c>
      <c r="E568" s="4" t="str">
        <f>Fact_Defect_Split!E96</f>
        <v>A-AM</v>
      </c>
      <c r="F568" s="4" t="str">
        <f>Fact_Defect_Split!F96</f>
        <v>A</v>
      </c>
      <c r="G568" s="4" t="s">
        <v>517</v>
      </c>
      <c r="H568" s="19">
        <f>Fact_Defect_Split!I96</f>
        <v>1</v>
      </c>
    </row>
    <row r="569" spans="1:8" x14ac:dyDescent="0.25">
      <c r="A569" s="18" t="s">
        <v>1550</v>
      </c>
      <c r="B569" s="4">
        <f>Fact_Defect_Split!B96</f>
        <v>20260701</v>
      </c>
      <c r="C569" s="4">
        <f>Fact_Defect_Split!C96</f>
        <v>13</v>
      </c>
      <c r="D569" s="4" t="str">
        <f>Fact_Defect_Split!D96</f>
        <v>M4</v>
      </c>
      <c r="E569" s="4" t="str">
        <f>Fact_Defect_Split!E96</f>
        <v>A-AM</v>
      </c>
      <c r="F569" s="4" t="str">
        <f>Fact_Defect_Split!F96</f>
        <v>A</v>
      </c>
      <c r="G569" s="4" t="s">
        <v>503</v>
      </c>
      <c r="H569" s="19">
        <f>Fact_Defect_Split!J96</f>
        <v>0</v>
      </c>
    </row>
    <row r="570" spans="1:8" x14ac:dyDescent="0.25">
      <c r="A570" s="18" t="s">
        <v>1551</v>
      </c>
      <c r="B570" s="4">
        <f>Fact_Defect_Split!B96</f>
        <v>20260701</v>
      </c>
      <c r="C570" s="4">
        <f>Fact_Defect_Split!C96</f>
        <v>13</v>
      </c>
      <c r="D570" s="4" t="str">
        <f>Fact_Defect_Split!D96</f>
        <v>M4</v>
      </c>
      <c r="E570" s="4" t="str">
        <f>Fact_Defect_Split!E96</f>
        <v>A-AM</v>
      </c>
      <c r="F570" s="4" t="str">
        <f>Fact_Defect_Split!F96</f>
        <v>A</v>
      </c>
      <c r="G570" s="4" t="s">
        <v>509</v>
      </c>
      <c r="H570" s="19">
        <f>Fact_Defect_Split!K96</f>
        <v>1</v>
      </c>
    </row>
    <row r="571" spans="1:8" x14ac:dyDescent="0.25">
      <c r="A571" s="18" t="s">
        <v>1552</v>
      </c>
      <c r="B571" s="4">
        <f>Fact_Defect_Split!B96</f>
        <v>20260701</v>
      </c>
      <c r="C571" s="4">
        <f>Fact_Defect_Split!C96</f>
        <v>13</v>
      </c>
      <c r="D571" s="4" t="str">
        <f>Fact_Defect_Split!D96</f>
        <v>M4</v>
      </c>
      <c r="E571" s="4" t="str">
        <f>Fact_Defect_Split!E96</f>
        <v>A-AM</v>
      </c>
      <c r="F571" s="4" t="str">
        <f>Fact_Defect_Split!F96</f>
        <v>A</v>
      </c>
      <c r="G571" s="4" t="s">
        <v>520</v>
      </c>
      <c r="H571" s="19">
        <f>Fact_Defect_Split!L96</f>
        <v>1</v>
      </c>
    </row>
    <row r="572" spans="1:8" x14ac:dyDescent="0.25">
      <c r="A572" s="18" t="s">
        <v>1553</v>
      </c>
      <c r="B572" s="4">
        <f>Fact_Defect_Split!B97</f>
        <v>20260701</v>
      </c>
      <c r="C572" s="4">
        <f>Fact_Defect_Split!C97</f>
        <v>13</v>
      </c>
      <c r="D572" s="4" t="str">
        <f>Fact_Defect_Split!D97</f>
        <v>M5</v>
      </c>
      <c r="E572" s="4" t="str">
        <f>Fact_Defect_Split!E97</f>
        <v>A-AM</v>
      </c>
      <c r="F572" s="4" t="str">
        <f>Fact_Defect_Split!F97</f>
        <v>C</v>
      </c>
      <c r="G572" s="4" t="s">
        <v>498</v>
      </c>
      <c r="H572" s="19">
        <f>Fact_Defect_Split!G97</f>
        <v>0</v>
      </c>
    </row>
    <row r="573" spans="1:8" x14ac:dyDescent="0.25">
      <c r="A573" s="18" t="s">
        <v>1554</v>
      </c>
      <c r="B573" s="4">
        <f>Fact_Defect_Split!B97</f>
        <v>20260701</v>
      </c>
      <c r="C573" s="4">
        <f>Fact_Defect_Split!C97</f>
        <v>13</v>
      </c>
      <c r="D573" s="4" t="str">
        <f>Fact_Defect_Split!D97</f>
        <v>M5</v>
      </c>
      <c r="E573" s="4" t="str">
        <f>Fact_Defect_Split!E97</f>
        <v>A-AM</v>
      </c>
      <c r="F573" s="4" t="str">
        <f>Fact_Defect_Split!F97</f>
        <v>C</v>
      </c>
      <c r="G573" s="4" t="s">
        <v>500</v>
      </c>
      <c r="H573" s="19">
        <f>Fact_Defect_Split!H97</f>
        <v>0</v>
      </c>
    </row>
    <row r="574" spans="1:8" x14ac:dyDescent="0.25">
      <c r="A574" s="18" t="s">
        <v>1555</v>
      </c>
      <c r="B574" s="4">
        <f>Fact_Defect_Split!B97</f>
        <v>20260701</v>
      </c>
      <c r="C574" s="4">
        <f>Fact_Defect_Split!C97</f>
        <v>13</v>
      </c>
      <c r="D574" s="4" t="str">
        <f>Fact_Defect_Split!D97</f>
        <v>M5</v>
      </c>
      <c r="E574" s="4" t="str">
        <f>Fact_Defect_Split!E97</f>
        <v>A-AM</v>
      </c>
      <c r="F574" s="4" t="str">
        <f>Fact_Defect_Split!F97</f>
        <v>C</v>
      </c>
      <c r="G574" s="4" t="s">
        <v>517</v>
      </c>
      <c r="H574" s="19">
        <f>Fact_Defect_Split!I97</f>
        <v>0</v>
      </c>
    </row>
    <row r="575" spans="1:8" x14ac:dyDescent="0.25">
      <c r="A575" s="18" t="s">
        <v>1556</v>
      </c>
      <c r="B575" s="4">
        <f>Fact_Defect_Split!B97</f>
        <v>20260701</v>
      </c>
      <c r="C575" s="4">
        <f>Fact_Defect_Split!C97</f>
        <v>13</v>
      </c>
      <c r="D575" s="4" t="str">
        <f>Fact_Defect_Split!D97</f>
        <v>M5</v>
      </c>
      <c r="E575" s="4" t="str">
        <f>Fact_Defect_Split!E97</f>
        <v>A-AM</v>
      </c>
      <c r="F575" s="4" t="str">
        <f>Fact_Defect_Split!F97</f>
        <v>C</v>
      </c>
      <c r="G575" s="4" t="s">
        <v>503</v>
      </c>
      <c r="H575" s="19">
        <f>Fact_Defect_Split!J97</f>
        <v>0</v>
      </c>
    </row>
    <row r="576" spans="1:8" x14ac:dyDescent="0.25">
      <c r="A576" s="18" t="s">
        <v>1557</v>
      </c>
      <c r="B576" s="4">
        <f>Fact_Defect_Split!B97</f>
        <v>20260701</v>
      </c>
      <c r="C576" s="4">
        <f>Fact_Defect_Split!C97</f>
        <v>13</v>
      </c>
      <c r="D576" s="4" t="str">
        <f>Fact_Defect_Split!D97</f>
        <v>M5</v>
      </c>
      <c r="E576" s="4" t="str">
        <f>Fact_Defect_Split!E97</f>
        <v>A-AM</v>
      </c>
      <c r="F576" s="4" t="str">
        <f>Fact_Defect_Split!F97</f>
        <v>C</v>
      </c>
      <c r="G576" s="4" t="s">
        <v>509</v>
      </c>
      <c r="H576" s="19">
        <f>Fact_Defect_Split!K97</f>
        <v>0</v>
      </c>
    </row>
    <row r="577" spans="1:8" x14ac:dyDescent="0.25">
      <c r="A577" s="18" t="s">
        <v>1558</v>
      </c>
      <c r="B577" s="4">
        <f>Fact_Defect_Split!B97</f>
        <v>20260701</v>
      </c>
      <c r="C577" s="4">
        <f>Fact_Defect_Split!C97</f>
        <v>13</v>
      </c>
      <c r="D577" s="4" t="str">
        <f>Fact_Defect_Split!D97</f>
        <v>M5</v>
      </c>
      <c r="E577" s="4" t="str">
        <f>Fact_Defect_Split!E97</f>
        <v>A-AM</v>
      </c>
      <c r="F577" s="4" t="str">
        <f>Fact_Defect_Split!F97</f>
        <v>C</v>
      </c>
      <c r="G577" s="4" t="s">
        <v>520</v>
      </c>
      <c r="H577" s="19">
        <f>Fact_Defect_Split!L97</f>
        <v>1</v>
      </c>
    </row>
    <row r="578" spans="1:8" x14ac:dyDescent="0.25">
      <c r="A578" s="18" t="s">
        <v>1559</v>
      </c>
      <c r="B578" s="4">
        <f>Fact_Defect_Split!B98</f>
        <v>20260701</v>
      </c>
      <c r="C578" s="4">
        <f>Fact_Defect_Split!C98</f>
        <v>13</v>
      </c>
      <c r="D578" s="4" t="str">
        <f>Fact_Defect_Split!D98</f>
        <v>M6</v>
      </c>
      <c r="E578" s="4" t="str">
        <f>Fact_Defect_Split!E98</f>
        <v>A-AM</v>
      </c>
      <c r="F578" s="4" t="str">
        <f>Fact_Defect_Split!F98</f>
        <v>C</v>
      </c>
      <c r="G578" s="4" t="s">
        <v>498</v>
      </c>
      <c r="H578" s="19">
        <f>Fact_Defect_Split!G98</f>
        <v>0</v>
      </c>
    </row>
    <row r="579" spans="1:8" x14ac:dyDescent="0.25">
      <c r="A579" s="18" t="s">
        <v>1560</v>
      </c>
      <c r="B579" s="4">
        <f>Fact_Defect_Split!B98</f>
        <v>20260701</v>
      </c>
      <c r="C579" s="4">
        <f>Fact_Defect_Split!C98</f>
        <v>13</v>
      </c>
      <c r="D579" s="4" t="str">
        <f>Fact_Defect_Split!D98</f>
        <v>M6</v>
      </c>
      <c r="E579" s="4" t="str">
        <f>Fact_Defect_Split!E98</f>
        <v>A-AM</v>
      </c>
      <c r="F579" s="4" t="str">
        <f>Fact_Defect_Split!F98</f>
        <v>C</v>
      </c>
      <c r="G579" s="4" t="s">
        <v>500</v>
      </c>
      <c r="H579" s="19">
        <f>Fact_Defect_Split!H98</f>
        <v>0</v>
      </c>
    </row>
    <row r="580" spans="1:8" x14ac:dyDescent="0.25">
      <c r="A580" s="18" t="s">
        <v>1561</v>
      </c>
      <c r="B580" s="4">
        <f>Fact_Defect_Split!B98</f>
        <v>20260701</v>
      </c>
      <c r="C580" s="4">
        <f>Fact_Defect_Split!C98</f>
        <v>13</v>
      </c>
      <c r="D580" s="4" t="str">
        <f>Fact_Defect_Split!D98</f>
        <v>M6</v>
      </c>
      <c r="E580" s="4" t="str">
        <f>Fact_Defect_Split!E98</f>
        <v>A-AM</v>
      </c>
      <c r="F580" s="4" t="str">
        <f>Fact_Defect_Split!F98</f>
        <v>C</v>
      </c>
      <c r="G580" s="4" t="s">
        <v>517</v>
      </c>
      <c r="H580" s="19">
        <f>Fact_Defect_Split!I98</f>
        <v>0</v>
      </c>
    </row>
    <row r="581" spans="1:8" x14ac:dyDescent="0.25">
      <c r="A581" s="18" t="s">
        <v>1562</v>
      </c>
      <c r="B581" s="4">
        <f>Fact_Defect_Split!B98</f>
        <v>20260701</v>
      </c>
      <c r="C581" s="4">
        <f>Fact_Defect_Split!C98</f>
        <v>13</v>
      </c>
      <c r="D581" s="4" t="str">
        <f>Fact_Defect_Split!D98</f>
        <v>M6</v>
      </c>
      <c r="E581" s="4" t="str">
        <f>Fact_Defect_Split!E98</f>
        <v>A-AM</v>
      </c>
      <c r="F581" s="4" t="str">
        <f>Fact_Defect_Split!F98</f>
        <v>C</v>
      </c>
      <c r="G581" s="4" t="s">
        <v>503</v>
      </c>
      <c r="H581" s="19">
        <f>Fact_Defect_Split!J98</f>
        <v>0</v>
      </c>
    </row>
    <row r="582" spans="1:8" x14ac:dyDescent="0.25">
      <c r="A582" s="18" t="s">
        <v>1563</v>
      </c>
      <c r="B582" s="4">
        <f>Fact_Defect_Split!B98</f>
        <v>20260701</v>
      </c>
      <c r="C582" s="4">
        <f>Fact_Defect_Split!C98</f>
        <v>13</v>
      </c>
      <c r="D582" s="4" t="str">
        <f>Fact_Defect_Split!D98</f>
        <v>M6</v>
      </c>
      <c r="E582" s="4" t="str">
        <f>Fact_Defect_Split!E98</f>
        <v>A-AM</v>
      </c>
      <c r="F582" s="4" t="str">
        <f>Fact_Defect_Split!F98</f>
        <v>C</v>
      </c>
      <c r="G582" s="4" t="s">
        <v>509</v>
      </c>
      <c r="H582" s="19">
        <f>Fact_Defect_Split!K98</f>
        <v>0</v>
      </c>
    </row>
    <row r="583" spans="1:8" x14ac:dyDescent="0.25">
      <c r="A583" s="18" t="s">
        <v>1564</v>
      </c>
      <c r="B583" s="4">
        <f>Fact_Defect_Split!B98</f>
        <v>20260701</v>
      </c>
      <c r="C583" s="4">
        <f>Fact_Defect_Split!C98</f>
        <v>13</v>
      </c>
      <c r="D583" s="4" t="str">
        <f>Fact_Defect_Split!D98</f>
        <v>M6</v>
      </c>
      <c r="E583" s="4" t="str">
        <f>Fact_Defect_Split!E98</f>
        <v>A-AM</v>
      </c>
      <c r="F583" s="4" t="str">
        <f>Fact_Defect_Split!F98</f>
        <v>C</v>
      </c>
      <c r="G583" s="4" t="s">
        <v>520</v>
      </c>
      <c r="H583" s="19">
        <f>Fact_Defect_Split!L98</f>
        <v>0</v>
      </c>
    </row>
    <row r="584" spans="1:8" x14ac:dyDescent="0.25">
      <c r="A584" s="18" t="s">
        <v>1565</v>
      </c>
      <c r="B584" s="4">
        <f>Fact_Defect_Split!B99</f>
        <v>20260701</v>
      </c>
      <c r="C584" s="4">
        <f>Fact_Defect_Split!C99</f>
        <v>13</v>
      </c>
      <c r="D584" s="4" t="str">
        <f>Fact_Defect_Split!D99</f>
        <v>M7</v>
      </c>
      <c r="E584" s="4" t="str">
        <f>Fact_Defect_Split!E99</f>
        <v>A-AM</v>
      </c>
      <c r="F584" s="4" t="str">
        <f>Fact_Defect_Split!F99</f>
        <v>C</v>
      </c>
      <c r="G584" s="4" t="s">
        <v>498</v>
      </c>
      <c r="H584" s="19">
        <f>Fact_Defect_Split!G99</f>
        <v>0</v>
      </c>
    </row>
    <row r="585" spans="1:8" x14ac:dyDescent="0.25">
      <c r="A585" s="18" t="s">
        <v>1566</v>
      </c>
      <c r="B585" s="4">
        <f>Fact_Defect_Split!B99</f>
        <v>20260701</v>
      </c>
      <c r="C585" s="4">
        <f>Fact_Defect_Split!C99</f>
        <v>13</v>
      </c>
      <c r="D585" s="4" t="str">
        <f>Fact_Defect_Split!D99</f>
        <v>M7</v>
      </c>
      <c r="E585" s="4" t="str">
        <f>Fact_Defect_Split!E99</f>
        <v>A-AM</v>
      </c>
      <c r="F585" s="4" t="str">
        <f>Fact_Defect_Split!F99</f>
        <v>C</v>
      </c>
      <c r="G585" s="4" t="s">
        <v>500</v>
      </c>
      <c r="H585" s="19">
        <f>Fact_Defect_Split!H99</f>
        <v>0</v>
      </c>
    </row>
    <row r="586" spans="1:8" x14ac:dyDescent="0.25">
      <c r="A586" s="18" t="s">
        <v>1567</v>
      </c>
      <c r="B586" s="4">
        <f>Fact_Defect_Split!B99</f>
        <v>20260701</v>
      </c>
      <c r="C586" s="4">
        <f>Fact_Defect_Split!C99</f>
        <v>13</v>
      </c>
      <c r="D586" s="4" t="str">
        <f>Fact_Defect_Split!D99</f>
        <v>M7</v>
      </c>
      <c r="E586" s="4" t="str">
        <f>Fact_Defect_Split!E99</f>
        <v>A-AM</v>
      </c>
      <c r="F586" s="4" t="str">
        <f>Fact_Defect_Split!F99</f>
        <v>C</v>
      </c>
      <c r="G586" s="4" t="s">
        <v>517</v>
      </c>
      <c r="H586" s="19">
        <f>Fact_Defect_Split!I99</f>
        <v>0</v>
      </c>
    </row>
    <row r="587" spans="1:8" x14ac:dyDescent="0.25">
      <c r="A587" s="18" t="s">
        <v>1568</v>
      </c>
      <c r="B587" s="4">
        <f>Fact_Defect_Split!B99</f>
        <v>20260701</v>
      </c>
      <c r="C587" s="4">
        <f>Fact_Defect_Split!C99</f>
        <v>13</v>
      </c>
      <c r="D587" s="4" t="str">
        <f>Fact_Defect_Split!D99</f>
        <v>M7</v>
      </c>
      <c r="E587" s="4" t="str">
        <f>Fact_Defect_Split!E99</f>
        <v>A-AM</v>
      </c>
      <c r="F587" s="4" t="str">
        <f>Fact_Defect_Split!F99</f>
        <v>C</v>
      </c>
      <c r="G587" s="4" t="s">
        <v>503</v>
      </c>
      <c r="H587" s="19">
        <f>Fact_Defect_Split!J99</f>
        <v>0</v>
      </c>
    </row>
    <row r="588" spans="1:8" x14ac:dyDescent="0.25">
      <c r="A588" s="18" t="s">
        <v>1569</v>
      </c>
      <c r="B588" s="4">
        <f>Fact_Defect_Split!B99</f>
        <v>20260701</v>
      </c>
      <c r="C588" s="4">
        <f>Fact_Defect_Split!C99</f>
        <v>13</v>
      </c>
      <c r="D588" s="4" t="str">
        <f>Fact_Defect_Split!D99</f>
        <v>M7</v>
      </c>
      <c r="E588" s="4" t="str">
        <f>Fact_Defect_Split!E99</f>
        <v>A-AM</v>
      </c>
      <c r="F588" s="4" t="str">
        <f>Fact_Defect_Split!F99</f>
        <v>C</v>
      </c>
      <c r="G588" s="4" t="s">
        <v>509</v>
      </c>
      <c r="H588" s="19">
        <f>Fact_Defect_Split!K99</f>
        <v>1</v>
      </c>
    </row>
    <row r="589" spans="1:8" x14ac:dyDescent="0.25">
      <c r="A589" s="18" t="s">
        <v>1570</v>
      </c>
      <c r="B589" s="4">
        <f>Fact_Defect_Split!B99</f>
        <v>20260701</v>
      </c>
      <c r="C589" s="4">
        <f>Fact_Defect_Split!C99</f>
        <v>13</v>
      </c>
      <c r="D589" s="4" t="str">
        <f>Fact_Defect_Split!D99</f>
        <v>M7</v>
      </c>
      <c r="E589" s="4" t="str">
        <f>Fact_Defect_Split!E99</f>
        <v>A-AM</v>
      </c>
      <c r="F589" s="4" t="str">
        <f>Fact_Defect_Split!F99</f>
        <v>C</v>
      </c>
      <c r="G589" s="4" t="s">
        <v>520</v>
      </c>
      <c r="H589" s="19">
        <f>Fact_Defect_Split!L99</f>
        <v>0</v>
      </c>
    </row>
    <row r="590" spans="1:8" x14ac:dyDescent="0.25">
      <c r="A590" s="18" t="s">
        <v>1571</v>
      </c>
      <c r="B590" s="4">
        <f>Fact_Defect_Split!B100</f>
        <v>20260701</v>
      </c>
      <c r="C590" s="4">
        <f>Fact_Defect_Split!C100</f>
        <v>14</v>
      </c>
      <c r="D590" s="4" t="str">
        <f>Fact_Defect_Split!D100</f>
        <v>M1</v>
      </c>
      <c r="E590" s="4" t="str">
        <f>Fact_Defect_Split!E100</f>
        <v>A-AM</v>
      </c>
      <c r="F590" s="4" t="str">
        <f>Fact_Defect_Split!F100</f>
        <v>C</v>
      </c>
      <c r="G590" s="4" t="s">
        <v>498</v>
      </c>
      <c r="H590" s="19">
        <f>Fact_Defect_Split!G100</f>
        <v>0</v>
      </c>
    </row>
    <row r="591" spans="1:8" x14ac:dyDescent="0.25">
      <c r="A591" s="18" t="s">
        <v>1572</v>
      </c>
      <c r="B591" s="4">
        <f>Fact_Defect_Split!B100</f>
        <v>20260701</v>
      </c>
      <c r="C591" s="4">
        <f>Fact_Defect_Split!C100</f>
        <v>14</v>
      </c>
      <c r="D591" s="4" t="str">
        <f>Fact_Defect_Split!D100</f>
        <v>M1</v>
      </c>
      <c r="E591" s="4" t="str">
        <f>Fact_Defect_Split!E100</f>
        <v>A-AM</v>
      </c>
      <c r="F591" s="4" t="str">
        <f>Fact_Defect_Split!F100</f>
        <v>C</v>
      </c>
      <c r="G591" s="4" t="s">
        <v>500</v>
      </c>
      <c r="H591" s="19">
        <f>Fact_Defect_Split!H100</f>
        <v>0</v>
      </c>
    </row>
    <row r="592" spans="1:8" x14ac:dyDescent="0.25">
      <c r="A592" s="18" t="s">
        <v>1573</v>
      </c>
      <c r="B592" s="4">
        <f>Fact_Defect_Split!B100</f>
        <v>20260701</v>
      </c>
      <c r="C592" s="4">
        <f>Fact_Defect_Split!C100</f>
        <v>14</v>
      </c>
      <c r="D592" s="4" t="str">
        <f>Fact_Defect_Split!D100</f>
        <v>M1</v>
      </c>
      <c r="E592" s="4" t="str">
        <f>Fact_Defect_Split!E100</f>
        <v>A-AM</v>
      </c>
      <c r="F592" s="4" t="str">
        <f>Fact_Defect_Split!F100</f>
        <v>C</v>
      </c>
      <c r="G592" s="4" t="s">
        <v>517</v>
      </c>
      <c r="H592" s="19">
        <f>Fact_Defect_Split!I100</f>
        <v>0</v>
      </c>
    </row>
    <row r="593" spans="1:8" x14ac:dyDescent="0.25">
      <c r="A593" s="18" t="s">
        <v>1574</v>
      </c>
      <c r="B593" s="4">
        <f>Fact_Defect_Split!B100</f>
        <v>20260701</v>
      </c>
      <c r="C593" s="4">
        <f>Fact_Defect_Split!C100</f>
        <v>14</v>
      </c>
      <c r="D593" s="4" t="str">
        <f>Fact_Defect_Split!D100</f>
        <v>M1</v>
      </c>
      <c r="E593" s="4" t="str">
        <f>Fact_Defect_Split!E100</f>
        <v>A-AM</v>
      </c>
      <c r="F593" s="4" t="str">
        <f>Fact_Defect_Split!F100</f>
        <v>C</v>
      </c>
      <c r="G593" s="4" t="s">
        <v>503</v>
      </c>
      <c r="H593" s="19">
        <f>Fact_Defect_Split!J100</f>
        <v>1</v>
      </c>
    </row>
    <row r="594" spans="1:8" x14ac:dyDescent="0.25">
      <c r="A594" s="18" t="s">
        <v>1575</v>
      </c>
      <c r="B594" s="4">
        <f>Fact_Defect_Split!B100</f>
        <v>20260701</v>
      </c>
      <c r="C594" s="4">
        <f>Fact_Defect_Split!C100</f>
        <v>14</v>
      </c>
      <c r="D594" s="4" t="str">
        <f>Fact_Defect_Split!D100</f>
        <v>M1</v>
      </c>
      <c r="E594" s="4" t="str">
        <f>Fact_Defect_Split!E100</f>
        <v>A-AM</v>
      </c>
      <c r="F594" s="4" t="str">
        <f>Fact_Defect_Split!F100</f>
        <v>C</v>
      </c>
      <c r="G594" s="4" t="s">
        <v>509</v>
      </c>
      <c r="H594" s="19">
        <f>Fact_Defect_Split!K100</f>
        <v>0</v>
      </c>
    </row>
    <row r="595" spans="1:8" x14ac:dyDescent="0.25">
      <c r="A595" s="18" t="s">
        <v>1576</v>
      </c>
      <c r="B595" s="4">
        <f>Fact_Defect_Split!B100</f>
        <v>20260701</v>
      </c>
      <c r="C595" s="4">
        <f>Fact_Defect_Split!C100</f>
        <v>14</v>
      </c>
      <c r="D595" s="4" t="str">
        <f>Fact_Defect_Split!D100</f>
        <v>M1</v>
      </c>
      <c r="E595" s="4" t="str">
        <f>Fact_Defect_Split!E100</f>
        <v>A-AM</v>
      </c>
      <c r="F595" s="4" t="str">
        <f>Fact_Defect_Split!F100</f>
        <v>C</v>
      </c>
      <c r="G595" s="4" t="s">
        <v>520</v>
      </c>
      <c r="H595" s="19">
        <f>Fact_Defect_Split!L100</f>
        <v>1</v>
      </c>
    </row>
    <row r="596" spans="1:8" x14ac:dyDescent="0.25">
      <c r="A596" s="18" t="s">
        <v>1577</v>
      </c>
      <c r="B596" s="4">
        <f>Fact_Defect_Split!B101</f>
        <v>20260701</v>
      </c>
      <c r="C596" s="4">
        <f>Fact_Defect_Split!C101</f>
        <v>14</v>
      </c>
      <c r="D596" s="4" t="str">
        <f>Fact_Defect_Split!D101</f>
        <v>M2</v>
      </c>
      <c r="E596" s="4" t="str">
        <f>Fact_Defect_Split!E101</f>
        <v>A-AM</v>
      </c>
      <c r="F596" s="4" t="str">
        <f>Fact_Defect_Split!F101</f>
        <v>A</v>
      </c>
      <c r="G596" s="4" t="s">
        <v>498</v>
      </c>
      <c r="H596" s="19">
        <f>Fact_Defect_Split!G101</f>
        <v>0</v>
      </c>
    </row>
    <row r="597" spans="1:8" x14ac:dyDescent="0.25">
      <c r="A597" s="18" t="s">
        <v>1578</v>
      </c>
      <c r="B597" s="4">
        <f>Fact_Defect_Split!B101</f>
        <v>20260701</v>
      </c>
      <c r="C597" s="4">
        <f>Fact_Defect_Split!C101</f>
        <v>14</v>
      </c>
      <c r="D597" s="4" t="str">
        <f>Fact_Defect_Split!D101</f>
        <v>M2</v>
      </c>
      <c r="E597" s="4" t="str">
        <f>Fact_Defect_Split!E101</f>
        <v>A-AM</v>
      </c>
      <c r="F597" s="4" t="str">
        <f>Fact_Defect_Split!F101</f>
        <v>A</v>
      </c>
      <c r="G597" s="4" t="s">
        <v>500</v>
      </c>
      <c r="H597" s="19">
        <f>Fact_Defect_Split!H101</f>
        <v>0</v>
      </c>
    </row>
    <row r="598" spans="1:8" x14ac:dyDescent="0.25">
      <c r="A598" s="18" t="s">
        <v>1579</v>
      </c>
      <c r="B598" s="4">
        <f>Fact_Defect_Split!B101</f>
        <v>20260701</v>
      </c>
      <c r="C598" s="4">
        <f>Fact_Defect_Split!C101</f>
        <v>14</v>
      </c>
      <c r="D598" s="4" t="str">
        <f>Fact_Defect_Split!D101</f>
        <v>M2</v>
      </c>
      <c r="E598" s="4" t="str">
        <f>Fact_Defect_Split!E101</f>
        <v>A-AM</v>
      </c>
      <c r="F598" s="4" t="str">
        <f>Fact_Defect_Split!F101</f>
        <v>A</v>
      </c>
      <c r="G598" s="4" t="s">
        <v>517</v>
      </c>
      <c r="H598" s="19">
        <f>Fact_Defect_Split!I101</f>
        <v>0</v>
      </c>
    </row>
    <row r="599" spans="1:8" x14ac:dyDescent="0.25">
      <c r="A599" s="18" t="s">
        <v>1580</v>
      </c>
      <c r="B599" s="4">
        <f>Fact_Defect_Split!B101</f>
        <v>20260701</v>
      </c>
      <c r="C599" s="4">
        <f>Fact_Defect_Split!C101</f>
        <v>14</v>
      </c>
      <c r="D599" s="4" t="str">
        <f>Fact_Defect_Split!D101</f>
        <v>M2</v>
      </c>
      <c r="E599" s="4" t="str">
        <f>Fact_Defect_Split!E101</f>
        <v>A-AM</v>
      </c>
      <c r="F599" s="4" t="str">
        <f>Fact_Defect_Split!F101</f>
        <v>A</v>
      </c>
      <c r="G599" s="4" t="s">
        <v>503</v>
      </c>
      <c r="H599" s="19">
        <f>Fact_Defect_Split!J101</f>
        <v>0</v>
      </c>
    </row>
    <row r="600" spans="1:8" x14ac:dyDescent="0.25">
      <c r="A600" s="18" t="s">
        <v>1581</v>
      </c>
      <c r="B600" s="4">
        <f>Fact_Defect_Split!B101</f>
        <v>20260701</v>
      </c>
      <c r="C600" s="4">
        <f>Fact_Defect_Split!C101</f>
        <v>14</v>
      </c>
      <c r="D600" s="4" t="str">
        <f>Fact_Defect_Split!D101</f>
        <v>M2</v>
      </c>
      <c r="E600" s="4" t="str">
        <f>Fact_Defect_Split!E101</f>
        <v>A-AM</v>
      </c>
      <c r="F600" s="4" t="str">
        <f>Fact_Defect_Split!F101</f>
        <v>A</v>
      </c>
      <c r="G600" s="4" t="s">
        <v>509</v>
      </c>
      <c r="H600" s="19">
        <f>Fact_Defect_Split!K101</f>
        <v>1</v>
      </c>
    </row>
    <row r="601" spans="1:8" x14ac:dyDescent="0.25">
      <c r="A601" s="18" t="s">
        <v>1582</v>
      </c>
      <c r="B601" s="4">
        <f>Fact_Defect_Split!B101</f>
        <v>20260701</v>
      </c>
      <c r="C601" s="4">
        <f>Fact_Defect_Split!C101</f>
        <v>14</v>
      </c>
      <c r="D601" s="4" t="str">
        <f>Fact_Defect_Split!D101</f>
        <v>M2</v>
      </c>
      <c r="E601" s="4" t="str">
        <f>Fact_Defect_Split!E101</f>
        <v>A-AM</v>
      </c>
      <c r="F601" s="4" t="str">
        <f>Fact_Defect_Split!F101</f>
        <v>A</v>
      </c>
      <c r="G601" s="4" t="s">
        <v>520</v>
      </c>
      <c r="H601" s="19">
        <f>Fact_Defect_Split!L101</f>
        <v>0</v>
      </c>
    </row>
    <row r="602" spans="1:8" x14ac:dyDescent="0.25">
      <c r="A602" s="18" t="s">
        <v>1583</v>
      </c>
      <c r="B602" s="4">
        <f>Fact_Defect_Split!B102</f>
        <v>20260701</v>
      </c>
      <c r="C602" s="4">
        <f>Fact_Defect_Split!C102</f>
        <v>14</v>
      </c>
      <c r="D602" s="4" t="str">
        <f>Fact_Defect_Split!D102</f>
        <v>M3</v>
      </c>
      <c r="E602" s="4" t="str">
        <f>Fact_Defect_Split!E102</f>
        <v>A-AM</v>
      </c>
      <c r="F602" s="4" t="str">
        <f>Fact_Defect_Split!F102</f>
        <v>B</v>
      </c>
      <c r="G602" s="4" t="s">
        <v>498</v>
      </c>
      <c r="H602" s="19">
        <f>Fact_Defect_Split!G102</f>
        <v>0</v>
      </c>
    </row>
    <row r="603" spans="1:8" x14ac:dyDescent="0.25">
      <c r="A603" s="18" t="s">
        <v>1584</v>
      </c>
      <c r="B603" s="4">
        <f>Fact_Defect_Split!B102</f>
        <v>20260701</v>
      </c>
      <c r="C603" s="4">
        <f>Fact_Defect_Split!C102</f>
        <v>14</v>
      </c>
      <c r="D603" s="4" t="str">
        <f>Fact_Defect_Split!D102</f>
        <v>M3</v>
      </c>
      <c r="E603" s="4" t="str">
        <f>Fact_Defect_Split!E102</f>
        <v>A-AM</v>
      </c>
      <c r="F603" s="4" t="str">
        <f>Fact_Defect_Split!F102</f>
        <v>B</v>
      </c>
      <c r="G603" s="4" t="s">
        <v>500</v>
      </c>
      <c r="H603" s="19">
        <f>Fact_Defect_Split!H102</f>
        <v>0</v>
      </c>
    </row>
    <row r="604" spans="1:8" x14ac:dyDescent="0.25">
      <c r="A604" s="18" t="s">
        <v>1585</v>
      </c>
      <c r="B604" s="4">
        <f>Fact_Defect_Split!B102</f>
        <v>20260701</v>
      </c>
      <c r="C604" s="4">
        <f>Fact_Defect_Split!C102</f>
        <v>14</v>
      </c>
      <c r="D604" s="4" t="str">
        <f>Fact_Defect_Split!D102</f>
        <v>M3</v>
      </c>
      <c r="E604" s="4" t="str">
        <f>Fact_Defect_Split!E102</f>
        <v>A-AM</v>
      </c>
      <c r="F604" s="4" t="str">
        <f>Fact_Defect_Split!F102</f>
        <v>B</v>
      </c>
      <c r="G604" s="4" t="s">
        <v>517</v>
      </c>
      <c r="H604" s="19">
        <f>Fact_Defect_Split!I102</f>
        <v>0</v>
      </c>
    </row>
    <row r="605" spans="1:8" x14ac:dyDescent="0.25">
      <c r="A605" s="18" t="s">
        <v>1586</v>
      </c>
      <c r="B605" s="4">
        <f>Fact_Defect_Split!B102</f>
        <v>20260701</v>
      </c>
      <c r="C605" s="4">
        <f>Fact_Defect_Split!C102</f>
        <v>14</v>
      </c>
      <c r="D605" s="4" t="str">
        <f>Fact_Defect_Split!D102</f>
        <v>M3</v>
      </c>
      <c r="E605" s="4" t="str">
        <f>Fact_Defect_Split!E102</f>
        <v>A-AM</v>
      </c>
      <c r="F605" s="4" t="str">
        <f>Fact_Defect_Split!F102</f>
        <v>B</v>
      </c>
      <c r="G605" s="4" t="s">
        <v>503</v>
      </c>
      <c r="H605" s="19">
        <f>Fact_Defect_Split!J102</f>
        <v>0</v>
      </c>
    </row>
    <row r="606" spans="1:8" x14ac:dyDescent="0.25">
      <c r="A606" s="18" t="s">
        <v>1587</v>
      </c>
      <c r="B606" s="4">
        <f>Fact_Defect_Split!B102</f>
        <v>20260701</v>
      </c>
      <c r="C606" s="4">
        <f>Fact_Defect_Split!C102</f>
        <v>14</v>
      </c>
      <c r="D606" s="4" t="str">
        <f>Fact_Defect_Split!D102</f>
        <v>M3</v>
      </c>
      <c r="E606" s="4" t="str">
        <f>Fact_Defect_Split!E102</f>
        <v>A-AM</v>
      </c>
      <c r="F606" s="4" t="str">
        <f>Fact_Defect_Split!F102</f>
        <v>B</v>
      </c>
      <c r="G606" s="4" t="s">
        <v>509</v>
      </c>
      <c r="H606" s="19">
        <f>Fact_Defect_Split!K102</f>
        <v>1</v>
      </c>
    </row>
    <row r="607" spans="1:8" x14ac:dyDescent="0.25">
      <c r="A607" s="18" t="s">
        <v>1588</v>
      </c>
      <c r="B607" s="4">
        <f>Fact_Defect_Split!B102</f>
        <v>20260701</v>
      </c>
      <c r="C607" s="4">
        <f>Fact_Defect_Split!C102</f>
        <v>14</v>
      </c>
      <c r="D607" s="4" t="str">
        <f>Fact_Defect_Split!D102</f>
        <v>M3</v>
      </c>
      <c r="E607" s="4" t="str">
        <f>Fact_Defect_Split!E102</f>
        <v>A-AM</v>
      </c>
      <c r="F607" s="4" t="str">
        <f>Fact_Defect_Split!F102</f>
        <v>B</v>
      </c>
      <c r="G607" s="4" t="s">
        <v>520</v>
      </c>
      <c r="H607" s="19">
        <f>Fact_Defect_Split!L102</f>
        <v>0</v>
      </c>
    </row>
    <row r="608" spans="1:8" x14ac:dyDescent="0.25">
      <c r="A608" s="18" t="s">
        <v>1589</v>
      </c>
      <c r="B608" s="4">
        <f>Fact_Defect_Split!B103</f>
        <v>20260701</v>
      </c>
      <c r="C608" s="4">
        <f>Fact_Defect_Split!C103</f>
        <v>14</v>
      </c>
      <c r="D608" s="4" t="str">
        <f>Fact_Defect_Split!D103</f>
        <v>M4</v>
      </c>
      <c r="E608" s="4" t="str">
        <f>Fact_Defect_Split!E103</f>
        <v>A-AM</v>
      </c>
      <c r="F608" s="4" t="str">
        <f>Fact_Defect_Split!F103</f>
        <v>A</v>
      </c>
      <c r="G608" s="4" t="s">
        <v>498</v>
      </c>
      <c r="H608" s="19">
        <f>Fact_Defect_Split!G103</f>
        <v>0</v>
      </c>
    </row>
    <row r="609" spans="1:8" x14ac:dyDescent="0.25">
      <c r="A609" s="18" t="s">
        <v>1590</v>
      </c>
      <c r="B609" s="4">
        <f>Fact_Defect_Split!B103</f>
        <v>20260701</v>
      </c>
      <c r="C609" s="4">
        <f>Fact_Defect_Split!C103</f>
        <v>14</v>
      </c>
      <c r="D609" s="4" t="str">
        <f>Fact_Defect_Split!D103</f>
        <v>M4</v>
      </c>
      <c r="E609" s="4" t="str">
        <f>Fact_Defect_Split!E103</f>
        <v>A-AM</v>
      </c>
      <c r="F609" s="4" t="str">
        <f>Fact_Defect_Split!F103</f>
        <v>A</v>
      </c>
      <c r="G609" s="4" t="s">
        <v>500</v>
      </c>
      <c r="H609" s="19">
        <f>Fact_Defect_Split!H103</f>
        <v>0</v>
      </c>
    </row>
    <row r="610" spans="1:8" x14ac:dyDescent="0.25">
      <c r="A610" s="18" t="s">
        <v>1591</v>
      </c>
      <c r="B610" s="4">
        <f>Fact_Defect_Split!B103</f>
        <v>20260701</v>
      </c>
      <c r="C610" s="4">
        <f>Fact_Defect_Split!C103</f>
        <v>14</v>
      </c>
      <c r="D610" s="4" t="str">
        <f>Fact_Defect_Split!D103</f>
        <v>M4</v>
      </c>
      <c r="E610" s="4" t="str">
        <f>Fact_Defect_Split!E103</f>
        <v>A-AM</v>
      </c>
      <c r="F610" s="4" t="str">
        <f>Fact_Defect_Split!F103</f>
        <v>A</v>
      </c>
      <c r="G610" s="4" t="s">
        <v>517</v>
      </c>
      <c r="H610" s="19">
        <f>Fact_Defect_Split!I103</f>
        <v>0</v>
      </c>
    </row>
    <row r="611" spans="1:8" x14ac:dyDescent="0.25">
      <c r="A611" s="18" t="s">
        <v>1592</v>
      </c>
      <c r="B611" s="4">
        <f>Fact_Defect_Split!B103</f>
        <v>20260701</v>
      </c>
      <c r="C611" s="4">
        <f>Fact_Defect_Split!C103</f>
        <v>14</v>
      </c>
      <c r="D611" s="4" t="str">
        <f>Fact_Defect_Split!D103</f>
        <v>M4</v>
      </c>
      <c r="E611" s="4" t="str">
        <f>Fact_Defect_Split!E103</f>
        <v>A-AM</v>
      </c>
      <c r="F611" s="4" t="str">
        <f>Fact_Defect_Split!F103</f>
        <v>A</v>
      </c>
      <c r="G611" s="4" t="s">
        <v>503</v>
      </c>
      <c r="H611" s="19">
        <f>Fact_Defect_Split!J103</f>
        <v>0</v>
      </c>
    </row>
    <row r="612" spans="1:8" x14ac:dyDescent="0.25">
      <c r="A612" s="18" t="s">
        <v>1593</v>
      </c>
      <c r="B612" s="4">
        <f>Fact_Defect_Split!B103</f>
        <v>20260701</v>
      </c>
      <c r="C612" s="4">
        <f>Fact_Defect_Split!C103</f>
        <v>14</v>
      </c>
      <c r="D612" s="4" t="str">
        <f>Fact_Defect_Split!D103</f>
        <v>M4</v>
      </c>
      <c r="E612" s="4" t="str">
        <f>Fact_Defect_Split!E103</f>
        <v>A-AM</v>
      </c>
      <c r="F612" s="4" t="str">
        <f>Fact_Defect_Split!F103</f>
        <v>A</v>
      </c>
      <c r="G612" s="4" t="s">
        <v>509</v>
      </c>
      <c r="H612" s="19">
        <f>Fact_Defect_Split!K103</f>
        <v>1</v>
      </c>
    </row>
    <row r="613" spans="1:8" x14ac:dyDescent="0.25">
      <c r="A613" s="18" t="s">
        <v>1594</v>
      </c>
      <c r="B613" s="4">
        <f>Fact_Defect_Split!B103</f>
        <v>20260701</v>
      </c>
      <c r="C613" s="4">
        <f>Fact_Defect_Split!C103</f>
        <v>14</v>
      </c>
      <c r="D613" s="4" t="str">
        <f>Fact_Defect_Split!D103</f>
        <v>M4</v>
      </c>
      <c r="E613" s="4" t="str">
        <f>Fact_Defect_Split!E103</f>
        <v>A-AM</v>
      </c>
      <c r="F613" s="4" t="str">
        <f>Fact_Defect_Split!F103</f>
        <v>A</v>
      </c>
      <c r="G613" s="4" t="s">
        <v>520</v>
      </c>
      <c r="H613" s="19">
        <f>Fact_Defect_Split!L103</f>
        <v>0</v>
      </c>
    </row>
    <row r="614" spans="1:8" x14ac:dyDescent="0.25">
      <c r="A614" s="18" t="s">
        <v>1595</v>
      </c>
      <c r="B614" s="4">
        <f>Fact_Defect_Split!B104</f>
        <v>20260701</v>
      </c>
      <c r="C614" s="4">
        <f>Fact_Defect_Split!C104</f>
        <v>14</v>
      </c>
      <c r="D614" s="4" t="str">
        <f>Fact_Defect_Split!D104</f>
        <v>M5</v>
      </c>
      <c r="E614" s="4" t="str">
        <f>Fact_Defect_Split!E104</f>
        <v>A-AM</v>
      </c>
      <c r="F614" s="4" t="str">
        <f>Fact_Defect_Split!F104</f>
        <v>C</v>
      </c>
      <c r="G614" s="4" t="s">
        <v>498</v>
      </c>
      <c r="H614" s="19">
        <f>Fact_Defect_Split!G104</f>
        <v>0</v>
      </c>
    </row>
    <row r="615" spans="1:8" x14ac:dyDescent="0.25">
      <c r="A615" s="18" t="s">
        <v>1596</v>
      </c>
      <c r="B615" s="4">
        <f>Fact_Defect_Split!B104</f>
        <v>20260701</v>
      </c>
      <c r="C615" s="4">
        <f>Fact_Defect_Split!C104</f>
        <v>14</v>
      </c>
      <c r="D615" s="4" t="str">
        <f>Fact_Defect_Split!D104</f>
        <v>M5</v>
      </c>
      <c r="E615" s="4" t="str">
        <f>Fact_Defect_Split!E104</f>
        <v>A-AM</v>
      </c>
      <c r="F615" s="4" t="str">
        <f>Fact_Defect_Split!F104</f>
        <v>C</v>
      </c>
      <c r="G615" s="4" t="s">
        <v>500</v>
      </c>
      <c r="H615" s="19">
        <f>Fact_Defect_Split!H104</f>
        <v>0</v>
      </c>
    </row>
    <row r="616" spans="1:8" x14ac:dyDescent="0.25">
      <c r="A616" s="18" t="s">
        <v>1597</v>
      </c>
      <c r="B616" s="4">
        <f>Fact_Defect_Split!B104</f>
        <v>20260701</v>
      </c>
      <c r="C616" s="4">
        <f>Fact_Defect_Split!C104</f>
        <v>14</v>
      </c>
      <c r="D616" s="4" t="str">
        <f>Fact_Defect_Split!D104</f>
        <v>M5</v>
      </c>
      <c r="E616" s="4" t="str">
        <f>Fact_Defect_Split!E104</f>
        <v>A-AM</v>
      </c>
      <c r="F616" s="4" t="str">
        <f>Fact_Defect_Split!F104</f>
        <v>C</v>
      </c>
      <c r="G616" s="4" t="s">
        <v>517</v>
      </c>
      <c r="H616" s="19">
        <f>Fact_Defect_Split!I104</f>
        <v>1</v>
      </c>
    </row>
    <row r="617" spans="1:8" x14ac:dyDescent="0.25">
      <c r="A617" s="18" t="s">
        <v>1598</v>
      </c>
      <c r="B617" s="4">
        <f>Fact_Defect_Split!B104</f>
        <v>20260701</v>
      </c>
      <c r="C617" s="4">
        <f>Fact_Defect_Split!C104</f>
        <v>14</v>
      </c>
      <c r="D617" s="4" t="str">
        <f>Fact_Defect_Split!D104</f>
        <v>M5</v>
      </c>
      <c r="E617" s="4" t="str">
        <f>Fact_Defect_Split!E104</f>
        <v>A-AM</v>
      </c>
      <c r="F617" s="4" t="str">
        <f>Fact_Defect_Split!F104</f>
        <v>C</v>
      </c>
      <c r="G617" s="4" t="s">
        <v>503</v>
      </c>
      <c r="H617" s="19">
        <f>Fact_Defect_Split!J104</f>
        <v>0</v>
      </c>
    </row>
    <row r="618" spans="1:8" x14ac:dyDescent="0.25">
      <c r="A618" s="18" t="s">
        <v>1599</v>
      </c>
      <c r="B618" s="4">
        <f>Fact_Defect_Split!B104</f>
        <v>20260701</v>
      </c>
      <c r="C618" s="4">
        <f>Fact_Defect_Split!C104</f>
        <v>14</v>
      </c>
      <c r="D618" s="4" t="str">
        <f>Fact_Defect_Split!D104</f>
        <v>M5</v>
      </c>
      <c r="E618" s="4" t="str">
        <f>Fact_Defect_Split!E104</f>
        <v>A-AM</v>
      </c>
      <c r="F618" s="4" t="str">
        <f>Fact_Defect_Split!F104</f>
        <v>C</v>
      </c>
      <c r="G618" s="4" t="s">
        <v>509</v>
      </c>
      <c r="H618" s="19">
        <f>Fact_Defect_Split!K104</f>
        <v>1</v>
      </c>
    </row>
    <row r="619" spans="1:8" x14ac:dyDescent="0.25">
      <c r="A619" s="18" t="s">
        <v>1600</v>
      </c>
      <c r="B619" s="4">
        <f>Fact_Defect_Split!B104</f>
        <v>20260701</v>
      </c>
      <c r="C619" s="4">
        <f>Fact_Defect_Split!C104</f>
        <v>14</v>
      </c>
      <c r="D619" s="4" t="str">
        <f>Fact_Defect_Split!D104</f>
        <v>M5</v>
      </c>
      <c r="E619" s="4" t="str">
        <f>Fact_Defect_Split!E104</f>
        <v>A-AM</v>
      </c>
      <c r="F619" s="4" t="str">
        <f>Fact_Defect_Split!F104</f>
        <v>C</v>
      </c>
      <c r="G619" s="4" t="s">
        <v>520</v>
      </c>
      <c r="H619" s="19">
        <f>Fact_Defect_Split!L104</f>
        <v>0</v>
      </c>
    </row>
    <row r="620" spans="1:8" x14ac:dyDescent="0.25">
      <c r="A620" s="18" t="s">
        <v>1601</v>
      </c>
      <c r="B620" s="4">
        <f>Fact_Defect_Split!B105</f>
        <v>20260701</v>
      </c>
      <c r="C620" s="4">
        <f>Fact_Defect_Split!C105</f>
        <v>14</v>
      </c>
      <c r="D620" s="4" t="str">
        <f>Fact_Defect_Split!D105</f>
        <v>M6</v>
      </c>
      <c r="E620" s="4" t="str">
        <f>Fact_Defect_Split!E105</f>
        <v>A-AM</v>
      </c>
      <c r="F620" s="4" t="str">
        <f>Fact_Defect_Split!F105</f>
        <v>C</v>
      </c>
      <c r="G620" s="4" t="s">
        <v>498</v>
      </c>
      <c r="H620" s="19">
        <f>Fact_Defect_Split!G105</f>
        <v>0</v>
      </c>
    </row>
    <row r="621" spans="1:8" x14ac:dyDescent="0.25">
      <c r="A621" s="18" t="s">
        <v>1602</v>
      </c>
      <c r="B621" s="4">
        <f>Fact_Defect_Split!B105</f>
        <v>20260701</v>
      </c>
      <c r="C621" s="4">
        <f>Fact_Defect_Split!C105</f>
        <v>14</v>
      </c>
      <c r="D621" s="4" t="str">
        <f>Fact_Defect_Split!D105</f>
        <v>M6</v>
      </c>
      <c r="E621" s="4" t="str">
        <f>Fact_Defect_Split!E105</f>
        <v>A-AM</v>
      </c>
      <c r="F621" s="4" t="str">
        <f>Fact_Defect_Split!F105</f>
        <v>C</v>
      </c>
      <c r="G621" s="4" t="s">
        <v>500</v>
      </c>
      <c r="H621" s="19">
        <f>Fact_Defect_Split!H105</f>
        <v>0</v>
      </c>
    </row>
    <row r="622" spans="1:8" x14ac:dyDescent="0.25">
      <c r="A622" s="18" t="s">
        <v>1603</v>
      </c>
      <c r="B622" s="4">
        <f>Fact_Defect_Split!B105</f>
        <v>20260701</v>
      </c>
      <c r="C622" s="4">
        <f>Fact_Defect_Split!C105</f>
        <v>14</v>
      </c>
      <c r="D622" s="4" t="str">
        <f>Fact_Defect_Split!D105</f>
        <v>M6</v>
      </c>
      <c r="E622" s="4" t="str">
        <f>Fact_Defect_Split!E105</f>
        <v>A-AM</v>
      </c>
      <c r="F622" s="4" t="str">
        <f>Fact_Defect_Split!F105</f>
        <v>C</v>
      </c>
      <c r="G622" s="4" t="s">
        <v>517</v>
      </c>
      <c r="H622" s="19">
        <f>Fact_Defect_Split!I105</f>
        <v>1</v>
      </c>
    </row>
    <row r="623" spans="1:8" x14ac:dyDescent="0.25">
      <c r="A623" s="18" t="s">
        <v>1604</v>
      </c>
      <c r="B623" s="4">
        <f>Fact_Defect_Split!B105</f>
        <v>20260701</v>
      </c>
      <c r="C623" s="4">
        <f>Fact_Defect_Split!C105</f>
        <v>14</v>
      </c>
      <c r="D623" s="4" t="str">
        <f>Fact_Defect_Split!D105</f>
        <v>M6</v>
      </c>
      <c r="E623" s="4" t="str">
        <f>Fact_Defect_Split!E105</f>
        <v>A-AM</v>
      </c>
      <c r="F623" s="4" t="str">
        <f>Fact_Defect_Split!F105</f>
        <v>C</v>
      </c>
      <c r="G623" s="4" t="s">
        <v>503</v>
      </c>
      <c r="H623" s="19">
        <f>Fact_Defect_Split!J105</f>
        <v>0</v>
      </c>
    </row>
    <row r="624" spans="1:8" x14ac:dyDescent="0.25">
      <c r="A624" s="18" t="s">
        <v>1605</v>
      </c>
      <c r="B624" s="4">
        <f>Fact_Defect_Split!B105</f>
        <v>20260701</v>
      </c>
      <c r="C624" s="4">
        <f>Fact_Defect_Split!C105</f>
        <v>14</v>
      </c>
      <c r="D624" s="4" t="str">
        <f>Fact_Defect_Split!D105</f>
        <v>M6</v>
      </c>
      <c r="E624" s="4" t="str">
        <f>Fact_Defect_Split!E105</f>
        <v>A-AM</v>
      </c>
      <c r="F624" s="4" t="str">
        <f>Fact_Defect_Split!F105</f>
        <v>C</v>
      </c>
      <c r="G624" s="4" t="s">
        <v>509</v>
      </c>
      <c r="H624" s="19">
        <f>Fact_Defect_Split!K105</f>
        <v>1</v>
      </c>
    </row>
    <row r="625" spans="1:8" x14ac:dyDescent="0.25">
      <c r="A625" s="18" t="s">
        <v>1606</v>
      </c>
      <c r="B625" s="4">
        <f>Fact_Defect_Split!B105</f>
        <v>20260701</v>
      </c>
      <c r="C625" s="4">
        <f>Fact_Defect_Split!C105</f>
        <v>14</v>
      </c>
      <c r="D625" s="4" t="str">
        <f>Fact_Defect_Split!D105</f>
        <v>M6</v>
      </c>
      <c r="E625" s="4" t="str">
        <f>Fact_Defect_Split!E105</f>
        <v>A-AM</v>
      </c>
      <c r="F625" s="4" t="str">
        <f>Fact_Defect_Split!F105</f>
        <v>C</v>
      </c>
      <c r="G625" s="4" t="s">
        <v>520</v>
      </c>
      <c r="H625" s="19">
        <f>Fact_Defect_Split!L105</f>
        <v>0</v>
      </c>
    </row>
    <row r="626" spans="1:8" x14ac:dyDescent="0.25">
      <c r="A626" s="18" t="s">
        <v>1607</v>
      </c>
      <c r="B626" s="4">
        <f>Fact_Defect_Split!B106</f>
        <v>20260701</v>
      </c>
      <c r="C626" s="4">
        <f>Fact_Defect_Split!C106</f>
        <v>14</v>
      </c>
      <c r="D626" s="4" t="str">
        <f>Fact_Defect_Split!D106</f>
        <v>M7</v>
      </c>
      <c r="E626" s="4" t="str">
        <f>Fact_Defect_Split!E106</f>
        <v>A-AM</v>
      </c>
      <c r="F626" s="4" t="str">
        <f>Fact_Defect_Split!F106</f>
        <v>C</v>
      </c>
      <c r="G626" s="4" t="s">
        <v>498</v>
      </c>
      <c r="H626" s="19">
        <f>Fact_Defect_Split!G106</f>
        <v>0</v>
      </c>
    </row>
    <row r="627" spans="1:8" x14ac:dyDescent="0.25">
      <c r="A627" s="18" t="s">
        <v>1608</v>
      </c>
      <c r="B627" s="4">
        <f>Fact_Defect_Split!B106</f>
        <v>20260701</v>
      </c>
      <c r="C627" s="4">
        <f>Fact_Defect_Split!C106</f>
        <v>14</v>
      </c>
      <c r="D627" s="4" t="str">
        <f>Fact_Defect_Split!D106</f>
        <v>M7</v>
      </c>
      <c r="E627" s="4" t="str">
        <f>Fact_Defect_Split!E106</f>
        <v>A-AM</v>
      </c>
      <c r="F627" s="4" t="str">
        <f>Fact_Defect_Split!F106</f>
        <v>C</v>
      </c>
      <c r="G627" s="4" t="s">
        <v>500</v>
      </c>
      <c r="H627" s="19">
        <f>Fact_Defect_Split!H106</f>
        <v>0</v>
      </c>
    </row>
    <row r="628" spans="1:8" x14ac:dyDescent="0.25">
      <c r="A628" s="18" t="s">
        <v>1609</v>
      </c>
      <c r="B628" s="4">
        <f>Fact_Defect_Split!B106</f>
        <v>20260701</v>
      </c>
      <c r="C628" s="4">
        <f>Fact_Defect_Split!C106</f>
        <v>14</v>
      </c>
      <c r="D628" s="4" t="str">
        <f>Fact_Defect_Split!D106</f>
        <v>M7</v>
      </c>
      <c r="E628" s="4" t="str">
        <f>Fact_Defect_Split!E106</f>
        <v>A-AM</v>
      </c>
      <c r="F628" s="4" t="str">
        <f>Fact_Defect_Split!F106</f>
        <v>C</v>
      </c>
      <c r="G628" s="4" t="s">
        <v>517</v>
      </c>
      <c r="H628" s="19">
        <f>Fact_Defect_Split!I106</f>
        <v>0</v>
      </c>
    </row>
    <row r="629" spans="1:8" x14ac:dyDescent="0.25">
      <c r="A629" s="18" t="s">
        <v>1610</v>
      </c>
      <c r="B629" s="4">
        <f>Fact_Defect_Split!B106</f>
        <v>20260701</v>
      </c>
      <c r="C629" s="4">
        <f>Fact_Defect_Split!C106</f>
        <v>14</v>
      </c>
      <c r="D629" s="4" t="str">
        <f>Fact_Defect_Split!D106</f>
        <v>M7</v>
      </c>
      <c r="E629" s="4" t="str">
        <f>Fact_Defect_Split!E106</f>
        <v>A-AM</v>
      </c>
      <c r="F629" s="4" t="str">
        <f>Fact_Defect_Split!F106</f>
        <v>C</v>
      </c>
      <c r="G629" s="4" t="s">
        <v>503</v>
      </c>
      <c r="H629" s="19">
        <f>Fact_Defect_Split!J106</f>
        <v>0</v>
      </c>
    </row>
    <row r="630" spans="1:8" x14ac:dyDescent="0.25">
      <c r="A630" s="18" t="s">
        <v>1611</v>
      </c>
      <c r="B630" s="4">
        <f>Fact_Defect_Split!B106</f>
        <v>20260701</v>
      </c>
      <c r="C630" s="4">
        <f>Fact_Defect_Split!C106</f>
        <v>14</v>
      </c>
      <c r="D630" s="4" t="str">
        <f>Fact_Defect_Split!D106</f>
        <v>M7</v>
      </c>
      <c r="E630" s="4" t="str">
        <f>Fact_Defect_Split!E106</f>
        <v>A-AM</v>
      </c>
      <c r="F630" s="4" t="str">
        <f>Fact_Defect_Split!F106</f>
        <v>C</v>
      </c>
      <c r="G630" s="4" t="s">
        <v>509</v>
      </c>
      <c r="H630" s="19">
        <f>Fact_Defect_Split!K106</f>
        <v>1</v>
      </c>
    </row>
    <row r="631" spans="1:8" x14ac:dyDescent="0.25">
      <c r="A631" s="18" t="s">
        <v>1612</v>
      </c>
      <c r="B631" s="4">
        <f>Fact_Defect_Split!B106</f>
        <v>20260701</v>
      </c>
      <c r="C631" s="4">
        <f>Fact_Defect_Split!C106</f>
        <v>14</v>
      </c>
      <c r="D631" s="4" t="str">
        <f>Fact_Defect_Split!D106</f>
        <v>M7</v>
      </c>
      <c r="E631" s="4" t="str">
        <f>Fact_Defect_Split!E106</f>
        <v>A-AM</v>
      </c>
      <c r="F631" s="4" t="str">
        <f>Fact_Defect_Split!F106</f>
        <v>C</v>
      </c>
      <c r="G631" s="4" t="s">
        <v>520</v>
      </c>
      <c r="H631" s="19">
        <f>Fact_Defect_Split!L106</f>
        <v>0</v>
      </c>
    </row>
    <row r="632" spans="1:8" x14ac:dyDescent="0.25">
      <c r="A632" s="18" t="s">
        <v>1613</v>
      </c>
      <c r="B632" s="4">
        <f>Fact_Defect_Split!B107</f>
        <v>20260701</v>
      </c>
      <c r="C632" s="4">
        <f>Fact_Defect_Split!C107</f>
        <v>15</v>
      </c>
      <c r="D632" s="4" t="str">
        <f>Fact_Defect_Split!D107</f>
        <v>M1</v>
      </c>
      <c r="E632" s="4" t="str">
        <f>Fact_Defect_Split!E107</f>
        <v>A-AM</v>
      </c>
      <c r="F632" s="4" t="str">
        <f>Fact_Defect_Split!F107</f>
        <v>C</v>
      </c>
      <c r="G632" s="4" t="s">
        <v>498</v>
      </c>
      <c r="H632" s="19">
        <f>Fact_Defect_Split!G107</f>
        <v>0</v>
      </c>
    </row>
    <row r="633" spans="1:8" x14ac:dyDescent="0.25">
      <c r="A633" s="18" t="s">
        <v>1614</v>
      </c>
      <c r="B633" s="4">
        <f>Fact_Defect_Split!B107</f>
        <v>20260701</v>
      </c>
      <c r="C633" s="4">
        <f>Fact_Defect_Split!C107</f>
        <v>15</v>
      </c>
      <c r="D633" s="4" t="str">
        <f>Fact_Defect_Split!D107</f>
        <v>M1</v>
      </c>
      <c r="E633" s="4" t="str">
        <f>Fact_Defect_Split!E107</f>
        <v>A-AM</v>
      </c>
      <c r="F633" s="4" t="str">
        <f>Fact_Defect_Split!F107</f>
        <v>C</v>
      </c>
      <c r="G633" s="4" t="s">
        <v>500</v>
      </c>
      <c r="H633" s="19">
        <f>Fact_Defect_Split!H107</f>
        <v>0</v>
      </c>
    </row>
    <row r="634" spans="1:8" x14ac:dyDescent="0.25">
      <c r="A634" s="18" t="s">
        <v>1615</v>
      </c>
      <c r="B634" s="4">
        <f>Fact_Defect_Split!B107</f>
        <v>20260701</v>
      </c>
      <c r="C634" s="4">
        <f>Fact_Defect_Split!C107</f>
        <v>15</v>
      </c>
      <c r="D634" s="4" t="str">
        <f>Fact_Defect_Split!D107</f>
        <v>M1</v>
      </c>
      <c r="E634" s="4" t="str">
        <f>Fact_Defect_Split!E107</f>
        <v>A-AM</v>
      </c>
      <c r="F634" s="4" t="str">
        <f>Fact_Defect_Split!F107</f>
        <v>C</v>
      </c>
      <c r="G634" s="4" t="s">
        <v>517</v>
      </c>
      <c r="H634" s="19">
        <f>Fact_Defect_Split!I107</f>
        <v>0</v>
      </c>
    </row>
    <row r="635" spans="1:8" x14ac:dyDescent="0.25">
      <c r="A635" s="18" t="s">
        <v>1616</v>
      </c>
      <c r="B635" s="4">
        <f>Fact_Defect_Split!B107</f>
        <v>20260701</v>
      </c>
      <c r="C635" s="4">
        <f>Fact_Defect_Split!C107</f>
        <v>15</v>
      </c>
      <c r="D635" s="4" t="str">
        <f>Fact_Defect_Split!D107</f>
        <v>M1</v>
      </c>
      <c r="E635" s="4" t="str">
        <f>Fact_Defect_Split!E107</f>
        <v>A-AM</v>
      </c>
      <c r="F635" s="4" t="str">
        <f>Fact_Defect_Split!F107</f>
        <v>C</v>
      </c>
      <c r="G635" s="4" t="s">
        <v>503</v>
      </c>
      <c r="H635" s="19">
        <f>Fact_Defect_Split!J107</f>
        <v>1</v>
      </c>
    </row>
    <row r="636" spans="1:8" x14ac:dyDescent="0.25">
      <c r="A636" s="18" t="s">
        <v>1617</v>
      </c>
      <c r="B636" s="4">
        <f>Fact_Defect_Split!B107</f>
        <v>20260701</v>
      </c>
      <c r="C636" s="4">
        <f>Fact_Defect_Split!C107</f>
        <v>15</v>
      </c>
      <c r="D636" s="4" t="str">
        <f>Fact_Defect_Split!D107</f>
        <v>M1</v>
      </c>
      <c r="E636" s="4" t="str">
        <f>Fact_Defect_Split!E107</f>
        <v>A-AM</v>
      </c>
      <c r="F636" s="4" t="str">
        <f>Fact_Defect_Split!F107</f>
        <v>C</v>
      </c>
      <c r="G636" s="4" t="s">
        <v>509</v>
      </c>
      <c r="H636" s="19">
        <f>Fact_Defect_Split!K107</f>
        <v>1</v>
      </c>
    </row>
    <row r="637" spans="1:8" x14ac:dyDescent="0.25">
      <c r="A637" s="18" t="s">
        <v>1618</v>
      </c>
      <c r="B637" s="4">
        <f>Fact_Defect_Split!B107</f>
        <v>20260701</v>
      </c>
      <c r="C637" s="4">
        <f>Fact_Defect_Split!C107</f>
        <v>15</v>
      </c>
      <c r="D637" s="4" t="str">
        <f>Fact_Defect_Split!D107</f>
        <v>M1</v>
      </c>
      <c r="E637" s="4" t="str">
        <f>Fact_Defect_Split!E107</f>
        <v>A-AM</v>
      </c>
      <c r="F637" s="4" t="str">
        <f>Fact_Defect_Split!F107</f>
        <v>C</v>
      </c>
      <c r="G637" s="4" t="s">
        <v>520</v>
      </c>
      <c r="H637" s="19">
        <f>Fact_Defect_Split!L107</f>
        <v>0</v>
      </c>
    </row>
    <row r="638" spans="1:8" x14ac:dyDescent="0.25">
      <c r="A638" s="18" t="s">
        <v>1619</v>
      </c>
      <c r="B638" s="4">
        <f>Fact_Defect_Split!B108</f>
        <v>20260701</v>
      </c>
      <c r="C638" s="4">
        <f>Fact_Defect_Split!C108</f>
        <v>15</v>
      </c>
      <c r="D638" s="4" t="str">
        <f>Fact_Defect_Split!D108</f>
        <v>M2</v>
      </c>
      <c r="E638" s="4" t="str">
        <f>Fact_Defect_Split!E108</f>
        <v>A-AM</v>
      </c>
      <c r="F638" s="4" t="str">
        <f>Fact_Defect_Split!F108</f>
        <v>A</v>
      </c>
      <c r="G638" s="4" t="s">
        <v>498</v>
      </c>
      <c r="H638" s="19">
        <f>Fact_Defect_Split!G108</f>
        <v>0</v>
      </c>
    </row>
    <row r="639" spans="1:8" x14ac:dyDescent="0.25">
      <c r="A639" s="18" t="s">
        <v>1620</v>
      </c>
      <c r="B639" s="4">
        <f>Fact_Defect_Split!B108</f>
        <v>20260701</v>
      </c>
      <c r="C639" s="4">
        <f>Fact_Defect_Split!C108</f>
        <v>15</v>
      </c>
      <c r="D639" s="4" t="str">
        <f>Fact_Defect_Split!D108</f>
        <v>M2</v>
      </c>
      <c r="E639" s="4" t="str">
        <f>Fact_Defect_Split!E108</f>
        <v>A-AM</v>
      </c>
      <c r="F639" s="4" t="str">
        <f>Fact_Defect_Split!F108</f>
        <v>A</v>
      </c>
      <c r="G639" s="4" t="s">
        <v>500</v>
      </c>
      <c r="H639" s="19">
        <f>Fact_Defect_Split!H108</f>
        <v>0</v>
      </c>
    </row>
    <row r="640" spans="1:8" x14ac:dyDescent="0.25">
      <c r="A640" s="18" t="s">
        <v>1621</v>
      </c>
      <c r="B640" s="4">
        <f>Fact_Defect_Split!B108</f>
        <v>20260701</v>
      </c>
      <c r="C640" s="4">
        <f>Fact_Defect_Split!C108</f>
        <v>15</v>
      </c>
      <c r="D640" s="4" t="str">
        <f>Fact_Defect_Split!D108</f>
        <v>M2</v>
      </c>
      <c r="E640" s="4" t="str">
        <f>Fact_Defect_Split!E108</f>
        <v>A-AM</v>
      </c>
      <c r="F640" s="4" t="str">
        <f>Fact_Defect_Split!F108</f>
        <v>A</v>
      </c>
      <c r="G640" s="4" t="s">
        <v>517</v>
      </c>
      <c r="H640" s="19">
        <f>Fact_Defect_Split!I108</f>
        <v>0</v>
      </c>
    </row>
    <row r="641" spans="1:8" x14ac:dyDescent="0.25">
      <c r="A641" s="18" t="s">
        <v>1622</v>
      </c>
      <c r="B641" s="4">
        <f>Fact_Defect_Split!B108</f>
        <v>20260701</v>
      </c>
      <c r="C641" s="4">
        <f>Fact_Defect_Split!C108</f>
        <v>15</v>
      </c>
      <c r="D641" s="4" t="str">
        <f>Fact_Defect_Split!D108</f>
        <v>M2</v>
      </c>
      <c r="E641" s="4" t="str">
        <f>Fact_Defect_Split!E108</f>
        <v>A-AM</v>
      </c>
      <c r="F641" s="4" t="str">
        <f>Fact_Defect_Split!F108</f>
        <v>A</v>
      </c>
      <c r="G641" s="4" t="s">
        <v>503</v>
      </c>
      <c r="H641" s="19">
        <f>Fact_Defect_Split!J108</f>
        <v>0</v>
      </c>
    </row>
    <row r="642" spans="1:8" x14ac:dyDescent="0.25">
      <c r="A642" s="18" t="s">
        <v>1623</v>
      </c>
      <c r="B642" s="4">
        <f>Fact_Defect_Split!B108</f>
        <v>20260701</v>
      </c>
      <c r="C642" s="4">
        <f>Fact_Defect_Split!C108</f>
        <v>15</v>
      </c>
      <c r="D642" s="4" t="str">
        <f>Fact_Defect_Split!D108</f>
        <v>M2</v>
      </c>
      <c r="E642" s="4" t="str">
        <f>Fact_Defect_Split!E108</f>
        <v>A-AM</v>
      </c>
      <c r="F642" s="4" t="str">
        <f>Fact_Defect_Split!F108</f>
        <v>A</v>
      </c>
      <c r="G642" s="4" t="s">
        <v>509</v>
      </c>
      <c r="H642" s="19">
        <f>Fact_Defect_Split!K108</f>
        <v>1</v>
      </c>
    </row>
    <row r="643" spans="1:8" x14ac:dyDescent="0.25">
      <c r="A643" s="18" t="s">
        <v>1624</v>
      </c>
      <c r="B643" s="4">
        <f>Fact_Defect_Split!B108</f>
        <v>20260701</v>
      </c>
      <c r="C643" s="4">
        <f>Fact_Defect_Split!C108</f>
        <v>15</v>
      </c>
      <c r="D643" s="4" t="str">
        <f>Fact_Defect_Split!D108</f>
        <v>M2</v>
      </c>
      <c r="E643" s="4" t="str">
        <f>Fact_Defect_Split!E108</f>
        <v>A-AM</v>
      </c>
      <c r="F643" s="4" t="str">
        <f>Fact_Defect_Split!F108</f>
        <v>A</v>
      </c>
      <c r="G643" s="4" t="s">
        <v>520</v>
      </c>
      <c r="H643" s="19">
        <f>Fact_Defect_Split!L108</f>
        <v>0</v>
      </c>
    </row>
    <row r="644" spans="1:8" x14ac:dyDescent="0.25">
      <c r="A644" s="18" t="s">
        <v>1625</v>
      </c>
      <c r="B644" s="4">
        <f>Fact_Defect_Split!B109</f>
        <v>20260701</v>
      </c>
      <c r="C644" s="4">
        <f>Fact_Defect_Split!C109</f>
        <v>15</v>
      </c>
      <c r="D644" s="4" t="str">
        <f>Fact_Defect_Split!D109</f>
        <v>M3</v>
      </c>
      <c r="E644" s="4" t="str">
        <f>Fact_Defect_Split!E109</f>
        <v>A-AM</v>
      </c>
      <c r="F644" s="4" t="str">
        <f>Fact_Defect_Split!F109</f>
        <v>B</v>
      </c>
      <c r="G644" s="4" t="s">
        <v>498</v>
      </c>
      <c r="H644" s="19">
        <f>Fact_Defect_Split!G109</f>
        <v>0</v>
      </c>
    </row>
    <row r="645" spans="1:8" x14ac:dyDescent="0.25">
      <c r="A645" s="18" t="s">
        <v>1626</v>
      </c>
      <c r="B645" s="4">
        <f>Fact_Defect_Split!B109</f>
        <v>20260701</v>
      </c>
      <c r="C645" s="4">
        <f>Fact_Defect_Split!C109</f>
        <v>15</v>
      </c>
      <c r="D645" s="4" t="str">
        <f>Fact_Defect_Split!D109</f>
        <v>M3</v>
      </c>
      <c r="E645" s="4" t="str">
        <f>Fact_Defect_Split!E109</f>
        <v>A-AM</v>
      </c>
      <c r="F645" s="4" t="str">
        <f>Fact_Defect_Split!F109</f>
        <v>B</v>
      </c>
      <c r="G645" s="4" t="s">
        <v>500</v>
      </c>
      <c r="H645" s="19">
        <f>Fact_Defect_Split!H109</f>
        <v>0</v>
      </c>
    </row>
    <row r="646" spans="1:8" x14ac:dyDescent="0.25">
      <c r="A646" s="18" t="s">
        <v>1627</v>
      </c>
      <c r="B646" s="4">
        <f>Fact_Defect_Split!B109</f>
        <v>20260701</v>
      </c>
      <c r="C646" s="4">
        <f>Fact_Defect_Split!C109</f>
        <v>15</v>
      </c>
      <c r="D646" s="4" t="str">
        <f>Fact_Defect_Split!D109</f>
        <v>M3</v>
      </c>
      <c r="E646" s="4" t="str">
        <f>Fact_Defect_Split!E109</f>
        <v>A-AM</v>
      </c>
      <c r="F646" s="4" t="str">
        <f>Fact_Defect_Split!F109</f>
        <v>B</v>
      </c>
      <c r="G646" s="4" t="s">
        <v>517</v>
      </c>
      <c r="H646" s="19">
        <f>Fact_Defect_Split!I109</f>
        <v>0</v>
      </c>
    </row>
    <row r="647" spans="1:8" x14ac:dyDescent="0.25">
      <c r="A647" s="18" t="s">
        <v>1628</v>
      </c>
      <c r="B647" s="4">
        <f>Fact_Defect_Split!B109</f>
        <v>20260701</v>
      </c>
      <c r="C647" s="4">
        <f>Fact_Defect_Split!C109</f>
        <v>15</v>
      </c>
      <c r="D647" s="4" t="str">
        <f>Fact_Defect_Split!D109</f>
        <v>M3</v>
      </c>
      <c r="E647" s="4" t="str">
        <f>Fact_Defect_Split!E109</f>
        <v>A-AM</v>
      </c>
      <c r="F647" s="4" t="str">
        <f>Fact_Defect_Split!F109</f>
        <v>B</v>
      </c>
      <c r="G647" s="4" t="s">
        <v>503</v>
      </c>
      <c r="H647" s="19">
        <f>Fact_Defect_Split!J109</f>
        <v>0</v>
      </c>
    </row>
    <row r="648" spans="1:8" x14ac:dyDescent="0.25">
      <c r="A648" s="18" t="s">
        <v>1629</v>
      </c>
      <c r="B648" s="4">
        <f>Fact_Defect_Split!B109</f>
        <v>20260701</v>
      </c>
      <c r="C648" s="4">
        <f>Fact_Defect_Split!C109</f>
        <v>15</v>
      </c>
      <c r="D648" s="4" t="str">
        <f>Fact_Defect_Split!D109</f>
        <v>M3</v>
      </c>
      <c r="E648" s="4" t="str">
        <f>Fact_Defect_Split!E109</f>
        <v>A-AM</v>
      </c>
      <c r="F648" s="4" t="str">
        <f>Fact_Defect_Split!F109</f>
        <v>B</v>
      </c>
      <c r="G648" s="4" t="s">
        <v>509</v>
      </c>
      <c r="H648" s="19">
        <f>Fact_Defect_Split!K109</f>
        <v>1</v>
      </c>
    </row>
    <row r="649" spans="1:8" x14ac:dyDescent="0.25">
      <c r="A649" s="18" t="s">
        <v>1630</v>
      </c>
      <c r="B649" s="4">
        <f>Fact_Defect_Split!B109</f>
        <v>20260701</v>
      </c>
      <c r="C649" s="4">
        <f>Fact_Defect_Split!C109</f>
        <v>15</v>
      </c>
      <c r="D649" s="4" t="str">
        <f>Fact_Defect_Split!D109</f>
        <v>M3</v>
      </c>
      <c r="E649" s="4" t="str">
        <f>Fact_Defect_Split!E109</f>
        <v>A-AM</v>
      </c>
      <c r="F649" s="4" t="str">
        <f>Fact_Defect_Split!F109</f>
        <v>B</v>
      </c>
      <c r="G649" s="4" t="s">
        <v>520</v>
      </c>
      <c r="H649" s="19">
        <f>Fact_Defect_Split!L109</f>
        <v>0</v>
      </c>
    </row>
    <row r="650" spans="1:8" x14ac:dyDescent="0.25">
      <c r="A650" s="18" t="s">
        <v>1631</v>
      </c>
      <c r="B650" s="4">
        <f>Fact_Defect_Split!B110</f>
        <v>20260701</v>
      </c>
      <c r="C650" s="4">
        <f>Fact_Defect_Split!C110</f>
        <v>15</v>
      </c>
      <c r="D650" s="4" t="str">
        <f>Fact_Defect_Split!D110</f>
        <v>M4</v>
      </c>
      <c r="E650" s="4" t="str">
        <f>Fact_Defect_Split!E110</f>
        <v>A-AM</v>
      </c>
      <c r="F650" s="4" t="str">
        <f>Fact_Defect_Split!F110</f>
        <v>A</v>
      </c>
      <c r="G650" s="4" t="s">
        <v>498</v>
      </c>
      <c r="H650" s="19">
        <f>Fact_Defect_Split!G110</f>
        <v>0</v>
      </c>
    </row>
    <row r="651" spans="1:8" x14ac:dyDescent="0.25">
      <c r="A651" s="18" t="s">
        <v>1632</v>
      </c>
      <c r="B651" s="4">
        <f>Fact_Defect_Split!B110</f>
        <v>20260701</v>
      </c>
      <c r="C651" s="4">
        <f>Fact_Defect_Split!C110</f>
        <v>15</v>
      </c>
      <c r="D651" s="4" t="str">
        <f>Fact_Defect_Split!D110</f>
        <v>M4</v>
      </c>
      <c r="E651" s="4" t="str">
        <f>Fact_Defect_Split!E110</f>
        <v>A-AM</v>
      </c>
      <c r="F651" s="4" t="str">
        <f>Fact_Defect_Split!F110</f>
        <v>A</v>
      </c>
      <c r="G651" s="4" t="s">
        <v>500</v>
      </c>
      <c r="H651" s="19">
        <f>Fact_Defect_Split!H110</f>
        <v>0</v>
      </c>
    </row>
    <row r="652" spans="1:8" x14ac:dyDescent="0.25">
      <c r="A652" s="18" t="s">
        <v>1633</v>
      </c>
      <c r="B652" s="4">
        <f>Fact_Defect_Split!B110</f>
        <v>20260701</v>
      </c>
      <c r="C652" s="4">
        <f>Fact_Defect_Split!C110</f>
        <v>15</v>
      </c>
      <c r="D652" s="4" t="str">
        <f>Fact_Defect_Split!D110</f>
        <v>M4</v>
      </c>
      <c r="E652" s="4" t="str">
        <f>Fact_Defect_Split!E110</f>
        <v>A-AM</v>
      </c>
      <c r="F652" s="4" t="str">
        <f>Fact_Defect_Split!F110</f>
        <v>A</v>
      </c>
      <c r="G652" s="4" t="s">
        <v>517</v>
      </c>
      <c r="H652" s="19">
        <f>Fact_Defect_Split!I110</f>
        <v>1</v>
      </c>
    </row>
    <row r="653" spans="1:8" x14ac:dyDescent="0.25">
      <c r="A653" s="18" t="s">
        <v>1634</v>
      </c>
      <c r="B653" s="4">
        <f>Fact_Defect_Split!B110</f>
        <v>20260701</v>
      </c>
      <c r="C653" s="4">
        <f>Fact_Defect_Split!C110</f>
        <v>15</v>
      </c>
      <c r="D653" s="4" t="str">
        <f>Fact_Defect_Split!D110</f>
        <v>M4</v>
      </c>
      <c r="E653" s="4" t="str">
        <f>Fact_Defect_Split!E110</f>
        <v>A-AM</v>
      </c>
      <c r="F653" s="4" t="str">
        <f>Fact_Defect_Split!F110</f>
        <v>A</v>
      </c>
      <c r="G653" s="4" t="s">
        <v>503</v>
      </c>
      <c r="H653" s="19">
        <f>Fact_Defect_Split!J110</f>
        <v>0</v>
      </c>
    </row>
    <row r="654" spans="1:8" x14ac:dyDescent="0.25">
      <c r="A654" s="18" t="s">
        <v>1635</v>
      </c>
      <c r="B654" s="4">
        <f>Fact_Defect_Split!B110</f>
        <v>20260701</v>
      </c>
      <c r="C654" s="4">
        <f>Fact_Defect_Split!C110</f>
        <v>15</v>
      </c>
      <c r="D654" s="4" t="str">
        <f>Fact_Defect_Split!D110</f>
        <v>M4</v>
      </c>
      <c r="E654" s="4" t="str">
        <f>Fact_Defect_Split!E110</f>
        <v>A-AM</v>
      </c>
      <c r="F654" s="4" t="str">
        <f>Fact_Defect_Split!F110</f>
        <v>A</v>
      </c>
      <c r="G654" s="4" t="s">
        <v>509</v>
      </c>
      <c r="H654" s="19">
        <f>Fact_Defect_Split!K110</f>
        <v>1</v>
      </c>
    </row>
    <row r="655" spans="1:8" x14ac:dyDescent="0.25">
      <c r="A655" s="18" t="s">
        <v>1636</v>
      </c>
      <c r="B655" s="4">
        <f>Fact_Defect_Split!B110</f>
        <v>20260701</v>
      </c>
      <c r="C655" s="4">
        <f>Fact_Defect_Split!C110</f>
        <v>15</v>
      </c>
      <c r="D655" s="4" t="str">
        <f>Fact_Defect_Split!D110</f>
        <v>M4</v>
      </c>
      <c r="E655" s="4" t="str">
        <f>Fact_Defect_Split!E110</f>
        <v>A-AM</v>
      </c>
      <c r="F655" s="4" t="str">
        <f>Fact_Defect_Split!F110</f>
        <v>A</v>
      </c>
      <c r="G655" s="4" t="s">
        <v>520</v>
      </c>
      <c r="H655" s="19">
        <f>Fact_Defect_Split!L110</f>
        <v>1</v>
      </c>
    </row>
    <row r="656" spans="1:8" x14ac:dyDescent="0.25">
      <c r="A656" s="18" t="s">
        <v>1637</v>
      </c>
      <c r="B656" s="4">
        <f>Fact_Defect_Split!B111</f>
        <v>20260701</v>
      </c>
      <c r="C656" s="4">
        <f>Fact_Defect_Split!C111</f>
        <v>15</v>
      </c>
      <c r="D656" s="4" t="str">
        <f>Fact_Defect_Split!D111</f>
        <v>M5</v>
      </c>
      <c r="E656" s="4" t="str">
        <f>Fact_Defect_Split!E111</f>
        <v>A-AM</v>
      </c>
      <c r="F656" s="4" t="str">
        <f>Fact_Defect_Split!F111</f>
        <v>C</v>
      </c>
      <c r="G656" s="4" t="s">
        <v>498</v>
      </c>
      <c r="H656" s="19">
        <f>Fact_Defect_Split!G111</f>
        <v>0</v>
      </c>
    </row>
    <row r="657" spans="1:8" x14ac:dyDescent="0.25">
      <c r="A657" s="18" t="s">
        <v>1638</v>
      </c>
      <c r="B657" s="4">
        <f>Fact_Defect_Split!B111</f>
        <v>20260701</v>
      </c>
      <c r="C657" s="4">
        <f>Fact_Defect_Split!C111</f>
        <v>15</v>
      </c>
      <c r="D657" s="4" t="str">
        <f>Fact_Defect_Split!D111</f>
        <v>M5</v>
      </c>
      <c r="E657" s="4" t="str">
        <f>Fact_Defect_Split!E111</f>
        <v>A-AM</v>
      </c>
      <c r="F657" s="4" t="str">
        <f>Fact_Defect_Split!F111</f>
        <v>C</v>
      </c>
      <c r="G657" s="4" t="s">
        <v>500</v>
      </c>
      <c r="H657" s="19">
        <f>Fact_Defect_Split!H111</f>
        <v>0</v>
      </c>
    </row>
    <row r="658" spans="1:8" x14ac:dyDescent="0.25">
      <c r="A658" s="18" t="s">
        <v>1639</v>
      </c>
      <c r="B658" s="4">
        <f>Fact_Defect_Split!B111</f>
        <v>20260701</v>
      </c>
      <c r="C658" s="4">
        <f>Fact_Defect_Split!C111</f>
        <v>15</v>
      </c>
      <c r="D658" s="4" t="str">
        <f>Fact_Defect_Split!D111</f>
        <v>M5</v>
      </c>
      <c r="E658" s="4" t="str">
        <f>Fact_Defect_Split!E111</f>
        <v>A-AM</v>
      </c>
      <c r="F658" s="4" t="str">
        <f>Fact_Defect_Split!F111</f>
        <v>C</v>
      </c>
      <c r="G658" s="4" t="s">
        <v>517</v>
      </c>
      <c r="H658" s="19">
        <f>Fact_Defect_Split!I111</f>
        <v>1</v>
      </c>
    </row>
    <row r="659" spans="1:8" x14ac:dyDescent="0.25">
      <c r="A659" s="18" t="s">
        <v>1640</v>
      </c>
      <c r="B659" s="4">
        <f>Fact_Defect_Split!B111</f>
        <v>20260701</v>
      </c>
      <c r="C659" s="4">
        <f>Fact_Defect_Split!C111</f>
        <v>15</v>
      </c>
      <c r="D659" s="4" t="str">
        <f>Fact_Defect_Split!D111</f>
        <v>M5</v>
      </c>
      <c r="E659" s="4" t="str">
        <f>Fact_Defect_Split!E111</f>
        <v>A-AM</v>
      </c>
      <c r="F659" s="4" t="str">
        <f>Fact_Defect_Split!F111</f>
        <v>C</v>
      </c>
      <c r="G659" s="4" t="s">
        <v>503</v>
      </c>
      <c r="H659" s="19">
        <f>Fact_Defect_Split!J111</f>
        <v>0</v>
      </c>
    </row>
    <row r="660" spans="1:8" x14ac:dyDescent="0.25">
      <c r="A660" s="18" t="s">
        <v>1641</v>
      </c>
      <c r="B660" s="4">
        <f>Fact_Defect_Split!B111</f>
        <v>20260701</v>
      </c>
      <c r="C660" s="4">
        <f>Fact_Defect_Split!C111</f>
        <v>15</v>
      </c>
      <c r="D660" s="4" t="str">
        <f>Fact_Defect_Split!D111</f>
        <v>M5</v>
      </c>
      <c r="E660" s="4" t="str">
        <f>Fact_Defect_Split!E111</f>
        <v>A-AM</v>
      </c>
      <c r="F660" s="4" t="str">
        <f>Fact_Defect_Split!F111</f>
        <v>C</v>
      </c>
      <c r="G660" s="4" t="s">
        <v>509</v>
      </c>
      <c r="H660" s="19">
        <f>Fact_Defect_Split!K111</f>
        <v>1</v>
      </c>
    </row>
    <row r="661" spans="1:8" x14ac:dyDescent="0.25">
      <c r="A661" s="18" t="s">
        <v>1642</v>
      </c>
      <c r="B661" s="4">
        <f>Fact_Defect_Split!B111</f>
        <v>20260701</v>
      </c>
      <c r="C661" s="4">
        <f>Fact_Defect_Split!C111</f>
        <v>15</v>
      </c>
      <c r="D661" s="4" t="str">
        <f>Fact_Defect_Split!D111</f>
        <v>M5</v>
      </c>
      <c r="E661" s="4" t="str">
        <f>Fact_Defect_Split!E111</f>
        <v>A-AM</v>
      </c>
      <c r="F661" s="4" t="str">
        <f>Fact_Defect_Split!F111</f>
        <v>C</v>
      </c>
      <c r="G661" s="4" t="s">
        <v>520</v>
      </c>
      <c r="H661" s="19">
        <f>Fact_Defect_Split!L111</f>
        <v>0</v>
      </c>
    </row>
    <row r="662" spans="1:8" x14ac:dyDescent="0.25">
      <c r="A662" s="18" t="s">
        <v>1643</v>
      </c>
      <c r="B662" s="4">
        <f>Fact_Defect_Split!B112</f>
        <v>20260701</v>
      </c>
      <c r="C662" s="4">
        <f>Fact_Defect_Split!C112</f>
        <v>15</v>
      </c>
      <c r="D662" s="4" t="str">
        <f>Fact_Defect_Split!D112</f>
        <v>M6</v>
      </c>
      <c r="E662" s="4" t="str">
        <f>Fact_Defect_Split!E112</f>
        <v>A-AM</v>
      </c>
      <c r="F662" s="4" t="str">
        <f>Fact_Defect_Split!F112</f>
        <v>C</v>
      </c>
      <c r="G662" s="4" t="s">
        <v>498</v>
      </c>
      <c r="H662" s="19">
        <f>Fact_Defect_Split!G112</f>
        <v>0</v>
      </c>
    </row>
    <row r="663" spans="1:8" x14ac:dyDescent="0.25">
      <c r="A663" s="18" t="s">
        <v>1644</v>
      </c>
      <c r="B663" s="4">
        <f>Fact_Defect_Split!B112</f>
        <v>20260701</v>
      </c>
      <c r="C663" s="4">
        <f>Fact_Defect_Split!C112</f>
        <v>15</v>
      </c>
      <c r="D663" s="4" t="str">
        <f>Fact_Defect_Split!D112</f>
        <v>M6</v>
      </c>
      <c r="E663" s="4" t="str">
        <f>Fact_Defect_Split!E112</f>
        <v>A-AM</v>
      </c>
      <c r="F663" s="4" t="str">
        <f>Fact_Defect_Split!F112</f>
        <v>C</v>
      </c>
      <c r="G663" s="4" t="s">
        <v>500</v>
      </c>
      <c r="H663" s="19">
        <f>Fact_Defect_Split!H112</f>
        <v>0</v>
      </c>
    </row>
    <row r="664" spans="1:8" x14ac:dyDescent="0.25">
      <c r="A664" s="18" t="s">
        <v>1645</v>
      </c>
      <c r="B664" s="4">
        <f>Fact_Defect_Split!B112</f>
        <v>20260701</v>
      </c>
      <c r="C664" s="4">
        <f>Fact_Defect_Split!C112</f>
        <v>15</v>
      </c>
      <c r="D664" s="4" t="str">
        <f>Fact_Defect_Split!D112</f>
        <v>M6</v>
      </c>
      <c r="E664" s="4" t="str">
        <f>Fact_Defect_Split!E112</f>
        <v>A-AM</v>
      </c>
      <c r="F664" s="4" t="str">
        <f>Fact_Defect_Split!F112</f>
        <v>C</v>
      </c>
      <c r="G664" s="4" t="s">
        <v>517</v>
      </c>
      <c r="H664" s="19">
        <f>Fact_Defect_Split!I112</f>
        <v>0</v>
      </c>
    </row>
    <row r="665" spans="1:8" x14ac:dyDescent="0.25">
      <c r="A665" s="18" t="s">
        <v>1646</v>
      </c>
      <c r="B665" s="4">
        <f>Fact_Defect_Split!B112</f>
        <v>20260701</v>
      </c>
      <c r="C665" s="4">
        <f>Fact_Defect_Split!C112</f>
        <v>15</v>
      </c>
      <c r="D665" s="4" t="str">
        <f>Fact_Defect_Split!D112</f>
        <v>M6</v>
      </c>
      <c r="E665" s="4" t="str">
        <f>Fact_Defect_Split!E112</f>
        <v>A-AM</v>
      </c>
      <c r="F665" s="4" t="str">
        <f>Fact_Defect_Split!F112</f>
        <v>C</v>
      </c>
      <c r="G665" s="4" t="s">
        <v>503</v>
      </c>
      <c r="H665" s="19">
        <f>Fact_Defect_Split!J112</f>
        <v>0</v>
      </c>
    </row>
    <row r="666" spans="1:8" x14ac:dyDescent="0.25">
      <c r="A666" s="18" t="s">
        <v>1647</v>
      </c>
      <c r="B666" s="4">
        <f>Fact_Defect_Split!B112</f>
        <v>20260701</v>
      </c>
      <c r="C666" s="4">
        <f>Fact_Defect_Split!C112</f>
        <v>15</v>
      </c>
      <c r="D666" s="4" t="str">
        <f>Fact_Defect_Split!D112</f>
        <v>M6</v>
      </c>
      <c r="E666" s="4" t="str">
        <f>Fact_Defect_Split!E112</f>
        <v>A-AM</v>
      </c>
      <c r="F666" s="4" t="str">
        <f>Fact_Defect_Split!F112</f>
        <v>C</v>
      </c>
      <c r="G666" s="4" t="s">
        <v>509</v>
      </c>
      <c r="H666" s="19">
        <f>Fact_Defect_Split!K112</f>
        <v>0</v>
      </c>
    </row>
    <row r="667" spans="1:8" x14ac:dyDescent="0.25">
      <c r="A667" s="18" t="s">
        <v>1648</v>
      </c>
      <c r="B667" s="4">
        <f>Fact_Defect_Split!B112</f>
        <v>20260701</v>
      </c>
      <c r="C667" s="4">
        <f>Fact_Defect_Split!C112</f>
        <v>15</v>
      </c>
      <c r="D667" s="4" t="str">
        <f>Fact_Defect_Split!D112</f>
        <v>M6</v>
      </c>
      <c r="E667" s="4" t="str">
        <f>Fact_Defect_Split!E112</f>
        <v>A-AM</v>
      </c>
      <c r="F667" s="4" t="str">
        <f>Fact_Defect_Split!F112</f>
        <v>C</v>
      </c>
      <c r="G667" s="4" t="s">
        <v>520</v>
      </c>
      <c r="H667" s="19">
        <f>Fact_Defect_Split!L112</f>
        <v>0</v>
      </c>
    </row>
    <row r="668" spans="1:8" x14ac:dyDescent="0.25">
      <c r="A668" s="18" t="s">
        <v>1649</v>
      </c>
      <c r="B668" s="4">
        <f>Fact_Defect_Split!B113</f>
        <v>20260701</v>
      </c>
      <c r="C668" s="4">
        <f>Fact_Defect_Split!C113</f>
        <v>15</v>
      </c>
      <c r="D668" s="4" t="str">
        <f>Fact_Defect_Split!D113</f>
        <v>M7</v>
      </c>
      <c r="E668" s="4" t="str">
        <f>Fact_Defect_Split!E113</f>
        <v>A-AM</v>
      </c>
      <c r="F668" s="4" t="str">
        <f>Fact_Defect_Split!F113</f>
        <v>C</v>
      </c>
      <c r="G668" s="4" t="s">
        <v>498</v>
      </c>
      <c r="H668" s="19">
        <f>Fact_Defect_Split!G113</f>
        <v>0</v>
      </c>
    </row>
    <row r="669" spans="1:8" x14ac:dyDescent="0.25">
      <c r="A669" s="18" t="s">
        <v>1650</v>
      </c>
      <c r="B669" s="4">
        <f>Fact_Defect_Split!B113</f>
        <v>20260701</v>
      </c>
      <c r="C669" s="4">
        <f>Fact_Defect_Split!C113</f>
        <v>15</v>
      </c>
      <c r="D669" s="4" t="str">
        <f>Fact_Defect_Split!D113</f>
        <v>M7</v>
      </c>
      <c r="E669" s="4" t="str">
        <f>Fact_Defect_Split!E113</f>
        <v>A-AM</v>
      </c>
      <c r="F669" s="4" t="str">
        <f>Fact_Defect_Split!F113</f>
        <v>C</v>
      </c>
      <c r="G669" s="4" t="s">
        <v>500</v>
      </c>
      <c r="H669" s="19">
        <f>Fact_Defect_Split!H113</f>
        <v>0</v>
      </c>
    </row>
    <row r="670" spans="1:8" x14ac:dyDescent="0.25">
      <c r="A670" s="18" t="s">
        <v>1651</v>
      </c>
      <c r="B670" s="4">
        <f>Fact_Defect_Split!B113</f>
        <v>20260701</v>
      </c>
      <c r="C670" s="4">
        <f>Fact_Defect_Split!C113</f>
        <v>15</v>
      </c>
      <c r="D670" s="4" t="str">
        <f>Fact_Defect_Split!D113</f>
        <v>M7</v>
      </c>
      <c r="E670" s="4" t="str">
        <f>Fact_Defect_Split!E113</f>
        <v>A-AM</v>
      </c>
      <c r="F670" s="4" t="str">
        <f>Fact_Defect_Split!F113</f>
        <v>C</v>
      </c>
      <c r="G670" s="4" t="s">
        <v>517</v>
      </c>
      <c r="H670" s="19">
        <f>Fact_Defect_Split!I113</f>
        <v>0</v>
      </c>
    </row>
    <row r="671" spans="1:8" x14ac:dyDescent="0.25">
      <c r="A671" s="18" t="s">
        <v>1652</v>
      </c>
      <c r="B671" s="4">
        <f>Fact_Defect_Split!B113</f>
        <v>20260701</v>
      </c>
      <c r="C671" s="4">
        <f>Fact_Defect_Split!C113</f>
        <v>15</v>
      </c>
      <c r="D671" s="4" t="str">
        <f>Fact_Defect_Split!D113</f>
        <v>M7</v>
      </c>
      <c r="E671" s="4" t="str">
        <f>Fact_Defect_Split!E113</f>
        <v>A-AM</v>
      </c>
      <c r="F671" s="4" t="str">
        <f>Fact_Defect_Split!F113</f>
        <v>C</v>
      </c>
      <c r="G671" s="4" t="s">
        <v>503</v>
      </c>
      <c r="H671" s="19">
        <f>Fact_Defect_Split!J113</f>
        <v>0</v>
      </c>
    </row>
    <row r="672" spans="1:8" x14ac:dyDescent="0.25">
      <c r="A672" s="18" t="s">
        <v>1653</v>
      </c>
      <c r="B672" s="4">
        <f>Fact_Defect_Split!B113</f>
        <v>20260701</v>
      </c>
      <c r="C672" s="4">
        <f>Fact_Defect_Split!C113</f>
        <v>15</v>
      </c>
      <c r="D672" s="4" t="str">
        <f>Fact_Defect_Split!D113</f>
        <v>M7</v>
      </c>
      <c r="E672" s="4" t="str">
        <f>Fact_Defect_Split!E113</f>
        <v>A-AM</v>
      </c>
      <c r="F672" s="4" t="str">
        <f>Fact_Defect_Split!F113</f>
        <v>C</v>
      </c>
      <c r="G672" s="4" t="s">
        <v>509</v>
      </c>
      <c r="H672" s="19">
        <f>Fact_Defect_Split!K113</f>
        <v>0</v>
      </c>
    </row>
    <row r="673" spans="1:8" x14ac:dyDescent="0.25">
      <c r="A673" s="18" t="s">
        <v>1654</v>
      </c>
      <c r="B673" s="4">
        <f>Fact_Defect_Split!B113</f>
        <v>20260701</v>
      </c>
      <c r="C673" s="4">
        <f>Fact_Defect_Split!C113</f>
        <v>15</v>
      </c>
      <c r="D673" s="4" t="str">
        <f>Fact_Defect_Split!D113</f>
        <v>M7</v>
      </c>
      <c r="E673" s="4" t="str">
        <f>Fact_Defect_Split!E113</f>
        <v>A-AM</v>
      </c>
      <c r="F673" s="4" t="str">
        <f>Fact_Defect_Split!F113</f>
        <v>C</v>
      </c>
      <c r="G673" s="4" t="s">
        <v>520</v>
      </c>
      <c r="H673" s="19">
        <f>Fact_Defect_Split!L113</f>
        <v>1</v>
      </c>
    </row>
    <row r="674" spans="1:8" x14ac:dyDescent="0.25">
      <c r="A674" s="18" t="s">
        <v>1655</v>
      </c>
      <c r="B674" s="4">
        <f>Fact_Defect_Split!B114</f>
        <v>20260701</v>
      </c>
      <c r="C674" s="4">
        <f>Fact_Defect_Split!C114</f>
        <v>16</v>
      </c>
      <c r="D674" s="4" t="str">
        <f>Fact_Defect_Split!D114</f>
        <v>M1</v>
      </c>
      <c r="E674" s="4" t="str">
        <f>Fact_Defect_Split!E114</f>
        <v>A-AM</v>
      </c>
      <c r="F674" s="4" t="str">
        <f>Fact_Defect_Split!F114</f>
        <v>C</v>
      </c>
      <c r="G674" s="4" t="s">
        <v>498</v>
      </c>
      <c r="H674" s="19">
        <f>Fact_Defect_Split!G114</f>
        <v>0</v>
      </c>
    </row>
    <row r="675" spans="1:8" x14ac:dyDescent="0.25">
      <c r="A675" s="18" t="s">
        <v>1656</v>
      </c>
      <c r="B675" s="4">
        <f>Fact_Defect_Split!B114</f>
        <v>20260701</v>
      </c>
      <c r="C675" s="4">
        <f>Fact_Defect_Split!C114</f>
        <v>16</v>
      </c>
      <c r="D675" s="4" t="str">
        <f>Fact_Defect_Split!D114</f>
        <v>M1</v>
      </c>
      <c r="E675" s="4" t="str">
        <f>Fact_Defect_Split!E114</f>
        <v>A-AM</v>
      </c>
      <c r="F675" s="4" t="str">
        <f>Fact_Defect_Split!F114</f>
        <v>C</v>
      </c>
      <c r="G675" s="4" t="s">
        <v>500</v>
      </c>
      <c r="H675" s="19">
        <f>Fact_Defect_Split!H114</f>
        <v>0</v>
      </c>
    </row>
    <row r="676" spans="1:8" x14ac:dyDescent="0.25">
      <c r="A676" s="18" t="s">
        <v>1657</v>
      </c>
      <c r="B676" s="4">
        <f>Fact_Defect_Split!B114</f>
        <v>20260701</v>
      </c>
      <c r="C676" s="4">
        <f>Fact_Defect_Split!C114</f>
        <v>16</v>
      </c>
      <c r="D676" s="4" t="str">
        <f>Fact_Defect_Split!D114</f>
        <v>M1</v>
      </c>
      <c r="E676" s="4" t="str">
        <f>Fact_Defect_Split!E114</f>
        <v>A-AM</v>
      </c>
      <c r="F676" s="4" t="str">
        <f>Fact_Defect_Split!F114</f>
        <v>C</v>
      </c>
      <c r="G676" s="4" t="s">
        <v>517</v>
      </c>
      <c r="H676" s="19">
        <f>Fact_Defect_Split!I114</f>
        <v>0</v>
      </c>
    </row>
    <row r="677" spans="1:8" x14ac:dyDescent="0.25">
      <c r="A677" s="18" t="s">
        <v>1658</v>
      </c>
      <c r="B677" s="4">
        <f>Fact_Defect_Split!B114</f>
        <v>20260701</v>
      </c>
      <c r="C677" s="4">
        <f>Fact_Defect_Split!C114</f>
        <v>16</v>
      </c>
      <c r="D677" s="4" t="str">
        <f>Fact_Defect_Split!D114</f>
        <v>M1</v>
      </c>
      <c r="E677" s="4" t="str">
        <f>Fact_Defect_Split!E114</f>
        <v>A-AM</v>
      </c>
      <c r="F677" s="4" t="str">
        <f>Fact_Defect_Split!F114</f>
        <v>C</v>
      </c>
      <c r="G677" s="4" t="s">
        <v>503</v>
      </c>
      <c r="H677" s="19">
        <f>Fact_Defect_Split!J114</f>
        <v>0</v>
      </c>
    </row>
    <row r="678" spans="1:8" x14ac:dyDescent="0.25">
      <c r="A678" s="18" t="s">
        <v>1659</v>
      </c>
      <c r="B678" s="4">
        <f>Fact_Defect_Split!B114</f>
        <v>20260701</v>
      </c>
      <c r="C678" s="4">
        <f>Fact_Defect_Split!C114</f>
        <v>16</v>
      </c>
      <c r="D678" s="4" t="str">
        <f>Fact_Defect_Split!D114</f>
        <v>M1</v>
      </c>
      <c r="E678" s="4" t="str">
        <f>Fact_Defect_Split!E114</f>
        <v>A-AM</v>
      </c>
      <c r="F678" s="4" t="str">
        <f>Fact_Defect_Split!F114</f>
        <v>C</v>
      </c>
      <c r="G678" s="4" t="s">
        <v>509</v>
      </c>
      <c r="H678" s="19">
        <f>Fact_Defect_Split!K114</f>
        <v>1</v>
      </c>
    </row>
    <row r="679" spans="1:8" x14ac:dyDescent="0.25">
      <c r="A679" s="18" t="s">
        <v>1660</v>
      </c>
      <c r="B679" s="4">
        <f>Fact_Defect_Split!B114</f>
        <v>20260701</v>
      </c>
      <c r="C679" s="4">
        <f>Fact_Defect_Split!C114</f>
        <v>16</v>
      </c>
      <c r="D679" s="4" t="str">
        <f>Fact_Defect_Split!D114</f>
        <v>M1</v>
      </c>
      <c r="E679" s="4" t="str">
        <f>Fact_Defect_Split!E114</f>
        <v>A-AM</v>
      </c>
      <c r="F679" s="4" t="str">
        <f>Fact_Defect_Split!F114</f>
        <v>C</v>
      </c>
      <c r="G679" s="4" t="s">
        <v>520</v>
      </c>
      <c r="H679" s="19">
        <f>Fact_Defect_Split!L114</f>
        <v>0</v>
      </c>
    </row>
    <row r="680" spans="1:8" x14ac:dyDescent="0.25">
      <c r="A680" s="18" t="s">
        <v>1661</v>
      </c>
      <c r="B680" s="4">
        <f>Fact_Defect_Split!B115</f>
        <v>20260701</v>
      </c>
      <c r="C680" s="4">
        <f>Fact_Defect_Split!C115</f>
        <v>16</v>
      </c>
      <c r="D680" s="4" t="str">
        <f>Fact_Defect_Split!D115</f>
        <v>M2</v>
      </c>
      <c r="E680" s="4" t="str">
        <f>Fact_Defect_Split!E115</f>
        <v>A-AM</v>
      </c>
      <c r="F680" s="4" t="str">
        <f>Fact_Defect_Split!F115</f>
        <v>A</v>
      </c>
      <c r="G680" s="4" t="s">
        <v>498</v>
      </c>
      <c r="H680" s="19">
        <f>Fact_Defect_Split!G115</f>
        <v>0</v>
      </c>
    </row>
    <row r="681" spans="1:8" x14ac:dyDescent="0.25">
      <c r="A681" s="18" t="s">
        <v>1662</v>
      </c>
      <c r="B681" s="4">
        <f>Fact_Defect_Split!B115</f>
        <v>20260701</v>
      </c>
      <c r="C681" s="4">
        <f>Fact_Defect_Split!C115</f>
        <v>16</v>
      </c>
      <c r="D681" s="4" t="str">
        <f>Fact_Defect_Split!D115</f>
        <v>M2</v>
      </c>
      <c r="E681" s="4" t="str">
        <f>Fact_Defect_Split!E115</f>
        <v>A-AM</v>
      </c>
      <c r="F681" s="4" t="str">
        <f>Fact_Defect_Split!F115</f>
        <v>A</v>
      </c>
      <c r="G681" s="4" t="s">
        <v>500</v>
      </c>
      <c r="H681" s="19">
        <f>Fact_Defect_Split!H115</f>
        <v>0</v>
      </c>
    </row>
    <row r="682" spans="1:8" x14ac:dyDescent="0.25">
      <c r="A682" s="18" t="s">
        <v>1663</v>
      </c>
      <c r="B682" s="4">
        <f>Fact_Defect_Split!B115</f>
        <v>20260701</v>
      </c>
      <c r="C682" s="4">
        <f>Fact_Defect_Split!C115</f>
        <v>16</v>
      </c>
      <c r="D682" s="4" t="str">
        <f>Fact_Defect_Split!D115</f>
        <v>M2</v>
      </c>
      <c r="E682" s="4" t="str">
        <f>Fact_Defect_Split!E115</f>
        <v>A-AM</v>
      </c>
      <c r="F682" s="4" t="str">
        <f>Fact_Defect_Split!F115</f>
        <v>A</v>
      </c>
      <c r="G682" s="4" t="s">
        <v>517</v>
      </c>
      <c r="H682" s="19">
        <f>Fact_Defect_Split!I115</f>
        <v>0</v>
      </c>
    </row>
    <row r="683" spans="1:8" x14ac:dyDescent="0.25">
      <c r="A683" s="18" t="s">
        <v>1664</v>
      </c>
      <c r="B683" s="4">
        <f>Fact_Defect_Split!B115</f>
        <v>20260701</v>
      </c>
      <c r="C683" s="4">
        <f>Fact_Defect_Split!C115</f>
        <v>16</v>
      </c>
      <c r="D683" s="4" t="str">
        <f>Fact_Defect_Split!D115</f>
        <v>M2</v>
      </c>
      <c r="E683" s="4" t="str">
        <f>Fact_Defect_Split!E115</f>
        <v>A-AM</v>
      </c>
      <c r="F683" s="4" t="str">
        <f>Fact_Defect_Split!F115</f>
        <v>A</v>
      </c>
      <c r="G683" s="4" t="s">
        <v>503</v>
      </c>
      <c r="H683" s="19">
        <f>Fact_Defect_Split!J115</f>
        <v>1</v>
      </c>
    </row>
    <row r="684" spans="1:8" x14ac:dyDescent="0.25">
      <c r="A684" s="18" t="s">
        <v>1665</v>
      </c>
      <c r="B684" s="4">
        <f>Fact_Defect_Split!B115</f>
        <v>20260701</v>
      </c>
      <c r="C684" s="4">
        <f>Fact_Defect_Split!C115</f>
        <v>16</v>
      </c>
      <c r="D684" s="4" t="str">
        <f>Fact_Defect_Split!D115</f>
        <v>M2</v>
      </c>
      <c r="E684" s="4" t="str">
        <f>Fact_Defect_Split!E115</f>
        <v>A-AM</v>
      </c>
      <c r="F684" s="4" t="str">
        <f>Fact_Defect_Split!F115</f>
        <v>A</v>
      </c>
      <c r="G684" s="4" t="s">
        <v>509</v>
      </c>
      <c r="H684" s="19">
        <f>Fact_Defect_Split!K115</f>
        <v>1</v>
      </c>
    </row>
    <row r="685" spans="1:8" x14ac:dyDescent="0.25">
      <c r="A685" s="18" t="s">
        <v>1666</v>
      </c>
      <c r="B685" s="4">
        <f>Fact_Defect_Split!B115</f>
        <v>20260701</v>
      </c>
      <c r="C685" s="4">
        <f>Fact_Defect_Split!C115</f>
        <v>16</v>
      </c>
      <c r="D685" s="4" t="str">
        <f>Fact_Defect_Split!D115</f>
        <v>M2</v>
      </c>
      <c r="E685" s="4" t="str">
        <f>Fact_Defect_Split!E115</f>
        <v>A-AM</v>
      </c>
      <c r="F685" s="4" t="str">
        <f>Fact_Defect_Split!F115</f>
        <v>A</v>
      </c>
      <c r="G685" s="4" t="s">
        <v>520</v>
      </c>
      <c r="H685" s="19">
        <f>Fact_Defect_Split!L115</f>
        <v>0</v>
      </c>
    </row>
    <row r="686" spans="1:8" x14ac:dyDescent="0.25">
      <c r="A686" s="18" t="s">
        <v>1667</v>
      </c>
      <c r="B686" s="4">
        <f>Fact_Defect_Split!B116</f>
        <v>20260701</v>
      </c>
      <c r="C686" s="4">
        <f>Fact_Defect_Split!C116</f>
        <v>16</v>
      </c>
      <c r="D686" s="4" t="str">
        <f>Fact_Defect_Split!D116</f>
        <v>M3</v>
      </c>
      <c r="E686" s="4" t="str">
        <f>Fact_Defect_Split!E116</f>
        <v>A-AM</v>
      </c>
      <c r="F686" s="4" t="str">
        <f>Fact_Defect_Split!F116</f>
        <v>B</v>
      </c>
      <c r="G686" s="4" t="s">
        <v>498</v>
      </c>
      <c r="H686" s="19">
        <f>Fact_Defect_Split!G116</f>
        <v>0</v>
      </c>
    </row>
    <row r="687" spans="1:8" x14ac:dyDescent="0.25">
      <c r="A687" s="18" t="s">
        <v>1668</v>
      </c>
      <c r="B687" s="4">
        <f>Fact_Defect_Split!B116</f>
        <v>20260701</v>
      </c>
      <c r="C687" s="4">
        <f>Fact_Defect_Split!C116</f>
        <v>16</v>
      </c>
      <c r="D687" s="4" t="str">
        <f>Fact_Defect_Split!D116</f>
        <v>M3</v>
      </c>
      <c r="E687" s="4" t="str">
        <f>Fact_Defect_Split!E116</f>
        <v>A-AM</v>
      </c>
      <c r="F687" s="4" t="str">
        <f>Fact_Defect_Split!F116</f>
        <v>B</v>
      </c>
      <c r="G687" s="4" t="s">
        <v>500</v>
      </c>
      <c r="H687" s="19">
        <f>Fact_Defect_Split!H116</f>
        <v>0</v>
      </c>
    </row>
    <row r="688" spans="1:8" x14ac:dyDescent="0.25">
      <c r="A688" s="18" t="s">
        <v>1669</v>
      </c>
      <c r="B688" s="4">
        <f>Fact_Defect_Split!B116</f>
        <v>20260701</v>
      </c>
      <c r="C688" s="4">
        <f>Fact_Defect_Split!C116</f>
        <v>16</v>
      </c>
      <c r="D688" s="4" t="str">
        <f>Fact_Defect_Split!D116</f>
        <v>M3</v>
      </c>
      <c r="E688" s="4" t="str">
        <f>Fact_Defect_Split!E116</f>
        <v>A-AM</v>
      </c>
      <c r="F688" s="4" t="str">
        <f>Fact_Defect_Split!F116</f>
        <v>B</v>
      </c>
      <c r="G688" s="4" t="s">
        <v>517</v>
      </c>
      <c r="H688" s="19">
        <f>Fact_Defect_Split!I116</f>
        <v>1</v>
      </c>
    </row>
    <row r="689" spans="1:8" x14ac:dyDescent="0.25">
      <c r="A689" s="18" t="s">
        <v>1670</v>
      </c>
      <c r="B689" s="4">
        <f>Fact_Defect_Split!B116</f>
        <v>20260701</v>
      </c>
      <c r="C689" s="4">
        <f>Fact_Defect_Split!C116</f>
        <v>16</v>
      </c>
      <c r="D689" s="4" t="str">
        <f>Fact_Defect_Split!D116</f>
        <v>M3</v>
      </c>
      <c r="E689" s="4" t="str">
        <f>Fact_Defect_Split!E116</f>
        <v>A-AM</v>
      </c>
      <c r="F689" s="4" t="str">
        <f>Fact_Defect_Split!F116</f>
        <v>B</v>
      </c>
      <c r="G689" s="4" t="s">
        <v>503</v>
      </c>
      <c r="H689" s="19">
        <f>Fact_Defect_Split!J116</f>
        <v>0</v>
      </c>
    </row>
    <row r="690" spans="1:8" x14ac:dyDescent="0.25">
      <c r="A690" s="18" t="s">
        <v>1671</v>
      </c>
      <c r="B690" s="4">
        <f>Fact_Defect_Split!B116</f>
        <v>20260701</v>
      </c>
      <c r="C690" s="4">
        <f>Fact_Defect_Split!C116</f>
        <v>16</v>
      </c>
      <c r="D690" s="4" t="str">
        <f>Fact_Defect_Split!D116</f>
        <v>M3</v>
      </c>
      <c r="E690" s="4" t="str">
        <f>Fact_Defect_Split!E116</f>
        <v>A-AM</v>
      </c>
      <c r="F690" s="4" t="str">
        <f>Fact_Defect_Split!F116</f>
        <v>B</v>
      </c>
      <c r="G690" s="4" t="s">
        <v>509</v>
      </c>
      <c r="H690" s="19">
        <f>Fact_Defect_Split!K116</f>
        <v>0</v>
      </c>
    </row>
    <row r="691" spans="1:8" x14ac:dyDescent="0.25">
      <c r="A691" s="18" t="s">
        <v>1672</v>
      </c>
      <c r="B691" s="4">
        <f>Fact_Defect_Split!B116</f>
        <v>20260701</v>
      </c>
      <c r="C691" s="4">
        <f>Fact_Defect_Split!C116</f>
        <v>16</v>
      </c>
      <c r="D691" s="4" t="str">
        <f>Fact_Defect_Split!D116</f>
        <v>M3</v>
      </c>
      <c r="E691" s="4" t="str">
        <f>Fact_Defect_Split!E116</f>
        <v>A-AM</v>
      </c>
      <c r="F691" s="4" t="str">
        <f>Fact_Defect_Split!F116</f>
        <v>B</v>
      </c>
      <c r="G691" s="4" t="s">
        <v>520</v>
      </c>
      <c r="H691" s="19">
        <f>Fact_Defect_Split!L116</f>
        <v>1</v>
      </c>
    </row>
    <row r="692" spans="1:8" x14ac:dyDescent="0.25">
      <c r="A692" s="18" t="s">
        <v>1673</v>
      </c>
      <c r="B692" s="4">
        <f>Fact_Defect_Split!B117</f>
        <v>20260701</v>
      </c>
      <c r="C692" s="4">
        <f>Fact_Defect_Split!C117</f>
        <v>16</v>
      </c>
      <c r="D692" s="4" t="str">
        <f>Fact_Defect_Split!D117</f>
        <v>M4</v>
      </c>
      <c r="E692" s="4" t="str">
        <f>Fact_Defect_Split!E117</f>
        <v>A-AM</v>
      </c>
      <c r="F692" s="4" t="str">
        <f>Fact_Defect_Split!F117</f>
        <v>A</v>
      </c>
      <c r="G692" s="4" t="s">
        <v>498</v>
      </c>
      <c r="H692" s="19">
        <f>Fact_Defect_Split!G117</f>
        <v>0</v>
      </c>
    </row>
    <row r="693" spans="1:8" x14ac:dyDescent="0.25">
      <c r="A693" s="18" t="s">
        <v>1674</v>
      </c>
      <c r="B693" s="4">
        <f>Fact_Defect_Split!B117</f>
        <v>20260701</v>
      </c>
      <c r="C693" s="4">
        <f>Fact_Defect_Split!C117</f>
        <v>16</v>
      </c>
      <c r="D693" s="4" t="str">
        <f>Fact_Defect_Split!D117</f>
        <v>M4</v>
      </c>
      <c r="E693" s="4" t="str">
        <f>Fact_Defect_Split!E117</f>
        <v>A-AM</v>
      </c>
      <c r="F693" s="4" t="str">
        <f>Fact_Defect_Split!F117</f>
        <v>A</v>
      </c>
      <c r="G693" s="4" t="s">
        <v>500</v>
      </c>
      <c r="H693" s="19">
        <f>Fact_Defect_Split!H117</f>
        <v>0</v>
      </c>
    </row>
    <row r="694" spans="1:8" x14ac:dyDescent="0.25">
      <c r="A694" s="18" t="s">
        <v>1675</v>
      </c>
      <c r="B694" s="4">
        <f>Fact_Defect_Split!B117</f>
        <v>20260701</v>
      </c>
      <c r="C694" s="4">
        <f>Fact_Defect_Split!C117</f>
        <v>16</v>
      </c>
      <c r="D694" s="4" t="str">
        <f>Fact_Defect_Split!D117</f>
        <v>M4</v>
      </c>
      <c r="E694" s="4" t="str">
        <f>Fact_Defect_Split!E117</f>
        <v>A-AM</v>
      </c>
      <c r="F694" s="4" t="str">
        <f>Fact_Defect_Split!F117</f>
        <v>A</v>
      </c>
      <c r="G694" s="4" t="s">
        <v>517</v>
      </c>
      <c r="H694" s="19">
        <f>Fact_Defect_Split!I117</f>
        <v>0</v>
      </c>
    </row>
    <row r="695" spans="1:8" x14ac:dyDescent="0.25">
      <c r="A695" s="18" t="s">
        <v>1676</v>
      </c>
      <c r="B695" s="4">
        <f>Fact_Defect_Split!B117</f>
        <v>20260701</v>
      </c>
      <c r="C695" s="4">
        <f>Fact_Defect_Split!C117</f>
        <v>16</v>
      </c>
      <c r="D695" s="4" t="str">
        <f>Fact_Defect_Split!D117</f>
        <v>M4</v>
      </c>
      <c r="E695" s="4" t="str">
        <f>Fact_Defect_Split!E117</f>
        <v>A-AM</v>
      </c>
      <c r="F695" s="4" t="str">
        <f>Fact_Defect_Split!F117</f>
        <v>A</v>
      </c>
      <c r="G695" s="4" t="s">
        <v>503</v>
      </c>
      <c r="H695" s="19">
        <f>Fact_Defect_Split!J117</f>
        <v>0</v>
      </c>
    </row>
    <row r="696" spans="1:8" x14ac:dyDescent="0.25">
      <c r="A696" s="18" t="s">
        <v>1677</v>
      </c>
      <c r="B696" s="4">
        <f>Fact_Defect_Split!B117</f>
        <v>20260701</v>
      </c>
      <c r="C696" s="4">
        <f>Fact_Defect_Split!C117</f>
        <v>16</v>
      </c>
      <c r="D696" s="4" t="str">
        <f>Fact_Defect_Split!D117</f>
        <v>M4</v>
      </c>
      <c r="E696" s="4" t="str">
        <f>Fact_Defect_Split!E117</f>
        <v>A-AM</v>
      </c>
      <c r="F696" s="4" t="str">
        <f>Fact_Defect_Split!F117</f>
        <v>A</v>
      </c>
      <c r="G696" s="4" t="s">
        <v>509</v>
      </c>
      <c r="H696" s="19">
        <f>Fact_Defect_Split!K117</f>
        <v>1</v>
      </c>
    </row>
    <row r="697" spans="1:8" x14ac:dyDescent="0.25">
      <c r="A697" s="18" t="s">
        <v>1678</v>
      </c>
      <c r="B697" s="4">
        <f>Fact_Defect_Split!B117</f>
        <v>20260701</v>
      </c>
      <c r="C697" s="4">
        <f>Fact_Defect_Split!C117</f>
        <v>16</v>
      </c>
      <c r="D697" s="4" t="str">
        <f>Fact_Defect_Split!D117</f>
        <v>M4</v>
      </c>
      <c r="E697" s="4" t="str">
        <f>Fact_Defect_Split!E117</f>
        <v>A-AM</v>
      </c>
      <c r="F697" s="4" t="str">
        <f>Fact_Defect_Split!F117</f>
        <v>A</v>
      </c>
      <c r="G697" s="4" t="s">
        <v>520</v>
      </c>
      <c r="H697" s="19">
        <f>Fact_Defect_Split!L117</f>
        <v>0</v>
      </c>
    </row>
    <row r="698" spans="1:8" x14ac:dyDescent="0.25">
      <c r="A698" s="18" t="s">
        <v>1679</v>
      </c>
      <c r="B698" s="4">
        <f>Fact_Defect_Split!B118</f>
        <v>20260701</v>
      </c>
      <c r="C698" s="4">
        <f>Fact_Defect_Split!C118</f>
        <v>16</v>
      </c>
      <c r="D698" s="4" t="str">
        <f>Fact_Defect_Split!D118</f>
        <v>M5</v>
      </c>
      <c r="E698" s="4" t="str">
        <f>Fact_Defect_Split!E118</f>
        <v>A-AM</v>
      </c>
      <c r="F698" s="4" t="str">
        <f>Fact_Defect_Split!F118</f>
        <v>C</v>
      </c>
      <c r="G698" s="4" t="s">
        <v>498</v>
      </c>
      <c r="H698" s="19">
        <f>Fact_Defect_Split!G118</f>
        <v>0</v>
      </c>
    </row>
    <row r="699" spans="1:8" x14ac:dyDescent="0.25">
      <c r="A699" s="18" t="s">
        <v>1680</v>
      </c>
      <c r="B699" s="4">
        <f>Fact_Defect_Split!B118</f>
        <v>20260701</v>
      </c>
      <c r="C699" s="4">
        <f>Fact_Defect_Split!C118</f>
        <v>16</v>
      </c>
      <c r="D699" s="4" t="str">
        <f>Fact_Defect_Split!D118</f>
        <v>M5</v>
      </c>
      <c r="E699" s="4" t="str">
        <f>Fact_Defect_Split!E118</f>
        <v>A-AM</v>
      </c>
      <c r="F699" s="4" t="str">
        <f>Fact_Defect_Split!F118</f>
        <v>C</v>
      </c>
      <c r="G699" s="4" t="s">
        <v>500</v>
      </c>
      <c r="H699" s="19">
        <f>Fact_Defect_Split!H118</f>
        <v>0</v>
      </c>
    </row>
    <row r="700" spans="1:8" x14ac:dyDescent="0.25">
      <c r="A700" s="18" t="s">
        <v>1681</v>
      </c>
      <c r="B700" s="4">
        <f>Fact_Defect_Split!B118</f>
        <v>20260701</v>
      </c>
      <c r="C700" s="4">
        <f>Fact_Defect_Split!C118</f>
        <v>16</v>
      </c>
      <c r="D700" s="4" t="str">
        <f>Fact_Defect_Split!D118</f>
        <v>M5</v>
      </c>
      <c r="E700" s="4" t="str">
        <f>Fact_Defect_Split!E118</f>
        <v>A-AM</v>
      </c>
      <c r="F700" s="4" t="str">
        <f>Fact_Defect_Split!F118</f>
        <v>C</v>
      </c>
      <c r="G700" s="4" t="s">
        <v>517</v>
      </c>
      <c r="H700" s="19">
        <f>Fact_Defect_Split!I118</f>
        <v>1</v>
      </c>
    </row>
    <row r="701" spans="1:8" x14ac:dyDescent="0.25">
      <c r="A701" s="18" t="s">
        <v>1682</v>
      </c>
      <c r="B701" s="4">
        <f>Fact_Defect_Split!B118</f>
        <v>20260701</v>
      </c>
      <c r="C701" s="4">
        <f>Fact_Defect_Split!C118</f>
        <v>16</v>
      </c>
      <c r="D701" s="4" t="str">
        <f>Fact_Defect_Split!D118</f>
        <v>M5</v>
      </c>
      <c r="E701" s="4" t="str">
        <f>Fact_Defect_Split!E118</f>
        <v>A-AM</v>
      </c>
      <c r="F701" s="4" t="str">
        <f>Fact_Defect_Split!F118</f>
        <v>C</v>
      </c>
      <c r="G701" s="4" t="s">
        <v>503</v>
      </c>
      <c r="H701" s="19">
        <f>Fact_Defect_Split!J118</f>
        <v>0</v>
      </c>
    </row>
    <row r="702" spans="1:8" x14ac:dyDescent="0.25">
      <c r="A702" s="18" t="s">
        <v>1683</v>
      </c>
      <c r="B702" s="4">
        <f>Fact_Defect_Split!B118</f>
        <v>20260701</v>
      </c>
      <c r="C702" s="4">
        <f>Fact_Defect_Split!C118</f>
        <v>16</v>
      </c>
      <c r="D702" s="4" t="str">
        <f>Fact_Defect_Split!D118</f>
        <v>M5</v>
      </c>
      <c r="E702" s="4" t="str">
        <f>Fact_Defect_Split!E118</f>
        <v>A-AM</v>
      </c>
      <c r="F702" s="4" t="str">
        <f>Fact_Defect_Split!F118</f>
        <v>C</v>
      </c>
      <c r="G702" s="4" t="s">
        <v>509</v>
      </c>
      <c r="H702" s="19">
        <f>Fact_Defect_Split!K118</f>
        <v>1</v>
      </c>
    </row>
    <row r="703" spans="1:8" x14ac:dyDescent="0.25">
      <c r="A703" s="18" t="s">
        <v>1684</v>
      </c>
      <c r="B703" s="4">
        <f>Fact_Defect_Split!B118</f>
        <v>20260701</v>
      </c>
      <c r="C703" s="4">
        <f>Fact_Defect_Split!C118</f>
        <v>16</v>
      </c>
      <c r="D703" s="4" t="str">
        <f>Fact_Defect_Split!D118</f>
        <v>M5</v>
      </c>
      <c r="E703" s="4" t="str">
        <f>Fact_Defect_Split!E118</f>
        <v>A-AM</v>
      </c>
      <c r="F703" s="4" t="str">
        <f>Fact_Defect_Split!F118</f>
        <v>C</v>
      </c>
      <c r="G703" s="4" t="s">
        <v>520</v>
      </c>
      <c r="H703" s="19">
        <f>Fact_Defect_Split!L118</f>
        <v>0</v>
      </c>
    </row>
    <row r="704" spans="1:8" x14ac:dyDescent="0.25">
      <c r="A704" s="18" t="s">
        <v>1685</v>
      </c>
      <c r="B704" s="4">
        <f>Fact_Defect_Split!B119</f>
        <v>20260701</v>
      </c>
      <c r="C704" s="4">
        <f>Fact_Defect_Split!C119</f>
        <v>16</v>
      </c>
      <c r="D704" s="4" t="str">
        <f>Fact_Defect_Split!D119</f>
        <v>M6</v>
      </c>
      <c r="E704" s="4" t="str">
        <f>Fact_Defect_Split!E119</f>
        <v>A-AM</v>
      </c>
      <c r="F704" s="4" t="str">
        <f>Fact_Defect_Split!F119</f>
        <v>C</v>
      </c>
      <c r="G704" s="4" t="s">
        <v>498</v>
      </c>
      <c r="H704" s="19">
        <f>Fact_Defect_Split!G119</f>
        <v>0</v>
      </c>
    </row>
    <row r="705" spans="1:8" x14ac:dyDescent="0.25">
      <c r="A705" s="18" t="s">
        <v>1686</v>
      </c>
      <c r="B705" s="4">
        <f>Fact_Defect_Split!B119</f>
        <v>20260701</v>
      </c>
      <c r="C705" s="4">
        <f>Fact_Defect_Split!C119</f>
        <v>16</v>
      </c>
      <c r="D705" s="4" t="str">
        <f>Fact_Defect_Split!D119</f>
        <v>M6</v>
      </c>
      <c r="E705" s="4" t="str">
        <f>Fact_Defect_Split!E119</f>
        <v>A-AM</v>
      </c>
      <c r="F705" s="4" t="str">
        <f>Fact_Defect_Split!F119</f>
        <v>C</v>
      </c>
      <c r="G705" s="4" t="s">
        <v>500</v>
      </c>
      <c r="H705" s="19">
        <f>Fact_Defect_Split!H119</f>
        <v>0</v>
      </c>
    </row>
    <row r="706" spans="1:8" x14ac:dyDescent="0.25">
      <c r="A706" s="18" t="s">
        <v>1687</v>
      </c>
      <c r="B706" s="4">
        <f>Fact_Defect_Split!B119</f>
        <v>20260701</v>
      </c>
      <c r="C706" s="4">
        <f>Fact_Defect_Split!C119</f>
        <v>16</v>
      </c>
      <c r="D706" s="4" t="str">
        <f>Fact_Defect_Split!D119</f>
        <v>M6</v>
      </c>
      <c r="E706" s="4" t="str">
        <f>Fact_Defect_Split!E119</f>
        <v>A-AM</v>
      </c>
      <c r="F706" s="4" t="str">
        <f>Fact_Defect_Split!F119</f>
        <v>C</v>
      </c>
      <c r="G706" s="4" t="s">
        <v>517</v>
      </c>
      <c r="H706" s="19">
        <f>Fact_Defect_Split!I119</f>
        <v>0</v>
      </c>
    </row>
    <row r="707" spans="1:8" x14ac:dyDescent="0.25">
      <c r="A707" s="18" t="s">
        <v>1688</v>
      </c>
      <c r="B707" s="4">
        <f>Fact_Defect_Split!B119</f>
        <v>20260701</v>
      </c>
      <c r="C707" s="4">
        <f>Fact_Defect_Split!C119</f>
        <v>16</v>
      </c>
      <c r="D707" s="4" t="str">
        <f>Fact_Defect_Split!D119</f>
        <v>M6</v>
      </c>
      <c r="E707" s="4" t="str">
        <f>Fact_Defect_Split!E119</f>
        <v>A-AM</v>
      </c>
      <c r="F707" s="4" t="str">
        <f>Fact_Defect_Split!F119</f>
        <v>C</v>
      </c>
      <c r="G707" s="4" t="s">
        <v>503</v>
      </c>
      <c r="H707" s="19">
        <f>Fact_Defect_Split!J119</f>
        <v>0</v>
      </c>
    </row>
    <row r="708" spans="1:8" x14ac:dyDescent="0.25">
      <c r="A708" s="18" t="s">
        <v>1689</v>
      </c>
      <c r="B708" s="4">
        <f>Fact_Defect_Split!B119</f>
        <v>20260701</v>
      </c>
      <c r="C708" s="4">
        <f>Fact_Defect_Split!C119</f>
        <v>16</v>
      </c>
      <c r="D708" s="4" t="str">
        <f>Fact_Defect_Split!D119</f>
        <v>M6</v>
      </c>
      <c r="E708" s="4" t="str">
        <f>Fact_Defect_Split!E119</f>
        <v>A-AM</v>
      </c>
      <c r="F708" s="4" t="str">
        <f>Fact_Defect_Split!F119</f>
        <v>C</v>
      </c>
      <c r="G708" s="4" t="s">
        <v>509</v>
      </c>
      <c r="H708" s="19">
        <f>Fact_Defect_Split!K119</f>
        <v>1</v>
      </c>
    </row>
    <row r="709" spans="1:8" x14ac:dyDescent="0.25">
      <c r="A709" s="18" t="s">
        <v>1690</v>
      </c>
      <c r="B709" s="4">
        <f>Fact_Defect_Split!B119</f>
        <v>20260701</v>
      </c>
      <c r="C709" s="4">
        <f>Fact_Defect_Split!C119</f>
        <v>16</v>
      </c>
      <c r="D709" s="4" t="str">
        <f>Fact_Defect_Split!D119</f>
        <v>M6</v>
      </c>
      <c r="E709" s="4" t="str">
        <f>Fact_Defect_Split!E119</f>
        <v>A-AM</v>
      </c>
      <c r="F709" s="4" t="str">
        <f>Fact_Defect_Split!F119</f>
        <v>C</v>
      </c>
      <c r="G709" s="4" t="s">
        <v>520</v>
      </c>
      <c r="H709" s="19">
        <f>Fact_Defect_Split!L119</f>
        <v>0</v>
      </c>
    </row>
    <row r="710" spans="1:8" x14ac:dyDescent="0.25">
      <c r="A710" s="18" t="s">
        <v>1691</v>
      </c>
      <c r="B710" s="4">
        <f>Fact_Defect_Split!B120</f>
        <v>20260701</v>
      </c>
      <c r="C710" s="4">
        <f>Fact_Defect_Split!C120</f>
        <v>16</v>
      </c>
      <c r="D710" s="4" t="str">
        <f>Fact_Defect_Split!D120</f>
        <v>M7</v>
      </c>
      <c r="E710" s="4" t="str">
        <f>Fact_Defect_Split!E120</f>
        <v>A-AM</v>
      </c>
      <c r="F710" s="4" t="str">
        <f>Fact_Defect_Split!F120</f>
        <v>C</v>
      </c>
      <c r="G710" s="4" t="s">
        <v>498</v>
      </c>
      <c r="H710" s="19">
        <f>Fact_Defect_Split!G120</f>
        <v>0</v>
      </c>
    </row>
    <row r="711" spans="1:8" x14ac:dyDescent="0.25">
      <c r="A711" s="18" t="s">
        <v>1692</v>
      </c>
      <c r="B711" s="4">
        <f>Fact_Defect_Split!B120</f>
        <v>20260701</v>
      </c>
      <c r="C711" s="4">
        <f>Fact_Defect_Split!C120</f>
        <v>16</v>
      </c>
      <c r="D711" s="4" t="str">
        <f>Fact_Defect_Split!D120</f>
        <v>M7</v>
      </c>
      <c r="E711" s="4" t="str">
        <f>Fact_Defect_Split!E120</f>
        <v>A-AM</v>
      </c>
      <c r="F711" s="4" t="str">
        <f>Fact_Defect_Split!F120</f>
        <v>C</v>
      </c>
      <c r="G711" s="4" t="s">
        <v>500</v>
      </c>
      <c r="H711" s="19">
        <f>Fact_Defect_Split!H120</f>
        <v>0</v>
      </c>
    </row>
    <row r="712" spans="1:8" x14ac:dyDescent="0.25">
      <c r="A712" s="18" t="s">
        <v>1693</v>
      </c>
      <c r="B712" s="4">
        <f>Fact_Defect_Split!B120</f>
        <v>20260701</v>
      </c>
      <c r="C712" s="4">
        <f>Fact_Defect_Split!C120</f>
        <v>16</v>
      </c>
      <c r="D712" s="4" t="str">
        <f>Fact_Defect_Split!D120</f>
        <v>M7</v>
      </c>
      <c r="E712" s="4" t="str">
        <f>Fact_Defect_Split!E120</f>
        <v>A-AM</v>
      </c>
      <c r="F712" s="4" t="str">
        <f>Fact_Defect_Split!F120</f>
        <v>C</v>
      </c>
      <c r="G712" s="4" t="s">
        <v>517</v>
      </c>
      <c r="H712" s="19">
        <f>Fact_Defect_Split!I120</f>
        <v>1</v>
      </c>
    </row>
    <row r="713" spans="1:8" x14ac:dyDescent="0.25">
      <c r="A713" s="18" t="s">
        <v>1694</v>
      </c>
      <c r="B713" s="4">
        <f>Fact_Defect_Split!B120</f>
        <v>20260701</v>
      </c>
      <c r="C713" s="4">
        <f>Fact_Defect_Split!C120</f>
        <v>16</v>
      </c>
      <c r="D713" s="4" t="str">
        <f>Fact_Defect_Split!D120</f>
        <v>M7</v>
      </c>
      <c r="E713" s="4" t="str">
        <f>Fact_Defect_Split!E120</f>
        <v>A-AM</v>
      </c>
      <c r="F713" s="4" t="str">
        <f>Fact_Defect_Split!F120</f>
        <v>C</v>
      </c>
      <c r="G713" s="4" t="s">
        <v>503</v>
      </c>
      <c r="H713" s="19">
        <f>Fact_Defect_Split!J120</f>
        <v>0</v>
      </c>
    </row>
    <row r="714" spans="1:8" x14ac:dyDescent="0.25">
      <c r="A714" s="18" t="s">
        <v>1695</v>
      </c>
      <c r="B714" s="4">
        <f>Fact_Defect_Split!B120</f>
        <v>20260701</v>
      </c>
      <c r="C714" s="4">
        <f>Fact_Defect_Split!C120</f>
        <v>16</v>
      </c>
      <c r="D714" s="4" t="str">
        <f>Fact_Defect_Split!D120</f>
        <v>M7</v>
      </c>
      <c r="E714" s="4" t="str">
        <f>Fact_Defect_Split!E120</f>
        <v>A-AM</v>
      </c>
      <c r="F714" s="4" t="str">
        <f>Fact_Defect_Split!F120</f>
        <v>C</v>
      </c>
      <c r="G714" s="4" t="s">
        <v>509</v>
      </c>
      <c r="H714" s="19">
        <f>Fact_Defect_Split!K120</f>
        <v>1</v>
      </c>
    </row>
    <row r="715" spans="1:8" x14ac:dyDescent="0.25">
      <c r="A715" s="18" t="s">
        <v>1696</v>
      </c>
      <c r="B715" s="4">
        <f>Fact_Defect_Split!B120</f>
        <v>20260701</v>
      </c>
      <c r="C715" s="4">
        <f>Fact_Defect_Split!C120</f>
        <v>16</v>
      </c>
      <c r="D715" s="4" t="str">
        <f>Fact_Defect_Split!D120</f>
        <v>M7</v>
      </c>
      <c r="E715" s="4" t="str">
        <f>Fact_Defect_Split!E120</f>
        <v>A-AM</v>
      </c>
      <c r="F715" s="4" t="str">
        <f>Fact_Defect_Split!F120</f>
        <v>C</v>
      </c>
      <c r="G715" s="4" t="s">
        <v>520</v>
      </c>
      <c r="H715" s="19">
        <f>Fact_Defect_Split!L120</f>
        <v>1</v>
      </c>
    </row>
    <row r="716" spans="1:8" x14ac:dyDescent="0.25">
      <c r="A716" s="18" t="s">
        <v>1697</v>
      </c>
      <c r="B716" s="4">
        <f>Fact_Defect_Split!B121</f>
        <v>20260701</v>
      </c>
      <c r="C716" s="4">
        <f>Fact_Defect_Split!C121</f>
        <v>17</v>
      </c>
      <c r="D716" s="4" t="str">
        <f>Fact_Defect_Split!D121</f>
        <v>M1</v>
      </c>
      <c r="E716" s="4" t="str">
        <f>Fact_Defect_Split!E121</f>
        <v>A-AM</v>
      </c>
      <c r="F716" s="4" t="str">
        <f>Fact_Defect_Split!F121</f>
        <v>C</v>
      </c>
      <c r="G716" s="4" t="s">
        <v>498</v>
      </c>
      <c r="H716" s="19">
        <f>Fact_Defect_Split!G121</f>
        <v>0</v>
      </c>
    </row>
    <row r="717" spans="1:8" x14ac:dyDescent="0.25">
      <c r="A717" s="18" t="s">
        <v>1698</v>
      </c>
      <c r="B717" s="4">
        <f>Fact_Defect_Split!B121</f>
        <v>20260701</v>
      </c>
      <c r="C717" s="4">
        <f>Fact_Defect_Split!C121</f>
        <v>17</v>
      </c>
      <c r="D717" s="4" t="str">
        <f>Fact_Defect_Split!D121</f>
        <v>M1</v>
      </c>
      <c r="E717" s="4" t="str">
        <f>Fact_Defect_Split!E121</f>
        <v>A-AM</v>
      </c>
      <c r="F717" s="4" t="str">
        <f>Fact_Defect_Split!F121</f>
        <v>C</v>
      </c>
      <c r="G717" s="4" t="s">
        <v>500</v>
      </c>
      <c r="H717" s="19">
        <f>Fact_Defect_Split!H121</f>
        <v>0</v>
      </c>
    </row>
    <row r="718" spans="1:8" x14ac:dyDescent="0.25">
      <c r="A718" s="18" t="s">
        <v>1699</v>
      </c>
      <c r="B718" s="4">
        <f>Fact_Defect_Split!B121</f>
        <v>20260701</v>
      </c>
      <c r="C718" s="4">
        <f>Fact_Defect_Split!C121</f>
        <v>17</v>
      </c>
      <c r="D718" s="4" t="str">
        <f>Fact_Defect_Split!D121</f>
        <v>M1</v>
      </c>
      <c r="E718" s="4" t="str">
        <f>Fact_Defect_Split!E121</f>
        <v>A-AM</v>
      </c>
      <c r="F718" s="4" t="str">
        <f>Fact_Defect_Split!F121</f>
        <v>C</v>
      </c>
      <c r="G718" s="4" t="s">
        <v>517</v>
      </c>
      <c r="H718" s="19">
        <f>Fact_Defect_Split!I121</f>
        <v>1</v>
      </c>
    </row>
    <row r="719" spans="1:8" x14ac:dyDescent="0.25">
      <c r="A719" s="18" t="s">
        <v>1700</v>
      </c>
      <c r="B719" s="4">
        <f>Fact_Defect_Split!B121</f>
        <v>20260701</v>
      </c>
      <c r="C719" s="4">
        <f>Fact_Defect_Split!C121</f>
        <v>17</v>
      </c>
      <c r="D719" s="4" t="str">
        <f>Fact_Defect_Split!D121</f>
        <v>M1</v>
      </c>
      <c r="E719" s="4" t="str">
        <f>Fact_Defect_Split!E121</f>
        <v>A-AM</v>
      </c>
      <c r="F719" s="4" t="str">
        <f>Fact_Defect_Split!F121</f>
        <v>C</v>
      </c>
      <c r="G719" s="4" t="s">
        <v>503</v>
      </c>
      <c r="H719" s="19">
        <f>Fact_Defect_Split!J121</f>
        <v>0</v>
      </c>
    </row>
    <row r="720" spans="1:8" x14ac:dyDescent="0.25">
      <c r="A720" s="18" t="s">
        <v>1701</v>
      </c>
      <c r="B720" s="4">
        <f>Fact_Defect_Split!B121</f>
        <v>20260701</v>
      </c>
      <c r="C720" s="4">
        <f>Fact_Defect_Split!C121</f>
        <v>17</v>
      </c>
      <c r="D720" s="4" t="str">
        <f>Fact_Defect_Split!D121</f>
        <v>M1</v>
      </c>
      <c r="E720" s="4" t="str">
        <f>Fact_Defect_Split!E121</f>
        <v>A-AM</v>
      </c>
      <c r="F720" s="4" t="str">
        <f>Fact_Defect_Split!F121</f>
        <v>C</v>
      </c>
      <c r="G720" s="4" t="s">
        <v>509</v>
      </c>
      <c r="H720" s="19">
        <f>Fact_Defect_Split!K121</f>
        <v>1</v>
      </c>
    </row>
    <row r="721" spans="1:8" x14ac:dyDescent="0.25">
      <c r="A721" s="18" t="s">
        <v>1702</v>
      </c>
      <c r="B721" s="4">
        <f>Fact_Defect_Split!B121</f>
        <v>20260701</v>
      </c>
      <c r="C721" s="4">
        <f>Fact_Defect_Split!C121</f>
        <v>17</v>
      </c>
      <c r="D721" s="4" t="str">
        <f>Fact_Defect_Split!D121</f>
        <v>M1</v>
      </c>
      <c r="E721" s="4" t="str">
        <f>Fact_Defect_Split!E121</f>
        <v>A-AM</v>
      </c>
      <c r="F721" s="4" t="str">
        <f>Fact_Defect_Split!F121</f>
        <v>C</v>
      </c>
      <c r="G721" s="4" t="s">
        <v>520</v>
      </c>
      <c r="H721" s="19">
        <f>Fact_Defect_Split!L121</f>
        <v>0</v>
      </c>
    </row>
    <row r="722" spans="1:8" x14ac:dyDescent="0.25">
      <c r="A722" s="18" t="s">
        <v>1703</v>
      </c>
      <c r="B722" s="4">
        <f>Fact_Defect_Split!B122</f>
        <v>20260701</v>
      </c>
      <c r="C722" s="4">
        <f>Fact_Defect_Split!C122</f>
        <v>17</v>
      </c>
      <c r="D722" s="4" t="str">
        <f>Fact_Defect_Split!D122</f>
        <v>M2</v>
      </c>
      <c r="E722" s="4" t="str">
        <f>Fact_Defect_Split!E122</f>
        <v>A-AM</v>
      </c>
      <c r="F722" s="4" t="str">
        <f>Fact_Defect_Split!F122</f>
        <v>A</v>
      </c>
      <c r="G722" s="4" t="s">
        <v>498</v>
      </c>
      <c r="H722" s="19">
        <f>Fact_Defect_Split!G122</f>
        <v>0</v>
      </c>
    </row>
    <row r="723" spans="1:8" x14ac:dyDescent="0.25">
      <c r="A723" s="18" t="s">
        <v>1704</v>
      </c>
      <c r="B723" s="4">
        <f>Fact_Defect_Split!B122</f>
        <v>20260701</v>
      </c>
      <c r="C723" s="4">
        <f>Fact_Defect_Split!C122</f>
        <v>17</v>
      </c>
      <c r="D723" s="4" t="str">
        <f>Fact_Defect_Split!D122</f>
        <v>M2</v>
      </c>
      <c r="E723" s="4" t="str">
        <f>Fact_Defect_Split!E122</f>
        <v>A-AM</v>
      </c>
      <c r="F723" s="4" t="str">
        <f>Fact_Defect_Split!F122</f>
        <v>A</v>
      </c>
      <c r="G723" s="4" t="s">
        <v>500</v>
      </c>
      <c r="H723" s="19">
        <f>Fact_Defect_Split!H122</f>
        <v>0</v>
      </c>
    </row>
    <row r="724" spans="1:8" x14ac:dyDescent="0.25">
      <c r="A724" s="18" t="s">
        <v>1705</v>
      </c>
      <c r="B724" s="4">
        <f>Fact_Defect_Split!B122</f>
        <v>20260701</v>
      </c>
      <c r="C724" s="4">
        <f>Fact_Defect_Split!C122</f>
        <v>17</v>
      </c>
      <c r="D724" s="4" t="str">
        <f>Fact_Defect_Split!D122</f>
        <v>M2</v>
      </c>
      <c r="E724" s="4" t="str">
        <f>Fact_Defect_Split!E122</f>
        <v>A-AM</v>
      </c>
      <c r="F724" s="4" t="str">
        <f>Fact_Defect_Split!F122</f>
        <v>A</v>
      </c>
      <c r="G724" s="4" t="s">
        <v>517</v>
      </c>
      <c r="H724" s="19">
        <f>Fact_Defect_Split!I122</f>
        <v>0</v>
      </c>
    </row>
    <row r="725" spans="1:8" x14ac:dyDescent="0.25">
      <c r="A725" s="18" t="s">
        <v>1706</v>
      </c>
      <c r="B725" s="4">
        <f>Fact_Defect_Split!B122</f>
        <v>20260701</v>
      </c>
      <c r="C725" s="4">
        <f>Fact_Defect_Split!C122</f>
        <v>17</v>
      </c>
      <c r="D725" s="4" t="str">
        <f>Fact_Defect_Split!D122</f>
        <v>M2</v>
      </c>
      <c r="E725" s="4" t="str">
        <f>Fact_Defect_Split!E122</f>
        <v>A-AM</v>
      </c>
      <c r="F725" s="4" t="str">
        <f>Fact_Defect_Split!F122</f>
        <v>A</v>
      </c>
      <c r="G725" s="4" t="s">
        <v>503</v>
      </c>
      <c r="H725" s="19">
        <f>Fact_Defect_Split!J122</f>
        <v>1</v>
      </c>
    </row>
    <row r="726" spans="1:8" x14ac:dyDescent="0.25">
      <c r="A726" s="18" t="s">
        <v>1707</v>
      </c>
      <c r="B726" s="4">
        <f>Fact_Defect_Split!B122</f>
        <v>20260701</v>
      </c>
      <c r="C726" s="4">
        <f>Fact_Defect_Split!C122</f>
        <v>17</v>
      </c>
      <c r="D726" s="4" t="str">
        <f>Fact_Defect_Split!D122</f>
        <v>M2</v>
      </c>
      <c r="E726" s="4" t="str">
        <f>Fact_Defect_Split!E122</f>
        <v>A-AM</v>
      </c>
      <c r="F726" s="4" t="str">
        <f>Fact_Defect_Split!F122</f>
        <v>A</v>
      </c>
      <c r="G726" s="4" t="s">
        <v>509</v>
      </c>
      <c r="H726" s="19">
        <f>Fact_Defect_Split!K122</f>
        <v>1</v>
      </c>
    </row>
    <row r="727" spans="1:8" x14ac:dyDescent="0.25">
      <c r="A727" s="18" t="s">
        <v>1708</v>
      </c>
      <c r="B727" s="4">
        <f>Fact_Defect_Split!B122</f>
        <v>20260701</v>
      </c>
      <c r="C727" s="4">
        <f>Fact_Defect_Split!C122</f>
        <v>17</v>
      </c>
      <c r="D727" s="4" t="str">
        <f>Fact_Defect_Split!D122</f>
        <v>M2</v>
      </c>
      <c r="E727" s="4" t="str">
        <f>Fact_Defect_Split!E122</f>
        <v>A-AM</v>
      </c>
      <c r="F727" s="4" t="str">
        <f>Fact_Defect_Split!F122</f>
        <v>A</v>
      </c>
      <c r="G727" s="4" t="s">
        <v>520</v>
      </c>
      <c r="H727" s="19">
        <f>Fact_Defect_Split!L122</f>
        <v>0</v>
      </c>
    </row>
    <row r="728" spans="1:8" x14ac:dyDescent="0.25">
      <c r="A728" s="18" t="s">
        <v>1709</v>
      </c>
      <c r="B728" s="4">
        <f>Fact_Defect_Split!B123</f>
        <v>20260701</v>
      </c>
      <c r="C728" s="4">
        <f>Fact_Defect_Split!C123</f>
        <v>17</v>
      </c>
      <c r="D728" s="4" t="str">
        <f>Fact_Defect_Split!D123</f>
        <v>M3</v>
      </c>
      <c r="E728" s="4" t="str">
        <f>Fact_Defect_Split!E123</f>
        <v>A-AM</v>
      </c>
      <c r="F728" s="4" t="str">
        <f>Fact_Defect_Split!F123</f>
        <v>B</v>
      </c>
      <c r="G728" s="4" t="s">
        <v>498</v>
      </c>
      <c r="H728" s="19">
        <f>Fact_Defect_Split!G123</f>
        <v>0</v>
      </c>
    </row>
    <row r="729" spans="1:8" x14ac:dyDescent="0.25">
      <c r="A729" s="18" t="s">
        <v>1710</v>
      </c>
      <c r="B729" s="4">
        <f>Fact_Defect_Split!B123</f>
        <v>20260701</v>
      </c>
      <c r="C729" s="4">
        <f>Fact_Defect_Split!C123</f>
        <v>17</v>
      </c>
      <c r="D729" s="4" t="str">
        <f>Fact_Defect_Split!D123</f>
        <v>M3</v>
      </c>
      <c r="E729" s="4" t="str">
        <f>Fact_Defect_Split!E123</f>
        <v>A-AM</v>
      </c>
      <c r="F729" s="4" t="str">
        <f>Fact_Defect_Split!F123</f>
        <v>B</v>
      </c>
      <c r="G729" s="4" t="s">
        <v>500</v>
      </c>
      <c r="H729" s="19">
        <f>Fact_Defect_Split!H123</f>
        <v>0</v>
      </c>
    </row>
    <row r="730" spans="1:8" x14ac:dyDescent="0.25">
      <c r="A730" s="18" t="s">
        <v>1711</v>
      </c>
      <c r="B730" s="4">
        <f>Fact_Defect_Split!B123</f>
        <v>20260701</v>
      </c>
      <c r="C730" s="4">
        <f>Fact_Defect_Split!C123</f>
        <v>17</v>
      </c>
      <c r="D730" s="4" t="str">
        <f>Fact_Defect_Split!D123</f>
        <v>M3</v>
      </c>
      <c r="E730" s="4" t="str">
        <f>Fact_Defect_Split!E123</f>
        <v>A-AM</v>
      </c>
      <c r="F730" s="4" t="str">
        <f>Fact_Defect_Split!F123</f>
        <v>B</v>
      </c>
      <c r="G730" s="4" t="s">
        <v>517</v>
      </c>
      <c r="H730" s="19">
        <f>Fact_Defect_Split!I123</f>
        <v>0</v>
      </c>
    </row>
    <row r="731" spans="1:8" x14ac:dyDescent="0.25">
      <c r="A731" s="18" t="s">
        <v>1712</v>
      </c>
      <c r="B731" s="4">
        <f>Fact_Defect_Split!B123</f>
        <v>20260701</v>
      </c>
      <c r="C731" s="4">
        <f>Fact_Defect_Split!C123</f>
        <v>17</v>
      </c>
      <c r="D731" s="4" t="str">
        <f>Fact_Defect_Split!D123</f>
        <v>M3</v>
      </c>
      <c r="E731" s="4" t="str">
        <f>Fact_Defect_Split!E123</f>
        <v>A-AM</v>
      </c>
      <c r="F731" s="4" t="str">
        <f>Fact_Defect_Split!F123</f>
        <v>B</v>
      </c>
      <c r="G731" s="4" t="s">
        <v>503</v>
      </c>
      <c r="H731" s="19">
        <f>Fact_Defect_Split!J123</f>
        <v>1</v>
      </c>
    </row>
    <row r="732" spans="1:8" x14ac:dyDescent="0.25">
      <c r="A732" s="18" t="s">
        <v>1713</v>
      </c>
      <c r="B732" s="4">
        <f>Fact_Defect_Split!B123</f>
        <v>20260701</v>
      </c>
      <c r="C732" s="4">
        <f>Fact_Defect_Split!C123</f>
        <v>17</v>
      </c>
      <c r="D732" s="4" t="str">
        <f>Fact_Defect_Split!D123</f>
        <v>M3</v>
      </c>
      <c r="E732" s="4" t="str">
        <f>Fact_Defect_Split!E123</f>
        <v>A-AM</v>
      </c>
      <c r="F732" s="4" t="str">
        <f>Fact_Defect_Split!F123</f>
        <v>B</v>
      </c>
      <c r="G732" s="4" t="s">
        <v>509</v>
      </c>
      <c r="H732" s="19">
        <f>Fact_Defect_Split!K123</f>
        <v>0</v>
      </c>
    </row>
    <row r="733" spans="1:8" x14ac:dyDescent="0.25">
      <c r="A733" s="18" t="s">
        <v>1714</v>
      </c>
      <c r="B733" s="4">
        <f>Fact_Defect_Split!B123</f>
        <v>20260701</v>
      </c>
      <c r="C733" s="4">
        <f>Fact_Defect_Split!C123</f>
        <v>17</v>
      </c>
      <c r="D733" s="4" t="str">
        <f>Fact_Defect_Split!D123</f>
        <v>M3</v>
      </c>
      <c r="E733" s="4" t="str">
        <f>Fact_Defect_Split!E123</f>
        <v>A-AM</v>
      </c>
      <c r="F733" s="4" t="str">
        <f>Fact_Defect_Split!F123</f>
        <v>B</v>
      </c>
      <c r="G733" s="4" t="s">
        <v>520</v>
      </c>
      <c r="H733" s="19">
        <f>Fact_Defect_Split!L123</f>
        <v>1</v>
      </c>
    </row>
    <row r="734" spans="1:8" x14ac:dyDescent="0.25">
      <c r="A734" s="18" t="s">
        <v>1715</v>
      </c>
      <c r="B734" s="4">
        <f>Fact_Defect_Split!B124</f>
        <v>20260701</v>
      </c>
      <c r="C734" s="4">
        <f>Fact_Defect_Split!C124</f>
        <v>17</v>
      </c>
      <c r="D734" s="4" t="str">
        <f>Fact_Defect_Split!D124</f>
        <v>M4</v>
      </c>
      <c r="E734" s="4" t="str">
        <f>Fact_Defect_Split!E124</f>
        <v>A-AM</v>
      </c>
      <c r="F734" s="4" t="str">
        <f>Fact_Defect_Split!F124</f>
        <v>A</v>
      </c>
      <c r="G734" s="4" t="s">
        <v>498</v>
      </c>
      <c r="H734" s="19">
        <f>Fact_Defect_Split!G124</f>
        <v>0</v>
      </c>
    </row>
    <row r="735" spans="1:8" x14ac:dyDescent="0.25">
      <c r="A735" s="18" t="s">
        <v>1716</v>
      </c>
      <c r="B735" s="4">
        <f>Fact_Defect_Split!B124</f>
        <v>20260701</v>
      </c>
      <c r="C735" s="4">
        <f>Fact_Defect_Split!C124</f>
        <v>17</v>
      </c>
      <c r="D735" s="4" t="str">
        <f>Fact_Defect_Split!D124</f>
        <v>M4</v>
      </c>
      <c r="E735" s="4" t="str">
        <f>Fact_Defect_Split!E124</f>
        <v>A-AM</v>
      </c>
      <c r="F735" s="4" t="str">
        <f>Fact_Defect_Split!F124</f>
        <v>A</v>
      </c>
      <c r="G735" s="4" t="s">
        <v>500</v>
      </c>
      <c r="H735" s="19">
        <f>Fact_Defect_Split!H124</f>
        <v>0</v>
      </c>
    </row>
    <row r="736" spans="1:8" x14ac:dyDescent="0.25">
      <c r="A736" s="18" t="s">
        <v>1717</v>
      </c>
      <c r="B736" s="4">
        <f>Fact_Defect_Split!B124</f>
        <v>20260701</v>
      </c>
      <c r="C736" s="4">
        <f>Fact_Defect_Split!C124</f>
        <v>17</v>
      </c>
      <c r="D736" s="4" t="str">
        <f>Fact_Defect_Split!D124</f>
        <v>M4</v>
      </c>
      <c r="E736" s="4" t="str">
        <f>Fact_Defect_Split!E124</f>
        <v>A-AM</v>
      </c>
      <c r="F736" s="4" t="str">
        <f>Fact_Defect_Split!F124</f>
        <v>A</v>
      </c>
      <c r="G736" s="4" t="s">
        <v>517</v>
      </c>
      <c r="H736" s="19">
        <f>Fact_Defect_Split!I124</f>
        <v>0</v>
      </c>
    </row>
    <row r="737" spans="1:8" x14ac:dyDescent="0.25">
      <c r="A737" s="18" t="s">
        <v>1718</v>
      </c>
      <c r="B737" s="4">
        <f>Fact_Defect_Split!B124</f>
        <v>20260701</v>
      </c>
      <c r="C737" s="4">
        <f>Fact_Defect_Split!C124</f>
        <v>17</v>
      </c>
      <c r="D737" s="4" t="str">
        <f>Fact_Defect_Split!D124</f>
        <v>M4</v>
      </c>
      <c r="E737" s="4" t="str">
        <f>Fact_Defect_Split!E124</f>
        <v>A-AM</v>
      </c>
      <c r="F737" s="4" t="str">
        <f>Fact_Defect_Split!F124</f>
        <v>A</v>
      </c>
      <c r="G737" s="4" t="s">
        <v>503</v>
      </c>
      <c r="H737" s="19">
        <f>Fact_Defect_Split!J124</f>
        <v>1</v>
      </c>
    </row>
    <row r="738" spans="1:8" x14ac:dyDescent="0.25">
      <c r="A738" s="18" t="s">
        <v>1719</v>
      </c>
      <c r="B738" s="4">
        <f>Fact_Defect_Split!B124</f>
        <v>20260701</v>
      </c>
      <c r="C738" s="4">
        <f>Fact_Defect_Split!C124</f>
        <v>17</v>
      </c>
      <c r="D738" s="4" t="str">
        <f>Fact_Defect_Split!D124</f>
        <v>M4</v>
      </c>
      <c r="E738" s="4" t="str">
        <f>Fact_Defect_Split!E124</f>
        <v>A-AM</v>
      </c>
      <c r="F738" s="4" t="str">
        <f>Fact_Defect_Split!F124</f>
        <v>A</v>
      </c>
      <c r="G738" s="4" t="s">
        <v>509</v>
      </c>
      <c r="H738" s="19">
        <f>Fact_Defect_Split!K124</f>
        <v>0</v>
      </c>
    </row>
    <row r="739" spans="1:8" x14ac:dyDescent="0.25">
      <c r="A739" s="18" t="s">
        <v>1720</v>
      </c>
      <c r="B739" s="4">
        <f>Fact_Defect_Split!B124</f>
        <v>20260701</v>
      </c>
      <c r="C739" s="4">
        <f>Fact_Defect_Split!C124</f>
        <v>17</v>
      </c>
      <c r="D739" s="4" t="str">
        <f>Fact_Defect_Split!D124</f>
        <v>M4</v>
      </c>
      <c r="E739" s="4" t="str">
        <f>Fact_Defect_Split!E124</f>
        <v>A-AM</v>
      </c>
      <c r="F739" s="4" t="str">
        <f>Fact_Defect_Split!F124</f>
        <v>A</v>
      </c>
      <c r="G739" s="4" t="s">
        <v>520</v>
      </c>
      <c r="H739" s="19">
        <f>Fact_Defect_Split!L124</f>
        <v>1</v>
      </c>
    </row>
    <row r="740" spans="1:8" x14ac:dyDescent="0.25">
      <c r="A740" s="18" t="s">
        <v>1721</v>
      </c>
      <c r="B740" s="4">
        <f>Fact_Defect_Split!B125</f>
        <v>20260701</v>
      </c>
      <c r="C740" s="4">
        <f>Fact_Defect_Split!C125</f>
        <v>17</v>
      </c>
      <c r="D740" s="4" t="str">
        <f>Fact_Defect_Split!D125</f>
        <v>M5</v>
      </c>
      <c r="E740" s="4" t="str">
        <f>Fact_Defect_Split!E125</f>
        <v>A-AM</v>
      </c>
      <c r="F740" s="4" t="str">
        <f>Fact_Defect_Split!F125</f>
        <v>C</v>
      </c>
      <c r="G740" s="4" t="s">
        <v>498</v>
      </c>
      <c r="H740" s="19">
        <f>Fact_Defect_Split!G125</f>
        <v>0</v>
      </c>
    </row>
    <row r="741" spans="1:8" x14ac:dyDescent="0.25">
      <c r="A741" s="18" t="s">
        <v>1722</v>
      </c>
      <c r="B741" s="4">
        <f>Fact_Defect_Split!B125</f>
        <v>20260701</v>
      </c>
      <c r="C741" s="4">
        <f>Fact_Defect_Split!C125</f>
        <v>17</v>
      </c>
      <c r="D741" s="4" t="str">
        <f>Fact_Defect_Split!D125</f>
        <v>M5</v>
      </c>
      <c r="E741" s="4" t="str">
        <f>Fact_Defect_Split!E125</f>
        <v>A-AM</v>
      </c>
      <c r="F741" s="4" t="str">
        <f>Fact_Defect_Split!F125</f>
        <v>C</v>
      </c>
      <c r="G741" s="4" t="s">
        <v>500</v>
      </c>
      <c r="H741" s="19">
        <f>Fact_Defect_Split!H125</f>
        <v>0</v>
      </c>
    </row>
    <row r="742" spans="1:8" x14ac:dyDescent="0.25">
      <c r="A742" s="18" t="s">
        <v>1723</v>
      </c>
      <c r="B742" s="4">
        <f>Fact_Defect_Split!B125</f>
        <v>20260701</v>
      </c>
      <c r="C742" s="4">
        <f>Fact_Defect_Split!C125</f>
        <v>17</v>
      </c>
      <c r="D742" s="4" t="str">
        <f>Fact_Defect_Split!D125</f>
        <v>M5</v>
      </c>
      <c r="E742" s="4" t="str">
        <f>Fact_Defect_Split!E125</f>
        <v>A-AM</v>
      </c>
      <c r="F742" s="4" t="str">
        <f>Fact_Defect_Split!F125</f>
        <v>C</v>
      </c>
      <c r="G742" s="4" t="s">
        <v>517</v>
      </c>
      <c r="H742" s="19">
        <f>Fact_Defect_Split!I125</f>
        <v>0</v>
      </c>
    </row>
    <row r="743" spans="1:8" x14ac:dyDescent="0.25">
      <c r="A743" s="18" t="s">
        <v>1724</v>
      </c>
      <c r="B743" s="4">
        <f>Fact_Defect_Split!B125</f>
        <v>20260701</v>
      </c>
      <c r="C743" s="4">
        <f>Fact_Defect_Split!C125</f>
        <v>17</v>
      </c>
      <c r="D743" s="4" t="str">
        <f>Fact_Defect_Split!D125</f>
        <v>M5</v>
      </c>
      <c r="E743" s="4" t="str">
        <f>Fact_Defect_Split!E125</f>
        <v>A-AM</v>
      </c>
      <c r="F743" s="4" t="str">
        <f>Fact_Defect_Split!F125</f>
        <v>C</v>
      </c>
      <c r="G743" s="4" t="s">
        <v>503</v>
      </c>
      <c r="H743" s="19">
        <f>Fact_Defect_Split!J125</f>
        <v>0</v>
      </c>
    </row>
    <row r="744" spans="1:8" x14ac:dyDescent="0.25">
      <c r="A744" s="18" t="s">
        <v>1725</v>
      </c>
      <c r="B744" s="4">
        <f>Fact_Defect_Split!B125</f>
        <v>20260701</v>
      </c>
      <c r="C744" s="4">
        <f>Fact_Defect_Split!C125</f>
        <v>17</v>
      </c>
      <c r="D744" s="4" t="str">
        <f>Fact_Defect_Split!D125</f>
        <v>M5</v>
      </c>
      <c r="E744" s="4" t="str">
        <f>Fact_Defect_Split!E125</f>
        <v>A-AM</v>
      </c>
      <c r="F744" s="4" t="str">
        <f>Fact_Defect_Split!F125</f>
        <v>C</v>
      </c>
      <c r="G744" s="4" t="s">
        <v>509</v>
      </c>
      <c r="H744" s="19">
        <f>Fact_Defect_Split!K125</f>
        <v>0</v>
      </c>
    </row>
    <row r="745" spans="1:8" x14ac:dyDescent="0.25">
      <c r="A745" s="18" t="s">
        <v>1726</v>
      </c>
      <c r="B745" s="4">
        <f>Fact_Defect_Split!B125</f>
        <v>20260701</v>
      </c>
      <c r="C745" s="4">
        <f>Fact_Defect_Split!C125</f>
        <v>17</v>
      </c>
      <c r="D745" s="4" t="str">
        <f>Fact_Defect_Split!D125</f>
        <v>M5</v>
      </c>
      <c r="E745" s="4" t="str">
        <f>Fact_Defect_Split!E125</f>
        <v>A-AM</v>
      </c>
      <c r="F745" s="4" t="str">
        <f>Fact_Defect_Split!F125</f>
        <v>C</v>
      </c>
      <c r="G745" s="4" t="s">
        <v>520</v>
      </c>
      <c r="H745" s="19">
        <f>Fact_Defect_Split!L125</f>
        <v>0</v>
      </c>
    </row>
    <row r="746" spans="1:8" x14ac:dyDescent="0.25">
      <c r="A746" s="18" t="s">
        <v>1727</v>
      </c>
      <c r="B746" s="4">
        <f>Fact_Defect_Split!B126</f>
        <v>20260701</v>
      </c>
      <c r="C746" s="4">
        <f>Fact_Defect_Split!C126</f>
        <v>17</v>
      </c>
      <c r="D746" s="4" t="str">
        <f>Fact_Defect_Split!D126</f>
        <v>M6</v>
      </c>
      <c r="E746" s="4" t="str">
        <f>Fact_Defect_Split!E126</f>
        <v>A-AM</v>
      </c>
      <c r="F746" s="4" t="str">
        <f>Fact_Defect_Split!F126</f>
        <v>C</v>
      </c>
      <c r="G746" s="4" t="s">
        <v>498</v>
      </c>
      <c r="H746" s="19">
        <f>Fact_Defect_Split!G126</f>
        <v>0</v>
      </c>
    </row>
    <row r="747" spans="1:8" x14ac:dyDescent="0.25">
      <c r="A747" s="18" t="s">
        <v>1728</v>
      </c>
      <c r="B747" s="4">
        <f>Fact_Defect_Split!B126</f>
        <v>20260701</v>
      </c>
      <c r="C747" s="4">
        <f>Fact_Defect_Split!C126</f>
        <v>17</v>
      </c>
      <c r="D747" s="4" t="str">
        <f>Fact_Defect_Split!D126</f>
        <v>M6</v>
      </c>
      <c r="E747" s="4" t="str">
        <f>Fact_Defect_Split!E126</f>
        <v>A-AM</v>
      </c>
      <c r="F747" s="4" t="str">
        <f>Fact_Defect_Split!F126</f>
        <v>C</v>
      </c>
      <c r="G747" s="4" t="s">
        <v>500</v>
      </c>
      <c r="H747" s="19">
        <f>Fact_Defect_Split!H126</f>
        <v>0</v>
      </c>
    </row>
    <row r="748" spans="1:8" x14ac:dyDescent="0.25">
      <c r="A748" s="18" t="s">
        <v>1729</v>
      </c>
      <c r="B748" s="4">
        <f>Fact_Defect_Split!B126</f>
        <v>20260701</v>
      </c>
      <c r="C748" s="4">
        <f>Fact_Defect_Split!C126</f>
        <v>17</v>
      </c>
      <c r="D748" s="4" t="str">
        <f>Fact_Defect_Split!D126</f>
        <v>M6</v>
      </c>
      <c r="E748" s="4" t="str">
        <f>Fact_Defect_Split!E126</f>
        <v>A-AM</v>
      </c>
      <c r="F748" s="4" t="str">
        <f>Fact_Defect_Split!F126</f>
        <v>C</v>
      </c>
      <c r="G748" s="4" t="s">
        <v>517</v>
      </c>
      <c r="H748" s="19">
        <f>Fact_Defect_Split!I126</f>
        <v>0</v>
      </c>
    </row>
    <row r="749" spans="1:8" x14ac:dyDescent="0.25">
      <c r="A749" s="18" t="s">
        <v>1730</v>
      </c>
      <c r="B749" s="4">
        <f>Fact_Defect_Split!B126</f>
        <v>20260701</v>
      </c>
      <c r="C749" s="4">
        <f>Fact_Defect_Split!C126</f>
        <v>17</v>
      </c>
      <c r="D749" s="4" t="str">
        <f>Fact_Defect_Split!D126</f>
        <v>M6</v>
      </c>
      <c r="E749" s="4" t="str">
        <f>Fact_Defect_Split!E126</f>
        <v>A-AM</v>
      </c>
      <c r="F749" s="4" t="str">
        <f>Fact_Defect_Split!F126</f>
        <v>C</v>
      </c>
      <c r="G749" s="4" t="s">
        <v>503</v>
      </c>
      <c r="H749" s="19">
        <f>Fact_Defect_Split!J126</f>
        <v>0</v>
      </c>
    </row>
    <row r="750" spans="1:8" x14ac:dyDescent="0.25">
      <c r="A750" s="18" t="s">
        <v>1731</v>
      </c>
      <c r="B750" s="4">
        <f>Fact_Defect_Split!B126</f>
        <v>20260701</v>
      </c>
      <c r="C750" s="4">
        <f>Fact_Defect_Split!C126</f>
        <v>17</v>
      </c>
      <c r="D750" s="4" t="str">
        <f>Fact_Defect_Split!D126</f>
        <v>M6</v>
      </c>
      <c r="E750" s="4" t="str">
        <f>Fact_Defect_Split!E126</f>
        <v>A-AM</v>
      </c>
      <c r="F750" s="4" t="str">
        <f>Fact_Defect_Split!F126</f>
        <v>C</v>
      </c>
      <c r="G750" s="4" t="s">
        <v>509</v>
      </c>
      <c r="H750" s="19">
        <f>Fact_Defect_Split!K126</f>
        <v>0</v>
      </c>
    </row>
    <row r="751" spans="1:8" x14ac:dyDescent="0.25">
      <c r="A751" s="18" t="s">
        <v>1732</v>
      </c>
      <c r="B751" s="4">
        <f>Fact_Defect_Split!B126</f>
        <v>20260701</v>
      </c>
      <c r="C751" s="4">
        <f>Fact_Defect_Split!C126</f>
        <v>17</v>
      </c>
      <c r="D751" s="4" t="str">
        <f>Fact_Defect_Split!D126</f>
        <v>M6</v>
      </c>
      <c r="E751" s="4" t="str">
        <f>Fact_Defect_Split!E126</f>
        <v>A-AM</v>
      </c>
      <c r="F751" s="4" t="str">
        <f>Fact_Defect_Split!F126</f>
        <v>C</v>
      </c>
      <c r="G751" s="4" t="s">
        <v>520</v>
      </c>
      <c r="H751" s="19">
        <f>Fact_Defect_Split!L126</f>
        <v>0</v>
      </c>
    </row>
    <row r="752" spans="1:8" x14ac:dyDescent="0.25">
      <c r="A752" s="18" t="s">
        <v>1733</v>
      </c>
      <c r="B752" s="4">
        <f>Fact_Defect_Split!B127</f>
        <v>20260701</v>
      </c>
      <c r="C752" s="4">
        <f>Fact_Defect_Split!C127</f>
        <v>17</v>
      </c>
      <c r="D752" s="4" t="str">
        <f>Fact_Defect_Split!D127</f>
        <v>M7</v>
      </c>
      <c r="E752" s="4" t="str">
        <f>Fact_Defect_Split!E127</f>
        <v>A-AM</v>
      </c>
      <c r="F752" s="4" t="str">
        <f>Fact_Defect_Split!F127</f>
        <v>C</v>
      </c>
      <c r="G752" s="4" t="s">
        <v>498</v>
      </c>
      <c r="H752" s="19">
        <f>Fact_Defect_Split!G127</f>
        <v>0</v>
      </c>
    </row>
    <row r="753" spans="1:8" x14ac:dyDescent="0.25">
      <c r="A753" s="18" t="s">
        <v>1734</v>
      </c>
      <c r="B753" s="4">
        <f>Fact_Defect_Split!B127</f>
        <v>20260701</v>
      </c>
      <c r="C753" s="4">
        <f>Fact_Defect_Split!C127</f>
        <v>17</v>
      </c>
      <c r="D753" s="4" t="str">
        <f>Fact_Defect_Split!D127</f>
        <v>M7</v>
      </c>
      <c r="E753" s="4" t="str">
        <f>Fact_Defect_Split!E127</f>
        <v>A-AM</v>
      </c>
      <c r="F753" s="4" t="str">
        <f>Fact_Defect_Split!F127</f>
        <v>C</v>
      </c>
      <c r="G753" s="4" t="s">
        <v>500</v>
      </c>
      <c r="H753" s="19">
        <f>Fact_Defect_Split!H127</f>
        <v>0</v>
      </c>
    </row>
    <row r="754" spans="1:8" x14ac:dyDescent="0.25">
      <c r="A754" s="18" t="s">
        <v>1735</v>
      </c>
      <c r="B754" s="4">
        <f>Fact_Defect_Split!B127</f>
        <v>20260701</v>
      </c>
      <c r="C754" s="4">
        <f>Fact_Defect_Split!C127</f>
        <v>17</v>
      </c>
      <c r="D754" s="4" t="str">
        <f>Fact_Defect_Split!D127</f>
        <v>M7</v>
      </c>
      <c r="E754" s="4" t="str">
        <f>Fact_Defect_Split!E127</f>
        <v>A-AM</v>
      </c>
      <c r="F754" s="4" t="str">
        <f>Fact_Defect_Split!F127</f>
        <v>C</v>
      </c>
      <c r="G754" s="4" t="s">
        <v>517</v>
      </c>
      <c r="H754" s="19">
        <f>Fact_Defect_Split!I127</f>
        <v>0</v>
      </c>
    </row>
    <row r="755" spans="1:8" x14ac:dyDescent="0.25">
      <c r="A755" s="18" t="s">
        <v>1736</v>
      </c>
      <c r="B755" s="4">
        <f>Fact_Defect_Split!B127</f>
        <v>20260701</v>
      </c>
      <c r="C755" s="4">
        <f>Fact_Defect_Split!C127</f>
        <v>17</v>
      </c>
      <c r="D755" s="4" t="str">
        <f>Fact_Defect_Split!D127</f>
        <v>M7</v>
      </c>
      <c r="E755" s="4" t="str">
        <f>Fact_Defect_Split!E127</f>
        <v>A-AM</v>
      </c>
      <c r="F755" s="4" t="str">
        <f>Fact_Defect_Split!F127</f>
        <v>C</v>
      </c>
      <c r="G755" s="4" t="s">
        <v>503</v>
      </c>
      <c r="H755" s="19">
        <f>Fact_Defect_Split!J127</f>
        <v>1</v>
      </c>
    </row>
    <row r="756" spans="1:8" x14ac:dyDescent="0.25">
      <c r="A756" s="18" t="s">
        <v>1737</v>
      </c>
      <c r="B756" s="4">
        <f>Fact_Defect_Split!B127</f>
        <v>20260701</v>
      </c>
      <c r="C756" s="4">
        <f>Fact_Defect_Split!C127</f>
        <v>17</v>
      </c>
      <c r="D756" s="4" t="str">
        <f>Fact_Defect_Split!D127</f>
        <v>M7</v>
      </c>
      <c r="E756" s="4" t="str">
        <f>Fact_Defect_Split!E127</f>
        <v>A-AM</v>
      </c>
      <c r="F756" s="4" t="str">
        <f>Fact_Defect_Split!F127</f>
        <v>C</v>
      </c>
      <c r="G756" s="4" t="s">
        <v>509</v>
      </c>
      <c r="H756" s="19">
        <f>Fact_Defect_Split!K127</f>
        <v>1</v>
      </c>
    </row>
    <row r="757" spans="1:8" x14ac:dyDescent="0.25">
      <c r="A757" s="18" t="s">
        <v>1738</v>
      </c>
      <c r="B757" s="4">
        <f>Fact_Defect_Split!B127</f>
        <v>20260701</v>
      </c>
      <c r="C757" s="4">
        <f>Fact_Defect_Split!C127</f>
        <v>17</v>
      </c>
      <c r="D757" s="4" t="str">
        <f>Fact_Defect_Split!D127</f>
        <v>M7</v>
      </c>
      <c r="E757" s="4" t="str">
        <f>Fact_Defect_Split!E127</f>
        <v>A-AM</v>
      </c>
      <c r="F757" s="4" t="str">
        <f>Fact_Defect_Split!F127</f>
        <v>C</v>
      </c>
      <c r="G757" s="4" t="s">
        <v>520</v>
      </c>
      <c r="H757" s="19">
        <f>Fact_Defect_Split!L127</f>
        <v>1</v>
      </c>
    </row>
    <row r="758" spans="1:8" x14ac:dyDescent="0.25">
      <c r="A758" s="18" t="s">
        <v>1739</v>
      </c>
      <c r="B758" s="4">
        <f>Fact_Defect_Split!B128</f>
        <v>20260701</v>
      </c>
      <c r="C758" s="4">
        <f>Fact_Defect_Split!C128</f>
        <v>18</v>
      </c>
      <c r="D758" s="4" t="str">
        <f>Fact_Defect_Split!D128</f>
        <v>M1</v>
      </c>
      <c r="E758" s="4" t="str">
        <f>Fact_Defect_Split!E128</f>
        <v>B-PM</v>
      </c>
      <c r="F758" s="4" t="str">
        <f>Fact_Defect_Split!F128</f>
        <v>A</v>
      </c>
      <c r="G758" s="4" t="s">
        <v>498</v>
      </c>
      <c r="H758" s="19">
        <f>Fact_Defect_Split!G128</f>
        <v>0</v>
      </c>
    </row>
    <row r="759" spans="1:8" x14ac:dyDescent="0.25">
      <c r="A759" s="18" t="s">
        <v>1740</v>
      </c>
      <c r="B759" s="4">
        <f>Fact_Defect_Split!B128</f>
        <v>20260701</v>
      </c>
      <c r="C759" s="4">
        <f>Fact_Defect_Split!C128</f>
        <v>18</v>
      </c>
      <c r="D759" s="4" t="str">
        <f>Fact_Defect_Split!D128</f>
        <v>M1</v>
      </c>
      <c r="E759" s="4" t="str">
        <f>Fact_Defect_Split!E128</f>
        <v>B-PM</v>
      </c>
      <c r="F759" s="4" t="str">
        <f>Fact_Defect_Split!F128</f>
        <v>A</v>
      </c>
      <c r="G759" s="4" t="s">
        <v>500</v>
      </c>
      <c r="H759" s="19">
        <f>Fact_Defect_Split!H128</f>
        <v>0</v>
      </c>
    </row>
    <row r="760" spans="1:8" x14ac:dyDescent="0.25">
      <c r="A760" s="18" t="s">
        <v>1741</v>
      </c>
      <c r="B760" s="4">
        <f>Fact_Defect_Split!B128</f>
        <v>20260701</v>
      </c>
      <c r="C760" s="4">
        <f>Fact_Defect_Split!C128</f>
        <v>18</v>
      </c>
      <c r="D760" s="4" t="str">
        <f>Fact_Defect_Split!D128</f>
        <v>M1</v>
      </c>
      <c r="E760" s="4" t="str">
        <f>Fact_Defect_Split!E128</f>
        <v>B-PM</v>
      </c>
      <c r="F760" s="4" t="str">
        <f>Fact_Defect_Split!F128</f>
        <v>A</v>
      </c>
      <c r="G760" s="4" t="s">
        <v>517</v>
      </c>
      <c r="H760" s="19">
        <f>Fact_Defect_Split!I128</f>
        <v>1</v>
      </c>
    </row>
    <row r="761" spans="1:8" x14ac:dyDescent="0.25">
      <c r="A761" s="18" t="s">
        <v>1742</v>
      </c>
      <c r="B761" s="4">
        <f>Fact_Defect_Split!B128</f>
        <v>20260701</v>
      </c>
      <c r="C761" s="4">
        <f>Fact_Defect_Split!C128</f>
        <v>18</v>
      </c>
      <c r="D761" s="4" t="str">
        <f>Fact_Defect_Split!D128</f>
        <v>M1</v>
      </c>
      <c r="E761" s="4" t="str">
        <f>Fact_Defect_Split!E128</f>
        <v>B-PM</v>
      </c>
      <c r="F761" s="4" t="str">
        <f>Fact_Defect_Split!F128</f>
        <v>A</v>
      </c>
      <c r="G761" s="4" t="s">
        <v>503</v>
      </c>
      <c r="H761" s="19">
        <f>Fact_Defect_Split!J128</f>
        <v>0</v>
      </c>
    </row>
    <row r="762" spans="1:8" x14ac:dyDescent="0.25">
      <c r="A762" s="18" t="s">
        <v>1743</v>
      </c>
      <c r="B762" s="4">
        <f>Fact_Defect_Split!B128</f>
        <v>20260701</v>
      </c>
      <c r="C762" s="4">
        <f>Fact_Defect_Split!C128</f>
        <v>18</v>
      </c>
      <c r="D762" s="4" t="str">
        <f>Fact_Defect_Split!D128</f>
        <v>M1</v>
      </c>
      <c r="E762" s="4" t="str">
        <f>Fact_Defect_Split!E128</f>
        <v>B-PM</v>
      </c>
      <c r="F762" s="4" t="str">
        <f>Fact_Defect_Split!F128</f>
        <v>A</v>
      </c>
      <c r="G762" s="4" t="s">
        <v>509</v>
      </c>
      <c r="H762" s="19">
        <f>Fact_Defect_Split!K128</f>
        <v>0</v>
      </c>
    </row>
    <row r="763" spans="1:8" x14ac:dyDescent="0.25">
      <c r="A763" s="18" t="s">
        <v>1744</v>
      </c>
      <c r="B763" s="4">
        <f>Fact_Defect_Split!B128</f>
        <v>20260701</v>
      </c>
      <c r="C763" s="4">
        <f>Fact_Defect_Split!C128</f>
        <v>18</v>
      </c>
      <c r="D763" s="4" t="str">
        <f>Fact_Defect_Split!D128</f>
        <v>M1</v>
      </c>
      <c r="E763" s="4" t="str">
        <f>Fact_Defect_Split!E128</f>
        <v>B-PM</v>
      </c>
      <c r="F763" s="4" t="str">
        <f>Fact_Defect_Split!F128</f>
        <v>A</v>
      </c>
      <c r="G763" s="4" t="s">
        <v>520</v>
      </c>
      <c r="H763" s="19">
        <f>Fact_Defect_Split!L128</f>
        <v>1</v>
      </c>
    </row>
    <row r="764" spans="1:8" x14ac:dyDescent="0.25">
      <c r="A764" s="18" t="s">
        <v>1745</v>
      </c>
      <c r="B764" s="4">
        <f>Fact_Defect_Split!B129</f>
        <v>20260701</v>
      </c>
      <c r="C764" s="4">
        <f>Fact_Defect_Split!C129</f>
        <v>18</v>
      </c>
      <c r="D764" s="4" t="str">
        <f>Fact_Defect_Split!D129</f>
        <v>M2</v>
      </c>
      <c r="E764" s="4" t="str">
        <f>Fact_Defect_Split!E129</f>
        <v>B-PM</v>
      </c>
      <c r="F764" s="4" t="str">
        <f>Fact_Defect_Split!F129</f>
        <v>C</v>
      </c>
      <c r="G764" s="4" t="s">
        <v>498</v>
      </c>
      <c r="H764" s="19">
        <f>Fact_Defect_Split!G129</f>
        <v>0</v>
      </c>
    </row>
    <row r="765" spans="1:8" x14ac:dyDescent="0.25">
      <c r="A765" s="18" t="s">
        <v>1746</v>
      </c>
      <c r="B765" s="4">
        <f>Fact_Defect_Split!B129</f>
        <v>20260701</v>
      </c>
      <c r="C765" s="4">
        <f>Fact_Defect_Split!C129</f>
        <v>18</v>
      </c>
      <c r="D765" s="4" t="str">
        <f>Fact_Defect_Split!D129</f>
        <v>M2</v>
      </c>
      <c r="E765" s="4" t="str">
        <f>Fact_Defect_Split!E129</f>
        <v>B-PM</v>
      </c>
      <c r="F765" s="4" t="str">
        <f>Fact_Defect_Split!F129</f>
        <v>C</v>
      </c>
      <c r="G765" s="4" t="s">
        <v>500</v>
      </c>
      <c r="H765" s="19">
        <f>Fact_Defect_Split!H129</f>
        <v>0</v>
      </c>
    </row>
    <row r="766" spans="1:8" x14ac:dyDescent="0.25">
      <c r="A766" s="18" t="s">
        <v>1747</v>
      </c>
      <c r="B766" s="4">
        <f>Fact_Defect_Split!B129</f>
        <v>20260701</v>
      </c>
      <c r="C766" s="4">
        <f>Fact_Defect_Split!C129</f>
        <v>18</v>
      </c>
      <c r="D766" s="4" t="str">
        <f>Fact_Defect_Split!D129</f>
        <v>M2</v>
      </c>
      <c r="E766" s="4" t="str">
        <f>Fact_Defect_Split!E129</f>
        <v>B-PM</v>
      </c>
      <c r="F766" s="4" t="str">
        <f>Fact_Defect_Split!F129</f>
        <v>C</v>
      </c>
      <c r="G766" s="4" t="s">
        <v>517</v>
      </c>
      <c r="H766" s="19">
        <f>Fact_Defect_Split!I129</f>
        <v>1</v>
      </c>
    </row>
    <row r="767" spans="1:8" x14ac:dyDescent="0.25">
      <c r="A767" s="18" t="s">
        <v>1748</v>
      </c>
      <c r="B767" s="4">
        <f>Fact_Defect_Split!B129</f>
        <v>20260701</v>
      </c>
      <c r="C767" s="4">
        <f>Fact_Defect_Split!C129</f>
        <v>18</v>
      </c>
      <c r="D767" s="4" t="str">
        <f>Fact_Defect_Split!D129</f>
        <v>M2</v>
      </c>
      <c r="E767" s="4" t="str">
        <f>Fact_Defect_Split!E129</f>
        <v>B-PM</v>
      </c>
      <c r="F767" s="4" t="str">
        <f>Fact_Defect_Split!F129</f>
        <v>C</v>
      </c>
      <c r="G767" s="4" t="s">
        <v>503</v>
      </c>
      <c r="H767" s="19">
        <f>Fact_Defect_Split!J129</f>
        <v>0</v>
      </c>
    </row>
    <row r="768" spans="1:8" x14ac:dyDescent="0.25">
      <c r="A768" s="18" t="s">
        <v>1749</v>
      </c>
      <c r="B768" s="4">
        <f>Fact_Defect_Split!B129</f>
        <v>20260701</v>
      </c>
      <c r="C768" s="4">
        <f>Fact_Defect_Split!C129</f>
        <v>18</v>
      </c>
      <c r="D768" s="4" t="str">
        <f>Fact_Defect_Split!D129</f>
        <v>M2</v>
      </c>
      <c r="E768" s="4" t="str">
        <f>Fact_Defect_Split!E129</f>
        <v>B-PM</v>
      </c>
      <c r="F768" s="4" t="str">
        <f>Fact_Defect_Split!F129</f>
        <v>C</v>
      </c>
      <c r="G768" s="4" t="s">
        <v>509</v>
      </c>
      <c r="H768" s="19">
        <f>Fact_Defect_Split!K129</f>
        <v>0</v>
      </c>
    </row>
    <row r="769" spans="1:8" x14ac:dyDescent="0.25">
      <c r="A769" s="18" t="s">
        <v>1750</v>
      </c>
      <c r="B769" s="4">
        <f>Fact_Defect_Split!B129</f>
        <v>20260701</v>
      </c>
      <c r="C769" s="4">
        <f>Fact_Defect_Split!C129</f>
        <v>18</v>
      </c>
      <c r="D769" s="4" t="str">
        <f>Fact_Defect_Split!D129</f>
        <v>M2</v>
      </c>
      <c r="E769" s="4" t="str">
        <f>Fact_Defect_Split!E129</f>
        <v>B-PM</v>
      </c>
      <c r="F769" s="4" t="str">
        <f>Fact_Defect_Split!F129</f>
        <v>C</v>
      </c>
      <c r="G769" s="4" t="s">
        <v>520</v>
      </c>
      <c r="H769" s="19">
        <f>Fact_Defect_Split!L129</f>
        <v>1</v>
      </c>
    </row>
    <row r="770" spans="1:8" x14ac:dyDescent="0.25">
      <c r="A770" s="18" t="s">
        <v>1751</v>
      </c>
      <c r="B770" s="4">
        <f>Fact_Defect_Split!B130</f>
        <v>20260701</v>
      </c>
      <c r="C770" s="4">
        <f>Fact_Defect_Split!C130</f>
        <v>18</v>
      </c>
      <c r="D770" s="4" t="str">
        <f>Fact_Defect_Split!D130</f>
        <v>M3</v>
      </c>
      <c r="E770" s="4" t="str">
        <f>Fact_Defect_Split!E130</f>
        <v>B-PM</v>
      </c>
      <c r="F770" s="4" t="str">
        <f>Fact_Defect_Split!F130</f>
        <v>A</v>
      </c>
      <c r="G770" s="4" t="s">
        <v>498</v>
      </c>
      <c r="H770" s="19">
        <f>Fact_Defect_Split!G130</f>
        <v>0</v>
      </c>
    </row>
    <row r="771" spans="1:8" x14ac:dyDescent="0.25">
      <c r="A771" s="18" t="s">
        <v>1752</v>
      </c>
      <c r="B771" s="4">
        <f>Fact_Defect_Split!B130</f>
        <v>20260701</v>
      </c>
      <c r="C771" s="4">
        <f>Fact_Defect_Split!C130</f>
        <v>18</v>
      </c>
      <c r="D771" s="4" t="str">
        <f>Fact_Defect_Split!D130</f>
        <v>M3</v>
      </c>
      <c r="E771" s="4" t="str">
        <f>Fact_Defect_Split!E130</f>
        <v>B-PM</v>
      </c>
      <c r="F771" s="4" t="str">
        <f>Fact_Defect_Split!F130</f>
        <v>A</v>
      </c>
      <c r="G771" s="4" t="s">
        <v>500</v>
      </c>
      <c r="H771" s="19">
        <f>Fact_Defect_Split!H130</f>
        <v>0</v>
      </c>
    </row>
    <row r="772" spans="1:8" x14ac:dyDescent="0.25">
      <c r="A772" s="18" t="s">
        <v>1753</v>
      </c>
      <c r="B772" s="4">
        <f>Fact_Defect_Split!B130</f>
        <v>20260701</v>
      </c>
      <c r="C772" s="4">
        <f>Fact_Defect_Split!C130</f>
        <v>18</v>
      </c>
      <c r="D772" s="4" t="str">
        <f>Fact_Defect_Split!D130</f>
        <v>M3</v>
      </c>
      <c r="E772" s="4" t="str">
        <f>Fact_Defect_Split!E130</f>
        <v>B-PM</v>
      </c>
      <c r="F772" s="4" t="str">
        <f>Fact_Defect_Split!F130</f>
        <v>A</v>
      </c>
      <c r="G772" s="4" t="s">
        <v>517</v>
      </c>
      <c r="H772" s="19">
        <f>Fact_Defect_Split!I130</f>
        <v>0</v>
      </c>
    </row>
    <row r="773" spans="1:8" x14ac:dyDescent="0.25">
      <c r="A773" s="18" t="s">
        <v>1754</v>
      </c>
      <c r="B773" s="4">
        <f>Fact_Defect_Split!B130</f>
        <v>20260701</v>
      </c>
      <c r="C773" s="4">
        <f>Fact_Defect_Split!C130</f>
        <v>18</v>
      </c>
      <c r="D773" s="4" t="str">
        <f>Fact_Defect_Split!D130</f>
        <v>M3</v>
      </c>
      <c r="E773" s="4" t="str">
        <f>Fact_Defect_Split!E130</f>
        <v>B-PM</v>
      </c>
      <c r="F773" s="4" t="str">
        <f>Fact_Defect_Split!F130</f>
        <v>A</v>
      </c>
      <c r="G773" s="4" t="s">
        <v>503</v>
      </c>
      <c r="H773" s="19">
        <f>Fact_Defect_Split!J130</f>
        <v>0</v>
      </c>
    </row>
    <row r="774" spans="1:8" x14ac:dyDescent="0.25">
      <c r="A774" s="18" t="s">
        <v>1755</v>
      </c>
      <c r="B774" s="4">
        <f>Fact_Defect_Split!B130</f>
        <v>20260701</v>
      </c>
      <c r="C774" s="4">
        <f>Fact_Defect_Split!C130</f>
        <v>18</v>
      </c>
      <c r="D774" s="4" t="str">
        <f>Fact_Defect_Split!D130</f>
        <v>M3</v>
      </c>
      <c r="E774" s="4" t="str">
        <f>Fact_Defect_Split!E130</f>
        <v>B-PM</v>
      </c>
      <c r="F774" s="4" t="str">
        <f>Fact_Defect_Split!F130</f>
        <v>A</v>
      </c>
      <c r="G774" s="4" t="s">
        <v>509</v>
      </c>
      <c r="H774" s="19">
        <f>Fact_Defect_Split!K130</f>
        <v>1</v>
      </c>
    </row>
    <row r="775" spans="1:8" x14ac:dyDescent="0.25">
      <c r="A775" s="18" t="s">
        <v>1756</v>
      </c>
      <c r="B775" s="4">
        <f>Fact_Defect_Split!B130</f>
        <v>20260701</v>
      </c>
      <c r="C775" s="4">
        <f>Fact_Defect_Split!C130</f>
        <v>18</v>
      </c>
      <c r="D775" s="4" t="str">
        <f>Fact_Defect_Split!D130</f>
        <v>M3</v>
      </c>
      <c r="E775" s="4" t="str">
        <f>Fact_Defect_Split!E130</f>
        <v>B-PM</v>
      </c>
      <c r="F775" s="4" t="str">
        <f>Fact_Defect_Split!F130</f>
        <v>A</v>
      </c>
      <c r="G775" s="4" t="s">
        <v>520</v>
      </c>
      <c r="H775" s="19">
        <f>Fact_Defect_Split!L130</f>
        <v>0</v>
      </c>
    </row>
    <row r="776" spans="1:8" x14ac:dyDescent="0.25">
      <c r="A776" s="18" t="s">
        <v>1757</v>
      </c>
      <c r="B776" s="4">
        <f>Fact_Defect_Split!B131</f>
        <v>20260701</v>
      </c>
      <c r="C776" s="4">
        <f>Fact_Defect_Split!C131</f>
        <v>18</v>
      </c>
      <c r="D776" s="4" t="str">
        <f>Fact_Defect_Split!D131</f>
        <v>M4</v>
      </c>
      <c r="E776" s="4" t="str">
        <f>Fact_Defect_Split!E131</f>
        <v>B-PM</v>
      </c>
      <c r="F776" s="4" t="str">
        <f>Fact_Defect_Split!F131</f>
        <v>A</v>
      </c>
      <c r="G776" s="4" t="s">
        <v>498</v>
      </c>
      <c r="H776" s="19">
        <f>Fact_Defect_Split!G131</f>
        <v>0</v>
      </c>
    </row>
    <row r="777" spans="1:8" x14ac:dyDescent="0.25">
      <c r="A777" s="18" t="s">
        <v>1758</v>
      </c>
      <c r="B777" s="4">
        <f>Fact_Defect_Split!B131</f>
        <v>20260701</v>
      </c>
      <c r="C777" s="4">
        <f>Fact_Defect_Split!C131</f>
        <v>18</v>
      </c>
      <c r="D777" s="4" t="str">
        <f>Fact_Defect_Split!D131</f>
        <v>M4</v>
      </c>
      <c r="E777" s="4" t="str">
        <f>Fact_Defect_Split!E131</f>
        <v>B-PM</v>
      </c>
      <c r="F777" s="4" t="str">
        <f>Fact_Defect_Split!F131</f>
        <v>A</v>
      </c>
      <c r="G777" s="4" t="s">
        <v>500</v>
      </c>
      <c r="H777" s="19">
        <f>Fact_Defect_Split!H131</f>
        <v>0</v>
      </c>
    </row>
    <row r="778" spans="1:8" x14ac:dyDescent="0.25">
      <c r="A778" s="18" t="s">
        <v>1759</v>
      </c>
      <c r="B778" s="4">
        <f>Fact_Defect_Split!B131</f>
        <v>20260701</v>
      </c>
      <c r="C778" s="4">
        <f>Fact_Defect_Split!C131</f>
        <v>18</v>
      </c>
      <c r="D778" s="4" t="str">
        <f>Fact_Defect_Split!D131</f>
        <v>M4</v>
      </c>
      <c r="E778" s="4" t="str">
        <f>Fact_Defect_Split!E131</f>
        <v>B-PM</v>
      </c>
      <c r="F778" s="4" t="str">
        <f>Fact_Defect_Split!F131</f>
        <v>A</v>
      </c>
      <c r="G778" s="4" t="s">
        <v>517</v>
      </c>
      <c r="H778" s="19">
        <f>Fact_Defect_Split!I131</f>
        <v>1</v>
      </c>
    </row>
    <row r="779" spans="1:8" x14ac:dyDescent="0.25">
      <c r="A779" s="18" t="s">
        <v>1760</v>
      </c>
      <c r="B779" s="4">
        <f>Fact_Defect_Split!B131</f>
        <v>20260701</v>
      </c>
      <c r="C779" s="4">
        <f>Fact_Defect_Split!C131</f>
        <v>18</v>
      </c>
      <c r="D779" s="4" t="str">
        <f>Fact_Defect_Split!D131</f>
        <v>M4</v>
      </c>
      <c r="E779" s="4" t="str">
        <f>Fact_Defect_Split!E131</f>
        <v>B-PM</v>
      </c>
      <c r="F779" s="4" t="str">
        <f>Fact_Defect_Split!F131</f>
        <v>A</v>
      </c>
      <c r="G779" s="4" t="s">
        <v>503</v>
      </c>
      <c r="H779" s="19">
        <f>Fact_Defect_Split!J131</f>
        <v>0</v>
      </c>
    </row>
    <row r="780" spans="1:8" x14ac:dyDescent="0.25">
      <c r="A780" s="18" t="s">
        <v>1761</v>
      </c>
      <c r="B780" s="4">
        <f>Fact_Defect_Split!B131</f>
        <v>20260701</v>
      </c>
      <c r="C780" s="4">
        <f>Fact_Defect_Split!C131</f>
        <v>18</v>
      </c>
      <c r="D780" s="4" t="str">
        <f>Fact_Defect_Split!D131</f>
        <v>M4</v>
      </c>
      <c r="E780" s="4" t="str">
        <f>Fact_Defect_Split!E131</f>
        <v>B-PM</v>
      </c>
      <c r="F780" s="4" t="str">
        <f>Fact_Defect_Split!F131</f>
        <v>A</v>
      </c>
      <c r="G780" s="4" t="s">
        <v>509</v>
      </c>
      <c r="H780" s="19">
        <f>Fact_Defect_Split!K131</f>
        <v>1</v>
      </c>
    </row>
    <row r="781" spans="1:8" x14ac:dyDescent="0.25">
      <c r="A781" s="18" t="s">
        <v>1762</v>
      </c>
      <c r="B781" s="4">
        <f>Fact_Defect_Split!B131</f>
        <v>20260701</v>
      </c>
      <c r="C781" s="4">
        <f>Fact_Defect_Split!C131</f>
        <v>18</v>
      </c>
      <c r="D781" s="4" t="str">
        <f>Fact_Defect_Split!D131</f>
        <v>M4</v>
      </c>
      <c r="E781" s="4" t="str">
        <f>Fact_Defect_Split!E131</f>
        <v>B-PM</v>
      </c>
      <c r="F781" s="4" t="str">
        <f>Fact_Defect_Split!F131</f>
        <v>A</v>
      </c>
      <c r="G781" s="4" t="s">
        <v>520</v>
      </c>
      <c r="H781" s="19">
        <f>Fact_Defect_Split!L131</f>
        <v>0</v>
      </c>
    </row>
    <row r="782" spans="1:8" x14ac:dyDescent="0.25">
      <c r="A782" s="18" t="s">
        <v>1763</v>
      </c>
      <c r="B782" s="4">
        <f>Fact_Defect_Split!B132</f>
        <v>20260701</v>
      </c>
      <c r="C782" s="4">
        <f>Fact_Defect_Split!C132</f>
        <v>18</v>
      </c>
      <c r="D782" s="4" t="str">
        <f>Fact_Defect_Split!D132</f>
        <v>M5</v>
      </c>
      <c r="E782" s="4" t="str">
        <f>Fact_Defect_Split!E132</f>
        <v>B-PM</v>
      </c>
      <c r="F782" s="4" t="str">
        <f>Fact_Defect_Split!F132</f>
        <v>A</v>
      </c>
      <c r="G782" s="4" t="s">
        <v>498</v>
      </c>
      <c r="H782" s="19">
        <f>Fact_Defect_Split!G132</f>
        <v>0</v>
      </c>
    </row>
    <row r="783" spans="1:8" x14ac:dyDescent="0.25">
      <c r="A783" s="18" t="s">
        <v>1764</v>
      </c>
      <c r="B783" s="4">
        <f>Fact_Defect_Split!B132</f>
        <v>20260701</v>
      </c>
      <c r="C783" s="4">
        <f>Fact_Defect_Split!C132</f>
        <v>18</v>
      </c>
      <c r="D783" s="4" t="str">
        <f>Fact_Defect_Split!D132</f>
        <v>M5</v>
      </c>
      <c r="E783" s="4" t="str">
        <f>Fact_Defect_Split!E132</f>
        <v>B-PM</v>
      </c>
      <c r="F783" s="4" t="str">
        <f>Fact_Defect_Split!F132</f>
        <v>A</v>
      </c>
      <c r="G783" s="4" t="s">
        <v>500</v>
      </c>
      <c r="H783" s="19">
        <f>Fact_Defect_Split!H132</f>
        <v>0</v>
      </c>
    </row>
    <row r="784" spans="1:8" x14ac:dyDescent="0.25">
      <c r="A784" s="18" t="s">
        <v>1765</v>
      </c>
      <c r="B784" s="4">
        <f>Fact_Defect_Split!B132</f>
        <v>20260701</v>
      </c>
      <c r="C784" s="4">
        <f>Fact_Defect_Split!C132</f>
        <v>18</v>
      </c>
      <c r="D784" s="4" t="str">
        <f>Fact_Defect_Split!D132</f>
        <v>M5</v>
      </c>
      <c r="E784" s="4" t="str">
        <f>Fact_Defect_Split!E132</f>
        <v>B-PM</v>
      </c>
      <c r="F784" s="4" t="str">
        <f>Fact_Defect_Split!F132</f>
        <v>A</v>
      </c>
      <c r="G784" s="4" t="s">
        <v>517</v>
      </c>
      <c r="H784" s="19">
        <f>Fact_Defect_Split!I132</f>
        <v>0</v>
      </c>
    </row>
    <row r="785" spans="1:8" x14ac:dyDescent="0.25">
      <c r="A785" s="18" t="s">
        <v>1766</v>
      </c>
      <c r="B785" s="4">
        <f>Fact_Defect_Split!B132</f>
        <v>20260701</v>
      </c>
      <c r="C785" s="4">
        <f>Fact_Defect_Split!C132</f>
        <v>18</v>
      </c>
      <c r="D785" s="4" t="str">
        <f>Fact_Defect_Split!D132</f>
        <v>M5</v>
      </c>
      <c r="E785" s="4" t="str">
        <f>Fact_Defect_Split!E132</f>
        <v>B-PM</v>
      </c>
      <c r="F785" s="4" t="str">
        <f>Fact_Defect_Split!F132</f>
        <v>A</v>
      </c>
      <c r="G785" s="4" t="s">
        <v>503</v>
      </c>
      <c r="H785" s="19">
        <f>Fact_Defect_Split!J132</f>
        <v>0</v>
      </c>
    </row>
    <row r="786" spans="1:8" x14ac:dyDescent="0.25">
      <c r="A786" s="18" t="s">
        <v>1767</v>
      </c>
      <c r="B786" s="4">
        <f>Fact_Defect_Split!B132</f>
        <v>20260701</v>
      </c>
      <c r="C786" s="4">
        <f>Fact_Defect_Split!C132</f>
        <v>18</v>
      </c>
      <c r="D786" s="4" t="str">
        <f>Fact_Defect_Split!D132</f>
        <v>M5</v>
      </c>
      <c r="E786" s="4" t="str">
        <f>Fact_Defect_Split!E132</f>
        <v>B-PM</v>
      </c>
      <c r="F786" s="4" t="str">
        <f>Fact_Defect_Split!F132</f>
        <v>A</v>
      </c>
      <c r="G786" s="4" t="s">
        <v>509</v>
      </c>
      <c r="H786" s="19">
        <f>Fact_Defect_Split!K132</f>
        <v>0</v>
      </c>
    </row>
    <row r="787" spans="1:8" x14ac:dyDescent="0.25">
      <c r="A787" s="18" t="s">
        <v>1768</v>
      </c>
      <c r="B787" s="4">
        <f>Fact_Defect_Split!B132</f>
        <v>20260701</v>
      </c>
      <c r="C787" s="4">
        <f>Fact_Defect_Split!C132</f>
        <v>18</v>
      </c>
      <c r="D787" s="4" t="str">
        <f>Fact_Defect_Split!D132</f>
        <v>M5</v>
      </c>
      <c r="E787" s="4" t="str">
        <f>Fact_Defect_Split!E132</f>
        <v>B-PM</v>
      </c>
      <c r="F787" s="4" t="str">
        <f>Fact_Defect_Split!F132</f>
        <v>A</v>
      </c>
      <c r="G787" s="4" t="s">
        <v>520</v>
      </c>
      <c r="H787" s="19">
        <f>Fact_Defect_Split!L132</f>
        <v>0</v>
      </c>
    </row>
    <row r="788" spans="1:8" x14ac:dyDescent="0.25">
      <c r="A788" s="18" t="s">
        <v>1769</v>
      </c>
      <c r="B788" s="4">
        <f>Fact_Defect_Split!B133</f>
        <v>20260701</v>
      </c>
      <c r="C788" s="4">
        <f>Fact_Defect_Split!C133</f>
        <v>18</v>
      </c>
      <c r="D788" s="4" t="str">
        <f>Fact_Defect_Split!D133</f>
        <v>M6</v>
      </c>
      <c r="E788" s="4" t="str">
        <f>Fact_Defect_Split!E133</f>
        <v>B-PM</v>
      </c>
      <c r="F788" s="4" t="str">
        <f>Fact_Defect_Split!F133</f>
        <v>C</v>
      </c>
      <c r="G788" s="4" t="s">
        <v>498</v>
      </c>
      <c r="H788" s="19">
        <f>Fact_Defect_Split!G133</f>
        <v>0</v>
      </c>
    </row>
    <row r="789" spans="1:8" x14ac:dyDescent="0.25">
      <c r="A789" s="18" t="s">
        <v>1770</v>
      </c>
      <c r="B789" s="4">
        <f>Fact_Defect_Split!B133</f>
        <v>20260701</v>
      </c>
      <c r="C789" s="4">
        <f>Fact_Defect_Split!C133</f>
        <v>18</v>
      </c>
      <c r="D789" s="4" t="str">
        <f>Fact_Defect_Split!D133</f>
        <v>M6</v>
      </c>
      <c r="E789" s="4" t="str">
        <f>Fact_Defect_Split!E133</f>
        <v>B-PM</v>
      </c>
      <c r="F789" s="4" t="str">
        <f>Fact_Defect_Split!F133</f>
        <v>C</v>
      </c>
      <c r="G789" s="4" t="s">
        <v>500</v>
      </c>
      <c r="H789" s="19">
        <f>Fact_Defect_Split!H133</f>
        <v>0</v>
      </c>
    </row>
    <row r="790" spans="1:8" x14ac:dyDescent="0.25">
      <c r="A790" s="18" t="s">
        <v>1771</v>
      </c>
      <c r="B790" s="4">
        <f>Fact_Defect_Split!B133</f>
        <v>20260701</v>
      </c>
      <c r="C790" s="4">
        <f>Fact_Defect_Split!C133</f>
        <v>18</v>
      </c>
      <c r="D790" s="4" t="str">
        <f>Fact_Defect_Split!D133</f>
        <v>M6</v>
      </c>
      <c r="E790" s="4" t="str">
        <f>Fact_Defect_Split!E133</f>
        <v>B-PM</v>
      </c>
      <c r="F790" s="4" t="str">
        <f>Fact_Defect_Split!F133</f>
        <v>C</v>
      </c>
      <c r="G790" s="4" t="s">
        <v>517</v>
      </c>
      <c r="H790" s="19">
        <f>Fact_Defect_Split!I133</f>
        <v>0</v>
      </c>
    </row>
    <row r="791" spans="1:8" x14ac:dyDescent="0.25">
      <c r="A791" s="18" t="s">
        <v>1772</v>
      </c>
      <c r="B791" s="4">
        <f>Fact_Defect_Split!B133</f>
        <v>20260701</v>
      </c>
      <c r="C791" s="4">
        <f>Fact_Defect_Split!C133</f>
        <v>18</v>
      </c>
      <c r="D791" s="4" t="str">
        <f>Fact_Defect_Split!D133</f>
        <v>M6</v>
      </c>
      <c r="E791" s="4" t="str">
        <f>Fact_Defect_Split!E133</f>
        <v>B-PM</v>
      </c>
      <c r="F791" s="4" t="str">
        <f>Fact_Defect_Split!F133</f>
        <v>C</v>
      </c>
      <c r="G791" s="4" t="s">
        <v>503</v>
      </c>
      <c r="H791" s="19">
        <f>Fact_Defect_Split!J133</f>
        <v>0</v>
      </c>
    </row>
    <row r="792" spans="1:8" x14ac:dyDescent="0.25">
      <c r="A792" s="18" t="s">
        <v>1773</v>
      </c>
      <c r="B792" s="4">
        <f>Fact_Defect_Split!B133</f>
        <v>20260701</v>
      </c>
      <c r="C792" s="4">
        <f>Fact_Defect_Split!C133</f>
        <v>18</v>
      </c>
      <c r="D792" s="4" t="str">
        <f>Fact_Defect_Split!D133</f>
        <v>M6</v>
      </c>
      <c r="E792" s="4" t="str">
        <f>Fact_Defect_Split!E133</f>
        <v>B-PM</v>
      </c>
      <c r="F792" s="4" t="str">
        <f>Fact_Defect_Split!F133</f>
        <v>C</v>
      </c>
      <c r="G792" s="4" t="s">
        <v>509</v>
      </c>
      <c r="H792" s="19">
        <f>Fact_Defect_Split!K133</f>
        <v>1</v>
      </c>
    </row>
    <row r="793" spans="1:8" x14ac:dyDescent="0.25">
      <c r="A793" s="18" t="s">
        <v>1774</v>
      </c>
      <c r="B793" s="4">
        <f>Fact_Defect_Split!B133</f>
        <v>20260701</v>
      </c>
      <c r="C793" s="4">
        <f>Fact_Defect_Split!C133</f>
        <v>18</v>
      </c>
      <c r="D793" s="4" t="str">
        <f>Fact_Defect_Split!D133</f>
        <v>M6</v>
      </c>
      <c r="E793" s="4" t="str">
        <f>Fact_Defect_Split!E133</f>
        <v>B-PM</v>
      </c>
      <c r="F793" s="4" t="str">
        <f>Fact_Defect_Split!F133</f>
        <v>C</v>
      </c>
      <c r="G793" s="4" t="s">
        <v>520</v>
      </c>
      <c r="H793" s="19">
        <f>Fact_Defect_Split!L133</f>
        <v>0</v>
      </c>
    </row>
    <row r="794" spans="1:8" x14ac:dyDescent="0.25">
      <c r="A794" s="18" t="s">
        <v>1775</v>
      </c>
      <c r="B794" s="4">
        <f>Fact_Defect_Split!B134</f>
        <v>20260701</v>
      </c>
      <c r="C794" s="4">
        <f>Fact_Defect_Split!C134</f>
        <v>18</v>
      </c>
      <c r="D794" s="4" t="str">
        <f>Fact_Defect_Split!D134</f>
        <v>M7</v>
      </c>
      <c r="E794" s="4" t="str">
        <f>Fact_Defect_Split!E134</f>
        <v>B-PM</v>
      </c>
      <c r="F794" s="4" t="str">
        <f>Fact_Defect_Split!F134</f>
        <v>A</v>
      </c>
      <c r="G794" s="4" t="s">
        <v>498</v>
      </c>
      <c r="H794" s="19">
        <f>Fact_Defect_Split!G134</f>
        <v>0</v>
      </c>
    </row>
    <row r="795" spans="1:8" x14ac:dyDescent="0.25">
      <c r="A795" s="18" t="s">
        <v>1776</v>
      </c>
      <c r="B795" s="4">
        <f>Fact_Defect_Split!B134</f>
        <v>20260701</v>
      </c>
      <c r="C795" s="4">
        <f>Fact_Defect_Split!C134</f>
        <v>18</v>
      </c>
      <c r="D795" s="4" t="str">
        <f>Fact_Defect_Split!D134</f>
        <v>M7</v>
      </c>
      <c r="E795" s="4" t="str">
        <f>Fact_Defect_Split!E134</f>
        <v>B-PM</v>
      </c>
      <c r="F795" s="4" t="str">
        <f>Fact_Defect_Split!F134</f>
        <v>A</v>
      </c>
      <c r="G795" s="4" t="s">
        <v>500</v>
      </c>
      <c r="H795" s="19">
        <f>Fact_Defect_Split!H134</f>
        <v>0</v>
      </c>
    </row>
    <row r="796" spans="1:8" x14ac:dyDescent="0.25">
      <c r="A796" s="18" t="s">
        <v>1777</v>
      </c>
      <c r="B796" s="4">
        <f>Fact_Defect_Split!B134</f>
        <v>20260701</v>
      </c>
      <c r="C796" s="4">
        <f>Fact_Defect_Split!C134</f>
        <v>18</v>
      </c>
      <c r="D796" s="4" t="str">
        <f>Fact_Defect_Split!D134</f>
        <v>M7</v>
      </c>
      <c r="E796" s="4" t="str">
        <f>Fact_Defect_Split!E134</f>
        <v>B-PM</v>
      </c>
      <c r="F796" s="4" t="str">
        <f>Fact_Defect_Split!F134</f>
        <v>A</v>
      </c>
      <c r="G796" s="4" t="s">
        <v>517</v>
      </c>
      <c r="H796" s="19">
        <f>Fact_Defect_Split!I134</f>
        <v>1</v>
      </c>
    </row>
    <row r="797" spans="1:8" x14ac:dyDescent="0.25">
      <c r="A797" s="18" t="s">
        <v>1778</v>
      </c>
      <c r="B797" s="4">
        <f>Fact_Defect_Split!B134</f>
        <v>20260701</v>
      </c>
      <c r="C797" s="4">
        <f>Fact_Defect_Split!C134</f>
        <v>18</v>
      </c>
      <c r="D797" s="4" t="str">
        <f>Fact_Defect_Split!D134</f>
        <v>M7</v>
      </c>
      <c r="E797" s="4" t="str">
        <f>Fact_Defect_Split!E134</f>
        <v>B-PM</v>
      </c>
      <c r="F797" s="4" t="str">
        <f>Fact_Defect_Split!F134</f>
        <v>A</v>
      </c>
      <c r="G797" s="4" t="s">
        <v>503</v>
      </c>
      <c r="H797" s="19">
        <f>Fact_Defect_Split!J134</f>
        <v>0</v>
      </c>
    </row>
    <row r="798" spans="1:8" x14ac:dyDescent="0.25">
      <c r="A798" s="18" t="s">
        <v>1779</v>
      </c>
      <c r="B798" s="4">
        <f>Fact_Defect_Split!B134</f>
        <v>20260701</v>
      </c>
      <c r="C798" s="4">
        <f>Fact_Defect_Split!C134</f>
        <v>18</v>
      </c>
      <c r="D798" s="4" t="str">
        <f>Fact_Defect_Split!D134</f>
        <v>M7</v>
      </c>
      <c r="E798" s="4" t="str">
        <f>Fact_Defect_Split!E134</f>
        <v>B-PM</v>
      </c>
      <c r="F798" s="4" t="str">
        <f>Fact_Defect_Split!F134</f>
        <v>A</v>
      </c>
      <c r="G798" s="4" t="s">
        <v>509</v>
      </c>
      <c r="H798" s="19">
        <f>Fact_Defect_Split!K134</f>
        <v>1</v>
      </c>
    </row>
    <row r="799" spans="1:8" x14ac:dyDescent="0.25">
      <c r="A799" s="18" t="s">
        <v>1780</v>
      </c>
      <c r="B799" s="4">
        <f>Fact_Defect_Split!B134</f>
        <v>20260701</v>
      </c>
      <c r="C799" s="4">
        <f>Fact_Defect_Split!C134</f>
        <v>18</v>
      </c>
      <c r="D799" s="4" t="str">
        <f>Fact_Defect_Split!D134</f>
        <v>M7</v>
      </c>
      <c r="E799" s="4" t="str">
        <f>Fact_Defect_Split!E134</f>
        <v>B-PM</v>
      </c>
      <c r="F799" s="4" t="str">
        <f>Fact_Defect_Split!F134</f>
        <v>A</v>
      </c>
      <c r="G799" s="4" t="s">
        <v>520</v>
      </c>
      <c r="H799" s="19">
        <f>Fact_Defect_Split!L134</f>
        <v>1</v>
      </c>
    </row>
    <row r="800" spans="1:8" x14ac:dyDescent="0.25">
      <c r="A800" s="18" t="s">
        <v>1781</v>
      </c>
      <c r="B800" s="4">
        <f>Fact_Defect_Split!B135</f>
        <v>20260701</v>
      </c>
      <c r="C800" s="4">
        <f>Fact_Defect_Split!C135</f>
        <v>19</v>
      </c>
      <c r="D800" s="4" t="str">
        <f>Fact_Defect_Split!D135</f>
        <v>M1</v>
      </c>
      <c r="E800" s="4" t="str">
        <f>Fact_Defect_Split!E135</f>
        <v>B-PM</v>
      </c>
      <c r="F800" s="4" t="str">
        <f>Fact_Defect_Split!F135</f>
        <v>A</v>
      </c>
      <c r="G800" s="4" t="s">
        <v>498</v>
      </c>
      <c r="H800" s="19">
        <f>Fact_Defect_Split!G135</f>
        <v>0</v>
      </c>
    </row>
    <row r="801" spans="1:8" x14ac:dyDescent="0.25">
      <c r="A801" s="18" t="s">
        <v>1782</v>
      </c>
      <c r="B801" s="4">
        <f>Fact_Defect_Split!B135</f>
        <v>20260701</v>
      </c>
      <c r="C801" s="4">
        <f>Fact_Defect_Split!C135</f>
        <v>19</v>
      </c>
      <c r="D801" s="4" t="str">
        <f>Fact_Defect_Split!D135</f>
        <v>M1</v>
      </c>
      <c r="E801" s="4" t="str">
        <f>Fact_Defect_Split!E135</f>
        <v>B-PM</v>
      </c>
      <c r="F801" s="4" t="str">
        <f>Fact_Defect_Split!F135</f>
        <v>A</v>
      </c>
      <c r="G801" s="4" t="s">
        <v>500</v>
      </c>
      <c r="H801" s="19">
        <f>Fact_Defect_Split!H135</f>
        <v>0</v>
      </c>
    </row>
    <row r="802" spans="1:8" x14ac:dyDescent="0.25">
      <c r="A802" s="18" t="s">
        <v>1783</v>
      </c>
      <c r="B802" s="4">
        <f>Fact_Defect_Split!B135</f>
        <v>20260701</v>
      </c>
      <c r="C802" s="4">
        <f>Fact_Defect_Split!C135</f>
        <v>19</v>
      </c>
      <c r="D802" s="4" t="str">
        <f>Fact_Defect_Split!D135</f>
        <v>M1</v>
      </c>
      <c r="E802" s="4" t="str">
        <f>Fact_Defect_Split!E135</f>
        <v>B-PM</v>
      </c>
      <c r="F802" s="4" t="str">
        <f>Fact_Defect_Split!F135</f>
        <v>A</v>
      </c>
      <c r="G802" s="4" t="s">
        <v>517</v>
      </c>
      <c r="H802" s="19">
        <f>Fact_Defect_Split!I135</f>
        <v>0</v>
      </c>
    </row>
    <row r="803" spans="1:8" x14ac:dyDescent="0.25">
      <c r="A803" s="18" t="s">
        <v>1784</v>
      </c>
      <c r="B803" s="4">
        <f>Fact_Defect_Split!B135</f>
        <v>20260701</v>
      </c>
      <c r="C803" s="4">
        <f>Fact_Defect_Split!C135</f>
        <v>19</v>
      </c>
      <c r="D803" s="4" t="str">
        <f>Fact_Defect_Split!D135</f>
        <v>M1</v>
      </c>
      <c r="E803" s="4" t="str">
        <f>Fact_Defect_Split!E135</f>
        <v>B-PM</v>
      </c>
      <c r="F803" s="4" t="str">
        <f>Fact_Defect_Split!F135</f>
        <v>A</v>
      </c>
      <c r="G803" s="4" t="s">
        <v>503</v>
      </c>
      <c r="H803" s="19">
        <f>Fact_Defect_Split!J135</f>
        <v>1</v>
      </c>
    </row>
    <row r="804" spans="1:8" x14ac:dyDescent="0.25">
      <c r="A804" s="18" t="s">
        <v>1785</v>
      </c>
      <c r="B804" s="4">
        <f>Fact_Defect_Split!B135</f>
        <v>20260701</v>
      </c>
      <c r="C804" s="4">
        <f>Fact_Defect_Split!C135</f>
        <v>19</v>
      </c>
      <c r="D804" s="4" t="str">
        <f>Fact_Defect_Split!D135</f>
        <v>M1</v>
      </c>
      <c r="E804" s="4" t="str">
        <f>Fact_Defect_Split!E135</f>
        <v>B-PM</v>
      </c>
      <c r="F804" s="4" t="str">
        <f>Fact_Defect_Split!F135</f>
        <v>A</v>
      </c>
      <c r="G804" s="4" t="s">
        <v>509</v>
      </c>
      <c r="H804" s="19">
        <f>Fact_Defect_Split!K135</f>
        <v>1</v>
      </c>
    </row>
    <row r="805" spans="1:8" x14ac:dyDescent="0.25">
      <c r="A805" s="18" t="s">
        <v>1786</v>
      </c>
      <c r="B805" s="4">
        <f>Fact_Defect_Split!B135</f>
        <v>20260701</v>
      </c>
      <c r="C805" s="4">
        <f>Fact_Defect_Split!C135</f>
        <v>19</v>
      </c>
      <c r="D805" s="4" t="str">
        <f>Fact_Defect_Split!D135</f>
        <v>M1</v>
      </c>
      <c r="E805" s="4" t="str">
        <f>Fact_Defect_Split!E135</f>
        <v>B-PM</v>
      </c>
      <c r="F805" s="4" t="str">
        <f>Fact_Defect_Split!F135</f>
        <v>A</v>
      </c>
      <c r="G805" s="4" t="s">
        <v>520</v>
      </c>
      <c r="H805" s="19">
        <f>Fact_Defect_Split!L135</f>
        <v>0</v>
      </c>
    </row>
    <row r="806" spans="1:8" x14ac:dyDescent="0.25">
      <c r="A806" s="18" t="s">
        <v>1787</v>
      </c>
      <c r="B806" s="4">
        <f>Fact_Defect_Split!B136</f>
        <v>20260701</v>
      </c>
      <c r="C806" s="4">
        <f>Fact_Defect_Split!C136</f>
        <v>19</v>
      </c>
      <c r="D806" s="4" t="str">
        <f>Fact_Defect_Split!D136</f>
        <v>M2</v>
      </c>
      <c r="E806" s="4" t="str">
        <f>Fact_Defect_Split!E136</f>
        <v>B-PM</v>
      </c>
      <c r="F806" s="4" t="str">
        <f>Fact_Defect_Split!F136</f>
        <v>C</v>
      </c>
      <c r="G806" s="4" t="s">
        <v>498</v>
      </c>
      <c r="H806" s="19">
        <f>Fact_Defect_Split!G136</f>
        <v>0</v>
      </c>
    </row>
    <row r="807" spans="1:8" x14ac:dyDescent="0.25">
      <c r="A807" s="18" t="s">
        <v>1788</v>
      </c>
      <c r="B807" s="4">
        <f>Fact_Defect_Split!B136</f>
        <v>20260701</v>
      </c>
      <c r="C807" s="4">
        <f>Fact_Defect_Split!C136</f>
        <v>19</v>
      </c>
      <c r="D807" s="4" t="str">
        <f>Fact_Defect_Split!D136</f>
        <v>M2</v>
      </c>
      <c r="E807" s="4" t="str">
        <f>Fact_Defect_Split!E136</f>
        <v>B-PM</v>
      </c>
      <c r="F807" s="4" t="str">
        <f>Fact_Defect_Split!F136</f>
        <v>C</v>
      </c>
      <c r="G807" s="4" t="s">
        <v>500</v>
      </c>
      <c r="H807" s="19">
        <f>Fact_Defect_Split!H136</f>
        <v>0</v>
      </c>
    </row>
    <row r="808" spans="1:8" x14ac:dyDescent="0.25">
      <c r="A808" s="18" t="s">
        <v>1789</v>
      </c>
      <c r="B808" s="4">
        <f>Fact_Defect_Split!B136</f>
        <v>20260701</v>
      </c>
      <c r="C808" s="4">
        <f>Fact_Defect_Split!C136</f>
        <v>19</v>
      </c>
      <c r="D808" s="4" t="str">
        <f>Fact_Defect_Split!D136</f>
        <v>M2</v>
      </c>
      <c r="E808" s="4" t="str">
        <f>Fact_Defect_Split!E136</f>
        <v>B-PM</v>
      </c>
      <c r="F808" s="4" t="str">
        <f>Fact_Defect_Split!F136</f>
        <v>C</v>
      </c>
      <c r="G808" s="4" t="s">
        <v>517</v>
      </c>
      <c r="H808" s="19">
        <f>Fact_Defect_Split!I136</f>
        <v>0</v>
      </c>
    </row>
    <row r="809" spans="1:8" x14ac:dyDescent="0.25">
      <c r="A809" s="18" t="s">
        <v>1790</v>
      </c>
      <c r="B809" s="4">
        <f>Fact_Defect_Split!B136</f>
        <v>20260701</v>
      </c>
      <c r="C809" s="4">
        <f>Fact_Defect_Split!C136</f>
        <v>19</v>
      </c>
      <c r="D809" s="4" t="str">
        <f>Fact_Defect_Split!D136</f>
        <v>M2</v>
      </c>
      <c r="E809" s="4" t="str">
        <f>Fact_Defect_Split!E136</f>
        <v>B-PM</v>
      </c>
      <c r="F809" s="4" t="str">
        <f>Fact_Defect_Split!F136</f>
        <v>C</v>
      </c>
      <c r="G809" s="4" t="s">
        <v>503</v>
      </c>
      <c r="H809" s="19">
        <f>Fact_Defect_Split!J136</f>
        <v>1</v>
      </c>
    </row>
    <row r="810" spans="1:8" x14ac:dyDescent="0.25">
      <c r="A810" s="18" t="s">
        <v>1791</v>
      </c>
      <c r="B810" s="4">
        <f>Fact_Defect_Split!B136</f>
        <v>20260701</v>
      </c>
      <c r="C810" s="4">
        <f>Fact_Defect_Split!C136</f>
        <v>19</v>
      </c>
      <c r="D810" s="4" t="str">
        <f>Fact_Defect_Split!D136</f>
        <v>M2</v>
      </c>
      <c r="E810" s="4" t="str">
        <f>Fact_Defect_Split!E136</f>
        <v>B-PM</v>
      </c>
      <c r="F810" s="4" t="str">
        <f>Fact_Defect_Split!F136</f>
        <v>C</v>
      </c>
      <c r="G810" s="4" t="s">
        <v>509</v>
      </c>
      <c r="H810" s="19">
        <f>Fact_Defect_Split!K136</f>
        <v>0</v>
      </c>
    </row>
    <row r="811" spans="1:8" x14ac:dyDescent="0.25">
      <c r="A811" s="18" t="s">
        <v>1792</v>
      </c>
      <c r="B811" s="4">
        <f>Fact_Defect_Split!B136</f>
        <v>20260701</v>
      </c>
      <c r="C811" s="4">
        <f>Fact_Defect_Split!C136</f>
        <v>19</v>
      </c>
      <c r="D811" s="4" t="str">
        <f>Fact_Defect_Split!D136</f>
        <v>M2</v>
      </c>
      <c r="E811" s="4" t="str">
        <f>Fact_Defect_Split!E136</f>
        <v>B-PM</v>
      </c>
      <c r="F811" s="4" t="str">
        <f>Fact_Defect_Split!F136</f>
        <v>C</v>
      </c>
      <c r="G811" s="4" t="s">
        <v>520</v>
      </c>
      <c r="H811" s="19">
        <f>Fact_Defect_Split!L136</f>
        <v>1</v>
      </c>
    </row>
    <row r="812" spans="1:8" x14ac:dyDescent="0.25">
      <c r="A812" s="18" t="s">
        <v>1793</v>
      </c>
      <c r="B812" s="4">
        <f>Fact_Defect_Split!B137</f>
        <v>20260701</v>
      </c>
      <c r="C812" s="4">
        <f>Fact_Defect_Split!C137</f>
        <v>19</v>
      </c>
      <c r="D812" s="4" t="str">
        <f>Fact_Defect_Split!D137</f>
        <v>M3</v>
      </c>
      <c r="E812" s="4" t="str">
        <f>Fact_Defect_Split!E137</f>
        <v>B-PM</v>
      </c>
      <c r="F812" s="4" t="str">
        <f>Fact_Defect_Split!F137</f>
        <v>A</v>
      </c>
      <c r="G812" s="4" t="s">
        <v>498</v>
      </c>
      <c r="H812" s="19">
        <f>Fact_Defect_Split!G137</f>
        <v>0</v>
      </c>
    </row>
    <row r="813" spans="1:8" x14ac:dyDescent="0.25">
      <c r="A813" s="18" t="s">
        <v>1794</v>
      </c>
      <c r="B813" s="4">
        <f>Fact_Defect_Split!B137</f>
        <v>20260701</v>
      </c>
      <c r="C813" s="4">
        <f>Fact_Defect_Split!C137</f>
        <v>19</v>
      </c>
      <c r="D813" s="4" t="str">
        <f>Fact_Defect_Split!D137</f>
        <v>M3</v>
      </c>
      <c r="E813" s="4" t="str">
        <f>Fact_Defect_Split!E137</f>
        <v>B-PM</v>
      </c>
      <c r="F813" s="4" t="str">
        <f>Fact_Defect_Split!F137</f>
        <v>A</v>
      </c>
      <c r="G813" s="4" t="s">
        <v>500</v>
      </c>
      <c r="H813" s="19">
        <f>Fact_Defect_Split!H137</f>
        <v>0</v>
      </c>
    </row>
    <row r="814" spans="1:8" x14ac:dyDescent="0.25">
      <c r="A814" s="18" t="s">
        <v>1795</v>
      </c>
      <c r="B814" s="4">
        <f>Fact_Defect_Split!B137</f>
        <v>20260701</v>
      </c>
      <c r="C814" s="4">
        <f>Fact_Defect_Split!C137</f>
        <v>19</v>
      </c>
      <c r="D814" s="4" t="str">
        <f>Fact_Defect_Split!D137</f>
        <v>M3</v>
      </c>
      <c r="E814" s="4" t="str">
        <f>Fact_Defect_Split!E137</f>
        <v>B-PM</v>
      </c>
      <c r="F814" s="4" t="str">
        <f>Fact_Defect_Split!F137</f>
        <v>A</v>
      </c>
      <c r="G814" s="4" t="s">
        <v>517</v>
      </c>
      <c r="H814" s="19">
        <f>Fact_Defect_Split!I137</f>
        <v>0</v>
      </c>
    </row>
    <row r="815" spans="1:8" x14ac:dyDescent="0.25">
      <c r="A815" s="18" t="s">
        <v>1796</v>
      </c>
      <c r="B815" s="4">
        <f>Fact_Defect_Split!B137</f>
        <v>20260701</v>
      </c>
      <c r="C815" s="4">
        <f>Fact_Defect_Split!C137</f>
        <v>19</v>
      </c>
      <c r="D815" s="4" t="str">
        <f>Fact_Defect_Split!D137</f>
        <v>M3</v>
      </c>
      <c r="E815" s="4" t="str">
        <f>Fact_Defect_Split!E137</f>
        <v>B-PM</v>
      </c>
      <c r="F815" s="4" t="str">
        <f>Fact_Defect_Split!F137</f>
        <v>A</v>
      </c>
      <c r="G815" s="4" t="s">
        <v>503</v>
      </c>
      <c r="H815" s="19">
        <f>Fact_Defect_Split!J137</f>
        <v>0</v>
      </c>
    </row>
    <row r="816" spans="1:8" x14ac:dyDescent="0.25">
      <c r="A816" s="18" t="s">
        <v>1797</v>
      </c>
      <c r="B816" s="4">
        <f>Fact_Defect_Split!B137</f>
        <v>20260701</v>
      </c>
      <c r="C816" s="4">
        <f>Fact_Defect_Split!C137</f>
        <v>19</v>
      </c>
      <c r="D816" s="4" t="str">
        <f>Fact_Defect_Split!D137</f>
        <v>M3</v>
      </c>
      <c r="E816" s="4" t="str">
        <f>Fact_Defect_Split!E137</f>
        <v>B-PM</v>
      </c>
      <c r="F816" s="4" t="str">
        <f>Fact_Defect_Split!F137</f>
        <v>A</v>
      </c>
      <c r="G816" s="4" t="s">
        <v>509</v>
      </c>
      <c r="H816" s="19">
        <f>Fact_Defect_Split!K137</f>
        <v>1</v>
      </c>
    </row>
    <row r="817" spans="1:8" x14ac:dyDescent="0.25">
      <c r="A817" s="18" t="s">
        <v>1798</v>
      </c>
      <c r="B817" s="4">
        <f>Fact_Defect_Split!B137</f>
        <v>20260701</v>
      </c>
      <c r="C817" s="4">
        <f>Fact_Defect_Split!C137</f>
        <v>19</v>
      </c>
      <c r="D817" s="4" t="str">
        <f>Fact_Defect_Split!D137</f>
        <v>M3</v>
      </c>
      <c r="E817" s="4" t="str">
        <f>Fact_Defect_Split!E137</f>
        <v>B-PM</v>
      </c>
      <c r="F817" s="4" t="str">
        <f>Fact_Defect_Split!F137</f>
        <v>A</v>
      </c>
      <c r="G817" s="4" t="s">
        <v>520</v>
      </c>
      <c r="H817" s="19">
        <f>Fact_Defect_Split!L137</f>
        <v>0</v>
      </c>
    </row>
    <row r="818" spans="1:8" x14ac:dyDescent="0.25">
      <c r="A818" s="18" t="s">
        <v>1799</v>
      </c>
      <c r="B818" s="4">
        <f>Fact_Defect_Split!B138</f>
        <v>20260701</v>
      </c>
      <c r="C818" s="4">
        <f>Fact_Defect_Split!C138</f>
        <v>19</v>
      </c>
      <c r="D818" s="4" t="str">
        <f>Fact_Defect_Split!D138</f>
        <v>M4</v>
      </c>
      <c r="E818" s="4" t="str">
        <f>Fact_Defect_Split!E138</f>
        <v>B-PM</v>
      </c>
      <c r="F818" s="4" t="str">
        <f>Fact_Defect_Split!F138</f>
        <v>A</v>
      </c>
      <c r="G818" s="4" t="s">
        <v>498</v>
      </c>
      <c r="H818" s="19">
        <f>Fact_Defect_Split!G138</f>
        <v>0</v>
      </c>
    </row>
    <row r="819" spans="1:8" x14ac:dyDescent="0.25">
      <c r="A819" s="18" t="s">
        <v>1800</v>
      </c>
      <c r="B819" s="4">
        <f>Fact_Defect_Split!B138</f>
        <v>20260701</v>
      </c>
      <c r="C819" s="4">
        <f>Fact_Defect_Split!C138</f>
        <v>19</v>
      </c>
      <c r="D819" s="4" t="str">
        <f>Fact_Defect_Split!D138</f>
        <v>M4</v>
      </c>
      <c r="E819" s="4" t="str">
        <f>Fact_Defect_Split!E138</f>
        <v>B-PM</v>
      </c>
      <c r="F819" s="4" t="str">
        <f>Fact_Defect_Split!F138</f>
        <v>A</v>
      </c>
      <c r="G819" s="4" t="s">
        <v>500</v>
      </c>
      <c r="H819" s="19">
        <f>Fact_Defect_Split!H138</f>
        <v>0</v>
      </c>
    </row>
    <row r="820" spans="1:8" x14ac:dyDescent="0.25">
      <c r="A820" s="18" t="s">
        <v>1801</v>
      </c>
      <c r="B820" s="4">
        <f>Fact_Defect_Split!B138</f>
        <v>20260701</v>
      </c>
      <c r="C820" s="4">
        <f>Fact_Defect_Split!C138</f>
        <v>19</v>
      </c>
      <c r="D820" s="4" t="str">
        <f>Fact_Defect_Split!D138</f>
        <v>M4</v>
      </c>
      <c r="E820" s="4" t="str">
        <f>Fact_Defect_Split!E138</f>
        <v>B-PM</v>
      </c>
      <c r="F820" s="4" t="str">
        <f>Fact_Defect_Split!F138</f>
        <v>A</v>
      </c>
      <c r="G820" s="4" t="s">
        <v>517</v>
      </c>
      <c r="H820" s="19">
        <f>Fact_Defect_Split!I138</f>
        <v>0</v>
      </c>
    </row>
    <row r="821" spans="1:8" x14ac:dyDescent="0.25">
      <c r="A821" s="18" t="s">
        <v>1802</v>
      </c>
      <c r="B821" s="4">
        <f>Fact_Defect_Split!B138</f>
        <v>20260701</v>
      </c>
      <c r="C821" s="4">
        <f>Fact_Defect_Split!C138</f>
        <v>19</v>
      </c>
      <c r="D821" s="4" t="str">
        <f>Fact_Defect_Split!D138</f>
        <v>M4</v>
      </c>
      <c r="E821" s="4" t="str">
        <f>Fact_Defect_Split!E138</f>
        <v>B-PM</v>
      </c>
      <c r="F821" s="4" t="str">
        <f>Fact_Defect_Split!F138</f>
        <v>A</v>
      </c>
      <c r="G821" s="4" t="s">
        <v>503</v>
      </c>
      <c r="H821" s="19">
        <f>Fact_Defect_Split!J138</f>
        <v>0</v>
      </c>
    </row>
    <row r="822" spans="1:8" x14ac:dyDescent="0.25">
      <c r="A822" s="18" t="s">
        <v>1803</v>
      </c>
      <c r="B822" s="4">
        <f>Fact_Defect_Split!B138</f>
        <v>20260701</v>
      </c>
      <c r="C822" s="4">
        <f>Fact_Defect_Split!C138</f>
        <v>19</v>
      </c>
      <c r="D822" s="4" t="str">
        <f>Fact_Defect_Split!D138</f>
        <v>M4</v>
      </c>
      <c r="E822" s="4" t="str">
        <f>Fact_Defect_Split!E138</f>
        <v>B-PM</v>
      </c>
      <c r="F822" s="4" t="str">
        <f>Fact_Defect_Split!F138</f>
        <v>A</v>
      </c>
      <c r="G822" s="4" t="s">
        <v>509</v>
      </c>
      <c r="H822" s="19">
        <f>Fact_Defect_Split!K138</f>
        <v>0</v>
      </c>
    </row>
    <row r="823" spans="1:8" x14ac:dyDescent="0.25">
      <c r="A823" s="18" t="s">
        <v>1804</v>
      </c>
      <c r="B823" s="4">
        <f>Fact_Defect_Split!B138</f>
        <v>20260701</v>
      </c>
      <c r="C823" s="4">
        <f>Fact_Defect_Split!C138</f>
        <v>19</v>
      </c>
      <c r="D823" s="4" t="str">
        <f>Fact_Defect_Split!D138</f>
        <v>M4</v>
      </c>
      <c r="E823" s="4" t="str">
        <f>Fact_Defect_Split!E138</f>
        <v>B-PM</v>
      </c>
      <c r="F823" s="4" t="str">
        <f>Fact_Defect_Split!F138</f>
        <v>A</v>
      </c>
      <c r="G823" s="4" t="s">
        <v>520</v>
      </c>
      <c r="H823" s="19">
        <f>Fact_Defect_Split!L138</f>
        <v>1</v>
      </c>
    </row>
    <row r="824" spans="1:8" x14ac:dyDescent="0.25">
      <c r="A824" s="18" t="s">
        <v>1805</v>
      </c>
      <c r="B824" s="4">
        <f>Fact_Defect_Split!B139</f>
        <v>20260701</v>
      </c>
      <c r="C824" s="4">
        <f>Fact_Defect_Split!C139</f>
        <v>19</v>
      </c>
      <c r="D824" s="4" t="str">
        <f>Fact_Defect_Split!D139</f>
        <v>M5</v>
      </c>
      <c r="E824" s="4" t="str">
        <f>Fact_Defect_Split!E139</f>
        <v>B-PM</v>
      </c>
      <c r="F824" s="4" t="str">
        <f>Fact_Defect_Split!F139</f>
        <v>A</v>
      </c>
      <c r="G824" s="4" t="s">
        <v>498</v>
      </c>
      <c r="H824" s="19">
        <f>Fact_Defect_Split!G139</f>
        <v>0</v>
      </c>
    </row>
    <row r="825" spans="1:8" x14ac:dyDescent="0.25">
      <c r="A825" s="18" t="s">
        <v>1806</v>
      </c>
      <c r="B825" s="4">
        <f>Fact_Defect_Split!B139</f>
        <v>20260701</v>
      </c>
      <c r="C825" s="4">
        <f>Fact_Defect_Split!C139</f>
        <v>19</v>
      </c>
      <c r="D825" s="4" t="str">
        <f>Fact_Defect_Split!D139</f>
        <v>M5</v>
      </c>
      <c r="E825" s="4" t="str">
        <f>Fact_Defect_Split!E139</f>
        <v>B-PM</v>
      </c>
      <c r="F825" s="4" t="str">
        <f>Fact_Defect_Split!F139</f>
        <v>A</v>
      </c>
      <c r="G825" s="4" t="s">
        <v>500</v>
      </c>
      <c r="H825" s="19">
        <f>Fact_Defect_Split!H139</f>
        <v>0</v>
      </c>
    </row>
    <row r="826" spans="1:8" x14ac:dyDescent="0.25">
      <c r="A826" s="18" t="s">
        <v>1807</v>
      </c>
      <c r="B826" s="4">
        <f>Fact_Defect_Split!B139</f>
        <v>20260701</v>
      </c>
      <c r="C826" s="4">
        <f>Fact_Defect_Split!C139</f>
        <v>19</v>
      </c>
      <c r="D826" s="4" t="str">
        <f>Fact_Defect_Split!D139</f>
        <v>M5</v>
      </c>
      <c r="E826" s="4" t="str">
        <f>Fact_Defect_Split!E139</f>
        <v>B-PM</v>
      </c>
      <c r="F826" s="4" t="str">
        <f>Fact_Defect_Split!F139</f>
        <v>A</v>
      </c>
      <c r="G826" s="4" t="s">
        <v>517</v>
      </c>
      <c r="H826" s="19">
        <f>Fact_Defect_Split!I139</f>
        <v>0</v>
      </c>
    </row>
    <row r="827" spans="1:8" x14ac:dyDescent="0.25">
      <c r="A827" s="18" t="s">
        <v>1808</v>
      </c>
      <c r="B827" s="4">
        <f>Fact_Defect_Split!B139</f>
        <v>20260701</v>
      </c>
      <c r="C827" s="4">
        <f>Fact_Defect_Split!C139</f>
        <v>19</v>
      </c>
      <c r="D827" s="4" t="str">
        <f>Fact_Defect_Split!D139</f>
        <v>M5</v>
      </c>
      <c r="E827" s="4" t="str">
        <f>Fact_Defect_Split!E139</f>
        <v>B-PM</v>
      </c>
      <c r="F827" s="4" t="str">
        <f>Fact_Defect_Split!F139</f>
        <v>A</v>
      </c>
      <c r="G827" s="4" t="s">
        <v>503</v>
      </c>
      <c r="H827" s="19">
        <f>Fact_Defect_Split!J139</f>
        <v>0</v>
      </c>
    </row>
    <row r="828" spans="1:8" x14ac:dyDescent="0.25">
      <c r="A828" s="18" t="s">
        <v>1809</v>
      </c>
      <c r="B828" s="4">
        <f>Fact_Defect_Split!B139</f>
        <v>20260701</v>
      </c>
      <c r="C828" s="4">
        <f>Fact_Defect_Split!C139</f>
        <v>19</v>
      </c>
      <c r="D828" s="4" t="str">
        <f>Fact_Defect_Split!D139</f>
        <v>M5</v>
      </c>
      <c r="E828" s="4" t="str">
        <f>Fact_Defect_Split!E139</f>
        <v>B-PM</v>
      </c>
      <c r="F828" s="4" t="str">
        <f>Fact_Defect_Split!F139</f>
        <v>A</v>
      </c>
      <c r="G828" s="4" t="s">
        <v>509</v>
      </c>
      <c r="H828" s="19">
        <f>Fact_Defect_Split!K139</f>
        <v>1</v>
      </c>
    </row>
    <row r="829" spans="1:8" x14ac:dyDescent="0.25">
      <c r="A829" s="18" t="s">
        <v>1810</v>
      </c>
      <c r="B829" s="4">
        <f>Fact_Defect_Split!B139</f>
        <v>20260701</v>
      </c>
      <c r="C829" s="4">
        <f>Fact_Defect_Split!C139</f>
        <v>19</v>
      </c>
      <c r="D829" s="4" t="str">
        <f>Fact_Defect_Split!D139</f>
        <v>M5</v>
      </c>
      <c r="E829" s="4" t="str">
        <f>Fact_Defect_Split!E139</f>
        <v>B-PM</v>
      </c>
      <c r="F829" s="4" t="str">
        <f>Fact_Defect_Split!F139</f>
        <v>A</v>
      </c>
      <c r="G829" s="4" t="s">
        <v>520</v>
      </c>
      <c r="H829" s="19">
        <f>Fact_Defect_Split!L139</f>
        <v>0</v>
      </c>
    </row>
    <row r="830" spans="1:8" x14ac:dyDescent="0.25">
      <c r="A830" s="18" t="s">
        <v>1811</v>
      </c>
      <c r="B830" s="4">
        <f>Fact_Defect_Split!B140</f>
        <v>20260701</v>
      </c>
      <c r="C830" s="4">
        <f>Fact_Defect_Split!C140</f>
        <v>19</v>
      </c>
      <c r="D830" s="4" t="str">
        <f>Fact_Defect_Split!D140</f>
        <v>M6</v>
      </c>
      <c r="E830" s="4" t="str">
        <f>Fact_Defect_Split!E140</f>
        <v>B-PM</v>
      </c>
      <c r="F830" s="4" t="str">
        <f>Fact_Defect_Split!F140</f>
        <v>C</v>
      </c>
      <c r="G830" s="4" t="s">
        <v>498</v>
      </c>
      <c r="H830" s="19">
        <f>Fact_Defect_Split!G140</f>
        <v>0</v>
      </c>
    </row>
    <row r="831" spans="1:8" x14ac:dyDescent="0.25">
      <c r="A831" s="18" t="s">
        <v>1812</v>
      </c>
      <c r="B831" s="4">
        <f>Fact_Defect_Split!B140</f>
        <v>20260701</v>
      </c>
      <c r="C831" s="4">
        <f>Fact_Defect_Split!C140</f>
        <v>19</v>
      </c>
      <c r="D831" s="4" t="str">
        <f>Fact_Defect_Split!D140</f>
        <v>M6</v>
      </c>
      <c r="E831" s="4" t="str">
        <f>Fact_Defect_Split!E140</f>
        <v>B-PM</v>
      </c>
      <c r="F831" s="4" t="str">
        <f>Fact_Defect_Split!F140</f>
        <v>C</v>
      </c>
      <c r="G831" s="4" t="s">
        <v>500</v>
      </c>
      <c r="H831" s="19">
        <f>Fact_Defect_Split!H140</f>
        <v>0</v>
      </c>
    </row>
    <row r="832" spans="1:8" x14ac:dyDescent="0.25">
      <c r="A832" s="18" t="s">
        <v>1813</v>
      </c>
      <c r="B832" s="4">
        <f>Fact_Defect_Split!B140</f>
        <v>20260701</v>
      </c>
      <c r="C832" s="4">
        <f>Fact_Defect_Split!C140</f>
        <v>19</v>
      </c>
      <c r="D832" s="4" t="str">
        <f>Fact_Defect_Split!D140</f>
        <v>M6</v>
      </c>
      <c r="E832" s="4" t="str">
        <f>Fact_Defect_Split!E140</f>
        <v>B-PM</v>
      </c>
      <c r="F832" s="4" t="str">
        <f>Fact_Defect_Split!F140</f>
        <v>C</v>
      </c>
      <c r="G832" s="4" t="s">
        <v>517</v>
      </c>
      <c r="H832" s="19">
        <f>Fact_Defect_Split!I140</f>
        <v>1</v>
      </c>
    </row>
    <row r="833" spans="1:8" x14ac:dyDescent="0.25">
      <c r="A833" s="18" t="s">
        <v>1814</v>
      </c>
      <c r="B833" s="4">
        <f>Fact_Defect_Split!B140</f>
        <v>20260701</v>
      </c>
      <c r="C833" s="4">
        <f>Fact_Defect_Split!C140</f>
        <v>19</v>
      </c>
      <c r="D833" s="4" t="str">
        <f>Fact_Defect_Split!D140</f>
        <v>M6</v>
      </c>
      <c r="E833" s="4" t="str">
        <f>Fact_Defect_Split!E140</f>
        <v>B-PM</v>
      </c>
      <c r="F833" s="4" t="str">
        <f>Fact_Defect_Split!F140</f>
        <v>C</v>
      </c>
      <c r="G833" s="4" t="s">
        <v>503</v>
      </c>
      <c r="H833" s="19">
        <f>Fact_Defect_Split!J140</f>
        <v>0</v>
      </c>
    </row>
    <row r="834" spans="1:8" x14ac:dyDescent="0.25">
      <c r="A834" s="18" t="s">
        <v>1815</v>
      </c>
      <c r="B834" s="4">
        <f>Fact_Defect_Split!B140</f>
        <v>20260701</v>
      </c>
      <c r="C834" s="4">
        <f>Fact_Defect_Split!C140</f>
        <v>19</v>
      </c>
      <c r="D834" s="4" t="str">
        <f>Fact_Defect_Split!D140</f>
        <v>M6</v>
      </c>
      <c r="E834" s="4" t="str">
        <f>Fact_Defect_Split!E140</f>
        <v>B-PM</v>
      </c>
      <c r="F834" s="4" t="str">
        <f>Fact_Defect_Split!F140</f>
        <v>C</v>
      </c>
      <c r="G834" s="4" t="s">
        <v>509</v>
      </c>
      <c r="H834" s="19">
        <f>Fact_Defect_Split!K140</f>
        <v>1</v>
      </c>
    </row>
    <row r="835" spans="1:8" x14ac:dyDescent="0.25">
      <c r="A835" s="18" t="s">
        <v>1816</v>
      </c>
      <c r="B835" s="4">
        <f>Fact_Defect_Split!B140</f>
        <v>20260701</v>
      </c>
      <c r="C835" s="4">
        <f>Fact_Defect_Split!C140</f>
        <v>19</v>
      </c>
      <c r="D835" s="4" t="str">
        <f>Fact_Defect_Split!D140</f>
        <v>M6</v>
      </c>
      <c r="E835" s="4" t="str">
        <f>Fact_Defect_Split!E140</f>
        <v>B-PM</v>
      </c>
      <c r="F835" s="4" t="str">
        <f>Fact_Defect_Split!F140</f>
        <v>C</v>
      </c>
      <c r="G835" s="4" t="s">
        <v>520</v>
      </c>
      <c r="H835" s="19">
        <f>Fact_Defect_Split!L140</f>
        <v>0</v>
      </c>
    </row>
    <row r="836" spans="1:8" x14ac:dyDescent="0.25">
      <c r="A836" s="18" t="s">
        <v>1817</v>
      </c>
      <c r="B836" s="4">
        <f>Fact_Defect_Split!B141</f>
        <v>20260701</v>
      </c>
      <c r="C836" s="4">
        <f>Fact_Defect_Split!C141</f>
        <v>19</v>
      </c>
      <c r="D836" s="4" t="str">
        <f>Fact_Defect_Split!D141</f>
        <v>M7</v>
      </c>
      <c r="E836" s="4" t="str">
        <f>Fact_Defect_Split!E141</f>
        <v>B-PM</v>
      </c>
      <c r="F836" s="4" t="str">
        <f>Fact_Defect_Split!F141</f>
        <v>A</v>
      </c>
      <c r="G836" s="4" t="s">
        <v>498</v>
      </c>
      <c r="H836" s="19">
        <f>Fact_Defect_Split!G141</f>
        <v>0</v>
      </c>
    </row>
    <row r="837" spans="1:8" x14ac:dyDescent="0.25">
      <c r="A837" s="18" t="s">
        <v>1818</v>
      </c>
      <c r="B837" s="4">
        <f>Fact_Defect_Split!B141</f>
        <v>20260701</v>
      </c>
      <c r="C837" s="4">
        <f>Fact_Defect_Split!C141</f>
        <v>19</v>
      </c>
      <c r="D837" s="4" t="str">
        <f>Fact_Defect_Split!D141</f>
        <v>M7</v>
      </c>
      <c r="E837" s="4" t="str">
        <f>Fact_Defect_Split!E141</f>
        <v>B-PM</v>
      </c>
      <c r="F837" s="4" t="str">
        <f>Fact_Defect_Split!F141</f>
        <v>A</v>
      </c>
      <c r="G837" s="4" t="s">
        <v>500</v>
      </c>
      <c r="H837" s="19">
        <f>Fact_Defect_Split!H141</f>
        <v>0</v>
      </c>
    </row>
    <row r="838" spans="1:8" x14ac:dyDescent="0.25">
      <c r="A838" s="18" t="s">
        <v>1819</v>
      </c>
      <c r="B838" s="4">
        <f>Fact_Defect_Split!B141</f>
        <v>20260701</v>
      </c>
      <c r="C838" s="4">
        <f>Fact_Defect_Split!C141</f>
        <v>19</v>
      </c>
      <c r="D838" s="4" t="str">
        <f>Fact_Defect_Split!D141</f>
        <v>M7</v>
      </c>
      <c r="E838" s="4" t="str">
        <f>Fact_Defect_Split!E141</f>
        <v>B-PM</v>
      </c>
      <c r="F838" s="4" t="str">
        <f>Fact_Defect_Split!F141</f>
        <v>A</v>
      </c>
      <c r="G838" s="4" t="s">
        <v>517</v>
      </c>
      <c r="H838" s="19">
        <f>Fact_Defect_Split!I141</f>
        <v>0</v>
      </c>
    </row>
    <row r="839" spans="1:8" x14ac:dyDescent="0.25">
      <c r="A839" s="18" t="s">
        <v>1820</v>
      </c>
      <c r="B839" s="4">
        <f>Fact_Defect_Split!B141</f>
        <v>20260701</v>
      </c>
      <c r="C839" s="4">
        <f>Fact_Defect_Split!C141</f>
        <v>19</v>
      </c>
      <c r="D839" s="4" t="str">
        <f>Fact_Defect_Split!D141</f>
        <v>M7</v>
      </c>
      <c r="E839" s="4" t="str">
        <f>Fact_Defect_Split!E141</f>
        <v>B-PM</v>
      </c>
      <c r="F839" s="4" t="str">
        <f>Fact_Defect_Split!F141</f>
        <v>A</v>
      </c>
      <c r="G839" s="4" t="s">
        <v>503</v>
      </c>
      <c r="H839" s="19">
        <f>Fact_Defect_Split!J141</f>
        <v>1</v>
      </c>
    </row>
    <row r="840" spans="1:8" x14ac:dyDescent="0.25">
      <c r="A840" s="18" t="s">
        <v>1821</v>
      </c>
      <c r="B840" s="4">
        <f>Fact_Defect_Split!B141</f>
        <v>20260701</v>
      </c>
      <c r="C840" s="4">
        <f>Fact_Defect_Split!C141</f>
        <v>19</v>
      </c>
      <c r="D840" s="4" t="str">
        <f>Fact_Defect_Split!D141</f>
        <v>M7</v>
      </c>
      <c r="E840" s="4" t="str">
        <f>Fact_Defect_Split!E141</f>
        <v>B-PM</v>
      </c>
      <c r="F840" s="4" t="str">
        <f>Fact_Defect_Split!F141</f>
        <v>A</v>
      </c>
      <c r="G840" s="4" t="s">
        <v>509</v>
      </c>
      <c r="H840" s="19">
        <f>Fact_Defect_Split!K141</f>
        <v>1</v>
      </c>
    </row>
    <row r="841" spans="1:8" x14ac:dyDescent="0.25">
      <c r="A841" s="18" t="s">
        <v>1822</v>
      </c>
      <c r="B841" s="4">
        <f>Fact_Defect_Split!B141</f>
        <v>20260701</v>
      </c>
      <c r="C841" s="4">
        <f>Fact_Defect_Split!C141</f>
        <v>19</v>
      </c>
      <c r="D841" s="4" t="str">
        <f>Fact_Defect_Split!D141</f>
        <v>M7</v>
      </c>
      <c r="E841" s="4" t="str">
        <f>Fact_Defect_Split!E141</f>
        <v>B-PM</v>
      </c>
      <c r="F841" s="4" t="str">
        <f>Fact_Defect_Split!F141</f>
        <v>A</v>
      </c>
      <c r="G841" s="4" t="s">
        <v>520</v>
      </c>
      <c r="H841" s="19">
        <f>Fact_Defect_Split!L141</f>
        <v>1</v>
      </c>
    </row>
    <row r="842" spans="1:8" x14ac:dyDescent="0.25">
      <c r="A842" s="18" t="s">
        <v>1823</v>
      </c>
      <c r="B842" s="4">
        <f>Fact_Defect_Split!B142</f>
        <v>20260701</v>
      </c>
      <c r="C842" s="4">
        <f>Fact_Defect_Split!C142</f>
        <v>20</v>
      </c>
      <c r="D842" s="4" t="str">
        <f>Fact_Defect_Split!D142</f>
        <v>M1</v>
      </c>
      <c r="E842" s="4" t="str">
        <f>Fact_Defect_Split!E142</f>
        <v>B-PM</v>
      </c>
      <c r="F842" s="4" t="str">
        <f>Fact_Defect_Split!F142</f>
        <v>A</v>
      </c>
      <c r="G842" s="4" t="s">
        <v>498</v>
      </c>
      <c r="H842" s="19">
        <f>Fact_Defect_Split!G142</f>
        <v>0</v>
      </c>
    </row>
    <row r="843" spans="1:8" x14ac:dyDescent="0.25">
      <c r="A843" s="18" t="s">
        <v>1824</v>
      </c>
      <c r="B843" s="4">
        <f>Fact_Defect_Split!B142</f>
        <v>20260701</v>
      </c>
      <c r="C843" s="4">
        <f>Fact_Defect_Split!C142</f>
        <v>20</v>
      </c>
      <c r="D843" s="4" t="str">
        <f>Fact_Defect_Split!D142</f>
        <v>M1</v>
      </c>
      <c r="E843" s="4" t="str">
        <f>Fact_Defect_Split!E142</f>
        <v>B-PM</v>
      </c>
      <c r="F843" s="4" t="str">
        <f>Fact_Defect_Split!F142</f>
        <v>A</v>
      </c>
      <c r="G843" s="4" t="s">
        <v>500</v>
      </c>
      <c r="H843" s="19">
        <f>Fact_Defect_Split!H142</f>
        <v>0</v>
      </c>
    </row>
    <row r="844" spans="1:8" x14ac:dyDescent="0.25">
      <c r="A844" s="18" t="s">
        <v>1825</v>
      </c>
      <c r="B844" s="4">
        <f>Fact_Defect_Split!B142</f>
        <v>20260701</v>
      </c>
      <c r="C844" s="4">
        <f>Fact_Defect_Split!C142</f>
        <v>20</v>
      </c>
      <c r="D844" s="4" t="str">
        <f>Fact_Defect_Split!D142</f>
        <v>M1</v>
      </c>
      <c r="E844" s="4" t="str">
        <f>Fact_Defect_Split!E142</f>
        <v>B-PM</v>
      </c>
      <c r="F844" s="4" t="str">
        <f>Fact_Defect_Split!F142</f>
        <v>A</v>
      </c>
      <c r="G844" s="4" t="s">
        <v>517</v>
      </c>
      <c r="H844" s="19">
        <f>Fact_Defect_Split!I142</f>
        <v>0</v>
      </c>
    </row>
    <row r="845" spans="1:8" x14ac:dyDescent="0.25">
      <c r="A845" s="18" t="s">
        <v>1826</v>
      </c>
      <c r="B845" s="4">
        <f>Fact_Defect_Split!B142</f>
        <v>20260701</v>
      </c>
      <c r="C845" s="4">
        <f>Fact_Defect_Split!C142</f>
        <v>20</v>
      </c>
      <c r="D845" s="4" t="str">
        <f>Fact_Defect_Split!D142</f>
        <v>M1</v>
      </c>
      <c r="E845" s="4" t="str">
        <f>Fact_Defect_Split!E142</f>
        <v>B-PM</v>
      </c>
      <c r="F845" s="4" t="str">
        <f>Fact_Defect_Split!F142</f>
        <v>A</v>
      </c>
      <c r="G845" s="4" t="s">
        <v>503</v>
      </c>
      <c r="H845" s="19">
        <f>Fact_Defect_Split!J142</f>
        <v>0</v>
      </c>
    </row>
    <row r="846" spans="1:8" x14ac:dyDescent="0.25">
      <c r="A846" s="18" t="s">
        <v>1827</v>
      </c>
      <c r="B846" s="4">
        <f>Fact_Defect_Split!B142</f>
        <v>20260701</v>
      </c>
      <c r="C846" s="4">
        <f>Fact_Defect_Split!C142</f>
        <v>20</v>
      </c>
      <c r="D846" s="4" t="str">
        <f>Fact_Defect_Split!D142</f>
        <v>M1</v>
      </c>
      <c r="E846" s="4" t="str">
        <f>Fact_Defect_Split!E142</f>
        <v>B-PM</v>
      </c>
      <c r="F846" s="4" t="str">
        <f>Fact_Defect_Split!F142</f>
        <v>A</v>
      </c>
      <c r="G846" s="4" t="s">
        <v>509</v>
      </c>
      <c r="H846" s="19">
        <f>Fact_Defect_Split!K142</f>
        <v>0</v>
      </c>
    </row>
    <row r="847" spans="1:8" x14ac:dyDescent="0.25">
      <c r="A847" s="18" t="s">
        <v>1828</v>
      </c>
      <c r="B847" s="4">
        <f>Fact_Defect_Split!B142</f>
        <v>20260701</v>
      </c>
      <c r="C847" s="4">
        <f>Fact_Defect_Split!C142</f>
        <v>20</v>
      </c>
      <c r="D847" s="4" t="str">
        <f>Fact_Defect_Split!D142</f>
        <v>M1</v>
      </c>
      <c r="E847" s="4" t="str">
        <f>Fact_Defect_Split!E142</f>
        <v>B-PM</v>
      </c>
      <c r="F847" s="4" t="str">
        <f>Fact_Defect_Split!F142</f>
        <v>A</v>
      </c>
      <c r="G847" s="4" t="s">
        <v>520</v>
      </c>
      <c r="H847" s="19">
        <f>Fact_Defect_Split!L142</f>
        <v>1</v>
      </c>
    </row>
    <row r="848" spans="1:8" x14ac:dyDescent="0.25">
      <c r="A848" s="18" t="s">
        <v>1829</v>
      </c>
      <c r="B848" s="4">
        <f>Fact_Defect_Split!B143</f>
        <v>20260701</v>
      </c>
      <c r="C848" s="4">
        <f>Fact_Defect_Split!C143</f>
        <v>20</v>
      </c>
      <c r="D848" s="4" t="str">
        <f>Fact_Defect_Split!D143</f>
        <v>M2</v>
      </c>
      <c r="E848" s="4" t="str">
        <f>Fact_Defect_Split!E143</f>
        <v>B-PM</v>
      </c>
      <c r="F848" s="4" t="str">
        <f>Fact_Defect_Split!F143</f>
        <v>C</v>
      </c>
      <c r="G848" s="4" t="s">
        <v>498</v>
      </c>
      <c r="H848" s="19">
        <f>Fact_Defect_Split!G143</f>
        <v>0</v>
      </c>
    </row>
    <row r="849" spans="1:8" x14ac:dyDescent="0.25">
      <c r="A849" s="18" t="s">
        <v>1830</v>
      </c>
      <c r="B849" s="4">
        <f>Fact_Defect_Split!B143</f>
        <v>20260701</v>
      </c>
      <c r="C849" s="4">
        <f>Fact_Defect_Split!C143</f>
        <v>20</v>
      </c>
      <c r="D849" s="4" t="str">
        <f>Fact_Defect_Split!D143</f>
        <v>M2</v>
      </c>
      <c r="E849" s="4" t="str">
        <f>Fact_Defect_Split!E143</f>
        <v>B-PM</v>
      </c>
      <c r="F849" s="4" t="str">
        <f>Fact_Defect_Split!F143</f>
        <v>C</v>
      </c>
      <c r="G849" s="4" t="s">
        <v>500</v>
      </c>
      <c r="H849" s="19">
        <f>Fact_Defect_Split!H143</f>
        <v>0</v>
      </c>
    </row>
    <row r="850" spans="1:8" x14ac:dyDescent="0.25">
      <c r="A850" s="18" t="s">
        <v>1831</v>
      </c>
      <c r="B850" s="4">
        <f>Fact_Defect_Split!B143</f>
        <v>20260701</v>
      </c>
      <c r="C850" s="4">
        <f>Fact_Defect_Split!C143</f>
        <v>20</v>
      </c>
      <c r="D850" s="4" t="str">
        <f>Fact_Defect_Split!D143</f>
        <v>M2</v>
      </c>
      <c r="E850" s="4" t="str">
        <f>Fact_Defect_Split!E143</f>
        <v>B-PM</v>
      </c>
      <c r="F850" s="4" t="str">
        <f>Fact_Defect_Split!F143</f>
        <v>C</v>
      </c>
      <c r="G850" s="4" t="s">
        <v>517</v>
      </c>
      <c r="H850" s="19">
        <f>Fact_Defect_Split!I143</f>
        <v>0</v>
      </c>
    </row>
    <row r="851" spans="1:8" x14ac:dyDescent="0.25">
      <c r="A851" s="18" t="s">
        <v>1832</v>
      </c>
      <c r="B851" s="4">
        <f>Fact_Defect_Split!B143</f>
        <v>20260701</v>
      </c>
      <c r="C851" s="4">
        <f>Fact_Defect_Split!C143</f>
        <v>20</v>
      </c>
      <c r="D851" s="4" t="str">
        <f>Fact_Defect_Split!D143</f>
        <v>M2</v>
      </c>
      <c r="E851" s="4" t="str">
        <f>Fact_Defect_Split!E143</f>
        <v>B-PM</v>
      </c>
      <c r="F851" s="4" t="str">
        <f>Fact_Defect_Split!F143</f>
        <v>C</v>
      </c>
      <c r="G851" s="4" t="s">
        <v>503</v>
      </c>
      <c r="H851" s="19">
        <f>Fact_Defect_Split!J143</f>
        <v>0</v>
      </c>
    </row>
    <row r="852" spans="1:8" x14ac:dyDescent="0.25">
      <c r="A852" s="18" t="s">
        <v>1833</v>
      </c>
      <c r="B852" s="4">
        <f>Fact_Defect_Split!B143</f>
        <v>20260701</v>
      </c>
      <c r="C852" s="4">
        <f>Fact_Defect_Split!C143</f>
        <v>20</v>
      </c>
      <c r="D852" s="4" t="str">
        <f>Fact_Defect_Split!D143</f>
        <v>M2</v>
      </c>
      <c r="E852" s="4" t="str">
        <f>Fact_Defect_Split!E143</f>
        <v>B-PM</v>
      </c>
      <c r="F852" s="4" t="str">
        <f>Fact_Defect_Split!F143</f>
        <v>C</v>
      </c>
      <c r="G852" s="4" t="s">
        <v>509</v>
      </c>
      <c r="H852" s="19">
        <f>Fact_Defect_Split!K143</f>
        <v>1</v>
      </c>
    </row>
    <row r="853" spans="1:8" x14ac:dyDescent="0.25">
      <c r="A853" s="18" t="s">
        <v>1834</v>
      </c>
      <c r="B853" s="4">
        <f>Fact_Defect_Split!B143</f>
        <v>20260701</v>
      </c>
      <c r="C853" s="4">
        <f>Fact_Defect_Split!C143</f>
        <v>20</v>
      </c>
      <c r="D853" s="4" t="str">
        <f>Fact_Defect_Split!D143</f>
        <v>M2</v>
      </c>
      <c r="E853" s="4" t="str">
        <f>Fact_Defect_Split!E143</f>
        <v>B-PM</v>
      </c>
      <c r="F853" s="4" t="str">
        <f>Fact_Defect_Split!F143</f>
        <v>C</v>
      </c>
      <c r="G853" s="4" t="s">
        <v>520</v>
      </c>
      <c r="H853" s="19">
        <f>Fact_Defect_Split!L143</f>
        <v>0</v>
      </c>
    </row>
    <row r="854" spans="1:8" x14ac:dyDescent="0.25">
      <c r="A854" s="18" t="s">
        <v>1835</v>
      </c>
      <c r="B854" s="4">
        <f>Fact_Defect_Split!B144</f>
        <v>20260701</v>
      </c>
      <c r="C854" s="4">
        <f>Fact_Defect_Split!C144</f>
        <v>20</v>
      </c>
      <c r="D854" s="4" t="str">
        <f>Fact_Defect_Split!D144</f>
        <v>M3</v>
      </c>
      <c r="E854" s="4" t="str">
        <f>Fact_Defect_Split!E144</f>
        <v>B-PM</v>
      </c>
      <c r="F854" s="4" t="str">
        <f>Fact_Defect_Split!F144</f>
        <v>A</v>
      </c>
      <c r="G854" s="4" t="s">
        <v>498</v>
      </c>
      <c r="H854" s="19">
        <f>Fact_Defect_Split!G144</f>
        <v>0</v>
      </c>
    </row>
    <row r="855" spans="1:8" x14ac:dyDescent="0.25">
      <c r="A855" s="18" t="s">
        <v>1836</v>
      </c>
      <c r="B855" s="4">
        <f>Fact_Defect_Split!B144</f>
        <v>20260701</v>
      </c>
      <c r="C855" s="4">
        <f>Fact_Defect_Split!C144</f>
        <v>20</v>
      </c>
      <c r="D855" s="4" t="str">
        <f>Fact_Defect_Split!D144</f>
        <v>M3</v>
      </c>
      <c r="E855" s="4" t="str">
        <f>Fact_Defect_Split!E144</f>
        <v>B-PM</v>
      </c>
      <c r="F855" s="4" t="str">
        <f>Fact_Defect_Split!F144</f>
        <v>A</v>
      </c>
      <c r="G855" s="4" t="s">
        <v>500</v>
      </c>
      <c r="H855" s="19">
        <f>Fact_Defect_Split!H144</f>
        <v>0</v>
      </c>
    </row>
    <row r="856" spans="1:8" x14ac:dyDescent="0.25">
      <c r="A856" s="18" t="s">
        <v>1837</v>
      </c>
      <c r="B856" s="4">
        <f>Fact_Defect_Split!B144</f>
        <v>20260701</v>
      </c>
      <c r="C856" s="4">
        <f>Fact_Defect_Split!C144</f>
        <v>20</v>
      </c>
      <c r="D856" s="4" t="str">
        <f>Fact_Defect_Split!D144</f>
        <v>M3</v>
      </c>
      <c r="E856" s="4" t="str">
        <f>Fact_Defect_Split!E144</f>
        <v>B-PM</v>
      </c>
      <c r="F856" s="4" t="str">
        <f>Fact_Defect_Split!F144</f>
        <v>A</v>
      </c>
      <c r="G856" s="4" t="s">
        <v>517</v>
      </c>
      <c r="H856" s="19">
        <f>Fact_Defect_Split!I144</f>
        <v>0</v>
      </c>
    </row>
    <row r="857" spans="1:8" x14ac:dyDescent="0.25">
      <c r="A857" s="18" t="s">
        <v>1838</v>
      </c>
      <c r="B857" s="4">
        <f>Fact_Defect_Split!B144</f>
        <v>20260701</v>
      </c>
      <c r="C857" s="4">
        <f>Fact_Defect_Split!C144</f>
        <v>20</v>
      </c>
      <c r="D857" s="4" t="str">
        <f>Fact_Defect_Split!D144</f>
        <v>M3</v>
      </c>
      <c r="E857" s="4" t="str">
        <f>Fact_Defect_Split!E144</f>
        <v>B-PM</v>
      </c>
      <c r="F857" s="4" t="str">
        <f>Fact_Defect_Split!F144</f>
        <v>A</v>
      </c>
      <c r="G857" s="4" t="s">
        <v>503</v>
      </c>
      <c r="H857" s="19">
        <f>Fact_Defect_Split!J144</f>
        <v>0</v>
      </c>
    </row>
    <row r="858" spans="1:8" x14ac:dyDescent="0.25">
      <c r="A858" s="18" t="s">
        <v>1839</v>
      </c>
      <c r="B858" s="4">
        <f>Fact_Defect_Split!B144</f>
        <v>20260701</v>
      </c>
      <c r="C858" s="4">
        <f>Fact_Defect_Split!C144</f>
        <v>20</v>
      </c>
      <c r="D858" s="4" t="str">
        <f>Fact_Defect_Split!D144</f>
        <v>M3</v>
      </c>
      <c r="E858" s="4" t="str">
        <f>Fact_Defect_Split!E144</f>
        <v>B-PM</v>
      </c>
      <c r="F858" s="4" t="str">
        <f>Fact_Defect_Split!F144</f>
        <v>A</v>
      </c>
      <c r="G858" s="4" t="s">
        <v>509</v>
      </c>
      <c r="H858" s="19">
        <f>Fact_Defect_Split!K144</f>
        <v>0</v>
      </c>
    </row>
    <row r="859" spans="1:8" x14ac:dyDescent="0.25">
      <c r="A859" s="18" t="s">
        <v>1840</v>
      </c>
      <c r="B859" s="4">
        <f>Fact_Defect_Split!B144</f>
        <v>20260701</v>
      </c>
      <c r="C859" s="4">
        <f>Fact_Defect_Split!C144</f>
        <v>20</v>
      </c>
      <c r="D859" s="4" t="str">
        <f>Fact_Defect_Split!D144</f>
        <v>M3</v>
      </c>
      <c r="E859" s="4" t="str">
        <f>Fact_Defect_Split!E144</f>
        <v>B-PM</v>
      </c>
      <c r="F859" s="4" t="str">
        <f>Fact_Defect_Split!F144</f>
        <v>A</v>
      </c>
      <c r="G859" s="4" t="s">
        <v>520</v>
      </c>
      <c r="H859" s="19">
        <f>Fact_Defect_Split!L144</f>
        <v>1</v>
      </c>
    </row>
    <row r="860" spans="1:8" x14ac:dyDescent="0.25">
      <c r="A860" s="18" t="s">
        <v>1841</v>
      </c>
      <c r="B860" s="4">
        <f>Fact_Defect_Split!B145</f>
        <v>20260701</v>
      </c>
      <c r="C860" s="4">
        <f>Fact_Defect_Split!C145</f>
        <v>20</v>
      </c>
      <c r="D860" s="4" t="str">
        <f>Fact_Defect_Split!D145</f>
        <v>M4</v>
      </c>
      <c r="E860" s="4" t="str">
        <f>Fact_Defect_Split!E145</f>
        <v>B-PM</v>
      </c>
      <c r="F860" s="4" t="str">
        <f>Fact_Defect_Split!F145</f>
        <v>A</v>
      </c>
      <c r="G860" s="4" t="s">
        <v>498</v>
      </c>
      <c r="H860" s="19">
        <f>Fact_Defect_Split!G145</f>
        <v>0</v>
      </c>
    </row>
    <row r="861" spans="1:8" x14ac:dyDescent="0.25">
      <c r="A861" s="18" t="s">
        <v>1842</v>
      </c>
      <c r="B861" s="4">
        <f>Fact_Defect_Split!B145</f>
        <v>20260701</v>
      </c>
      <c r="C861" s="4">
        <f>Fact_Defect_Split!C145</f>
        <v>20</v>
      </c>
      <c r="D861" s="4" t="str">
        <f>Fact_Defect_Split!D145</f>
        <v>M4</v>
      </c>
      <c r="E861" s="4" t="str">
        <f>Fact_Defect_Split!E145</f>
        <v>B-PM</v>
      </c>
      <c r="F861" s="4" t="str">
        <f>Fact_Defect_Split!F145</f>
        <v>A</v>
      </c>
      <c r="G861" s="4" t="s">
        <v>500</v>
      </c>
      <c r="H861" s="19">
        <f>Fact_Defect_Split!H145</f>
        <v>0</v>
      </c>
    </row>
    <row r="862" spans="1:8" x14ac:dyDescent="0.25">
      <c r="A862" s="18" t="s">
        <v>1843</v>
      </c>
      <c r="B862" s="4">
        <f>Fact_Defect_Split!B145</f>
        <v>20260701</v>
      </c>
      <c r="C862" s="4">
        <f>Fact_Defect_Split!C145</f>
        <v>20</v>
      </c>
      <c r="D862" s="4" t="str">
        <f>Fact_Defect_Split!D145</f>
        <v>M4</v>
      </c>
      <c r="E862" s="4" t="str">
        <f>Fact_Defect_Split!E145</f>
        <v>B-PM</v>
      </c>
      <c r="F862" s="4" t="str">
        <f>Fact_Defect_Split!F145</f>
        <v>A</v>
      </c>
      <c r="G862" s="4" t="s">
        <v>517</v>
      </c>
      <c r="H862" s="19">
        <f>Fact_Defect_Split!I145</f>
        <v>0</v>
      </c>
    </row>
    <row r="863" spans="1:8" x14ac:dyDescent="0.25">
      <c r="A863" s="18" t="s">
        <v>1844</v>
      </c>
      <c r="B863" s="4">
        <f>Fact_Defect_Split!B145</f>
        <v>20260701</v>
      </c>
      <c r="C863" s="4">
        <f>Fact_Defect_Split!C145</f>
        <v>20</v>
      </c>
      <c r="D863" s="4" t="str">
        <f>Fact_Defect_Split!D145</f>
        <v>M4</v>
      </c>
      <c r="E863" s="4" t="str">
        <f>Fact_Defect_Split!E145</f>
        <v>B-PM</v>
      </c>
      <c r="F863" s="4" t="str">
        <f>Fact_Defect_Split!F145</f>
        <v>A</v>
      </c>
      <c r="G863" s="4" t="s">
        <v>503</v>
      </c>
      <c r="H863" s="19">
        <f>Fact_Defect_Split!J145</f>
        <v>1</v>
      </c>
    </row>
    <row r="864" spans="1:8" x14ac:dyDescent="0.25">
      <c r="A864" s="18" t="s">
        <v>1845</v>
      </c>
      <c r="B864" s="4">
        <f>Fact_Defect_Split!B145</f>
        <v>20260701</v>
      </c>
      <c r="C864" s="4">
        <f>Fact_Defect_Split!C145</f>
        <v>20</v>
      </c>
      <c r="D864" s="4" t="str">
        <f>Fact_Defect_Split!D145</f>
        <v>M4</v>
      </c>
      <c r="E864" s="4" t="str">
        <f>Fact_Defect_Split!E145</f>
        <v>B-PM</v>
      </c>
      <c r="F864" s="4" t="str">
        <f>Fact_Defect_Split!F145</f>
        <v>A</v>
      </c>
      <c r="G864" s="4" t="s">
        <v>509</v>
      </c>
      <c r="H864" s="19">
        <f>Fact_Defect_Split!K145</f>
        <v>1</v>
      </c>
    </row>
    <row r="865" spans="1:8" x14ac:dyDescent="0.25">
      <c r="A865" s="18" t="s">
        <v>1846</v>
      </c>
      <c r="B865" s="4">
        <f>Fact_Defect_Split!B145</f>
        <v>20260701</v>
      </c>
      <c r="C865" s="4">
        <f>Fact_Defect_Split!C145</f>
        <v>20</v>
      </c>
      <c r="D865" s="4" t="str">
        <f>Fact_Defect_Split!D145</f>
        <v>M4</v>
      </c>
      <c r="E865" s="4" t="str">
        <f>Fact_Defect_Split!E145</f>
        <v>B-PM</v>
      </c>
      <c r="F865" s="4" t="str">
        <f>Fact_Defect_Split!F145</f>
        <v>A</v>
      </c>
      <c r="G865" s="4" t="s">
        <v>520</v>
      </c>
      <c r="H865" s="19">
        <f>Fact_Defect_Split!L145</f>
        <v>1</v>
      </c>
    </row>
    <row r="866" spans="1:8" x14ac:dyDescent="0.25">
      <c r="A866" s="18" t="s">
        <v>1847</v>
      </c>
      <c r="B866" s="4">
        <f>Fact_Defect_Split!B146</f>
        <v>20260701</v>
      </c>
      <c r="C866" s="4">
        <f>Fact_Defect_Split!C146</f>
        <v>20</v>
      </c>
      <c r="D866" s="4" t="str">
        <f>Fact_Defect_Split!D146</f>
        <v>M5</v>
      </c>
      <c r="E866" s="4" t="str">
        <f>Fact_Defect_Split!E146</f>
        <v>B-PM</v>
      </c>
      <c r="F866" s="4" t="str">
        <f>Fact_Defect_Split!F146</f>
        <v>A</v>
      </c>
      <c r="G866" s="4" t="s">
        <v>498</v>
      </c>
      <c r="H866" s="19">
        <f>Fact_Defect_Split!G146</f>
        <v>0</v>
      </c>
    </row>
    <row r="867" spans="1:8" x14ac:dyDescent="0.25">
      <c r="A867" s="18" t="s">
        <v>1848</v>
      </c>
      <c r="B867" s="4">
        <f>Fact_Defect_Split!B146</f>
        <v>20260701</v>
      </c>
      <c r="C867" s="4">
        <f>Fact_Defect_Split!C146</f>
        <v>20</v>
      </c>
      <c r="D867" s="4" t="str">
        <f>Fact_Defect_Split!D146</f>
        <v>M5</v>
      </c>
      <c r="E867" s="4" t="str">
        <f>Fact_Defect_Split!E146</f>
        <v>B-PM</v>
      </c>
      <c r="F867" s="4" t="str">
        <f>Fact_Defect_Split!F146</f>
        <v>A</v>
      </c>
      <c r="G867" s="4" t="s">
        <v>500</v>
      </c>
      <c r="H867" s="19">
        <f>Fact_Defect_Split!H146</f>
        <v>0</v>
      </c>
    </row>
    <row r="868" spans="1:8" x14ac:dyDescent="0.25">
      <c r="A868" s="18" t="s">
        <v>1849</v>
      </c>
      <c r="B868" s="4">
        <f>Fact_Defect_Split!B146</f>
        <v>20260701</v>
      </c>
      <c r="C868" s="4">
        <f>Fact_Defect_Split!C146</f>
        <v>20</v>
      </c>
      <c r="D868" s="4" t="str">
        <f>Fact_Defect_Split!D146</f>
        <v>M5</v>
      </c>
      <c r="E868" s="4" t="str">
        <f>Fact_Defect_Split!E146</f>
        <v>B-PM</v>
      </c>
      <c r="F868" s="4" t="str">
        <f>Fact_Defect_Split!F146</f>
        <v>A</v>
      </c>
      <c r="G868" s="4" t="s">
        <v>517</v>
      </c>
      <c r="H868" s="19">
        <f>Fact_Defect_Split!I146</f>
        <v>0</v>
      </c>
    </row>
    <row r="869" spans="1:8" x14ac:dyDescent="0.25">
      <c r="A869" s="18" t="s">
        <v>1850</v>
      </c>
      <c r="B869" s="4">
        <f>Fact_Defect_Split!B146</f>
        <v>20260701</v>
      </c>
      <c r="C869" s="4">
        <f>Fact_Defect_Split!C146</f>
        <v>20</v>
      </c>
      <c r="D869" s="4" t="str">
        <f>Fact_Defect_Split!D146</f>
        <v>M5</v>
      </c>
      <c r="E869" s="4" t="str">
        <f>Fact_Defect_Split!E146</f>
        <v>B-PM</v>
      </c>
      <c r="F869" s="4" t="str">
        <f>Fact_Defect_Split!F146</f>
        <v>A</v>
      </c>
      <c r="G869" s="4" t="s">
        <v>503</v>
      </c>
      <c r="H869" s="19">
        <f>Fact_Defect_Split!J146</f>
        <v>0</v>
      </c>
    </row>
    <row r="870" spans="1:8" x14ac:dyDescent="0.25">
      <c r="A870" s="18" t="s">
        <v>1851</v>
      </c>
      <c r="B870" s="4">
        <f>Fact_Defect_Split!B146</f>
        <v>20260701</v>
      </c>
      <c r="C870" s="4">
        <f>Fact_Defect_Split!C146</f>
        <v>20</v>
      </c>
      <c r="D870" s="4" t="str">
        <f>Fact_Defect_Split!D146</f>
        <v>M5</v>
      </c>
      <c r="E870" s="4" t="str">
        <f>Fact_Defect_Split!E146</f>
        <v>B-PM</v>
      </c>
      <c r="F870" s="4" t="str">
        <f>Fact_Defect_Split!F146</f>
        <v>A</v>
      </c>
      <c r="G870" s="4" t="s">
        <v>509</v>
      </c>
      <c r="H870" s="19">
        <f>Fact_Defect_Split!K146</f>
        <v>0</v>
      </c>
    </row>
    <row r="871" spans="1:8" x14ac:dyDescent="0.25">
      <c r="A871" s="18" t="s">
        <v>1852</v>
      </c>
      <c r="B871" s="4">
        <f>Fact_Defect_Split!B146</f>
        <v>20260701</v>
      </c>
      <c r="C871" s="4">
        <f>Fact_Defect_Split!C146</f>
        <v>20</v>
      </c>
      <c r="D871" s="4" t="str">
        <f>Fact_Defect_Split!D146</f>
        <v>M5</v>
      </c>
      <c r="E871" s="4" t="str">
        <f>Fact_Defect_Split!E146</f>
        <v>B-PM</v>
      </c>
      <c r="F871" s="4" t="str">
        <f>Fact_Defect_Split!F146</f>
        <v>A</v>
      </c>
      <c r="G871" s="4" t="s">
        <v>520</v>
      </c>
      <c r="H871" s="19">
        <f>Fact_Defect_Split!L146</f>
        <v>1</v>
      </c>
    </row>
    <row r="872" spans="1:8" x14ac:dyDescent="0.25">
      <c r="A872" s="18" t="s">
        <v>1853</v>
      </c>
      <c r="B872" s="4">
        <f>Fact_Defect_Split!B147</f>
        <v>20260701</v>
      </c>
      <c r="C872" s="4">
        <f>Fact_Defect_Split!C147</f>
        <v>20</v>
      </c>
      <c r="D872" s="4" t="str">
        <f>Fact_Defect_Split!D147</f>
        <v>M6</v>
      </c>
      <c r="E872" s="4" t="str">
        <f>Fact_Defect_Split!E147</f>
        <v>B-PM</v>
      </c>
      <c r="F872" s="4" t="str">
        <f>Fact_Defect_Split!F147</f>
        <v>C</v>
      </c>
      <c r="G872" s="4" t="s">
        <v>498</v>
      </c>
      <c r="H872" s="19">
        <f>Fact_Defect_Split!G147</f>
        <v>0</v>
      </c>
    </row>
    <row r="873" spans="1:8" x14ac:dyDescent="0.25">
      <c r="A873" s="18" t="s">
        <v>1854</v>
      </c>
      <c r="B873" s="4">
        <f>Fact_Defect_Split!B147</f>
        <v>20260701</v>
      </c>
      <c r="C873" s="4">
        <f>Fact_Defect_Split!C147</f>
        <v>20</v>
      </c>
      <c r="D873" s="4" t="str">
        <f>Fact_Defect_Split!D147</f>
        <v>M6</v>
      </c>
      <c r="E873" s="4" t="str">
        <f>Fact_Defect_Split!E147</f>
        <v>B-PM</v>
      </c>
      <c r="F873" s="4" t="str">
        <f>Fact_Defect_Split!F147</f>
        <v>C</v>
      </c>
      <c r="G873" s="4" t="s">
        <v>500</v>
      </c>
      <c r="H873" s="19">
        <f>Fact_Defect_Split!H147</f>
        <v>0</v>
      </c>
    </row>
    <row r="874" spans="1:8" x14ac:dyDescent="0.25">
      <c r="A874" s="18" t="s">
        <v>1855</v>
      </c>
      <c r="B874" s="4">
        <f>Fact_Defect_Split!B147</f>
        <v>20260701</v>
      </c>
      <c r="C874" s="4">
        <f>Fact_Defect_Split!C147</f>
        <v>20</v>
      </c>
      <c r="D874" s="4" t="str">
        <f>Fact_Defect_Split!D147</f>
        <v>M6</v>
      </c>
      <c r="E874" s="4" t="str">
        <f>Fact_Defect_Split!E147</f>
        <v>B-PM</v>
      </c>
      <c r="F874" s="4" t="str">
        <f>Fact_Defect_Split!F147</f>
        <v>C</v>
      </c>
      <c r="G874" s="4" t="s">
        <v>517</v>
      </c>
      <c r="H874" s="19">
        <f>Fact_Defect_Split!I147</f>
        <v>0</v>
      </c>
    </row>
    <row r="875" spans="1:8" x14ac:dyDescent="0.25">
      <c r="A875" s="18" t="s">
        <v>1856</v>
      </c>
      <c r="B875" s="4">
        <f>Fact_Defect_Split!B147</f>
        <v>20260701</v>
      </c>
      <c r="C875" s="4">
        <f>Fact_Defect_Split!C147</f>
        <v>20</v>
      </c>
      <c r="D875" s="4" t="str">
        <f>Fact_Defect_Split!D147</f>
        <v>M6</v>
      </c>
      <c r="E875" s="4" t="str">
        <f>Fact_Defect_Split!E147</f>
        <v>B-PM</v>
      </c>
      <c r="F875" s="4" t="str">
        <f>Fact_Defect_Split!F147</f>
        <v>C</v>
      </c>
      <c r="G875" s="4" t="s">
        <v>503</v>
      </c>
      <c r="H875" s="19">
        <f>Fact_Defect_Split!J147</f>
        <v>0</v>
      </c>
    </row>
    <row r="876" spans="1:8" x14ac:dyDescent="0.25">
      <c r="A876" s="18" t="s">
        <v>1857</v>
      </c>
      <c r="B876" s="4">
        <f>Fact_Defect_Split!B147</f>
        <v>20260701</v>
      </c>
      <c r="C876" s="4">
        <f>Fact_Defect_Split!C147</f>
        <v>20</v>
      </c>
      <c r="D876" s="4" t="str">
        <f>Fact_Defect_Split!D147</f>
        <v>M6</v>
      </c>
      <c r="E876" s="4" t="str">
        <f>Fact_Defect_Split!E147</f>
        <v>B-PM</v>
      </c>
      <c r="F876" s="4" t="str">
        <f>Fact_Defect_Split!F147</f>
        <v>C</v>
      </c>
      <c r="G876" s="4" t="s">
        <v>509</v>
      </c>
      <c r="H876" s="19">
        <f>Fact_Defect_Split!K147</f>
        <v>1</v>
      </c>
    </row>
    <row r="877" spans="1:8" x14ac:dyDescent="0.25">
      <c r="A877" s="18" t="s">
        <v>1858</v>
      </c>
      <c r="B877" s="4">
        <f>Fact_Defect_Split!B147</f>
        <v>20260701</v>
      </c>
      <c r="C877" s="4">
        <f>Fact_Defect_Split!C147</f>
        <v>20</v>
      </c>
      <c r="D877" s="4" t="str">
        <f>Fact_Defect_Split!D147</f>
        <v>M6</v>
      </c>
      <c r="E877" s="4" t="str">
        <f>Fact_Defect_Split!E147</f>
        <v>B-PM</v>
      </c>
      <c r="F877" s="4" t="str">
        <f>Fact_Defect_Split!F147</f>
        <v>C</v>
      </c>
      <c r="G877" s="4" t="s">
        <v>520</v>
      </c>
      <c r="H877" s="19">
        <f>Fact_Defect_Split!L147</f>
        <v>0</v>
      </c>
    </row>
    <row r="878" spans="1:8" x14ac:dyDescent="0.25">
      <c r="A878" s="18" t="s">
        <v>1859</v>
      </c>
      <c r="B878" s="4">
        <f>Fact_Defect_Split!B148</f>
        <v>20260701</v>
      </c>
      <c r="C878" s="4">
        <f>Fact_Defect_Split!C148</f>
        <v>20</v>
      </c>
      <c r="D878" s="4" t="str">
        <f>Fact_Defect_Split!D148</f>
        <v>M7</v>
      </c>
      <c r="E878" s="4" t="str">
        <f>Fact_Defect_Split!E148</f>
        <v>B-PM</v>
      </c>
      <c r="F878" s="4" t="str">
        <f>Fact_Defect_Split!F148</f>
        <v>A</v>
      </c>
      <c r="G878" s="4" t="s">
        <v>498</v>
      </c>
      <c r="H878" s="19">
        <f>Fact_Defect_Split!G148</f>
        <v>0</v>
      </c>
    </row>
    <row r="879" spans="1:8" x14ac:dyDescent="0.25">
      <c r="A879" s="18" t="s">
        <v>1860</v>
      </c>
      <c r="B879" s="4">
        <f>Fact_Defect_Split!B148</f>
        <v>20260701</v>
      </c>
      <c r="C879" s="4">
        <f>Fact_Defect_Split!C148</f>
        <v>20</v>
      </c>
      <c r="D879" s="4" t="str">
        <f>Fact_Defect_Split!D148</f>
        <v>M7</v>
      </c>
      <c r="E879" s="4" t="str">
        <f>Fact_Defect_Split!E148</f>
        <v>B-PM</v>
      </c>
      <c r="F879" s="4" t="str">
        <f>Fact_Defect_Split!F148</f>
        <v>A</v>
      </c>
      <c r="G879" s="4" t="s">
        <v>500</v>
      </c>
      <c r="H879" s="19">
        <f>Fact_Defect_Split!H148</f>
        <v>0</v>
      </c>
    </row>
    <row r="880" spans="1:8" x14ac:dyDescent="0.25">
      <c r="A880" s="18" t="s">
        <v>1861</v>
      </c>
      <c r="B880" s="4">
        <f>Fact_Defect_Split!B148</f>
        <v>20260701</v>
      </c>
      <c r="C880" s="4">
        <f>Fact_Defect_Split!C148</f>
        <v>20</v>
      </c>
      <c r="D880" s="4" t="str">
        <f>Fact_Defect_Split!D148</f>
        <v>M7</v>
      </c>
      <c r="E880" s="4" t="str">
        <f>Fact_Defect_Split!E148</f>
        <v>B-PM</v>
      </c>
      <c r="F880" s="4" t="str">
        <f>Fact_Defect_Split!F148</f>
        <v>A</v>
      </c>
      <c r="G880" s="4" t="s">
        <v>517</v>
      </c>
      <c r="H880" s="19">
        <f>Fact_Defect_Split!I148</f>
        <v>0</v>
      </c>
    </row>
    <row r="881" spans="1:8" x14ac:dyDescent="0.25">
      <c r="A881" s="18" t="s">
        <v>1862</v>
      </c>
      <c r="B881" s="4">
        <f>Fact_Defect_Split!B148</f>
        <v>20260701</v>
      </c>
      <c r="C881" s="4">
        <f>Fact_Defect_Split!C148</f>
        <v>20</v>
      </c>
      <c r="D881" s="4" t="str">
        <f>Fact_Defect_Split!D148</f>
        <v>M7</v>
      </c>
      <c r="E881" s="4" t="str">
        <f>Fact_Defect_Split!E148</f>
        <v>B-PM</v>
      </c>
      <c r="F881" s="4" t="str">
        <f>Fact_Defect_Split!F148</f>
        <v>A</v>
      </c>
      <c r="G881" s="4" t="s">
        <v>503</v>
      </c>
      <c r="H881" s="19">
        <f>Fact_Defect_Split!J148</f>
        <v>0</v>
      </c>
    </row>
    <row r="882" spans="1:8" x14ac:dyDescent="0.25">
      <c r="A882" s="18" t="s">
        <v>1863</v>
      </c>
      <c r="B882" s="4">
        <f>Fact_Defect_Split!B148</f>
        <v>20260701</v>
      </c>
      <c r="C882" s="4">
        <f>Fact_Defect_Split!C148</f>
        <v>20</v>
      </c>
      <c r="D882" s="4" t="str">
        <f>Fact_Defect_Split!D148</f>
        <v>M7</v>
      </c>
      <c r="E882" s="4" t="str">
        <f>Fact_Defect_Split!E148</f>
        <v>B-PM</v>
      </c>
      <c r="F882" s="4" t="str">
        <f>Fact_Defect_Split!F148</f>
        <v>A</v>
      </c>
      <c r="G882" s="4" t="s">
        <v>509</v>
      </c>
      <c r="H882" s="19">
        <f>Fact_Defect_Split!K148</f>
        <v>1</v>
      </c>
    </row>
    <row r="883" spans="1:8" x14ac:dyDescent="0.25">
      <c r="A883" s="18" t="s">
        <v>1864</v>
      </c>
      <c r="B883" s="4">
        <f>Fact_Defect_Split!B148</f>
        <v>20260701</v>
      </c>
      <c r="C883" s="4">
        <f>Fact_Defect_Split!C148</f>
        <v>20</v>
      </c>
      <c r="D883" s="4" t="str">
        <f>Fact_Defect_Split!D148</f>
        <v>M7</v>
      </c>
      <c r="E883" s="4" t="str">
        <f>Fact_Defect_Split!E148</f>
        <v>B-PM</v>
      </c>
      <c r="F883" s="4" t="str">
        <f>Fact_Defect_Split!F148</f>
        <v>A</v>
      </c>
      <c r="G883" s="4" t="s">
        <v>520</v>
      </c>
      <c r="H883" s="19">
        <f>Fact_Defect_Split!L148</f>
        <v>0</v>
      </c>
    </row>
    <row r="884" spans="1:8" x14ac:dyDescent="0.25">
      <c r="A884" s="18" t="s">
        <v>1865</v>
      </c>
      <c r="B884" s="4">
        <f>Fact_Defect_Split!B149</f>
        <v>20260701</v>
      </c>
      <c r="C884" s="4">
        <f>Fact_Defect_Split!C149</f>
        <v>21</v>
      </c>
      <c r="D884" s="4" t="str">
        <f>Fact_Defect_Split!D149</f>
        <v>M1</v>
      </c>
      <c r="E884" s="4" t="str">
        <f>Fact_Defect_Split!E149</f>
        <v>B-PM</v>
      </c>
      <c r="F884" s="4" t="str">
        <f>Fact_Defect_Split!F149</f>
        <v>A</v>
      </c>
      <c r="G884" s="4" t="s">
        <v>498</v>
      </c>
      <c r="H884" s="19">
        <f>Fact_Defect_Split!G149</f>
        <v>0</v>
      </c>
    </row>
    <row r="885" spans="1:8" x14ac:dyDescent="0.25">
      <c r="A885" s="18" t="s">
        <v>1866</v>
      </c>
      <c r="B885" s="4">
        <f>Fact_Defect_Split!B149</f>
        <v>20260701</v>
      </c>
      <c r="C885" s="4">
        <f>Fact_Defect_Split!C149</f>
        <v>21</v>
      </c>
      <c r="D885" s="4" t="str">
        <f>Fact_Defect_Split!D149</f>
        <v>M1</v>
      </c>
      <c r="E885" s="4" t="str">
        <f>Fact_Defect_Split!E149</f>
        <v>B-PM</v>
      </c>
      <c r="F885" s="4" t="str">
        <f>Fact_Defect_Split!F149</f>
        <v>A</v>
      </c>
      <c r="G885" s="4" t="s">
        <v>500</v>
      </c>
      <c r="H885" s="19">
        <f>Fact_Defect_Split!H149</f>
        <v>0</v>
      </c>
    </row>
    <row r="886" spans="1:8" x14ac:dyDescent="0.25">
      <c r="A886" s="18" t="s">
        <v>1867</v>
      </c>
      <c r="B886" s="4">
        <f>Fact_Defect_Split!B149</f>
        <v>20260701</v>
      </c>
      <c r="C886" s="4">
        <f>Fact_Defect_Split!C149</f>
        <v>21</v>
      </c>
      <c r="D886" s="4" t="str">
        <f>Fact_Defect_Split!D149</f>
        <v>M1</v>
      </c>
      <c r="E886" s="4" t="str">
        <f>Fact_Defect_Split!E149</f>
        <v>B-PM</v>
      </c>
      <c r="F886" s="4" t="str">
        <f>Fact_Defect_Split!F149</f>
        <v>A</v>
      </c>
      <c r="G886" s="4" t="s">
        <v>517</v>
      </c>
      <c r="H886" s="19">
        <f>Fact_Defect_Split!I149</f>
        <v>1</v>
      </c>
    </row>
    <row r="887" spans="1:8" x14ac:dyDescent="0.25">
      <c r="A887" s="18" t="s">
        <v>1868</v>
      </c>
      <c r="B887" s="4">
        <f>Fact_Defect_Split!B149</f>
        <v>20260701</v>
      </c>
      <c r="C887" s="4">
        <f>Fact_Defect_Split!C149</f>
        <v>21</v>
      </c>
      <c r="D887" s="4" t="str">
        <f>Fact_Defect_Split!D149</f>
        <v>M1</v>
      </c>
      <c r="E887" s="4" t="str">
        <f>Fact_Defect_Split!E149</f>
        <v>B-PM</v>
      </c>
      <c r="F887" s="4" t="str">
        <f>Fact_Defect_Split!F149</f>
        <v>A</v>
      </c>
      <c r="G887" s="4" t="s">
        <v>503</v>
      </c>
      <c r="H887" s="19">
        <f>Fact_Defect_Split!J149</f>
        <v>0</v>
      </c>
    </row>
    <row r="888" spans="1:8" x14ac:dyDescent="0.25">
      <c r="A888" s="18" t="s">
        <v>1869</v>
      </c>
      <c r="B888" s="4">
        <f>Fact_Defect_Split!B149</f>
        <v>20260701</v>
      </c>
      <c r="C888" s="4">
        <f>Fact_Defect_Split!C149</f>
        <v>21</v>
      </c>
      <c r="D888" s="4" t="str">
        <f>Fact_Defect_Split!D149</f>
        <v>M1</v>
      </c>
      <c r="E888" s="4" t="str">
        <f>Fact_Defect_Split!E149</f>
        <v>B-PM</v>
      </c>
      <c r="F888" s="4" t="str">
        <f>Fact_Defect_Split!F149</f>
        <v>A</v>
      </c>
      <c r="G888" s="4" t="s">
        <v>509</v>
      </c>
      <c r="H888" s="19">
        <f>Fact_Defect_Split!K149</f>
        <v>1</v>
      </c>
    </row>
    <row r="889" spans="1:8" x14ac:dyDescent="0.25">
      <c r="A889" s="18" t="s">
        <v>1870</v>
      </c>
      <c r="B889" s="4">
        <f>Fact_Defect_Split!B149</f>
        <v>20260701</v>
      </c>
      <c r="C889" s="4">
        <f>Fact_Defect_Split!C149</f>
        <v>21</v>
      </c>
      <c r="D889" s="4" t="str">
        <f>Fact_Defect_Split!D149</f>
        <v>M1</v>
      </c>
      <c r="E889" s="4" t="str">
        <f>Fact_Defect_Split!E149</f>
        <v>B-PM</v>
      </c>
      <c r="F889" s="4" t="str">
        <f>Fact_Defect_Split!F149</f>
        <v>A</v>
      </c>
      <c r="G889" s="4" t="s">
        <v>520</v>
      </c>
      <c r="H889" s="19">
        <f>Fact_Defect_Split!L149</f>
        <v>0</v>
      </c>
    </row>
    <row r="890" spans="1:8" x14ac:dyDescent="0.25">
      <c r="A890" s="18" t="s">
        <v>1871</v>
      </c>
      <c r="B890" s="4">
        <f>Fact_Defect_Split!B150</f>
        <v>20260701</v>
      </c>
      <c r="C890" s="4">
        <f>Fact_Defect_Split!C150</f>
        <v>21</v>
      </c>
      <c r="D890" s="4" t="str">
        <f>Fact_Defect_Split!D150</f>
        <v>M2</v>
      </c>
      <c r="E890" s="4" t="str">
        <f>Fact_Defect_Split!E150</f>
        <v>B-PM</v>
      </c>
      <c r="F890" s="4" t="str">
        <f>Fact_Defect_Split!F150</f>
        <v>C</v>
      </c>
      <c r="G890" s="4" t="s">
        <v>498</v>
      </c>
      <c r="H890" s="19">
        <f>Fact_Defect_Split!G150</f>
        <v>0</v>
      </c>
    </row>
    <row r="891" spans="1:8" x14ac:dyDescent="0.25">
      <c r="A891" s="18" t="s">
        <v>1872</v>
      </c>
      <c r="B891" s="4">
        <f>Fact_Defect_Split!B150</f>
        <v>20260701</v>
      </c>
      <c r="C891" s="4">
        <f>Fact_Defect_Split!C150</f>
        <v>21</v>
      </c>
      <c r="D891" s="4" t="str">
        <f>Fact_Defect_Split!D150</f>
        <v>M2</v>
      </c>
      <c r="E891" s="4" t="str">
        <f>Fact_Defect_Split!E150</f>
        <v>B-PM</v>
      </c>
      <c r="F891" s="4" t="str">
        <f>Fact_Defect_Split!F150</f>
        <v>C</v>
      </c>
      <c r="G891" s="4" t="s">
        <v>500</v>
      </c>
      <c r="H891" s="19">
        <f>Fact_Defect_Split!H150</f>
        <v>0</v>
      </c>
    </row>
    <row r="892" spans="1:8" x14ac:dyDescent="0.25">
      <c r="A892" s="18" t="s">
        <v>1873</v>
      </c>
      <c r="B892" s="4">
        <f>Fact_Defect_Split!B150</f>
        <v>20260701</v>
      </c>
      <c r="C892" s="4">
        <f>Fact_Defect_Split!C150</f>
        <v>21</v>
      </c>
      <c r="D892" s="4" t="str">
        <f>Fact_Defect_Split!D150</f>
        <v>M2</v>
      </c>
      <c r="E892" s="4" t="str">
        <f>Fact_Defect_Split!E150</f>
        <v>B-PM</v>
      </c>
      <c r="F892" s="4" t="str">
        <f>Fact_Defect_Split!F150</f>
        <v>C</v>
      </c>
      <c r="G892" s="4" t="s">
        <v>517</v>
      </c>
      <c r="H892" s="19">
        <f>Fact_Defect_Split!I150</f>
        <v>0</v>
      </c>
    </row>
    <row r="893" spans="1:8" x14ac:dyDescent="0.25">
      <c r="A893" s="18" t="s">
        <v>1874</v>
      </c>
      <c r="B893" s="4">
        <f>Fact_Defect_Split!B150</f>
        <v>20260701</v>
      </c>
      <c r="C893" s="4">
        <f>Fact_Defect_Split!C150</f>
        <v>21</v>
      </c>
      <c r="D893" s="4" t="str">
        <f>Fact_Defect_Split!D150</f>
        <v>M2</v>
      </c>
      <c r="E893" s="4" t="str">
        <f>Fact_Defect_Split!E150</f>
        <v>B-PM</v>
      </c>
      <c r="F893" s="4" t="str">
        <f>Fact_Defect_Split!F150</f>
        <v>C</v>
      </c>
      <c r="G893" s="4" t="s">
        <v>503</v>
      </c>
      <c r="H893" s="19">
        <f>Fact_Defect_Split!J150</f>
        <v>1</v>
      </c>
    </row>
    <row r="894" spans="1:8" x14ac:dyDescent="0.25">
      <c r="A894" s="18" t="s">
        <v>1875</v>
      </c>
      <c r="B894" s="4">
        <f>Fact_Defect_Split!B150</f>
        <v>20260701</v>
      </c>
      <c r="C894" s="4">
        <f>Fact_Defect_Split!C150</f>
        <v>21</v>
      </c>
      <c r="D894" s="4" t="str">
        <f>Fact_Defect_Split!D150</f>
        <v>M2</v>
      </c>
      <c r="E894" s="4" t="str">
        <f>Fact_Defect_Split!E150</f>
        <v>B-PM</v>
      </c>
      <c r="F894" s="4" t="str">
        <f>Fact_Defect_Split!F150</f>
        <v>C</v>
      </c>
      <c r="G894" s="4" t="s">
        <v>509</v>
      </c>
      <c r="H894" s="19">
        <f>Fact_Defect_Split!K150</f>
        <v>1</v>
      </c>
    </row>
    <row r="895" spans="1:8" x14ac:dyDescent="0.25">
      <c r="A895" s="18" t="s">
        <v>1876</v>
      </c>
      <c r="B895" s="4">
        <f>Fact_Defect_Split!B150</f>
        <v>20260701</v>
      </c>
      <c r="C895" s="4">
        <f>Fact_Defect_Split!C150</f>
        <v>21</v>
      </c>
      <c r="D895" s="4" t="str">
        <f>Fact_Defect_Split!D150</f>
        <v>M2</v>
      </c>
      <c r="E895" s="4" t="str">
        <f>Fact_Defect_Split!E150</f>
        <v>B-PM</v>
      </c>
      <c r="F895" s="4" t="str">
        <f>Fact_Defect_Split!F150</f>
        <v>C</v>
      </c>
      <c r="G895" s="4" t="s">
        <v>520</v>
      </c>
      <c r="H895" s="19">
        <f>Fact_Defect_Split!L150</f>
        <v>1</v>
      </c>
    </row>
    <row r="896" spans="1:8" x14ac:dyDescent="0.25">
      <c r="A896" s="18" t="s">
        <v>1877</v>
      </c>
      <c r="B896" s="4">
        <f>Fact_Defect_Split!B151</f>
        <v>20260701</v>
      </c>
      <c r="C896" s="4">
        <f>Fact_Defect_Split!C151</f>
        <v>21</v>
      </c>
      <c r="D896" s="4" t="str">
        <f>Fact_Defect_Split!D151</f>
        <v>M3</v>
      </c>
      <c r="E896" s="4" t="str">
        <f>Fact_Defect_Split!E151</f>
        <v>B-PM</v>
      </c>
      <c r="F896" s="4" t="str">
        <f>Fact_Defect_Split!F151</f>
        <v>A</v>
      </c>
      <c r="G896" s="4" t="s">
        <v>498</v>
      </c>
      <c r="H896" s="19">
        <f>Fact_Defect_Split!G151</f>
        <v>0</v>
      </c>
    </row>
    <row r="897" spans="1:8" x14ac:dyDescent="0.25">
      <c r="A897" s="18" t="s">
        <v>1878</v>
      </c>
      <c r="B897" s="4">
        <f>Fact_Defect_Split!B151</f>
        <v>20260701</v>
      </c>
      <c r="C897" s="4">
        <f>Fact_Defect_Split!C151</f>
        <v>21</v>
      </c>
      <c r="D897" s="4" t="str">
        <f>Fact_Defect_Split!D151</f>
        <v>M3</v>
      </c>
      <c r="E897" s="4" t="str">
        <f>Fact_Defect_Split!E151</f>
        <v>B-PM</v>
      </c>
      <c r="F897" s="4" t="str">
        <f>Fact_Defect_Split!F151</f>
        <v>A</v>
      </c>
      <c r="G897" s="4" t="s">
        <v>500</v>
      </c>
      <c r="H897" s="19">
        <f>Fact_Defect_Split!H151</f>
        <v>0</v>
      </c>
    </row>
    <row r="898" spans="1:8" x14ac:dyDescent="0.25">
      <c r="A898" s="18" t="s">
        <v>1879</v>
      </c>
      <c r="B898" s="4">
        <f>Fact_Defect_Split!B151</f>
        <v>20260701</v>
      </c>
      <c r="C898" s="4">
        <f>Fact_Defect_Split!C151</f>
        <v>21</v>
      </c>
      <c r="D898" s="4" t="str">
        <f>Fact_Defect_Split!D151</f>
        <v>M3</v>
      </c>
      <c r="E898" s="4" t="str">
        <f>Fact_Defect_Split!E151</f>
        <v>B-PM</v>
      </c>
      <c r="F898" s="4" t="str">
        <f>Fact_Defect_Split!F151</f>
        <v>A</v>
      </c>
      <c r="G898" s="4" t="s">
        <v>517</v>
      </c>
      <c r="H898" s="19">
        <f>Fact_Defect_Split!I151</f>
        <v>0</v>
      </c>
    </row>
    <row r="899" spans="1:8" x14ac:dyDescent="0.25">
      <c r="A899" s="18" t="s">
        <v>1880</v>
      </c>
      <c r="B899" s="4">
        <f>Fact_Defect_Split!B151</f>
        <v>20260701</v>
      </c>
      <c r="C899" s="4">
        <f>Fact_Defect_Split!C151</f>
        <v>21</v>
      </c>
      <c r="D899" s="4" t="str">
        <f>Fact_Defect_Split!D151</f>
        <v>M3</v>
      </c>
      <c r="E899" s="4" t="str">
        <f>Fact_Defect_Split!E151</f>
        <v>B-PM</v>
      </c>
      <c r="F899" s="4" t="str">
        <f>Fact_Defect_Split!F151</f>
        <v>A</v>
      </c>
      <c r="G899" s="4" t="s">
        <v>503</v>
      </c>
      <c r="H899" s="19">
        <f>Fact_Defect_Split!J151</f>
        <v>0</v>
      </c>
    </row>
    <row r="900" spans="1:8" x14ac:dyDescent="0.25">
      <c r="A900" s="18" t="s">
        <v>1881</v>
      </c>
      <c r="B900" s="4">
        <f>Fact_Defect_Split!B151</f>
        <v>20260701</v>
      </c>
      <c r="C900" s="4">
        <f>Fact_Defect_Split!C151</f>
        <v>21</v>
      </c>
      <c r="D900" s="4" t="str">
        <f>Fact_Defect_Split!D151</f>
        <v>M3</v>
      </c>
      <c r="E900" s="4" t="str">
        <f>Fact_Defect_Split!E151</f>
        <v>B-PM</v>
      </c>
      <c r="F900" s="4" t="str">
        <f>Fact_Defect_Split!F151</f>
        <v>A</v>
      </c>
      <c r="G900" s="4" t="s">
        <v>509</v>
      </c>
      <c r="H900" s="19">
        <f>Fact_Defect_Split!K151</f>
        <v>1</v>
      </c>
    </row>
    <row r="901" spans="1:8" x14ac:dyDescent="0.25">
      <c r="A901" s="18" t="s">
        <v>1882</v>
      </c>
      <c r="B901" s="4">
        <f>Fact_Defect_Split!B151</f>
        <v>20260701</v>
      </c>
      <c r="C901" s="4">
        <f>Fact_Defect_Split!C151</f>
        <v>21</v>
      </c>
      <c r="D901" s="4" t="str">
        <f>Fact_Defect_Split!D151</f>
        <v>M3</v>
      </c>
      <c r="E901" s="4" t="str">
        <f>Fact_Defect_Split!E151</f>
        <v>B-PM</v>
      </c>
      <c r="F901" s="4" t="str">
        <f>Fact_Defect_Split!F151</f>
        <v>A</v>
      </c>
      <c r="G901" s="4" t="s">
        <v>520</v>
      </c>
      <c r="H901" s="19">
        <f>Fact_Defect_Split!L151</f>
        <v>0</v>
      </c>
    </row>
    <row r="902" spans="1:8" x14ac:dyDescent="0.25">
      <c r="A902" s="18" t="s">
        <v>1883</v>
      </c>
      <c r="B902" s="4">
        <f>Fact_Defect_Split!B152</f>
        <v>20260701</v>
      </c>
      <c r="C902" s="4">
        <f>Fact_Defect_Split!C152</f>
        <v>21</v>
      </c>
      <c r="D902" s="4" t="str">
        <f>Fact_Defect_Split!D152</f>
        <v>M4</v>
      </c>
      <c r="E902" s="4" t="str">
        <f>Fact_Defect_Split!E152</f>
        <v>B-PM</v>
      </c>
      <c r="F902" s="4" t="str">
        <f>Fact_Defect_Split!F152</f>
        <v>A</v>
      </c>
      <c r="G902" s="4" t="s">
        <v>498</v>
      </c>
      <c r="H902" s="19">
        <f>Fact_Defect_Split!G152</f>
        <v>0</v>
      </c>
    </row>
    <row r="903" spans="1:8" x14ac:dyDescent="0.25">
      <c r="A903" s="18" t="s">
        <v>1884</v>
      </c>
      <c r="B903" s="4">
        <f>Fact_Defect_Split!B152</f>
        <v>20260701</v>
      </c>
      <c r="C903" s="4">
        <f>Fact_Defect_Split!C152</f>
        <v>21</v>
      </c>
      <c r="D903" s="4" t="str">
        <f>Fact_Defect_Split!D152</f>
        <v>M4</v>
      </c>
      <c r="E903" s="4" t="str">
        <f>Fact_Defect_Split!E152</f>
        <v>B-PM</v>
      </c>
      <c r="F903" s="4" t="str">
        <f>Fact_Defect_Split!F152</f>
        <v>A</v>
      </c>
      <c r="G903" s="4" t="s">
        <v>500</v>
      </c>
      <c r="H903" s="19">
        <f>Fact_Defect_Split!H152</f>
        <v>0</v>
      </c>
    </row>
    <row r="904" spans="1:8" x14ac:dyDescent="0.25">
      <c r="A904" s="18" t="s">
        <v>1885</v>
      </c>
      <c r="B904" s="4">
        <f>Fact_Defect_Split!B152</f>
        <v>20260701</v>
      </c>
      <c r="C904" s="4">
        <f>Fact_Defect_Split!C152</f>
        <v>21</v>
      </c>
      <c r="D904" s="4" t="str">
        <f>Fact_Defect_Split!D152</f>
        <v>M4</v>
      </c>
      <c r="E904" s="4" t="str">
        <f>Fact_Defect_Split!E152</f>
        <v>B-PM</v>
      </c>
      <c r="F904" s="4" t="str">
        <f>Fact_Defect_Split!F152</f>
        <v>A</v>
      </c>
      <c r="G904" s="4" t="s">
        <v>517</v>
      </c>
      <c r="H904" s="19">
        <f>Fact_Defect_Split!I152</f>
        <v>0</v>
      </c>
    </row>
    <row r="905" spans="1:8" x14ac:dyDescent="0.25">
      <c r="A905" s="18" t="s">
        <v>1886</v>
      </c>
      <c r="B905" s="4">
        <f>Fact_Defect_Split!B152</f>
        <v>20260701</v>
      </c>
      <c r="C905" s="4">
        <f>Fact_Defect_Split!C152</f>
        <v>21</v>
      </c>
      <c r="D905" s="4" t="str">
        <f>Fact_Defect_Split!D152</f>
        <v>M4</v>
      </c>
      <c r="E905" s="4" t="str">
        <f>Fact_Defect_Split!E152</f>
        <v>B-PM</v>
      </c>
      <c r="F905" s="4" t="str">
        <f>Fact_Defect_Split!F152</f>
        <v>A</v>
      </c>
      <c r="G905" s="4" t="s">
        <v>503</v>
      </c>
      <c r="H905" s="19">
        <f>Fact_Defect_Split!J152</f>
        <v>0</v>
      </c>
    </row>
    <row r="906" spans="1:8" x14ac:dyDescent="0.25">
      <c r="A906" s="18" t="s">
        <v>1887</v>
      </c>
      <c r="B906" s="4">
        <f>Fact_Defect_Split!B152</f>
        <v>20260701</v>
      </c>
      <c r="C906" s="4">
        <f>Fact_Defect_Split!C152</f>
        <v>21</v>
      </c>
      <c r="D906" s="4" t="str">
        <f>Fact_Defect_Split!D152</f>
        <v>M4</v>
      </c>
      <c r="E906" s="4" t="str">
        <f>Fact_Defect_Split!E152</f>
        <v>B-PM</v>
      </c>
      <c r="F906" s="4" t="str">
        <f>Fact_Defect_Split!F152</f>
        <v>A</v>
      </c>
      <c r="G906" s="4" t="s">
        <v>509</v>
      </c>
      <c r="H906" s="19">
        <f>Fact_Defect_Split!K152</f>
        <v>1</v>
      </c>
    </row>
    <row r="907" spans="1:8" x14ac:dyDescent="0.25">
      <c r="A907" s="18" t="s">
        <v>1888</v>
      </c>
      <c r="B907" s="4">
        <f>Fact_Defect_Split!B152</f>
        <v>20260701</v>
      </c>
      <c r="C907" s="4">
        <f>Fact_Defect_Split!C152</f>
        <v>21</v>
      </c>
      <c r="D907" s="4" t="str">
        <f>Fact_Defect_Split!D152</f>
        <v>M4</v>
      </c>
      <c r="E907" s="4" t="str">
        <f>Fact_Defect_Split!E152</f>
        <v>B-PM</v>
      </c>
      <c r="F907" s="4" t="str">
        <f>Fact_Defect_Split!F152</f>
        <v>A</v>
      </c>
      <c r="G907" s="4" t="s">
        <v>520</v>
      </c>
      <c r="H907" s="19">
        <f>Fact_Defect_Split!L152</f>
        <v>0</v>
      </c>
    </row>
    <row r="908" spans="1:8" x14ac:dyDescent="0.25">
      <c r="A908" s="18" t="s">
        <v>1889</v>
      </c>
      <c r="B908" s="4">
        <f>Fact_Defect_Split!B153</f>
        <v>20260701</v>
      </c>
      <c r="C908" s="4">
        <f>Fact_Defect_Split!C153</f>
        <v>21</v>
      </c>
      <c r="D908" s="4" t="str">
        <f>Fact_Defect_Split!D153</f>
        <v>M5</v>
      </c>
      <c r="E908" s="4" t="str">
        <f>Fact_Defect_Split!E153</f>
        <v>B-PM</v>
      </c>
      <c r="F908" s="4" t="str">
        <f>Fact_Defect_Split!F153</f>
        <v>A</v>
      </c>
      <c r="G908" s="4" t="s">
        <v>498</v>
      </c>
      <c r="H908" s="19">
        <f>Fact_Defect_Split!G153</f>
        <v>0</v>
      </c>
    </row>
    <row r="909" spans="1:8" x14ac:dyDescent="0.25">
      <c r="A909" s="18" t="s">
        <v>1890</v>
      </c>
      <c r="B909" s="4">
        <f>Fact_Defect_Split!B153</f>
        <v>20260701</v>
      </c>
      <c r="C909" s="4">
        <f>Fact_Defect_Split!C153</f>
        <v>21</v>
      </c>
      <c r="D909" s="4" t="str">
        <f>Fact_Defect_Split!D153</f>
        <v>M5</v>
      </c>
      <c r="E909" s="4" t="str">
        <f>Fact_Defect_Split!E153</f>
        <v>B-PM</v>
      </c>
      <c r="F909" s="4" t="str">
        <f>Fact_Defect_Split!F153</f>
        <v>A</v>
      </c>
      <c r="G909" s="4" t="s">
        <v>500</v>
      </c>
      <c r="H909" s="19">
        <f>Fact_Defect_Split!H153</f>
        <v>0</v>
      </c>
    </row>
    <row r="910" spans="1:8" x14ac:dyDescent="0.25">
      <c r="A910" s="18" t="s">
        <v>1891</v>
      </c>
      <c r="B910" s="4">
        <f>Fact_Defect_Split!B153</f>
        <v>20260701</v>
      </c>
      <c r="C910" s="4">
        <f>Fact_Defect_Split!C153</f>
        <v>21</v>
      </c>
      <c r="D910" s="4" t="str">
        <f>Fact_Defect_Split!D153</f>
        <v>M5</v>
      </c>
      <c r="E910" s="4" t="str">
        <f>Fact_Defect_Split!E153</f>
        <v>B-PM</v>
      </c>
      <c r="F910" s="4" t="str">
        <f>Fact_Defect_Split!F153</f>
        <v>A</v>
      </c>
      <c r="G910" s="4" t="s">
        <v>517</v>
      </c>
      <c r="H910" s="19">
        <f>Fact_Defect_Split!I153</f>
        <v>0</v>
      </c>
    </row>
    <row r="911" spans="1:8" x14ac:dyDescent="0.25">
      <c r="A911" s="18" t="s">
        <v>1892</v>
      </c>
      <c r="B911" s="4">
        <f>Fact_Defect_Split!B153</f>
        <v>20260701</v>
      </c>
      <c r="C911" s="4">
        <f>Fact_Defect_Split!C153</f>
        <v>21</v>
      </c>
      <c r="D911" s="4" t="str">
        <f>Fact_Defect_Split!D153</f>
        <v>M5</v>
      </c>
      <c r="E911" s="4" t="str">
        <f>Fact_Defect_Split!E153</f>
        <v>B-PM</v>
      </c>
      <c r="F911" s="4" t="str">
        <f>Fact_Defect_Split!F153</f>
        <v>A</v>
      </c>
      <c r="G911" s="4" t="s">
        <v>503</v>
      </c>
      <c r="H911" s="19">
        <f>Fact_Defect_Split!J153</f>
        <v>0</v>
      </c>
    </row>
    <row r="912" spans="1:8" x14ac:dyDescent="0.25">
      <c r="A912" s="18" t="s">
        <v>1893</v>
      </c>
      <c r="B912" s="4">
        <f>Fact_Defect_Split!B153</f>
        <v>20260701</v>
      </c>
      <c r="C912" s="4">
        <f>Fact_Defect_Split!C153</f>
        <v>21</v>
      </c>
      <c r="D912" s="4" t="str">
        <f>Fact_Defect_Split!D153</f>
        <v>M5</v>
      </c>
      <c r="E912" s="4" t="str">
        <f>Fact_Defect_Split!E153</f>
        <v>B-PM</v>
      </c>
      <c r="F912" s="4" t="str">
        <f>Fact_Defect_Split!F153</f>
        <v>A</v>
      </c>
      <c r="G912" s="4" t="s">
        <v>509</v>
      </c>
      <c r="H912" s="19">
        <f>Fact_Defect_Split!K153</f>
        <v>1</v>
      </c>
    </row>
    <row r="913" spans="1:8" x14ac:dyDescent="0.25">
      <c r="A913" s="18" t="s">
        <v>1894</v>
      </c>
      <c r="B913" s="4">
        <f>Fact_Defect_Split!B153</f>
        <v>20260701</v>
      </c>
      <c r="C913" s="4">
        <f>Fact_Defect_Split!C153</f>
        <v>21</v>
      </c>
      <c r="D913" s="4" t="str">
        <f>Fact_Defect_Split!D153</f>
        <v>M5</v>
      </c>
      <c r="E913" s="4" t="str">
        <f>Fact_Defect_Split!E153</f>
        <v>B-PM</v>
      </c>
      <c r="F913" s="4" t="str">
        <f>Fact_Defect_Split!F153</f>
        <v>A</v>
      </c>
      <c r="G913" s="4" t="s">
        <v>520</v>
      </c>
      <c r="H913" s="19">
        <f>Fact_Defect_Split!L153</f>
        <v>0</v>
      </c>
    </row>
    <row r="914" spans="1:8" x14ac:dyDescent="0.25">
      <c r="A914" s="18" t="s">
        <v>1895</v>
      </c>
      <c r="B914" s="4">
        <f>Fact_Defect_Split!B154</f>
        <v>20260701</v>
      </c>
      <c r="C914" s="4">
        <f>Fact_Defect_Split!C154</f>
        <v>21</v>
      </c>
      <c r="D914" s="4" t="str">
        <f>Fact_Defect_Split!D154</f>
        <v>M6</v>
      </c>
      <c r="E914" s="4" t="str">
        <f>Fact_Defect_Split!E154</f>
        <v>B-PM</v>
      </c>
      <c r="F914" s="4" t="str">
        <f>Fact_Defect_Split!F154</f>
        <v>C</v>
      </c>
      <c r="G914" s="4" t="s">
        <v>498</v>
      </c>
      <c r="H914" s="19">
        <f>Fact_Defect_Split!G154</f>
        <v>0</v>
      </c>
    </row>
    <row r="915" spans="1:8" x14ac:dyDescent="0.25">
      <c r="A915" s="18" t="s">
        <v>1896</v>
      </c>
      <c r="B915" s="4">
        <f>Fact_Defect_Split!B154</f>
        <v>20260701</v>
      </c>
      <c r="C915" s="4">
        <f>Fact_Defect_Split!C154</f>
        <v>21</v>
      </c>
      <c r="D915" s="4" t="str">
        <f>Fact_Defect_Split!D154</f>
        <v>M6</v>
      </c>
      <c r="E915" s="4" t="str">
        <f>Fact_Defect_Split!E154</f>
        <v>B-PM</v>
      </c>
      <c r="F915" s="4" t="str">
        <f>Fact_Defect_Split!F154</f>
        <v>C</v>
      </c>
      <c r="G915" s="4" t="s">
        <v>500</v>
      </c>
      <c r="H915" s="19">
        <f>Fact_Defect_Split!H154</f>
        <v>0</v>
      </c>
    </row>
    <row r="916" spans="1:8" x14ac:dyDescent="0.25">
      <c r="A916" s="18" t="s">
        <v>1897</v>
      </c>
      <c r="B916" s="4">
        <f>Fact_Defect_Split!B154</f>
        <v>20260701</v>
      </c>
      <c r="C916" s="4">
        <f>Fact_Defect_Split!C154</f>
        <v>21</v>
      </c>
      <c r="D916" s="4" t="str">
        <f>Fact_Defect_Split!D154</f>
        <v>M6</v>
      </c>
      <c r="E916" s="4" t="str">
        <f>Fact_Defect_Split!E154</f>
        <v>B-PM</v>
      </c>
      <c r="F916" s="4" t="str">
        <f>Fact_Defect_Split!F154</f>
        <v>C</v>
      </c>
      <c r="G916" s="4" t="s">
        <v>517</v>
      </c>
      <c r="H916" s="19">
        <f>Fact_Defect_Split!I154</f>
        <v>0</v>
      </c>
    </row>
    <row r="917" spans="1:8" x14ac:dyDescent="0.25">
      <c r="A917" s="18" t="s">
        <v>1898</v>
      </c>
      <c r="B917" s="4">
        <f>Fact_Defect_Split!B154</f>
        <v>20260701</v>
      </c>
      <c r="C917" s="4">
        <f>Fact_Defect_Split!C154</f>
        <v>21</v>
      </c>
      <c r="D917" s="4" t="str">
        <f>Fact_Defect_Split!D154</f>
        <v>M6</v>
      </c>
      <c r="E917" s="4" t="str">
        <f>Fact_Defect_Split!E154</f>
        <v>B-PM</v>
      </c>
      <c r="F917" s="4" t="str">
        <f>Fact_Defect_Split!F154</f>
        <v>C</v>
      </c>
      <c r="G917" s="4" t="s">
        <v>503</v>
      </c>
      <c r="H917" s="19">
        <f>Fact_Defect_Split!J154</f>
        <v>0</v>
      </c>
    </row>
    <row r="918" spans="1:8" x14ac:dyDescent="0.25">
      <c r="A918" s="18" t="s">
        <v>1899</v>
      </c>
      <c r="B918" s="4">
        <f>Fact_Defect_Split!B154</f>
        <v>20260701</v>
      </c>
      <c r="C918" s="4">
        <f>Fact_Defect_Split!C154</f>
        <v>21</v>
      </c>
      <c r="D918" s="4" t="str">
        <f>Fact_Defect_Split!D154</f>
        <v>M6</v>
      </c>
      <c r="E918" s="4" t="str">
        <f>Fact_Defect_Split!E154</f>
        <v>B-PM</v>
      </c>
      <c r="F918" s="4" t="str">
        <f>Fact_Defect_Split!F154</f>
        <v>C</v>
      </c>
      <c r="G918" s="4" t="s">
        <v>509</v>
      </c>
      <c r="H918" s="19">
        <f>Fact_Defect_Split!K154</f>
        <v>1</v>
      </c>
    </row>
    <row r="919" spans="1:8" x14ac:dyDescent="0.25">
      <c r="A919" s="18" t="s">
        <v>1900</v>
      </c>
      <c r="B919" s="4">
        <f>Fact_Defect_Split!B154</f>
        <v>20260701</v>
      </c>
      <c r="C919" s="4">
        <f>Fact_Defect_Split!C154</f>
        <v>21</v>
      </c>
      <c r="D919" s="4" t="str">
        <f>Fact_Defect_Split!D154</f>
        <v>M6</v>
      </c>
      <c r="E919" s="4" t="str">
        <f>Fact_Defect_Split!E154</f>
        <v>B-PM</v>
      </c>
      <c r="F919" s="4" t="str">
        <f>Fact_Defect_Split!F154</f>
        <v>C</v>
      </c>
      <c r="G919" s="4" t="s">
        <v>520</v>
      </c>
      <c r="H919" s="19">
        <f>Fact_Defect_Split!L154</f>
        <v>0</v>
      </c>
    </row>
    <row r="920" spans="1:8" x14ac:dyDescent="0.25">
      <c r="A920" s="18" t="s">
        <v>1901</v>
      </c>
      <c r="B920" s="4">
        <f>Fact_Defect_Split!B155</f>
        <v>20260701</v>
      </c>
      <c r="C920" s="4">
        <f>Fact_Defect_Split!C155</f>
        <v>21</v>
      </c>
      <c r="D920" s="4" t="str">
        <f>Fact_Defect_Split!D155</f>
        <v>M7</v>
      </c>
      <c r="E920" s="4" t="str">
        <f>Fact_Defect_Split!E155</f>
        <v>B-PM</v>
      </c>
      <c r="F920" s="4" t="str">
        <f>Fact_Defect_Split!F155</f>
        <v>A</v>
      </c>
      <c r="G920" s="4" t="s">
        <v>498</v>
      </c>
      <c r="H920" s="19">
        <f>Fact_Defect_Split!G155</f>
        <v>0</v>
      </c>
    </row>
    <row r="921" spans="1:8" x14ac:dyDescent="0.25">
      <c r="A921" s="18" t="s">
        <v>1902</v>
      </c>
      <c r="B921" s="4">
        <f>Fact_Defect_Split!B155</f>
        <v>20260701</v>
      </c>
      <c r="C921" s="4">
        <f>Fact_Defect_Split!C155</f>
        <v>21</v>
      </c>
      <c r="D921" s="4" t="str">
        <f>Fact_Defect_Split!D155</f>
        <v>M7</v>
      </c>
      <c r="E921" s="4" t="str">
        <f>Fact_Defect_Split!E155</f>
        <v>B-PM</v>
      </c>
      <c r="F921" s="4" t="str">
        <f>Fact_Defect_Split!F155</f>
        <v>A</v>
      </c>
      <c r="G921" s="4" t="s">
        <v>500</v>
      </c>
      <c r="H921" s="19">
        <f>Fact_Defect_Split!H155</f>
        <v>0</v>
      </c>
    </row>
    <row r="922" spans="1:8" x14ac:dyDescent="0.25">
      <c r="A922" s="18" t="s">
        <v>1903</v>
      </c>
      <c r="B922" s="4">
        <f>Fact_Defect_Split!B155</f>
        <v>20260701</v>
      </c>
      <c r="C922" s="4">
        <f>Fact_Defect_Split!C155</f>
        <v>21</v>
      </c>
      <c r="D922" s="4" t="str">
        <f>Fact_Defect_Split!D155</f>
        <v>M7</v>
      </c>
      <c r="E922" s="4" t="str">
        <f>Fact_Defect_Split!E155</f>
        <v>B-PM</v>
      </c>
      <c r="F922" s="4" t="str">
        <f>Fact_Defect_Split!F155</f>
        <v>A</v>
      </c>
      <c r="G922" s="4" t="s">
        <v>517</v>
      </c>
      <c r="H922" s="19">
        <f>Fact_Defect_Split!I155</f>
        <v>1</v>
      </c>
    </row>
    <row r="923" spans="1:8" x14ac:dyDescent="0.25">
      <c r="A923" s="18" t="s">
        <v>1904</v>
      </c>
      <c r="B923" s="4">
        <f>Fact_Defect_Split!B155</f>
        <v>20260701</v>
      </c>
      <c r="C923" s="4">
        <f>Fact_Defect_Split!C155</f>
        <v>21</v>
      </c>
      <c r="D923" s="4" t="str">
        <f>Fact_Defect_Split!D155</f>
        <v>M7</v>
      </c>
      <c r="E923" s="4" t="str">
        <f>Fact_Defect_Split!E155</f>
        <v>B-PM</v>
      </c>
      <c r="F923" s="4" t="str">
        <f>Fact_Defect_Split!F155</f>
        <v>A</v>
      </c>
      <c r="G923" s="4" t="s">
        <v>503</v>
      </c>
      <c r="H923" s="19">
        <f>Fact_Defect_Split!J155</f>
        <v>0</v>
      </c>
    </row>
    <row r="924" spans="1:8" x14ac:dyDescent="0.25">
      <c r="A924" s="18" t="s">
        <v>1905</v>
      </c>
      <c r="B924" s="4">
        <f>Fact_Defect_Split!B155</f>
        <v>20260701</v>
      </c>
      <c r="C924" s="4">
        <f>Fact_Defect_Split!C155</f>
        <v>21</v>
      </c>
      <c r="D924" s="4" t="str">
        <f>Fact_Defect_Split!D155</f>
        <v>M7</v>
      </c>
      <c r="E924" s="4" t="str">
        <f>Fact_Defect_Split!E155</f>
        <v>B-PM</v>
      </c>
      <c r="F924" s="4" t="str">
        <f>Fact_Defect_Split!F155</f>
        <v>A</v>
      </c>
      <c r="G924" s="4" t="s">
        <v>509</v>
      </c>
      <c r="H924" s="19">
        <f>Fact_Defect_Split!K155</f>
        <v>1</v>
      </c>
    </row>
    <row r="925" spans="1:8" x14ac:dyDescent="0.25">
      <c r="A925" s="18" t="s">
        <v>1906</v>
      </c>
      <c r="B925" s="4">
        <f>Fact_Defect_Split!B155</f>
        <v>20260701</v>
      </c>
      <c r="C925" s="4">
        <f>Fact_Defect_Split!C155</f>
        <v>21</v>
      </c>
      <c r="D925" s="4" t="str">
        <f>Fact_Defect_Split!D155</f>
        <v>M7</v>
      </c>
      <c r="E925" s="4" t="str">
        <f>Fact_Defect_Split!E155</f>
        <v>B-PM</v>
      </c>
      <c r="F925" s="4" t="str">
        <f>Fact_Defect_Split!F155</f>
        <v>A</v>
      </c>
      <c r="G925" s="4" t="s">
        <v>520</v>
      </c>
      <c r="H925" s="19">
        <f>Fact_Defect_Split!L155</f>
        <v>1</v>
      </c>
    </row>
    <row r="926" spans="1:8" x14ac:dyDescent="0.25">
      <c r="A926" s="18" t="s">
        <v>1907</v>
      </c>
      <c r="B926" s="4">
        <f>Fact_Defect_Split!B156</f>
        <v>20260701</v>
      </c>
      <c r="C926" s="4">
        <f>Fact_Defect_Split!C156</f>
        <v>22</v>
      </c>
      <c r="D926" s="4" t="str">
        <f>Fact_Defect_Split!D156</f>
        <v>M1</v>
      </c>
      <c r="E926" s="4" t="str">
        <f>Fact_Defect_Split!E156</f>
        <v>B-PM</v>
      </c>
      <c r="F926" s="4" t="str">
        <f>Fact_Defect_Split!F156</f>
        <v>A</v>
      </c>
      <c r="G926" s="4" t="s">
        <v>498</v>
      </c>
      <c r="H926" s="19">
        <f>Fact_Defect_Split!G156</f>
        <v>0</v>
      </c>
    </row>
    <row r="927" spans="1:8" x14ac:dyDescent="0.25">
      <c r="A927" s="18" t="s">
        <v>1908</v>
      </c>
      <c r="B927" s="4">
        <f>Fact_Defect_Split!B156</f>
        <v>20260701</v>
      </c>
      <c r="C927" s="4">
        <f>Fact_Defect_Split!C156</f>
        <v>22</v>
      </c>
      <c r="D927" s="4" t="str">
        <f>Fact_Defect_Split!D156</f>
        <v>M1</v>
      </c>
      <c r="E927" s="4" t="str">
        <f>Fact_Defect_Split!E156</f>
        <v>B-PM</v>
      </c>
      <c r="F927" s="4" t="str">
        <f>Fact_Defect_Split!F156</f>
        <v>A</v>
      </c>
      <c r="G927" s="4" t="s">
        <v>500</v>
      </c>
      <c r="H927" s="19">
        <f>Fact_Defect_Split!H156</f>
        <v>0</v>
      </c>
    </row>
    <row r="928" spans="1:8" x14ac:dyDescent="0.25">
      <c r="A928" s="18" t="s">
        <v>1909</v>
      </c>
      <c r="B928" s="4">
        <f>Fact_Defect_Split!B156</f>
        <v>20260701</v>
      </c>
      <c r="C928" s="4">
        <f>Fact_Defect_Split!C156</f>
        <v>22</v>
      </c>
      <c r="D928" s="4" t="str">
        <f>Fact_Defect_Split!D156</f>
        <v>M1</v>
      </c>
      <c r="E928" s="4" t="str">
        <f>Fact_Defect_Split!E156</f>
        <v>B-PM</v>
      </c>
      <c r="F928" s="4" t="str">
        <f>Fact_Defect_Split!F156</f>
        <v>A</v>
      </c>
      <c r="G928" s="4" t="s">
        <v>517</v>
      </c>
      <c r="H928" s="19">
        <f>Fact_Defect_Split!I156</f>
        <v>0</v>
      </c>
    </row>
    <row r="929" spans="1:8" x14ac:dyDescent="0.25">
      <c r="A929" s="18" t="s">
        <v>1910</v>
      </c>
      <c r="B929" s="4">
        <f>Fact_Defect_Split!B156</f>
        <v>20260701</v>
      </c>
      <c r="C929" s="4">
        <f>Fact_Defect_Split!C156</f>
        <v>22</v>
      </c>
      <c r="D929" s="4" t="str">
        <f>Fact_Defect_Split!D156</f>
        <v>M1</v>
      </c>
      <c r="E929" s="4" t="str">
        <f>Fact_Defect_Split!E156</f>
        <v>B-PM</v>
      </c>
      <c r="F929" s="4" t="str">
        <f>Fact_Defect_Split!F156</f>
        <v>A</v>
      </c>
      <c r="G929" s="4" t="s">
        <v>503</v>
      </c>
      <c r="H929" s="19">
        <f>Fact_Defect_Split!J156</f>
        <v>0</v>
      </c>
    </row>
    <row r="930" spans="1:8" x14ac:dyDescent="0.25">
      <c r="A930" s="18" t="s">
        <v>1911</v>
      </c>
      <c r="B930" s="4">
        <f>Fact_Defect_Split!B156</f>
        <v>20260701</v>
      </c>
      <c r="C930" s="4">
        <f>Fact_Defect_Split!C156</f>
        <v>22</v>
      </c>
      <c r="D930" s="4" t="str">
        <f>Fact_Defect_Split!D156</f>
        <v>M1</v>
      </c>
      <c r="E930" s="4" t="str">
        <f>Fact_Defect_Split!E156</f>
        <v>B-PM</v>
      </c>
      <c r="F930" s="4" t="str">
        <f>Fact_Defect_Split!F156</f>
        <v>A</v>
      </c>
      <c r="G930" s="4" t="s">
        <v>509</v>
      </c>
      <c r="H930" s="19">
        <f>Fact_Defect_Split!K156</f>
        <v>0</v>
      </c>
    </row>
    <row r="931" spans="1:8" x14ac:dyDescent="0.25">
      <c r="A931" s="18" t="s">
        <v>1912</v>
      </c>
      <c r="B931" s="4">
        <f>Fact_Defect_Split!B156</f>
        <v>20260701</v>
      </c>
      <c r="C931" s="4">
        <f>Fact_Defect_Split!C156</f>
        <v>22</v>
      </c>
      <c r="D931" s="4" t="str">
        <f>Fact_Defect_Split!D156</f>
        <v>M1</v>
      </c>
      <c r="E931" s="4" t="str">
        <f>Fact_Defect_Split!E156</f>
        <v>B-PM</v>
      </c>
      <c r="F931" s="4" t="str">
        <f>Fact_Defect_Split!F156</f>
        <v>A</v>
      </c>
      <c r="G931" s="4" t="s">
        <v>520</v>
      </c>
      <c r="H931" s="19">
        <f>Fact_Defect_Split!L156</f>
        <v>1</v>
      </c>
    </row>
    <row r="932" spans="1:8" x14ac:dyDescent="0.25">
      <c r="A932" s="18" t="s">
        <v>1913</v>
      </c>
      <c r="B932" s="4">
        <f>Fact_Defect_Split!B157</f>
        <v>20260701</v>
      </c>
      <c r="C932" s="4">
        <f>Fact_Defect_Split!C157</f>
        <v>22</v>
      </c>
      <c r="D932" s="4" t="str">
        <f>Fact_Defect_Split!D157</f>
        <v>M2</v>
      </c>
      <c r="E932" s="4" t="str">
        <f>Fact_Defect_Split!E157</f>
        <v>B-PM</v>
      </c>
      <c r="F932" s="4" t="str">
        <f>Fact_Defect_Split!F157</f>
        <v>C</v>
      </c>
      <c r="G932" s="4" t="s">
        <v>498</v>
      </c>
      <c r="H932" s="19">
        <f>Fact_Defect_Split!G157</f>
        <v>0</v>
      </c>
    </row>
    <row r="933" spans="1:8" x14ac:dyDescent="0.25">
      <c r="A933" s="18" t="s">
        <v>1914</v>
      </c>
      <c r="B933" s="4">
        <f>Fact_Defect_Split!B157</f>
        <v>20260701</v>
      </c>
      <c r="C933" s="4">
        <f>Fact_Defect_Split!C157</f>
        <v>22</v>
      </c>
      <c r="D933" s="4" t="str">
        <f>Fact_Defect_Split!D157</f>
        <v>M2</v>
      </c>
      <c r="E933" s="4" t="str">
        <f>Fact_Defect_Split!E157</f>
        <v>B-PM</v>
      </c>
      <c r="F933" s="4" t="str">
        <f>Fact_Defect_Split!F157</f>
        <v>C</v>
      </c>
      <c r="G933" s="4" t="s">
        <v>500</v>
      </c>
      <c r="H933" s="19">
        <f>Fact_Defect_Split!H157</f>
        <v>0</v>
      </c>
    </row>
    <row r="934" spans="1:8" x14ac:dyDescent="0.25">
      <c r="A934" s="18" t="s">
        <v>1915</v>
      </c>
      <c r="B934" s="4">
        <f>Fact_Defect_Split!B157</f>
        <v>20260701</v>
      </c>
      <c r="C934" s="4">
        <f>Fact_Defect_Split!C157</f>
        <v>22</v>
      </c>
      <c r="D934" s="4" t="str">
        <f>Fact_Defect_Split!D157</f>
        <v>M2</v>
      </c>
      <c r="E934" s="4" t="str">
        <f>Fact_Defect_Split!E157</f>
        <v>B-PM</v>
      </c>
      <c r="F934" s="4" t="str">
        <f>Fact_Defect_Split!F157</f>
        <v>C</v>
      </c>
      <c r="G934" s="4" t="s">
        <v>517</v>
      </c>
      <c r="H934" s="19">
        <f>Fact_Defect_Split!I157</f>
        <v>0</v>
      </c>
    </row>
    <row r="935" spans="1:8" x14ac:dyDescent="0.25">
      <c r="A935" s="18" t="s">
        <v>1916</v>
      </c>
      <c r="B935" s="4">
        <f>Fact_Defect_Split!B157</f>
        <v>20260701</v>
      </c>
      <c r="C935" s="4">
        <f>Fact_Defect_Split!C157</f>
        <v>22</v>
      </c>
      <c r="D935" s="4" t="str">
        <f>Fact_Defect_Split!D157</f>
        <v>M2</v>
      </c>
      <c r="E935" s="4" t="str">
        <f>Fact_Defect_Split!E157</f>
        <v>B-PM</v>
      </c>
      <c r="F935" s="4" t="str">
        <f>Fact_Defect_Split!F157</f>
        <v>C</v>
      </c>
      <c r="G935" s="4" t="s">
        <v>503</v>
      </c>
      <c r="H935" s="19">
        <f>Fact_Defect_Split!J157</f>
        <v>1</v>
      </c>
    </row>
    <row r="936" spans="1:8" x14ac:dyDescent="0.25">
      <c r="A936" s="18" t="s">
        <v>1917</v>
      </c>
      <c r="B936" s="4">
        <f>Fact_Defect_Split!B157</f>
        <v>20260701</v>
      </c>
      <c r="C936" s="4">
        <f>Fact_Defect_Split!C157</f>
        <v>22</v>
      </c>
      <c r="D936" s="4" t="str">
        <f>Fact_Defect_Split!D157</f>
        <v>M2</v>
      </c>
      <c r="E936" s="4" t="str">
        <f>Fact_Defect_Split!E157</f>
        <v>B-PM</v>
      </c>
      <c r="F936" s="4" t="str">
        <f>Fact_Defect_Split!F157</f>
        <v>C</v>
      </c>
      <c r="G936" s="4" t="s">
        <v>509</v>
      </c>
      <c r="H936" s="19">
        <f>Fact_Defect_Split!K157</f>
        <v>1</v>
      </c>
    </row>
    <row r="937" spans="1:8" x14ac:dyDescent="0.25">
      <c r="A937" s="18" t="s">
        <v>1918</v>
      </c>
      <c r="B937" s="4">
        <f>Fact_Defect_Split!B157</f>
        <v>20260701</v>
      </c>
      <c r="C937" s="4">
        <f>Fact_Defect_Split!C157</f>
        <v>22</v>
      </c>
      <c r="D937" s="4" t="str">
        <f>Fact_Defect_Split!D157</f>
        <v>M2</v>
      </c>
      <c r="E937" s="4" t="str">
        <f>Fact_Defect_Split!E157</f>
        <v>B-PM</v>
      </c>
      <c r="F937" s="4" t="str">
        <f>Fact_Defect_Split!F157</f>
        <v>C</v>
      </c>
      <c r="G937" s="4" t="s">
        <v>520</v>
      </c>
      <c r="H937" s="19">
        <f>Fact_Defect_Split!L157</f>
        <v>0</v>
      </c>
    </row>
    <row r="938" spans="1:8" x14ac:dyDescent="0.25">
      <c r="A938" s="18" t="s">
        <v>1919</v>
      </c>
      <c r="B938" s="4">
        <f>Fact_Defect_Split!B158</f>
        <v>20260701</v>
      </c>
      <c r="C938" s="4">
        <f>Fact_Defect_Split!C158</f>
        <v>22</v>
      </c>
      <c r="D938" s="4" t="str">
        <f>Fact_Defect_Split!D158</f>
        <v>M3</v>
      </c>
      <c r="E938" s="4" t="str">
        <f>Fact_Defect_Split!E158</f>
        <v>B-PM</v>
      </c>
      <c r="F938" s="4" t="str">
        <f>Fact_Defect_Split!F158</f>
        <v>A</v>
      </c>
      <c r="G938" s="4" t="s">
        <v>498</v>
      </c>
      <c r="H938" s="19">
        <f>Fact_Defect_Split!G158</f>
        <v>0</v>
      </c>
    </row>
    <row r="939" spans="1:8" x14ac:dyDescent="0.25">
      <c r="A939" s="18" t="s">
        <v>1920</v>
      </c>
      <c r="B939" s="4">
        <f>Fact_Defect_Split!B158</f>
        <v>20260701</v>
      </c>
      <c r="C939" s="4">
        <f>Fact_Defect_Split!C158</f>
        <v>22</v>
      </c>
      <c r="D939" s="4" t="str">
        <f>Fact_Defect_Split!D158</f>
        <v>M3</v>
      </c>
      <c r="E939" s="4" t="str">
        <f>Fact_Defect_Split!E158</f>
        <v>B-PM</v>
      </c>
      <c r="F939" s="4" t="str">
        <f>Fact_Defect_Split!F158</f>
        <v>A</v>
      </c>
      <c r="G939" s="4" t="s">
        <v>500</v>
      </c>
      <c r="H939" s="19">
        <f>Fact_Defect_Split!H158</f>
        <v>0</v>
      </c>
    </row>
    <row r="940" spans="1:8" x14ac:dyDescent="0.25">
      <c r="A940" s="18" t="s">
        <v>1921</v>
      </c>
      <c r="B940" s="4">
        <f>Fact_Defect_Split!B158</f>
        <v>20260701</v>
      </c>
      <c r="C940" s="4">
        <f>Fact_Defect_Split!C158</f>
        <v>22</v>
      </c>
      <c r="D940" s="4" t="str">
        <f>Fact_Defect_Split!D158</f>
        <v>M3</v>
      </c>
      <c r="E940" s="4" t="str">
        <f>Fact_Defect_Split!E158</f>
        <v>B-PM</v>
      </c>
      <c r="F940" s="4" t="str">
        <f>Fact_Defect_Split!F158</f>
        <v>A</v>
      </c>
      <c r="G940" s="4" t="s">
        <v>517</v>
      </c>
      <c r="H940" s="19">
        <f>Fact_Defect_Split!I158</f>
        <v>0</v>
      </c>
    </row>
    <row r="941" spans="1:8" x14ac:dyDescent="0.25">
      <c r="A941" s="18" t="s">
        <v>1922</v>
      </c>
      <c r="B941" s="4">
        <f>Fact_Defect_Split!B158</f>
        <v>20260701</v>
      </c>
      <c r="C941" s="4">
        <f>Fact_Defect_Split!C158</f>
        <v>22</v>
      </c>
      <c r="D941" s="4" t="str">
        <f>Fact_Defect_Split!D158</f>
        <v>M3</v>
      </c>
      <c r="E941" s="4" t="str">
        <f>Fact_Defect_Split!E158</f>
        <v>B-PM</v>
      </c>
      <c r="F941" s="4" t="str">
        <f>Fact_Defect_Split!F158</f>
        <v>A</v>
      </c>
      <c r="G941" s="4" t="s">
        <v>503</v>
      </c>
      <c r="H941" s="19">
        <f>Fact_Defect_Split!J158</f>
        <v>0</v>
      </c>
    </row>
    <row r="942" spans="1:8" x14ac:dyDescent="0.25">
      <c r="A942" s="18" t="s">
        <v>1923</v>
      </c>
      <c r="B942" s="4">
        <f>Fact_Defect_Split!B158</f>
        <v>20260701</v>
      </c>
      <c r="C942" s="4">
        <f>Fact_Defect_Split!C158</f>
        <v>22</v>
      </c>
      <c r="D942" s="4" t="str">
        <f>Fact_Defect_Split!D158</f>
        <v>M3</v>
      </c>
      <c r="E942" s="4" t="str">
        <f>Fact_Defect_Split!E158</f>
        <v>B-PM</v>
      </c>
      <c r="F942" s="4" t="str">
        <f>Fact_Defect_Split!F158</f>
        <v>A</v>
      </c>
      <c r="G942" s="4" t="s">
        <v>509</v>
      </c>
      <c r="H942" s="19">
        <f>Fact_Defect_Split!K158</f>
        <v>1</v>
      </c>
    </row>
    <row r="943" spans="1:8" x14ac:dyDescent="0.25">
      <c r="A943" s="18" t="s">
        <v>1924</v>
      </c>
      <c r="B943" s="4">
        <f>Fact_Defect_Split!B158</f>
        <v>20260701</v>
      </c>
      <c r="C943" s="4">
        <f>Fact_Defect_Split!C158</f>
        <v>22</v>
      </c>
      <c r="D943" s="4" t="str">
        <f>Fact_Defect_Split!D158</f>
        <v>M3</v>
      </c>
      <c r="E943" s="4" t="str">
        <f>Fact_Defect_Split!E158</f>
        <v>B-PM</v>
      </c>
      <c r="F943" s="4" t="str">
        <f>Fact_Defect_Split!F158</f>
        <v>A</v>
      </c>
      <c r="G943" s="4" t="s">
        <v>520</v>
      </c>
      <c r="H943" s="19">
        <f>Fact_Defect_Split!L158</f>
        <v>0</v>
      </c>
    </row>
    <row r="944" spans="1:8" x14ac:dyDescent="0.25">
      <c r="A944" s="18" t="s">
        <v>1925</v>
      </c>
      <c r="B944" s="4">
        <f>Fact_Defect_Split!B159</f>
        <v>20260701</v>
      </c>
      <c r="C944" s="4">
        <f>Fact_Defect_Split!C159</f>
        <v>22</v>
      </c>
      <c r="D944" s="4" t="str">
        <f>Fact_Defect_Split!D159</f>
        <v>M4</v>
      </c>
      <c r="E944" s="4" t="str">
        <f>Fact_Defect_Split!E159</f>
        <v>B-PM</v>
      </c>
      <c r="F944" s="4" t="str">
        <f>Fact_Defect_Split!F159</f>
        <v>A</v>
      </c>
      <c r="G944" s="4" t="s">
        <v>498</v>
      </c>
      <c r="H944" s="19">
        <f>Fact_Defect_Split!G159</f>
        <v>0</v>
      </c>
    </row>
    <row r="945" spans="1:8" x14ac:dyDescent="0.25">
      <c r="A945" s="18" t="s">
        <v>1926</v>
      </c>
      <c r="B945" s="4">
        <f>Fact_Defect_Split!B159</f>
        <v>20260701</v>
      </c>
      <c r="C945" s="4">
        <f>Fact_Defect_Split!C159</f>
        <v>22</v>
      </c>
      <c r="D945" s="4" t="str">
        <f>Fact_Defect_Split!D159</f>
        <v>M4</v>
      </c>
      <c r="E945" s="4" t="str">
        <f>Fact_Defect_Split!E159</f>
        <v>B-PM</v>
      </c>
      <c r="F945" s="4" t="str">
        <f>Fact_Defect_Split!F159</f>
        <v>A</v>
      </c>
      <c r="G945" s="4" t="s">
        <v>500</v>
      </c>
      <c r="H945" s="19">
        <f>Fact_Defect_Split!H159</f>
        <v>0</v>
      </c>
    </row>
    <row r="946" spans="1:8" x14ac:dyDescent="0.25">
      <c r="A946" s="18" t="s">
        <v>1927</v>
      </c>
      <c r="B946" s="4">
        <f>Fact_Defect_Split!B159</f>
        <v>20260701</v>
      </c>
      <c r="C946" s="4">
        <f>Fact_Defect_Split!C159</f>
        <v>22</v>
      </c>
      <c r="D946" s="4" t="str">
        <f>Fact_Defect_Split!D159</f>
        <v>M4</v>
      </c>
      <c r="E946" s="4" t="str">
        <f>Fact_Defect_Split!E159</f>
        <v>B-PM</v>
      </c>
      <c r="F946" s="4" t="str">
        <f>Fact_Defect_Split!F159</f>
        <v>A</v>
      </c>
      <c r="G946" s="4" t="s">
        <v>517</v>
      </c>
      <c r="H946" s="19">
        <f>Fact_Defect_Split!I159</f>
        <v>0</v>
      </c>
    </row>
    <row r="947" spans="1:8" x14ac:dyDescent="0.25">
      <c r="A947" s="18" t="s">
        <v>1928</v>
      </c>
      <c r="B947" s="4">
        <f>Fact_Defect_Split!B159</f>
        <v>20260701</v>
      </c>
      <c r="C947" s="4">
        <f>Fact_Defect_Split!C159</f>
        <v>22</v>
      </c>
      <c r="D947" s="4" t="str">
        <f>Fact_Defect_Split!D159</f>
        <v>M4</v>
      </c>
      <c r="E947" s="4" t="str">
        <f>Fact_Defect_Split!E159</f>
        <v>B-PM</v>
      </c>
      <c r="F947" s="4" t="str">
        <f>Fact_Defect_Split!F159</f>
        <v>A</v>
      </c>
      <c r="G947" s="4" t="s">
        <v>503</v>
      </c>
      <c r="H947" s="19">
        <f>Fact_Defect_Split!J159</f>
        <v>0</v>
      </c>
    </row>
    <row r="948" spans="1:8" x14ac:dyDescent="0.25">
      <c r="A948" s="18" t="s">
        <v>1929</v>
      </c>
      <c r="B948" s="4">
        <f>Fact_Defect_Split!B159</f>
        <v>20260701</v>
      </c>
      <c r="C948" s="4">
        <f>Fact_Defect_Split!C159</f>
        <v>22</v>
      </c>
      <c r="D948" s="4" t="str">
        <f>Fact_Defect_Split!D159</f>
        <v>M4</v>
      </c>
      <c r="E948" s="4" t="str">
        <f>Fact_Defect_Split!E159</f>
        <v>B-PM</v>
      </c>
      <c r="F948" s="4" t="str">
        <f>Fact_Defect_Split!F159</f>
        <v>A</v>
      </c>
      <c r="G948" s="4" t="s">
        <v>509</v>
      </c>
      <c r="H948" s="19">
        <f>Fact_Defect_Split!K159</f>
        <v>1</v>
      </c>
    </row>
    <row r="949" spans="1:8" x14ac:dyDescent="0.25">
      <c r="A949" s="18" t="s">
        <v>1930</v>
      </c>
      <c r="B949" s="4">
        <f>Fact_Defect_Split!B159</f>
        <v>20260701</v>
      </c>
      <c r="C949" s="4">
        <f>Fact_Defect_Split!C159</f>
        <v>22</v>
      </c>
      <c r="D949" s="4" t="str">
        <f>Fact_Defect_Split!D159</f>
        <v>M4</v>
      </c>
      <c r="E949" s="4" t="str">
        <f>Fact_Defect_Split!E159</f>
        <v>B-PM</v>
      </c>
      <c r="F949" s="4" t="str">
        <f>Fact_Defect_Split!F159</f>
        <v>A</v>
      </c>
      <c r="G949" s="4" t="s">
        <v>520</v>
      </c>
      <c r="H949" s="19">
        <f>Fact_Defect_Split!L159</f>
        <v>0</v>
      </c>
    </row>
    <row r="950" spans="1:8" x14ac:dyDescent="0.25">
      <c r="A950" s="18" t="s">
        <v>1931</v>
      </c>
      <c r="B950" s="4">
        <f>Fact_Defect_Split!B160</f>
        <v>20260701</v>
      </c>
      <c r="C950" s="4">
        <f>Fact_Defect_Split!C160</f>
        <v>22</v>
      </c>
      <c r="D950" s="4" t="str">
        <f>Fact_Defect_Split!D160</f>
        <v>M5</v>
      </c>
      <c r="E950" s="4" t="str">
        <f>Fact_Defect_Split!E160</f>
        <v>B-PM</v>
      </c>
      <c r="F950" s="4" t="str">
        <f>Fact_Defect_Split!F160</f>
        <v>A</v>
      </c>
      <c r="G950" s="4" t="s">
        <v>498</v>
      </c>
      <c r="H950" s="19">
        <f>Fact_Defect_Split!G160</f>
        <v>0</v>
      </c>
    </row>
    <row r="951" spans="1:8" x14ac:dyDescent="0.25">
      <c r="A951" s="18" t="s">
        <v>1932</v>
      </c>
      <c r="B951" s="4">
        <f>Fact_Defect_Split!B160</f>
        <v>20260701</v>
      </c>
      <c r="C951" s="4">
        <f>Fact_Defect_Split!C160</f>
        <v>22</v>
      </c>
      <c r="D951" s="4" t="str">
        <f>Fact_Defect_Split!D160</f>
        <v>M5</v>
      </c>
      <c r="E951" s="4" t="str">
        <f>Fact_Defect_Split!E160</f>
        <v>B-PM</v>
      </c>
      <c r="F951" s="4" t="str">
        <f>Fact_Defect_Split!F160</f>
        <v>A</v>
      </c>
      <c r="G951" s="4" t="s">
        <v>500</v>
      </c>
      <c r="H951" s="19">
        <f>Fact_Defect_Split!H160</f>
        <v>0</v>
      </c>
    </row>
    <row r="952" spans="1:8" x14ac:dyDescent="0.25">
      <c r="A952" s="18" t="s">
        <v>1933</v>
      </c>
      <c r="B952" s="4">
        <f>Fact_Defect_Split!B160</f>
        <v>20260701</v>
      </c>
      <c r="C952" s="4">
        <f>Fact_Defect_Split!C160</f>
        <v>22</v>
      </c>
      <c r="D952" s="4" t="str">
        <f>Fact_Defect_Split!D160</f>
        <v>M5</v>
      </c>
      <c r="E952" s="4" t="str">
        <f>Fact_Defect_Split!E160</f>
        <v>B-PM</v>
      </c>
      <c r="F952" s="4" t="str">
        <f>Fact_Defect_Split!F160</f>
        <v>A</v>
      </c>
      <c r="G952" s="4" t="s">
        <v>517</v>
      </c>
      <c r="H952" s="19">
        <f>Fact_Defect_Split!I160</f>
        <v>0</v>
      </c>
    </row>
    <row r="953" spans="1:8" x14ac:dyDescent="0.25">
      <c r="A953" s="18" t="s">
        <v>1934</v>
      </c>
      <c r="B953" s="4">
        <f>Fact_Defect_Split!B160</f>
        <v>20260701</v>
      </c>
      <c r="C953" s="4">
        <f>Fact_Defect_Split!C160</f>
        <v>22</v>
      </c>
      <c r="D953" s="4" t="str">
        <f>Fact_Defect_Split!D160</f>
        <v>M5</v>
      </c>
      <c r="E953" s="4" t="str">
        <f>Fact_Defect_Split!E160</f>
        <v>B-PM</v>
      </c>
      <c r="F953" s="4" t="str">
        <f>Fact_Defect_Split!F160</f>
        <v>A</v>
      </c>
      <c r="G953" s="4" t="s">
        <v>503</v>
      </c>
      <c r="H953" s="19">
        <f>Fact_Defect_Split!J160</f>
        <v>0</v>
      </c>
    </row>
    <row r="954" spans="1:8" x14ac:dyDescent="0.25">
      <c r="A954" s="18" t="s">
        <v>1935</v>
      </c>
      <c r="B954" s="4">
        <f>Fact_Defect_Split!B160</f>
        <v>20260701</v>
      </c>
      <c r="C954" s="4">
        <f>Fact_Defect_Split!C160</f>
        <v>22</v>
      </c>
      <c r="D954" s="4" t="str">
        <f>Fact_Defect_Split!D160</f>
        <v>M5</v>
      </c>
      <c r="E954" s="4" t="str">
        <f>Fact_Defect_Split!E160</f>
        <v>B-PM</v>
      </c>
      <c r="F954" s="4" t="str">
        <f>Fact_Defect_Split!F160</f>
        <v>A</v>
      </c>
      <c r="G954" s="4" t="s">
        <v>509</v>
      </c>
      <c r="H954" s="19">
        <f>Fact_Defect_Split!K160</f>
        <v>1</v>
      </c>
    </row>
    <row r="955" spans="1:8" x14ac:dyDescent="0.25">
      <c r="A955" s="18" t="s">
        <v>1936</v>
      </c>
      <c r="B955" s="4">
        <f>Fact_Defect_Split!B160</f>
        <v>20260701</v>
      </c>
      <c r="C955" s="4">
        <f>Fact_Defect_Split!C160</f>
        <v>22</v>
      </c>
      <c r="D955" s="4" t="str">
        <f>Fact_Defect_Split!D160</f>
        <v>M5</v>
      </c>
      <c r="E955" s="4" t="str">
        <f>Fact_Defect_Split!E160</f>
        <v>B-PM</v>
      </c>
      <c r="F955" s="4" t="str">
        <f>Fact_Defect_Split!F160</f>
        <v>A</v>
      </c>
      <c r="G955" s="4" t="s">
        <v>520</v>
      </c>
      <c r="H955" s="19">
        <f>Fact_Defect_Split!L160</f>
        <v>0</v>
      </c>
    </row>
    <row r="956" spans="1:8" x14ac:dyDescent="0.25">
      <c r="A956" s="18" t="s">
        <v>1937</v>
      </c>
      <c r="B956" s="4">
        <f>Fact_Defect_Split!B161</f>
        <v>20260701</v>
      </c>
      <c r="C956" s="4">
        <f>Fact_Defect_Split!C161</f>
        <v>22</v>
      </c>
      <c r="D956" s="4" t="str">
        <f>Fact_Defect_Split!D161</f>
        <v>M6</v>
      </c>
      <c r="E956" s="4" t="str">
        <f>Fact_Defect_Split!E161</f>
        <v>B-PM</v>
      </c>
      <c r="F956" s="4" t="str">
        <f>Fact_Defect_Split!F161</f>
        <v>C</v>
      </c>
      <c r="G956" s="4" t="s">
        <v>498</v>
      </c>
      <c r="H956" s="19">
        <f>Fact_Defect_Split!G161</f>
        <v>0</v>
      </c>
    </row>
    <row r="957" spans="1:8" x14ac:dyDescent="0.25">
      <c r="A957" s="18" t="s">
        <v>1938</v>
      </c>
      <c r="B957" s="4">
        <f>Fact_Defect_Split!B161</f>
        <v>20260701</v>
      </c>
      <c r="C957" s="4">
        <f>Fact_Defect_Split!C161</f>
        <v>22</v>
      </c>
      <c r="D957" s="4" t="str">
        <f>Fact_Defect_Split!D161</f>
        <v>M6</v>
      </c>
      <c r="E957" s="4" t="str">
        <f>Fact_Defect_Split!E161</f>
        <v>B-PM</v>
      </c>
      <c r="F957" s="4" t="str">
        <f>Fact_Defect_Split!F161</f>
        <v>C</v>
      </c>
      <c r="G957" s="4" t="s">
        <v>500</v>
      </c>
      <c r="H957" s="19">
        <f>Fact_Defect_Split!H161</f>
        <v>0</v>
      </c>
    </row>
    <row r="958" spans="1:8" x14ac:dyDescent="0.25">
      <c r="A958" s="18" t="s">
        <v>1939</v>
      </c>
      <c r="B958" s="4">
        <f>Fact_Defect_Split!B161</f>
        <v>20260701</v>
      </c>
      <c r="C958" s="4">
        <f>Fact_Defect_Split!C161</f>
        <v>22</v>
      </c>
      <c r="D958" s="4" t="str">
        <f>Fact_Defect_Split!D161</f>
        <v>M6</v>
      </c>
      <c r="E958" s="4" t="str">
        <f>Fact_Defect_Split!E161</f>
        <v>B-PM</v>
      </c>
      <c r="F958" s="4" t="str">
        <f>Fact_Defect_Split!F161</f>
        <v>C</v>
      </c>
      <c r="G958" s="4" t="s">
        <v>517</v>
      </c>
      <c r="H958" s="19">
        <f>Fact_Defect_Split!I161</f>
        <v>1</v>
      </c>
    </row>
    <row r="959" spans="1:8" x14ac:dyDescent="0.25">
      <c r="A959" s="18" t="s">
        <v>1940</v>
      </c>
      <c r="B959" s="4">
        <f>Fact_Defect_Split!B161</f>
        <v>20260701</v>
      </c>
      <c r="C959" s="4">
        <f>Fact_Defect_Split!C161</f>
        <v>22</v>
      </c>
      <c r="D959" s="4" t="str">
        <f>Fact_Defect_Split!D161</f>
        <v>M6</v>
      </c>
      <c r="E959" s="4" t="str">
        <f>Fact_Defect_Split!E161</f>
        <v>B-PM</v>
      </c>
      <c r="F959" s="4" t="str">
        <f>Fact_Defect_Split!F161</f>
        <v>C</v>
      </c>
      <c r="G959" s="4" t="s">
        <v>503</v>
      </c>
      <c r="H959" s="19">
        <f>Fact_Defect_Split!J161</f>
        <v>0</v>
      </c>
    </row>
    <row r="960" spans="1:8" x14ac:dyDescent="0.25">
      <c r="A960" s="18" t="s">
        <v>1941</v>
      </c>
      <c r="B960" s="4">
        <f>Fact_Defect_Split!B161</f>
        <v>20260701</v>
      </c>
      <c r="C960" s="4">
        <f>Fact_Defect_Split!C161</f>
        <v>22</v>
      </c>
      <c r="D960" s="4" t="str">
        <f>Fact_Defect_Split!D161</f>
        <v>M6</v>
      </c>
      <c r="E960" s="4" t="str">
        <f>Fact_Defect_Split!E161</f>
        <v>B-PM</v>
      </c>
      <c r="F960" s="4" t="str">
        <f>Fact_Defect_Split!F161</f>
        <v>C</v>
      </c>
      <c r="G960" s="4" t="s">
        <v>509</v>
      </c>
      <c r="H960" s="19">
        <f>Fact_Defect_Split!K161</f>
        <v>1</v>
      </c>
    </row>
    <row r="961" spans="1:8" x14ac:dyDescent="0.25">
      <c r="A961" s="18" t="s">
        <v>1942</v>
      </c>
      <c r="B961" s="4">
        <f>Fact_Defect_Split!B161</f>
        <v>20260701</v>
      </c>
      <c r="C961" s="4">
        <f>Fact_Defect_Split!C161</f>
        <v>22</v>
      </c>
      <c r="D961" s="4" t="str">
        <f>Fact_Defect_Split!D161</f>
        <v>M6</v>
      </c>
      <c r="E961" s="4" t="str">
        <f>Fact_Defect_Split!E161</f>
        <v>B-PM</v>
      </c>
      <c r="F961" s="4" t="str">
        <f>Fact_Defect_Split!F161</f>
        <v>C</v>
      </c>
      <c r="G961" s="4" t="s">
        <v>520</v>
      </c>
      <c r="H961" s="19">
        <f>Fact_Defect_Split!L161</f>
        <v>0</v>
      </c>
    </row>
    <row r="962" spans="1:8" x14ac:dyDescent="0.25">
      <c r="A962" s="18" t="s">
        <v>1943</v>
      </c>
      <c r="B962" s="4">
        <f>Fact_Defect_Split!B162</f>
        <v>20260701</v>
      </c>
      <c r="C962" s="4">
        <f>Fact_Defect_Split!C162</f>
        <v>22</v>
      </c>
      <c r="D962" s="4" t="str">
        <f>Fact_Defect_Split!D162</f>
        <v>M7</v>
      </c>
      <c r="E962" s="4" t="str">
        <f>Fact_Defect_Split!E162</f>
        <v>B-PM</v>
      </c>
      <c r="F962" s="4" t="str">
        <f>Fact_Defect_Split!F162</f>
        <v>A</v>
      </c>
      <c r="G962" s="4" t="s">
        <v>498</v>
      </c>
      <c r="H962" s="19">
        <f>Fact_Defect_Split!G162</f>
        <v>0</v>
      </c>
    </row>
    <row r="963" spans="1:8" x14ac:dyDescent="0.25">
      <c r="A963" s="18" t="s">
        <v>1944</v>
      </c>
      <c r="B963" s="4">
        <f>Fact_Defect_Split!B162</f>
        <v>20260701</v>
      </c>
      <c r="C963" s="4">
        <f>Fact_Defect_Split!C162</f>
        <v>22</v>
      </c>
      <c r="D963" s="4" t="str">
        <f>Fact_Defect_Split!D162</f>
        <v>M7</v>
      </c>
      <c r="E963" s="4" t="str">
        <f>Fact_Defect_Split!E162</f>
        <v>B-PM</v>
      </c>
      <c r="F963" s="4" t="str">
        <f>Fact_Defect_Split!F162</f>
        <v>A</v>
      </c>
      <c r="G963" s="4" t="s">
        <v>500</v>
      </c>
      <c r="H963" s="19">
        <f>Fact_Defect_Split!H162</f>
        <v>0</v>
      </c>
    </row>
    <row r="964" spans="1:8" x14ac:dyDescent="0.25">
      <c r="A964" s="18" t="s">
        <v>1945</v>
      </c>
      <c r="B964" s="4">
        <f>Fact_Defect_Split!B162</f>
        <v>20260701</v>
      </c>
      <c r="C964" s="4">
        <f>Fact_Defect_Split!C162</f>
        <v>22</v>
      </c>
      <c r="D964" s="4" t="str">
        <f>Fact_Defect_Split!D162</f>
        <v>M7</v>
      </c>
      <c r="E964" s="4" t="str">
        <f>Fact_Defect_Split!E162</f>
        <v>B-PM</v>
      </c>
      <c r="F964" s="4" t="str">
        <f>Fact_Defect_Split!F162</f>
        <v>A</v>
      </c>
      <c r="G964" s="4" t="s">
        <v>517</v>
      </c>
      <c r="H964" s="19">
        <f>Fact_Defect_Split!I162</f>
        <v>0</v>
      </c>
    </row>
    <row r="965" spans="1:8" x14ac:dyDescent="0.25">
      <c r="A965" s="18" t="s">
        <v>1946</v>
      </c>
      <c r="B965" s="4">
        <f>Fact_Defect_Split!B162</f>
        <v>20260701</v>
      </c>
      <c r="C965" s="4">
        <f>Fact_Defect_Split!C162</f>
        <v>22</v>
      </c>
      <c r="D965" s="4" t="str">
        <f>Fact_Defect_Split!D162</f>
        <v>M7</v>
      </c>
      <c r="E965" s="4" t="str">
        <f>Fact_Defect_Split!E162</f>
        <v>B-PM</v>
      </c>
      <c r="F965" s="4" t="str">
        <f>Fact_Defect_Split!F162</f>
        <v>A</v>
      </c>
      <c r="G965" s="4" t="s">
        <v>503</v>
      </c>
      <c r="H965" s="19">
        <f>Fact_Defect_Split!J162</f>
        <v>1</v>
      </c>
    </row>
    <row r="966" spans="1:8" x14ac:dyDescent="0.25">
      <c r="A966" s="18" t="s">
        <v>1947</v>
      </c>
      <c r="B966" s="4">
        <f>Fact_Defect_Split!B162</f>
        <v>20260701</v>
      </c>
      <c r="C966" s="4">
        <f>Fact_Defect_Split!C162</f>
        <v>22</v>
      </c>
      <c r="D966" s="4" t="str">
        <f>Fact_Defect_Split!D162</f>
        <v>M7</v>
      </c>
      <c r="E966" s="4" t="str">
        <f>Fact_Defect_Split!E162</f>
        <v>B-PM</v>
      </c>
      <c r="F966" s="4" t="str">
        <f>Fact_Defect_Split!F162</f>
        <v>A</v>
      </c>
      <c r="G966" s="4" t="s">
        <v>509</v>
      </c>
      <c r="H966" s="19">
        <f>Fact_Defect_Split!K162</f>
        <v>1</v>
      </c>
    </row>
    <row r="967" spans="1:8" x14ac:dyDescent="0.25">
      <c r="A967" s="18" t="s">
        <v>1948</v>
      </c>
      <c r="B967" s="4">
        <f>Fact_Defect_Split!B162</f>
        <v>20260701</v>
      </c>
      <c r="C967" s="4">
        <f>Fact_Defect_Split!C162</f>
        <v>22</v>
      </c>
      <c r="D967" s="4" t="str">
        <f>Fact_Defect_Split!D162</f>
        <v>M7</v>
      </c>
      <c r="E967" s="4" t="str">
        <f>Fact_Defect_Split!E162</f>
        <v>B-PM</v>
      </c>
      <c r="F967" s="4" t="str">
        <f>Fact_Defect_Split!F162</f>
        <v>A</v>
      </c>
      <c r="G967" s="4" t="s">
        <v>520</v>
      </c>
      <c r="H967" s="19">
        <f>Fact_Defect_Split!L162</f>
        <v>1</v>
      </c>
    </row>
    <row r="968" spans="1:8" x14ac:dyDescent="0.25">
      <c r="A968" s="18" t="s">
        <v>1949</v>
      </c>
      <c r="B968" s="4">
        <f>Fact_Defect_Split!B163</f>
        <v>20260701</v>
      </c>
      <c r="C968" s="4">
        <f>Fact_Defect_Split!C163</f>
        <v>23</v>
      </c>
      <c r="D968" s="4" t="str">
        <f>Fact_Defect_Split!D163</f>
        <v>M1</v>
      </c>
      <c r="E968" s="4" t="str">
        <f>Fact_Defect_Split!E163</f>
        <v>B-PM</v>
      </c>
      <c r="F968" s="4" t="str">
        <f>Fact_Defect_Split!F163</f>
        <v>A</v>
      </c>
      <c r="G968" s="4" t="s">
        <v>498</v>
      </c>
      <c r="H968" s="19">
        <f>Fact_Defect_Split!G163</f>
        <v>0</v>
      </c>
    </row>
    <row r="969" spans="1:8" x14ac:dyDescent="0.25">
      <c r="A969" s="18" t="s">
        <v>1950</v>
      </c>
      <c r="B969" s="4">
        <f>Fact_Defect_Split!B163</f>
        <v>20260701</v>
      </c>
      <c r="C969" s="4">
        <f>Fact_Defect_Split!C163</f>
        <v>23</v>
      </c>
      <c r="D969" s="4" t="str">
        <f>Fact_Defect_Split!D163</f>
        <v>M1</v>
      </c>
      <c r="E969" s="4" t="str">
        <f>Fact_Defect_Split!E163</f>
        <v>B-PM</v>
      </c>
      <c r="F969" s="4" t="str">
        <f>Fact_Defect_Split!F163</f>
        <v>A</v>
      </c>
      <c r="G969" s="4" t="s">
        <v>500</v>
      </c>
      <c r="H969" s="19">
        <f>Fact_Defect_Split!H163</f>
        <v>0</v>
      </c>
    </row>
    <row r="970" spans="1:8" x14ac:dyDescent="0.25">
      <c r="A970" s="18" t="s">
        <v>1951</v>
      </c>
      <c r="B970" s="4">
        <f>Fact_Defect_Split!B163</f>
        <v>20260701</v>
      </c>
      <c r="C970" s="4">
        <f>Fact_Defect_Split!C163</f>
        <v>23</v>
      </c>
      <c r="D970" s="4" t="str">
        <f>Fact_Defect_Split!D163</f>
        <v>M1</v>
      </c>
      <c r="E970" s="4" t="str">
        <f>Fact_Defect_Split!E163</f>
        <v>B-PM</v>
      </c>
      <c r="F970" s="4" t="str">
        <f>Fact_Defect_Split!F163</f>
        <v>A</v>
      </c>
      <c r="G970" s="4" t="s">
        <v>517</v>
      </c>
      <c r="H970" s="19">
        <f>Fact_Defect_Split!I163</f>
        <v>0</v>
      </c>
    </row>
    <row r="971" spans="1:8" x14ac:dyDescent="0.25">
      <c r="A971" s="18" t="s">
        <v>1952</v>
      </c>
      <c r="B971" s="4">
        <f>Fact_Defect_Split!B163</f>
        <v>20260701</v>
      </c>
      <c r="C971" s="4">
        <f>Fact_Defect_Split!C163</f>
        <v>23</v>
      </c>
      <c r="D971" s="4" t="str">
        <f>Fact_Defect_Split!D163</f>
        <v>M1</v>
      </c>
      <c r="E971" s="4" t="str">
        <f>Fact_Defect_Split!E163</f>
        <v>B-PM</v>
      </c>
      <c r="F971" s="4" t="str">
        <f>Fact_Defect_Split!F163</f>
        <v>A</v>
      </c>
      <c r="G971" s="4" t="s">
        <v>503</v>
      </c>
      <c r="H971" s="19">
        <f>Fact_Defect_Split!J163</f>
        <v>0</v>
      </c>
    </row>
    <row r="972" spans="1:8" x14ac:dyDescent="0.25">
      <c r="A972" s="18" t="s">
        <v>1953</v>
      </c>
      <c r="B972" s="4">
        <f>Fact_Defect_Split!B163</f>
        <v>20260701</v>
      </c>
      <c r="C972" s="4">
        <f>Fact_Defect_Split!C163</f>
        <v>23</v>
      </c>
      <c r="D972" s="4" t="str">
        <f>Fact_Defect_Split!D163</f>
        <v>M1</v>
      </c>
      <c r="E972" s="4" t="str">
        <f>Fact_Defect_Split!E163</f>
        <v>B-PM</v>
      </c>
      <c r="F972" s="4" t="str">
        <f>Fact_Defect_Split!F163</f>
        <v>A</v>
      </c>
      <c r="G972" s="4" t="s">
        <v>509</v>
      </c>
      <c r="H972" s="19">
        <f>Fact_Defect_Split!K163</f>
        <v>0</v>
      </c>
    </row>
    <row r="973" spans="1:8" x14ac:dyDescent="0.25">
      <c r="A973" s="18" t="s">
        <v>1954</v>
      </c>
      <c r="B973" s="4">
        <f>Fact_Defect_Split!B163</f>
        <v>20260701</v>
      </c>
      <c r="C973" s="4">
        <f>Fact_Defect_Split!C163</f>
        <v>23</v>
      </c>
      <c r="D973" s="4" t="str">
        <f>Fact_Defect_Split!D163</f>
        <v>M1</v>
      </c>
      <c r="E973" s="4" t="str">
        <f>Fact_Defect_Split!E163</f>
        <v>B-PM</v>
      </c>
      <c r="F973" s="4" t="str">
        <f>Fact_Defect_Split!F163</f>
        <v>A</v>
      </c>
      <c r="G973" s="4" t="s">
        <v>520</v>
      </c>
      <c r="H973" s="19">
        <f>Fact_Defect_Split!L163</f>
        <v>1</v>
      </c>
    </row>
    <row r="974" spans="1:8" x14ac:dyDescent="0.25">
      <c r="A974" s="18" t="s">
        <v>1955</v>
      </c>
      <c r="B974" s="4">
        <f>Fact_Defect_Split!B164</f>
        <v>20260701</v>
      </c>
      <c r="C974" s="4">
        <f>Fact_Defect_Split!C164</f>
        <v>23</v>
      </c>
      <c r="D974" s="4" t="str">
        <f>Fact_Defect_Split!D164</f>
        <v>M2</v>
      </c>
      <c r="E974" s="4" t="str">
        <f>Fact_Defect_Split!E164</f>
        <v>B-PM</v>
      </c>
      <c r="F974" s="4" t="str">
        <f>Fact_Defect_Split!F164</f>
        <v>C</v>
      </c>
      <c r="G974" s="4" t="s">
        <v>498</v>
      </c>
      <c r="H974" s="19">
        <f>Fact_Defect_Split!G164</f>
        <v>0</v>
      </c>
    </row>
    <row r="975" spans="1:8" x14ac:dyDescent="0.25">
      <c r="A975" s="18" t="s">
        <v>1956</v>
      </c>
      <c r="B975" s="4">
        <f>Fact_Defect_Split!B164</f>
        <v>20260701</v>
      </c>
      <c r="C975" s="4">
        <f>Fact_Defect_Split!C164</f>
        <v>23</v>
      </c>
      <c r="D975" s="4" t="str">
        <f>Fact_Defect_Split!D164</f>
        <v>M2</v>
      </c>
      <c r="E975" s="4" t="str">
        <f>Fact_Defect_Split!E164</f>
        <v>B-PM</v>
      </c>
      <c r="F975" s="4" t="str">
        <f>Fact_Defect_Split!F164</f>
        <v>C</v>
      </c>
      <c r="G975" s="4" t="s">
        <v>500</v>
      </c>
      <c r="H975" s="19">
        <f>Fact_Defect_Split!H164</f>
        <v>0</v>
      </c>
    </row>
    <row r="976" spans="1:8" x14ac:dyDescent="0.25">
      <c r="A976" s="18" t="s">
        <v>1957</v>
      </c>
      <c r="B976" s="4">
        <f>Fact_Defect_Split!B164</f>
        <v>20260701</v>
      </c>
      <c r="C976" s="4">
        <f>Fact_Defect_Split!C164</f>
        <v>23</v>
      </c>
      <c r="D976" s="4" t="str">
        <f>Fact_Defect_Split!D164</f>
        <v>M2</v>
      </c>
      <c r="E976" s="4" t="str">
        <f>Fact_Defect_Split!E164</f>
        <v>B-PM</v>
      </c>
      <c r="F976" s="4" t="str">
        <f>Fact_Defect_Split!F164</f>
        <v>C</v>
      </c>
      <c r="G976" s="4" t="s">
        <v>517</v>
      </c>
      <c r="H976" s="19">
        <f>Fact_Defect_Split!I164</f>
        <v>0</v>
      </c>
    </row>
    <row r="977" spans="1:8" x14ac:dyDescent="0.25">
      <c r="A977" s="18" t="s">
        <v>1958</v>
      </c>
      <c r="B977" s="4">
        <f>Fact_Defect_Split!B164</f>
        <v>20260701</v>
      </c>
      <c r="C977" s="4">
        <f>Fact_Defect_Split!C164</f>
        <v>23</v>
      </c>
      <c r="D977" s="4" t="str">
        <f>Fact_Defect_Split!D164</f>
        <v>M2</v>
      </c>
      <c r="E977" s="4" t="str">
        <f>Fact_Defect_Split!E164</f>
        <v>B-PM</v>
      </c>
      <c r="F977" s="4" t="str">
        <f>Fact_Defect_Split!F164</f>
        <v>C</v>
      </c>
      <c r="G977" s="4" t="s">
        <v>503</v>
      </c>
      <c r="H977" s="19">
        <f>Fact_Defect_Split!J164</f>
        <v>1</v>
      </c>
    </row>
    <row r="978" spans="1:8" x14ac:dyDescent="0.25">
      <c r="A978" s="18" t="s">
        <v>1959</v>
      </c>
      <c r="B978" s="4">
        <f>Fact_Defect_Split!B164</f>
        <v>20260701</v>
      </c>
      <c r="C978" s="4">
        <f>Fact_Defect_Split!C164</f>
        <v>23</v>
      </c>
      <c r="D978" s="4" t="str">
        <f>Fact_Defect_Split!D164</f>
        <v>M2</v>
      </c>
      <c r="E978" s="4" t="str">
        <f>Fact_Defect_Split!E164</f>
        <v>B-PM</v>
      </c>
      <c r="F978" s="4" t="str">
        <f>Fact_Defect_Split!F164</f>
        <v>C</v>
      </c>
      <c r="G978" s="4" t="s">
        <v>509</v>
      </c>
      <c r="H978" s="19">
        <f>Fact_Defect_Split!K164</f>
        <v>1</v>
      </c>
    </row>
    <row r="979" spans="1:8" x14ac:dyDescent="0.25">
      <c r="A979" s="18" t="s">
        <v>1960</v>
      </c>
      <c r="B979" s="4">
        <f>Fact_Defect_Split!B164</f>
        <v>20260701</v>
      </c>
      <c r="C979" s="4">
        <f>Fact_Defect_Split!C164</f>
        <v>23</v>
      </c>
      <c r="D979" s="4" t="str">
        <f>Fact_Defect_Split!D164</f>
        <v>M2</v>
      </c>
      <c r="E979" s="4" t="str">
        <f>Fact_Defect_Split!E164</f>
        <v>B-PM</v>
      </c>
      <c r="F979" s="4" t="str">
        <f>Fact_Defect_Split!F164</f>
        <v>C</v>
      </c>
      <c r="G979" s="4" t="s">
        <v>520</v>
      </c>
      <c r="H979" s="19">
        <f>Fact_Defect_Split!L164</f>
        <v>0</v>
      </c>
    </row>
    <row r="980" spans="1:8" x14ac:dyDescent="0.25">
      <c r="A980" s="18" t="s">
        <v>1961</v>
      </c>
      <c r="B980" s="4">
        <f>Fact_Defect_Split!B165</f>
        <v>20260701</v>
      </c>
      <c r="C980" s="4">
        <f>Fact_Defect_Split!C165</f>
        <v>23</v>
      </c>
      <c r="D980" s="4" t="str">
        <f>Fact_Defect_Split!D165</f>
        <v>M3</v>
      </c>
      <c r="E980" s="4" t="str">
        <f>Fact_Defect_Split!E165</f>
        <v>B-PM</v>
      </c>
      <c r="F980" s="4" t="str">
        <f>Fact_Defect_Split!F165</f>
        <v>A</v>
      </c>
      <c r="G980" s="4" t="s">
        <v>498</v>
      </c>
      <c r="H980" s="19">
        <f>Fact_Defect_Split!G165</f>
        <v>0</v>
      </c>
    </row>
    <row r="981" spans="1:8" x14ac:dyDescent="0.25">
      <c r="A981" s="18" t="s">
        <v>1962</v>
      </c>
      <c r="B981" s="4">
        <f>Fact_Defect_Split!B165</f>
        <v>20260701</v>
      </c>
      <c r="C981" s="4">
        <f>Fact_Defect_Split!C165</f>
        <v>23</v>
      </c>
      <c r="D981" s="4" t="str">
        <f>Fact_Defect_Split!D165</f>
        <v>M3</v>
      </c>
      <c r="E981" s="4" t="str">
        <f>Fact_Defect_Split!E165</f>
        <v>B-PM</v>
      </c>
      <c r="F981" s="4" t="str">
        <f>Fact_Defect_Split!F165</f>
        <v>A</v>
      </c>
      <c r="G981" s="4" t="s">
        <v>500</v>
      </c>
      <c r="H981" s="19">
        <f>Fact_Defect_Split!H165</f>
        <v>0</v>
      </c>
    </row>
    <row r="982" spans="1:8" x14ac:dyDescent="0.25">
      <c r="A982" s="18" t="s">
        <v>1963</v>
      </c>
      <c r="B982" s="4">
        <f>Fact_Defect_Split!B165</f>
        <v>20260701</v>
      </c>
      <c r="C982" s="4">
        <f>Fact_Defect_Split!C165</f>
        <v>23</v>
      </c>
      <c r="D982" s="4" t="str">
        <f>Fact_Defect_Split!D165</f>
        <v>M3</v>
      </c>
      <c r="E982" s="4" t="str">
        <f>Fact_Defect_Split!E165</f>
        <v>B-PM</v>
      </c>
      <c r="F982" s="4" t="str">
        <f>Fact_Defect_Split!F165</f>
        <v>A</v>
      </c>
      <c r="G982" s="4" t="s">
        <v>517</v>
      </c>
      <c r="H982" s="19">
        <f>Fact_Defect_Split!I165</f>
        <v>1</v>
      </c>
    </row>
    <row r="983" spans="1:8" x14ac:dyDescent="0.25">
      <c r="A983" s="18" t="s">
        <v>1964</v>
      </c>
      <c r="B983" s="4">
        <f>Fact_Defect_Split!B165</f>
        <v>20260701</v>
      </c>
      <c r="C983" s="4">
        <f>Fact_Defect_Split!C165</f>
        <v>23</v>
      </c>
      <c r="D983" s="4" t="str">
        <f>Fact_Defect_Split!D165</f>
        <v>M3</v>
      </c>
      <c r="E983" s="4" t="str">
        <f>Fact_Defect_Split!E165</f>
        <v>B-PM</v>
      </c>
      <c r="F983" s="4" t="str">
        <f>Fact_Defect_Split!F165</f>
        <v>A</v>
      </c>
      <c r="G983" s="4" t="s">
        <v>503</v>
      </c>
      <c r="H983" s="19">
        <f>Fact_Defect_Split!J165</f>
        <v>0</v>
      </c>
    </row>
    <row r="984" spans="1:8" x14ac:dyDescent="0.25">
      <c r="A984" s="18" t="s">
        <v>1965</v>
      </c>
      <c r="B984" s="4">
        <f>Fact_Defect_Split!B165</f>
        <v>20260701</v>
      </c>
      <c r="C984" s="4">
        <f>Fact_Defect_Split!C165</f>
        <v>23</v>
      </c>
      <c r="D984" s="4" t="str">
        <f>Fact_Defect_Split!D165</f>
        <v>M3</v>
      </c>
      <c r="E984" s="4" t="str">
        <f>Fact_Defect_Split!E165</f>
        <v>B-PM</v>
      </c>
      <c r="F984" s="4" t="str">
        <f>Fact_Defect_Split!F165</f>
        <v>A</v>
      </c>
      <c r="G984" s="4" t="s">
        <v>509</v>
      </c>
      <c r="H984" s="19">
        <f>Fact_Defect_Split!K165</f>
        <v>1</v>
      </c>
    </row>
    <row r="985" spans="1:8" x14ac:dyDescent="0.25">
      <c r="A985" s="18" t="s">
        <v>1966</v>
      </c>
      <c r="B985" s="4">
        <f>Fact_Defect_Split!B165</f>
        <v>20260701</v>
      </c>
      <c r="C985" s="4">
        <f>Fact_Defect_Split!C165</f>
        <v>23</v>
      </c>
      <c r="D985" s="4" t="str">
        <f>Fact_Defect_Split!D165</f>
        <v>M3</v>
      </c>
      <c r="E985" s="4" t="str">
        <f>Fact_Defect_Split!E165</f>
        <v>B-PM</v>
      </c>
      <c r="F985" s="4" t="str">
        <f>Fact_Defect_Split!F165</f>
        <v>A</v>
      </c>
      <c r="G985" s="4" t="s">
        <v>520</v>
      </c>
      <c r="H985" s="19">
        <f>Fact_Defect_Split!L165</f>
        <v>0</v>
      </c>
    </row>
    <row r="986" spans="1:8" x14ac:dyDescent="0.25">
      <c r="A986" s="18" t="s">
        <v>1967</v>
      </c>
      <c r="B986" s="4">
        <f>Fact_Defect_Split!B166</f>
        <v>20260701</v>
      </c>
      <c r="C986" s="4">
        <f>Fact_Defect_Split!C166</f>
        <v>23</v>
      </c>
      <c r="D986" s="4" t="str">
        <f>Fact_Defect_Split!D166</f>
        <v>M4</v>
      </c>
      <c r="E986" s="4" t="str">
        <f>Fact_Defect_Split!E166</f>
        <v>B-PM</v>
      </c>
      <c r="F986" s="4" t="str">
        <f>Fact_Defect_Split!F166</f>
        <v>A</v>
      </c>
      <c r="G986" s="4" t="s">
        <v>498</v>
      </c>
      <c r="H986" s="19">
        <f>Fact_Defect_Split!G166</f>
        <v>0</v>
      </c>
    </row>
    <row r="987" spans="1:8" x14ac:dyDescent="0.25">
      <c r="A987" s="18" t="s">
        <v>1968</v>
      </c>
      <c r="B987" s="4">
        <f>Fact_Defect_Split!B166</f>
        <v>20260701</v>
      </c>
      <c r="C987" s="4">
        <f>Fact_Defect_Split!C166</f>
        <v>23</v>
      </c>
      <c r="D987" s="4" t="str">
        <f>Fact_Defect_Split!D166</f>
        <v>M4</v>
      </c>
      <c r="E987" s="4" t="str">
        <f>Fact_Defect_Split!E166</f>
        <v>B-PM</v>
      </c>
      <c r="F987" s="4" t="str">
        <f>Fact_Defect_Split!F166</f>
        <v>A</v>
      </c>
      <c r="G987" s="4" t="s">
        <v>500</v>
      </c>
      <c r="H987" s="19">
        <f>Fact_Defect_Split!H166</f>
        <v>0</v>
      </c>
    </row>
    <row r="988" spans="1:8" x14ac:dyDescent="0.25">
      <c r="A988" s="18" t="s">
        <v>1969</v>
      </c>
      <c r="B988" s="4">
        <f>Fact_Defect_Split!B166</f>
        <v>20260701</v>
      </c>
      <c r="C988" s="4">
        <f>Fact_Defect_Split!C166</f>
        <v>23</v>
      </c>
      <c r="D988" s="4" t="str">
        <f>Fact_Defect_Split!D166</f>
        <v>M4</v>
      </c>
      <c r="E988" s="4" t="str">
        <f>Fact_Defect_Split!E166</f>
        <v>B-PM</v>
      </c>
      <c r="F988" s="4" t="str">
        <f>Fact_Defect_Split!F166</f>
        <v>A</v>
      </c>
      <c r="G988" s="4" t="s">
        <v>517</v>
      </c>
      <c r="H988" s="19">
        <f>Fact_Defect_Split!I166</f>
        <v>0</v>
      </c>
    </row>
    <row r="989" spans="1:8" x14ac:dyDescent="0.25">
      <c r="A989" s="18" t="s">
        <v>1970</v>
      </c>
      <c r="B989" s="4">
        <f>Fact_Defect_Split!B166</f>
        <v>20260701</v>
      </c>
      <c r="C989" s="4">
        <f>Fact_Defect_Split!C166</f>
        <v>23</v>
      </c>
      <c r="D989" s="4" t="str">
        <f>Fact_Defect_Split!D166</f>
        <v>M4</v>
      </c>
      <c r="E989" s="4" t="str">
        <f>Fact_Defect_Split!E166</f>
        <v>B-PM</v>
      </c>
      <c r="F989" s="4" t="str">
        <f>Fact_Defect_Split!F166</f>
        <v>A</v>
      </c>
      <c r="G989" s="4" t="s">
        <v>503</v>
      </c>
      <c r="H989" s="19">
        <f>Fact_Defect_Split!J166</f>
        <v>0</v>
      </c>
    </row>
    <row r="990" spans="1:8" x14ac:dyDescent="0.25">
      <c r="A990" s="18" t="s">
        <v>1971</v>
      </c>
      <c r="B990" s="4">
        <f>Fact_Defect_Split!B166</f>
        <v>20260701</v>
      </c>
      <c r="C990" s="4">
        <f>Fact_Defect_Split!C166</f>
        <v>23</v>
      </c>
      <c r="D990" s="4" t="str">
        <f>Fact_Defect_Split!D166</f>
        <v>M4</v>
      </c>
      <c r="E990" s="4" t="str">
        <f>Fact_Defect_Split!E166</f>
        <v>B-PM</v>
      </c>
      <c r="F990" s="4" t="str">
        <f>Fact_Defect_Split!F166</f>
        <v>A</v>
      </c>
      <c r="G990" s="4" t="s">
        <v>509</v>
      </c>
      <c r="H990" s="19">
        <f>Fact_Defect_Split!K166</f>
        <v>1</v>
      </c>
    </row>
    <row r="991" spans="1:8" x14ac:dyDescent="0.25">
      <c r="A991" s="18" t="s">
        <v>1972</v>
      </c>
      <c r="B991" s="4">
        <f>Fact_Defect_Split!B166</f>
        <v>20260701</v>
      </c>
      <c r="C991" s="4">
        <f>Fact_Defect_Split!C166</f>
        <v>23</v>
      </c>
      <c r="D991" s="4" t="str">
        <f>Fact_Defect_Split!D166</f>
        <v>M4</v>
      </c>
      <c r="E991" s="4" t="str">
        <f>Fact_Defect_Split!E166</f>
        <v>B-PM</v>
      </c>
      <c r="F991" s="4" t="str">
        <f>Fact_Defect_Split!F166</f>
        <v>A</v>
      </c>
      <c r="G991" s="4" t="s">
        <v>520</v>
      </c>
      <c r="H991" s="19">
        <f>Fact_Defect_Split!L166</f>
        <v>0</v>
      </c>
    </row>
    <row r="992" spans="1:8" x14ac:dyDescent="0.25">
      <c r="A992" s="18" t="s">
        <v>1973</v>
      </c>
      <c r="B992" s="4">
        <f>Fact_Defect_Split!B167</f>
        <v>20260701</v>
      </c>
      <c r="C992" s="4">
        <f>Fact_Defect_Split!C167</f>
        <v>23</v>
      </c>
      <c r="D992" s="4" t="str">
        <f>Fact_Defect_Split!D167</f>
        <v>M5</v>
      </c>
      <c r="E992" s="4" t="str">
        <f>Fact_Defect_Split!E167</f>
        <v>B-PM</v>
      </c>
      <c r="F992" s="4" t="str">
        <f>Fact_Defect_Split!F167</f>
        <v>A</v>
      </c>
      <c r="G992" s="4" t="s">
        <v>498</v>
      </c>
      <c r="H992" s="19">
        <f>Fact_Defect_Split!G167</f>
        <v>0</v>
      </c>
    </row>
    <row r="993" spans="1:8" x14ac:dyDescent="0.25">
      <c r="A993" s="18" t="s">
        <v>1974</v>
      </c>
      <c r="B993" s="4">
        <f>Fact_Defect_Split!B167</f>
        <v>20260701</v>
      </c>
      <c r="C993" s="4">
        <f>Fact_Defect_Split!C167</f>
        <v>23</v>
      </c>
      <c r="D993" s="4" t="str">
        <f>Fact_Defect_Split!D167</f>
        <v>M5</v>
      </c>
      <c r="E993" s="4" t="str">
        <f>Fact_Defect_Split!E167</f>
        <v>B-PM</v>
      </c>
      <c r="F993" s="4" t="str">
        <f>Fact_Defect_Split!F167</f>
        <v>A</v>
      </c>
      <c r="G993" s="4" t="s">
        <v>500</v>
      </c>
      <c r="H993" s="19">
        <f>Fact_Defect_Split!H167</f>
        <v>0</v>
      </c>
    </row>
    <row r="994" spans="1:8" x14ac:dyDescent="0.25">
      <c r="A994" s="18" t="s">
        <v>1975</v>
      </c>
      <c r="B994" s="4">
        <f>Fact_Defect_Split!B167</f>
        <v>20260701</v>
      </c>
      <c r="C994" s="4">
        <f>Fact_Defect_Split!C167</f>
        <v>23</v>
      </c>
      <c r="D994" s="4" t="str">
        <f>Fact_Defect_Split!D167</f>
        <v>M5</v>
      </c>
      <c r="E994" s="4" t="str">
        <f>Fact_Defect_Split!E167</f>
        <v>B-PM</v>
      </c>
      <c r="F994" s="4" t="str">
        <f>Fact_Defect_Split!F167</f>
        <v>A</v>
      </c>
      <c r="G994" s="4" t="s">
        <v>517</v>
      </c>
      <c r="H994" s="19">
        <f>Fact_Defect_Split!I167</f>
        <v>0</v>
      </c>
    </row>
    <row r="995" spans="1:8" x14ac:dyDescent="0.25">
      <c r="A995" s="18" t="s">
        <v>1976</v>
      </c>
      <c r="B995" s="4">
        <f>Fact_Defect_Split!B167</f>
        <v>20260701</v>
      </c>
      <c r="C995" s="4">
        <f>Fact_Defect_Split!C167</f>
        <v>23</v>
      </c>
      <c r="D995" s="4" t="str">
        <f>Fact_Defect_Split!D167</f>
        <v>M5</v>
      </c>
      <c r="E995" s="4" t="str">
        <f>Fact_Defect_Split!E167</f>
        <v>B-PM</v>
      </c>
      <c r="F995" s="4" t="str">
        <f>Fact_Defect_Split!F167</f>
        <v>A</v>
      </c>
      <c r="G995" s="4" t="s">
        <v>503</v>
      </c>
      <c r="H995" s="19">
        <f>Fact_Defect_Split!J167</f>
        <v>0</v>
      </c>
    </row>
    <row r="996" spans="1:8" x14ac:dyDescent="0.25">
      <c r="A996" s="18" t="s">
        <v>1977</v>
      </c>
      <c r="B996" s="4">
        <f>Fact_Defect_Split!B167</f>
        <v>20260701</v>
      </c>
      <c r="C996" s="4">
        <f>Fact_Defect_Split!C167</f>
        <v>23</v>
      </c>
      <c r="D996" s="4" t="str">
        <f>Fact_Defect_Split!D167</f>
        <v>M5</v>
      </c>
      <c r="E996" s="4" t="str">
        <f>Fact_Defect_Split!E167</f>
        <v>B-PM</v>
      </c>
      <c r="F996" s="4" t="str">
        <f>Fact_Defect_Split!F167</f>
        <v>A</v>
      </c>
      <c r="G996" s="4" t="s">
        <v>509</v>
      </c>
      <c r="H996" s="19">
        <f>Fact_Defect_Split!K167</f>
        <v>0</v>
      </c>
    </row>
    <row r="997" spans="1:8" x14ac:dyDescent="0.25">
      <c r="A997" s="18" t="s">
        <v>1978</v>
      </c>
      <c r="B997" s="4">
        <f>Fact_Defect_Split!B167</f>
        <v>20260701</v>
      </c>
      <c r="C997" s="4">
        <f>Fact_Defect_Split!C167</f>
        <v>23</v>
      </c>
      <c r="D997" s="4" t="str">
        <f>Fact_Defect_Split!D167</f>
        <v>M5</v>
      </c>
      <c r="E997" s="4" t="str">
        <f>Fact_Defect_Split!E167</f>
        <v>B-PM</v>
      </c>
      <c r="F997" s="4" t="str">
        <f>Fact_Defect_Split!F167</f>
        <v>A</v>
      </c>
      <c r="G997" s="4" t="s">
        <v>520</v>
      </c>
      <c r="H997" s="19">
        <f>Fact_Defect_Split!L167</f>
        <v>1</v>
      </c>
    </row>
    <row r="998" spans="1:8" x14ac:dyDescent="0.25">
      <c r="A998" s="18" t="s">
        <v>1979</v>
      </c>
      <c r="B998" s="4">
        <f>Fact_Defect_Split!B168</f>
        <v>20260701</v>
      </c>
      <c r="C998" s="4">
        <f>Fact_Defect_Split!C168</f>
        <v>23</v>
      </c>
      <c r="D998" s="4" t="str">
        <f>Fact_Defect_Split!D168</f>
        <v>M6</v>
      </c>
      <c r="E998" s="4" t="str">
        <f>Fact_Defect_Split!E168</f>
        <v>B-PM</v>
      </c>
      <c r="F998" s="4" t="str">
        <f>Fact_Defect_Split!F168</f>
        <v>C</v>
      </c>
      <c r="G998" s="4" t="s">
        <v>498</v>
      </c>
      <c r="H998" s="19">
        <f>Fact_Defect_Split!G168</f>
        <v>0</v>
      </c>
    </row>
    <row r="999" spans="1:8" x14ac:dyDescent="0.25">
      <c r="A999" s="18" t="s">
        <v>1980</v>
      </c>
      <c r="B999" s="4">
        <f>Fact_Defect_Split!B168</f>
        <v>20260701</v>
      </c>
      <c r="C999" s="4">
        <f>Fact_Defect_Split!C168</f>
        <v>23</v>
      </c>
      <c r="D999" s="4" t="str">
        <f>Fact_Defect_Split!D168</f>
        <v>M6</v>
      </c>
      <c r="E999" s="4" t="str">
        <f>Fact_Defect_Split!E168</f>
        <v>B-PM</v>
      </c>
      <c r="F999" s="4" t="str">
        <f>Fact_Defect_Split!F168</f>
        <v>C</v>
      </c>
      <c r="G999" s="4" t="s">
        <v>500</v>
      </c>
      <c r="H999" s="19">
        <f>Fact_Defect_Split!H168</f>
        <v>0</v>
      </c>
    </row>
    <row r="1000" spans="1:8" x14ac:dyDescent="0.25">
      <c r="A1000" s="18" t="s">
        <v>1981</v>
      </c>
      <c r="B1000" s="4">
        <f>Fact_Defect_Split!B168</f>
        <v>20260701</v>
      </c>
      <c r="C1000" s="4">
        <f>Fact_Defect_Split!C168</f>
        <v>23</v>
      </c>
      <c r="D1000" s="4" t="str">
        <f>Fact_Defect_Split!D168</f>
        <v>M6</v>
      </c>
      <c r="E1000" s="4" t="str">
        <f>Fact_Defect_Split!E168</f>
        <v>B-PM</v>
      </c>
      <c r="F1000" s="4" t="str">
        <f>Fact_Defect_Split!F168</f>
        <v>C</v>
      </c>
      <c r="G1000" s="4" t="s">
        <v>517</v>
      </c>
      <c r="H1000" s="19">
        <f>Fact_Defect_Split!I168</f>
        <v>0</v>
      </c>
    </row>
    <row r="1001" spans="1:8" x14ac:dyDescent="0.25">
      <c r="A1001" s="18" t="s">
        <v>1982</v>
      </c>
      <c r="B1001" s="4">
        <f>Fact_Defect_Split!B168</f>
        <v>20260701</v>
      </c>
      <c r="C1001" s="4">
        <f>Fact_Defect_Split!C168</f>
        <v>23</v>
      </c>
      <c r="D1001" s="4" t="str">
        <f>Fact_Defect_Split!D168</f>
        <v>M6</v>
      </c>
      <c r="E1001" s="4" t="str">
        <f>Fact_Defect_Split!E168</f>
        <v>B-PM</v>
      </c>
      <c r="F1001" s="4" t="str">
        <f>Fact_Defect_Split!F168</f>
        <v>C</v>
      </c>
      <c r="G1001" s="4" t="s">
        <v>503</v>
      </c>
      <c r="H1001" s="19">
        <f>Fact_Defect_Split!J168</f>
        <v>0</v>
      </c>
    </row>
    <row r="1002" spans="1:8" x14ac:dyDescent="0.25">
      <c r="A1002" s="18" t="s">
        <v>1983</v>
      </c>
      <c r="B1002" s="4">
        <f>Fact_Defect_Split!B168</f>
        <v>20260701</v>
      </c>
      <c r="C1002" s="4">
        <f>Fact_Defect_Split!C168</f>
        <v>23</v>
      </c>
      <c r="D1002" s="4" t="str">
        <f>Fact_Defect_Split!D168</f>
        <v>M6</v>
      </c>
      <c r="E1002" s="4" t="str">
        <f>Fact_Defect_Split!E168</f>
        <v>B-PM</v>
      </c>
      <c r="F1002" s="4" t="str">
        <f>Fact_Defect_Split!F168</f>
        <v>C</v>
      </c>
      <c r="G1002" s="4" t="s">
        <v>509</v>
      </c>
      <c r="H1002" s="19">
        <f>Fact_Defect_Split!K168</f>
        <v>0</v>
      </c>
    </row>
    <row r="1003" spans="1:8" x14ac:dyDescent="0.25">
      <c r="A1003" s="18" t="s">
        <v>1984</v>
      </c>
      <c r="B1003" s="4">
        <f>Fact_Defect_Split!B168</f>
        <v>20260701</v>
      </c>
      <c r="C1003" s="4">
        <f>Fact_Defect_Split!C168</f>
        <v>23</v>
      </c>
      <c r="D1003" s="4" t="str">
        <f>Fact_Defect_Split!D168</f>
        <v>M6</v>
      </c>
      <c r="E1003" s="4" t="str">
        <f>Fact_Defect_Split!E168</f>
        <v>B-PM</v>
      </c>
      <c r="F1003" s="4" t="str">
        <f>Fact_Defect_Split!F168</f>
        <v>C</v>
      </c>
      <c r="G1003" s="4" t="s">
        <v>520</v>
      </c>
      <c r="H1003" s="19">
        <f>Fact_Defect_Split!L168</f>
        <v>0</v>
      </c>
    </row>
    <row r="1004" spans="1:8" x14ac:dyDescent="0.25">
      <c r="A1004" s="18" t="s">
        <v>1985</v>
      </c>
      <c r="B1004" s="4">
        <f>Fact_Defect_Split!B169</f>
        <v>20260701</v>
      </c>
      <c r="C1004" s="4">
        <f>Fact_Defect_Split!C169</f>
        <v>23</v>
      </c>
      <c r="D1004" s="4" t="str">
        <f>Fact_Defect_Split!D169</f>
        <v>M7</v>
      </c>
      <c r="E1004" s="4" t="str">
        <f>Fact_Defect_Split!E169</f>
        <v>B-PM</v>
      </c>
      <c r="F1004" s="4" t="str">
        <f>Fact_Defect_Split!F169</f>
        <v>A</v>
      </c>
      <c r="G1004" s="4" t="s">
        <v>498</v>
      </c>
      <c r="H1004" s="19">
        <f>Fact_Defect_Split!G169</f>
        <v>0</v>
      </c>
    </row>
    <row r="1005" spans="1:8" x14ac:dyDescent="0.25">
      <c r="A1005" s="18" t="s">
        <v>1986</v>
      </c>
      <c r="B1005" s="4">
        <f>Fact_Defect_Split!B169</f>
        <v>20260701</v>
      </c>
      <c r="C1005" s="4">
        <f>Fact_Defect_Split!C169</f>
        <v>23</v>
      </c>
      <c r="D1005" s="4" t="str">
        <f>Fact_Defect_Split!D169</f>
        <v>M7</v>
      </c>
      <c r="E1005" s="4" t="str">
        <f>Fact_Defect_Split!E169</f>
        <v>B-PM</v>
      </c>
      <c r="F1005" s="4" t="str">
        <f>Fact_Defect_Split!F169</f>
        <v>A</v>
      </c>
      <c r="G1005" s="4" t="s">
        <v>500</v>
      </c>
      <c r="H1005" s="19">
        <f>Fact_Defect_Split!H169</f>
        <v>0</v>
      </c>
    </row>
    <row r="1006" spans="1:8" x14ac:dyDescent="0.25">
      <c r="A1006" s="18" t="s">
        <v>1987</v>
      </c>
      <c r="B1006" s="4">
        <f>Fact_Defect_Split!B169</f>
        <v>20260701</v>
      </c>
      <c r="C1006" s="4">
        <f>Fact_Defect_Split!C169</f>
        <v>23</v>
      </c>
      <c r="D1006" s="4" t="str">
        <f>Fact_Defect_Split!D169</f>
        <v>M7</v>
      </c>
      <c r="E1006" s="4" t="str">
        <f>Fact_Defect_Split!E169</f>
        <v>B-PM</v>
      </c>
      <c r="F1006" s="4" t="str">
        <f>Fact_Defect_Split!F169</f>
        <v>A</v>
      </c>
      <c r="G1006" s="4" t="s">
        <v>517</v>
      </c>
      <c r="H1006" s="19">
        <f>Fact_Defect_Split!I169</f>
        <v>0</v>
      </c>
    </row>
    <row r="1007" spans="1:8" x14ac:dyDescent="0.25">
      <c r="A1007" s="18" t="s">
        <v>1988</v>
      </c>
      <c r="B1007" s="4">
        <f>Fact_Defect_Split!B169</f>
        <v>20260701</v>
      </c>
      <c r="C1007" s="4">
        <f>Fact_Defect_Split!C169</f>
        <v>23</v>
      </c>
      <c r="D1007" s="4" t="str">
        <f>Fact_Defect_Split!D169</f>
        <v>M7</v>
      </c>
      <c r="E1007" s="4" t="str">
        <f>Fact_Defect_Split!E169</f>
        <v>B-PM</v>
      </c>
      <c r="F1007" s="4" t="str">
        <f>Fact_Defect_Split!F169</f>
        <v>A</v>
      </c>
      <c r="G1007" s="4" t="s">
        <v>503</v>
      </c>
      <c r="H1007" s="19">
        <f>Fact_Defect_Split!J169</f>
        <v>0</v>
      </c>
    </row>
    <row r="1008" spans="1:8" x14ac:dyDescent="0.25">
      <c r="A1008" s="18" t="s">
        <v>1989</v>
      </c>
      <c r="B1008" s="4">
        <f>Fact_Defect_Split!B169</f>
        <v>20260701</v>
      </c>
      <c r="C1008" s="4">
        <f>Fact_Defect_Split!C169</f>
        <v>23</v>
      </c>
      <c r="D1008" s="4" t="str">
        <f>Fact_Defect_Split!D169</f>
        <v>M7</v>
      </c>
      <c r="E1008" s="4" t="str">
        <f>Fact_Defect_Split!E169</f>
        <v>B-PM</v>
      </c>
      <c r="F1008" s="4" t="str">
        <f>Fact_Defect_Split!F169</f>
        <v>A</v>
      </c>
      <c r="G1008" s="4" t="s">
        <v>509</v>
      </c>
      <c r="H1008" s="19">
        <f>Fact_Defect_Split!K169</f>
        <v>0</v>
      </c>
    </row>
    <row r="1009" spans="1:8" x14ac:dyDescent="0.25">
      <c r="A1009" s="18" t="s">
        <v>1990</v>
      </c>
      <c r="B1009" s="4">
        <f>Fact_Defect_Split!B169</f>
        <v>20260701</v>
      </c>
      <c r="C1009" s="4">
        <f>Fact_Defect_Split!C169</f>
        <v>23</v>
      </c>
      <c r="D1009" s="4" t="str">
        <f>Fact_Defect_Split!D169</f>
        <v>M7</v>
      </c>
      <c r="E1009" s="4" t="str">
        <f>Fact_Defect_Split!E169</f>
        <v>B-PM</v>
      </c>
      <c r="F1009" s="4" t="str">
        <f>Fact_Defect_Split!F169</f>
        <v>A</v>
      </c>
      <c r="G1009" s="4" t="s">
        <v>520</v>
      </c>
      <c r="H1009" s="19">
        <f>Fact_Defect_Split!L169</f>
        <v>1</v>
      </c>
    </row>
    <row r="1010" spans="1:8" x14ac:dyDescent="0.25">
      <c r="A1010" s="18" t="s">
        <v>1991</v>
      </c>
      <c r="B1010" s="4">
        <f>Fact_Defect_Split!B170</f>
        <v>20260702</v>
      </c>
      <c r="C1010" s="4">
        <f>Fact_Defect_Split!C170</f>
        <v>0</v>
      </c>
      <c r="D1010" s="4" t="str">
        <f>Fact_Defect_Split!D170</f>
        <v>M1</v>
      </c>
      <c r="E1010" s="4" t="str">
        <f>Fact_Defect_Split!E170</f>
        <v>B-PM</v>
      </c>
      <c r="F1010" s="4" t="str">
        <f>Fact_Defect_Split!F170</f>
        <v>B</v>
      </c>
      <c r="G1010" s="4" t="s">
        <v>498</v>
      </c>
      <c r="H1010" s="19">
        <f>Fact_Defect_Split!G170</f>
        <v>0</v>
      </c>
    </row>
    <row r="1011" spans="1:8" x14ac:dyDescent="0.25">
      <c r="A1011" s="18" t="s">
        <v>1992</v>
      </c>
      <c r="B1011" s="4">
        <f>Fact_Defect_Split!B170</f>
        <v>20260702</v>
      </c>
      <c r="C1011" s="4">
        <f>Fact_Defect_Split!C170</f>
        <v>0</v>
      </c>
      <c r="D1011" s="4" t="str">
        <f>Fact_Defect_Split!D170</f>
        <v>M1</v>
      </c>
      <c r="E1011" s="4" t="str">
        <f>Fact_Defect_Split!E170</f>
        <v>B-PM</v>
      </c>
      <c r="F1011" s="4" t="str">
        <f>Fact_Defect_Split!F170</f>
        <v>B</v>
      </c>
      <c r="G1011" s="4" t="s">
        <v>500</v>
      </c>
      <c r="H1011" s="19">
        <f>Fact_Defect_Split!H170</f>
        <v>0</v>
      </c>
    </row>
    <row r="1012" spans="1:8" x14ac:dyDescent="0.25">
      <c r="A1012" s="18" t="s">
        <v>1993</v>
      </c>
      <c r="B1012" s="4">
        <f>Fact_Defect_Split!B170</f>
        <v>20260702</v>
      </c>
      <c r="C1012" s="4">
        <f>Fact_Defect_Split!C170</f>
        <v>0</v>
      </c>
      <c r="D1012" s="4" t="str">
        <f>Fact_Defect_Split!D170</f>
        <v>M1</v>
      </c>
      <c r="E1012" s="4" t="str">
        <f>Fact_Defect_Split!E170</f>
        <v>B-PM</v>
      </c>
      <c r="F1012" s="4" t="str">
        <f>Fact_Defect_Split!F170</f>
        <v>B</v>
      </c>
      <c r="G1012" s="4" t="s">
        <v>517</v>
      </c>
      <c r="H1012" s="19">
        <f>Fact_Defect_Split!I170</f>
        <v>0</v>
      </c>
    </row>
    <row r="1013" spans="1:8" x14ac:dyDescent="0.25">
      <c r="A1013" s="18" t="s">
        <v>1994</v>
      </c>
      <c r="B1013" s="4">
        <f>Fact_Defect_Split!B170</f>
        <v>20260702</v>
      </c>
      <c r="C1013" s="4">
        <f>Fact_Defect_Split!C170</f>
        <v>0</v>
      </c>
      <c r="D1013" s="4" t="str">
        <f>Fact_Defect_Split!D170</f>
        <v>M1</v>
      </c>
      <c r="E1013" s="4" t="str">
        <f>Fact_Defect_Split!E170</f>
        <v>B-PM</v>
      </c>
      <c r="F1013" s="4" t="str">
        <f>Fact_Defect_Split!F170</f>
        <v>B</v>
      </c>
      <c r="G1013" s="4" t="s">
        <v>503</v>
      </c>
      <c r="H1013" s="19">
        <f>Fact_Defect_Split!J170</f>
        <v>0</v>
      </c>
    </row>
    <row r="1014" spans="1:8" x14ac:dyDescent="0.25">
      <c r="A1014" s="18" t="s">
        <v>1995</v>
      </c>
      <c r="B1014" s="4">
        <f>Fact_Defect_Split!B170</f>
        <v>20260702</v>
      </c>
      <c r="C1014" s="4">
        <f>Fact_Defect_Split!C170</f>
        <v>0</v>
      </c>
      <c r="D1014" s="4" t="str">
        <f>Fact_Defect_Split!D170</f>
        <v>M1</v>
      </c>
      <c r="E1014" s="4" t="str">
        <f>Fact_Defect_Split!E170</f>
        <v>B-PM</v>
      </c>
      <c r="F1014" s="4" t="str">
        <f>Fact_Defect_Split!F170</f>
        <v>B</v>
      </c>
      <c r="G1014" s="4" t="s">
        <v>509</v>
      </c>
      <c r="H1014" s="19">
        <f>Fact_Defect_Split!K170</f>
        <v>1</v>
      </c>
    </row>
    <row r="1015" spans="1:8" x14ac:dyDescent="0.25">
      <c r="A1015" s="18" t="s">
        <v>1996</v>
      </c>
      <c r="B1015" s="4">
        <f>Fact_Defect_Split!B170</f>
        <v>20260702</v>
      </c>
      <c r="C1015" s="4">
        <f>Fact_Defect_Split!C170</f>
        <v>0</v>
      </c>
      <c r="D1015" s="4" t="str">
        <f>Fact_Defect_Split!D170</f>
        <v>M1</v>
      </c>
      <c r="E1015" s="4" t="str">
        <f>Fact_Defect_Split!E170</f>
        <v>B-PM</v>
      </c>
      <c r="F1015" s="4" t="str">
        <f>Fact_Defect_Split!F170</f>
        <v>B</v>
      </c>
      <c r="G1015" s="4" t="s">
        <v>520</v>
      </c>
      <c r="H1015" s="19">
        <f>Fact_Defect_Split!L170</f>
        <v>0</v>
      </c>
    </row>
    <row r="1016" spans="1:8" x14ac:dyDescent="0.25">
      <c r="A1016" s="18" t="s">
        <v>1997</v>
      </c>
      <c r="B1016" s="4">
        <f>Fact_Defect_Split!B171</f>
        <v>20260702</v>
      </c>
      <c r="C1016" s="4">
        <f>Fact_Defect_Split!C171</f>
        <v>0</v>
      </c>
      <c r="D1016" s="4" t="str">
        <f>Fact_Defect_Split!D171</f>
        <v>M2</v>
      </c>
      <c r="E1016" s="4" t="str">
        <f>Fact_Defect_Split!E171</f>
        <v>B-PM</v>
      </c>
      <c r="F1016" s="4" t="str">
        <f>Fact_Defect_Split!F171</f>
        <v>A</v>
      </c>
      <c r="G1016" s="4" t="s">
        <v>498</v>
      </c>
      <c r="H1016" s="19">
        <f>Fact_Defect_Split!G171</f>
        <v>0</v>
      </c>
    </row>
    <row r="1017" spans="1:8" x14ac:dyDescent="0.25">
      <c r="A1017" s="18" t="s">
        <v>1998</v>
      </c>
      <c r="B1017" s="4">
        <f>Fact_Defect_Split!B171</f>
        <v>20260702</v>
      </c>
      <c r="C1017" s="4">
        <f>Fact_Defect_Split!C171</f>
        <v>0</v>
      </c>
      <c r="D1017" s="4" t="str">
        <f>Fact_Defect_Split!D171</f>
        <v>M2</v>
      </c>
      <c r="E1017" s="4" t="str">
        <f>Fact_Defect_Split!E171</f>
        <v>B-PM</v>
      </c>
      <c r="F1017" s="4" t="str">
        <f>Fact_Defect_Split!F171</f>
        <v>A</v>
      </c>
      <c r="G1017" s="4" t="s">
        <v>500</v>
      </c>
      <c r="H1017" s="19">
        <f>Fact_Defect_Split!H171</f>
        <v>0</v>
      </c>
    </row>
    <row r="1018" spans="1:8" x14ac:dyDescent="0.25">
      <c r="A1018" s="18" t="s">
        <v>1999</v>
      </c>
      <c r="B1018" s="4">
        <f>Fact_Defect_Split!B171</f>
        <v>20260702</v>
      </c>
      <c r="C1018" s="4">
        <f>Fact_Defect_Split!C171</f>
        <v>0</v>
      </c>
      <c r="D1018" s="4" t="str">
        <f>Fact_Defect_Split!D171</f>
        <v>M2</v>
      </c>
      <c r="E1018" s="4" t="str">
        <f>Fact_Defect_Split!E171</f>
        <v>B-PM</v>
      </c>
      <c r="F1018" s="4" t="str">
        <f>Fact_Defect_Split!F171</f>
        <v>A</v>
      </c>
      <c r="G1018" s="4" t="s">
        <v>517</v>
      </c>
      <c r="H1018" s="19">
        <f>Fact_Defect_Split!I171</f>
        <v>1</v>
      </c>
    </row>
    <row r="1019" spans="1:8" x14ac:dyDescent="0.25">
      <c r="A1019" s="18" t="s">
        <v>2000</v>
      </c>
      <c r="B1019" s="4">
        <f>Fact_Defect_Split!B171</f>
        <v>20260702</v>
      </c>
      <c r="C1019" s="4">
        <f>Fact_Defect_Split!C171</f>
        <v>0</v>
      </c>
      <c r="D1019" s="4" t="str">
        <f>Fact_Defect_Split!D171</f>
        <v>M2</v>
      </c>
      <c r="E1019" s="4" t="str">
        <f>Fact_Defect_Split!E171</f>
        <v>B-PM</v>
      </c>
      <c r="F1019" s="4" t="str">
        <f>Fact_Defect_Split!F171</f>
        <v>A</v>
      </c>
      <c r="G1019" s="4" t="s">
        <v>503</v>
      </c>
      <c r="H1019" s="19">
        <f>Fact_Defect_Split!J171</f>
        <v>0</v>
      </c>
    </row>
    <row r="1020" spans="1:8" x14ac:dyDescent="0.25">
      <c r="A1020" s="18" t="s">
        <v>2001</v>
      </c>
      <c r="B1020" s="4">
        <f>Fact_Defect_Split!B171</f>
        <v>20260702</v>
      </c>
      <c r="C1020" s="4">
        <f>Fact_Defect_Split!C171</f>
        <v>0</v>
      </c>
      <c r="D1020" s="4" t="str">
        <f>Fact_Defect_Split!D171</f>
        <v>M2</v>
      </c>
      <c r="E1020" s="4" t="str">
        <f>Fact_Defect_Split!E171</f>
        <v>B-PM</v>
      </c>
      <c r="F1020" s="4" t="str">
        <f>Fact_Defect_Split!F171</f>
        <v>A</v>
      </c>
      <c r="G1020" s="4" t="s">
        <v>509</v>
      </c>
      <c r="H1020" s="19">
        <f>Fact_Defect_Split!K171</f>
        <v>1</v>
      </c>
    </row>
    <row r="1021" spans="1:8" x14ac:dyDescent="0.25">
      <c r="A1021" s="18" t="s">
        <v>2002</v>
      </c>
      <c r="B1021" s="4">
        <f>Fact_Defect_Split!B171</f>
        <v>20260702</v>
      </c>
      <c r="C1021" s="4">
        <f>Fact_Defect_Split!C171</f>
        <v>0</v>
      </c>
      <c r="D1021" s="4" t="str">
        <f>Fact_Defect_Split!D171</f>
        <v>M2</v>
      </c>
      <c r="E1021" s="4" t="str">
        <f>Fact_Defect_Split!E171</f>
        <v>B-PM</v>
      </c>
      <c r="F1021" s="4" t="str">
        <f>Fact_Defect_Split!F171</f>
        <v>A</v>
      </c>
      <c r="G1021" s="4" t="s">
        <v>520</v>
      </c>
      <c r="H1021" s="19">
        <f>Fact_Defect_Split!L171</f>
        <v>1</v>
      </c>
    </row>
    <row r="1022" spans="1:8" x14ac:dyDescent="0.25">
      <c r="A1022" s="18" t="s">
        <v>2003</v>
      </c>
      <c r="B1022" s="4">
        <f>Fact_Defect_Split!B172</f>
        <v>20260702</v>
      </c>
      <c r="C1022" s="4">
        <f>Fact_Defect_Split!C172</f>
        <v>0</v>
      </c>
      <c r="D1022" s="4" t="str">
        <f>Fact_Defect_Split!D172</f>
        <v>M3</v>
      </c>
      <c r="E1022" s="4" t="str">
        <f>Fact_Defect_Split!E172</f>
        <v>B-PM</v>
      </c>
      <c r="F1022" s="4" t="str">
        <f>Fact_Defect_Split!F172</f>
        <v>A</v>
      </c>
      <c r="G1022" s="4" t="s">
        <v>498</v>
      </c>
      <c r="H1022" s="19">
        <f>Fact_Defect_Split!G172</f>
        <v>0</v>
      </c>
    </row>
    <row r="1023" spans="1:8" x14ac:dyDescent="0.25">
      <c r="A1023" s="18" t="s">
        <v>2004</v>
      </c>
      <c r="B1023" s="4">
        <f>Fact_Defect_Split!B172</f>
        <v>20260702</v>
      </c>
      <c r="C1023" s="4">
        <f>Fact_Defect_Split!C172</f>
        <v>0</v>
      </c>
      <c r="D1023" s="4" t="str">
        <f>Fact_Defect_Split!D172</f>
        <v>M3</v>
      </c>
      <c r="E1023" s="4" t="str">
        <f>Fact_Defect_Split!E172</f>
        <v>B-PM</v>
      </c>
      <c r="F1023" s="4" t="str">
        <f>Fact_Defect_Split!F172</f>
        <v>A</v>
      </c>
      <c r="G1023" s="4" t="s">
        <v>500</v>
      </c>
      <c r="H1023" s="19">
        <f>Fact_Defect_Split!H172</f>
        <v>0</v>
      </c>
    </row>
    <row r="1024" spans="1:8" x14ac:dyDescent="0.25">
      <c r="A1024" s="18" t="s">
        <v>2005</v>
      </c>
      <c r="B1024" s="4">
        <f>Fact_Defect_Split!B172</f>
        <v>20260702</v>
      </c>
      <c r="C1024" s="4">
        <f>Fact_Defect_Split!C172</f>
        <v>0</v>
      </c>
      <c r="D1024" s="4" t="str">
        <f>Fact_Defect_Split!D172</f>
        <v>M3</v>
      </c>
      <c r="E1024" s="4" t="str">
        <f>Fact_Defect_Split!E172</f>
        <v>B-PM</v>
      </c>
      <c r="F1024" s="4" t="str">
        <f>Fact_Defect_Split!F172</f>
        <v>A</v>
      </c>
      <c r="G1024" s="4" t="s">
        <v>517</v>
      </c>
      <c r="H1024" s="19">
        <f>Fact_Defect_Split!I172</f>
        <v>0</v>
      </c>
    </row>
    <row r="1025" spans="1:8" x14ac:dyDescent="0.25">
      <c r="A1025" s="18" t="s">
        <v>2006</v>
      </c>
      <c r="B1025" s="4">
        <f>Fact_Defect_Split!B172</f>
        <v>20260702</v>
      </c>
      <c r="C1025" s="4">
        <f>Fact_Defect_Split!C172</f>
        <v>0</v>
      </c>
      <c r="D1025" s="4" t="str">
        <f>Fact_Defect_Split!D172</f>
        <v>M3</v>
      </c>
      <c r="E1025" s="4" t="str">
        <f>Fact_Defect_Split!E172</f>
        <v>B-PM</v>
      </c>
      <c r="F1025" s="4" t="str">
        <f>Fact_Defect_Split!F172</f>
        <v>A</v>
      </c>
      <c r="G1025" s="4" t="s">
        <v>503</v>
      </c>
      <c r="H1025" s="19">
        <f>Fact_Defect_Split!J172</f>
        <v>0</v>
      </c>
    </row>
    <row r="1026" spans="1:8" x14ac:dyDescent="0.25">
      <c r="A1026" s="18" t="s">
        <v>2007</v>
      </c>
      <c r="B1026" s="4">
        <f>Fact_Defect_Split!B172</f>
        <v>20260702</v>
      </c>
      <c r="C1026" s="4">
        <f>Fact_Defect_Split!C172</f>
        <v>0</v>
      </c>
      <c r="D1026" s="4" t="str">
        <f>Fact_Defect_Split!D172</f>
        <v>M3</v>
      </c>
      <c r="E1026" s="4" t="str">
        <f>Fact_Defect_Split!E172</f>
        <v>B-PM</v>
      </c>
      <c r="F1026" s="4" t="str">
        <f>Fact_Defect_Split!F172</f>
        <v>A</v>
      </c>
      <c r="G1026" s="4" t="s">
        <v>509</v>
      </c>
      <c r="H1026" s="19">
        <f>Fact_Defect_Split!K172</f>
        <v>0</v>
      </c>
    </row>
    <row r="1027" spans="1:8" x14ac:dyDescent="0.25">
      <c r="A1027" s="18" t="s">
        <v>2008</v>
      </c>
      <c r="B1027" s="4">
        <f>Fact_Defect_Split!B172</f>
        <v>20260702</v>
      </c>
      <c r="C1027" s="4">
        <f>Fact_Defect_Split!C172</f>
        <v>0</v>
      </c>
      <c r="D1027" s="4" t="str">
        <f>Fact_Defect_Split!D172</f>
        <v>M3</v>
      </c>
      <c r="E1027" s="4" t="str">
        <f>Fact_Defect_Split!E172</f>
        <v>B-PM</v>
      </c>
      <c r="F1027" s="4" t="str">
        <f>Fact_Defect_Split!F172</f>
        <v>A</v>
      </c>
      <c r="G1027" s="4" t="s">
        <v>520</v>
      </c>
      <c r="H1027" s="19">
        <f>Fact_Defect_Split!L172</f>
        <v>0</v>
      </c>
    </row>
    <row r="1028" spans="1:8" x14ac:dyDescent="0.25">
      <c r="A1028" s="18" t="s">
        <v>2009</v>
      </c>
      <c r="B1028" s="4">
        <f>Fact_Defect_Split!B173</f>
        <v>20260702</v>
      </c>
      <c r="C1028" s="4">
        <f>Fact_Defect_Split!C173</f>
        <v>0</v>
      </c>
      <c r="D1028" s="4" t="str">
        <f>Fact_Defect_Split!D173</f>
        <v>M4</v>
      </c>
      <c r="E1028" s="4" t="str">
        <f>Fact_Defect_Split!E173</f>
        <v>B-PM</v>
      </c>
      <c r="F1028" s="4" t="str">
        <f>Fact_Defect_Split!F173</f>
        <v>C</v>
      </c>
      <c r="G1028" s="4" t="s">
        <v>498</v>
      </c>
      <c r="H1028" s="19">
        <f>Fact_Defect_Split!G173</f>
        <v>0</v>
      </c>
    </row>
    <row r="1029" spans="1:8" x14ac:dyDescent="0.25">
      <c r="A1029" s="18" t="s">
        <v>2010</v>
      </c>
      <c r="B1029" s="4">
        <f>Fact_Defect_Split!B173</f>
        <v>20260702</v>
      </c>
      <c r="C1029" s="4">
        <f>Fact_Defect_Split!C173</f>
        <v>0</v>
      </c>
      <c r="D1029" s="4" t="str">
        <f>Fact_Defect_Split!D173</f>
        <v>M4</v>
      </c>
      <c r="E1029" s="4" t="str">
        <f>Fact_Defect_Split!E173</f>
        <v>B-PM</v>
      </c>
      <c r="F1029" s="4" t="str">
        <f>Fact_Defect_Split!F173</f>
        <v>C</v>
      </c>
      <c r="G1029" s="4" t="s">
        <v>500</v>
      </c>
      <c r="H1029" s="19">
        <f>Fact_Defect_Split!H173</f>
        <v>0</v>
      </c>
    </row>
    <row r="1030" spans="1:8" x14ac:dyDescent="0.25">
      <c r="A1030" s="18" t="s">
        <v>2011</v>
      </c>
      <c r="B1030" s="4">
        <f>Fact_Defect_Split!B173</f>
        <v>20260702</v>
      </c>
      <c r="C1030" s="4">
        <f>Fact_Defect_Split!C173</f>
        <v>0</v>
      </c>
      <c r="D1030" s="4" t="str">
        <f>Fact_Defect_Split!D173</f>
        <v>M4</v>
      </c>
      <c r="E1030" s="4" t="str">
        <f>Fact_Defect_Split!E173</f>
        <v>B-PM</v>
      </c>
      <c r="F1030" s="4" t="str">
        <f>Fact_Defect_Split!F173</f>
        <v>C</v>
      </c>
      <c r="G1030" s="4" t="s">
        <v>517</v>
      </c>
      <c r="H1030" s="19">
        <f>Fact_Defect_Split!I173</f>
        <v>1</v>
      </c>
    </row>
    <row r="1031" spans="1:8" x14ac:dyDescent="0.25">
      <c r="A1031" s="18" t="s">
        <v>2012</v>
      </c>
      <c r="B1031" s="4">
        <f>Fact_Defect_Split!B173</f>
        <v>20260702</v>
      </c>
      <c r="C1031" s="4">
        <f>Fact_Defect_Split!C173</f>
        <v>0</v>
      </c>
      <c r="D1031" s="4" t="str">
        <f>Fact_Defect_Split!D173</f>
        <v>M4</v>
      </c>
      <c r="E1031" s="4" t="str">
        <f>Fact_Defect_Split!E173</f>
        <v>B-PM</v>
      </c>
      <c r="F1031" s="4" t="str">
        <f>Fact_Defect_Split!F173</f>
        <v>C</v>
      </c>
      <c r="G1031" s="4" t="s">
        <v>503</v>
      </c>
      <c r="H1031" s="19">
        <f>Fact_Defect_Split!J173</f>
        <v>0</v>
      </c>
    </row>
    <row r="1032" spans="1:8" x14ac:dyDescent="0.25">
      <c r="A1032" s="18" t="s">
        <v>2013</v>
      </c>
      <c r="B1032" s="4">
        <f>Fact_Defect_Split!B173</f>
        <v>20260702</v>
      </c>
      <c r="C1032" s="4">
        <f>Fact_Defect_Split!C173</f>
        <v>0</v>
      </c>
      <c r="D1032" s="4" t="str">
        <f>Fact_Defect_Split!D173</f>
        <v>M4</v>
      </c>
      <c r="E1032" s="4" t="str">
        <f>Fact_Defect_Split!E173</f>
        <v>B-PM</v>
      </c>
      <c r="F1032" s="4" t="str">
        <f>Fact_Defect_Split!F173</f>
        <v>C</v>
      </c>
      <c r="G1032" s="4" t="s">
        <v>509</v>
      </c>
      <c r="H1032" s="19">
        <f>Fact_Defect_Split!K173</f>
        <v>1</v>
      </c>
    </row>
    <row r="1033" spans="1:8" x14ac:dyDescent="0.25">
      <c r="A1033" s="18" t="s">
        <v>2014</v>
      </c>
      <c r="B1033" s="4">
        <f>Fact_Defect_Split!B173</f>
        <v>20260702</v>
      </c>
      <c r="C1033" s="4">
        <f>Fact_Defect_Split!C173</f>
        <v>0</v>
      </c>
      <c r="D1033" s="4" t="str">
        <f>Fact_Defect_Split!D173</f>
        <v>M4</v>
      </c>
      <c r="E1033" s="4" t="str">
        <f>Fact_Defect_Split!E173</f>
        <v>B-PM</v>
      </c>
      <c r="F1033" s="4" t="str">
        <f>Fact_Defect_Split!F173</f>
        <v>C</v>
      </c>
      <c r="G1033" s="4" t="s">
        <v>520</v>
      </c>
      <c r="H1033" s="19">
        <f>Fact_Defect_Split!L173</f>
        <v>1</v>
      </c>
    </row>
    <row r="1034" spans="1:8" x14ac:dyDescent="0.25">
      <c r="A1034" s="18" t="s">
        <v>2015</v>
      </c>
      <c r="B1034" s="4">
        <f>Fact_Defect_Split!B174</f>
        <v>20260702</v>
      </c>
      <c r="C1034" s="4">
        <f>Fact_Defect_Split!C174</f>
        <v>0</v>
      </c>
      <c r="D1034" s="4" t="str">
        <f>Fact_Defect_Split!D174</f>
        <v>M5</v>
      </c>
      <c r="E1034" s="4" t="str">
        <f>Fact_Defect_Split!E174</f>
        <v>B-PM</v>
      </c>
      <c r="F1034" s="4" t="str">
        <f>Fact_Defect_Split!F174</f>
        <v>A</v>
      </c>
      <c r="G1034" s="4" t="s">
        <v>498</v>
      </c>
      <c r="H1034" s="19">
        <f>Fact_Defect_Split!G174</f>
        <v>0</v>
      </c>
    </row>
    <row r="1035" spans="1:8" x14ac:dyDescent="0.25">
      <c r="A1035" s="18" t="s">
        <v>2016</v>
      </c>
      <c r="B1035" s="4">
        <f>Fact_Defect_Split!B174</f>
        <v>20260702</v>
      </c>
      <c r="C1035" s="4">
        <f>Fact_Defect_Split!C174</f>
        <v>0</v>
      </c>
      <c r="D1035" s="4" t="str">
        <f>Fact_Defect_Split!D174</f>
        <v>M5</v>
      </c>
      <c r="E1035" s="4" t="str">
        <f>Fact_Defect_Split!E174</f>
        <v>B-PM</v>
      </c>
      <c r="F1035" s="4" t="str">
        <f>Fact_Defect_Split!F174</f>
        <v>A</v>
      </c>
      <c r="G1035" s="4" t="s">
        <v>500</v>
      </c>
      <c r="H1035" s="19">
        <f>Fact_Defect_Split!H174</f>
        <v>0</v>
      </c>
    </row>
    <row r="1036" spans="1:8" x14ac:dyDescent="0.25">
      <c r="A1036" s="18" t="s">
        <v>2017</v>
      </c>
      <c r="B1036" s="4">
        <f>Fact_Defect_Split!B174</f>
        <v>20260702</v>
      </c>
      <c r="C1036" s="4">
        <f>Fact_Defect_Split!C174</f>
        <v>0</v>
      </c>
      <c r="D1036" s="4" t="str">
        <f>Fact_Defect_Split!D174</f>
        <v>M5</v>
      </c>
      <c r="E1036" s="4" t="str">
        <f>Fact_Defect_Split!E174</f>
        <v>B-PM</v>
      </c>
      <c r="F1036" s="4" t="str">
        <f>Fact_Defect_Split!F174</f>
        <v>A</v>
      </c>
      <c r="G1036" s="4" t="s">
        <v>517</v>
      </c>
      <c r="H1036" s="19">
        <f>Fact_Defect_Split!I174</f>
        <v>0</v>
      </c>
    </row>
    <row r="1037" spans="1:8" x14ac:dyDescent="0.25">
      <c r="A1037" s="18" t="s">
        <v>2018</v>
      </c>
      <c r="B1037" s="4">
        <f>Fact_Defect_Split!B174</f>
        <v>20260702</v>
      </c>
      <c r="C1037" s="4">
        <f>Fact_Defect_Split!C174</f>
        <v>0</v>
      </c>
      <c r="D1037" s="4" t="str">
        <f>Fact_Defect_Split!D174</f>
        <v>M5</v>
      </c>
      <c r="E1037" s="4" t="str">
        <f>Fact_Defect_Split!E174</f>
        <v>B-PM</v>
      </c>
      <c r="F1037" s="4" t="str">
        <f>Fact_Defect_Split!F174</f>
        <v>A</v>
      </c>
      <c r="G1037" s="4" t="s">
        <v>503</v>
      </c>
      <c r="H1037" s="19">
        <f>Fact_Defect_Split!J174</f>
        <v>0</v>
      </c>
    </row>
    <row r="1038" spans="1:8" x14ac:dyDescent="0.25">
      <c r="A1038" s="18" t="s">
        <v>2019</v>
      </c>
      <c r="B1038" s="4">
        <f>Fact_Defect_Split!B174</f>
        <v>20260702</v>
      </c>
      <c r="C1038" s="4">
        <f>Fact_Defect_Split!C174</f>
        <v>0</v>
      </c>
      <c r="D1038" s="4" t="str">
        <f>Fact_Defect_Split!D174</f>
        <v>M5</v>
      </c>
      <c r="E1038" s="4" t="str">
        <f>Fact_Defect_Split!E174</f>
        <v>B-PM</v>
      </c>
      <c r="F1038" s="4" t="str">
        <f>Fact_Defect_Split!F174</f>
        <v>A</v>
      </c>
      <c r="G1038" s="4" t="s">
        <v>509</v>
      </c>
      <c r="H1038" s="19">
        <f>Fact_Defect_Split!K174</f>
        <v>0</v>
      </c>
    </row>
    <row r="1039" spans="1:8" x14ac:dyDescent="0.25">
      <c r="A1039" s="18" t="s">
        <v>2020</v>
      </c>
      <c r="B1039" s="4">
        <f>Fact_Defect_Split!B174</f>
        <v>20260702</v>
      </c>
      <c r="C1039" s="4">
        <f>Fact_Defect_Split!C174</f>
        <v>0</v>
      </c>
      <c r="D1039" s="4" t="str">
        <f>Fact_Defect_Split!D174</f>
        <v>M5</v>
      </c>
      <c r="E1039" s="4" t="str">
        <f>Fact_Defect_Split!E174</f>
        <v>B-PM</v>
      </c>
      <c r="F1039" s="4" t="str">
        <f>Fact_Defect_Split!F174</f>
        <v>A</v>
      </c>
      <c r="G1039" s="4" t="s">
        <v>520</v>
      </c>
      <c r="H1039" s="19">
        <f>Fact_Defect_Split!L174</f>
        <v>1</v>
      </c>
    </row>
    <row r="1040" spans="1:8" x14ac:dyDescent="0.25">
      <c r="A1040" s="18" t="s">
        <v>2021</v>
      </c>
      <c r="B1040" s="4">
        <f>Fact_Defect_Split!B175</f>
        <v>20260702</v>
      </c>
      <c r="C1040" s="4">
        <f>Fact_Defect_Split!C175</f>
        <v>0</v>
      </c>
      <c r="D1040" s="4" t="str">
        <f>Fact_Defect_Split!D175</f>
        <v>M6</v>
      </c>
      <c r="E1040" s="4" t="str">
        <f>Fact_Defect_Split!E175</f>
        <v>B-PM</v>
      </c>
      <c r="F1040" s="4" t="str">
        <f>Fact_Defect_Split!F175</f>
        <v>A</v>
      </c>
      <c r="G1040" s="4" t="s">
        <v>498</v>
      </c>
      <c r="H1040" s="19">
        <f>Fact_Defect_Split!G175</f>
        <v>0</v>
      </c>
    </row>
    <row r="1041" spans="1:8" x14ac:dyDescent="0.25">
      <c r="A1041" s="18" t="s">
        <v>2022</v>
      </c>
      <c r="B1041" s="4">
        <f>Fact_Defect_Split!B175</f>
        <v>20260702</v>
      </c>
      <c r="C1041" s="4">
        <f>Fact_Defect_Split!C175</f>
        <v>0</v>
      </c>
      <c r="D1041" s="4" t="str">
        <f>Fact_Defect_Split!D175</f>
        <v>M6</v>
      </c>
      <c r="E1041" s="4" t="str">
        <f>Fact_Defect_Split!E175</f>
        <v>B-PM</v>
      </c>
      <c r="F1041" s="4" t="str">
        <f>Fact_Defect_Split!F175</f>
        <v>A</v>
      </c>
      <c r="G1041" s="4" t="s">
        <v>500</v>
      </c>
      <c r="H1041" s="19">
        <f>Fact_Defect_Split!H175</f>
        <v>0</v>
      </c>
    </row>
    <row r="1042" spans="1:8" x14ac:dyDescent="0.25">
      <c r="A1042" s="18" t="s">
        <v>2023</v>
      </c>
      <c r="B1042" s="4">
        <f>Fact_Defect_Split!B175</f>
        <v>20260702</v>
      </c>
      <c r="C1042" s="4">
        <f>Fact_Defect_Split!C175</f>
        <v>0</v>
      </c>
      <c r="D1042" s="4" t="str">
        <f>Fact_Defect_Split!D175</f>
        <v>M6</v>
      </c>
      <c r="E1042" s="4" t="str">
        <f>Fact_Defect_Split!E175</f>
        <v>B-PM</v>
      </c>
      <c r="F1042" s="4" t="str">
        <f>Fact_Defect_Split!F175</f>
        <v>A</v>
      </c>
      <c r="G1042" s="4" t="s">
        <v>517</v>
      </c>
      <c r="H1042" s="19">
        <f>Fact_Defect_Split!I175</f>
        <v>1</v>
      </c>
    </row>
    <row r="1043" spans="1:8" x14ac:dyDescent="0.25">
      <c r="A1043" s="18" t="s">
        <v>2024</v>
      </c>
      <c r="B1043" s="4">
        <f>Fact_Defect_Split!B175</f>
        <v>20260702</v>
      </c>
      <c r="C1043" s="4">
        <f>Fact_Defect_Split!C175</f>
        <v>0</v>
      </c>
      <c r="D1043" s="4" t="str">
        <f>Fact_Defect_Split!D175</f>
        <v>M6</v>
      </c>
      <c r="E1043" s="4" t="str">
        <f>Fact_Defect_Split!E175</f>
        <v>B-PM</v>
      </c>
      <c r="F1043" s="4" t="str">
        <f>Fact_Defect_Split!F175</f>
        <v>A</v>
      </c>
      <c r="G1043" s="4" t="s">
        <v>503</v>
      </c>
      <c r="H1043" s="19">
        <f>Fact_Defect_Split!J175</f>
        <v>0</v>
      </c>
    </row>
    <row r="1044" spans="1:8" x14ac:dyDescent="0.25">
      <c r="A1044" s="18" t="s">
        <v>2025</v>
      </c>
      <c r="B1044" s="4">
        <f>Fact_Defect_Split!B175</f>
        <v>20260702</v>
      </c>
      <c r="C1044" s="4">
        <f>Fact_Defect_Split!C175</f>
        <v>0</v>
      </c>
      <c r="D1044" s="4" t="str">
        <f>Fact_Defect_Split!D175</f>
        <v>M6</v>
      </c>
      <c r="E1044" s="4" t="str">
        <f>Fact_Defect_Split!E175</f>
        <v>B-PM</v>
      </c>
      <c r="F1044" s="4" t="str">
        <f>Fact_Defect_Split!F175</f>
        <v>A</v>
      </c>
      <c r="G1044" s="4" t="s">
        <v>509</v>
      </c>
      <c r="H1044" s="19">
        <f>Fact_Defect_Split!K175</f>
        <v>1</v>
      </c>
    </row>
    <row r="1045" spans="1:8" x14ac:dyDescent="0.25">
      <c r="A1045" s="18" t="s">
        <v>2026</v>
      </c>
      <c r="B1045" s="4">
        <f>Fact_Defect_Split!B175</f>
        <v>20260702</v>
      </c>
      <c r="C1045" s="4">
        <f>Fact_Defect_Split!C175</f>
        <v>0</v>
      </c>
      <c r="D1045" s="4" t="str">
        <f>Fact_Defect_Split!D175</f>
        <v>M6</v>
      </c>
      <c r="E1045" s="4" t="str">
        <f>Fact_Defect_Split!E175</f>
        <v>B-PM</v>
      </c>
      <c r="F1045" s="4" t="str">
        <f>Fact_Defect_Split!F175</f>
        <v>A</v>
      </c>
      <c r="G1045" s="4" t="s">
        <v>520</v>
      </c>
      <c r="H1045" s="19">
        <f>Fact_Defect_Split!L175</f>
        <v>0</v>
      </c>
    </row>
    <row r="1046" spans="1:8" x14ac:dyDescent="0.25">
      <c r="A1046" s="18" t="s">
        <v>2027</v>
      </c>
      <c r="B1046" s="4">
        <f>Fact_Defect_Split!B176</f>
        <v>20260702</v>
      </c>
      <c r="C1046" s="4">
        <f>Fact_Defect_Split!C176</f>
        <v>0</v>
      </c>
      <c r="D1046" s="4" t="str">
        <f>Fact_Defect_Split!D176</f>
        <v>M7</v>
      </c>
      <c r="E1046" s="4" t="str">
        <f>Fact_Defect_Split!E176</f>
        <v>B-PM</v>
      </c>
      <c r="F1046" s="4" t="str">
        <f>Fact_Defect_Split!F176</f>
        <v>C</v>
      </c>
      <c r="G1046" s="4" t="s">
        <v>498</v>
      </c>
      <c r="H1046" s="19">
        <f>Fact_Defect_Split!G176</f>
        <v>0</v>
      </c>
    </row>
    <row r="1047" spans="1:8" x14ac:dyDescent="0.25">
      <c r="A1047" s="18" t="s">
        <v>2028</v>
      </c>
      <c r="B1047" s="4">
        <f>Fact_Defect_Split!B176</f>
        <v>20260702</v>
      </c>
      <c r="C1047" s="4">
        <f>Fact_Defect_Split!C176</f>
        <v>0</v>
      </c>
      <c r="D1047" s="4" t="str">
        <f>Fact_Defect_Split!D176</f>
        <v>M7</v>
      </c>
      <c r="E1047" s="4" t="str">
        <f>Fact_Defect_Split!E176</f>
        <v>B-PM</v>
      </c>
      <c r="F1047" s="4" t="str">
        <f>Fact_Defect_Split!F176</f>
        <v>C</v>
      </c>
      <c r="G1047" s="4" t="s">
        <v>500</v>
      </c>
      <c r="H1047" s="19">
        <f>Fact_Defect_Split!H176</f>
        <v>0</v>
      </c>
    </row>
    <row r="1048" spans="1:8" x14ac:dyDescent="0.25">
      <c r="A1048" s="18" t="s">
        <v>2029</v>
      </c>
      <c r="B1048" s="4">
        <f>Fact_Defect_Split!B176</f>
        <v>20260702</v>
      </c>
      <c r="C1048" s="4">
        <f>Fact_Defect_Split!C176</f>
        <v>0</v>
      </c>
      <c r="D1048" s="4" t="str">
        <f>Fact_Defect_Split!D176</f>
        <v>M7</v>
      </c>
      <c r="E1048" s="4" t="str">
        <f>Fact_Defect_Split!E176</f>
        <v>B-PM</v>
      </c>
      <c r="F1048" s="4" t="str">
        <f>Fact_Defect_Split!F176</f>
        <v>C</v>
      </c>
      <c r="G1048" s="4" t="s">
        <v>517</v>
      </c>
      <c r="H1048" s="19">
        <f>Fact_Defect_Split!I176</f>
        <v>0</v>
      </c>
    </row>
    <row r="1049" spans="1:8" x14ac:dyDescent="0.25">
      <c r="A1049" s="18" t="s">
        <v>2030</v>
      </c>
      <c r="B1049" s="4">
        <f>Fact_Defect_Split!B176</f>
        <v>20260702</v>
      </c>
      <c r="C1049" s="4">
        <f>Fact_Defect_Split!C176</f>
        <v>0</v>
      </c>
      <c r="D1049" s="4" t="str">
        <f>Fact_Defect_Split!D176</f>
        <v>M7</v>
      </c>
      <c r="E1049" s="4" t="str">
        <f>Fact_Defect_Split!E176</f>
        <v>B-PM</v>
      </c>
      <c r="F1049" s="4" t="str">
        <f>Fact_Defect_Split!F176</f>
        <v>C</v>
      </c>
      <c r="G1049" s="4" t="s">
        <v>503</v>
      </c>
      <c r="H1049" s="19">
        <f>Fact_Defect_Split!J176</f>
        <v>0</v>
      </c>
    </row>
    <row r="1050" spans="1:8" x14ac:dyDescent="0.25">
      <c r="A1050" s="18" t="s">
        <v>2031</v>
      </c>
      <c r="B1050" s="4">
        <f>Fact_Defect_Split!B176</f>
        <v>20260702</v>
      </c>
      <c r="C1050" s="4">
        <f>Fact_Defect_Split!C176</f>
        <v>0</v>
      </c>
      <c r="D1050" s="4" t="str">
        <f>Fact_Defect_Split!D176</f>
        <v>M7</v>
      </c>
      <c r="E1050" s="4" t="str">
        <f>Fact_Defect_Split!E176</f>
        <v>B-PM</v>
      </c>
      <c r="F1050" s="4" t="str">
        <f>Fact_Defect_Split!F176</f>
        <v>C</v>
      </c>
      <c r="G1050" s="4" t="s">
        <v>509</v>
      </c>
      <c r="H1050" s="19">
        <f>Fact_Defect_Split!K176</f>
        <v>0</v>
      </c>
    </row>
    <row r="1051" spans="1:8" x14ac:dyDescent="0.25">
      <c r="A1051" s="18" t="s">
        <v>2032</v>
      </c>
      <c r="B1051" s="4">
        <f>Fact_Defect_Split!B176</f>
        <v>20260702</v>
      </c>
      <c r="C1051" s="4">
        <f>Fact_Defect_Split!C176</f>
        <v>0</v>
      </c>
      <c r="D1051" s="4" t="str">
        <f>Fact_Defect_Split!D176</f>
        <v>M7</v>
      </c>
      <c r="E1051" s="4" t="str">
        <f>Fact_Defect_Split!E176</f>
        <v>B-PM</v>
      </c>
      <c r="F1051" s="4" t="str">
        <f>Fact_Defect_Split!F176</f>
        <v>C</v>
      </c>
      <c r="G1051" s="4" t="s">
        <v>520</v>
      </c>
      <c r="H1051" s="19">
        <f>Fact_Defect_Split!L176</f>
        <v>1</v>
      </c>
    </row>
    <row r="1052" spans="1:8" x14ac:dyDescent="0.25">
      <c r="A1052" s="18" t="s">
        <v>2033</v>
      </c>
      <c r="B1052" s="4">
        <f>Fact_Defect_Split!B177</f>
        <v>20260702</v>
      </c>
      <c r="C1052" s="4">
        <f>Fact_Defect_Split!C177</f>
        <v>1</v>
      </c>
      <c r="D1052" s="4" t="str">
        <f>Fact_Defect_Split!D177</f>
        <v>M1</v>
      </c>
      <c r="E1052" s="4" t="str">
        <f>Fact_Defect_Split!E177</f>
        <v>B-PM</v>
      </c>
      <c r="F1052" s="4" t="str">
        <f>Fact_Defect_Split!F177</f>
        <v>B</v>
      </c>
      <c r="G1052" s="4" t="s">
        <v>498</v>
      </c>
      <c r="H1052" s="19">
        <f>Fact_Defect_Split!G177</f>
        <v>0</v>
      </c>
    </row>
    <row r="1053" spans="1:8" x14ac:dyDescent="0.25">
      <c r="A1053" s="18" t="s">
        <v>2034</v>
      </c>
      <c r="B1053" s="4">
        <f>Fact_Defect_Split!B177</f>
        <v>20260702</v>
      </c>
      <c r="C1053" s="4">
        <f>Fact_Defect_Split!C177</f>
        <v>1</v>
      </c>
      <c r="D1053" s="4" t="str">
        <f>Fact_Defect_Split!D177</f>
        <v>M1</v>
      </c>
      <c r="E1053" s="4" t="str">
        <f>Fact_Defect_Split!E177</f>
        <v>B-PM</v>
      </c>
      <c r="F1053" s="4" t="str">
        <f>Fact_Defect_Split!F177</f>
        <v>B</v>
      </c>
      <c r="G1053" s="4" t="s">
        <v>500</v>
      </c>
      <c r="H1053" s="19">
        <f>Fact_Defect_Split!H177</f>
        <v>0</v>
      </c>
    </row>
    <row r="1054" spans="1:8" x14ac:dyDescent="0.25">
      <c r="A1054" s="18" t="s">
        <v>2035</v>
      </c>
      <c r="B1054" s="4">
        <f>Fact_Defect_Split!B177</f>
        <v>20260702</v>
      </c>
      <c r="C1054" s="4">
        <f>Fact_Defect_Split!C177</f>
        <v>1</v>
      </c>
      <c r="D1054" s="4" t="str">
        <f>Fact_Defect_Split!D177</f>
        <v>M1</v>
      </c>
      <c r="E1054" s="4" t="str">
        <f>Fact_Defect_Split!E177</f>
        <v>B-PM</v>
      </c>
      <c r="F1054" s="4" t="str">
        <f>Fact_Defect_Split!F177</f>
        <v>B</v>
      </c>
      <c r="G1054" s="4" t="s">
        <v>517</v>
      </c>
      <c r="H1054" s="19">
        <f>Fact_Defect_Split!I177</f>
        <v>0</v>
      </c>
    </row>
    <row r="1055" spans="1:8" x14ac:dyDescent="0.25">
      <c r="A1055" s="18" t="s">
        <v>2036</v>
      </c>
      <c r="B1055" s="4">
        <f>Fact_Defect_Split!B177</f>
        <v>20260702</v>
      </c>
      <c r="C1055" s="4">
        <f>Fact_Defect_Split!C177</f>
        <v>1</v>
      </c>
      <c r="D1055" s="4" t="str">
        <f>Fact_Defect_Split!D177</f>
        <v>M1</v>
      </c>
      <c r="E1055" s="4" t="str">
        <f>Fact_Defect_Split!E177</f>
        <v>B-PM</v>
      </c>
      <c r="F1055" s="4" t="str">
        <f>Fact_Defect_Split!F177</f>
        <v>B</v>
      </c>
      <c r="G1055" s="4" t="s">
        <v>503</v>
      </c>
      <c r="H1055" s="19">
        <f>Fact_Defect_Split!J177</f>
        <v>1</v>
      </c>
    </row>
    <row r="1056" spans="1:8" x14ac:dyDescent="0.25">
      <c r="A1056" s="18" t="s">
        <v>2037</v>
      </c>
      <c r="B1056" s="4">
        <f>Fact_Defect_Split!B177</f>
        <v>20260702</v>
      </c>
      <c r="C1056" s="4">
        <f>Fact_Defect_Split!C177</f>
        <v>1</v>
      </c>
      <c r="D1056" s="4" t="str">
        <f>Fact_Defect_Split!D177</f>
        <v>M1</v>
      </c>
      <c r="E1056" s="4" t="str">
        <f>Fact_Defect_Split!E177</f>
        <v>B-PM</v>
      </c>
      <c r="F1056" s="4" t="str">
        <f>Fact_Defect_Split!F177</f>
        <v>B</v>
      </c>
      <c r="G1056" s="4" t="s">
        <v>509</v>
      </c>
      <c r="H1056" s="19">
        <f>Fact_Defect_Split!K177</f>
        <v>1</v>
      </c>
    </row>
    <row r="1057" spans="1:8" x14ac:dyDescent="0.25">
      <c r="A1057" s="18" t="s">
        <v>2038</v>
      </c>
      <c r="B1057" s="4">
        <f>Fact_Defect_Split!B177</f>
        <v>20260702</v>
      </c>
      <c r="C1057" s="4">
        <f>Fact_Defect_Split!C177</f>
        <v>1</v>
      </c>
      <c r="D1057" s="4" t="str">
        <f>Fact_Defect_Split!D177</f>
        <v>M1</v>
      </c>
      <c r="E1057" s="4" t="str">
        <f>Fact_Defect_Split!E177</f>
        <v>B-PM</v>
      </c>
      <c r="F1057" s="4" t="str">
        <f>Fact_Defect_Split!F177</f>
        <v>B</v>
      </c>
      <c r="G1057" s="4" t="s">
        <v>520</v>
      </c>
      <c r="H1057" s="19">
        <f>Fact_Defect_Split!L177</f>
        <v>0</v>
      </c>
    </row>
    <row r="1058" spans="1:8" x14ac:dyDescent="0.25">
      <c r="A1058" s="18" t="s">
        <v>2039</v>
      </c>
      <c r="B1058" s="4">
        <f>Fact_Defect_Split!B178</f>
        <v>20260702</v>
      </c>
      <c r="C1058" s="4">
        <f>Fact_Defect_Split!C178</f>
        <v>1</v>
      </c>
      <c r="D1058" s="4" t="str">
        <f>Fact_Defect_Split!D178</f>
        <v>M2</v>
      </c>
      <c r="E1058" s="4" t="str">
        <f>Fact_Defect_Split!E178</f>
        <v>B-PM</v>
      </c>
      <c r="F1058" s="4" t="str">
        <f>Fact_Defect_Split!F178</f>
        <v>A</v>
      </c>
      <c r="G1058" s="4" t="s">
        <v>498</v>
      </c>
      <c r="H1058" s="19">
        <f>Fact_Defect_Split!G178</f>
        <v>0</v>
      </c>
    </row>
    <row r="1059" spans="1:8" x14ac:dyDescent="0.25">
      <c r="A1059" s="18" t="s">
        <v>2040</v>
      </c>
      <c r="B1059" s="4">
        <f>Fact_Defect_Split!B178</f>
        <v>20260702</v>
      </c>
      <c r="C1059" s="4">
        <f>Fact_Defect_Split!C178</f>
        <v>1</v>
      </c>
      <c r="D1059" s="4" t="str">
        <f>Fact_Defect_Split!D178</f>
        <v>M2</v>
      </c>
      <c r="E1059" s="4" t="str">
        <f>Fact_Defect_Split!E178</f>
        <v>B-PM</v>
      </c>
      <c r="F1059" s="4" t="str">
        <f>Fact_Defect_Split!F178</f>
        <v>A</v>
      </c>
      <c r="G1059" s="4" t="s">
        <v>500</v>
      </c>
      <c r="H1059" s="19">
        <f>Fact_Defect_Split!H178</f>
        <v>0</v>
      </c>
    </row>
    <row r="1060" spans="1:8" x14ac:dyDescent="0.25">
      <c r="A1060" s="18" t="s">
        <v>2041</v>
      </c>
      <c r="B1060" s="4">
        <f>Fact_Defect_Split!B178</f>
        <v>20260702</v>
      </c>
      <c r="C1060" s="4">
        <f>Fact_Defect_Split!C178</f>
        <v>1</v>
      </c>
      <c r="D1060" s="4" t="str">
        <f>Fact_Defect_Split!D178</f>
        <v>M2</v>
      </c>
      <c r="E1060" s="4" t="str">
        <f>Fact_Defect_Split!E178</f>
        <v>B-PM</v>
      </c>
      <c r="F1060" s="4" t="str">
        <f>Fact_Defect_Split!F178</f>
        <v>A</v>
      </c>
      <c r="G1060" s="4" t="s">
        <v>517</v>
      </c>
      <c r="H1060" s="19">
        <f>Fact_Defect_Split!I178</f>
        <v>1</v>
      </c>
    </row>
    <row r="1061" spans="1:8" x14ac:dyDescent="0.25">
      <c r="A1061" s="18" t="s">
        <v>2042</v>
      </c>
      <c r="B1061" s="4">
        <f>Fact_Defect_Split!B178</f>
        <v>20260702</v>
      </c>
      <c r="C1061" s="4">
        <f>Fact_Defect_Split!C178</f>
        <v>1</v>
      </c>
      <c r="D1061" s="4" t="str">
        <f>Fact_Defect_Split!D178</f>
        <v>M2</v>
      </c>
      <c r="E1061" s="4" t="str">
        <f>Fact_Defect_Split!E178</f>
        <v>B-PM</v>
      </c>
      <c r="F1061" s="4" t="str">
        <f>Fact_Defect_Split!F178</f>
        <v>A</v>
      </c>
      <c r="G1061" s="4" t="s">
        <v>503</v>
      </c>
      <c r="H1061" s="19">
        <f>Fact_Defect_Split!J178</f>
        <v>0</v>
      </c>
    </row>
    <row r="1062" spans="1:8" x14ac:dyDescent="0.25">
      <c r="A1062" s="18" t="s">
        <v>2043</v>
      </c>
      <c r="B1062" s="4">
        <f>Fact_Defect_Split!B178</f>
        <v>20260702</v>
      </c>
      <c r="C1062" s="4">
        <f>Fact_Defect_Split!C178</f>
        <v>1</v>
      </c>
      <c r="D1062" s="4" t="str">
        <f>Fact_Defect_Split!D178</f>
        <v>M2</v>
      </c>
      <c r="E1062" s="4" t="str">
        <f>Fact_Defect_Split!E178</f>
        <v>B-PM</v>
      </c>
      <c r="F1062" s="4" t="str">
        <f>Fact_Defect_Split!F178</f>
        <v>A</v>
      </c>
      <c r="G1062" s="4" t="s">
        <v>509</v>
      </c>
      <c r="H1062" s="19">
        <f>Fact_Defect_Split!K178</f>
        <v>1</v>
      </c>
    </row>
    <row r="1063" spans="1:8" x14ac:dyDescent="0.25">
      <c r="A1063" s="18" t="s">
        <v>2044</v>
      </c>
      <c r="B1063" s="4">
        <f>Fact_Defect_Split!B178</f>
        <v>20260702</v>
      </c>
      <c r="C1063" s="4">
        <f>Fact_Defect_Split!C178</f>
        <v>1</v>
      </c>
      <c r="D1063" s="4" t="str">
        <f>Fact_Defect_Split!D178</f>
        <v>M2</v>
      </c>
      <c r="E1063" s="4" t="str">
        <f>Fact_Defect_Split!E178</f>
        <v>B-PM</v>
      </c>
      <c r="F1063" s="4" t="str">
        <f>Fact_Defect_Split!F178</f>
        <v>A</v>
      </c>
      <c r="G1063" s="4" t="s">
        <v>520</v>
      </c>
      <c r="H1063" s="19">
        <f>Fact_Defect_Split!L178</f>
        <v>1</v>
      </c>
    </row>
    <row r="1064" spans="1:8" x14ac:dyDescent="0.25">
      <c r="A1064" s="18" t="s">
        <v>2045</v>
      </c>
      <c r="B1064" s="4">
        <f>Fact_Defect_Split!B179</f>
        <v>20260702</v>
      </c>
      <c r="C1064" s="4">
        <f>Fact_Defect_Split!C179</f>
        <v>1</v>
      </c>
      <c r="D1064" s="4" t="str">
        <f>Fact_Defect_Split!D179</f>
        <v>M3</v>
      </c>
      <c r="E1064" s="4" t="str">
        <f>Fact_Defect_Split!E179</f>
        <v>B-PM</v>
      </c>
      <c r="F1064" s="4" t="str">
        <f>Fact_Defect_Split!F179</f>
        <v>A</v>
      </c>
      <c r="G1064" s="4" t="s">
        <v>498</v>
      </c>
      <c r="H1064" s="19">
        <f>Fact_Defect_Split!G179</f>
        <v>0</v>
      </c>
    </row>
    <row r="1065" spans="1:8" x14ac:dyDescent="0.25">
      <c r="A1065" s="18" t="s">
        <v>2046</v>
      </c>
      <c r="B1065" s="4">
        <f>Fact_Defect_Split!B179</f>
        <v>20260702</v>
      </c>
      <c r="C1065" s="4">
        <f>Fact_Defect_Split!C179</f>
        <v>1</v>
      </c>
      <c r="D1065" s="4" t="str">
        <f>Fact_Defect_Split!D179</f>
        <v>M3</v>
      </c>
      <c r="E1065" s="4" t="str">
        <f>Fact_Defect_Split!E179</f>
        <v>B-PM</v>
      </c>
      <c r="F1065" s="4" t="str">
        <f>Fact_Defect_Split!F179</f>
        <v>A</v>
      </c>
      <c r="G1065" s="4" t="s">
        <v>500</v>
      </c>
      <c r="H1065" s="19">
        <f>Fact_Defect_Split!H179</f>
        <v>0</v>
      </c>
    </row>
    <row r="1066" spans="1:8" x14ac:dyDescent="0.25">
      <c r="A1066" s="18" t="s">
        <v>2047</v>
      </c>
      <c r="B1066" s="4">
        <f>Fact_Defect_Split!B179</f>
        <v>20260702</v>
      </c>
      <c r="C1066" s="4">
        <f>Fact_Defect_Split!C179</f>
        <v>1</v>
      </c>
      <c r="D1066" s="4" t="str">
        <f>Fact_Defect_Split!D179</f>
        <v>M3</v>
      </c>
      <c r="E1066" s="4" t="str">
        <f>Fact_Defect_Split!E179</f>
        <v>B-PM</v>
      </c>
      <c r="F1066" s="4" t="str">
        <f>Fact_Defect_Split!F179</f>
        <v>A</v>
      </c>
      <c r="G1066" s="4" t="s">
        <v>517</v>
      </c>
      <c r="H1066" s="19">
        <f>Fact_Defect_Split!I179</f>
        <v>0</v>
      </c>
    </row>
    <row r="1067" spans="1:8" x14ac:dyDescent="0.25">
      <c r="A1067" s="18" t="s">
        <v>2048</v>
      </c>
      <c r="B1067" s="4">
        <f>Fact_Defect_Split!B179</f>
        <v>20260702</v>
      </c>
      <c r="C1067" s="4">
        <f>Fact_Defect_Split!C179</f>
        <v>1</v>
      </c>
      <c r="D1067" s="4" t="str">
        <f>Fact_Defect_Split!D179</f>
        <v>M3</v>
      </c>
      <c r="E1067" s="4" t="str">
        <f>Fact_Defect_Split!E179</f>
        <v>B-PM</v>
      </c>
      <c r="F1067" s="4" t="str">
        <f>Fact_Defect_Split!F179</f>
        <v>A</v>
      </c>
      <c r="G1067" s="4" t="s">
        <v>503</v>
      </c>
      <c r="H1067" s="19">
        <f>Fact_Defect_Split!J179</f>
        <v>0</v>
      </c>
    </row>
    <row r="1068" spans="1:8" x14ac:dyDescent="0.25">
      <c r="A1068" s="18" t="s">
        <v>2049</v>
      </c>
      <c r="B1068" s="4">
        <f>Fact_Defect_Split!B179</f>
        <v>20260702</v>
      </c>
      <c r="C1068" s="4">
        <f>Fact_Defect_Split!C179</f>
        <v>1</v>
      </c>
      <c r="D1068" s="4" t="str">
        <f>Fact_Defect_Split!D179</f>
        <v>M3</v>
      </c>
      <c r="E1068" s="4" t="str">
        <f>Fact_Defect_Split!E179</f>
        <v>B-PM</v>
      </c>
      <c r="F1068" s="4" t="str">
        <f>Fact_Defect_Split!F179</f>
        <v>A</v>
      </c>
      <c r="G1068" s="4" t="s">
        <v>509</v>
      </c>
      <c r="H1068" s="19">
        <f>Fact_Defect_Split!K179</f>
        <v>1</v>
      </c>
    </row>
    <row r="1069" spans="1:8" x14ac:dyDescent="0.25">
      <c r="A1069" s="18" t="s">
        <v>2050</v>
      </c>
      <c r="B1069" s="4">
        <f>Fact_Defect_Split!B179</f>
        <v>20260702</v>
      </c>
      <c r="C1069" s="4">
        <f>Fact_Defect_Split!C179</f>
        <v>1</v>
      </c>
      <c r="D1069" s="4" t="str">
        <f>Fact_Defect_Split!D179</f>
        <v>M3</v>
      </c>
      <c r="E1069" s="4" t="str">
        <f>Fact_Defect_Split!E179</f>
        <v>B-PM</v>
      </c>
      <c r="F1069" s="4" t="str">
        <f>Fact_Defect_Split!F179</f>
        <v>A</v>
      </c>
      <c r="G1069" s="4" t="s">
        <v>520</v>
      </c>
      <c r="H1069" s="19">
        <f>Fact_Defect_Split!L179</f>
        <v>0</v>
      </c>
    </row>
    <row r="1070" spans="1:8" x14ac:dyDescent="0.25">
      <c r="A1070" s="18" t="s">
        <v>2051</v>
      </c>
      <c r="B1070" s="4">
        <f>Fact_Defect_Split!B180</f>
        <v>20260702</v>
      </c>
      <c r="C1070" s="4">
        <f>Fact_Defect_Split!C180</f>
        <v>1</v>
      </c>
      <c r="D1070" s="4" t="str">
        <f>Fact_Defect_Split!D180</f>
        <v>M4</v>
      </c>
      <c r="E1070" s="4" t="str">
        <f>Fact_Defect_Split!E180</f>
        <v>B-PM</v>
      </c>
      <c r="F1070" s="4" t="str">
        <f>Fact_Defect_Split!F180</f>
        <v>C</v>
      </c>
      <c r="G1070" s="4" t="s">
        <v>498</v>
      </c>
      <c r="H1070" s="19">
        <f>Fact_Defect_Split!G180</f>
        <v>0</v>
      </c>
    </row>
    <row r="1071" spans="1:8" x14ac:dyDescent="0.25">
      <c r="A1071" s="18" t="s">
        <v>2052</v>
      </c>
      <c r="B1071" s="4">
        <f>Fact_Defect_Split!B180</f>
        <v>20260702</v>
      </c>
      <c r="C1071" s="4">
        <f>Fact_Defect_Split!C180</f>
        <v>1</v>
      </c>
      <c r="D1071" s="4" t="str">
        <f>Fact_Defect_Split!D180</f>
        <v>M4</v>
      </c>
      <c r="E1071" s="4" t="str">
        <f>Fact_Defect_Split!E180</f>
        <v>B-PM</v>
      </c>
      <c r="F1071" s="4" t="str">
        <f>Fact_Defect_Split!F180</f>
        <v>C</v>
      </c>
      <c r="G1071" s="4" t="s">
        <v>500</v>
      </c>
      <c r="H1071" s="19">
        <f>Fact_Defect_Split!H180</f>
        <v>0</v>
      </c>
    </row>
    <row r="1072" spans="1:8" x14ac:dyDescent="0.25">
      <c r="A1072" s="18" t="s">
        <v>2053</v>
      </c>
      <c r="B1072" s="4">
        <f>Fact_Defect_Split!B180</f>
        <v>20260702</v>
      </c>
      <c r="C1072" s="4">
        <f>Fact_Defect_Split!C180</f>
        <v>1</v>
      </c>
      <c r="D1072" s="4" t="str">
        <f>Fact_Defect_Split!D180</f>
        <v>M4</v>
      </c>
      <c r="E1072" s="4" t="str">
        <f>Fact_Defect_Split!E180</f>
        <v>B-PM</v>
      </c>
      <c r="F1072" s="4" t="str">
        <f>Fact_Defect_Split!F180</f>
        <v>C</v>
      </c>
      <c r="G1072" s="4" t="s">
        <v>517</v>
      </c>
      <c r="H1072" s="19">
        <f>Fact_Defect_Split!I180</f>
        <v>1</v>
      </c>
    </row>
    <row r="1073" spans="1:8" x14ac:dyDescent="0.25">
      <c r="A1073" s="18" t="s">
        <v>2054</v>
      </c>
      <c r="B1073" s="4">
        <f>Fact_Defect_Split!B180</f>
        <v>20260702</v>
      </c>
      <c r="C1073" s="4">
        <f>Fact_Defect_Split!C180</f>
        <v>1</v>
      </c>
      <c r="D1073" s="4" t="str">
        <f>Fact_Defect_Split!D180</f>
        <v>M4</v>
      </c>
      <c r="E1073" s="4" t="str">
        <f>Fact_Defect_Split!E180</f>
        <v>B-PM</v>
      </c>
      <c r="F1073" s="4" t="str">
        <f>Fact_Defect_Split!F180</f>
        <v>C</v>
      </c>
      <c r="G1073" s="4" t="s">
        <v>503</v>
      </c>
      <c r="H1073" s="19">
        <f>Fact_Defect_Split!J180</f>
        <v>0</v>
      </c>
    </row>
    <row r="1074" spans="1:8" x14ac:dyDescent="0.25">
      <c r="A1074" s="18" t="s">
        <v>2055</v>
      </c>
      <c r="B1074" s="4">
        <f>Fact_Defect_Split!B180</f>
        <v>20260702</v>
      </c>
      <c r="C1074" s="4">
        <f>Fact_Defect_Split!C180</f>
        <v>1</v>
      </c>
      <c r="D1074" s="4" t="str">
        <f>Fact_Defect_Split!D180</f>
        <v>M4</v>
      </c>
      <c r="E1074" s="4" t="str">
        <f>Fact_Defect_Split!E180</f>
        <v>B-PM</v>
      </c>
      <c r="F1074" s="4" t="str">
        <f>Fact_Defect_Split!F180</f>
        <v>C</v>
      </c>
      <c r="G1074" s="4" t="s">
        <v>509</v>
      </c>
      <c r="H1074" s="19">
        <f>Fact_Defect_Split!K180</f>
        <v>1</v>
      </c>
    </row>
    <row r="1075" spans="1:8" x14ac:dyDescent="0.25">
      <c r="A1075" s="18" t="s">
        <v>2056</v>
      </c>
      <c r="B1075" s="4">
        <f>Fact_Defect_Split!B180</f>
        <v>20260702</v>
      </c>
      <c r="C1075" s="4">
        <f>Fact_Defect_Split!C180</f>
        <v>1</v>
      </c>
      <c r="D1075" s="4" t="str">
        <f>Fact_Defect_Split!D180</f>
        <v>M4</v>
      </c>
      <c r="E1075" s="4" t="str">
        <f>Fact_Defect_Split!E180</f>
        <v>B-PM</v>
      </c>
      <c r="F1075" s="4" t="str">
        <f>Fact_Defect_Split!F180</f>
        <v>C</v>
      </c>
      <c r="G1075" s="4" t="s">
        <v>520</v>
      </c>
      <c r="H1075" s="19">
        <f>Fact_Defect_Split!L180</f>
        <v>1</v>
      </c>
    </row>
    <row r="1076" spans="1:8" x14ac:dyDescent="0.25">
      <c r="A1076" s="18" t="s">
        <v>2057</v>
      </c>
      <c r="B1076" s="4">
        <f>Fact_Defect_Split!B181</f>
        <v>20260702</v>
      </c>
      <c r="C1076" s="4">
        <f>Fact_Defect_Split!C181</f>
        <v>1</v>
      </c>
      <c r="D1076" s="4" t="str">
        <f>Fact_Defect_Split!D181</f>
        <v>M5</v>
      </c>
      <c r="E1076" s="4" t="str">
        <f>Fact_Defect_Split!E181</f>
        <v>B-PM</v>
      </c>
      <c r="F1076" s="4" t="str">
        <f>Fact_Defect_Split!F181</f>
        <v>A</v>
      </c>
      <c r="G1076" s="4" t="s">
        <v>498</v>
      </c>
      <c r="H1076" s="19">
        <f>Fact_Defect_Split!G181</f>
        <v>0</v>
      </c>
    </row>
    <row r="1077" spans="1:8" x14ac:dyDescent="0.25">
      <c r="A1077" s="18" t="s">
        <v>2058</v>
      </c>
      <c r="B1077" s="4">
        <f>Fact_Defect_Split!B181</f>
        <v>20260702</v>
      </c>
      <c r="C1077" s="4">
        <f>Fact_Defect_Split!C181</f>
        <v>1</v>
      </c>
      <c r="D1077" s="4" t="str">
        <f>Fact_Defect_Split!D181</f>
        <v>M5</v>
      </c>
      <c r="E1077" s="4" t="str">
        <f>Fact_Defect_Split!E181</f>
        <v>B-PM</v>
      </c>
      <c r="F1077" s="4" t="str">
        <f>Fact_Defect_Split!F181</f>
        <v>A</v>
      </c>
      <c r="G1077" s="4" t="s">
        <v>500</v>
      </c>
      <c r="H1077" s="19">
        <f>Fact_Defect_Split!H181</f>
        <v>0</v>
      </c>
    </row>
    <row r="1078" spans="1:8" x14ac:dyDescent="0.25">
      <c r="A1078" s="18" t="s">
        <v>2059</v>
      </c>
      <c r="B1078" s="4">
        <f>Fact_Defect_Split!B181</f>
        <v>20260702</v>
      </c>
      <c r="C1078" s="4">
        <f>Fact_Defect_Split!C181</f>
        <v>1</v>
      </c>
      <c r="D1078" s="4" t="str">
        <f>Fact_Defect_Split!D181</f>
        <v>M5</v>
      </c>
      <c r="E1078" s="4" t="str">
        <f>Fact_Defect_Split!E181</f>
        <v>B-PM</v>
      </c>
      <c r="F1078" s="4" t="str">
        <f>Fact_Defect_Split!F181</f>
        <v>A</v>
      </c>
      <c r="G1078" s="4" t="s">
        <v>517</v>
      </c>
      <c r="H1078" s="19">
        <f>Fact_Defect_Split!I181</f>
        <v>0</v>
      </c>
    </row>
    <row r="1079" spans="1:8" x14ac:dyDescent="0.25">
      <c r="A1079" s="18" t="s">
        <v>2060</v>
      </c>
      <c r="B1079" s="4">
        <f>Fact_Defect_Split!B181</f>
        <v>20260702</v>
      </c>
      <c r="C1079" s="4">
        <f>Fact_Defect_Split!C181</f>
        <v>1</v>
      </c>
      <c r="D1079" s="4" t="str">
        <f>Fact_Defect_Split!D181</f>
        <v>M5</v>
      </c>
      <c r="E1079" s="4" t="str">
        <f>Fact_Defect_Split!E181</f>
        <v>B-PM</v>
      </c>
      <c r="F1079" s="4" t="str">
        <f>Fact_Defect_Split!F181</f>
        <v>A</v>
      </c>
      <c r="G1079" s="4" t="s">
        <v>503</v>
      </c>
      <c r="H1079" s="19">
        <f>Fact_Defect_Split!J181</f>
        <v>0</v>
      </c>
    </row>
    <row r="1080" spans="1:8" x14ac:dyDescent="0.25">
      <c r="A1080" s="18" t="s">
        <v>2061</v>
      </c>
      <c r="B1080" s="4">
        <f>Fact_Defect_Split!B181</f>
        <v>20260702</v>
      </c>
      <c r="C1080" s="4">
        <f>Fact_Defect_Split!C181</f>
        <v>1</v>
      </c>
      <c r="D1080" s="4" t="str">
        <f>Fact_Defect_Split!D181</f>
        <v>M5</v>
      </c>
      <c r="E1080" s="4" t="str">
        <f>Fact_Defect_Split!E181</f>
        <v>B-PM</v>
      </c>
      <c r="F1080" s="4" t="str">
        <f>Fact_Defect_Split!F181</f>
        <v>A</v>
      </c>
      <c r="G1080" s="4" t="s">
        <v>509</v>
      </c>
      <c r="H1080" s="19">
        <f>Fact_Defect_Split!K181</f>
        <v>0</v>
      </c>
    </row>
    <row r="1081" spans="1:8" x14ac:dyDescent="0.25">
      <c r="A1081" s="18" t="s">
        <v>2062</v>
      </c>
      <c r="B1081" s="4">
        <f>Fact_Defect_Split!B181</f>
        <v>20260702</v>
      </c>
      <c r="C1081" s="4">
        <f>Fact_Defect_Split!C181</f>
        <v>1</v>
      </c>
      <c r="D1081" s="4" t="str">
        <f>Fact_Defect_Split!D181</f>
        <v>M5</v>
      </c>
      <c r="E1081" s="4" t="str">
        <f>Fact_Defect_Split!E181</f>
        <v>B-PM</v>
      </c>
      <c r="F1081" s="4" t="str">
        <f>Fact_Defect_Split!F181</f>
        <v>A</v>
      </c>
      <c r="G1081" s="4" t="s">
        <v>520</v>
      </c>
      <c r="H1081" s="19">
        <f>Fact_Defect_Split!L181</f>
        <v>0</v>
      </c>
    </row>
    <row r="1082" spans="1:8" x14ac:dyDescent="0.25">
      <c r="A1082" s="18" t="s">
        <v>2063</v>
      </c>
      <c r="B1082" s="4">
        <f>Fact_Defect_Split!B182</f>
        <v>20260702</v>
      </c>
      <c r="C1082" s="4">
        <f>Fact_Defect_Split!C182</f>
        <v>1</v>
      </c>
      <c r="D1082" s="4" t="str">
        <f>Fact_Defect_Split!D182</f>
        <v>M6</v>
      </c>
      <c r="E1082" s="4" t="str">
        <f>Fact_Defect_Split!E182</f>
        <v>B-PM</v>
      </c>
      <c r="F1082" s="4" t="str">
        <f>Fact_Defect_Split!F182</f>
        <v>A</v>
      </c>
      <c r="G1082" s="4" t="s">
        <v>498</v>
      </c>
      <c r="H1082" s="19">
        <f>Fact_Defect_Split!G182</f>
        <v>0</v>
      </c>
    </row>
    <row r="1083" spans="1:8" x14ac:dyDescent="0.25">
      <c r="A1083" s="18" t="s">
        <v>2064</v>
      </c>
      <c r="B1083" s="4">
        <f>Fact_Defect_Split!B182</f>
        <v>20260702</v>
      </c>
      <c r="C1083" s="4">
        <f>Fact_Defect_Split!C182</f>
        <v>1</v>
      </c>
      <c r="D1083" s="4" t="str">
        <f>Fact_Defect_Split!D182</f>
        <v>M6</v>
      </c>
      <c r="E1083" s="4" t="str">
        <f>Fact_Defect_Split!E182</f>
        <v>B-PM</v>
      </c>
      <c r="F1083" s="4" t="str">
        <f>Fact_Defect_Split!F182</f>
        <v>A</v>
      </c>
      <c r="G1083" s="4" t="s">
        <v>500</v>
      </c>
      <c r="H1083" s="19">
        <f>Fact_Defect_Split!H182</f>
        <v>0</v>
      </c>
    </row>
    <row r="1084" spans="1:8" x14ac:dyDescent="0.25">
      <c r="A1084" s="18" t="s">
        <v>2065</v>
      </c>
      <c r="B1084" s="4">
        <f>Fact_Defect_Split!B182</f>
        <v>20260702</v>
      </c>
      <c r="C1084" s="4">
        <f>Fact_Defect_Split!C182</f>
        <v>1</v>
      </c>
      <c r="D1084" s="4" t="str">
        <f>Fact_Defect_Split!D182</f>
        <v>M6</v>
      </c>
      <c r="E1084" s="4" t="str">
        <f>Fact_Defect_Split!E182</f>
        <v>B-PM</v>
      </c>
      <c r="F1084" s="4" t="str">
        <f>Fact_Defect_Split!F182</f>
        <v>A</v>
      </c>
      <c r="G1084" s="4" t="s">
        <v>517</v>
      </c>
      <c r="H1084" s="19">
        <f>Fact_Defect_Split!I182</f>
        <v>0</v>
      </c>
    </row>
    <row r="1085" spans="1:8" x14ac:dyDescent="0.25">
      <c r="A1085" s="18" t="s">
        <v>2066</v>
      </c>
      <c r="B1085" s="4">
        <f>Fact_Defect_Split!B182</f>
        <v>20260702</v>
      </c>
      <c r="C1085" s="4">
        <f>Fact_Defect_Split!C182</f>
        <v>1</v>
      </c>
      <c r="D1085" s="4" t="str">
        <f>Fact_Defect_Split!D182</f>
        <v>M6</v>
      </c>
      <c r="E1085" s="4" t="str">
        <f>Fact_Defect_Split!E182</f>
        <v>B-PM</v>
      </c>
      <c r="F1085" s="4" t="str">
        <f>Fact_Defect_Split!F182</f>
        <v>A</v>
      </c>
      <c r="G1085" s="4" t="s">
        <v>503</v>
      </c>
      <c r="H1085" s="19">
        <f>Fact_Defect_Split!J182</f>
        <v>0</v>
      </c>
    </row>
    <row r="1086" spans="1:8" x14ac:dyDescent="0.25">
      <c r="A1086" s="18" t="s">
        <v>2067</v>
      </c>
      <c r="B1086" s="4">
        <f>Fact_Defect_Split!B182</f>
        <v>20260702</v>
      </c>
      <c r="C1086" s="4">
        <f>Fact_Defect_Split!C182</f>
        <v>1</v>
      </c>
      <c r="D1086" s="4" t="str">
        <f>Fact_Defect_Split!D182</f>
        <v>M6</v>
      </c>
      <c r="E1086" s="4" t="str">
        <f>Fact_Defect_Split!E182</f>
        <v>B-PM</v>
      </c>
      <c r="F1086" s="4" t="str">
        <f>Fact_Defect_Split!F182</f>
        <v>A</v>
      </c>
      <c r="G1086" s="4" t="s">
        <v>509</v>
      </c>
      <c r="H1086" s="19">
        <f>Fact_Defect_Split!K182</f>
        <v>1</v>
      </c>
    </row>
    <row r="1087" spans="1:8" x14ac:dyDescent="0.25">
      <c r="A1087" s="18" t="s">
        <v>2068</v>
      </c>
      <c r="B1087" s="4">
        <f>Fact_Defect_Split!B182</f>
        <v>20260702</v>
      </c>
      <c r="C1087" s="4">
        <f>Fact_Defect_Split!C182</f>
        <v>1</v>
      </c>
      <c r="D1087" s="4" t="str">
        <f>Fact_Defect_Split!D182</f>
        <v>M6</v>
      </c>
      <c r="E1087" s="4" t="str">
        <f>Fact_Defect_Split!E182</f>
        <v>B-PM</v>
      </c>
      <c r="F1087" s="4" t="str">
        <f>Fact_Defect_Split!F182</f>
        <v>A</v>
      </c>
      <c r="G1087" s="4" t="s">
        <v>520</v>
      </c>
      <c r="H1087" s="19">
        <f>Fact_Defect_Split!L182</f>
        <v>0</v>
      </c>
    </row>
    <row r="1088" spans="1:8" x14ac:dyDescent="0.25">
      <c r="A1088" s="18" t="s">
        <v>2069</v>
      </c>
      <c r="B1088" s="4">
        <f>Fact_Defect_Split!B183</f>
        <v>20260702</v>
      </c>
      <c r="C1088" s="4">
        <f>Fact_Defect_Split!C183</f>
        <v>1</v>
      </c>
      <c r="D1088" s="4" t="str">
        <f>Fact_Defect_Split!D183</f>
        <v>M7</v>
      </c>
      <c r="E1088" s="4" t="str">
        <f>Fact_Defect_Split!E183</f>
        <v>B-PM</v>
      </c>
      <c r="F1088" s="4" t="str">
        <f>Fact_Defect_Split!F183</f>
        <v>C</v>
      </c>
      <c r="G1088" s="4" t="s">
        <v>498</v>
      </c>
      <c r="H1088" s="19">
        <f>Fact_Defect_Split!G183</f>
        <v>0</v>
      </c>
    </row>
    <row r="1089" spans="1:8" x14ac:dyDescent="0.25">
      <c r="A1089" s="18" t="s">
        <v>2070</v>
      </c>
      <c r="B1089" s="4">
        <f>Fact_Defect_Split!B183</f>
        <v>20260702</v>
      </c>
      <c r="C1089" s="4">
        <f>Fact_Defect_Split!C183</f>
        <v>1</v>
      </c>
      <c r="D1089" s="4" t="str">
        <f>Fact_Defect_Split!D183</f>
        <v>M7</v>
      </c>
      <c r="E1089" s="4" t="str">
        <f>Fact_Defect_Split!E183</f>
        <v>B-PM</v>
      </c>
      <c r="F1089" s="4" t="str">
        <f>Fact_Defect_Split!F183</f>
        <v>C</v>
      </c>
      <c r="G1089" s="4" t="s">
        <v>500</v>
      </c>
      <c r="H1089" s="19">
        <f>Fact_Defect_Split!H183</f>
        <v>0</v>
      </c>
    </row>
    <row r="1090" spans="1:8" x14ac:dyDescent="0.25">
      <c r="A1090" s="18" t="s">
        <v>2071</v>
      </c>
      <c r="B1090" s="4">
        <f>Fact_Defect_Split!B183</f>
        <v>20260702</v>
      </c>
      <c r="C1090" s="4">
        <f>Fact_Defect_Split!C183</f>
        <v>1</v>
      </c>
      <c r="D1090" s="4" t="str">
        <f>Fact_Defect_Split!D183</f>
        <v>M7</v>
      </c>
      <c r="E1090" s="4" t="str">
        <f>Fact_Defect_Split!E183</f>
        <v>B-PM</v>
      </c>
      <c r="F1090" s="4" t="str">
        <f>Fact_Defect_Split!F183</f>
        <v>C</v>
      </c>
      <c r="G1090" s="4" t="s">
        <v>517</v>
      </c>
      <c r="H1090" s="19">
        <f>Fact_Defect_Split!I183</f>
        <v>0</v>
      </c>
    </row>
    <row r="1091" spans="1:8" x14ac:dyDescent="0.25">
      <c r="A1091" s="18" t="s">
        <v>2072</v>
      </c>
      <c r="B1091" s="4">
        <f>Fact_Defect_Split!B183</f>
        <v>20260702</v>
      </c>
      <c r="C1091" s="4">
        <f>Fact_Defect_Split!C183</f>
        <v>1</v>
      </c>
      <c r="D1091" s="4" t="str">
        <f>Fact_Defect_Split!D183</f>
        <v>M7</v>
      </c>
      <c r="E1091" s="4" t="str">
        <f>Fact_Defect_Split!E183</f>
        <v>B-PM</v>
      </c>
      <c r="F1091" s="4" t="str">
        <f>Fact_Defect_Split!F183</f>
        <v>C</v>
      </c>
      <c r="G1091" s="4" t="s">
        <v>503</v>
      </c>
      <c r="H1091" s="19">
        <f>Fact_Defect_Split!J183</f>
        <v>0</v>
      </c>
    </row>
    <row r="1092" spans="1:8" x14ac:dyDescent="0.25">
      <c r="A1092" s="18" t="s">
        <v>2073</v>
      </c>
      <c r="B1092" s="4">
        <f>Fact_Defect_Split!B183</f>
        <v>20260702</v>
      </c>
      <c r="C1092" s="4">
        <f>Fact_Defect_Split!C183</f>
        <v>1</v>
      </c>
      <c r="D1092" s="4" t="str">
        <f>Fact_Defect_Split!D183</f>
        <v>M7</v>
      </c>
      <c r="E1092" s="4" t="str">
        <f>Fact_Defect_Split!E183</f>
        <v>B-PM</v>
      </c>
      <c r="F1092" s="4" t="str">
        <f>Fact_Defect_Split!F183</f>
        <v>C</v>
      </c>
      <c r="G1092" s="4" t="s">
        <v>509</v>
      </c>
      <c r="H1092" s="19">
        <f>Fact_Defect_Split!K183</f>
        <v>1</v>
      </c>
    </row>
    <row r="1093" spans="1:8" x14ac:dyDescent="0.25">
      <c r="A1093" s="18" t="s">
        <v>2074</v>
      </c>
      <c r="B1093" s="4">
        <f>Fact_Defect_Split!B183</f>
        <v>20260702</v>
      </c>
      <c r="C1093" s="4">
        <f>Fact_Defect_Split!C183</f>
        <v>1</v>
      </c>
      <c r="D1093" s="4" t="str">
        <f>Fact_Defect_Split!D183</f>
        <v>M7</v>
      </c>
      <c r="E1093" s="4" t="str">
        <f>Fact_Defect_Split!E183</f>
        <v>B-PM</v>
      </c>
      <c r="F1093" s="4" t="str">
        <f>Fact_Defect_Split!F183</f>
        <v>C</v>
      </c>
      <c r="G1093" s="4" t="s">
        <v>520</v>
      </c>
      <c r="H1093" s="19">
        <f>Fact_Defect_Split!L183</f>
        <v>0</v>
      </c>
    </row>
    <row r="1094" spans="1:8" x14ac:dyDescent="0.25">
      <c r="A1094" s="18" t="s">
        <v>2075</v>
      </c>
      <c r="B1094" s="4">
        <f>Fact_Defect_Split!B184</f>
        <v>20260702</v>
      </c>
      <c r="C1094" s="4">
        <f>Fact_Defect_Split!C184</f>
        <v>2</v>
      </c>
      <c r="D1094" s="4" t="str">
        <f>Fact_Defect_Split!D184</f>
        <v>M1</v>
      </c>
      <c r="E1094" s="4" t="str">
        <f>Fact_Defect_Split!E184</f>
        <v>B-PM</v>
      </c>
      <c r="F1094" s="4" t="str">
        <f>Fact_Defect_Split!F184</f>
        <v>B</v>
      </c>
      <c r="G1094" s="4" t="s">
        <v>498</v>
      </c>
      <c r="H1094" s="19">
        <f>Fact_Defect_Split!G184</f>
        <v>0</v>
      </c>
    </row>
    <row r="1095" spans="1:8" x14ac:dyDescent="0.25">
      <c r="A1095" s="18" t="s">
        <v>2076</v>
      </c>
      <c r="B1095" s="4">
        <f>Fact_Defect_Split!B184</f>
        <v>20260702</v>
      </c>
      <c r="C1095" s="4">
        <f>Fact_Defect_Split!C184</f>
        <v>2</v>
      </c>
      <c r="D1095" s="4" t="str">
        <f>Fact_Defect_Split!D184</f>
        <v>M1</v>
      </c>
      <c r="E1095" s="4" t="str">
        <f>Fact_Defect_Split!E184</f>
        <v>B-PM</v>
      </c>
      <c r="F1095" s="4" t="str">
        <f>Fact_Defect_Split!F184</f>
        <v>B</v>
      </c>
      <c r="G1095" s="4" t="s">
        <v>500</v>
      </c>
      <c r="H1095" s="19">
        <f>Fact_Defect_Split!H184</f>
        <v>0</v>
      </c>
    </row>
    <row r="1096" spans="1:8" x14ac:dyDescent="0.25">
      <c r="A1096" s="18" t="s">
        <v>2077</v>
      </c>
      <c r="B1096" s="4">
        <f>Fact_Defect_Split!B184</f>
        <v>20260702</v>
      </c>
      <c r="C1096" s="4">
        <f>Fact_Defect_Split!C184</f>
        <v>2</v>
      </c>
      <c r="D1096" s="4" t="str">
        <f>Fact_Defect_Split!D184</f>
        <v>M1</v>
      </c>
      <c r="E1096" s="4" t="str">
        <f>Fact_Defect_Split!E184</f>
        <v>B-PM</v>
      </c>
      <c r="F1096" s="4" t="str">
        <f>Fact_Defect_Split!F184</f>
        <v>B</v>
      </c>
      <c r="G1096" s="4" t="s">
        <v>517</v>
      </c>
      <c r="H1096" s="19">
        <f>Fact_Defect_Split!I184</f>
        <v>0</v>
      </c>
    </row>
    <row r="1097" spans="1:8" x14ac:dyDescent="0.25">
      <c r="A1097" s="18" t="s">
        <v>2078</v>
      </c>
      <c r="B1097" s="4">
        <f>Fact_Defect_Split!B184</f>
        <v>20260702</v>
      </c>
      <c r="C1097" s="4">
        <f>Fact_Defect_Split!C184</f>
        <v>2</v>
      </c>
      <c r="D1097" s="4" t="str">
        <f>Fact_Defect_Split!D184</f>
        <v>M1</v>
      </c>
      <c r="E1097" s="4" t="str">
        <f>Fact_Defect_Split!E184</f>
        <v>B-PM</v>
      </c>
      <c r="F1097" s="4" t="str">
        <f>Fact_Defect_Split!F184</f>
        <v>B</v>
      </c>
      <c r="G1097" s="4" t="s">
        <v>503</v>
      </c>
      <c r="H1097" s="19">
        <f>Fact_Defect_Split!J184</f>
        <v>0</v>
      </c>
    </row>
    <row r="1098" spans="1:8" x14ac:dyDescent="0.25">
      <c r="A1098" s="18" t="s">
        <v>2079</v>
      </c>
      <c r="B1098" s="4">
        <f>Fact_Defect_Split!B184</f>
        <v>20260702</v>
      </c>
      <c r="C1098" s="4">
        <f>Fact_Defect_Split!C184</f>
        <v>2</v>
      </c>
      <c r="D1098" s="4" t="str">
        <f>Fact_Defect_Split!D184</f>
        <v>M1</v>
      </c>
      <c r="E1098" s="4" t="str">
        <f>Fact_Defect_Split!E184</f>
        <v>B-PM</v>
      </c>
      <c r="F1098" s="4" t="str">
        <f>Fact_Defect_Split!F184</f>
        <v>B</v>
      </c>
      <c r="G1098" s="4" t="s">
        <v>509</v>
      </c>
      <c r="H1098" s="19">
        <f>Fact_Defect_Split!K184</f>
        <v>0</v>
      </c>
    </row>
    <row r="1099" spans="1:8" x14ac:dyDescent="0.25">
      <c r="A1099" s="18" t="s">
        <v>2080</v>
      </c>
      <c r="B1099" s="4">
        <f>Fact_Defect_Split!B184</f>
        <v>20260702</v>
      </c>
      <c r="C1099" s="4">
        <f>Fact_Defect_Split!C184</f>
        <v>2</v>
      </c>
      <c r="D1099" s="4" t="str">
        <f>Fact_Defect_Split!D184</f>
        <v>M1</v>
      </c>
      <c r="E1099" s="4" t="str">
        <f>Fact_Defect_Split!E184</f>
        <v>B-PM</v>
      </c>
      <c r="F1099" s="4" t="str">
        <f>Fact_Defect_Split!F184</f>
        <v>B</v>
      </c>
      <c r="G1099" s="4" t="s">
        <v>520</v>
      </c>
      <c r="H1099" s="19">
        <f>Fact_Defect_Split!L184</f>
        <v>1</v>
      </c>
    </row>
    <row r="1100" spans="1:8" x14ac:dyDescent="0.25">
      <c r="A1100" s="18" t="s">
        <v>2081</v>
      </c>
      <c r="B1100" s="4">
        <f>Fact_Defect_Split!B185</f>
        <v>20260702</v>
      </c>
      <c r="C1100" s="4">
        <f>Fact_Defect_Split!C185</f>
        <v>2</v>
      </c>
      <c r="D1100" s="4" t="str">
        <f>Fact_Defect_Split!D185</f>
        <v>M2</v>
      </c>
      <c r="E1100" s="4" t="str">
        <f>Fact_Defect_Split!E185</f>
        <v>B-PM</v>
      </c>
      <c r="F1100" s="4" t="str">
        <f>Fact_Defect_Split!F185</f>
        <v>A</v>
      </c>
      <c r="G1100" s="4" t="s">
        <v>498</v>
      </c>
      <c r="H1100" s="19">
        <f>Fact_Defect_Split!G185</f>
        <v>0</v>
      </c>
    </row>
    <row r="1101" spans="1:8" x14ac:dyDescent="0.25">
      <c r="A1101" s="18" t="s">
        <v>2082</v>
      </c>
      <c r="B1101" s="4">
        <f>Fact_Defect_Split!B185</f>
        <v>20260702</v>
      </c>
      <c r="C1101" s="4">
        <f>Fact_Defect_Split!C185</f>
        <v>2</v>
      </c>
      <c r="D1101" s="4" t="str">
        <f>Fact_Defect_Split!D185</f>
        <v>M2</v>
      </c>
      <c r="E1101" s="4" t="str">
        <f>Fact_Defect_Split!E185</f>
        <v>B-PM</v>
      </c>
      <c r="F1101" s="4" t="str">
        <f>Fact_Defect_Split!F185</f>
        <v>A</v>
      </c>
      <c r="G1101" s="4" t="s">
        <v>500</v>
      </c>
      <c r="H1101" s="19">
        <f>Fact_Defect_Split!H185</f>
        <v>0</v>
      </c>
    </row>
    <row r="1102" spans="1:8" x14ac:dyDescent="0.25">
      <c r="A1102" s="18" t="s">
        <v>2083</v>
      </c>
      <c r="B1102" s="4">
        <f>Fact_Defect_Split!B185</f>
        <v>20260702</v>
      </c>
      <c r="C1102" s="4">
        <f>Fact_Defect_Split!C185</f>
        <v>2</v>
      </c>
      <c r="D1102" s="4" t="str">
        <f>Fact_Defect_Split!D185</f>
        <v>M2</v>
      </c>
      <c r="E1102" s="4" t="str">
        <f>Fact_Defect_Split!E185</f>
        <v>B-PM</v>
      </c>
      <c r="F1102" s="4" t="str">
        <f>Fact_Defect_Split!F185</f>
        <v>A</v>
      </c>
      <c r="G1102" s="4" t="s">
        <v>517</v>
      </c>
      <c r="H1102" s="19">
        <f>Fact_Defect_Split!I185</f>
        <v>0</v>
      </c>
    </row>
    <row r="1103" spans="1:8" x14ac:dyDescent="0.25">
      <c r="A1103" s="18" t="s">
        <v>2084</v>
      </c>
      <c r="B1103" s="4">
        <f>Fact_Defect_Split!B185</f>
        <v>20260702</v>
      </c>
      <c r="C1103" s="4">
        <f>Fact_Defect_Split!C185</f>
        <v>2</v>
      </c>
      <c r="D1103" s="4" t="str">
        <f>Fact_Defect_Split!D185</f>
        <v>M2</v>
      </c>
      <c r="E1103" s="4" t="str">
        <f>Fact_Defect_Split!E185</f>
        <v>B-PM</v>
      </c>
      <c r="F1103" s="4" t="str">
        <f>Fact_Defect_Split!F185</f>
        <v>A</v>
      </c>
      <c r="G1103" s="4" t="s">
        <v>503</v>
      </c>
      <c r="H1103" s="19">
        <f>Fact_Defect_Split!J185</f>
        <v>0</v>
      </c>
    </row>
    <row r="1104" spans="1:8" x14ac:dyDescent="0.25">
      <c r="A1104" s="18" t="s">
        <v>2085</v>
      </c>
      <c r="B1104" s="4">
        <f>Fact_Defect_Split!B185</f>
        <v>20260702</v>
      </c>
      <c r="C1104" s="4">
        <f>Fact_Defect_Split!C185</f>
        <v>2</v>
      </c>
      <c r="D1104" s="4" t="str">
        <f>Fact_Defect_Split!D185</f>
        <v>M2</v>
      </c>
      <c r="E1104" s="4" t="str">
        <f>Fact_Defect_Split!E185</f>
        <v>B-PM</v>
      </c>
      <c r="F1104" s="4" t="str">
        <f>Fact_Defect_Split!F185</f>
        <v>A</v>
      </c>
      <c r="G1104" s="4" t="s">
        <v>509</v>
      </c>
      <c r="H1104" s="19">
        <f>Fact_Defect_Split!K185</f>
        <v>0</v>
      </c>
    </row>
    <row r="1105" spans="1:8" x14ac:dyDescent="0.25">
      <c r="A1105" s="18" t="s">
        <v>2086</v>
      </c>
      <c r="B1105" s="4">
        <f>Fact_Defect_Split!B185</f>
        <v>20260702</v>
      </c>
      <c r="C1105" s="4">
        <f>Fact_Defect_Split!C185</f>
        <v>2</v>
      </c>
      <c r="D1105" s="4" t="str">
        <f>Fact_Defect_Split!D185</f>
        <v>M2</v>
      </c>
      <c r="E1105" s="4" t="str">
        <f>Fact_Defect_Split!E185</f>
        <v>B-PM</v>
      </c>
      <c r="F1105" s="4" t="str">
        <f>Fact_Defect_Split!F185</f>
        <v>A</v>
      </c>
      <c r="G1105" s="4" t="s">
        <v>520</v>
      </c>
      <c r="H1105" s="19">
        <f>Fact_Defect_Split!L185</f>
        <v>1</v>
      </c>
    </row>
    <row r="1106" spans="1:8" x14ac:dyDescent="0.25">
      <c r="A1106" s="18" t="s">
        <v>2087</v>
      </c>
      <c r="B1106" s="4">
        <f>Fact_Defect_Split!B186</f>
        <v>20260702</v>
      </c>
      <c r="C1106" s="4">
        <f>Fact_Defect_Split!C186</f>
        <v>2</v>
      </c>
      <c r="D1106" s="4" t="str">
        <f>Fact_Defect_Split!D186</f>
        <v>M3</v>
      </c>
      <c r="E1106" s="4" t="str">
        <f>Fact_Defect_Split!E186</f>
        <v>B-PM</v>
      </c>
      <c r="F1106" s="4" t="str">
        <f>Fact_Defect_Split!F186</f>
        <v>A</v>
      </c>
      <c r="G1106" s="4" t="s">
        <v>498</v>
      </c>
      <c r="H1106" s="19">
        <f>Fact_Defect_Split!G186</f>
        <v>0</v>
      </c>
    </row>
    <row r="1107" spans="1:8" x14ac:dyDescent="0.25">
      <c r="A1107" s="18" t="s">
        <v>2088</v>
      </c>
      <c r="B1107" s="4">
        <f>Fact_Defect_Split!B186</f>
        <v>20260702</v>
      </c>
      <c r="C1107" s="4">
        <f>Fact_Defect_Split!C186</f>
        <v>2</v>
      </c>
      <c r="D1107" s="4" t="str">
        <f>Fact_Defect_Split!D186</f>
        <v>M3</v>
      </c>
      <c r="E1107" s="4" t="str">
        <f>Fact_Defect_Split!E186</f>
        <v>B-PM</v>
      </c>
      <c r="F1107" s="4" t="str">
        <f>Fact_Defect_Split!F186</f>
        <v>A</v>
      </c>
      <c r="G1107" s="4" t="s">
        <v>500</v>
      </c>
      <c r="H1107" s="19">
        <f>Fact_Defect_Split!H186</f>
        <v>0</v>
      </c>
    </row>
    <row r="1108" spans="1:8" x14ac:dyDescent="0.25">
      <c r="A1108" s="18" t="s">
        <v>2089</v>
      </c>
      <c r="B1108" s="4">
        <f>Fact_Defect_Split!B186</f>
        <v>20260702</v>
      </c>
      <c r="C1108" s="4">
        <f>Fact_Defect_Split!C186</f>
        <v>2</v>
      </c>
      <c r="D1108" s="4" t="str">
        <f>Fact_Defect_Split!D186</f>
        <v>M3</v>
      </c>
      <c r="E1108" s="4" t="str">
        <f>Fact_Defect_Split!E186</f>
        <v>B-PM</v>
      </c>
      <c r="F1108" s="4" t="str">
        <f>Fact_Defect_Split!F186</f>
        <v>A</v>
      </c>
      <c r="G1108" s="4" t="s">
        <v>517</v>
      </c>
      <c r="H1108" s="19">
        <f>Fact_Defect_Split!I186</f>
        <v>0</v>
      </c>
    </row>
    <row r="1109" spans="1:8" x14ac:dyDescent="0.25">
      <c r="A1109" s="18" t="s">
        <v>2090</v>
      </c>
      <c r="B1109" s="4">
        <f>Fact_Defect_Split!B186</f>
        <v>20260702</v>
      </c>
      <c r="C1109" s="4">
        <f>Fact_Defect_Split!C186</f>
        <v>2</v>
      </c>
      <c r="D1109" s="4" t="str">
        <f>Fact_Defect_Split!D186</f>
        <v>M3</v>
      </c>
      <c r="E1109" s="4" t="str">
        <f>Fact_Defect_Split!E186</f>
        <v>B-PM</v>
      </c>
      <c r="F1109" s="4" t="str">
        <f>Fact_Defect_Split!F186</f>
        <v>A</v>
      </c>
      <c r="G1109" s="4" t="s">
        <v>503</v>
      </c>
      <c r="H1109" s="19">
        <f>Fact_Defect_Split!J186</f>
        <v>0</v>
      </c>
    </row>
    <row r="1110" spans="1:8" x14ac:dyDescent="0.25">
      <c r="A1110" s="18" t="s">
        <v>2091</v>
      </c>
      <c r="B1110" s="4">
        <f>Fact_Defect_Split!B186</f>
        <v>20260702</v>
      </c>
      <c r="C1110" s="4">
        <f>Fact_Defect_Split!C186</f>
        <v>2</v>
      </c>
      <c r="D1110" s="4" t="str">
        <f>Fact_Defect_Split!D186</f>
        <v>M3</v>
      </c>
      <c r="E1110" s="4" t="str">
        <f>Fact_Defect_Split!E186</f>
        <v>B-PM</v>
      </c>
      <c r="F1110" s="4" t="str">
        <f>Fact_Defect_Split!F186</f>
        <v>A</v>
      </c>
      <c r="G1110" s="4" t="s">
        <v>509</v>
      </c>
      <c r="H1110" s="19">
        <f>Fact_Defect_Split!K186</f>
        <v>1</v>
      </c>
    </row>
    <row r="1111" spans="1:8" x14ac:dyDescent="0.25">
      <c r="A1111" s="18" t="s">
        <v>2092</v>
      </c>
      <c r="B1111" s="4">
        <f>Fact_Defect_Split!B186</f>
        <v>20260702</v>
      </c>
      <c r="C1111" s="4">
        <f>Fact_Defect_Split!C186</f>
        <v>2</v>
      </c>
      <c r="D1111" s="4" t="str">
        <f>Fact_Defect_Split!D186</f>
        <v>M3</v>
      </c>
      <c r="E1111" s="4" t="str">
        <f>Fact_Defect_Split!E186</f>
        <v>B-PM</v>
      </c>
      <c r="F1111" s="4" t="str">
        <f>Fact_Defect_Split!F186</f>
        <v>A</v>
      </c>
      <c r="G1111" s="4" t="s">
        <v>520</v>
      </c>
      <c r="H1111" s="19">
        <f>Fact_Defect_Split!L186</f>
        <v>0</v>
      </c>
    </row>
    <row r="1112" spans="1:8" x14ac:dyDescent="0.25">
      <c r="A1112" s="18" t="s">
        <v>2093</v>
      </c>
      <c r="B1112" s="4">
        <f>Fact_Defect_Split!B187</f>
        <v>20260702</v>
      </c>
      <c r="C1112" s="4">
        <f>Fact_Defect_Split!C187</f>
        <v>2</v>
      </c>
      <c r="D1112" s="4" t="str">
        <f>Fact_Defect_Split!D187</f>
        <v>M4</v>
      </c>
      <c r="E1112" s="4" t="str">
        <f>Fact_Defect_Split!E187</f>
        <v>B-PM</v>
      </c>
      <c r="F1112" s="4" t="str">
        <f>Fact_Defect_Split!F187</f>
        <v>C</v>
      </c>
      <c r="G1112" s="4" t="s">
        <v>498</v>
      </c>
      <c r="H1112" s="19">
        <f>Fact_Defect_Split!G187</f>
        <v>0</v>
      </c>
    </row>
    <row r="1113" spans="1:8" x14ac:dyDescent="0.25">
      <c r="A1113" s="18" t="s">
        <v>2094</v>
      </c>
      <c r="B1113" s="4">
        <f>Fact_Defect_Split!B187</f>
        <v>20260702</v>
      </c>
      <c r="C1113" s="4">
        <f>Fact_Defect_Split!C187</f>
        <v>2</v>
      </c>
      <c r="D1113" s="4" t="str">
        <f>Fact_Defect_Split!D187</f>
        <v>M4</v>
      </c>
      <c r="E1113" s="4" t="str">
        <f>Fact_Defect_Split!E187</f>
        <v>B-PM</v>
      </c>
      <c r="F1113" s="4" t="str">
        <f>Fact_Defect_Split!F187</f>
        <v>C</v>
      </c>
      <c r="G1113" s="4" t="s">
        <v>500</v>
      </c>
      <c r="H1113" s="19">
        <f>Fact_Defect_Split!H187</f>
        <v>0</v>
      </c>
    </row>
    <row r="1114" spans="1:8" x14ac:dyDescent="0.25">
      <c r="A1114" s="18" t="s">
        <v>2095</v>
      </c>
      <c r="B1114" s="4">
        <f>Fact_Defect_Split!B187</f>
        <v>20260702</v>
      </c>
      <c r="C1114" s="4">
        <f>Fact_Defect_Split!C187</f>
        <v>2</v>
      </c>
      <c r="D1114" s="4" t="str">
        <f>Fact_Defect_Split!D187</f>
        <v>M4</v>
      </c>
      <c r="E1114" s="4" t="str">
        <f>Fact_Defect_Split!E187</f>
        <v>B-PM</v>
      </c>
      <c r="F1114" s="4" t="str">
        <f>Fact_Defect_Split!F187</f>
        <v>C</v>
      </c>
      <c r="G1114" s="4" t="s">
        <v>517</v>
      </c>
      <c r="H1114" s="19">
        <f>Fact_Defect_Split!I187</f>
        <v>0</v>
      </c>
    </row>
    <row r="1115" spans="1:8" x14ac:dyDescent="0.25">
      <c r="A1115" s="18" t="s">
        <v>2096</v>
      </c>
      <c r="B1115" s="4">
        <f>Fact_Defect_Split!B187</f>
        <v>20260702</v>
      </c>
      <c r="C1115" s="4">
        <f>Fact_Defect_Split!C187</f>
        <v>2</v>
      </c>
      <c r="D1115" s="4" t="str">
        <f>Fact_Defect_Split!D187</f>
        <v>M4</v>
      </c>
      <c r="E1115" s="4" t="str">
        <f>Fact_Defect_Split!E187</f>
        <v>B-PM</v>
      </c>
      <c r="F1115" s="4" t="str">
        <f>Fact_Defect_Split!F187</f>
        <v>C</v>
      </c>
      <c r="G1115" s="4" t="s">
        <v>503</v>
      </c>
      <c r="H1115" s="19">
        <f>Fact_Defect_Split!J187</f>
        <v>0</v>
      </c>
    </row>
    <row r="1116" spans="1:8" x14ac:dyDescent="0.25">
      <c r="A1116" s="18" t="s">
        <v>2097</v>
      </c>
      <c r="B1116" s="4">
        <f>Fact_Defect_Split!B187</f>
        <v>20260702</v>
      </c>
      <c r="C1116" s="4">
        <f>Fact_Defect_Split!C187</f>
        <v>2</v>
      </c>
      <c r="D1116" s="4" t="str">
        <f>Fact_Defect_Split!D187</f>
        <v>M4</v>
      </c>
      <c r="E1116" s="4" t="str">
        <f>Fact_Defect_Split!E187</f>
        <v>B-PM</v>
      </c>
      <c r="F1116" s="4" t="str">
        <f>Fact_Defect_Split!F187</f>
        <v>C</v>
      </c>
      <c r="G1116" s="4" t="s">
        <v>509</v>
      </c>
      <c r="H1116" s="19">
        <f>Fact_Defect_Split!K187</f>
        <v>1</v>
      </c>
    </row>
    <row r="1117" spans="1:8" x14ac:dyDescent="0.25">
      <c r="A1117" s="18" t="s">
        <v>2098</v>
      </c>
      <c r="B1117" s="4">
        <f>Fact_Defect_Split!B187</f>
        <v>20260702</v>
      </c>
      <c r="C1117" s="4">
        <f>Fact_Defect_Split!C187</f>
        <v>2</v>
      </c>
      <c r="D1117" s="4" t="str">
        <f>Fact_Defect_Split!D187</f>
        <v>M4</v>
      </c>
      <c r="E1117" s="4" t="str">
        <f>Fact_Defect_Split!E187</f>
        <v>B-PM</v>
      </c>
      <c r="F1117" s="4" t="str">
        <f>Fact_Defect_Split!F187</f>
        <v>C</v>
      </c>
      <c r="G1117" s="4" t="s">
        <v>520</v>
      </c>
      <c r="H1117" s="19">
        <f>Fact_Defect_Split!L187</f>
        <v>0</v>
      </c>
    </row>
    <row r="1118" spans="1:8" x14ac:dyDescent="0.25">
      <c r="A1118" s="18" t="s">
        <v>2099</v>
      </c>
      <c r="B1118" s="4">
        <f>Fact_Defect_Split!B188</f>
        <v>20260702</v>
      </c>
      <c r="C1118" s="4">
        <f>Fact_Defect_Split!C188</f>
        <v>2</v>
      </c>
      <c r="D1118" s="4" t="str">
        <f>Fact_Defect_Split!D188</f>
        <v>M5</v>
      </c>
      <c r="E1118" s="4" t="str">
        <f>Fact_Defect_Split!E188</f>
        <v>B-PM</v>
      </c>
      <c r="F1118" s="4" t="str">
        <f>Fact_Defect_Split!F188</f>
        <v>A</v>
      </c>
      <c r="G1118" s="4" t="s">
        <v>498</v>
      </c>
      <c r="H1118" s="19">
        <f>Fact_Defect_Split!G188</f>
        <v>0</v>
      </c>
    </row>
    <row r="1119" spans="1:8" x14ac:dyDescent="0.25">
      <c r="A1119" s="18" t="s">
        <v>2100</v>
      </c>
      <c r="B1119" s="4">
        <f>Fact_Defect_Split!B188</f>
        <v>20260702</v>
      </c>
      <c r="C1119" s="4">
        <f>Fact_Defect_Split!C188</f>
        <v>2</v>
      </c>
      <c r="D1119" s="4" t="str">
        <f>Fact_Defect_Split!D188</f>
        <v>M5</v>
      </c>
      <c r="E1119" s="4" t="str">
        <f>Fact_Defect_Split!E188</f>
        <v>B-PM</v>
      </c>
      <c r="F1119" s="4" t="str">
        <f>Fact_Defect_Split!F188</f>
        <v>A</v>
      </c>
      <c r="G1119" s="4" t="s">
        <v>500</v>
      </c>
      <c r="H1119" s="19">
        <f>Fact_Defect_Split!H188</f>
        <v>0</v>
      </c>
    </row>
    <row r="1120" spans="1:8" x14ac:dyDescent="0.25">
      <c r="A1120" s="18" t="s">
        <v>2101</v>
      </c>
      <c r="B1120" s="4">
        <f>Fact_Defect_Split!B188</f>
        <v>20260702</v>
      </c>
      <c r="C1120" s="4">
        <f>Fact_Defect_Split!C188</f>
        <v>2</v>
      </c>
      <c r="D1120" s="4" t="str">
        <f>Fact_Defect_Split!D188</f>
        <v>M5</v>
      </c>
      <c r="E1120" s="4" t="str">
        <f>Fact_Defect_Split!E188</f>
        <v>B-PM</v>
      </c>
      <c r="F1120" s="4" t="str">
        <f>Fact_Defect_Split!F188</f>
        <v>A</v>
      </c>
      <c r="G1120" s="4" t="s">
        <v>517</v>
      </c>
      <c r="H1120" s="19">
        <f>Fact_Defect_Split!I188</f>
        <v>0</v>
      </c>
    </row>
    <row r="1121" spans="1:8" x14ac:dyDescent="0.25">
      <c r="A1121" s="18" t="s">
        <v>2102</v>
      </c>
      <c r="B1121" s="4">
        <f>Fact_Defect_Split!B188</f>
        <v>20260702</v>
      </c>
      <c r="C1121" s="4">
        <f>Fact_Defect_Split!C188</f>
        <v>2</v>
      </c>
      <c r="D1121" s="4" t="str">
        <f>Fact_Defect_Split!D188</f>
        <v>M5</v>
      </c>
      <c r="E1121" s="4" t="str">
        <f>Fact_Defect_Split!E188</f>
        <v>B-PM</v>
      </c>
      <c r="F1121" s="4" t="str">
        <f>Fact_Defect_Split!F188</f>
        <v>A</v>
      </c>
      <c r="G1121" s="4" t="s">
        <v>503</v>
      </c>
      <c r="H1121" s="19">
        <f>Fact_Defect_Split!J188</f>
        <v>0</v>
      </c>
    </row>
    <row r="1122" spans="1:8" x14ac:dyDescent="0.25">
      <c r="A1122" s="18" t="s">
        <v>2103</v>
      </c>
      <c r="B1122" s="4">
        <f>Fact_Defect_Split!B188</f>
        <v>20260702</v>
      </c>
      <c r="C1122" s="4">
        <f>Fact_Defect_Split!C188</f>
        <v>2</v>
      </c>
      <c r="D1122" s="4" t="str">
        <f>Fact_Defect_Split!D188</f>
        <v>M5</v>
      </c>
      <c r="E1122" s="4" t="str">
        <f>Fact_Defect_Split!E188</f>
        <v>B-PM</v>
      </c>
      <c r="F1122" s="4" t="str">
        <f>Fact_Defect_Split!F188</f>
        <v>A</v>
      </c>
      <c r="G1122" s="4" t="s">
        <v>509</v>
      </c>
      <c r="H1122" s="19">
        <f>Fact_Defect_Split!K188</f>
        <v>0</v>
      </c>
    </row>
    <row r="1123" spans="1:8" x14ac:dyDescent="0.25">
      <c r="A1123" s="18" t="s">
        <v>2104</v>
      </c>
      <c r="B1123" s="4">
        <f>Fact_Defect_Split!B188</f>
        <v>20260702</v>
      </c>
      <c r="C1123" s="4">
        <f>Fact_Defect_Split!C188</f>
        <v>2</v>
      </c>
      <c r="D1123" s="4" t="str">
        <f>Fact_Defect_Split!D188</f>
        <v>M5</v>
      </c>
      <c r="E1123" s="4" t="str">
        <f>Fact_Defect_Split!E188</f>
        <v>B-PM</v>
      </c>
      <c r="F1123" s="4" t="str">
        <f>Fact_Defect_Split!F188</f>
        <v>A</v>
      </c>
      <c r="G1123" s="4" t="s">
        <v>520</v>
      </c>
      <c r="H1123" s="19">
        <f>Fact_Defect_Split!L188</f>
        <v>0</v>
      </c>
    </row>
    <row r="1124" spans="1:8" x14ac:dyDescent="0.25">
      <c r="A1124" s="18" t="s">
        <v>2105</v>
      </c>
      <c r="B1124" s="4">
        <f>Fact_Defect_Split!B189</f>
        <v>20260702</v>
      </c>
      <c r="C1124" s="4">
        <f>Fact_Defect_Split!C189</f>
        <v>2</v>
      </c>
      <c r="D1124" s="4" t="str">
        <f>Fact_Defect_Split!D189</f>
        <v>M6</v>
      </c>
      <c r="E1124" s="4" t="str">
        <f>Fact_Defect_Split!E189</f>
        <v>B-PM</v>
      </c>
      <c r="F1124" s="4" t="str">
        <f>Fact_Defect_Split!F189</f>
        <v>A</v>
      </c>
      <c r="G1124" s="4" t="s">
        <v>498</v>
      </c>
      <c r="H1124" s="19">
        <f>Fact_Defect_Split!G189</f>
        <v>0</v>
      </c>
    </row>
    <row r="1125" spans="1:8" x14ac:dyDescent="0.25">
      <c r="A1125" s="18" t="s">
        <v>2106</v>
      </c>
      <c r="B1125" s="4">
        <f>Fact_Defect_Split!B189</f>
        <v>20260702</v>
      </c>
      <c r="C1125" s="4">
        <f>Fact_Defect_Split!C189</f>
        <v>2</v>
      </c>
      <c r="D1125" s="4" t="str">
        <f>Fact_Defect_Split!D189</f>
        <v>M6</v>
      </c>
      <c r="E1125" s="4" t="str">
        <f>Fact_Defect_Split!E189</f>
        <v>B-PM</v>
      </c>
      <c r="F1125" s="4" t="str">
        <f>Fact_Defect_Split!F189</f>
        <v>A</v>
      </c>
      <c r="G1125" s="4" t="s">
        <v>500</v>
      </c>
      <c r="H1125" s="19">
        <f>Fact_Defect_Split!H189</f>
        <v>0</v>
      </c>
    </row>
    <row r="1126" spans="1:8" x14ac:dyDescent="0.25">
      <c r="A1126" s="18" t="s">
        <v>2107</v>
      </c>
      <c r="B1126" s="4">
        <f>Fact_Defect_Split!B189</f>
        <v>20260702</v>
      </c>
      <c r="C1126" s="4">
        <f>Fact_Defect_Split!C189</f>
        <v>2</v>
      </c>
      <c r="D1126" s="4" t="str">
        <f>Fact_Defect_Split!D189</f>
        <v>M6</v>
      </c>
      <c r="E1126" s="4" t="str">
        <f>Fact_Defect_Split!E189</f>
        <v>B-PM</v>
      </c>
      <c r="F1126" s="4" t="str">
        <f>Fact_Defect_Split!F189</f>
        <v>A</v>
      </c>
      <c r="G1126" s="4" t="s">
        <v>517</v>
      </c>
      <c r="H1126" s="19">
        <f>Fact_Defect_Split!I189</f>
        <v>0</v>
      </c>
    </row>
    <row r="1127" spans="1:8" x14ac:dyDescent="0.25">
      <c r="A1127" s="18" t="s">
        <v>2108</v>
      </c>
      <c r="B1127" s="4">
        <f>Fact_Defect_Split!B189</f>
        <v>20260702</v>
      </c>
      <c r="C1127" s="4">
        <f>Fact_Defect_Split!C189</f>
        <v>2</v>
      </c>
      <c r="D1127" s="4" t="str">
        <f>Fact_Defect_Split!D189</f>
        <v>M6</v>
      </c>
      <c r="E1127" s="4" t="str">
        <f>Fact_Defect_Split!E189</f>
        <v>B-PM</v>
      </c>
      <c r="F1127" s="4" t="str">
        <f>Fact_Defect_Split!F189</f>
        <v>A</v>
      </c>
      <c r="G1127" s="4" t="s">
        <v>503</v>
      </c>
      <c r="H1127" s="19">
        <f>Fact_Defect_Split!J189</f>
        <v>0</v>
      </c>
    </row>
    <row r="1128" spans="1:8" x14ac:dyDescent="0.25">
      <c r="A1128" s="18" t="s">
        <v>2109</v>
      </c>
      <c r="B1128" s="4">
        <f>Fact_Defect_Split!B189</f>
        <v>20260702</v>
      </c>
      <c r="C1128" s="4">
        <f>Fact_Defect_Split!C189</f>
        <v>2</v>
      </c>
      <c r="D1128" s="4" t="str">
        <f>Fact_Defect_Split!D189</f>
        <v>M6</v>
      </c>
      <c r="E1128" s="4" t="str">
        <f>Fact_Defect_Split!E189</f>
        <v>B-PM</v>
      </c>
      <c r="F1128" s="4" t="str">
        <f>Fact_Defect_Split!F189</f>
        <v>A</v>
      </c>
      <c r="G1128" s="4" t="s">
        <v>509</v>
      </c>
      <c r="H1128" s="19">
        <f>Fact_Defect_Split!K189</f>
        <v>0</v>
      </c>
    </row>
    <row r="1129" spans="1:8" x14ac:dyDescent="0.25">
      <c r="A1129" s="18" t="s">
        <v>2110</v>
      </c>
      <c r="B1129" s="4">
        <f>Fact_Defect_Split!B189</f>
        <v>20260702</v>
      </c>
      <c r="C1129" s="4">
        <f>Fact_Defect_Split!C189</f>
        <v>2</v>
      </c>
      <c r="D1129" s="4" t="str">
        <f>Fact_Defect_Split!D189</f>
        <v>M6</v>
      </c>
      <c r="E1129" s="4" t="str">
        <f>Fact_Defect_Split!E189</f>
        <v>B-PM</v>
      </c>
      <c r="F1129" s="4" t="str">
        <f>Fact_Defect_Split!F189</f>
        <v>A</v>
      </c>
      <c r="G1129" s="4" t="s">
        <v>520</v>
      </c>
      <c r="H1129" s="19">
        <f>Fact_Defect_Split!L189</f>
        <v>0</v>
      </c>
    </row>
    <row r="1130" spans="1:8" x14ac:dyDescent="0.25">
      <c r="A1130" s="18" t="s">
        <v>2111</v>
      </c>
      <c r="B1130" s="4">
        <f>Fact_Defect_Split!B190</f>
        <v>20260702</v>
      </c>
      <c r="C1130" s="4">
        <f>Fact_Defect_Split!C190</f>
        <v>2</v>
      </c>
      <c r="D1130" s="4" t="str">
        <f>Fact_Defect_Split!D190</f>
        <v>M7</v>
      </c>
      <c r="E1130" s="4" t="str">
        <f>Fact_Defect_Split!E190</f>
        <v>B-PM</v>
      </c>
      <c r="F1130" s="4" t="str">
        <f>Fact_Defect_Split!F190</f>
        <v>C</v>
      </c>
      <c r="G1130" s="4" t="s">
        <v>498</v>
      </c>
      <c r="H1130" s="19">
        <f>Fact_Defect_Split!G190</f>
        <v>0</v>
      </c>
    </row>
    <row r="1131" spans="1:8" x14ac:dyDescent="0.25">
      <c r="A1131" s="18" t="s">
        <v>2112</v>
      </c>
      <c r="B1131" s="4">
        <f>Fact_Defect_Split!B190</f>
        <v>20260702</v>
      </c>
      <c r="C1131" s="4">
        <f>Fact_Defect_Split!C190</f>
        <v>2</v>
      </c>
      <c r="D1131" s="4" t="str">
        <f>Fact_Defect_Split!D190</f>
        <v>M7</v>
      </c>
      <c r="E1131" s="4" t="str">
        <f>Fact_Defect_Split!E190</f>
        <v>B-PM</v>
      </c>
      <c r="F1131" s="4" t="str">
        <f>Fact_Defect_Split!F190</f>
        <v>C</v>
      </c>
      <c r="G1131" s="4" t="s">
        <v>500</v>
      </c>
      <c r="H1131" s="19">
        <f>Fact_Defect_Split!H190</f>
        <v>0</v>
      </c>
    </row>
    <row r="1132" spans="1:8" x14ac:dyDescent="0.25">
      <c r="A1132" s="18" t="s">
        <v>2113</v>
      </c>
      <c r="B1132" s="4">
        <f>Fact_Defect_Split!B190</f>
        <v>20260702</v>
      </c>
      <c r="C1132" s="4">
        <f>Fact_Defect_Split!C190</f>
        <v>2</v>
      </c>
      <c r="D1132" s="4" t="str">
        <f>Fact_Defect_Split!D190</f>
        <v>M7</v>
      </c>
      <c r="E1132" s="4" t="str">
        <f>Fact_Defect_Split!E190</f>
        <v>B-PM</v>
      </c>
      <c r="F1132" s="4" t="str">
        <f>Fact_Defect_Split!F190</f>
        <v>C</v>
      </c>
      <c r="G1132" s="4" t="s">
        <v>517</v>
      </c>
      <c r="H1132" s="19">
        <f>Fact_Defect_Split!I190</f>
        <v>1</v>
      </c>
    </row>
    <row r="1133" spans="1:8" x14ac:dyDescent="0.25">
      <c r="A1133" s="18" t="s">
        <v>2114</v>
      </c>
      <c r="B1133" s="4">
        <f>Fact_Defect_Split!B190</f>
        <v>20260702</v>
      </c>
      <c r="C1133" s="4">
        <f>Fact_Defect_Split!C190</f>
        <v>2</v>
      </c>
      <c r="D1133" s="4" t="str">
        <f>Fact_Defect_Split!D190</f>
        <v>M7</v>
      </c>
      <c r="E1133" s="4" t="str">
        <f>Fact_Defect_Split!E190</f>
        <v>B-PM</v>
      </c>
      <c r="F1133" s="4" t="str">
        <f>Fact_Defect_Split!F190</f>
        <v>C</v>
      </c>
      <c r="G1133" s="4" t="s">
        <v>503</v>
      </c>
      <c r="H1133" s="19">
        <f>Fact_Defect_Split!J190</f>
        <v>0</v>
      </c>
    </row>
    <row r="1134" spans="1:8" x14ac:dyDescent="0.25">
      <c r="A1134" s="18" t="s">
        <v>2115</v>
      </c>
      <c r="B1134" s="4">
        <f>Fact_Defect_Split!B190</f>
        <v>20260702</v>
      </c>
      <c r="C1134" s="4">
        <f>Fact_Defect_Split!C190</f>
        <v>2</v>
      </c>
      <c r="D1134" s="4" t="str">
        <f>Fact_Defect_Split!D190</f>
        <v>M7</v>
      </c>
      <c r="E1134" s="4" t="str">
        <f>Fact_Defect_Split!E190</f>
        <v>B-PM</v>
      </c>
      <c r="F1134" s="4" t="str">
        <f>Fact_Defect_Split!F190</f>
        <v>C</v>
      </c>
      <c r="G1134" s="4" t="s">
        <v>509</v>
      </c>
      <c r="H1134" s="19">
        <f>Fact_Defect_Split!K190</f>
        <v>1</v>
      </c>
    </row>
    <row r="1135" spans="1:8" x14ac:dyDescent="0.25">
      <c r="A1135" s="18" t="s">
        <v>2116</v>
      </c>
      <c r="B1135" s="4">
        <f>Fact_Defect_Split!B190</f>
        <v>20260702</v>
      </c>
      <c r="C1135" s="4">
        <f>Fact_Defect_Split!C190</f>
        <v>2</v>
      </c>
      <c r="D1135" s="4" t="str">
        <f>Fact_Defect_Split!D190</f>
        <v>M7</v>
      </c>
      <c r="E1135" s="4" t="str">
        <f>Fact_Defect_Split!E190</f>
        <v>B-PM</v>
      </c>
      <c r="F1135" s="4" t="str">
        <f>Fact_Defect_Split!F190</f>
        <v>C</v>
      </c>
      <c r="G1135" s="4" t="s">
        <v>520</v>
      </c>
      <c r="H1135" s="19">
        <f>Fact_Defect_Split!L190</f>
        <v>1</v>
      </c>
    </row>
    <row r="1136" spans="1:8" x14ac:dyDescent="0.25">
      <c r="A1136" s="18" t="s">
        <v>2117</v>
      </c>
      <c r="B1136" s="4">
        <f>Fact_Defect_Split!B191</f>
        <v>20260702</v>
      </c>
      <c r="C1136" s="4">
        <f>Fact_Defect_Split!C191</f>
        <v>3</v>
      </c>
      <c r="D1136" s="4" t="str">
        <f>Fact_Defect_Split!D191</f>
        <v>M1</v>
      </c>
      <c r="E1136" s="4" t="str">
        <f>Fact_Defect_Split!E191</f>
        <v>B-PM</v>
      </c>
      <c r="F1136" s="4" t="str">
        <f>Fact_Defect_Split!F191</f>
        <v>B</v>
      </c>
      <c r="G1136" s="4" t="s">
        <v>498</v>
      </c>
      <c r="H1136" s="19">
        <f>Fact_Defect_Split!G191</f>
        <v>0</v>
      </c>
    </row>
    <row r="1137" spans="1:8" x14ac:dyDescent="0.25">
      <c r="A1137" s="18" t="s">
        <v>2118</v>
      </c>
      <c r="B1137" s="4">
        <f>Fact_Defect_Split!B191</f>
        <v>20260702</v>
      </c>
      <c r="C1137" s="4">
        <f>Fact_Defect_Split!C191</f>
        <v>3</v>
      </c>
      <c r="D1137" s="4" t="str">
        <f>Fact_Defect_Split!D191</f>
        <v>M1</v>
      </c>
      <c r="E1137" s="4" t="str">
        <f>Fact_Defect_Split!E191</f>
        <v>B-PM</v>
      </c>
      <c r="F1137" s="4" t="str">
        <f>Fact_Defect_Split!F191</f>
        <v>B</v>
      </c>
      <c r="G1137" s="4" t="s">
        <v>500</v>
      </c>
      <c r="H1137" s="19">
        <f>Fact_Defect_Split!H191</f>
        <v>0</v>
      </c>
    </row>
    <row r="1138" spans="1:8" x14ac:dyDescent="0.25">
      <c r="A1138" s="18" t="s">
        <v>2119</v>
      </c>
      <c r="B1138" s="4">
        <f>Fact_Defect_Split!B191</f>
        <v>20260702</v>
      </c>
      <c r="C1138" s="4">
        <f>Fact_Defect_Split!C191</f>
        <v>3</v>
      </c>
      <c r="D1138" s="4" t="str">
        <f>Fact_Defect_Split!D191</f>
        <v>M1</v>
      </c>
      <c r="E1138" s="4" t="str">
        <f>Fact_Defect_Split!E191</f>
        <v>B-PM</v>
      </c>
      <c r="F1138" s="4" t="str">
        <f>Fact_Defect_Split!F191</f>
        <v>B</v>
      </c>
      <c r="G1138" s="4" t="s">
        <v>517</v>
      </c>
      <c r="H1138" s="19">
        <f>Fact_Defect_Split!I191</f>
        <v>0</v>
      </c>
    </row>
    <row r="1139" spans="1:8" x14ac:dyDescent="0.25">
      <c r="A1139" s="18" t="s">
        <v>2120</v>
      </c>
      <c r="B1139" s="4">
        <f>Fact_Defect_Split!B191</f>
        <v>20260702</v>
      </c>
      <c r="C1139" s="4">
        <f>Fact_Defect_Split!C191</f>
        <v>3</v>
      </c>
      <c r="D1139" s="4" t="str">
        <f>Fact_Defect_Split!D191</f>
        <v>M1</v>
      </c>
      <c r="E1139" s="4" t="str">
        <f>Fact_Defect_Split!E191</f>
        <v>B-PM</v>
      </c>
      <c r="F1139" s="4" t="str">
        <f>Fact_Defect_Split!F191</f>
        <v>B</v>
      </c>
      <c r="G1139" s="4" t="s">
        <v>503</v>
      </c>
      <c r="H1139" s="19">
        <f>Fact_Defect_Split!J191</f>
        <v>1</v>
      </c>
    </row>
    <row r="1140" spans="1:8" x14ac:dyDescent="0.25">
      <c r="A1140" s="18" t="s">
        <v>2121</v>
      </c>
      <c r="B1140" s="4">
        <f>Fact_Defect_Split!B191</f>
        <v>20260702</v>
      </c>
      <c r="C1140" s="4">
        <f>Fact_Defect_Split!C191</f>
        <v>3</v>
      </c>
      <c r="D1140" s="4" t="str">
        <f>Fact_Defect_Split!D191</f>
        <v>M1</v>
      </c>
      <c r="E1140" s="4" t="str">
        <f>Fact_Defect_Split!E191</f>
        <v>B-PM</v>
      </c>
      <c r="F1140" s="4" t="str">
        <f>Fact_Defect_Split!F191</f>
        <v>B</v>
      </c>
      <c r="G1140" s="4" t="s">
        <v>509</v>
      </c>
      <c r="H1140" s="19">
        <f>Fact_Defect_Split!K191</f>
        <v>0</v>
      </c>
    </row>
    <row r="1141" spans="1:8" x14ac:dyDescent="0.25">
      <c r="A1141" s="18" t="s">
        <v>2122</v>
      </c>
      <c r="B1141" s="4">
        <f>Fact_Defect_Split!B191</f>
        <v>20260702</v>
      </c>
      <c r="C1141" s="4">
        <f>Fact_Defect_Split!C191</f>
        <v>3</v>
      </c>
      <c r="D1141" s="4" t="str">
        <f>Fact_Defect_Split!D191</f>
        <v>M1</v>
      </c>
      <c r="E1141" s="4" t="str">
        <f>Fact_Defect_Split!E191</f>
        <v>B-PM</v>
      </c>
      <c r="F1141" s="4" t="str">
        <f>Fact_Defect_Split!F191</f>
        <v>B</v>
      </c>
      <c r="G1141" s="4" t="s">
        <v>520</v>
      </c>
      <c r="H1141" s="19">
        <f>Fact_Defect_Split!L191</f>
        <v>1</v>
      </c>
    </row>
    <row r="1142" spans="1:8" x14ac:dyDescent="0.25">
      <c r="A1142" s="18" t="s">
        <v>2123</v>
      </c>
      <c r="B1142" s="4">
        <f>Fact_Defect_Split!B192</f>
        <v>20260702</v>
      </c>
      <c r="C1142" s="4">
        <f>Fact_Defect_Split!C192</f>
        <v>3</v>
      </c>
      <c r="D1142" s="4" t="str">
        <f>Fact_Defect_Split!D192</f>
        <v>M2</v>
      </c>
      <c r="E1142" s="4" t="str">
        <f>Fact_Defect_Split!E192</f>
        <v>B-PM</v>
      </c>
      <c r="F1142" s="4" t="str">
        <f>Fact_Defect_Split!F192</f>
        <v>A</v>
      </c>
      <c r="G1142" s="4" t="s">
        <v>498</v>
      </c>
      <c r="H1142" s="19">
        <f>Fact_Defect_Split!G192</f>
        <v>0</v>
      </c>
    </row>
    <row r="1143" spans="1:8" x14ac:dyDescent="0.25">
      <c r="A1143" s="18" t="s">
        <v>2124</v>
      </c>
      <c r="B1143" s="4">
        <f>Fact_Defect_Split!B192</f>
        <v>20260702</v>
      </c>
      <c r="C1143" s="4">
        <f>Fact_Defect_Split!C192</f>
        <v>3</v>
      </c>
      <c r="D1143" s="4" t="str">
        <f>Fact_Defect_Split!D192</f>
        <v>M2</v>
      </c>
      <c r="E1143" s="4" t="str">
        <f>Fact_Defect_Split!E192</f>
        <v>B-PM</v>
      </c>
      <c r="F1143" s="4" t="str">
        <f>Fact_Defect_Split!F192</f>
        <v>A</v>
      </c>
      <c r="G1143" s="4" t="s">
        <v>500</v>
      </c>
      <c r="H1143" s="19">
        <f>Fact_Defect_Split!H192</f>
        <v>0</v>
      </c>
    </row>
    <row r="1144" spans="1:8" x14ac:dyDescent="0.25">
      <c r="A1144" s="18" t="s">
        <v>2125</v>
      </c>
      <c r="B1144" s="4">
        <f>Fact_Defect_Split!B192</f>
        <v>20260702</v>
      </c>
      <c r="C1144" s="4">
        <f>Fact_Defect_Split!C192</f>
        <v>3</v>
      </c>
      <c r="D1144" s="4" t="str">
        <f>Fact_Defect_Split!D192</f>
        <v>M2</v>
      </c>
      <c r="E1144" s="4" t="str">
        <f>Fact_Defect_Split!E192</f>
        <v>B-PM</v>
      </c>
      <c r="F1144" s="4" t="str">
        <f>Fact_Defect_Split!F192</f>
        <v>A</v>
      </c>
      <c r="G1144" s="4" t="s">
        <v>517</v>
      </c>
      <c r="H1144" s="19">
        <f>Fact_Defect_Split!I192</f>
        <v>0</v>
      </c>
    </row>
    <row r="1145" spans="1:8" x14ac:dyDescent="0.25">
      <c r="A1145" s="18" t="s">
        <v>2126</v>
      </c>
      <c r="B1145" s="4">
        <f>Fact_Defect_Split!B192</f>
        <v>20260702</v>
      </c>
      <c r="C1145" s="4">
        <f>Fact_Defect_Split!C192</f>
        <v>3</v>
      </c>
      <c r="D1145" s="4" t="str">
        <f>Fact_Defect_Split!D192</f>
        <v>M2</v>
      </c>
      <c r="E1145" s="4" t="str">
        <f>Fact_Defect_Split!E192</f>
        <v>B-PM</v>
      </c>
      <c r="F1145" s="4" t="str">
        <f>Fact_Defect_Split!F192</f>
        <v>A</v>
      </c>
      <c r="G1145" s="4" t="s">
        <v>503</v>
      </c>
      <c r="H1145" s="19">
        <f>Fact_Defect_Split!J192</f>
        <v>0</v>
      </c>
    </row>
    <row r="1146" spans="1:8" x14ac:dyDescent="0.25">
      <c r="A1146" s="18" t="s">
        <v>2127</v>
      </c>
      <c r="B1146" s="4">
        <f>Fact_Defect_Split!B192</f>
        <v>20260702</v>
      </c>
      <c r="C1146" s="4">
        <f>Fact_Defect_Split!C192</f>
        <v>3</v>
      </c>
      <c r="D1146" s="4" t="str">
        <f>Fact_Defect_Split!D192</f>
        <v>M2</v>
      </c>
      <c r="E1146" s="4" t="str">
        <f>Fact_Defect_Split!E192</f>
        <v>B-PM</v>
      </c>
      <c r="F1146" s="4" t="str">
        <f>Fact_Defect_Split!F192</f>
        <v>A</v>
      </c>
      <c r="G1146" s="4" t="s">
        <v>509</v>
      </c>
      <c r="H1146" s="19">
        <f>Fact_Defect_Split!K192</f>
        <v>1</v>
      </c>
    </row>
    <row r="1147" spans="1:8" x14ac:dyDescent="0.25">
      <c r="A1147" s="18" t="s">
        <v>2128</v>
      </c>
      <c r="B1147" s="4">
        <f>Fact_Defect_Split!B192</f>
        <v>20260702</v>
      </c>
      <c r="C1147" s="4">
        <f>Fact_Defect_Split!C192</f>
        <v>3</v>
      </c>
      <c r="D1147" s="4" t="str">
        <f>Fact_Defect_Split!D192</f>
        <v>M2</v>
      </c>
      <c r="E1147" s="4" t="str">
        <f>Fact_Defect_Split!E192</f>
        <v>B-PM</v>
      </c>
      <c r="F1147" s="4" t="str">
        <f>Fact_Defect_Split!F192</f>
        <v>A</v>
      </c>
      <c r="G1147" s="4" t="s">
        <v>520</v>
      </c>
      <c r="H1147" s="19">
        <f>Fact_Defect_Split!L192</f>
        <v>0</v>
      </c>
    </row>
    <row r="1148" spans="1:8" x14ac:dyDescent="0.25">
      <c r="A1148" s="18" t="s">
        <v>2129</v>
      </c>
      <c r="B1148" s="4">
        <f>Fact_Defect_Split!B193</f>
        <v>20260702</v>
      </c>
      <c r="C1148" s="4">
        <f>Fact_Defect_Split!C193</f>
        <v>3</v>
      </c>
      <c r="D1148" s="4" t="str">
        <f>Fact_Defect_Split!D193</f>
        <v>M3</v>
      </c>
      <c r="E1148" s="4" t="str">
        <f>Fact_Defect_Split!E193</f>
        <v>B-PM</v>
      </c>
      <c r="F1148" s="4" t="str">
        <f>Fact_Defect_Split!F193</f>
        <v>A</v>
      </c>
      <c r="G1148" s="4" t="s">
        <v>498</v>
      </c>
      <c r="H1148" s="19">
        <f>Fact_Defect_Split!G193</f>
        <v>0</v>
      </c>
    </row>
    <row r="1149" spans="1:8" x14ac:dyDescent="0.25">
      <c r="A1149" s="18" t="s">
        <v>2130</v>
      </c>
      <c r="B1149" s="4">
        <f>Fact_Defect_Split!B193</f>
        <v>20260702</v>
      </c>
      <c r="C1149" s="4">
        <f>Fact_Defect_Split!C193</f>
        <v>3</v>
      </c>
      <c r="D1149" s="4" t="str">
        <f>Fact_Defect_Split!D193</f>
        <v>M3</v>
      </c>
      <c r="E1149" s="4" t="str">
        <f>Fact_Defect_Split!E193</f>
        <v>B-PM</v>
      </c>
      <c r="F1149" s="4" t="str">
        <f>Fact_Defect_Split!F193</f>
        <v>A</v>
      </c>
      <c r="G1149" s="4" t="s">
        <v>500</v>
      </c>
      <c r="H1149" s="19">
        <f>Fact_Defect_Split!H193</f>
        <v>0</v>
      </c>
    </row>
    <row r="1150" spans="1:8" x14ac:dyDescent="0.25">
      <c r="A1150" s="18" t="s">
        <v>2131</v>
      </c>
      <c r="B1150" s="4">
        <f>Fact_Defect_Split!B193</f>
        <v>20260702</v>
      </c>
      <c r="C1150" s="4">
        <f>Fact_Defect_Split!C193</f>
        <v>3</v>
      </c>
      <c r="D1150" s="4" t="str">
        <f>Fact_Defect_Split!D193</f>
        <v>M3</v>
      </c>
      <c r="E1150" s="4" t="str">
        <f>Fact_Defect_Split!E193</f>
        <v>B-PM</v>
      </c>
      <c r="F1150" s="4" t="str">
        <f>Fact_Defect_Split!F193</f>
        <v>A</v>
      </c>
      <c r="G1150" s="4" t="s">
        <v>517</v>
      </c>
      <c r="H1150" s="19">
        <f>Fact_Defect_Split!I193</f>
        <v>0</v>
      </c>
    </row>
    <row r="1151" spans="1:8" x14ac:dyDescent="0.25">
      <c r="A1151" s="18" t="s">
        <v>2132</v>
      </c>
      <c r="B1151" s="4">
        <f>Fact_Defect_Split!B193</f>
        <v>20260702</v>
      </c>
      <c r="C1151" s="4">
        <f>Fact_Defect_Split!C193</f>
        <v>3</v>
      </c>
      <c r="D1151" s="4" t="str">
        <f>Fact_Defect_Split!D193</f>
        <v>M3</v>
      </c>
      <c r="E1151" s="4" t="str">
        <f>Fact_Defect_Split!E193</f>
        <v>B-PM</v>
      </c>
      <c r="F1151" s="4" t="str">
        <f>Fact_Defect_Split!F193</f>
        <v>A</v>
      </c>
      <c r="G1151" s="4" t="s">
        <v>503</v>
      </c>
      <c r="H1151" s="19">
        <f>Fact_Defect_Split!J193</f>
        <v>0</v>
      </c>
    </row>
    <row r="1152" spans="1:8" x14ac:dyDescent="0.25">
      <c r="A1152" s="18" t="s">
        <v>2133</v>
      </c>
      <c r="B1152" s="4">
        <f>Fact_Defect_Split!B193</f>
        <v>20260702</v>
      </c>
      <c r="C1152" s="4">
        <f>Fact_Defect_Split!C193</f>
        <v>3</v>
      </c>
      <c r="D1152" s="4" t="str">
        <f>Fact_Defect_Split!D193</f>
        <v>M3</v>
      </c>
      <c r="E1152" s="4" t="str">
        <f>Fact_Defect_Split!E193</f>
        <v>B-PM</v>
      </c>
      <c r="F1152" s="4" t="str">
        <f>Fact_Defect_Split!F193</f>
        <v>A</v>
      </c>
      <c r="G1152" s="4" t="s">
        <v>509</v>
      </c>
      <c r="H1152" s="19">
        <f>Fact_Defect_Split!K193</f>
        <v>1</v>
      </c>
    </row>
    <row r="1153" spans="1:8" x14ac:dyDescent="0.25">
      <c r="A1153" s="18" t="s">
        <v>2134</v>
      </c>
      <c r="B1153" s="4">
        <f>Fact_Defect_Split!B193</f>
        <v>20260702</v>
      </c>
      <c r="C1153" s="4">
        <f>Fact_Defect_Split!C193</f>
        <v>3</v>
      </c>
      <c r="D1153" s="4" t="str">
        <f>Fact_Defect_Split!D193</f>
        <v>M3</v>
      </c>
      <c r="E1153" s="4" t="str">
        <f>Fact_Defect_Split!E193</f>
        <v>B-PM</v>
      </c>
      <c r="F1153" s="4" t="str">
        <f>Fact_Defect_Split!F193</f>
        <v>A</v>
      </c>
      <c r="G1153" s="4" t="s">
        <v>520</v>
      </c>
      <c r="H1153" s="19">
        <f>Fact_Defect_Split!L193</f>
        <v>0</v>
      </c>
    </row>
    <row r="1154" spans="1:8" x14ac:dyDescent="0.25">
      <c r="A1154" s="18" t="s">
        <v>2135</v>
      </c>
      <c r="B1154" s="4">
        <f>Fact_Defect_Split!B194</f>
        <v>20260702</v>
      </c>
      <c r="C1154" s="4">
        <f>Fact_Defect_Split!C194</f>
        <v>3</v>
      </c>
      <c r="D1154" s="4" t="str">
        <f>Fact_Defect_Split!D194</f>
        <v>M4</v>
      </c>
      <c r="E1154" s="4" t="str">
        <f>Fact_Defect_Split!E194</f>
        <v>B-PM</v>
      </c>
      <c r="F1154" s="4" t="str">
        <f>Fact_Defect_Split!F194</f>
        <v>C</v>
      </c>
      <c r="G1154" s="4" t="s">
        <v>498</v>
      </c>
      <c r="H1154" s="19">
        <f>Fact_Defect_Split!G194</f>
        <v>0</v>
      </c>
    </row>
    <row r="1155" spans="1:8" x14ac:dyDescent="0.25">
      <c r="A1155" s="18" t="s">
        <v>2136</v>
      </c>
      <c r="B1155" s="4">
        <f>Fact_Defect_Split!B194</f>
        <v>20260702</v>
      </c>
      <c r="C1155" s="4">
        <f>Fact_Defect_Split!C194</f>
        <v>3</v>
      </c>
      <c r="D1155" s="4" t="str">
        <f>Fact_Defect_Split!D194</f>
        <v>M4</v>
      </c>
      <c r="E1155" s="4" t="str">
        <f>Fact_Defect_Split!E194</f>
        <v>B-PM</v>
      </c>
      <c r="F1155" s="4" t="str">
        <f>Fact_Defect_Split!F194</f>
        <v>C</v>
      </c>
      <c r="G1155" s="4" t="s">
        <v>500</v>
      </c>
      <c r="H1155" s="19">
        <f>Fact_Defect_Split!H194</f>
        <v>0</v>
      </c>
    </row>
    <row r="1156" spans="1:8" x14ac:dyDescent="0.25">
      <c r="A1156" s="18" t="s">
        <v>2137</v>
      </c>
      <c r="B1156" s="4">
        <f>Fact_Defect_Split!B194</f>
        <v>20260702</v>
      </c>
      <c r="C1156" s="4">
        <f>Fact_Defect_Split!C194</f>
        <v>3</v>
      </c>
      <c r="D1156" s="4" t="str">
        <f>Fact_Defect_Split!D194</f>
        <v>M4</v>
      </c>
      <c r="E1156" s="4" t="str">
        <f>Fact_Defect_Split!E194</f>
        <v>B-PM</v>
      </c>
      <c r="F1156" s="4" t="str">
        <f>Fact_Defect_Split!F194</f>
        <v>C</v>
      </c>
      <c r="G1156" s="4" t="s">
        <v>517</v>
      </c>
      <c r="H1156" s="19">
        <f>Fact_Defect_Split!I194</f>
        <v>0</v>
      </c>
    </row>
    <row r="1157" spans="1:8" x14ac:dyDescent="0.25">
      <c r="A1157" s="18" t="s">
        <v>2138</v>
      </c>
      <c r="B1157" s="4">
        <f>Fact_Defect_Split!B194</f>
        <v>20260702</v>
      </c>
      <c r="C1157" s="4">
        <f>Fact_Defect_Split!C194</f>
        <v>3</v>
      </c>
      <c r="D1157" s="4" t="str">
        <f>Fact_Defect_Split!D194</f>
        <v>M4</v>
      </c>
      <c r="E1157" s="4" t="str">
        <f>Fact_Defect_Split!E194</f>
        <v>B-PM</v>
      </c>
      <c r="F1157" s="4" t="str">
        <f>Fact_Defect_Split!F194</f>
        <v>C</v>
      </c>
      <c r="G1157" s="4" t="s">
        <v>503</v>
      </c>
      <c r="H1157" s="19">
        <f>Fact_Defect_Split!J194</f>
        <v>0</v>
      </c>
    </row>
    <row r="1158" spans="1:8" x14ac:dyDescent="0.25">
      <c r="A1158" s="18" t="s">
        <v>2139</v>
      </c>
      <c r="B1158" s="4">
        <f>Fact_Defect_Split!B194</f>
        <v>20260702</v>
      </c>
      <c r="C1158" s="4">
        <f>Fact_Defect_Split!C194</f>
        <v>3</v>
      </c>
      <c r="D1158" s="4" t="str">
        <f>Fact_Defect_Split!D194</f>
        <v>M4</v>
      </c>
      <c r="E1158" s="4" t="str">
        <f>Fact_Defect_Split!E194</f>
        <v>B-PM</v>
      </c>
      <c r="F1158" s="4" t="str">
        <f>Fact_Defect_Split!F194</f>
        <v>C</v>
      </c>
      <c r="G1158" s="4" t="s">
        <v>509</v>
      </c>
      <c r="H1158" s="19">
        <f>Fact_Defect_Split!K194</f>
        <v>1</v>
      </c>
    </row>
    <row r="1159" spans="1:8" x14ac:dyDescent="0.25">
      <c r="A1159" s="18" t="s">
        <v>2140</v>
      </c>
      <c r="B1159" s="4">
        <f>Fact_Defect_Split!B194</f>
        <v>20260702</v>
      </c>
      <c r="C1159" s="4">
        <f>Fact_Defect_Split!C194</f>
        <v>3</v>
      </c>
      <c r="D1159" s="4" t="str">
        <f>Fact_Defect_Split!D194</f>
        <v>M4</v>
      </c>
      <c r="E1159" s="4" t="str">
        <f>Fact_Defect_Split!E194</f>
        <v>B-PM</v>
      </c>
      <c r="F1159" s="4" t="str">
        <f>Fact_Defect_Split!F194</f>
        <v>C</v>
      </c>
      <c r="G1159" s="4" t="s">
        <v>520</v>
      </c>
      <c r="H1159" s="19">
        <f>Fact_Defect_Split!L194</f>
        <v>0</v>
      </c>
    </row>
    <row r="1160" spans="1:8" x14ac:dyDescent="0.25">
      <c r="A1160" s="18" t="s">
        <v>2141</v>
      </c>
      <c r="B1160" s="4">
        <f>Fact_Defect_Split!B195</f>
        <v>20260702</v>
      </c>
      <c r="C1160" s="4">
        <f>Fact_Defect_Split!C195</f>
        <v>3</v>
      </c>
      <c r="D1160" s="4" t="str">
        <f>Fact_Defect_Split!D195</f>
        <v>M5</v>
      </c>
      <c r="E1160" s="4" t="str">
        <f>Fact_Defect_Split!E195</f>
        <v>B-PM</v>
      </c>
      <c r="F1160" s="4" t="str">
        <f>Fact_Defect_Split!F195</f>
        <v>A</v>
      </c>
      <c r="G1160" s="4" t="s">
        <v>498</v>
      </c>
      <c r="H1160" s="19">
        <f>Fact_Defect_Split!G195</f>
        <v>0</v>
      </c>
    </row>
    <row r="1161" spans="1:8" x14ac:dyDescent="0.25">
      <c r="A1161" s="18" t="s">
        <v>2142</v>
      </c>
      <c r="B1161" s="4">
        <f>Fact_Defect_Split!B195</f>
        <v>20260702</v>
      </c>
      <c r="C1161" s="4">
        <f>Fact_Defect_Split!C195</f>
        <v>3</v>
      </c>
      <c r="D1161" s="4" t="str">
        <f>Fact_Defect_Split!D195</f>
        <v>M5</v>
      </c>
      <c r="E1161" s="4" t="str">
        <f>Fact_Defect_Split!E195</f>
        <v>B-PM</v>
      </c>
      <c r="F1161" s="4" t="str">
        <f>Fact_Defect_Split!F195</f>
        <v>A</v>
      </c>
      <c r="G1161" s="4" t="s">
        <v>500</v>
      </c>
      <c r="H1161" s="19">
        <f>Fact_Defect_Split!H195</f>
        <v>0</v>
      </c>
    </row>
    <row r="1162" spans="1:8" x14ac:dyDescent="0.25">
      <c r="A1162" s="18" t="s">
        <v>2143</v>
      </c>
      <c r="B1162" s="4">
        <f>Fact_Defect_Split!B195</f>
        <v>20260702</v>
      </c>
      <c r="C1162" s="4">
        <f>Fact_Defect_Split!C195</f>
        <v>3</v>
      </c>
      <c r="D1162" s="4" t="str">
        <f>Fact_Defect_Split!D195</f>
        <v>M5</v>
      </c>
      <c r="E1162" s="4" t="str">
        <f>Fact_Defect_Split!E195</f>
        <v>B-PM</v>
      </c>
      <c r="F1162" s="4" t="str">
        <f>Fact_Defect_Split!F195</f>
        <v>A</v>
      </c>
      <c r="G1162" s="4" t="s">
        <v>517</v>
      </c>
      <c r="H1162" s="19">
        <f>Fact_Defect_Split!I195</f>
        <v>0</v>
      </c>
    </row>
    <row r="1163" spans="1:8" x14ac:dyDescent="0.25">
      <c r="A1163" s="18" t="s">
        <v>2144</v>
      </c>
      <c r="B1163" s="4">
        <f>Fact_Defect_Split!B195</f>
        <v>20260702</v>
      </c>
      <c r="C1163" s="4">
        <f>Fact_Defect_Split!C195</f>
        <v>3</v>
      </c>
      <c r="D1163" s="4" t="str">
        <f>Fact_Defect_Split!D195</f>
        <v>M5</v>
      </c>
      <c r="E1163" s="4" t="str">
        <f>Fact_Defect_Split!E195</f>
        <v>B-PM</v>
      </c>
      <c r="F1163" s="4" t="str">
        <f>Fact_Defect_Split!F195</f>
        <v>A</v>
      </c>
      <c r="G1163" s="4" t="s">
        <v>503</v>
      </c>
      <c r="H1163" s="19">
        <f>Fact_Defect_Split!J195</f>
        <v>0</v>
      </c>
    </row>
    <row r="1164" spans="1:8" x14ac:dyDescent="0.25">
      <c r="A1164" s="18" t="s">
        <v>2145</v>
      </c>
      <c r="B1164" s="4">
        <f>Fact_Defect_Split!B195</f>
        <v>20260702</v>
      </c>
      <c r="C1164" s="4">
        <f>Fact_Defect_Split!C195</f>
        <v>3</v>
      </c>
      <c r="D1164" s="4" t="str">
        <f>Fact_Defect_Split!D195</f>
        <v>M5</v>
      </c>
      <c r="E1164" s="4" t="str">
        <f>Fact_Defect_Split!E195</f>
        <v>B-PM</v>
      </c>
      <c r="F1164" s="4" t="str">
        <f>Fact_Defect_Split!F195</f>
        <v>A</v>
      </c>
      <c r="G1164" s="4" t="s">
        <v>509</v>
      </c>
      <c r="H1164" s="19">
        <f>Fact_Defect_Split!K195</f>
        <v>0</v>
      </c>
    </row>
    <row r="1165" spans="1:8" x14ac:dyDescent="0.25">
      <c r="A1165" s="18" t="s">
        <v>2146</v>
      </c>
      <c r="B1165" s="4">
        <f>Fact_Defect_Split!B195</f>
        <v>20260702</v>
      </c>
      <c r="C1165" s="4">
        <f>Fact_Defect_Split!C195</f>
        <v>3</v>
      </c>
      <c r="D1165" s="4" t="str">
        <f>Fact_Defect_Split!D195</f>
        <v>M5</v>
      </c>
      <c r="E1165" s="4" t="str">
        <f>Fact_Defect_Split!E195</f>
        <v>B-PM</v>
      </c>
      <c r="F1165" s="4" t="str">
        <f>Fact_Defect_Split!F195</f>
        <v>A</v>
      </c>
      <c r="G1165" s="4" t="s">
        <v>520</v>
      </c>
      <c r="H1165" s="19">
        <f>Fact_Defect_Split!L195</f>
        <v>1</v>
      </c>
    </row>
    <row r="1166" spans="1:8" x14ac:dyDescent="0.25">
      <c r="A1166" s="18" t="s">
        <v>2147</v>
      </c>
      <c r="B1166" s="4">
        <f>Fact_Defect_Split!B196</f>
        <v>20260702</v>
      </c>
      <c r="C1166" s="4">
        <f>Fact_Defect_Split!C196</f>
        <v>3</v>
      </c>
      <c r="D1166" s="4" t="str">
        <f>Fact_Defect_Split!D196</f>
        <v>M6</v>
      </c>
      <c r="E1166" s="4" t="str">
        <f>Fact_Defect_Split!E196</f>
        <v>B-PM</v>
      </c>
      <c r="F1166" s="4" t="str">
        <f>Fact_Defect_Split!F196</f>
        <v>A</v>
      </c>
      <c r="G1166" s="4" t="s">
        <v>498</v>
      </c>
      <c r="H1166" s="19">
        <f>Fact_Defect_Split!G196</f>
        <v>0</v>
      </c>
    </row>
    <row r="1167" spans="1:8" x14ac:dyDescent="0.25">
      <c r="A1167" s="18" t="s">
        <v>2148</v>
      </c>
      <c r="B1167" s="4">
        <f>Fact_Defect_Split!B196</f>
        <v>20260702</v>
      </c>
      <c r="C1167" s="4">
        <f>Fact_Defect_Split!C196</f>
        <v>3</v>
      </c>
      <c r="D1167" s="4" t="str">
        <f>Fact_Defect_Split!D196</f>
        <v>M6</v>
      </c>
      <c r="E1167" s="4" t="str">
        <f>Fact_Defect_Split!E196</f>
        <v>B-PM</v>
      </c>
      <c r="F1167" s="4" t="str">
        <f>Fact_Defect_Split!F196</f>
        <v>A</v>
      </c>
      <c r="G1167" s="4" t="s">
        <v>500</v>
      </c>
      <c r="H1167" s="19">
        <f>Fact_Defect_Split!H196</f>
        <v>0</v>
      </c>
    </row>
    <row r="1168" spans="1:8" x14ac:dyDescent="0.25">
      <c r="A1168" s="18" t="s">
        <v>2149</v>
      </c>
      <c r="B1168" s="4">
        <f>Fact_Defect_Split!B196</f>
        <v>20260702</v>
      </c>
      <c r="C1168" s="4">
        <f>Fact_Defect_Split!C196</f>
        <v>3</v>
      </c>
      <c r="D1168" s="4" t="str">
        <f>Fact_Defect_Split!D196</f>
        <v>M6</v>
      </c>
      <c r="E1168" s="4" t="str">
        <f>Fact_Defect_Split!E196</f>
        <v>B-PM</v>
      </c>
      <c r="F1168" s="4" t="str">
        <f>Fact_Defect_Split!F196</f>
        <v>A</v>
      </c>
      <c r="G1168" s="4" t="s">
        <v>517</v>
      </c>
      <c r="H1168" s="19">
        <f>Fact_Defect_Split!I196</f>
        <v>0</v>
      </c>
    </row>
    <row r="1169" spans="1:8" x14ac:dyDescent="0.25">
      <c r="A1169" s="18" t="s">
        <v>2150</v>
      </c>
      <c r="B1169" s="4">
        <f>Fact_Defect_Split!B196</f>
        <v>20260702</v>
      </c>
      <c r="C1169" s="4">
        <f>Fact_Defect_Split!C196</f>
        <v>3</v>
      </c>
      <c r="D1169" s="4" t="str">
        <f>Fact_Defect_Split!D196</f>
        <v>M6</v>
      </c>
      <c r="E1169" s="4" t="str">
        <f>Fact_Defect_Split!E196</f>
        <v>B-PM</v>
      </c>
      <c r="F1169" s="4" t="str">
        <f>Fact_Defect_Split!F196</f>
        <v>A</v>
      </c>
      <c r="G1169" s="4" t="s">
        <v>503</v>
      </c>
      <c r="H1169" s="19">
        <f>Fact_Defect_Split!J196</f>
        <v>0</v>
      </c>
    </row>
    <row r="1170" spans="1:8" x14ac:dyDescent="0.25">
      <c r="A1170" s="18" t="s">
        <v>2151</v>
      </c>
      <c r="B1170" s="4">
        <f>Fact_Defect_Split!B196</f>
        <v>20260702</v>
      </c>
      <c r="C1170" s="4">
        <f>Fact_Defect_Split!C196</f>
        <v>3</v>
      </c>
      <c r="D1170" s="4" t="str">
        <f>Fact_Defect_Split!D196</f>
        <v>M6</v>
      </c>
      <c r="E1170" s="4" t="str">
        <f>Fact_Defect_Split!E196</f>
        <v>B-PM</v>
      </c>
      <c r="F1170" s="4" t="str">
        <f>Fact_Defect_Split!F196</f>
        <v>A</v>
      </c>
      <c r="G1170" s="4" t="s">
        <v>509</v>
      </c>
      <c r="H1170" s="19">
        <f>Fact_Defect_Split!K196</f>
        <v>1</v>
      </c>
    </row>
    <row r="1171" spans="1:8" x14ac:dyDescent="0.25">
      <c r="A1171" s="18" t="s">
        <v>2152</v>
      </c>
      <c r="B1171" s="4">
        <f>Fact_Defect_Split!B196</f>
        <v>20260702</v>
      </c>
      <c r="C1171" s="4">
        <f>Fact_Defect_Split!C196</f>
        <v>3</v>
      </c>
      <c r="D1171" s="4" t="str">
        <f>Fact_Defect_Split!D196</f>
        <v>M6</v>
      </c>
      <c r="E1171" s="4" t="str">
        <f>Fact_Defect_Split!E196</f>
        <v>B-PM</v>
      </c>
      <c r="F1171" s="4" t="str">
        <f>Fact_Defect_Split!F196</f>
        <v>A</v>
      </c>
      <c r="G1171" s="4" t="s">
        <v>520</v>
      </c>
      <c r="H1171" s="19">
        <f>Fact_Defect_Split!L196</f>
        <v>0</v>
      </c>
    </row>
    <row r="1172" spans="1:8" x14ac:dyDescent="0.25">
      <c r="A1172" s="18" t="s">
        <v>2153</v>
      </c>
      <c r="B1172" s="4">
        <f>Fact_Defect_Split!B197</f>
        <v>20260702</v>
      </c>
      <c r="C1172" s="4">
        <f>Fact_Defect_Split!C197</f>
        <v>3</v>
      </c>
      <c r="D1172" s="4" t="str">
        <f>Fact_Defect_Split!D197</f>
        <v>M7</v>
      </c>
      <c r="E1172" s="4" t="str">
        <f>Fact_Defect_Split!E197</f>
        <v>B-PM</v>
      </c>
      <c r="F1172" s="4" t="str">
        <f>Fact_Defect_Split!F197</f>
        <v>C</v>
      </c>
      <c r="G1172" s="4" t="s">
        <v>498</v>
      </c>
      <c r="H1172" s="19">
        <f>Fact_Defect_Split!G197</f>
        <v>0</v>
      </c>
    </row>
    <row r="1173" spans="1:8" x14ac:dyDescent="0.25">
      <c r="A1173" s="18" t="s">
        <v>2154</v>
      </c>
      <c r="B1173" s="4">
        <f>Fact_Defect_Split!B197</f>
        <v>20260702</v>
      </c>
      <c r="C1173" s="4">
        <f>Fact_Defect_Split!C197</f>
        <v>3</v>
      </c>
      <c r="D1173" s="4" t="str">
        <f>Fact_Defect_Split!D197</f>
        <v>M7</v>
      </c>
      <c r="E1173" s="4" t="str">
        <f>Fact_Defect_Split!E197</f>
        <v>B-PM</v>
      </c>
      <c r="F1173" s="4" t="str">
        <f>Fact_Defect_Split!F197</f>
        <v>C</v>
      </c>
      <c r="G1173" s="4" t="s">
        <v>500</v>
      </c>
      <c r="H1173" s="19">
        <f>Fact_Defect_Split!H197</f>
        <v>0</v>
      </c>
    </row>
    <row r="1174" spans="1:8" x14ac:dyDescent="0.25">
      <c r="A1174" s="18" t="s">
        <v>2155</v>
      </c>
      <c r="B1174" s="4">
        <f>Fact_Defect_Split!B197</f>
        <v>20260702</v>
      </c>
      <c r="C1174" s="4">
        <f>Fact_Defect_Split!C197</f>
        <v>3</v>
      </c>
      <c r="D1174" s="4" t="str">
        <f>Fact_Defect_Split!D197</f>
        <v>M7</v>
      </c>
      <c r="E1174" s="4" t="str">
        <f>Fact_Defect_Split!E197</f>
        <v>B-PM</v>
      </c>
      <c r="F1174" s="4" t="str">
        <f>Fact_Defect_Split!F197</f>
        <v>C</v>
      </c>
      <c r="G1174" s="4" t="s">
        <v>517</v>
      </c>
      <c r="H1174" s="19">
        <f>Fact_Defect_Split!I197</f>
        <v>0</v>
      </c>
    </row>
    <row r="1175" spans="1:8" x14ac:dyDescent="0.25">
      <c r="A1175" s="18" t="s">
        <v>2156</v>
      </c>
      <c r="B1175" s="4">
        <f>Fact_Defect_Split!B197</f>
        <v>20260702</v>
      </c>
      <c r="C1175" s="4">
        <f>Fact_Defect_Split!C197</f>
        <v>3</v>
      </c>
      <c r="D1175" s="4" t="str">
        <f>Fact_Defect_Split!D197</f>
        <v>M7</v>
      </c>
      <c r="E1175" s="4" t="str">
        <f>Fact_Defect_Split!E197</f>
        <v>B-PM</v>
      </c>
      <c r="F1175" s="4" t="str">
        <f>Fact_Defect_Split!F197</f>
        <v>C</v>
      </c>
      <c r="G1175" s="4" t="s">
        <v>503</v>
      </c>
      <c r="H1175" s="19">
        <f>Fact_Defect_Split!J197</f>
        <v>1</v>
      </c>
    </row>
    <row r="1176" spans="1:8" x14ac:dyDescent="0.25">
      <c r="A1176" s="18" t="s">
        <v>2157</v>
      </c>
      <c r="B1176" s="4">
        <f>Fact_Defect_Split!B197</f>
        <v>20260702</v>
      </c>
      <c r="C1176" s="4">
        <f>Fact_Defect_Split!C197</f>
        <v>3</v>
      </c>
      <c r="D1176" s="4" t="str">
        <f>Fact_Defect_Split!D197</f>
        <v>M7</v>
      </c>
      <c r="E1176" s="4" t="str">
        <f>Fact_Defect_Split!E197</f>
        <v>B-PM</v>
      </c>
      <c r="F1176" s="4" t="str">
        <f>Fact_Defect_Split!F197</f>
        <v>C</v>
      </c>
      <c r="G1176" s="4" t="s">
        <v>509</v>
      </c>
      <c r="H1176" s="19">
        <f>Fact_Defect_Split!K197</f>
        <v>0</v>
      </c>
    </row>
    <row r="1177" spans="1:8" x14ac:dyDescent="0.25">
      <c r="A1177" s="18" t="s">
        <v>2158</v>
      </c>
      <c r="B1177" s="4">
        <f>Fact_Defect_Split!B197</f>
        <v>20260702</v>
      </c>
      <c r="C1177" s="4">
        <f>Fact_Defect_Split!C197</f>
        <v>3</v>
      </c>
      <c r="D1177" s="4" t="str">
        <f>Fact_Defect_Split!D197</f>
        <v>M7</v>
      </c>
      <c r="E1177" s="4" t="str">
        <f>Fact_Defect_Split!E197</f>
        <v>B-PM</v>
      </c>
      <c r="F1177" s="4" t="str">
        <f>Fact_Defect_Split!F197</f>
        <v>C</v>
      </c>
      <c r="G1177" s="4" t="s">
        <v>520</v>
      </c>
      <c r="H1177" s="19">
        <f>Fact_Defect_Split!L197</f>
        <v>1</v>
      </c>
    </row>
    <row r="1178" spans="1:8" x14ac:dyDescent="0.25">
      <c r="A1178" s="18" t="s">
        <v>2159</v>
      </c>
      <c r="B1178" s="4">
        <f>Fact_Defect_Split!B198</f>
        <v>20260702</v>
      </c>
      <c r="C1178" s="4">
        <f>Fact_Defect_Split!C198</f>
        <v>4</v>
      </c>
      <c r="D1178" s="4" t="str">
        <f>Fact_Defect_Split!D198</f>
        <v>M1</v>
      </c>
      <c r="E1178" s="4" t="str">
        <f>Fact_Defect_Split!E198</f>
        <v>B-PM</v>
      </c>
      <c r="F1178" s="4" t="str">
        <f>Fact_Defect_Split!F198</f>
        <v>B</v>
      </c>
      <c r="G1178" s="4" t="s">
        <v>498</v>
      </c>
      <c r="H1178" s="19">
        <f>Fact_Defect_Split!G198</f>
        <v>0</v>
      </c>
    </row>
    <row r="1179" spans="1:8" x14ac:dyDescent="0.25">
      <c r="A1179" s="18" t="s">
        <v>2160</v>
      </c>
      <c r="B1179" s="4">
        <f>Fact_Defect_Split!B198</f>
        <v>20260702</v>
      </c>
      <c r="C1179" s="4">
        <f>Fact_Defect_Split!C198</f>
        <v>4</v>
      </c>
      <c r="D1179" s="4" t="str">
        <f>Fact_Defect_Split!D198</f>
        <v>M1</v>
      </c>
      <c r="E1179" s="4" t="str">
        <f>Fact_Defect_Split!E198</f>
        <v>B-PM</v>
      </c>
      <c r="F1179" s="4" t="str">
        <f>Fact_Defect_Split!F198</f>
        <v>B</v>
      </c>
      <c r="G1179" s="4" t="s">
        <v>500</v>
      </c>
      <c r="H1179" s="19">
        <f>Fact_Defect_Split!H198</f>
        <v>0</v>
      </c>
    </row>
    <row r="1180" spans="1:8" x14ac:dyDescent="0.25">
      <c r="A1180" s="18" t="s">
        <v>2161</v>
      </c>
      <c r="B1180" s="4">
        <f>Fact_Defect_Split!B198</f>
        <v>20260702</v>
      </c>
      <c r="C1180" s="4">
        <f>Fact_Defect_Split!C198</f>
        <v>4</v>
      </c>
      <c r="D1180" s="4" t="str">
        <f>Fact_Defect_Split!D198</f>
        <v>M1</v>
      </c>
      <c r="E1180" s="4" t="str">
        <f>Fact_Defect_Split!E198</f>
        <v>B-PM</v>
      </c>
      <c r="F1180" s="4" t="str">
        <f>Fact_Defect_Split!F198</f>
        <v>B</v>
      </c>
      <c r="G1180" s="4" t="s">
        <v>517</v>
      </c>
      <c r="H1180" s="19">
        <f>Fact_Defect_Split!I198</f>
        <v>0</v>
      </c>
    </row>
    <row r="1181" spans="1:8" x14ac:dyDescent="0.25">
      <c r="A1181" s="18" t="s">
        <v>2162</v>
      </c>
      <c r="B1181" s="4">
        <f>Fact_Defect_Split!B198</f>
        <v>20260702</v>
      </c>
      <c r="C1181" s="4">
        <f>Fact_Defect_Split!C198</f>
        <v>4</v>
      </c>
      <c r="D1181" s="4" t="str">
        <f>Fact_Defect_Split!D198</f>
        <v>M1</v>
      </c>
      <c r="E1181" s="4" t="str">
        <f>Fact_Defect_Split!E198</f>
        <v>B-PM</v>
      </c>
      <c r="F1181" s="4" t="str">
        <f>Fact_Defect_Split!F198</f>
        <v>B</v>
      </c>
      <c r="G1181" s="4" t="s">
        <v>503</v>
      </c>
      <c r="H1181" s="19">
        <f>Fact_Defect_Split!J198</f>
        <v>0</v>
      </c>
    </row>
    <row r="1182" spans="1:8" x14ac:dyDescent="0.25">
      <c r="A1182" s="18" t="s">
        <v>2163</v>
      </c>
      <c r="B1182" s="4">
        <f>Fact_Defect_Split!B198</f>
        <v>20260702</v>
      </c>
      <c r="C1182" s="4">
        <f>Fact_Defect_Split!C198</f>
        <v>4</v>
      </c>
      <c r="D1182" s="4" t="str">
        <f>Fact_Defect_Split!D198</f>
        <v>M1</v>
      </c>
      <c r="E1182" s="4" t="str">
        <f>Fact_Defect_Split!E198</f>
        <v>B-PM</v>
      </c>
      <c r="F1182" s="4" t="str">
        <f>Fact_Defect_Split!F198</f>
        <v>B</v>
      </c>
      <c r="G1182" s="4" t="s">
        <v>509</v>
      </c>
      <c r="H1182" s="19">
        <f>Fact_Defect_Split!K198</f>
        <v>1</v>
      </c>
    </row>
    <row r="1183" spans="1:8" x14ac:dyDescent="0.25">
      <c r="A1183" s="18" t="s">
        <v>2164</v>
      </c>
      <c r="B1183" s="4">
        <f>Fact_Defect_Split!B198</f>
        <v>20260702</v>
      </c>
      <c r="C1183" s="4">
        <f>Fact_Defect_Split!C198</f>
        <v>4</v>
      </c>
      <c r="D1183" s="4" t="str">
        <f>Fact_Defect_Split!D198</f>
        <v>M1</v>
      </c>
      <c r="E1183" s="4" t="str">
        <f>Fact_Defect_Split!E198</f>
        <v>B-PM</v>
      </c>
      <c r="F1183" s="4" t="str">
        <f>Fact_Defect_Split!F198</f>
        <v>B</v>
      </c>
      <c r="G1183" s="4" t="s">
        <v>520</v>
      </c>
      <c r="H1183" s="19">
        <f>Fact_Defect_Split!L198</f>
        <v>0</v>
      </c>
    </row>
    <row r="1184" spans="1:8" x14ac:dyDescent="0.25">
      <c r="A1184" s="18" t="s">
        <v>2165</v>
      </c>
      <c r="B1184" s="4">
        <f>Fact_Defect_Split!B199</f>
        <v>20260702</v>
      </c>
      <c r="C1184" s="4">
        <f>Fact_Defect_Split!C199</f>
        <v>4</v>
      </c>
      <c r="D1184" s="4" t="str">
        <f>Fact_Defect_Split!D199</f>
        <v>M2</v>
      </c>
      <c r="E1184" s="4" t="str">
        <f>Fact_Defect_Split!E199</f>
        <v>B-PM</v>
      </c>
      <c r="F1184" s="4" t="str">
        <f>Fact_Defect_Split!F199</f>
        <v>A</v>
      </c>
      <c r="G1184" s="4" t="s">
        <v>498</v>
      </c>
      <c r="H1184" s="19">
        <f>Fact_Defect_Split!G199</f>
        <v>0</v>
      </c>
    </row>
    <row r="1185" spans="1:8" x14ac:dyDescent="0.25">
      <c r="A1185" s="18" t="s">
        <v>2166</v>
      </c>
      <c r="B1185" s="4">
        <f>Fact_Defect_Split!B199</f>
        <v>20260702</v>
      </c>
      <c r="C1185" s="4">
        <f>Fact_Defect_Split!C199</f>
        <v>4</v>
      </c>
      <c r="D1185" s="4" t="str">
        <f>Fact_Defect_Split!D199</f>
        <v>M2</v>
      </c>
      <c r="E1185" s="4" t="str">
        <f>Fact_Defect_Split!E199</f>
        <v>B-PM</v>
      </c>
      <c r="F1185" s="4" t="str">
        <f>Fact_Defect_Split!F199</f>
        <v>A</v>
      </c>
      <c r="G1185" s="4" t="s">
        <v>500</v>
      </c>
      <c r="H1185" s="19">
        <f>Fact_Defect_Split!H199</f>
        <v>0</v>
      </c>
    </row>
    <row r="1186" spans="1:8" x14ac:dyDescent="0.25">
      <c r="A1186" s="18" t="s">
        <v>2167</v>
      </c>
      <c r="B1186" s="4">
        <f>Fact_Defect_Split!B199</f>
        <v>20260702</v>
      </c>
      <c r="C1186" s="4">
        <f>Fact_Defect_Split!C199</f>
        <v>4</v>
      </c>
      <c r="D1186" s="4" t="str">
        <f>Fact_Defect_Split!D199</f>
        <v>M2</v>
      </c>
      <c r="E1186" s="4" t="str">
        <f>Fact_Defect_Split!E199</f>
        <v>B-PM</v>
      </c>
      <c r="F1186" s="4" t="str">
        <f>Fact_Defect_Split!F199</f>
        <v>A</v>
      </c>
      <c r="G1186" s="4" t="s">
        <v>517</v>
      </c>
      <c r="H1186" s="19">
        <f>Fact_Defect_Split!I199</f>
        <v>0</v>
      </c>
    </row>
    <row r="1187" spans="1:8" x14ac:dyDescent="0.25">
      <c r="A1187" s="18" t="s">
        <v>2168</v>
      </c>
      <c r="B1187" s="4">
        <f>Fact_Defect_Split!B199</f>
        <v>20260702</v>
      </c>
      <c r="C1187" s="4">
        <f>Fact_Defect_Split!C199</f>
        <v>4</v>
      </c>
      <c r="D1187" s="4" t="str">
        <f>Fact_Defect_Split!D199</f>
        <v>M2</v>
      </c>
      <c r="E1187" s="4" t="str">
        <f>Fact_Defect_Split!E199</f>
        <v>B-PM</v>
      </c>
      <c r="F1187" s="4" t="str">
        <f>Fact_Defect_Split!F199</f>
        <v>A</v>
      </c>
      <c r="G1187" s="4" t="s">
        <v>503</v>
      </c>
      <c r="H1187" s="19">
        <f>Fact_Defect_Split!J199</f>
        <v>1</v>
      </c>
    </row>
    <row r="1188" spans="1:8" x14ac:dyDescent="0.25">
      <c r="A1188" s="18" t="s">
        <v>2169</v>
      </c>
      <c r="B1188" s="4">
        <f>Fact_Defect_Split!B199</f>
        <v>20260702</v>
      </c>
      <c r="C1188" s="4">
        <f>Fact_Defect_Split!C199</f>
        <v>4</v>
      </c>
      <c r="D1188" s="4" t="str">
        <f>Fact_Defect_Split!D199</f>
        <v>M2</v>
      </c>
      <c r="E1188" s="4" t="str">
        <f>Fact_Defect_Split!E199</f>
        <v>B-PM</v>
      </c>
      <c r="F1188" s="4" t="str">
        <f>Fact_Defect_Split!F199</f>
        <v>A</v>
      </c>
      <c r="G1188" s="4" t="s">
        <v>509</v>
      </c>
      <c r="H1188" s="19">
        <f>Fact_Defect_Split!K199</f>
        <v>1</v>
      </c>
    </row>
    <row r="1189" spans="1:8" x14ac:dyDescent="0.25">
      <c r="A1189" s="18" t="s">
        <v>2170</v>
      </c>
      <c r="B1189" s="4">
        <f>Fact_Defect_Split!B199</f>
        <v>20260702</v>
      </c>
      <c r="C1189" s="4">
        <f>Fact_Defect_Split!C199</f>
        <v>4</v>
      </c>
      <c r="D1189" s="4" t="str">
        <f>Fact_Defect_Split!D199</f>
        <v>M2</v>
      </c>
      <c r="E1189" s="4" t="str">
        <f>Fact_Defect_Split!E199</f>
        <v>B-PM</v>
      </c>
      <c r="F1189" s="4" t="str">
        <f>Fact_Defect_Split!F199</f>
        <v>A</v>
      </c>
      <c r="G1189" s="4" t="s">
        <v>520</v>
      </c>
      <c r="H1189" s="19">
        <f>Fact_Defect_Split!L199</f>
        <v>1</v>
      </c>
    </row>
    <row r="1190" spans="1:8" x14ac:dyDescent="0.25">
      <c r="A1190" s="18" t="s">
        <v>2171</v>
      </c>
      <c r="B1190" s="4">
        <f>Fact_Defect_Split!B200</f>
        <v>20260702</v>
      </c>
      <c r="C1190" s="4">
        <f>Fact_Defect_Split!C200</f>
        <v>4</v>
      </c>
      <c r="D1190" s="4" t="str">
        <f>Fact_Defect_Split!D200</f>
        <v>M3</v>
      </c>
      <c r="E1190" s="4" t="str">
        <f>Fact_Defect_Split!E200</f>
        <v>B-PM</v>
      </c>
      <c r="F1190" s="4" t="str">
        <f>Fact_Defect_Split!F200</f>
        <v>A</v>
      </c>
      <c r="G1190" s="4" t="s">
        <v>498</v>
      </c>
      <c r="H1190" s="19">
        <f>Fact_Defect_Split!G200</f>
        <v>0</v>
      </c>
    </row>
    <row r="1191" spans="1:8" x14ac:dyDescent="0.25">
      <c r="A1191" s="18" t="s">
        <v>2172</v>
      </c>
      <c r="B1191" s="4">
        <f>Fact_Defect_Split!B200</f>
        <v>20260702</v>
      </c>
      <c r="C1191" s="4">
        <f>Fact_Defect_Split!C200</f>
        <v>4</v>
      </c>
      <c r="D1191" s="4" t="str">
        <f>Fact_Defect_Split!D200</f>
        <v>M3</v>
      </c>
      <c r="E1191" s="4" t="str">
        <f>Fact_Defect_Split!E200</f>
        <v>B-PM</v>
      </c>
      <c r="F1191" s="4" t="str">
        <f>Fact_Defect_Split!F200</f>
        <v>A</v>
      </c>
      <c r="G1191" s="4" t="s">
        <v>500</v>
      </c>
      <c r="H1191" s="19">
        <f>Fact_Defect_Split!H200</f>
        <v>0</v>
      </c>
    </row>
    <row r="1192" spans="1:8" x14ac:dyDescent="0.25">
      <c r="A1192" s="18" t="s">
        <v>2173</v>
      </c>
      <c r="B1192" s="4">
        <f>Fact_Defect_Split!B200</f>
        <v>20260702</v>
      </c>
      <c r="C1192" s="4">
        <f>Fact_Defect_Split!C200</f>
        <v>4</v>
      </c>
      <c r="D1192" s="4" t="str">
        <f>Fact_Defect_Split!D200</f>
        <v>M3</v>
      </c>
      <c r="E1192" s="4" t="str">
        <f>Fact_Defect_Split!E200</f>
        <v>B-PM</v>
      </c>
      <c r="F1192" s="4" t="str">
        <f>Fact_Defect_Split!F200</f>
        <v>A</v>
      </c>
      <c r="G1192" s="4" t="s">
        <v>517</v>
      </c>
      <c r="H1192" s="19">
        <f>Fact_Defect_Split!I200</f>
        <v>0</v>
      </c>
    </row>
    <row r="1193" spans="1:8" x14ac:dyDescent="0.25">
      <c r="A1193" s="18" t="s">
        <v>2174</v>
      </c>
      <c r="B1193" s="4">
        <f>Fact_Defect_Split!B200</f>
        <v>20260702</v>
      </c>
      <c r="C1193" s="4">
        <f>Fact_Defect_Split!C200</f>
        <v>4</v>
      </c>
      <c r="D1193" s="4" t="str">
        <f>Fact_Defect_Split!D200</f>
        <v>M3</v>
      </c>
      <c r="E1193" s="4" t="str">
        <f>Fact_Defect_Split!E200</f>
        <v>B-PM</v>
      </c>
      <c r="F1193" s="4" t="str">
        <f>Fact_Defect_Split!F200</f>
        <v>A</v>
      </c>
      <c r="G1193" s="4" t="s">
        <v>503</v>
      </c>
      <c r="H1193" s="19">
        <f>Fact_Defect_Split!J200</f>
        <v>0</v>
      </c>
    </row>
    <row r="1194" spans="1:8" x14ac:dyDescent="0.25">
      <c r="A1194" s="18" t="s">
        <v>2175</v>
      </c>
      <c r="B1194" s="4">
        <f>Fact_Defect_Split!B200</f>
        <v>20260702</v>
      </c>
      <c r="C1194" s="4">
        <f>Fact_Defect_Split!C200</f>
        <v>4</v>
      </c>
      <c r="D1194" s="4" t="str">
        <f>Fact_Defect_Split!D200</f>
        <v>M3</v>
      </c>
      <c r="E1194" s="4" t="str">
        <f>Fact_Defect_Split!E200</f>
        <v>B-PM</v>
      </c>
      <c r="F1194" s="4" t="str">
        <f>Fact_Defect_Split!F200</f>
        <v>A</v>
      </c>
      <c r="G1194" s="4" t="s">
        <v>509</v>
      </c>
      <c r="H1194" s="19">
        <f>Fact_Defect_Split!K200</f>
        <v>1</v>
      </c>
    </row>
    <row r="1195" spans="1:8" x14ac:dyDescent="0.25">
      <c r="A1195" s="18" t="s">
        <v>2176</v>
      </c>
      <c r="B1195" s="4">
        <f>Fact_Defect_Split!B200</f>
        <v>20260702</v>
      </c>
      <c r="C1195" s="4">
        <f>Fact_Defect_Split!C200</f>
        <v>4</v>
      </c>
      <c r="D1195" s="4" t="str">
        <f>Fact_Defect_Split!D200</f>
        <v>M3</v>
      </c>
      <c r="E1195" s="4" t="str">
        <f>Fact_Defect_Split!E200</f>
        <v>B-PM</v>
      </c>
      <c r="F1195" s="4" t="str">
        <f>Fact_Defect_Split!F200</f>
        <v>A</v>
      </c>
      <c r="G1195" s="4" t="s">
        <v>520</v>
      </c>
      <c r="H1195" s="19">
        <f>Fact_Defect_Split!L200</f>
        <v>0</v>
      </c>
    </row>
    <row r="1196" spans="1:8" x14ac:dyDescent="0.25">
      <c r="A1196" s="18" t="s">
        <v>2177</v>
      </c>
      <c r="B1196" s="4">
        <f>Fact_Defect_Split!B201</f>
        <v>20260702</v>
      </c>
      <c r="C1196" s="4">
        <f>Fact_Defect_Split!C201</f>
        <v>4</v>
      </c>
      <c r="D1196" s="4" t="str">
        <f>Fact_Defect_Split!D201</f>
        <v>M4</v>
      </c>
      <c r="E1196" s="4" t="str">
        <f>Fact_Defect_Split!E201</f>
        <v>B-PM</v>
      </c>
      <c r="F1196" s="4" t="str">
        <f>Fact_Defect_Split!F201</f>
        <v>C</v>
      </c>
      <c r="G1196" s="4" t="s">
        <v>498</v>
      </c>
      <c r="H1196" s="19">
        <f>Fact_Defect_Split!G201</f>
        <v>0</v>
      </c>
    </row>
    <row r="1197" spans="1:8" x14ac:dyDescent="0.25">
      <c r="A1197" s="18" t="s">
        <v>2178</v>
      </c>
      <c r="B1197" s="4">
        <f>Fact_Defect_Split!B201</f>
        <v>20260702</v>
      </c>
      <c r="C1197" s="4">
        <f>Fact_Defect_Split!C201</f>
        <v>4</v>
      </c>
      <c r="D1197" s="4" t="str">
        <f>Fact_Defect_Split!D201</f>
        <v>M4</v>
      </c>
      <c r="E1197" s="4" t="str">
        <f>Fact_Defect_Split!E201</f>
        <v>B-PM</v>
      </c>
      <c r="F1197" s="4" t="str">
        <f>Fact_Defect_Split!F201</f>
        <v>C</v>
      </c>
      <c r="G1197" s="4" t="s">
        <v>500</v>
      </c>
      <c r="H1197" s="19">
        <f>Fact_Defect_Split!H201</f>
        <v>0</v>
      </c>
    </row>
    <row r="1198" spans="1:8" x14ac:dyDescent="0.25">
      <c r="A1198" s="18" t="s">
        <v>2179</v>
      </c>
      <c r="B1198" s="4">
        <f>Fact_Defect_Split!B201</f>
        <v>20260702</v>
      </c>
      <c r="C1198" s="4">
        <f>Fact_Defect_Split!C201</f>
        <v>4</v>
      </c>
      <c r="D1198" s="4" t="str">
        <f>Fact_Defect_Split!D201</f>
        <v>M4</v>
      </c>
      <c r="E1198" s="4" t="str">
        <f>Fact_Defect_Split!E201</f>
        <v>B-PM</v>
      </c>
      <c r="F1198" s="4" t="str">
        <f>Fact_Defect_Split!F201</f>
        <v>C</v>
      </c>
      <c r="G1198" s="4" t="s">
        <v>517</v>
      </c>
      <c r="H1198" s="19">
        <f>Fact_Defect_Split!I201</f>
        <v>1</v>
      </c>
    </row>
    <row r="1199" spans="1:8" x14ac:dyDescent="0.25">
      <c r="A1199" s="18" t="s">
        <v>2180</v>
      </c>
      <c r="B1199" s="4">
        <f>Fact_Defect_Split!B201</f>
        <v>20260702</v>
      </c>
      <c r="C1199" s="4">
        <f>Fact_Defect_Split!C201</f>
        <v>4</v>
      </c>
      <c r="D1199" s="4" t="str">
        <f>Fact_Defect_Split!D201</f>
        <v>M4</v>
      </c>
      <c r="E1199" s="4" t="str">
        <f>Fact_Defect_Split!E201</f>
        <v>B-PM</v>
      </c>
      <c r="F1199" s="4" t="str">
        <f>Fact_Defect_Split!F201</f>
        <v>C</v>
      </c>
      <c r="G1199" s="4" t="s">
        <v>503</v>
      </c>
      <c r="H1199" s="19">
        <f>Fact_Defect_Split!J201</f>
        <v>0</v>
      </c>
    </row>
    <row r="1200" spans="1:8" x14ac:dyDescent="0.25">
      <c r="A1200" s="18" t="s">
        <v>2181</v>
      </c>
      <c r="B1200" s="4">
        <f>Fact_Defect_Split!B201</f>
        <v>20260702</v>
      </c>
      <c r="C1200" s="4">
        <f>Fact_Defect_Split!C201</f>
        <v>4</v>
      </c>
      <c r="D1200" s="4" t="str">
        <f>Fact_Defect_Split!D201</f>
        <v>M4</v>
      </c>
      <c r="E1200" s="4" t="str">
        <f>Fact_Defect_Split!E201</f>
        <v>B-PM</v>
      </c>
      <c r="F1200" s="4" t="str">
        <f>Fact_Defect_Split!F201</f>
        <v>C</v>
      </c>
      <c r="G1200" s="4" t="s">
        <v>509</v>
      </c>
      <c r="H1200" s="19">
        <f>Fact_Defect_Split!K201</f>
        <v>1</v>
      </c>
    </row>
    <row r="1201" spans="1:8" x14ac:dyDescent="0.25">
      <c r="A1201" s="18" t="s">
        <v>2182</v>
      </c>
      <c r="B1201" s="4">
        <f>Fact_Defect_Split!B201</f>
        <v>20260702</v>
      </c>
      <c r="C1201" s="4">
        <f>Fact_Defect_Split!C201</f>
        <v>4</v>
      </c>
      <c r="D1201" s="4" t="str">
        <f>Fact_Defect_Split!D201</f>
        <v>M4</v>
      </c>
      <c r="E1201" s="4" t="str">
        <f>Fact_Defect_Split!E201</f>
        <v>B-PM</v>
      </c>
      <c r="F1201" s="4" t="str">
        <f>Fact_Defect_Split!F201</f>
        <v>C</v>
      </c>
      <c r="G1201" s="4" t="s">
        <v>520</v>
      </c>
      <c r="H1201" s="19">
        <f>Fact_Defect_Split!L201</f>
        <v>1</v>
      </c>
    </row>
    <row r="1202" spans="1:8" x14ac:dyDescent="0.25">
      <c r="A1202" s="18" t="s">
        <v>2183</v>
      </c>
      <c r="B1202" s="4">
        <f>Fact_Defect_Split!B202</f>
        <v>20260702</v>
      </c>
      <c r="C1202" s="4">
        <f>Fact_Defect_Split!C202</f>
        <v>4</v>
      </c>
      <c r="D1202" s="4" t="str">
        <f>Fact_Defect_Split!D202</f>
        <v>M5</v>
      </c>
      <c r="E1202" s="4" t="str">
        <f>Fact_Defect_Split!E202</f>
        <v>B-PM</v>
      </c>
      <c r="F1202" s="4" t="str">
        <f>Fact_Defect_Split!F202</f>
        <v>A</v>
      </c>
      <c r="G1202" s="4" t="s">
        <v>498</v>
      </c>
      <c r="H1202" s="19">
        <f>Fact_Defect_Split!G202</f>
        <v>0</v>
      </c>
    </row>
    <row r="1203" spans="1:8" x14ac:dyDescent="0.25">
      <c r="A1203" s="18" t="s">
        <v>2184</v>
      </c>
      <c r="B1203" s="4">
        <f>Fact_Defect_Split!B202</f>
        <v>20260702</v>
      </c>
      <c r="C1203" s="4">
        <f>Fact_Defect_Split!C202</f>
        <v>4</v>
      </c>
      <c r="D1203" s="4" t="str">
        <f>Fact_Defect_Split!D202</f>
        <v>M5</v>
      </c>
      <c r="E1203" s="4" t="str">
        <f>Fact_Defect_Split!E202</f>
        <v>B-PM</v>
      </c>
      <c r="F1203" s="4" t="str">
        <f>Fact_Defect_Split!F202</f>
        <v>A</v>
      </c>
      <c r="G1203" s="4" t="s">
        <v>500</v>
      </c>
      <c r="H1203" s="19">
        <f>Fact_Defect_Split!H202</f>
        <v>0</v>
      </c>
    </row>
    <row r="1204" spans="1:8" x14ac:dyDescent="0.25">
      <c r="A1204" s="18" t="s">
        <v>2185</v>
      </c>
      <c r="B1204" s="4">
        <f>Fact_Defect_Split!B202</f>
        <v>20260702</v>
      </c>
      <c r="C1204" s="4">
        <f>Fact_Defect_Split!C202</f>
        <v>4</v>
      </c>
      <c r="D1204" s="4" t="str">
        <f>Fact_Defect_Split!D202</f>
        <v>M5</v>
      </c>
      <c r="E1204" s="4" t="str">
        <f>Fact_Defect_Split!E202</f>
        <v>B-PM</v>
      </c>
      <c r="F1204" s="4" t="str">
        <f>Fact_Defect_Split!F202</f>
        <v>A</v>
      </c>
      <c r="G1204" s="4" t="s">
        <v>517</v>
      </c>
      <c r="H1204" s="19">
        <f>Fact_Defect_Split!I202</f>
        <v>0</v>
      </c>
    </row>
    <row r="1205" spans="1:8" x14ac:dyDescent="0.25">
      <c r="A1205" s="18" t="s">
        <v>2186</v>
      </c>
      <c r="B1205" s="4">
        <f>Fact_Defect_Split!B202</f>
        <v>20260702</v>
      </c>
      <c r="C1205" s="4">
        <f>Fact_Defect_Split!C202</f>
        <v>4</v>
      </c>
      <c r="D1205" s="4" t="str">
        <f>Fact_Defect_Split!D202</f>
        <v>M5</v>
      </c>
      <c r="E1205" s="4" t="str">
        <f>Fact_Defect_Split!E202</f>
        <v>B-PM</v>
      </c>
      <c r="F1205" s="4" t="str">
        <f>Fact_Defect_Split!F202</f>
        <v>A</v>
      </c>
      <c r="G1205" s="4" t="s">
        <v>503</v>
      </c>
      <c r="H1205" s="19">
        <f>Fact_Defect_Split!J202</f>
        <v>0</v>
      </c>
    </row>
    <row r="1206" spans="1:8" x14ac:dyDescent="0.25">
      <c r="A1206" s="18" t="s">
        <v>2187</v>
      </c>
      <c r="B1206" s="4">
        <f>Fact_Defect_Split!B202</f>
        <v>20260702</v>
      </c>
      <c r="C1206" s="4">
        <f>Fact_Defect_Split!C202</f>
        <v>4</v>
      </c>
      <c r="D1206" s="4" t="str">
        <f>Fact_Defect_Split!D202</f>
        <v>M5</v>
      </c>
      <c r="E1206" s="4" t="str">
        <f>Fact_Defect_Split!E202</f>
        <v>B-PM</v>
      </c>
      <c r="F1206" s="4" t="str">
        <f>Fact_Defect_Split!F202</f>
        <v>A</v>
      </c>
      <c r="G1206" s="4" t="s">
        <v>509</v>
      </c>
      <c r="H1206" s="19">
        <f>Fact_Defect_Split!K202</f>
        <v>0</v>
      </c>
    </row>
    <row r="1207" spans="1:8" x14ac:dyDescent="0.25">
      <c r="A1207" s="18" t="s">
        <v>2188</v>
      </c>
      <c r="B1207" s="4">
        <f>Fact_Defect_Split!B202</f>
        <v>20260702</v>
      </c>
      <c r="C1207" s="4">
        <f>Fact_Defect_Split!C202</f>
        <v>4</v>
      </c>
      <c r="D1207" s="4" t="str">
        <f>Fact_Defect_Split!D202</f>
        <v>M5</v>
      </c>
      <c r="E1207" s="4" t="str">
        <f>Fact_Defect_Split!E202</f>
        <v>B-PM</v>
      </c>
      <c r="F1207" s="4" t="str">
        <f>Fact_Defect_Split!F202</f>
        <v>A</v>
      </c>
      <c r="G1207" s="4" t="s">
        <v>520</v>
      </c>
      <c r="H1207" s="19">
        <f>Fact_Defect_Split!L202</f>
        <v>1</v>
      </c>
    </row>
    <row r="1208" spans="1:8" x14ac:dyDescent="0.25">
      <c r="A1208" s="18" t="s">
        <v>2189</v>
      </c>
      <c r="B1208" s="4">
        <f>Fact_Defect_Split!B203</f>
        <v>20260702</v>
      </c>
      <c r="C1208" s="4">
        <f>Fact_Defect_Split!C203</f>
        <v>4</v>
      </c>
      <c r="D1208" s="4" t="str">
        <f>Fact_Defect_Split!D203</f>
        <v>M6</v>
      </c>
      <c r="E1208" s="4" t="str">
        <f>Fact_Defect_Split!E203</f>
        <v>B-PM</v>
      </c>
      <c r="F1208" s="4" t="str">
        <f>Fact_Defect_Split!F203</f>
        <v>A</v>
      </c>
      <c r="G1208" s="4" t="s">
        <v>498</v>
      </c>
      <c r="H1208" s="19">
        <f>Fact_Defect_Split!G203</f>
        <v>0</v>
      </c>
    </row>
    <row r="1209" spans="1:8" x14ac:dyDescent="0.25">
      <c r="A1209" s="18" t="s">
        <v>2190</v>
      </c>
      <c r="B1209" s="4">
        <f>Fact_Defect_Split!B203</f>
        <v>20260702</v>
      </c>
      <c r="C1209" s="4">
        <f>Fact_Defect_Split!C203</f>
        <v>4</v>
      </c>
      <c r="D1209" s="4" t="str">
        <f>Fact_Defect_Split!D203</f>
        <v>M6</v>
      </c>
      <c r="E1209" s="4" t="str">
        <f>Fact_Defect_Split!E203</f>
        <v>B-PM</v>
      </c>
      <c r="F1209" s="4" t="str">
        <f>Fact_Defect_Split!F203</f>
        <v>A</v>
      </c>
      <c r="G1209" s="4" t="s">
        <v>500</v>
      </c>
      <c r="H1209" s="19">
        <f>Fact_Defect_Split!H203</f>
        <v>0</v>
      </c>
    </row>
    <row r="1210" spans="1:8" x14ac:dyDescent="0.25">
      <c r="A1210" s="18" t="s">
        <v>2191</v>
      </c>
      <c r="B1210" s="4">
        <f>Fact_Defect_Split!B203</f>
        <v>20260702</v>
      </c>
      <c r="C1210" s="4">
        <f>Fact_Defect_Split!C203</f>
        <v>4</v>
      </c>
      <c r="D1210" s="4" t="str">
        <f>Fact_Defect_Split!D203</f>
        <v>M6</v>
      </c>
      <c r="E1210" s="4" t="str">
        <f>Fact_Defect_Split!E203</f>
        <v>B-PM</v>
      </c>
      <c r="F1210" s="4" t="str">
        <f>Fact_Defect_Split!F203</f>
        <v>A</v>
      </c>
      <c r="G1210" s="4" t="s">
        <v>517</v>
      </c>
      <c r="H1210" s="19">
        <f>Fact_Defect_Split!I203</f>
        <v>0</v>
      </c>
    </row>
    <row r="1211" spans="1:8" x14ac:dyDescent="0.25">
      <c r="A1211" s="18" t="s">
        <v>2192</v>
      </c>
      <c r="B1211" s="4">
        <f>Fact_Defect_Split!B203</f>
        <v>20260702</v>
      </c>
      <c r="C1211" s="4">
        <f>Fact_Defect_Split!C203</f>
        <v>4</v>
      </c>
      <c r="D1211" s="4" t="str">
        <f>Fact_Defect_Split!D203</f>
        <v>M6</v>
      </c>
      <c r="E1211" s="4" t="str">
        <f>Fact_Defect_Split!E203</f>
        <v>B-PM</v>
      </c>
      <c r="F1211" s="4" t="str">
        <f>Fact_Defect_Split!F203</f>
        <v>A</v>
      </c>
      <c r="G1211" s="4" t="s">
        <v>503</v>
      </c>
      <c r="H1211" s="19">
        <f>Fact_Defect_Split!J203</f>
        <v>0</v>
      </c>
    </row>
    <row r="1212" spans="1:8" x14ac:dyDescent="0.25">
      <c r="A1212" s="18" t="s">
        <v>2193</v>
      </c>
      <c r="B1212" s="4">
        <f>Fact_Defect_Split!B203</f>
        <v>20260702</v>
      </c>
      <c r="C1212" s="4">
        <f>Fact_Defect_Split!C203</f>
        <v>4</v>
      </c>
      <c r="D1212" s="4" t="str">
        <f>Fact_Defect_Split!D203</f>
        <v>M6</v>
      </c>
      <c r="E1212" s="4" t="str">
        <f>Fact_Defect_Split!E203</f>
        <v>B-PM</v>
      </c>
      <c r="F1212" s="4" t="str">
        <f>Fact_Defect_Split!F203</f>
        <v>A</v>
      </c>
      <c r="G1212" s="4" t="s">
        <v>509</v>
      </c>
      <c r="H1212" s="19">
        <f>Fact_Defect_Split!K203</f>
        <v>0</v>
      </c>
    </row>
    <row r="1213" spans="1:8" x14ac:dyDescent="0.25">
      <c r="A1213" s="18" t="s">
        <v>2194</v>
      </c>
      <c r="B1213" s="4">
        <f>Fact_Defect_Split!B203</f>
        <v>20260702</v>
      </c>
      <c r="C1213" s="4">
        <f>Fact_Defect_Split!C203</f>
        <v>4</v>
      </c>
      <c r="D1213" s="4" t="str">
        <f>Fact_Defect_Split!D203</f>
        <v>M6</v>
      </c>
      <c r="E1213" s="4" t="str">
        <f>Fact_Defect_Split!E203</f>
        <v>B-PM</v>
      </c>
      <c r="F1213" s="4" t="str">
        <f>Fact_Defect_Split!F203</f>
        <v>A</v>
      </c>
      <c r="G1213" s="4" t="s">
        <v>520</v>
      </c>
      <c r="H1213" s="19">
        <f>Fact_Defect_Split!L203</f>
        <v>0</v>
      </c>
    </row>
    <row r="1214" spans="1:8" x14ac:dyDescent="0.25">
      <c r="A1214" s="18" t="s">
        <v>2195</v>
      </c>
      <c r="B1214" s="4">
        <f>Fact_Defect_Split!B204</f>
        <v>20260702</v>
      </c>
      <c r="C1214" s="4">
        <f>Fact_Defect_Split!C204</f>
        <v>4</v>
      </c>
      <c r="D1214" s="4" t="str">
        <f>Fact_Defect_Split!D204</f>
        <v>M7</v>
      </c>
      <c r="E1214" s="4" t="str">
        <f>Fact_Defect_Split!E204</f>
        <v>B-PM</v>
      </c>
      <c r="F1214" s="4" t="str">
        <f>Fact_Defect_Split!F204</f>
        <v>C</v>
      </c>
      <c r="G1214" s="4" t="s">
        <v>498</v>
      </c>
      <c r="H1214" s="19">
        <f>Fact_Defect_Split!G204</f>
        <v>0</v>
      </c>
    </row>
    <row r="1215" spans="1:8" x14ac:dyDescent="0.25">
      <c r="A1215" s="18" t="s">
        <v>2196</v>
      </c>
      <c r="B1215" s="4">
        <f>Fact_Defect_Split!B204</f>
        <v>20260702</v>
      </c>
      <c r="C1215" s="4">
        <f>Fact_Defect_Split!C204</f>
        <v>4</v>
      </c>
      <c r="D1215" s="4" t="str">
        <f>Fact_Defect_Split!D204</f>
        <v>M7</v>
      </c>
      <c r="E1215" s="4" t="str">
        <f>Fact_Defect_Split!E204</f>
        <v>B-PM</v>
      </c>
      <c r="F1215" s="4" t="str">
        <f>Fact_Defect_Split!F204</f>
        <v>C</v>
      </c>
      <c r="G1215" s="4" t="s">
        <v>500</v>
      </c>
      <c r="H1215" s="19">
        <f>Fact_Defect_Split!H204</f>
        <v>0</v>
      </c>
    </row>
    <row r="1216" spans="1:8" x14ac:dyDescent="0.25">
      <c r="A1216" s="18" t="s">
        <v>2197</v>
      </c>
      <c r="B1216" s="4">
        <f>Fact_Defect_Split!B204</f>
        <v>20260702</v>
      </c>
      <c r="C1216" s="4">
        <f>Fact_Defect_Split!C204</f>
        <v>4</v>
      </c>
      <c r="D1216" s="4" t="str">
        <f>Fact_Defect_Split!D204</f>
        <v>M7</v>
      </c>
      <c r="E1216" s="4" t="str">
        <f>Fact_Defect_Split!E204</f>
        <v>B-PM</v>
      </c>
      <c r="F1216" s="4" t="str">
        <f>Fact_Defect_Split!F204</f>
        <v>C</v>
      </c>
      <c r="G1216" s="4" t="s">
        <v>517</v>
      </c>
      <c r="H1216" s="19">
        <f>Fact_Defect_Split!I204</f>
        <v>0</v>
      </c>
    </row>
    <row r="1217" spans="1:8" x14ac:dyDescent="0.25">
      <c r="A1217" s="18" t="s">
        <v>2198</v>
      </c>
      <c r="B1217" s="4">
        <f>Fact_Defect_Split!B204</f>
        <v>20260702</v>
      </c>
      <c r="C1217" s="4">
        <f>Fact_Defect_Split!C204</f>
        <v>4</v>
      </c>
      <c r="D1217" s="4" t="str">
        <f>Fact_Defect_Split!D204</f>
        <v>M7</v>
      </c>
      <c r="E1217" s="4" t="str">
        <f>Fact_Defect_Split!E204</f>
        <v>B-PM</v>
      </c>
      <c r="F1217" s="4" t="str">
        <f>Fact_Defect_Split!F204</f>
        <v>C</v>
      </c>
      <c r="G1217" s="4" t="s">
        <v>503</v>
      </c>
      <c r="H1217" s="19">
        <f>Fact_Defect_Split!J204</f>
        <v>0</v>
      </c>
    </row>
    <row r="1218" spans="1:8" x14ac:dyDescent="0.25">
      <c r="A1218" s="18" t="s">
        <v>2199</v>
      </c>
      <c r="B1218" s="4">
        <f>Fact_Defect_Split!B204</f>
        <v>20260702</v>
      </c>
      <c r="C1218" s="4">
        <f>Fact_Defect_Split!C204</f>
        <v>4</v>
      </c>
      <c r="D1218" s="4" t="str">
        <f>Fact_Defect_Split!D204</f>
        <v>M7</v>
      </c>
      <c r="E1218" s="4" t="str">
        <f>Fact_Defect_Split!E204</f>
        <v>B-PM</v>
      </c>
      <c r="F1218" s="4" t="str">
        <f>Fact_Defect_Split!F204</f>
        <v>C</v>
      </c>
      <c r="G1218" s="4" t="s">
        <v>509</v>
      </c>
      <c r="H1218" s="19">
        <f>Fact_Defect_Split!K204</f>
        <v>1</v>
      </c>
    </row>
    <row r="1219" spans="1:8" x14ac:dyDescent="0.25">
      <c r="A1219" s="18" t="s">
        <v>2200</v>
      </c>
      <c r="B1219" s="4">
        <f>Fact_Defect_Split!B204</f>
        <v>20260702</v>
      </c>
      <c r="C1219" s="4">
        <f>Fact_Defect_Split!C204</f>
        <v>4</v>
      </c>
      <c r="D1219" s="4" t="str">
        <f>Fact_Defect_Split!D204</f>
        <v>M7</v>
      </c>
      <c r="E1219" s="4" t="str">
        <f>Fact_Defect_Split!E204</f>
        <v>B-PM</v>
      </c>
      <c r="F1219" s="4" t="str">
        <f>Fact_Defect_Split!F204</f>
        <v>C</v>
      </c>
      <c r="G1219" s="4" t="s">
        <v>520</v>
      </c>
      <c r="H1219" s="19">
        <f>Fact_Defect_Split!L204</f>
        <v>0</v>
      </c>
    </row>
    <row r="1220" spans="1:8" x14ac:dyDescent="0.25">
      <c r="A1220" s="18" t="s">
        <v>2201</v>
      </c>
      <c r="B1220" s="4">
        <f>Fact_Defect_Split!B205</f>
        <v>20260702</v>
      </c>
      <c r="C1220" s="4">
        <f>Fact_Defect_Split!C205</f>
        <v>5</v>
      </c>
      <c r="D1220" s="4" t="str">
        <f>Fact_Defect_Split!D205</f>
        <v>M1</v>
      </c>
      <c r="E1220" s="4" t="str">
        <f>Fact_Defect_Split!E205</f>
        <v>B-PM</v>
      </c>
      <c r="F1220" s="4" t="str">
        <f>Fact_Defect_Split!F205</f>
        <v>B</v>
      </c>
      <c r="G1220" s="4" t="s">
        <v>498</v>
      </c>
      <c r="H1220" s="19">
        <f>Fact_Defect_Split!G205</f>
        <v>0</v>
      </c>
    </row>
    <row r="1221" spans="1:8" x14ac:dyDescent="0.25">
      <c r="A1221" s="18" t="s">
        <v>2202</v>
      </c>
      <c r="B1221" s="4">
        <f>Fact_Defect_Split!B205</f>
        <v>20260702</v>
      </c>
      <c r="C1221" s="4">
        <f>Fact_Defect_Split!C205</f>
        <v>5</v>
      </c>
      <c r="D1221" s="4" t="str">
        <f>Fact_Defect_Split!D205</f>
        <v>M1</v>
      </c>
      <c r="E1221" s="4" t="str">
        <f>Fact_Defect_Split!E205</f>
        <v>B-PM</v>
      </c>
      <c r="F1221" s="4" t="str">
        <f>Fact_Defect_Split!F205</f>
        <v>B</v>
      </c>
      <c r="G1221" s="4" t="s">
        <v>500</v>
      </c>
      <c r="H1221" s="19">
        <f>Fact_Defect_Split!H205</f>
        <v>0</v>
      </c>
    </row>
    <row r="1222" spans="1:8" x14ac:dyDescent="0.25">
      <c r="A1222" s="18" t="s">
        <v>2203</v>
      </c>
      <c r="B1222" s="4">
        <f>Fact_Defect_Split!B205</f>
        <v>20260702</v>
      </c>
      <c r="C1222" s="4">
        <f>Fact_Defect_Split!C205</f>
        <v>5</v>
      </c>
      <c r="D1222" s="4" t="str">
        <f>Fact_Defect_Split!D205</f>
        <v>M1</v>
      </c>
      <c r="E1222" s="4" t="str">
        <f>Fact_Defect_Split!E205</f>
        <v>B-PM</v>
      </c>
      <c r="F1222" s="4" t="str">
        <f>Fact_Defect_Split!F205</f>
        <v>B</v>
      </c>
      <c r="G1222" s="4" t="s">
        <v>517</v>
      </c>
      <c r="H1222" s="19">
        <f>Fact_Defect_Split!I205</f>
        <v>0</v>
      </c>
    </row>
    <row r="1223" spans="1:8" x14ac:dyDescent="0.25">
      <c r="A1223" s="18" t="s">
        <v>2204</v>
      </c>
      <c r="B1223" s="4">
        <f>Fact_Defect_Split!B205</f>
        <v>20260702</v>
      </c>
      <c r="C1223" s="4">
        <f>Fact_Defect_Split!C205</f>
        <v>5</v>
      </c>
      <c r="D1223" s="4" t="str">
        <f>Fact_Defect_Split!D205</f>
        <v>M1</v>
      </c>
      <c r="E1223" s="4" t="str">
        <f>Fact_Defect_Split!E205</f>
        <v>B-PM</v>
      </c>
      <c r="F1223" s="4" t="str">
        <f>Fact_Defect_Split!F205</f>
        <v>B</v>
      </c>
      <c r="G1223" s="4" t="s">
        <v>503</v>
      </c>
      <c r="H1223" s="19">
        <f>Fact_Defect_Split!J205</f>
        <v>1</v>
      </c>
    </row>
    <row r="1224" spans="1:8" x14ac:dyDescent="0.25">
      <c r="A1224" s="18" t="s">
        <v>2205</v>
      </c>
      <c r="B1224" s="4">
        <f>Fact_Defect_Split!B205</f>
        <v>20260702</v>
      </c>
      <c r="C1224" s="4">
        <f>Fact_Defect_Split!C205</f>
        <v>5</v>
      </c>
      <c r="D1224" s="4" t="str">
        <f>Fact_Defect_Split!D205</f>
        <v>M1</v>
      </c>
      <c r="E1224" s="4" t="str">
        <f>Fact_Defect_Split!E205</f>
        <v>B-PM</v>
      </c>
      <c r="F1224" s="4" t="str">
        <f>Fact_Defect_Split!F205</f>
        <v>B</v>
      </c>
      <c r="G1224" s="4" t="s">
        <v>509</v>
      </c>
      <c r="H1224" s="19">
        <f>Fact_Defect_Split!K205</f>
        <v>0</v>
      </c>
    </row>
    <row r="1225" spans="1:8" x14ac:dyDescent="0.25">
      <c r="A1225" s="18" t="s">
        <v>2206</v>
      </c>
      <c r="B1225" s="4">
        <f>Fact_Defect_Split!B205</f>
        <v>20260702</v>
      </c>
      <c r="C1225" s="4">
        <f>Fact_Defect_Split!C205</f>
        <v>5</v>
      </c>
      <c r="D1225" s="4" t="str">
        <f>Fact_Defect_Split!D205</f>
        <v>M1</v>
      </c>
      <c r="E1225" s="4" t="str">
        <f>Fact_Defect_Split!E205</f>
        <v>B-PM</v>
      </c>
      <c r="F1225" s="4" t="str">
        <f>Fact_Defect_Split!F205</f>
        <v>B</v>
      </c>
      <c r="G1225" s="4" t="s">
        <v>520</v>
      </c>
      <c r="H1225" s="19">
        <f>Fact_Defect_Split!L205</f>
        <v>1</v>
      </c>
    </row>
    <row r="1226" spans="1:8" x14ac:dyDescent="0.25">
      <c r="A1226" s="18" t="s">
        <v>2207</v>
      </c>
      <c r="B1226" s="4">
        <f>Fact_Defect_Split!B206</f>
        <v>20260702</v>
      </c>
      <c r="C1226" s="4">
        <f>Fact_Defect_Split!C206</f>
        <v>5</v>
      </c>
      <c r="D1226" s="4" t="str">
        <f>Fact_Defect_Split!D206</f>
        <v>M2</v>
      </c>
      <c r="E1226" s="4" t="str">
        <f>Fact_Defect_Split!E206</f>
        <v>B-PM</v>
      </c>
      <c r="F1226" s="4" t="str">
        <f>Fact_Defect_Split!F206</f>
        <v>A</v>
      </c>
      <c r="G1226" s="4" t="s">
        <v>498</v>
      </c>
      <c r="H1226" s="19">
        <f>Fact_Defect_Split!G206</f>
        <v>0</v>
      </c>
    </row>
    <row r="1227" spans="1:8" x14ac:dyDescent="0.25">
      <c r="A1227" s="18" t="s">
        <v>2208</v>
      </c>
      <c r="B1227" s="4">
        <f>Fact_Defect_Split!B206</f>
        <v>20260702</v>
      </c>
      <c r="C1227" s="4">
        <f>Fact_Defect_Split!C206</f>
        <v>5</v>
      </c>
      <c r="D1227" s="4" t="str">
        <f>Fact_Defect_Split!D206</f>
        <v>M2</v>
      </c>
      <c r="E1227" s="4" t="str">
        <f>Fact_Defect_Split!E206</f>
        <v>B-PM</v>
      </c>
      <c r="F1227" s="4" t="str">
        <f>Fact_Defect_Split!F206</f>
        <v>A</v>
      </c>
      <c r="G1227" s="4" t="s">
        <v>500</v>
      </c>
      <c r="H1227" s="19">
        <f>Fact_Defect_Split!H206</f>
        <v>0</v>
      </c>
    </row>
    <row r="1228" spans="1:8" x14ac:dyDescent="0.25">
      <c r="A1228" s="18" t="s">
        <v>2209</v>
      </c>
      <c r="B1228" s="4">
        <f>Fact_Defect_Split!B206</f>
        <v>20260702</v>
      </c>
      <c r="C1228" s="4">
        <f>Fact_Defect_Split!C206</f>
        <v>5</v>
      </c>
      <c r="D1228" s="4" t="str">
        <f>Fact_Defect_Split!D206</f>
        <v>M2</v>
      </c>
      <c r="E1228" s="4" t="str">
        <f>Fact_Defect_Split!E206</f>
        <v>B-PM</v>
      </c>
      <c r="F1228" s="4" t="str">
        <f>Fact_Defect_Split!F206</f>
        <v>A</v>
      </c>
      <c r="G1228" s="4" t="s">
        <v>517</v>
      </c>
      <c r="H1228" s="19">
        <f>Fact_Defect_Split!I206</f>
        <v>0</v>
      </c>
    </row>
    <row r="1229" spans="1:8" x14ac:dyDescent="0.25">
      <c r="A1229" s="18" t="s">
        <v>2210</v>
      </c>
      <c r="B1229" s="4">
        <f>Fact_Defect_Split!B206</f>
        <v>20260702</v>
      </c>
      <c r="C1229" s="4">
        <f>Fact_Defect_Split!C206</f>
        <v>5</v>
      </c>
      <c r="D1229" s="4" t="str">
        <f>Fact_Defect_Split!D206</f>
        <v>M2</v>
      </c>
      <c r="E1229" s="4" t="str">
        <f>Fact_Defect_Split!E206</f>
        <v>B-PM</v>
      </c>
      <c r="F1229" s="4" t="str">
        <f>Fact_Defect_Split!F206</f>
        <v>A</v>
      </c>
      <c r="G1229" s="4" t="s">
        <v>503</v>
      </c>
      <c r="H1229" s="19">
        <f>Fact_Defect_Split!J206</f>
        <v>1</v>
      </c>
    </row>
    <row r="1230" spans="1:8" x14ac:dyDescent="0.25">
      <c r="A1230" s="18" t="s">
        <v>2211</v>
      </c>
      <c r="B1230" s="4">
        <f>Fact_Defect_Split!B206</f>
        <v>20260702</v>
      </c>
      <c r="C1230" s="4">
        <f>Fact_Defect_Split!C206</f>
        <v>5</v>
      </c>
      <c r="D1230" s="4" t="str">
        <f>Fact_Defect_Split!D206</f>
        <v>M2</v>
      </c>
      <c r="E1230" s="4" t="str">
        <f>Fact_Defect_Split!E206</f>
        <v>B-PM</v>
      </c>
      <c r="F1230" s="4" t="str">
        <f>Fact_Defect_Split!F206</f>
        <v>A</v>
      </c>
      <c r="G1230" s="4" t="s">
        <v>509</v>
      </c>
      <c r="H1230" s="19">
        <f>Fact_Defect_Split!K206</f>
        <v>1</v>
      </c>
    </row>
    <row r="1231" spans="1:8" x14ac:dyDescent="0.25">
      <c r="A1231" s="18" t="s">
        <v>2212</v>
      </c>
      <c r="B1231" s="4">
        <f>Fact_Defect_Split!B206</f>
        <v>20260702</v>
      </c>
      <c r="C1231" s="4">
        <f>Fact_Defect_Split!C206</f>
        <v>5</v>
      </c>
      <c r="D1231" s="4" t="str">
        <f>Fact_Defect_Split!D206</f>
        <v>M2</v>
      </c>
      <c r="E1231" s="4" t="str">
        <f>Fact_Defect_Split!E206</f>
        <v>B-PM</v>
      </c>
      <c r="F1231" s="4" t="str">
        <f>Fact_Defect_Split!F206</f>
        <v>A</v>
      </c>
      <c r="G1231" s="4" t="s">
        <v>520</v>
      </c>
      <c r="H1231" s="19">
        <f>Fact_Defect_Split!L206</f>
        <v>1</v>
      </c>
    </row>
    <row r="1232" spans="1:8" x14ac:dyDescent="0.25">
      <c r="A1232" s="18" t="s">
        <v>2213</v>
      </c>
      <c r="B1232" s="4">
        <f>Fact_Defect_Split!B207</f>
        <v>20260702</v>
      </c>
      <c r="C1232" s="4">
        <f>Fact_Defect_Split!C207</f>
        <v>5</v>
      </c>
      <c r="D1232" s="4" t="str">
        <f>Fact_Defect_Split!D207</f>
        <v>M3</v>
      </c>
      <c r="E1232" s="4" t="str">
        <f>Fact_Defect_Split!E207</f>
        <v>B-PM</v>
      </c>
      <c r="F1232" s="4" t="str">
        <f>Fact_Defect_Split!F207</f>
        <v>A</v>
      </c>
      <c r="G1232" s="4" t="s">
        <v>498</v>
      </c>
      <c r="H1232" s="19">
        <f>Fact_Defect_Split!G207</f>
        <v>0</v>
      </c>
    </row>
    <row r="1233" spans="1:8" x14ac:dyDescent="0.25">
      <c r="A1233" s="18" t="s">
        <v>2214</v>
      </c>
      <c r="B1233" s="4">
        <f>Fact_Defect_Split!B207</f>
        <v>20260702</v>
      </c>
      <c r="C1233" s="4">
        <f>Fact_Defect_Split!C207</f>
        <v>5</v>
      </c>
      <c r="D1233" s="4" t="str">
        <f>Fact_Defect_Split!D207</f>
        <v>M3</v>
      </c>
      <c r="E1233" s="4" t="str">
        <f>Fact_Defect_Split!E207</f>
        <v>B-PM</v>
      </c>
      <c r="F1233" s="4" t="str">
        <f>Fact_Defect_Split!F207</f>
        <v>A</v>
      </c>
      <c r="G1233" s="4" t="s">
        <v>500</v>
      </c>
      <c r="H1233" s="19">
        <f>Fact_Defect_Split!H207</f>
        <v>0</v>
      </c>
    </row>
    <row r="1234" spans="1:8" x14ac:dyDescent="0.25">
      <c r="A1234" s="18" t="s">
        <v>2215</v>
      </c>
      <c r="B1234" s="4">
        <f>Fact_Defect_Split!B207</f>
        <v>20260702</v>
      </c>
      <c r="C1234" s="4">
        <f>Fact_Defect_Split!C207</f>
        <v>5</v>
      </c>
      <c r="D1234" s="4" t="str">
        <f>Fact_Defect_Split!D207</f>
        <v>M3</v>
      </c>
      <c r="E1234" s="4" t="str">
        <f>Fact_Defect_Split!E207</f>
        <v>B-PM</v>
      </c>
      <c r="F1234" s="4" t="str">
        <f>Fact_Defect_Split!F207</f>
        <v>A</v>
      </c>
      <c r="G1234" s="4" t="s">
        <v>517</v>
      </c>
      <c r="H1234" s="19">
        <f>Fact_Defect_Split!I207</f>
        <v>1</v>
      </c>
    </row>
    <row r="1235" spans="1:8" x14ac:dyDescent="0.25">
      <c r="A1235" s="18" t="s">
        <v>2216</v>
      </c>
      <c r="B1235" s="4">
        <f>Fact_Defect_Split!B207</f>
        <v>20260702</v>
      </c>
      <c r="C1235" s="4">
        <f>Fact_Defect_Split!C207</f>
        <v>5</v>
      </c>
      <c r="D1235" s="4" t="str">
        <f>Fact_Defect_Split!D207</f>
        <v>M3</v>
      </c>
      <c r="E1235" s="4" t="str">
        <f>Fact_Defect_Split!E207</f>
        <v>B-PM</v>
      </c>
      <c r="F1235" s="4" t="str">
        <f>Fact_Defect_Split!F207</f>
        <v>A</v>
      </c>
      <c r="G1235" s="4" t="s">
        <v>503</v>
      </c>
      <c r="H1235" s="19">
        <f>Fact_Defect_Split!J207</f>
        <v>0</v>
      </c>
    </row>
    <row r="1236" spans="1:8" x14ac:dyDescent="0.25">
      <c r="A1236" s="18" t="s">
        <v>2217</v>
      </c>
      <c r="B1236" s="4">
        <f>Fact_Defect_Split!B207</f>
        <v>20260702</v>
      </c>
      <c r="C1236" s="4">
        <f>Fact_Defect_Split!C207</f>
        <v>5</v>
      </c>
      <c r="D1236" s="4" t="str">
        <f>Fact_Defect_Split!D207</f>
        <v>M3</v>
      </c>
      <c r="E1236" s="4" t="str">
        <f>Fact_Defect_Split!E207</f>
        <v>B-PM</v>
      </c>
      <c r="F1236" s="4" t="str">
        <f>Fact_Defect_Split!F207</f>
        <v>A</v>
      </c>
      <c r="G1236" s="4" t="s">
        <v>509</v>
      </c>
      <c r="H1236" s="19">
        <f>Fact_Defect_Split!K207</f>
        <v>1</v>
      </c>
    </row>
    <row r="1237" spans="1:8" x14ac:dyDescent="0.25">
      <c r="A1237" s="18" t="s">
        <v>2218</v>
      </c>
      <c r="B1237" s="4">
        <f>Fact_Defect_Split!B207</f>
        <v>20260702</v>
      </c>
      <c r="C1237" s="4">
        <f>Fact_Defect_Split!C207</f>
        <v>5</v>
      </c>
      <c r="D1237" s="4" t="str">
        <f>Fact_Defect_Split!D207</f>
        <v>M3</v>
      </c>
      <c r="E1237" s="4" t="str">
        <f>Fact_Defect_Split!E207</f>
        <v>B-PM</v>
      </c>
      <c r="F1237" s="4" t="str">
        <f>Fact_Defect_Split!F207</f>
        <v>A</v>
      </c>
      <c r="G1237" s="4" t="s">
        <v>520</v>
      </c>
      <c r="H1237" s="19">
        <f>Fact_Defect_Split!L207</f>
        <v>0</v>
      </c>
    </row>
    <row r="1238" spans="1:8" x14ac:dyDescent="0.25">
      <c r="A1238" s="18" t="s">
        <v>2219</v>
      </c>
      <c r="B1238" s="4">
        <f>Fact_Defect_Split!B208</f>
        <v>20260702</v>
      </c>
      <c r="C1238" s="4">
        <f>Fact_Defect_Split!C208</f>
        <v>5</v>
      </c>
      <c r="D1238" s="4" t="str">
        <f>Fact_Defect_Split!D208</f>
        <v>M4</v>
      </c>
      <c r="E1238" s="4" t="str">
        <f>Fact_Defect_Split!E208</f>
        <v>B-PM</v>
      </c>
      <c r="F1238" s="4" t="str">
        <f>Fact_Defect_Split!F208</f>
        <v>C</v>
      </c>
      <c r="G1238" s="4" t="s">
        <v>498</v>
      </c>
      <c r="H1238" s="19">
        <f>Fact_Defect_Split!G208</f>
        <v>0</v>
      </c>
    </row>
    <row r="1239" spans="1:8" x14ac:dyDescent="0.25">
      <c r="A1239" s="18" t="s">
        <v>2220</v>
      </c>
      <c r="B1239" s="4">
        <f>Fact_Defect_Split!B208</f>
        <v>20260702</v>
      </c>
      <c r="C1239" s="4">
        <f>Fact_Defect_Split!C208</f>
        <v>5</v>
      </c>
      <c r="D1239" s="4" t="str">
        <f>Fact_Defect_Split!D208</f>
        <v>M4</v>
      </c>
      <c r="E1239" s="4" t="str">
        <f>Fact_Defect_Split!E208</f>
        <v>B-PM</v>
      </c>
      <c r="F1239" s="4" t="str">
        <f>Fact_Defect_Split!F208</f>
        <v>C</v>
      </c>
      <c r="G1239" s="4" t="s">
        <v>500</v>
      </c>
      <c r="H1239" s="19">
        <f>Fact_Defect_Split!H208</f>
        <v>0</v>
      </c>
    </row>
    <row r="1240" spans="1:8" x14ac:dyDescent="0.25">
      <c r="A1240" s="18" t="s">
        <v>2221</v>
      </c>
      <c r="B1240" s="4">
        <f>Fact_Defect_Split!B208</f>
        <v>20260702</v>
      </c>
      <c r="C1240" s="4">
        <f>Fact_Defect_Split!C208</f>
        <v>5</v>
      </c>
      <c r="D1240" s="4" t="str">
        <f>Fact_Defect_Split!D208</f>
        <v>M4</v>
      </c>
      <c r="E1240" s="4" t="str">
        <f>Fact_Defect_Split!E208</f>
        <v>B-PM</v>
      </c>
      <c r="F1240" s="4" t="str">
        <f>Fact_Defect_Split!F208</f>
        <v>C</v>
      </c>
      <c r="G1240" s="4" t="s">
        <v>517</v>
      </c>
      <c r="H1240" s="19">
        <f>Fact_Defect_Split!I208</f>
        <v>0</v>
      </c>
    </row>
    <row r="1241" spans="1:8" x14ac:dyDescent="0.25">
      <c r="A1241" s="18" t="s">
        <v>2222</v>
      </c>
      <c r="B1241" s="4">
        <f>Fact_Defect_Split!B208</f>
        <v>20260702</v>
      </c>
      <c r="C1241" s="4">
        <f>Fact_Defect_Split!C208</f>
        <v>5</v>
      </c>
      <c r="D1241" s="4" t="str">
        <f>Fact_Defect_Split!D208</f>
        <v>M4</v>
      </c>
      <c r="E1241" s="4" t="str">
        <f>Fact_Defect_Split!E208</f>
        <v>B-PM</v>
      </c>
      <c r="F1241" s="4" t="str">
        <f>Fact_Defect_Split!F208</f>
        <v>C</v>
      </c>
      <c r="G1241" s="4" t="s">
        <v>503</v>
      </c>
      <c r="H1241" s="19">
        <f>Fact_Defect_Split!J208</f>
        <v>0</v>
      </c>
    </row>
    <row r="1242" spans="1:8" x14ac:dyDescent="0.25">
      <c r="A1242" s="18" t="s">
        <v>2223</v>
      </c>
      <c r="B1242" s="4">
        <f>Fact_Defect_Split!B208</f>
        <v>20260702</v>
      </c>
      <c r="C1242" s="4">
        <f>Fact_Defect_Split!C208</f>
        <v>5</v>
      </c>
      <c r="D1242" s="4" t="str">
        <f>Fact_Defect_Split!D208</f>
        <v>M4</v>
      </c>
      <c r="E1242" s="4" t="str">
        <f>Fact_Defect_Split!E208</f>
        <v>B-PM</v>
      </c>
      <c r="F1242" s="4" t="str">
        <f>Fact_Defect_Split!F208</f>
        <v>C</v>
      </c>
      <c r="G1242" s="4" t="s">
        <v>509</v>
      </c>
      <c r="H1242" s="19">
        <f>Fact_Defect_Split!K208</f>
        <v>1</v>
      </c>
    </row>
    <row r="1243" spans="1:8" x14ac:dyDescent="0.25">
      <c r="A1243" s="18" t="s">
        <v>2224</v>
      </c>
      <c r="B1243" s="4">
        <f>Fact_Defect_Split!B208</f>
        <v>20260702</v>
      </c>
      <c r="C1243" s="4">
        <f>Fact_Defect_Split!C208</f>
        <v>5</v>
      </c>
      <c r="D1243" s="4" t="str">
        <f>Fact_Defect_Split!D208</f>
        <v>M4</v>
      </c>
      <c r="E1243" s="4" t="str">
        <f>Fact_Defect_Split!E208</f>
        <v>B-PM</v>
      </c>
      <c r="F1243" s="4" t="str">
        <f>Fact_Defect_Split!F208</f>
        <v>C</v>
      </c>
      <c r="G1243" s="4" t="s">
        <v>520</v>
      </c>
      <c r="H1243" s="19">
        <f>Fact_Defect_Split!L208</f>
        <v>0</v>
      </c>
    </row>
    <row r="1244" spans="1:8" x14ac:dyDescent="0.25">
      <c r="A1244" s="18" t="s">
        <v>2225</v>
      </c>
      <c r="B1244" s="4">
        <f>Fact_Defect_Split!B209</f>
        <v>20260702</v>
      </c>
      <c r="C1244" s="4">
        <f>Fact_Defect_Split!C209</f>
        <v>5</v>
      </c>
      <c r="D1244" s="4" t="str">
        <f>Fact_Defect_Split!D209</f>
        <v>M5</v>
      </c>
      <c r="E1244" s="4" t="str">
        <f>Fact_Defect_Split!E209</f>
        <v>B-PM</v>
      </c>
      <c r="F1244" s="4" t="str">
        <f>Fact_Defect_Split!F209</f>
        <v>A</v>
      </c>
      <c r="G1244" s="4" t="s">
        <v>498</v>
      </c>
      <c r="H1244" s="19">
        <f>Fact_Defect_Split!G209</f>
        <v>0</v>
      </c>
    </row>
    <row r="1245" spans="1:8" x14ac:dyDescent="0.25">
      <c r="A1245" s="18" t="s">
        <v>2226</v>
      </c>
      <c r="B1245" s="4">
        <f>Fact_Defect_Split!B209</f>
        <v>20260702</v>
      </c>
      <c r="C1245" s="4">
        <f>Fact_Defect_Split!C209</f>
        <v>5</v>
      </c>
      <c r="D1245" s="4" t="str">
        <f>Fact_Defect_Split!D209</f>
        <v>M5</v>
      </c>
      <c r="E1245" s="4" t="str">
        <f>Fact_Defect_Split!E209</f>
        <v>B-PM</v>
      </c>
      <c r="F1245" s="4" t="str">
        <f>Fact_Defect_Split!F209</f>
        <v>A</v>
      </c>
      <c r="G1245" s="4" t="s">
        <v>500</v>
      </c>
      <c r="H1245" s="19">
        <f>Fact_Defect_Split!H209</f>
        <v>0</v>
      </c>
    </row>
    <row r="1246" spans="1:8" x14ac:dyDescent="0.25">
      <c r="A1246" s="18" t="s">
        <v>2227</v>
      </c>
      <c r="B1246" s="4">
        <f>Fact_Defect_Split!B209</f>
        <v>20260702</v>
      </c>
      <c r="C1246" s="4">
        <f>Fact_Defect_Split!C209</f>
        <v>5</v>
      </c>
      <c r="D1246" s="4" t="str">
        <f>Fact_Defect_Split!D209</f>
        <v>M5</v>
      </c>
      <c r="E1246" s="4" t="str">
        <f>Fact_Defect_Split!E209</f>
        <v>B-PM</v>
      </c>
      <c r="F1246" s="4" t="str">
        <f>Fact_Defect_Split!F209</f>
        <v>A</v>
      </c>
      <c r="G1246" s="4" t="s">
        <v>517</v>
      </c>
      <c r="H1246" s="19">
        <f>Fact_Defect_Split!I209</f>
        <v>1</v>
      </c>
    </row>
    <row r="1247" spans="1:8" x14ac:dyDescent="0.25">
      <c r="A1247" s="18" t="s">
        <v>2228</v>
      </c>
      <c r="B1247" s="4">
        <f>Fact_Defect_Split!B209</f>
        <v>20260702</v>
      </c>
      <c r="C1247" s="4">
        <f>Fact_Defect_Split!C209</f>
        <v>5</v>
      </c>
      <c r="D1247" s="4" t="str">
        <f>Fact_Defect_Split!D209</f>
        <v>M5</v>
      </c>
      <c r="E1247" s="4" t="str">
        <f>Fact_Defect_Split!E209</f>
        <v>B-PM</v>
      </c>
      <c r="F1247" s="4" t="str">
        <f>Fact_Defect_Split!F209</f>
        <v>A</v>
      </c>
      <c r="G1247" s="4" t="s">
        <v>503</v>
      </c>
      <c r="H1247" s="19">
        <f>Fact_Defect_Split!J209</f>
        <v>0</v>
      </c>
    </row>
    <row r="1248" spans="1:8" x14ac:dyDescent="0.25">
      <c r="A1248" s="18" t="s">
        <v>2229</v>
      </c>
      <c r="B1248" s="4">
        <f>Fact_Defect_Split!B209</f>
        <v>20260702</v>
      </c>
      <c r="C1248" s="4">
        <f>Fact_Defect_Split!C209</f>
        <v>5</v>
      </c>
      <c r="D1248" s="4" t="str">
        <f>Fact_Defect_Split!D209</f>
        <v>M5</v>
      </c>
      <c r="E1248" s="4" t="str">
        <f>Fact_Defect_Split!E209</f>
        <v>B-PM</v>
      </c>
      <c r="F1248" s="4" t="str">
        <f>Fact_Defect_Split!F209</f>
        <v>A</v>
      </c>
      <c r="G1248" s="4" t="s">
        <v>509</v>
      </c>
      <c r="H1248" s="19">
        <f>Fact_Defect_Split!K209</f>
        <v>1</v>
      </c>
    </row>
    <row r="1249" spans="1:8" x14ac:dyDescent="0.25">
      <c r="A1249" s="18" t="s">
        <v>2230</v>
      </c>
      <c r="B1249" s="4">
        <f>Fact_Defect_Split!B209</f>
        <v>20260702</v>
      </c>
      <c r="C1249" s="4">
        <f>Fact_Defect_Split!C209</f>
        <v>5</v>
      </c>
      <c r="D1249" s="4" t="str">
        <f>Fact_Defect_Split!D209</f>
        <v>M5</v>
      </c>
      <c r="E1249" s="4" t="str">
        <f>Fact_Defect_Split!E209</f>
        <v>B-PM</v>
      </c>
      <c r="F1249" s="4" t="str">
        <f>Fact_Defect_Split!F209</f>
        <v>A</v>
      </c>
      <c r="G1249" s="4" t="s">
        <v>520</v>
      </c>
      <c r="H1249" s="19">
        <f>Fact_Defect_Split!L209</f>
        <v>0</v>
      </c>
    </row>
    <row r="1250" spans="1:8" x14ac:dyDescent="0.25">
      <c r="A1250" s="18" t="s">
        <v>2231</v>
      </c>
      <c r="B1250" s="4">
        <f>Fact_Defect_Split!B210</f>
        <v>20260702</v>
      </c>
      <c r="C1250" s="4">
        <f>Fact_Defect_Split!C210</f>
        <v>5</v>
      </c>
      <c r="D1250" s="4" t="str">
        <f>Fact_Defect_Split!D210</f>
        <v>M6</v>
      </c>
      <c r="E1250" s="4" t="str">
        <f>Fact_Defect_Split!E210</f>
        <v>B-PM</v>
      </c>
      <c r="F1250" s="4" t="str">
        <f>Fact_Defect_Split!F210</f>
        <v>A</v>
      </c>
      <c r="G1250" s="4" t="s">
        <v>498</v>
      </c>
      <c r="H1250" s="19">
        <f>Fact_Defect_Split!G210</f>
        <v>0</v>
      </c>
    </row>
    <row r="1251" spans="1:8" x14ac:dyDescent="0.25">
      <c r="A1251" s="18" t="s">
        <v>2232</v>
      </c>
      <c r="B1251" s="4">
        <f>Fact_Defect_Split!B210</f>
        <v>20260702</v>
      </c>
      <c r="C1251" s="4">
        <f>Fact_Defect_Split!C210</f>
        <v>5</v>
      </c>
      <c r="D1251" s="4" t="str">
        <f>Fact_Defect_Split!D210</f>
        <v>M6</v>
      </c>
      <c r="E1251" s="4" t="str">
        <f>Fact_Defect_Split!E210</f>
        <v>B-PM</v>
      </c>
      <c r="F1251" s="4" t="str">
        <f>Fact_Defect_Split!F210</f>
        <v>A</v>
      </c>
      <c r="G1251" s="4" t="s">
        <v>500</v>
      </c>
      <c r="H1251" s="19">
        <f>Fact_Defect_Split!H210</f>
        <v>0</v>
      </c>
    </row>
    <row r="1252" spans="1:8" x14ac:dyDescent="0.25">
      <c r="A1252" s="18" t="s">
        <v>2233</v>
      </c>
      <c r="B1252" s="4">
        <f>Fact_Defect_Split!B210</f>
        <v>20260702</v>
      </c>
      <c r="C1252" s="4">
        <f>Fact_Defect_Split!C210</f>
        <v>5</v>
      </c>
      <c r="D1252" s="4" t="str">
        <f>Fact_Defect_Split!D210</f>
        <v>M6</v>
      </c>
      <c r="E1252" s="4" t="str">
        <f>Fact_Defect_Split!E210</f>
        <v>B-PM</v>
      </c>
      <c r="F1252" s="4" t="str">
        <f>Fact_Defect_Split!F210</f>
        <v>A</v>
      </c>
      <c r="G1252" s="4" t="s">
        <v>517</v>
      </c>
      <c r="H1252" s="19">
        <f>Fact_Defect_Split!I210</f>
        <v>0</v>
      </c>
    </row>
    <row r="1253" spans="1:8" x14ac:dyDescent="0.25">
      <c r="A1253" s="18" t="s">
        <v>2234</v>
      </c>
      <c r="B1253" s="4">
        <f>Fact_Defect_Split!B210</f>
        <v>20260702</v>
      </c>
      <c r="C1253" s="4">
        <f>Fact_Defect_Split!C210</f>
        <v>5</v>
      </c>
      <c r="D1253" s="4" t="str">
        <f>Fact_Defect_Split!D210</f>
        <v>M6</v>
      </c>
      <c r="E1253" s="4" t="str">
        <f>Fact_Defect_Split!E210</f>
        <v>B-PM</v>
      </c>
      <c r="F1253" s="4" t="str">
        <f>Fact_Defect_Split!F210</f>
        <v>A</v>
      </c>
      <c r="G1253" s="4" t="s">
        <v>503</v>
      </c>
      <c r="H1253" s="19">
        <f>Fact_Defect_Split!J210</f>
        <v>0</v>
      </c>
    </row>
    <row r="1254" spans="1:8" x14ac:dyDescent="0.25">
      <c r="A1254" s="18" t="s">
        <v>2235</v>
      </c>
      <c r="B1254" s="4">
        <f>Fact_Defect_Split!B210</f>
        <v>20260702</v>
      </c>
      <c r="C1254" s="4">
        <f>Fact_Defect_Split!C210</f>
        <v>5</v>
      </c>
      <c r="D1254" s="4" t="str">
        <f>Fact_Defect_Split!D210</f>
        <v>M6</v>
      </c>
      <c r="E1254" s="4" t="str">
        <f>Fact_Defect_Split!E210</f>
        <v>B-PM</v>
      </c>
      <c r="F1254" s="4" t="str">
        <f>Fact_Defect_Split!F210</f>
        <v>A</v>
      </c>
      <c r="G1254" s="4" t="s">
        <v>509</v>
      </c>
      <c r="H1254" s="19">
        <f>Fact_Defect_Split!K210</f>
        <v>1</v>
      </c>
    </row>
    <row r="1255" spans="1:8" x14ac:dyDescent="0.25">
      <c r="A1255" s="18" t="s">
        <v>2236</v>
      </c>
      <c r="B1255" s="4">
        <f>Fact_Defect_Split!B210</f>
        <v>20260702</v>
      </c>
      <c r="C1255" s="4">
        <f>Fact_Defect_Split!C210</f>
        <v>5</v>
      </c>
      <c r="D1255" s="4" t="str">
        <f>Fact_Defect_Split!D210</f>
        <v>M6</v>
      </c>
      <c r="E1255" s="4" t="str">
        <f>Fact_Defect_Split!E210</f>
        <v>B-PM</v>
      </c>
      <c r="F1255" s="4" t="str">
        <f>Fact_Defect_Split!F210</f>
        <v>A</v>
      </c>
      <c r="G1255" s="4" t="s">
        <v>520</v>
      </c>
      <c r="H1255" s="19">
        <f>Fact_Defect_Split!L210</f>
        <v>0</v>
      </c>
    </row>
    <row r="1256" spans="1:8" x14ac:dyDescent="0.25">
      <c r="A1256" s="18" t="s">
        <v>2237</v>
      </c>
      <c r="B1256" s="4">
        <f>Fact_Defect_Split!B211</f>
        <v>20260702</v>
      </c>
      <c r="C1256" s="4">
        <f>Fact_Defect_Split!C211</f>
        <v>5</v>
      </c>
      <c r="D1256" s="4" t="str">
        <f>Fact_Defect_Split!D211</f>
        <v>M7</v>
      </c>
      <c r="E1256" s="4" t="str">
        <f>Fact_Defect_Split!E211</f>
        <v>B-PM</v>
      </c>
      <c r="F1256" s="4" t="str">
        <f>Fact_Defect_Split!F211</f>
        <v>C</v>
      </c>
      <c r="G1256" s="4" t="s">
        <v>498</v>
      </c>
      <c r="H1256" s="19">
        <f>Fact_Defect_Split!G211</f>
        <v>0</v>
      </c>
    </row>
    <row r="1257" spans="1:8" x14ac:dyDescent="0.25">
      <c r="A1257" s="18" t="s">
        <v>2238</v>
      </c>
      <c r="B1257" s="4">
        <f>Fact_Defect_Split!B211</f>
        <v>20260702</v>
      </c>
      <c r="C1257" s="4">
        <f>Fact_Defect_Split!C211</f>
        <v>5</v>
      </c>
      <c r="D1257" s="4" t="str">
        <f>Fact_Defect_Split!D211</f>
        <v>M7</v>
      </c>
      <c r="E1257" s="4" t="str">
        <f>Fact_Defect_Split!E211</f>
        <v>B-PM</v>
      </c>
      <c r="F1257" s="4" t="str">
        <f>Fact_Defect_Split!F211</f>
        <v>C</v>
      </c>
      <c r="G1257" s="4" t="s">
        <v>500</v>
      </c>
      <c r="H1257" s="19">
        <f>Fact_Defect_Split!H211</f>
        <v>0</v>
      </c>
    </row>
    <row r="1258" spans="1:8" x14ac:dyDescent="0.25">
      <c r="A1258" s="18" t="s">
        <v>2239</v>
      </c>
      <c r="B1258" s="4">
        <f>Fact_Defect_Split!B211</f>
        <v>20260702</v>
      </c>
      <c r="C1258" s="4">
        <f>Fact_Defect_Split!C211</f>
        <v>5</v>
      </c>
      <c r="D1258" s="4" t="str">
        <f>Fact_Defect_Split!D211</f>
        <v>M7</v>
      </c>
      <c r="E1258" s="4" t="str">
        <f>Fact_Defect_Split!E211</f>
        <v>B-PM</v>
      </c>
      <c r="F1258" s="4" t="str">
        <f>Fact_Defect_Split!F211</f>
        <v>C</v>
      </c>
      <c r="G1258" s="4" t="s">
        <v>517</v>
      </c>
      <c r="H1258" s="19">
        <f>Fact_Defect_Split!I211</f>
        <v>1</v>
      </c>
    </row>
    <row r="1259" spans="1:8" x14ac:dyDescent="0.25">
      <c r="A1259" s="18" t="s">
        <v>2240</v>
      </c>
      <c r="B1259" s="4">
        <f>Fact_Defect_Split!B211</f>
        <v>20260702</v>
      </c>
      <c r="C1259" s="4">
        <f>Fact_Defect_Split!C211</f>
        <v>5</v>
      </c>
      <c r="D1259" s="4" t="str">
        <f>Fact_Defect_Split!D211</f>
        <v>M7</v>
      </c>
      <c r="E1259" s="4" t="str">
        <f>Fact_Defect_Split!E211</f>
        <v>B-PM</v>
      </c>
      <c r="F1259" s="4" t="str">
        <f>Fact_Defect_Split!F211</f>
        <v>C</v>
      </c>
      <c r="G1259" s="4" t="s">
        <v>503</v>
      </c>
      <c r="H1259" s="19">
        <f>Fact_Defect_Split!J211</f>
        <v>0</v>
      </c>
    </row>
    <row r="1260" spans="1:8" x14ac:dyDescent="0.25">
      <c r="A1260" s="18" t="s">
        <v>2241</v>
      </c>
      <c r="B1260" s="4">
        <f>Fact_Defect_Split!B211</f>
        <v>20260702</v>
      </c>
      <c r="C1260" s="4">
        <f>Fact_Defect_Split!C211</f>
        <v>5</v>
      </c>
      <c r="D1260" s="4" t="str">
        <f>Fact_Defect_Split!D211</f>
        <v>M7</v>
      </c>
      <c r="E1260" s="4" t="str">
        <f>Fact_Defect_Split!E211</f>
        <v>B-PM</v>
      </c>
      <c r="F1260" s="4" t="str">
        <f>Fact_Defect_Split!F211</f>
        <v>C</v>
      </c>
      <c r="G1260" s="4" t="s">
        <v>509</v>
      </c>
      <c r="H1260" s="19">
        <f>Fact_Defect_Split!K211</f>
        <v>1</v>
      </c>
    </row>
    <row r="1261" spans="1:8" x14ac:dyDescent="0.25">
      <c r="A1261" s="18" t="s">
        <v>2242</v>
      </c>
      <c r="B1261" s="4">
        <f>Fact_Defect_Split!B211</f>
        <v>20260702</v>
      </c>
      <c r="C1261" s="4">
        <f>Fact_Defect_Split!C211</f>
        <v>5</v>
      </c>
      <c r="D1261" s="4" t="str">
        <f>Fact_Defect_Split!D211</f>
        <v>M7</v>
      </c>
      <c r="E1261" s="4" t="str">
        <f>Fact_Defect_Split!E211</f>
        <v>B-PM</v>
      </c>
      <c r="F1261" s="4" t="str">
        <f>Fact_Defect_Split!F211</f>
        <v>C</v>
      </c>
      <c r="G1261" s="4" t="s">
        <v>520</v>
      </c>
      <c r="H1261" s="19">
        <f>Fact_Defect_Split!L211</f>
        <v>0</v>
      </c>
    </row>
    <row r="1262" spans="1:8" x14ac:dyDescent="0.25">
      <c r="A1262" s="18" t="s">
        <v>2243</v>
      </c>
      <c r="B1262" s="4">
        <f>Fact_Defect_Split!B212</f>
        <v>20260702</v>
      </c>
      <c r="C1262" s="4">
        <f>Fact_Defect_Split!C212</f>
        <v>6</v>
      </c>
      <c r="D1262" s="4" t="str">
        <f>Fact_Defect_Split!D212</f>
        <v>M1</v>
      </c>
      <c r="E1262" s="4" t="str">
        <f>Fact_Defect_Split!E212</f>
        <v>A-AM</v>
      </c>
      <c r="F1262" s="4" t="str">
        <f>Fact_Defect_Split!F212</f>
        <v>C</v>
      </c>
      <c r="G1262" s="4" t="s">
        <v>498</v>
      </c>
      <c r="H1262" s="19">
        <f>Fact_Defect_Split!G212</f>
        <v>0</v>
      </c>
    </row>
    <row r="1263" spans="1:8" x14ac:dyDescent="0.25">
      <c r="A1263" s="18" t="s">
        <v>2244</v>
      </c>
      <c r="B1263" s="4">
        <f>Fact_Defect_Split!B212</f>
        <v>20260702</v>
      </c>
      <c r="C1263" s="4">
        <f>Fact_Defect_Split!C212</f>
        <v>6</v>
      </c>
      <c r="D1263" s="4" t="str">
        <f>Fact_Defect_Split!D212</f>
        <v>M1</v>
      </c>
      <c r="E1263" s="4" t="str">
        <f>Fact_Defect_Split!E212</f>
        <v>A-AM</v>
      </c>
      <c r="F1263" s="4" t="str">
        <f>Fact_Defect_Split!F212</f>
        <v>C</v>
      </c>
      <c r="G1263" s="4" t="s">
        <v>500</v>
      </c>
      <c r="H1263" s="19">
        <f>Fact_Defect_Split!H212</f>
        <v>0</v>
      </c>
    </row>
    <row r="1264" spans="1:8" x14ac:dyDescent="0.25">
      <c r="A1264" s="18" t="s">
        <v>2245</v>
      </c>
      <c r="B1264" s="4">
        <f>Fact_Defect_Split!B212</f>
        <v>20260702</v>
      </c>
      <c r="C1264" s="4">
        <f>Fact_Defect_Split!C212</f>
        <v>6</v>
      </c>
      <c r="D1264" s="4" t="str">
        <f>Fact_Defect_Split!D212</f>
        <v>M1</v>
      </c>
      <c r="E1264" s="4" t="str">
        <f>Fact_Defect_Split!E212</f>
        <v>A-AM</v>
      </c>
      <c r="F1264" s="4" t="str">
        <f>Fact_Defect_Split!F212</f>
        <v>C</v>
      </c>
      <c r="G1264" s="4" t="s">
        <v>517</v>
      </c>
      <c r="H1264" s="19">
        <f>Fact_Defect_Split!I212</f>
        <v>0</v>
      </c>
    </row>
    <row r="1265" spans="1:8" x14ac:dyDescent="0.25">
      <c r="A1265" s="18" t="s">
        <v>2246</v>
      </c>
      <c r="B1265" s="4">
        <f>Fact_Defect_Split!B212</f>
        <v>20260702</v>
      </c>
      <c r="C1265" s="4">
        <f>Fact_Defect_Split!C212</f>
        <v>6</v>
      </c>
      <c r="D1265" s="4" t="str">
        <f>Fact_Defect_Split!D212</f>
        <v>M1</v>
      </c>
      <c r="E1265" s="4" t="str">
        <f>Fact_Defect_Split!E212</f>
        <v>A-AM</v>
      </c>
      <c r="F1265" s="4" t="str">
        <f>Fact_Defect_Split!F212</f>
        <v>C</v>
      </c>
      <c r="G1265" s="4" t="s">
        <v>503</v>
      </c>
      <c r="H1265" s="19">
        <f>Fact_Defect_Split!J212</f>
        <v>0</v>
      </c>
    </row>
    <row r="1266" spans="1:8" x14ac:dyDescent="0.25">
      <c r="A1266" s="18" t="s">
        <v>2247</v>
      </c>
      <c r="B1266" s="4">
        <f>Fact_Defect_Split!B212</f>
        <v>20260702</v>
      </c>
      <c r="C1266" s="4">
        <f>Fact_Defect_Split!C212</f>
        <v>6</v>
      </c>
      <c r="D1266" s="4" t="str">
        <f>Fact_Defect_Split!D212</f>
        <v>M1</v>
      </c>
      <c r="E1266" s="4" t="str">
        <f>Fact_Defect_Split!E212</f>
        <v>A-AM</v>
      </c>
      <c r="F1266" s="4" t="str">
        <f>Fact_Defect_Split!F212</f>
        <v>C</v>
      </c>
      <c r="G1266" s="4" t="s">
        <v>509</v>
      </c>
      <c r="H1266" s="19">
        <f>Fact_Defect_Split!K212</f>
        <v>0</v>
      </c>
    </row>
    <row r="1267" spans="1:8" x14ac:dyDescent="0.25">
      <c r="A1267" s="18" t="s">
        <v>2248</v>
      </c>
      <c r="B1267" s="4">
        <f>Fact_Defect_Split!B212</f>
        <v>20260702</v>
      </c>
      <c r="C1267" s="4">
        <f>Fact_Defect_Split!C212</f>
        <v>6</v>
      </c>
      <c r="D1267" s="4" t="str">
        <f>Fact_Defect_Split!D212</f>
        <v>M1</v>
      </c>
      <c r="E1267" s="4" t="str">
        <f>Fact_Defect_Split!E212</f>
        <v>A-AM</v>
      </c>
      <c r="F1267" s="4" t="str">
        <f>Fact_Defect_Split!F212</f>
        <v>C</v>
      </c>
      <c r="G1267" s="4" t="s">
        <v>520</v>
      </c>
      <c r="H1267" s="19">
        <f>Fact_Defect_Split!L212</f>
        <v>1</v>
      </c>
    </row>
    <row r="1268" spans="1:8" x14ac:dyDescent="0.25">
      <c r="A1268" s="18" t="s">
        <v>2249</v>
      </c>
      <c r="B1268" s="4">
        <f>Fact_Defect_Split!B213</f>
        <v>20260702</v>
      </c>
      <c r="C1268" s="4">
        <f>Fact_Defect_Split!C213</f>
        <v>6</v>
      </c>
      <c r="D1268" s="4" t="str">
        <f>Fact_Defect_Split!D213</f>
        <v>M2</v>
      </c>
      <c r="E1268" s="4" t="str">
        <f>Fact_Defect_Split!E213</f>
        <v>A-AM</v>
      </c>
      <c r="F1268" s="4" t="str">
        <f>Fact_Defect_Split!F213</f>
        <v>A</v>
      </c>
      <c r="G1268" s="4" t="s">
        <v>498</v>
      </c>
      <c r="H1268" s="19">
        <f>Fact_Defect_Split!G213</f>
        <v>0</v>
      </c>
    </row>
    <row r="1269" spans="1:8" x14ac:dyDescent="0.25">
      <c r="A1269" s="18" t="s">
        <v>2250</v>
      </c>
      <c r="B1269" s="4">
        <f>Fact_Defect_Split!B213</f>
        <v>20260702</v>
      </c>
      <c r="C1269" s="4">
        <f>Fact_Defect_Split!C213</f>
        <v>6</v>
      </c>
      <c r="D1269" s="4" t="str">
        <f>Fact_Defect_Split!D213</f>
        <v>M2</v>
      </c>
      <c r="E1269" s="4" t="str">
        <f>Fact_Defect_Split!E213</f>
        <v>A-AM</v>
      </c>
      <c r="F1269" s="4" t="str">
        <f>Fact_Defect_Split!F213</f>
        <v>A</v>
      </c>
      <c r="G1269" s="4" t="s">
        <v>500</v>
      </c>
      <c r="H1269" s="19">
        <f>Fact_Defect_Split!H213</f>
        <v>0</v>
      </c>
    </row>
    <row r="1270" spans="1:8" x14ac:dyDescent="0.25">
      <c r="A1270" s="18" t="s">
        <v>2251</v>
      </c>
      <c r="B1270" s="4">
        <f>Fact_Defect_Split!B213</f>
        <v>20260702</v>
      </c>
      <c r="C1270" s="4">
        <f>Fact_Defect_Split!C213</f>
        <v>6</v>
      </c>
      <c r="D1270" s="4" t="str">
        <f>Fact_Defect_Split!D213</f>
        <v>M2</v>
      </c>
      <c r="E1270" s="4" t="str">
        <f>Fact_Defect_Split!E213</f>
        <v>A-AM</v>
      </c>
      <c r="F1270" s="4" t="str">
        <f>Fact_Defect_Split!F213</f>
        <v>A</v>
      </c>
      <c r="G1270" s="4" t="s">
        <v>517</v>
      </c>
      <c r="H1270" s="19">
        <f>Fact_Defect_Split!I213</f>
        <v>0</v>
      </c>
    </row>
    <row r="1271" spans="1:8" x14ac:dyDescent="0.25">
      <c r="A1271" s="18" t="s">
        <v>2252</v>
      </c>
      <c r="B1271" s="4">
        <f>Fact_Defect_Split!B213</f>
        <v>20260702</v>
      </c>
      <c r="C1271" s="4">
        <f>Fact_Defect_Split!C213</f>
        <v>6</v>
      </c>
      <c r="D1271" s="4" t="str">
        <f>Fact_Defect_Split!D213</f>
        <v>M2</v>
      </c>
      <c r="E1271" s="4" t="str">
        <f>Fact_Defect_Split!E213</f>
        <v>A-AM</v>
      </c>
      <c r="F1271" s="4" t="str">
        <f>Fact_Defect_Split!F213</f>
        <v>A</v>
      </c>
      <c r="G1271" s="4" t="s">
        <v>503</v>
      </c>
      <c r="H1271" s="19">
        <f>Fact_Defect_Split!J213</f>
        <v>0</v>
      </c>
    </row>
    <row r="1272" spans="1:8" x14ac:dyDescent="0.25">
      <c r="A1272" s="18" t="s">
        <v>2253</v>
      </c>
      <c r="B1272" s="4">
        <f>Fact_Defect_Split!B213</f>
        <v>20260702</v>
      </c>
      <c r="C1272" s="4">
        <f>Fact_Defect_Split!C213</f>
        <v>6</v>
      </c>
      <c r="D1272" s="4" t="str">
        <f>Fact_Defect_Split!D213</f>
        <v>M2</v>
      </c>
      <c r="E1272" s="4" t="str">
        <f>Fact_Defect_Split!E213</f>
        <v>A-AM</v>
      </c>
      <c r="F1272" s="4" t="str">
        <f>Fact_Defect_Split!F213</f>
        <v>A</v>
      </c>
      <c r="G1272" s="4" t="s">
        <v>509</v>
      </c>
      <c r="H1272" s="19">
        <f>Fact_Defect_Split!K213</f>
        <v>1</v>
      </c>
    </row>
    <row r="1273" spans="1:8" x14ac:dyDescent="0.25">
      <c r="A1273" s="18" t="s">
        <v>2254</v>
      </c>
      <c r="B1273" s="4">
        <f>Fact_Defect_Split!B213</f>
        <v>20260702</v>
      </c>
      <c r="C1273" s="4">
        <f>Fact_Defect_Split!C213</f>
        <v>6</v>
      </c>
      <c r="D1273" s="4" t="str">
        <f>Fact_Defect_Split!D213</f>
        <v>M2</v>
      </c>
      <c r="E1273" s="4" t="str">
        <f>Fact_Defect_Split!E213</f>
        <v>A-AM</v>
      </c>
      <c r="F1273" s="4" t="str">
        <f>Fact_Defect_Split!F213</f>
        <v>A</v>
      </c>
      <c r="G1273" s="4" t="s">
        <v>520</v>
      </c>
      <c r="H1273" s="19">
        <f>Fact_Defect_Split!L213</f>
        <v>0</v>
      </c>
    </row>
    <row r="1274" spans="1:8" x14ac:dyDescent="0.25">
      <c r="A1274" s="18" t="s">
        <v>2255</v>
      </c>
      <c r="B1274" s="4">
        <f>Fact_Defect_Split!B214</f>
        <v>20260702</v>
      </c>
      <c r="C1274" s="4">
        <f>Fact_Defect_Split!C214</f>
        <v>6</v>
      </c>
      <c r="D1274" s="4" t="str">
        <f>Fact_Defect_Split!D214</f>
        <v>M3</v>
      </c>
      <c r="E1274" s="4" t="str">
        <f>Fact_Defect_Split!E214</f>
        <v>A-AM</v>
      </c>
      <c r="F1274" s="4" t="str">
        <f>Fact_Defect_Split!F214</f>
        <v>A</v>
      </c>
      <c r="G1274" s="4" t="s">
        <v>498</v>
      </c>
      <c r="H1274" s="19">
        <f>Fact_Defect_Split!G214</f>
        <v>0</v>
      </c>
    </row>
    <row r="1275" spans="1:8" x14ac:dyDescent="0.25">
      <c r="A1275" s="18" t="s">
        <v>2256</v>
      </c>
      <c r="B1275" s="4">
        <f>Fact_Defect_Split!B214</f>
        <v>20260702</v>
      </c>
      <c r="C1275" s="4">
        <f>Fact_Defect_Split!C214</f>
        <v>6</v>
      </c>
      <c r="D1275" s="4" t="str">
        <f>Fact_Defect_Split!D214</f>
        <v>M3</v>
      </c>
      <c r="E1275" s="4" t="str">
        <f>Fact_Defect_Split!E214</f>
        <v>A-AM</v>
      </c>
      <c r="F1275" s="4" t="str">
        <f>Fact_Defect_Split!F214</f>
        <v>A</v>
      </c>
      <c r="G1275" s="4" t="s">
        <v>500</v>
      </c>
      <c r="H1275" s="19">
        <f>Fact_Defect_Split!H214</f>
        <v>0</v>
      </c>
    </row>
    <row r="1276" spans="1:8" x14ac:dyDescent="0.25">
      <c r="A1276" s="18" t="s">
        <v>2257</v>
      </c>
      <c r="B1276" s="4">
        <f>Fact_Defect_Split!B214</f>
        <v>20260702</v>
      </c>
      <c r="C1276" s="4">
        <f>Fact_Defect_Split!C214</f>
        <v>6</v>
      </c>
      <c r="D1276" s="4" t="str">
        <f>Fact_Defect_Split!D214</f>
        <v>M3</v>
      </c>
      <c r="E1276" s="4" t="str">
        <f>Fact_Defect_Split!E214</f>
        <v>A-AM</v>
      </c>
      <c r="F1276" s="4" t="str">
        <f>Fact_Defect_Split!F214</f>
        <v>A</v>
      </c>
      <c r="G1276" s="4" t="s">
        <v>517</v>
      </c>
      <c r="H1276" s="19">
        <f>Fact_Defect_Split!I214</f>
        <v>0</v>
      </c>
    </row>
    <row r="1277" spans="1:8" x14ac:dyDescent="0.25">
      <c r="A1277" s="18" t="s">
        <v>2258</v>
      </c>
      <c r="B1277" s="4">
        <f>Fact_Defect_Split!B214</f>
        <v>20260702</v>
      </c>
      <c r="C1277" s="4">
        <f>Fact_Defect_Split!C214</f>
        <v>6</v>
      </c>
      <c r="D1277" s="4" t="str">
        <f>Fact_Defect_Split!D214</f>
        <v>M3</v>
      </c>
      <c r="E1277" s="4" t="str">
        <f>Fact_Defect_Split!E214</f>
        <v>A-AM</v>
      </c>
      <c r="F1277" s="4" t="str">
        <f>Fact_Defect_Split!F214</f>
        <v>A</v>
      </c>
      <c r="G1277" s="4" t="s">
        <v>503</v>
      </c>
      <c r="H1277" s="19">
        <f>Fact_Defect_Split!J214</f>
        <v>0</v>
      </c>
    </row>
    <row r="1278" spans="1:8" x14ac:dyDescent="0.25">
      <c r="A1278" s="18" t="s">
        <v>2259</v>
      </c>
      <c r="B1278" s="4">
        <f>Fact_Defect_Split!B214</f>
        <v>20260702</v>
      </c>
      <c r="C1278" s="4">
        <f>Fact_Defect_Split!C214</f>
        <v>6</v>
      </c>
      <c r="D1278" s="4" t="str">
        <f>Fact_Defect_Split!D214</f>
        <v>M3</v>
      </c>
      <c r="E1278" s="4" t="str">
        <f>Fact_Defect_Split!E214</f>
        <v>A-AM</v>
      </c>
      <c r="F1278" s="4" t="str">
        <f>Fact_Defect_Split!F214</f>
        <v>A</v>
      </c>
      <c r="G1278" s="4" t="s">
        <v>509</v>
      </c>
      <c r="H1278" s="19">
        <f>Fact_Defect_Split!K214</f>
        <v>1</v>
      </c>
    </row>
    <row r="1279" spans="1:8" x14ac:dyDescent="0.25">
      <c r="A1279" s="18" t="s">
        <v>2260</v>
      </c>
      <c r="B1279" s="4">
        <f>Fact_Defect_Split!B214</f>
        <v>20260702</v>
      </c>
      <c r="C1279" s="4">
        <f>Fact_Defect_Split!C214</f>
        <v>6</v>
      </c>
      <c r="D1279" s="4" t="str">
        <f>Fact_Defect_Split!D214</f>
        <v>M3</v>
      </c>
      <c r="E1279" s="4" t="str">
        <f>Fact_Defect_Split!E214</f>
        <v>A-AM</v>
      </c>
      <c r="F1279" s="4" t="str">
        <f>Fact_Defect_Split!F214</f>
        <v>A</v>
      </c>
      <c r="G1279" s="4" t="s">
        <v>520</v>
      </c>
      <c r="H1279" s="19">
        <f>Fact_Defect_Split!L214</f>
        <v>0</v>
      </c>
    </row>
    <row r="1280" spans="1:8" x14ac:dyDescent="0.25">
      <c r="A1280" s="18" t="s">
        <v>2261</v>
      </c>
      <c r="B1280" s="4">
        <f>Fact_Defect_Split!B215</f>
        <v>20260702</v>
      </c>
      <c r="C1280" s="4">
        <f>Fact_Defect_Split!C215</f>
        <v>6</v>
      </c>
      <c r="D1280" s="4" t="str">
        <f>Fact_Defect_Split!D215</f>
        <v>M4</v>
      </c>
      <c r="E1280" s="4" t="str">
        <f>Fact_Defect_Split!E215</f>
        <v>A-AM</v>
      </c>
      <c r="F1280" s="4" t="str">
        <f>Fact_Defect_Split!F215</f>
        <v>A</v>
      </c>
      <c r="G1280" s="4" t="s">
        <v>498</v>
      </c>
      <c r="H1280" s="19">
        <f>Fact_Defect_Split!G215</f>
        <v>0</v>
      </c>
    </row>
    <row r="1281" spans="1:8" x14ac:dyDescent="0.25">
      <c r="A1281" s="18" t="s">
        <v>2262</v>
      </c>
      <c r="B1281" s="4">
        <f>Fact_Defect_Split!B215</f>
        <v>20260702</v>
      </c>
      <c r="C1281" s="4">
        <f>Fact_Defect_Split!C215</f>
        <v>6</v>
      </c>
      <c r="D1281" s="4" t="str">
        <f>Fact_Defect_Split!D215</f>
        <v>M4</v>
      </c>
      <c r="E1281" s="4" t="str">
        <f>Fact_Defect_Split!E215</f>
        <v>A-AM</v>
      </c>
      <c r="F1281" s="4" t="str">
        <f>Fact_Defect_Split!F215</f>
        <v>A</v>
      </c>
      <c r="G1281" s="4" t="s">
        <v>500</v>
      </c>
      <c r="H1281" s="19">
        <f>Fact_Defect_Split!H215</f>
        <v>0</v>
      </c>
    </row>
    <row r="1282" spans="1:8" x14ac:dyDescent="0.25">
      <c r="A1282" s="18" t="s">
        <v>2263</v>
      </c>
      <c r="B1282" s="4">
        <f>Fact_Defect_Split!B215</f>
        <v>20260702</v>
      </c>
      <c r="C1282" s="4">
        <f>Fact_Defect_Split!C215</f>
        <v>6</v>
      </c>
      <c r="D1282" s="4" t="str">
        <f>Fact_Defect_Split!D215</f>
        <v>M4</v>
      </c>
      <c r="E1282" s="4" t="str">
        <f>Fact_Defect_Split!E215</f>
        <v>A-AM</v>
      </c>
      <c r="F1282" s="4" t="str">
        <f>Fact_Defect_Split!F215</f>
        <v>A</v>
      </c>
      <c r="G1282" s="4" t="s">
        <v>517</v>
      </c>
      <c r="H1282" s="19">
        <f>Fact_Defect_Split!I215</f>
        <v>0</v>
      </c>
    </row>
    <row r="1283" spans="1:8" x14ac:dyDescent="0.25">
      <c r="A1283" s="18" t="s">
        <v>2264</v>
      </c>
      <c r="B1283" s="4">
        <f>Fact_Defect_Split!B215</f>
        <v>20260702</v>
      </c>
      <c r="C1283" s="4">
        <f>Fact_Defect_Split!C215</f>
        <v>6</v>
      </c>
      <c r="D1283" s="4" t="str">
        <f>Fact_Defect_Split!D215</f>
        <v>M4</v>
      </c>
      <c r="E1283" s="4" t="str">
        <f>Fact_Defect_Split!E215</f>
        <v>A-AM</v>
      </c>
      <c r="F1283" s="4" t="str">
        <f>Fact_Defect_Split!F215</f>
        <v>A</v>
      </c>
      <c r="G1283" s="4" t="s">
        <v>503</v>
      </c>
      <c r="H1283" s="19">
        <f>Fact_Defect_Split!J215</f>
        <v>0</v>
      </c>
    </row>
    <row r="1284" spans="1:8" x14ac:dyDescent="0.25">
      <c r="A1284" s="18" t="s">
        <v>2265</v>
      </c>
      <c r="B1284" s="4">
        <f>Fact_Defect_Split!B215</f>
        <v>20260702</v>
      </c>
      <c r="C1284" s="4">
        <f>Fact_Defect_Split!C215</f>
        <v>6</v>
      </c>
      <c r="D1284" s="4" t="str">
        <f>Fact_Defect_Split!D215</f>
        <v>M4</v>
      </c>
      <c r="E1284" s="4" t="str">
        <f>Fact_Defect_Split!E215</f>
        <v>A-AM</v>
      </c>
      <c r="F1284" s="4" t="str">
        <f>Fact_Defect_Split!F215</f>
        <v>A</v>
      </c>
      <c r="G1284" s="4" t="s">
        <v>509</v>
      </c>
      <c r="H1284" s="19">
        <f>Fact_Defect_Split!K215</f>
        <v>1</v>
      </c>
    </row>
    <row r="1285" spans="1:8" x14ac:dyDescent="0.25">
      <c r="A1285" s="18" t="s">
        <v>2266</v>
      </c>
      <c r="B1285" s="4">
        <f>Fact_Defect_Split!B215</f>
        <v>20260702</v>
      </c>
      <c r="C1285" s="4">
        <f>Fact_Defect_Split!C215</f>
        <v>6</v>
      </c>
      <c r="D1285" s="4" t="str">
        <f>Fact_Defect_Split!D215</f>
        <v>M4</v>
      </c>
      <c r="E1285" s="4" t="str">
        <f>Fact_Defect_Split!E215</f>
        <v>A-AM</v>
      </c>
      <c r="F1285" s="4" t="str">
        <f>Fact_Defect_Split!F215</f>
        <v>A</v>
      </c>
      <c r="G1285" s="4" t="s">
        <v>520</v>
      </c>
      <c r="H1285" s="19">
        <f>Fact_Defect_Split!L215</f>
        <v>0</v>
      </c>
    </row>
    <row r="1286" spans="1:8" x14ac:dyDescent="0.25">
      <c r="A1286" s="18" t="s">
        <v>2267</v>
      </c>
      <c r="B1286" s="4">
        <f>Fact_Defect_Split!B216</f>
        <v>20260702</v>
      </c>
      <c r="C1286" s="4">
        <f>Fact_Defect_Split!C216</f>
        <v>6</v>
      </c>
      <c r="D1286" s="4" t="str">
        <f>Fact_Defect_Split!D216</f>
        <v>M5</v>
      </c>
      <c r="E1286" s="4" t="str">
        <f>Fact_Defect_Split!E216</f>
        <v>A-AM</v>
      </c>
      <c r="F1286" s="4" t="str">
        <f>Fact_Defect_Split!F216</f>
        <v>C</v>
      </c>
      <c r="G1286" s="4" t="s">
        <v>498</v>
      </c>
      <c r="H1286" s="19">
        <f>Fact_Defect_Split!G216</f>
        <v>0</v>
      </c>
    </row>
    <row r="1287" spans="1:8" x14ac:dyDescent="0.25">
      <c r="A1287" s="18" t="s">
        <v>2268</v>
      </c>
      <c r="B1287" s="4">
        <f>Fact_Defect_Split!B216</f>
        <v>20260702</v>
      </c>
      <c r="C1287" s="4">
        <f>Fact_Defect_Split!C216</f>
        <v>6</v>
      </c>
      <c r="D1287" s="4" t="str">
        <f>Fact_Defect_Split!D216</f>
        <v>M5</v>
      </c>
      <c r="E1287" s="4" t="str">
        <f>Fact_Defect_Split!E216</f>
        <v>A-AM</v>
      </c>
      <c r="F1287" s="4" t="str">
        <f>Fact_Defect_Split!F216</f>
        <v>C</v>
      </c>
      <c r="G1287" s="4" t="s">
        <v>500</v>
      </c>
      <c r="H1287" s="19">
        <f>Fact_Defect_Split!H216</f>
        <v>0</v>
      </c>
    </row>
    <row r="1288" spans="1:8" x14ac:dyDescent="0.25">
      <c r="A1288" s="18" t="s">
        <v>2269</v>
      </c>
      <c r="B1288" s="4">
        <f>Fact_Defect_Split!B216</f>
        <v>20260702</v>
      </c>
      <c r="C1288" s="4">
        <f>Fact_Defect_Split!C216</f>
        <v>6</v>
      </c>
      <c r="D1288" s="4" t="str">
        <f>Fact_Defect_Split!D216</f>
        <v>M5</v>
      </c>
      <c r="E1288" s="4" t="str">
        <f>Fact_Defect_Split!E216</f>
        <v>A-AM</v>
      </c>
      <c r="F1288" s="4" t="str">
        <f>Fact_Defect_Split!F216</f>
        <v>C</v>
      </c>
      <c r="G1288" s="4" t="s">
        <v>517</v>
      </c>
      <c r="H1288" s="19">
        <f>Fact_Defect_Split!I216</f>
        <v>0</v>
      </c>
    </row>
    <row r="1289" spans="1:8" x14ac:dyDescent="0.25">
      <c r="A1289" s="18" t="s">
        <v>2270</v>
      </c>
      <c r="B1289" s="4">
        <f>Fact_Defect_Split!B216</f>
        <v>20260702</v>
      </c>
      <c r="C1289" s="4">
        <f>Fact_Defect_Split!C216</f>
        <v>6</v>
      </c>
      <c r="D1289" s="4" t="str">
        <f>Fact_Defect_Split!D216</f>
        <v>M5</v>
      </c>
      <c r="E1289" s="4" t="str">
        <f>Fact_Defect_Split!E216</f>
        <v>A-AM</v>
      </c>
      <c r="F1289" s="4" t="str">
        <f>Fact_Defect_Split!F216</f>
        <v>C</v>
      </c>
      <c r="G1289" s="4" t="s">
        <v>503</v>
      </c>
      <c r="H1289" s="19">
        <f>Fact_Defect_Split!J216</f>
        <v>0</v>
      </c>
    </row>
    <row r="1290" spans="1:8" x14ac:dyDescent="0.25">
      <c r="A1290" s="18" t="s">
        <v>2271</v>
      </c>
      <c r="B1290" s="4">
        <f>Fact_Defect_Split!B216</f>
        <v>20260702</v>
      </c>
      <c r="C1290" s="4">
        <f>Fact_Defect_Split!C216</f>
        <v>6</v>
      </c>
      <c r="D1290" s="4" t="str">
        <f>Fact_Defect_Split!D216</f>
        <v>M5</v>
      </c>
      <c r="E1290" s="4" t="str">
        <f>Fact_Defect_Split!E216</f>
        <v>A-AM</v>
      </c>
      <c r="F1290" s="4" t="str">
        <f>Fact_Defect_Split!F216</f>
        <v>C</v>
      </c>
      <c r="G1290" s="4" t="s">
        <v>509</v>
      </c>
      <c r="H1290" s="19">
        <f>Fact_Defect_Split!K216</f>
        <v>1</v>
      </c>
    </row>
    <row r="1291" spans="1:8" x14ac:dyDescent="0.25">
      <c r="A1291" s="18" t="s">
        <v>2272</v>
      </c>
      <c r="B1291" s="4">
        <f>Fact_Defect_Split!B216</f>
        <v>20260702</v>
      </c>
      <c r="C1291" s="4">
        <f>Fact_Defect_Split!C216</f>
        <v>6</v>
      </c>
      <c r="D1291" s="4" t="str">
        <f>Fact_Defect_Split!D216</f>
        <v>M5</v>
      </c>
      <c r="E1291" s="4" t="str">
        <f>Fact_Defect_Split!E216</f>
        <v>A-AM</v>
      </c>
      <c r="F1291" s="4" t="str">
        <f>Fact_Defect_Split!F216</f>
        <v>C</v>
      </c>
      <c r="G1291" s="4" t="s">
        <v>520</v>
      </c>
      <c r="H1291" s="19">
        <f>Fact_Defect_Split!L216</f>
        <v>0</v>
      </c>
    </row>
    <row r="1292" spans="1:8" x14ac:dyDescent="0.25">
      <c r="A1292" s="18" t="s">
        <v>2273</v>
      </c>
      <c r="B1292" s="4">
        <f>Fact_Defect_Split!B217</f>
        <v>20260702</v>
      </c>
      <c r="C1292" s="4">
        <f>Fact_Defect_Split!C217</f>
        <v>6</v>
      </c>
      <c r="D1292" s="4" t="str">
        <f>Fact_Defect_Split!D217</f>
        <v>M6</v>
      </c>
      <c r="E1292" s="4" t="str">
        <f>Fact_Defect_Split!E217</f>
        <v>A-AM</v>
      </c>
      <c r="F1292" s="4" t="str">
        <f>Fact_Defect_Split!F217</f>
        <v>C</v>
      </c>
      <c r="G1292" s="4" t="s">
        <v>498</v>
      </c>
      <c r="H1292" s="19">
        <f>Fact_Defect_Split!G217</f>
        <v>0</v>
      </c>
    </row>
    <row r="1293" spans="1:8" x14ac:dyDescent="0.25">
      <c r="A1293" s="18" t="s">
        <v>2274</v>
      </c>
      <c r="B1293" s="4">
        <f>Fact_Defect_Split!B217</f>
        <v>20260702</v>
      </c>
      <c r="C1293" s="4">
        <f>Fact_Defect_Split!C217</f>
        <v>6</v>
      </c>
      <c r="D1293" s="4" t="str">
        <f>Fact_Defect_Split!D217</f>
        <v>M6</v>
      </c>
      <c r="E1293" s="4" t="str">
        <f>Fact_Defect_Split!E217</f>
        <v>A-AM</v>
      </c>
      <c r="F1293" s="4" t="str">
        <f>Fact_Defect_Split!F217</f>
        <v>C</v>
      </c>
      <c r="G1293" s="4" t="s">
        <v>500</v>
      </c>
      <c r="H1293" s="19">
        <f>Fact_Defect_Split!H217</f>
        <v>0</v>
      </c>
    </row>
    <row r="1294" spans="1:8" x14ac:dyDescent="0.25">
      <c r="A1294" s="18" t="s">
        <v>2275</v>
      </c>
      <c r="B1294" s="4">
        <f>Fact_Defect_Split!B217</f>
        <v>20260702</v>
      </c>
      <c r="C1294" s="4">
        <f>Fact_Defect_Split!C217</f>
        <v>6</v>
      </c>
      <c r="D1294" s="4" t="str">
        <f>Fact_Defect_Split!D217</f>
        <v>M6</v>
      </c>
      <c r="E1294" s="4" t="str">
        <f>Fact_Defect_Split!E217</f>
        <v>A-AM</v>
      </c>
      <c r="F1294" s="4" t="str">
        <f>Fact_Defect_Split!F217</f>
        <v>C</v>
      </c>
      <c r="G1294" s="4" t="s">
        <v>517</v>
      </c>
      <c r="H1294" s="19">
        <f>Fact_Defect_Split!I217</f>
        <v>0</v>
      </c>
    </row>
    <row r="1295" spans="1:8" x14ac:dyDescent="0.25">
      <c r="A1295" s="18" t="s">
        <v>2276</v>
      </c>
      <c r="B1295" s="4">
        <f>Fact_Defect_Split!B217</f>
        <v>20260702</v>
      </c>
      <c r="C1295" s="4">
        <f>Fact_Defect_Split!C217</f>
        <v>6</v>
      </c>
      <c r="D1295" s="4" t="str">
        <f>Fact_Defect_Split!D217</f>
        <v>M6</v>
      </c>
      <c r="E1295" s="4" t="str">
        <f>Fact_Defect_Split!E217</f>
        <v>A-AM</v>
      </c>
      <c r="F1295" s="4" t="str">
        <f>Fact_Defect_Split!F217</f>
        <v>C</v>
      </c>
      <c r="G1295" s="4" t="s">
        <v>503</v>
      </c>
      <c r="H1295" s="19">
        <f>Fact_Defect_Split!J217</f>
        <v>0</v>
      </c>
    </row>
    <row r="1296" spans="1:8" x14ac:dyDescent="0.25">
      <c r="A1296" s="18" t="s">
        <v>2277</v>
      </c>
      <c r="B1296" s="4">
        <f>Fact_Defect_Split!B217</f>
        <v>20260702</v>
      </c>
      <c r="C1296" s="4">
        <f>Fact_Defect_Split!C217</f>
        <v>6</v>
      </c>
      <c r="D1296" s="4" t="str">
        <f>Fact_Defect_Split!D217</f>
        <v>M6</v>
      </c>
      <c r="E1296" s="4" t="str">
        <f>Fact_Defect_Split!E217</f>
        <v>A-AM</v>
      </c>
      <c r="F1296" s="4" t="str">
        <f>Fact_Defect_Split!F217</f>
        <v>C</v>
      </c>
      <c r="G1296" s="4" t="s">
        <v>509</v>
      </c>
      <c r="H1296" s="19">
        <f>Fact_Defect_Split!K217</f>
        <v>1</v>
      </c>
    </row>
    <row r="1297" spans="1:8" x14ac:dyDescent="0.25">
      <c r="A1297" s="18" t="s">
        <v>2278</v>
      </c>
      <c r="B1297" s="4">
        <f>Fact_Defect_Split!B217</f>
        <v>20260702</v>
      </c>
      <c r="C1297" s="4">
        <f>Fact_Defect_Split!C217</f>
        <v>6</v>
      </c>
      <c r="D1297" s="4" t="str">
        <f>Fact_Defect_Split!D217</f>
        <v>M6</v>
      </c>
      <c r="E1297" s="4" t="str">
        <f>Fact_Defect_Split!E217</f>
        <v>A-AM</v>
      </c>
      <c r="F1297" s="4" t="str">
        <f>Fact_Defect_Split!F217</f>
        <v>C</v>
      </c>
      <c r="G1297" s="4" t="s">
        <v>520</v>
      </c>
      <c r="H1297" s="19">
        <f>Fact_Defect_Split!L217</f>
        <v>0</v>
      </c>
    </row>
    <row r="1298" spans="1:8" x14ac:dyDescent="0.25">
      <c r="A1298" s="18" t="s">
        <v>2279</v>
      </c>
      <c r="B1298" s="4">
        <f>Fact_Defect_Split!B218</f>
        <v>20260702</v>
      </c>
      <c r="C1298" s="4">
        <f>Fact_Defect_Split!C218</f>
        <v>6</v>
      </c>
      <c r="D1298" s="4" t="str">
        <f>Fact_Defect_Split!D218</f>
        <v>M7</v>
      </c>
      <c r="E1298" s="4" t="str">
        <f>Fact_Defect_Split!E218</f>
        <v>A-AM</v>
      </c>
      <c r="F1298" s="4" t="str">
        <f>Fact_Defect_Split!F218</f>
        <v>C</v>
      </c>
      <c r="G1298" s="4" t="s">
        <v>498</v>
      </c>
      <c r="H1298" s="19">
        <f>Fact_Defect_Split!G218</f>
        <v>0</v>
      </c>
    </row>
    <row r="1299" spans="1:8" x14ac:dyDescent="0.25">
      <c r="A1299" s="18" t="s">
        <v>2280</v>
      </c>
      <c r="B1299" s="4">
        <f>Fact_Defect_Split!B218</f>
        <v>20260702</v>
      </c>
      <c r="C1299" s="4">
        <f>Fact_Defect_Split!C218</f>
        <v>6</v>
      </c>
      <c r="D1299" s="4" t="str">
        <f>Fact_Defect_Split!D218</f>
        <v>M7</v>
      </c>
      <c r="E1299" s="4" t="str">
        <f>Fact_Defect_Split!E218</f>
        <v>A-AM</v>
      </c>
      <c r="F1299" s="4" t="str">
        <f>Fact_Defect_Split!F218</f>
        <v>C</v>
      </c>
      <c r="G1299" s="4" t="s">
        <v>500</v>
      </c>
      <c r="H1299" s="19">
        <f>Fact_Defect_Split!H218</f>
        <v>0</v>
      </c>
    </row>
    <row r="1300" spans="1:8" x14ac:dyDescent="0.25">
      <c r="A1300" s="18" t="s">
        <v>2281</v>
      </c>
      <c r="B1300" s="4">
        <f>Fact_Defect_Split!B218</f>
        <v>20260702</v>
      </c>
      <c r="C1300" s="4">
        <f>Fact_Defect_Split!C218</f>
        <v>6</v>
      </c>
      <c r="D1300" s="4" t="str">
        <f>Fact_Defect_Split!D218</f>
        <v>M7</v>
      </c>
      <c r="E1300" s="4" t="str">
        <f>Fact_Defect_Split!E218</f>
        <v>A-AM</v>
      </c>
      <c r="F1300" s="4" t="str">
        <f>Fact_Defect_Split!F218</f>
        <v>C</v>
      </c>
      <c r="G1300" s="4" t="s">
        <v>517</v>
      </c>
      <c r="H1300" s="19">
        <f>Fact_Defect_Split!I218</f>
        <v>1</v>
      </c>
    </row>
    <row r="1301" spans="1:8" x14ac:dyDescent="0.25">
      <c r="A1301" s="18" t="s">
        <v>2282</v>
      </c>
      <c r="B1301" s="4">
        <f>Fact_Defect_Split!B218</f>
        <v>20260702</v>
      </c>
      <c r="C1301" s="4">
        <f>Fact_Defect_Split!C218</f>
        <v>6</v>
      </c>
      <c r="D1301" s="4" t="str">
        <f>Fact_Defect_Split!D218</f>
        <v>M7</v>
      </c>
      <c r="E1301" s="4" t="str">
        <f>Fact_Defect_Split!E218</f>
        <v>A-AM</v>
      </c>
      <c r="F1301" s="4" t="str">
        <f>Fact_Defect_Split!F218</f>
        <v>C</v>
      </c>
      <c r="G1301" s="4" t="s">
        <v>503</v>
      </c>
      <c r="H1301" s="19">
        <f>Fact_Defect_Split!J218</f>
        <v>0</v>
      </c>
    </row>
    <row r="1302" spans="1:8" x14ac:dyDescent="0.25">
      <c r="A1302" s="18" t="s">
        <v>2283</v>
      </c>
      <c r="B1302" s="4">
        <f>Fact_Defect_Split!B218</f>
        <v>20260702</v>
      </c>
      <c r="C1302" s="4">
        <f>Fact_Defect_Split!C218</f>
        <v>6</v>
      </c>
      <c r="D1302" s="4" t="str">
        <f>Fact_Defect_Split!D218</f>
        <v>M7</v>
      </c>
      <c r="E1302" s="4" t="str">
        <f>Fact_Defect_Split!E218</f>
        <v>A-AM</v>
      </c>
      <c r="F1302" s="4" t="str">
        <f>Fact_Defect_Split!F218</f>
        <v>C</v>
      </c>
      <c r="G1302" s="4" t="s">
        <v>509</v>
      </c>
      <c r="H1302" s="19">
        <f>Fact_Defect_Split!K218</f>
        <v>1</v>
      </c>
    </row>
    <row r="1303" spans="1:8" x14ac:dyDescent="0.25">
      <c r="A1303" s="18" t="s">
        <v>2284</v>
      </c>
      <c r="B1303" s="4">
        <f>Fact_Defect_Split!B218</f>
        <v>20260702</v>
      </c>
      <c r="C1303" s="4">
        <f>Fact_Defect_Split!C218</f>
        <v>6</v>
      </c>
      <c r="D1303" s="4" t="str">
        <f>Fact_Defect_Split!D218</f>
        <v>M7</v>
      </c>
      <c r="E1303" s="4" t="str">
        <f>Fact_Defect_Split!E218</f>
        <v>A-AM</v>
      </c>
      <c r="F1303" s="4" t="str">
        <f>Fact_Defect_Split!F218</f>
        <v>C</v>
      </c>
      <c r="G1303" s="4" t="s">
        <v>520</v>
      </c>
      <c r="H1303" s="19">
        <f>Fact_Defect_Split!L218</f>
        <v>1</v>
      </c>
    </row>
    <row r="1304" spans="1:8" x14ac:dyDescent="0.25">
      <c r="A1304" s="18" t="s">
        <v>2285</v>
      </c>
      <c r="B1304" s="4">
        <f>Fact_Defect_Split!B219</f>
        <v>20260702</v>
      </c>
      <c r="C1304" s="4">
        <f>Fact_Defect_Split!C219</f>
        <v>7</v>
      </c>
      <c r="D1304" s="4" t="str">
        <f>Fact_Defect_Split!D219</f>
        <v>M1</v>
      </c>
      <c r="E1304" s="4" t="str">
        <f>Fact_Defect_Split!E219</f>
        <v>A-AM</v>
      </c>
      <c r="F1304" s="4" t="str">
        <f>Fact_Defect_Split!F219</f>
        <v>C</v>
      </c>
      <c r="G1304" s="4" t="s">
        <v>498</v>
      </c>
      <c r="H1304" s="19">
        <f>Fact_Defect_Split!G219</f>
        <v>0</v>
      </c>
    </row>
    <row r="1305" spans="1:8" x14ac:dyDescent="0.25">
      <c r="A1305" s="18" t="s">
        <v>2286</v>
      </c>
      <c r="B1305" s="4">
        <f>Fact_Defect_Split!B219</f>
        <v>20260702</v>
      </c>
      <c r="C1305" s="4">
        <f>Fact_Defect_Split!C219</f>
        <v>7</v>
      </c>
      <c r="D1305" s="4" t="str">
        <f>Fact_Defect_Split!D219</f>
        <v>M1</v>
      </c>
      <c r="E1305" s="4" t="str">
        <f>Fact_Defect_Split!E219</f>
        <v>A-AM</v>
      </c>
      <c r="F1305" s="4" t="str">
        <f>Fact_Defect_Split!F219</f>
        <v>C</v>
      </c>
      <c r="G1305" s="4" t="s">
        <v>500</v>
      </c>
      <c r="H1305" s="19">
        <f>Fact_Defect_Split!H219</f>
        <v>0</v>
      </c>
    </row>
    <row r="1306" spans="1:8" x14ac:dyDescent="0.25">
      <c r="A1306" s="18" t="s">
        <v>2287</v>
      </c>
      <c r="B1306" s="4">
        <f>Fact_Defect_Split!B219</f>
        <v>20260702</v>
      </c>
      <c r="C1306" s="4">
        <f>Fact_Defect_Split!C219</f>
        <v>7</v>
      </c>
      <c r="D1306" s="4" t="str">
        <f>Fact_Defect_Split!D219</f>
        <v>M1</v>
      </c>
      <c r="E1306" s="4" t="str">
        <f>Fact_Defect_Split!E219</f>
        <v>A-AM</v>
      </c>
      <c r="F1306" s="4" t="str">
        <f>Fact_Defect_Split!F219</f>
        <v>C</v>
      </c>
      <c r="G1306" s="4" t="s">
        <v>517</v>
      </c>
      <c r="H1306" s="19">
        <f>Fact_Defect_Split!I219</f>
        <v>0</v>
      </c>
    </row>
    <row r="1307" spans="1:8" x14ac:dyDescent="0.25">
      <c r="A1307" s="18" t="s">
        <v>2288</v>
      </c>
      <c r="B1307" s="4">
        <f>Fact_Defect_Split!B219</f>
        <v>20260702</v>
      </c>
      <c r="C1307" s="4">
        <f>Fact_Defect_Split!C219</f>
        <v>7</v>
      </c>
      <c r="D1307" s="4" t="str">
        <f>Fact_Defect_Split!D219</f>
        <v>M1</v>
      </c>
      <c r="E1307" s="4" t="str">
        <f>Fact_Defect_Split!E219</f>
        <v>A-AM</v>
      </c>
      <c r="F1307" s="4" t="str">
        <f>Fact_Defect_Split!F219</f>
        <v>C</v>
      </c>
      <c r="G1307" s="4" t="s">
        <v>503</v>
      </c>
      <c r="H1307" s="19">
        <f>Fact_Defect_Split!J219</f>
        <v>1</v>
      </c>
    </row>
    <row r="1308" spans="1:8" x14ac:dyDescent="0.25">
      <c r="A1308" s="18" t="s">
        <v>2289</v>
      </c>
      <c r="B1308" s="4">
        <f>Fact_Defect_Split!B219</f>
        <v>20260702</v>
      </c>
      <c r="C1308" s="4">
        <f>Fact_Defect_Split!C219</f>
        <v>7</v>
      </c>
      <c r="D1308" s="4" t="str">
        <f>Fact_Defect_Split!D219</f>
        <v>M1</v>
      </c>
      <c r="E1308" s="4" t="str">
        <f>Fact_Defect_Split!E219</f>
        <v>A-AM</v>
      </c>
      <c r="F1308" s="4" t="str">
        <f>Fact_Defect_Split!F219</f>
        <v>C</v>
      </c>
      <c r="G1308" s="4" t="s">
        <v>509</v>
      </c>
      <c r="H1308" s="19">
        <f>Fact_Defect_Split!K219</f>
        <v>0</v>
      </c>
    </row>
    <row r="1309" spans="1:8" x14ac:dyDescent="0.25">
      <c r="A1309" s="18" t="s">
        <v>2290</v>
      </c>
      <c r="B1309" s="4">
        <f>Fact_Defect_Split!B219</f>
        <v>20260702</v>
      </c>
      <c r="C1309" s="4">
        <f>Fact_Defect_Split!C219</f>
        <v>7</v>
      </c>
      <c r="D1309" s="4" t="str">
        <f>Fact_Defect_Split!D219</f>
        <v>M1</v>
      </c>
      <c r="E1309" s="4" t="str">
        <f>Fact_Defect_Split!E219</f>
        <v>A-AM</v>
      </c>
      <c r="F1309" s="4" t="str">
        <f>Fact_Defect_Split!F219</f>
        <v>C</v>
      </c>
      <c r="G1309" s="4" t="s">
        <v>520</v>
      </c>
      <c r="H1309" s="19">
        <f>Fact_Defect_Split!L219</f>
        <v>1</v>
      </c>
    </row>
    <row r="1310" spans="1:8" x14ac:dyDescent="0.25">
      <c r="A1310" s="18" t="s">
        <v>2291</v>
      </c>
      <c r="B1310" s="4">
        <f>Fact_Defect_Split!B220</f>
        <v>20260702</v>
      </c>
      <c r="C1310" s="4">
        <f>Fact_Defect_Split!C220</f>
        <v>7</v>
      </c>
      <c r="D1310" s="4" t="str">
        <f>Fact_Defect_Split!D220</f>
        <v>M2</v>
      </c>
      <c r="E1310" s="4" t="str">
        <f>Fact_Defect_Split!E220</f>
        <v>A-AM</v>
      </c>
      <c r="F1310" s="4" t="str">
        <f>Fact_Defect_Split!F220</f>
        <v>A</v>
      </c>
      <c r="G1310" s="4" t="s">
        <v>498</v>
      </c>
      <c r="H1310" s="19">
        <f>Fact_Defect_Split!G220</f>
        <v>0</v>
      </c>
    </row>
    <row r="1311" spans="1:8" x14ac:dyDescent="0.25">
      <c r="A1311" s="18" t="s">
        <v>2292</v>
      </c>
      <c r="B1311" s="4">
        <f>Fact_Defect_Split!B220</f>
        <v>20260702</v>
      </c>
      <c r="C1311" s="4">
        <f>Fact_Defect_Split!C220</f>
        <v>7</v>
      </c>
      <c r="D1311" s="4" t="str">
        <f>Fact_Defect_Split!D220</f>
        <v>M2</v>
      </c>
      <c r="E1311" s="4" t="str">
        <f>Fact_Defect_Split!E220</f>
        <v>A-AM</v>
      </c>
      <c r="F1311" s="4" t="str">
        <f>Fact_Defect_Split!F220</f>
        <v>A</v>
      </c>
      <c r="G1311" s="4" t="s">
        <v>500</v>
      </c>
      <c r="H1311" s="19">
        <f>Fact_Defect_Split!H220</f>
        <v>0</v>
      </c>
    </row>
    <row r="1312" spans="1:8" x14ac:dyDescent="0.25">
      <c r="A1312" s="18" t="s">
        <v>2293</v>
      </c>
      <c r="B1312" s="4">
        <f>Fact_Defect_Split!B220</f>
        <v>20260702</v>
      </c>
      <c r="C1312" s="4">
        <f>Fact_Defect_Split!C220</f>
        <v>7</v>
      </c>
      <c r="D1312" s="4" t="str">
        <f>Fact_Defect_Split!D220</f>
        <v>M2</v>
      </c>
      <c r="E1312" s="4" t="str">
        <f>Fact_Defect_Split!E220</f>
        <v>A-AM</v>
      </c>
      <c r="F1312" s="4" t="str">
        <f>Fact_Defect_Split!F220</f>
        <v>A</v>
      </c>
      <c r="G1312" s="4" t="s">
        <v>517</v>
      </c>
      <c r="H1312" s="19">
        <f>Fact_Defect_Split!I220</f>
        <v>1</v>
      </c>
    </row>
    <row r="1313" spans="1:8" x14ac:dyDescent="0.25">
      <c r="A1313" s="18" t="s">
        <v>2294</v>
      </c>
      <c r="B1313" s="4">
        <f>Fact_Defect_Split!B220</f>
        <v>20260702</v>
      </c>
      <c r="C1313" s="4">
        <f>Fact_Defect_Split!C220</f>
        <v>7</v>
      </c>
      <c r="D1313" s="4" t="str">
        <f>Fact_Defect_Split!D220</f>
        <v>M2</v>
      </c>
      <c r="E1313" s="4" t="str">
        <f>Fact_Defect_Split!E220</f>
        <v>A-AM</v>
      </c>
      <c r="F1313" s="4" t="str">
        <f>Fact_Defect_Split!F220</f>
        <v>A</v>
      </c>
      <c r="G1313" s="4" t="s">
        <v>503</v>
      </c>
      <c r="H1313" s="19">
        <f>Fact_Defect_Split!J220</f>
        <v>0</v>
      </c>
    </row>
    <row r="1314" spans="1:8" x14ac:dyDescent="0.25">
      <c r="A1314" s="18" t="s">
        <v>2295</v>
      </c>
      <c r="B1314" s="4">
        <f>Fact_Defect_Split!B220</f>
        <v>20260702</v>
      </c>
      <c r="C1314" s="4">
        <f>Fact_Defect_Split!C220</f>
        <v>7</v>
      </c>
      <c r="D1314" s="4" t="str">
        <f>Fact_Defect_Split!D220</f>
        <v>M2</v>
      </c>
      <c r="E1314" s="4" t="str">
        <f>Fact_Defect_Split!E220</f>
        <v>A-AM</v>
      </c>
      <c r="F1314" s="4" t="str">
        <f>Fact_Defect_Split!F220</f>
        <v>A</v>
      </c>
      <c r="G1314" s="4" t="s">
        <v>509</v>
      </c>
      <c r="H1314" s="19">
        <f>Fact_Defect_Split!K220</f>
        <v>1</v>
      </c>
    </row>
    <row r="1315" spans="1:8" x14ac:dyDescent="0.25">
      <c r="A1315" s="18" t="s">
        <v>2296</v>
      </c>
      <c r="B1315" s="4">
        <f>Fact_Defect_Split!B220</f>
        <v>20260702</v>
      </c>
      <c r="C1315" s="4">
        <f>Fact_Defect_Split!C220</f>
        <v>7</v>
      </c>
      <c r="D1315" s="4" t="str">
        <f>Fact_Defect_Split!D220</f>
        <v>M2</v>
      </c>
      <c r="E1315" s="4" t="str">
        <f>Fact_Defect_Split!E220</f>
        <v>A-AM</v>
      </c>
      <c r="F1315" s="4" t="str">
        <f>Fact_Defect_Split!F220</f>
        <v>A</v>
      </c>
      <c r="G1315" s="4" t="s">
        <v>520</v>
      </c>
      <c r="H1315" s="19">
        <f>Fact_Defect_Split!L220</f>
        <v>0</v>
      </c>
    </row>
    <row r="1316" spans="1:8" x14ac:dyDescent="0.25">
      <c r="A1316" s="18" t="s">
        <v>2297</v>
      </c>
      <c r="B1316" s="4">
        <f>Fact_Defect_Split!B221</f>
        <v>20260702</v>
      </c>
      <c r="C1316" s="4">
        <f>Fact_Defect_Split!C221</f>
        <v>7</v>
      </c>
      <c r="D1316" s="4" t="str">
        <f>Fact_Defect_Split!D221</f>
        <v>M3</v>
      </c>
      <c r="E1316" s="4" t="str">
        <f>Fact_Defect_Split!E221</f>
        <v>A-AM</v>
      </c>
      <c r="F1316" s="4" t="str">
        <f>Fact_Defect_Split!F221</f>
        <v>A</v>
      </c>
      <c r="G1316" s="4" t="s">
        <v>498</v>
      </c>
      <c r="H1316" s="19">
        <f>Fact_Defect_Split!G221</f>
        <v>0</v>
      </c>
    </row>
    <row r="1317" spans="1:8" x14ac:dyDescent="0.25">
      <c r="A1317" s="18" t="s">
        <v>2298</v>
      </c>
      <c r="B1317" s="4">
        <f>Fact_Defect_Split!B221</f>
        <v>20260702</v>
      </c>
      <c r="C1317" s="4">
        <f>Fact_Defect_Split!C221</f>
        <v>7</v>
      </c>
      <c r="D1317" s="4" t="str">
        <f>Fact_Defect_Split!D221</f>
        <v>M3</v>
      </c>
      <c r="E1317" s="4" t="str">
        <f>Fact_Defect_Split!E221</f>
        <v>A-AM</v>
      </c>
      <c r="F1317" s="4" t="str">
        <f>Fact_Defect_Split!F221</f>
        <v>A</v>
      </c>
      <c r="G1317" s="4" t="s">
        <v>500</v>
      </c>
      <c r="H1317" s="19">
        <f>Fact_Defect_Split!H221</f>
        <v>0</v>
      </c>
    </row>
    <row r="1318" spans="1:8" x14ac:dyDescent="0.25">
      <c r="A1318" s="18" t="s">
        <v>2299</v>
      </c>
      <c r="B1318" s="4">
        <f>Fact_Defect_Split!B221</f>
        <v>20260702</v>
      </c>
      <c r="C1318" s="4">
        <f>Fact_Defect_Split!C221</f>
        <v>7</v>
      </c>
      <c r="D1318" s="4" t="str">
        <f>Fact_Defect_Split!D221</f>
        <v>M3</v>
      </c>
      <c r="E1318" s="4" t="str">
        <f>Fact_Defect_Split!E221</f>
        <v>A-AM</v>
      </c>
      <c r="F1318" s="4" t="str">
        <f>Fact_Defect_Split!F221</f>
        <v>A</v>
      </c>
      <c r="G1318" s="4" t="s">
        <v>517</v>
      </c>
      <c r="H1318" s="19">
        <f>Fact_Defect_Split!I221</f>
        <v>0</v>
      </c>
    </row>
    <row r="1319" spans="1:8" x14ac:dyDescent="0.25">
      <c r="A1319" s="18" t="s">
        <v>2300</v>
      </c>
      <c r="B1319" s="4">
        <f>Fact_Defect_Split!B221</f>
        <v>20260702</v>
      </c>
      <c r="C1319" s="4">
        <f>Fact_Defect_Split!C221</f>
        <v>7</v>
      </c>
      <c r="D1319" s="4" t="str">
        <f>Fact_Defect_Split!D221</f>
        <v>M3</v>
      </c>
      <c r="E1319" s="4" t="str">
        <f>Fact_Defect_Split!E221</f>
        <v>A-AM</v>
      </c>
      <c r="F1319" s="4" t="str">
        <f>Fact_Defect_Split!F221</f>
        <v>A</v>
      </c>
      <c r="G1319" s="4" t="s">
        <v>503</v>
      </c>
      <c r="H1319" s="19">
        <f>Fact_Defect_Split!J221</f>
        <v>0</v>
      </c>
    </row>
    <row r="1320" spans="1:8" x14ac:dyDescent="0.25">
      <c r="A1320" s="18" t="s">
        <v>2301</v>
      </c>
      <c r="B1320" s="4">
        <f>Fact_Defect_Split!B221</f>
        <v>20260702</v>
      </c>
      <c r="C1320" s="4">
        <f>Fact_Defect_Split!C221</f>
        <v>7</v>
      </c>
      <c r="D1320" s="4" t="str">
        <f>Fact_Defect_Split!D221</f>
        <v>M3</v>
      </c>
      <c r="E1320" s="4" t="str">
        <f>Fact_Defect_Split!E221</f>
        <v>A-AM</v>
      </c>
      <c r="F1320" s="4" t="str">
        <f>Fact_Defect_Split!F221</f>
        <v>A</v>
      </c>
      <c r="G1320" s="4" t="s">
        <v>509</v>
      </c>
      <c r="H1320" s="19">
        <f>Fact_Defect_Split!K221</f>
        <v>1</v>
      </c>
    </row>
    <row r="1321" spans="1:8" x14ac:dyDescent="0.25">
      <c r="A1321" s="18" t="s">
        <v>2302</v>
      </c>
      <c r="B1321" s="4">
        <f>Fact_Defect_Split!B221</f>
        <v>20260702</v>
      </c>
      <c r="C1321" s="4">
        <f>Fact_Defect_Split!C221</f>
        <v>7</v>
      </c>
      <c r="D1321" s="4" t="str">
        <f>Fact_Defect_Split!D221</f>
        <v>M3</v>
      </c>
      <c r="E1321" s="4" t="str">
        <f>Fact_Defect_Split!E221</f>
        <v>A-AM</v>
      </c>
      <c r="F1321" s="4" t="str">
        <f>Fact_Defect_Split!F221</f>
        <v>A</v>
      </c>
      <c r="G1321" s="4" t="s">
        <v>520</v>
      </c>
      <c r="H1321" s="19">
        <f>Fact_Defect_Split!L221</f>
        <v>0</v>
      </c>
    </row>
    <row r="1322" spans="1:8" x14ac:dyDescent="0.25">
      <c r="A1322" s="18" t="s">
        <v>2303</v>
      </c>
      <c r="B1322" s="4">
        <f>Fact_Defect_Split!B222</f>
        <v>20260702</v>
      </c>
      <c r="C1322" s="4">
        <f>Fact_Defect_Split!C222</f>
        <v>7</v>
      </c>
      <c r="D1322" s="4" t="str">
        <f>Fact_Defect_Split!D222</f>
        <v>M4</v>
      </c>
      <c r="E1322" s="4" t="str">
        <f>Fact_Defect_Split!E222</f>
        <v>A-AM</v>
      </c>
      <c r="F1322" s="4" t="str">
        <f>Fact_Defect_Split!F222</f>
        <v>A</v>
      </c>
      <c r="G1322" s="4" t="s">
        <v>498</v>
      </c>
      <c r="H1322" s="19">
        <f>Fact_Defect_Split!G222</f>
        <v>0</v>
      </c>
    </row>
    <row r="1323" spans="1:8" x14ac:dyDescent="0.25">
      <c r="A1323" s="18" t="s">
        <v>2304</v>
      </c>
      <c r="B1323" s="4">
        <f>Fact_Defect_Split!B222</f>
        <v>20260702</v>
      </c>
      <c r="C1323" s="4">
        <f>Fact_Defect_Split!C222</f>
        <v>7</v>
      </c>
      <c r="D1323" s="4" t="str">
        <f>Fact_Defect_Split!D222</f>
        <v>M4</v>
      </c>
      <c r="E1323" s="4" t="str">
        <f>Fact_Defect_Split!E222</f>
        <v>A-AM</v>
      </c>
      <c r="F1323" s="4" t="str">
        <f>Fact_Defect_Split!F222</f>
        <v>A</v>
      </c>
      <c r="G1323" s="4" t="s">
        <v>500</v>
      </c>
      <c r="H1323" s="19">
        <f>Fact_Defect_Split!H222</f>
        <v>0</v>
      </c>
    </row>
    <row r="1324" spans="1:8" x14ac:dyDescent="0.25">
      <c r="A1324" s="18" t="s">
        <v>2305</v>
      </c>
      <c r="B1324" s="4">
        <f>Fact_Defect_Split!B222</f>
        <v>20260702</v>
      </c>
      <c r="C1324" s="4">
        <f>Fact_Defect_Split!C222</f>
        <v>7</v>
      </c>
      <c r="D1324" s="4" t="str">
        <f>Fact_Defect_Split!D222</f>
        <v>M4</v>
      </c>
      <c r="E1324" s="4" t="str">
        <f>Fact_Defect_Split!E222</f>
        <v>A-AM</v>
      </c>
      <c r="F1324" s="4" t="str">
        <f>Fact_Defect_Split!F222</f>
        <v>A</v>
      </c>
      <c r="G1324" s="4" t="s">
        <v>517</v>
      </c>
      <c r="H1324" s="19">
        <f>Fact_Defect_Split!I222</f>
        <v>1</v>
      </c>
    </row>
    <row r="1325" spans="1:8" x14ac:dyDescent="0.25">
      <c r="A1325" s="18" t="s">
        <v>2306</v>
      </c>
      <c r="B1325" s="4">
        <f>Fact_Defect_Split!B222</f>
        <v>20260702</v>
      </c>
      <c r="C1325" s="4">
        <f>Fact_Defect_Split!C222</f>
        <v>7</v>
      </c>
      <c r="D1325" s="4" t="str">
        <f>Fact_Defect_Split!D222</f>
        <v>M4</v>
      </c>
      <c r="E1325" s="4" t="str">
        <f>Fact_Defect_Split!E222</f>
        <v>A-AM</v>
      </c>
      <c r="F1325" s="4" t="str">
        <f>Fact_Defect_Split!F222</f>
        <v>A</v>
      </c>
      <c r="G1325" s="4" t="s">
        <v>503</v>
      </c>
      <c r="H1325" s="19">
        <f>Fact_Defect_Split!J222</f>
        <v>0</v>
      </c>
    </row>
    <row r="1326" spans="1:8" x14ac:dyDescent="0.25">
      <c r="A1326" s="18" t="s">
        <v>2307</v>
      </c>
      <c r="B1326" s="4">
        <f>Fact_Defect_Split!B222</f>
        <v>20260702</v>
      </c>
      <c r="C1326" s="4">
        <f>Fact_Defect_Split!C222</f>
        <v>7</v>
      </c>
      <c r="D1326" s="4" t="str">
        <f>Fact_Defect_Split!D222</f>
        <v>M4</v>
      </c>
      <c r="E1326" s="4" t="str">
        <f>Fact_Defect_Split!E222</f>
        <v>A-AM</v>
      </c>
      <c r="F1326" s="4" t="str">
        <f>Fact_Defect_Split!F222</f>
        <v>A</v>
      </c>
      <c r="G1326" s="4" t="s">
        <v>509</v>
      </c>
      <c r="H1326" s="19">
        <f>Fact_Defect_Split!K222</f>
        <v>1</v>
      </c>
    </row>
    <row r="1327" spans="1:8" x14ac:dyDescent="0.25">
      <c r="A1327" s="18" t="s">
        <v>2308</v>
      </c>
      <c r="B1327" s="4">
        <f>Fact_Defect_Split!B222</f>
        <v>20260702</v>
      </c>
      <c r="C1327" s="4">
        <f>Fact_Defect_Split!C222</f>
        <v>7</v>
      </c>
      <c r="D1327" s="4" t="str">
        <f>Fact_Defect_Split!D222</f>
        <v>M4</v>
      </c>
      <c r="E1327" s="4" t="str">
        <f>Fact_Defect_Split!E222</f>
        <v>A-AM</v>
      </c>
      <c r="F1327" s="4" t="str">
        <f>Fact_Defect_Split!F222</f>
        <v>A</v>
      </c>
      <c r="G1327" s="4" t="s">
        <v>520</v>
      </c>
      <c r="H1327" s="19">
        <f>Fact_Defect_Split!L222</f>
        <v>1</v>
      </c>
    </row>
    <row r="1328" spans="1:8" x14ac:dyDescent="0.25">
      <c r="A1328" s="18" t="s">
        <v>2309</v>
      </c>
      <c r="B1328" s="4">
        <f>Fact_Defect_Split!B223</f>
        <v>20260702</v>
      </c>
      <c r="C1328" s="4">
        <f>Fact_Defect_Split!C223</f>
        <v>7</v>
      </c>
      <c r="D1328" s="4" t="str">
        <f>Fact_Defect_Split!D223</f>
        <v>M5</v>
      </c>
      <c r="E1328" s="4" t="str">
        <f>Fact_Defect_Split!E223</f>
        <v>A-AM</v>
      </c>
      <c r="F1328" s="4" t="str">
        <f>Fact_Defect_Split!F223</f>
        <v>C</v>
      </c>
      <c r="G1328" s="4" t="s">
        <v>498</v>
      </c>
      <c r="H1328" s="19">
        <f>Fact_Defect_Split!G223</f>
        <v>0</v>
      </c>
    </row>
    <row r="1329" spans="1:8" x14ac:dyDescent="0.25">
      <c r="A1329" s="18" t="s">
        <v>2310</v>
      </c>
      <c r="B1329" s="4">
        <f>Fact_Defect_Split!B223</f>
        <v>20260702</v>
      </c>
      <c r="C1329" s="4">
        <f>Fact_Defect_Split!C223</f>
        <v>7</v>
      </c>
      <c r="D1329" s="4" t="str">
        <f>Fact_Defect_Split!D223</f>
        <v>M5</v>
      </c>
      <c r="E1329" s="4" t="str">
        <f>Fact_Defect_Split!E223</f>
        <v>A-AM</v>
      </c>
      <c r="F1329" s="4" t="str">
        <f>Fact_Defect_Split!F223</f>
        <v>C</v>
      </c>
      <c r="G1329" s="4" t="s">
        <v>500</v>
      </c>
      <c r="H1329" s="19">
        <f>Fact_Defect_Split!H223</f>
        <v>0</v>
      </c>
    </row>
    <row r="1330" spans="1:8" x14ac:dyDescent="0.25">
      <c r="A1330" s="18" t="s">
        <v>2311</v>
      </c>
      <c r="B1330" s="4">
        <f>Fact_Defect_Split!B223</f>
        <v>20260702</v>
      </c>
      <c r="C1330" s="4">
        <f>Fact_Defect_Split!C223</f>
        <v>7</v>
      </c>
      <c r="D1330" s="4" t="str">
        <f>Fact_Defect_Split!D223</f>
        <v>M5</v>
      </c>
      <c r="E1330" s="4" t="str">
        <f>Fact_Defect_Split!E223</f>
        <v>A-AM</v>
      </c>
      <c r="F1330" s="4" t="str">
        <f>Fact_Defect_Split!F223</f>
        <v>C</v>
      </c>
      <c r="G1330" s="4" t="s">
        <v>517</v>
      </c>
      <c r="H1330" s="19">
        <f>Fact_Defect_Split!I223</f>
        <v>0</v>
      </c>
    </row>
    <row r="1331" spans="1:8" x14ac:dyDescent="0.25">
      <c r="A1331" s="18" t="s">
        <v>2312</v>
      </c>
      <c r="B1331" s="4">
        <f>Fact_Defect_Split!B223</f>
        <v>20260702</v>
      </c>
      <c r="C1331" s="4">
        <f>Fact_Defect_Split!C223</f>
        <v>7</v>
      </c>
      <c r="D1331" s="4" t="str">
        <f>Fact_Defect_Split!D223</f>
        <v>M5</v>
      </c>
      <c r="E1331" s="4" t="str">
        <f>Fact_Defect_Split!E223</f>
        <v>A-AM</v>
      </c>
      <c r="F1331" s="4" t="str">
        <f>Fact_Defect_Split!F223</f>
        <v>C</v>
      </c>
      <c r="G1331" s="4" t="s">
        <v>503</v>
      </c>
      <c r="H1331" s="19">
        <f>Fact_Defect_Split!J223</f>
        <v>0</v>
      </c>
    </row>
    <row r="1332" spans="1:8" x14ac:dyDescent="0.25">
      <c r="A1332" s="18" t="s">
        <v>2313</v>
      </c>
      <c r="B1332" s="4">
        <f>Fact_Defect_Split!B223</f>
        <v>20260702</v>
      </c>
      <c r="C1332" s="4">
        <f>Fact_Defect_Split!C223</f>
        <v>7</v>
      </c>
      <c r="D1332" s="4" t="str">
        <f>Fact_Defect_Split!D223</f>
        <v>M5</v>
      </c>
      <c r="E1332" s="4" t="str">
        <f>Fact_Defect_Split!E223</f>
        <v>A-AM</v>
      </c>
      <c r="F1332" s="4" t="str">
        <f>Fact_Defect_Split!F223</f>
        <v>C</v>
      </c>
      <c r="G1332" s="4" t="s">
        <v>509</v>
      </c>
      <c r="H1332" s="19">
        <f>Fact_Defect_Split!K223</f>
        <v>1</v>
      </c>
    </row>
    <row r="1333" spans="1:8" x14ac:dyDescent="0.25">
      <c r="A1333" s="18" t="s">
        <v>2314</v>
      </c>
      <c r="B1333" s="4">
        <f>Fact_Defect_Split!B223</f>
        <v>20260702</v>
      </c>
      <c r="C1333" s="4">
        <f>Fact_Defect_Split!C223</f>
        <v>7</v>
      </c>
      <c r="D1333" s="4" t="str">
        <f>Fact_Defect_Split!D223</f>
        <v>M5</v>
      </c>
      <c r="E1333" s="4" t="str">
        <f>Fact_Defect_Split!E223</f>
        <v>A-AM</v>
      </c>
      <c r="F1333" s="4" t="str">
        <f>Fact_Defect_Split!F223</f>
        <v>C</v>
      </c>
      <c r="G1333" s="4" t="s">
        <v>520</v>
      </c>
      <c r="H1333" s="19">
        <f>Fact_Defect_Split!L223</f>
        <v>0</v>
      </c>
    </row>
    <row r="1334" spans="1:8" x14ac:dyDescent="0.25">
      <c r="A1334" s="18" t="s">
        <v>2315</v>
      </c>
      <c r="B1334" s="4">
        <f>Fact_Defect_Split!B224</f>
        <v>20260702</v>
      </c>
      <c r="C1334" s="4">
        <f>Fact_Defect_Split!C224</f>
        <v>7</v>
      </c>
      <c r="D1334" s="4" t="str">
        <f>Fact_Defect_Split!D224</f>
        <v>M6</v>
      </c>
      <c r="E1334" s="4" t="str">
        <f>Fact_Defect_Split!E224</f>
        <v>A-AM</v>
      </c>
      <c r="F1334" s="4" t="str">
        <f>Fact_Defect_Split!F224</f>
        <v>C</v>
      </c>
      <c r="G1334" s="4" t="s">
        <v>498</v>
      </c>
      <c r="H1334" s="19">
        <f>Fact_Defect_Split!G224</f>
        <v>0</v>
      </c>
    </row>
    <row r="1335" spans="1:8" x14ac:dyDescent="0.25">
      <c r="A1335" s="18" t="s">
        <v>2316</v>
      </c>
      <c r="B1335" s="4">
        <f>Fact_Defect_Split!B224</f>
        <v>20260702</v>
      </c>
      <c r="C1335" s="4">
        <f>Fact_Defect_Split!C224</f>
        <v>7</v>
      </c>
      <c r="D1335" s="4" t="str">
        <f>Fact_Defect_Split!D224</f>
        <v>M6</v>
      </c>
      <c r="E1335" s="4" t="str">
        <f>Fact_Defect_Split!E224</f>
        <v>A-AM</v>
      </c>
      <c r="F1335" s="4" t="str">
        <f>Fact_Defect_Split!F224</f>
        <v>C</v>
      </c>
      <c r="G1335" s="4" t="s">
        <v>500</v>
      </c>
      <c r="H1335" s="19">
        <f>Fact_Defect_Split!H224</f>
        <v>0</v>
      </c>
    </row>
    <row r="1336" spans="1:8" x14ac:dyDescent="0.25">
      <c r="A1336" s="18" t="s">
        <v>2317</v>
      </c>
      <c r="B1336" s="4">
        <f>Fact_Defect_Split!B224</f>
        <v>20260702</v>
      </c>
      <c r="C1336" s="4">
        <f>Fact_Defect_Split!C224</f>
        <v>7</v>
      </c>
      <c r="D1336" s="4" t="str">
        <f>Fact_Defect_Split!D224</f>
        <v>M6</v>
      </c>
      <c r="E1336" s="4" t="str">
        <f>Fact_Defect_Split!E224</f>
        <v>A-AM</v>
      </c>
      <c r="F1336" s="4" t="str">
        <f>Fact_Defect_Split!F224</f>
        <v>C</v>
      </c>
      <c r="G1336" s="4" t="s">
        <v>517</v>
      </c>
      <c r="H1336" s="19">
        <f>Fact_Defect_Split!I224</f>
        <v>0</v>
      </c>
    </row>
    <row r="1337" spans="1:8" x14ac:dyDescent="0.25">
      <c r="A1337" s="18" t="s">
        <v>2318</v>
      </c>
      <c r="B1337" s="4">
        <f>Fact_Defect_Split!B224</f>
        <v>20260702</v>
      </c>
      <c r="C1337" s="4">
        <f>Fact_Defect_Split!C224</f>
        <v>7</v>
      </c>
      <c r="D1337" s="4" t="str">
        <f>Fact_Defect_Split!D224</f>
        <v>M6</v>
      </c>
      <c r="E1337" s="4" t="str">
        <f>Fact_Defect_Split!E224</f>
        <v>A-AM</v>
      </c>
      <c r="F1337" s="4" t="str">
        <f>Fact_Defect_Split!F224</f>
        <v>C</v>
      </c>
      <c r="G1337" s="4" t="s">
        <v>503</v>
      </c>
      <c r="H1337" s="19">
        <f>Fact_Defect_Split!J224</f>
        <v>0</v>
      </c>
    </row>
    <row r="1338" spans="1:8" x14ac:dyDescent="0.25">
      <c r="A1338" s="18" t="s">
        <v>2319</v>
      </c>
      <c r="B1338" s="4">
        <f>Fact_Defect_Split!B224</f>
        <v>20260702</v>
      </c>
      <c r="C1338" s="4">
        <f>Fact_Defect_Split!C224</f>
        <v>7</v>
      </c>
      <c r="D1338" s="4" t="str">
        <f>Fact_Defect_Split!D224</f>
        <v>M6</v>
      </c>
      <c r="E1338" s="4" t="str">
        <f>Fact_Defect_Split!E224</f>
        <v>A-AM</v>
      </c>
      <c r="F1338" s="4" t="str">
        <f>Fact_Defect_Split!F224</f>
        <v>C</v>
      </c>
      <c r="G1338" s="4" t="s">
        <v>509</v>
      </c>
      <c r="H1338" s="19">
        <f>Fact_Defect_Split!K224</f>
        <v>0</v>
      </c>
    </row>
    <row r="1339" spans="1:8" x14ac:dyDescent="0.25">
      <c r="A1339" s="18" t="s">
        <v>2320</v>
      </c>
      <c r="B1339" s="4">
        <f>Fact_Defect_Split!B224</f>
        <v>20260702</v>
      </c>
      <c r="C1339" s="4">
        <f>Fact_Defect_Split!C224</f>
        <v>7</v>
      </c>
      <c r="D1339" s="4" t="str">
        <f>Fact_Defect_Split!D224</f>
        <v>M6</v>
      </c>
      <c r="E1339" s="4" t="str">
        <f>Fact_Defect_Split!E224</f>
        <v>A-AM</v>
      </c>
      <c r="F1339" s="4" t="str">
        <f>Fact_Defect_Split!F224</f>
        <v>C</v>
      </c>
      <c r="G1339" s="4" t="s">
        <v>520</v>
      </c>
      <c r="H1339" s="19">
        <f>Fact_Defect_Split!L224</f>
        <v>1</v>
      </c>
    </row>
    <row r="1340" spans="1:8" x14ac:dyDescent="0.25">
      <c r="A1340" s="18" t="s">
        <v>2321</v>
      </c>
      <c r="B1340" s="4">
        <f>Fact_Defect_Split!B225</f>
        <v>20260702</v>
      </c>
      <c r="C1340" s="4">
        <f>Fact_Defect_Split!C225</f>
        <v>7</v>
      </c>
      <c r="D1340" s="4" t="str">
        <f>Fact_Defect_Split!D225</f>
        <v>M7</v>
      </c>
      <c r="E1340" s="4" t="str">
        <f>Fact_Defect_Split!E225</f>
        <v>A-AM</v>
      </c>
      <c r="F1340" s="4" t="str">
        <f>Fact_Defect_Split!F225</f>
        <v>C</v>
      </c>
      <c r="G1340" s="4" t="s">
        <v>498</v>
      </c>
      <c r="H1340" s="19">
        <f>Fact_Defect_Split!G225</f>
        <v>0</v>
      </c>
    </row>
    <row r="1341" spans="1:8" x14ac:dyDescent="0.25">
      <c r="A1341" s="18" t="s">
        <v>2322</v>
      </c>
      <c r="B1341" s="4">
        <f>Fact_Defect_Split!B225</f>
        <v>20260702</v>
      </c>
      <c r="C1341" s="4">
        <f>Fact_Defect_Split!C225</f>
        <v>7</v>
      </c>
      <c r="D1341" s="4" t="str">
        <f>Fact_Defect_Split!D225</f>
        <v>M7</v>
      </c>
      <c r="E1341" s="4" t="str">
        <f>Fact_Defect_Split!E225</f>
        <v>A-AM</v>
      </c>
      <c r="F1341" s="4" t="str">
        <f>Fact_Defect_Split!F225</f>
        <v>C</v>
      </c>
      <c r="G1341" s="4" t="s">
        <v>500</v>
      </c>
      <c r="H1341" s="19">
        <f>Fact_Defect_Split!H225</f>
        <v>0</v>
      </c>
    </row>
    <row r="1342" spans="1:8" x14ac:dyDescent="0.25">
      <c r="A1342" s="18" t="s">
        <v>2323</v>
      </c>
      <c r="B1342" s="4">
        <f>Fact_Defect_Split!B225</f>
        <v>20260702</v>
      </c>
      <c r="C1342" s="4">
        <f>Fact_Defect_Split!C225</f>
        <v>7</v>
      </c>
      <c r="D1342" s="4" t="str">
        <f>Fact_Defect_Split!D225</f>
        <v>M7</v>
      </c>
      <c r="E1342" s="4" t="str">
        <f>Fact_Defect_Split!E225</f>
        <v>A-AM</v>
      </c>
      <c r="F1342" s="4" t="str">
        <f>Fact_Defect_Split!F225</f>
        <v>C</v>
      </c>
      <c r="G1342" s="4" t="s">
        <v>517</v>
      </c>
      <c r="H1342" s="19">
        <f>Fact_Defect_Split!I225</f>
        <v>0</v>
      </c>
    </row>
    <row r="1343" spans="1:8" x14ac:dyDescent="0.25">
      <c r="A1343" s="18" t="s">
        <v>2324</v>
      </c>
      <c r="B1343" s="4">
        <f>Fact_Defect_Split!B225</f>
        <v>20260702</v>
      </c>
      <c r="C1343" s="4">
        <f>Fact_Defect_Split!C225</f>
        <v>7</v>
      </c>
      <c r="D1343" s="4" t="str">
        <f>Fact_Defect_Split!D225</f>
        <v>M7</v>
      </c>
      <c r="E1343" s="4" t="str">
        <f>Fact_Defect_Split!E225</f>
        <v>A-AM</v>
      </c>
      <c r="F1343" s="4" t="str">
        <f>Fact_Defect_Split!F225</f>
        <v>C</v>
      </c>
      <c r="G1343" s="4" t="s">
        <v>503</v>
      </c>
      <c r="H1343" s="19">
        <f>Fact_Defect_Split!J225</f>
        <v>0</v>
      </c>
    </row>
    <row r="1344" spans="1:8" x14ac:dyDescent="0.25">
      <c r="A1344" s="18" t="s">
        <v>2325</v>
      </c>
      <c r="B1344" s="4">
        <f>Fact_Defect_Split!B225</f>
        <v>20260702</v>
      </c>
      <c r="C1344" s="4">
        <f>Fact_Defect_Split!C225</f>
        <v>7</v>
      </c>
      <c r="D1344" s="4" t="str">
        <f>Fact_Defect_Split!D225</f>
        <v>M7</v>
      </c>
      <c r="E1344" s="4" t="str">
        <f>Fact_Defect_Split!E225</f>
        <v>A-AM</v>
      </c>
      <c r="F1344" s="4" t="str">
        <f>Fact_Defect_Split!F225</f>
        <v>C</v>
      </c>
      <c r="G1344" s="4" t="s">
        <v>509</v>
      </c>
      <c r="H1344" s="19">
        <f>Fact_Defect_Split!K225</f>
        <v>1</v>
      </c>
    </row>
    <row r="1345" spans="1:8" x14ac:dyDescent="0.25">
      <c r="A1345" s="18" t="s">
        <v>2326</v>
      </c>
      <c r="B1345" s="4">
        <f>Fact_Defect_Split!B225</f>
        <v>20260702</v>
      </c>
      <c r="C1345" s="4">
        <f>Fact_Defect_Split!C225</f>
        <v>7</v>
      </c>
      <c r="D1345" s="4" t="str">
        <f>Fact_Defect_Split!D225</f>
        <v>M7</v>
      </c>
      <c r="E1345" s="4" t="str">
        <f>Fact_Defect_Split!E225</f>
        <v>A-AM</v>
      </c>
      <c r="F1345" s="4" t="str">
        <f>Fact_Defect_Split!F225</f>
        <v>C</v>
      </c>
      <c r="G1345" s="4" t="s">
        <v>520</v>
      </c>
      <c r="H1345" s="19">
        <f>Fact_Defect_Split!L225</f>
        <v>0</v>
      </c>
    </row>
    <row r="1346" spans="1:8" x14ac:dyDescent="0.25">
      <c r="A1346" s="18" t="s">
        <v>2327</v>
      </c>
      <c r="B1346" s="4">
        <f>Fact_Defect_Split!B226</f>
        <v>20260702</v>
      </c>
      <c r="C1346" s="4">
        <f>Fact_Defect_Split!C226</f>
        <v>8</v>
      </c>
      <c r="D1346" s="4" t="str">
        <f>Fact_Defect_Split!D226</f>
        <v>M1</v>
      </c>
      <c r="E1346" s="4" t="str">
        <f>Fact_Defect_Split!E226</f>
        <v>A-AM</v>
      </c>
      <c r="F1346" s="4" t="str">
        <f>Fact_Defect_Split!F226</f>
        <v>C</v>
      </c>
      <c r="G1346" s="4" t="s">
        <v>498</v>
      </c>
      <c r="H1346" s="19">
        <f>Fact_Defect_Split!G226</f>
        <v>0</v>
      </c>
    </row>
    <row r="1347" spans="1:8" x14ac:dyDescent="0.25">
      <c r="A1347" s="18" t="s">
        <v>2328</v>
      </c>
      <c r="B1347" s="4">
        <f>Fact_Defect_Split!B226</f>
        <v>20260702</v>
      </c>
      <c r="C1347" s="4">
        <f>Fact_Defect_Split!C226</f>
        <v>8</v>
      </c>
      <c r="D1347" s="4" t="str">
        <f>Fact_Defect_Split!D226</f>
        <v>M1</v>
      </c>
      <c r="E1347" s="4" t="str">
        <f>Fact_Defect_Split!E226</f>
        <v>A-AM</v>
      </c>
      <c r="F1347" s="4" t="str">
        <f>Fact_Defect_Split!F226</f>
        <v>C</v>
      </c>
      <c r="G1347" s="4" t="s">
        <v>500</v>
      </c>
      <c r="H1347" s="19">
        <f>Fact_Defect_Split!H226</f>
        <v>0</v>
      </c>
    </row>
    <row r="1348" spans="1:8" x14ac:dyDescent="0.25">
      <c r="A1348" s="18" t="s">
        <v>2329</v>
      </c>
      <c r="B1348" s="4">
        <f>Fact_Defect_Split!B226</f>
        <v>20260702</v>
      </c>
      <c r="C1348" s="4">
        <f>Fact_Defect_Split!C226</f>
        <v>8</v>
      </c>
      <c r="D1348" s="4" t="str">
        <f>Fact_Defect_Split!D226</f>
        <v>M1</v>
      </c>
      <c r="E1348" s="4" t="str">
        <f>Fact_Defect_Split!E226</f>
        <v>A-AM</v>
      </c>
      <c r="F1348" s="4" t="str">
        <f>Fact_Defect_Split!F226</f>
        <v>C</v>
      </c>
      <c r="G1348" s="4" t="s">
        <v>517</v>
      </c>
      <c r="H1348" s="19">
        <f>Fact_Defect_Split!I226</f>
        <v>0</v>
      </c>
    </row>
    <row r="1349" spans="1:8" x14ac:dyDescent="0.25">
      <c r="A1349" s="18" t="s">
        <v>2330</v>
      </c>
      <c r="B1349" s="4">
        <f>Fact_Defect_Split!B226</f>
        <v>20260702</v>
      </c>
      <c r="C1349" s="4">
        <f>Fact_Defect_Split!C226</f>
        <v>8</v>
      </c>
      <c r="D1349" s="4" t="str">
        <f>Fact_Defect_Split!D226</f>
        <v>M1</v>
      </c>
      <c r="E1349" s="4" t="str">
        <f>Fact_Defect_Split!E226</f>
        <v>A-AM</v>
      </c>
      <c r="F1349" s="4" t="str">
        <f>Fact_Defect_Split!F226</f>
        <v>C</v>
      </c>
      <c r="G1349" s="4" t="s">
        <v>503</v>
      </c>
      <c r="H1349" s="19">
        <f>Fact_Defect_Split!J226</f>
        <v>1</v>
      </c>
    </row>
    <row r="1350" spans="1:8" x14ac:dyDescent="0.25">
      <c r="A1350" s="18" t="s">
        <v>2331</v>
      </c>
      <c r="B1350" s="4">
        <f>Fact_Defect_Split!B226</f>
        <v>20260702</v>
      </c>
      <c r="C1350" s="4">
        <f>Fact_Defect_Split!C226</f>
        <v>8</v>
      </c>
      <c r="D1350" s="4" t="str">
        <f>Fact_Defect_Split!D226</f>
        <v>M1</v>
      </c>
      <c r="E1350" s="4" t="str">
        <f>Fact_Defect_Split!E226</f>
        <v>A-AM</v>
      </c>
      <c r="F1350" s="4" t="str">
        <f>Fact_Defect_Split!F226</f>
        <v>C</v>
      </c>
      <c r="G1350" s="4" t="s">
        <v>509</v>
      </c>
      <c r="H1350" s="19">
        <f>Fact_Defect_Split!K226</f>
        <v>1</v>
      </c>
    </row>
    <row r="1351" spans="1:8" x14ac:dyDescent="0.25">
      <c r="A1351" s="18" t="s">
        <v>2332</v>
      </c>
      <c r="B1351" s="4">
        <f>Fact_Defect_Split!B226</f>
        <v>20260702</v>
      </c>
      <c r="C1351" s="4">
        <f>Fact_Defect_Split!C226</f>
        <v>8</v>
      </c>
      <c r="D1351" s="4" t="str">
        <f>Fact_Defect_Split!D226</f>
        <v>M1</v>
      </c>
      <c r="E1351" s="4" t="str">
        <f>Fact_Defect_Split!E226</f>
        <v>A-AM</v>
      </c>
      <c r="F1351" s="4" t="str">
        <f>Fact_Defect_Split!F226</f>
        <v>C</v>
      </c>
      <c r="G1351" s="4" t="s">
        <v>520</v>
      </c>
      <c r="H1351" s="19">
        <f>Fact_Defect_Split!L226</f>
        <v>0</v>
      </c>
    </row>
    <row r="1352" spans="1:8" x14ac:dyDescent="0.25">
      <c r="A1352" s="18" t="s">
        <v>2333</v>
      </c>
      <c r="B1352" s="4">
        <f>Fact_Defect_Split!B227</f>
        <v>20260702</v>
      </c>
      <c r="C1352" s="4">
        <f>Fact_Defect_Split!C227</f>
        <v>8</v>
      </c>
      <c r="D1352" s="4" t="str">
        <f>Fact_Defect_Split!D227</f>
        <v>M2</v>
      </c>
      <c r="E1352" s="4" t="str">
        <f>Fact_Defect_Split!E227</f>
        <v>A-AM</v>
      </c>
      <c r="F1352" s="4" t="str">
        <f>Fact_Defect_Split!F227</f>
        <v>A</v>
      </c>
      <c r="G1352" s="4" t="s">
        <v>498</v>
      </c>
      <c r="H1352" s="19">
        <f>Fact_Defect_Split!G227</f>
        <v>0</v>
      </c>
    </row>
    <row r="1353" spans="1:8" x14ac:dyDescent="0.25">
      <c r="A1353" s="18" t="s">
        <v>2334</v>
      </c>
      <c r="B1353" s="4">
        <f>Fact_Defect_Split!B227</f>
        <v>20260702</v>
      </c>
      <c r="C1353" s="4">
        <f>Fact_Defect_Split!C227</f>
        <v>8</v>
      </c>
      <c r="D1353" s="4" t="str">
        <f>Fact_Defect_Split!D227</f>
        <v>M2</v>
      </c>
      <c r="E1353" s="4" t="str">
        <f>Fact_Defect_Split!E227</f>
        <v>A-AM</v>
      </c>
      <c r="F1353" s="4" t="str">
        <f>Fact_Defect_Split!F227</f>
        <v>A</v>
      </c>
      <c r="G1353" s="4" t="s">
        <v>500</v>
      </c>
      <c r="H1353" s="19">
        <f>Fact_Defect_Split!H227</f>
        <v>0</v>
      </c>
    </row>
    <row r="1354" spans="1:8" x14ac:dyDescent="0.25">
      <c r="A1354" s="18" t="s">
        <v>2335</v>
      </c>
      <c r="B1354" s="4">
        <f>Fact_Defect_Split!B227</f>
        <v>20260702</v>
      </c>
      <c r="C1354" s="4">
        <f>Fact_Defect_Split!C227</f>
        <v>8</v>
      </c>
      <c r="D1354" s="4" t="str">
        <f>Fact_Defect_Split!D227</f>
        <v>M2</v>
      </c>
      <c r="E1354" s="4" t="str">
        <f>Fact_Defect_Split!E227</f>
        <v>A-AM</v>
      </c>
      <c r="F1354" s="4" t="str">
        <f>Fact_Defect_Split!F227</f>
        <v>A</v>
      </c>
      <c r="G1354" s="4" t="s">
        <v>517</v>
      </c>
      <c r="H1354" s="19">
        <f>Fact_Defect_Split!I227</f>
        <v>0</v>
      </c>
    </row>
    <row r="1355" spans="1:8" x14ac:dyDescent="0.25">
      <c r="A1355" s="18" t="s">
        <v>2336</v>
      </c>
      <c r="B1355" s="4">
        <f>Fact_Defect_Split!B227</f>
        <v>20260702</v>
      </c>
      <c r="C1355" s="4">
        <f>Fact_Defect_Split!C227</f>
        <v>8</v>
      </c>
      <c r="D1355" s="4" t="str">
        <f>Fact_Defect_Split!D227</f>
        <v>M2</v>
      </c>
      <c r="E1355" s="4" t="str">
        <f>Fact_Defect_Split!E227</f>
        <v>A-AM</v>
      </c>
      <c r="F1355" s="4" t="str">
        <f>Fact_Defect_Split!F227</f>
        <v>A</v>
      </c>
      <c r="G1355" s="4" t="s">
        <v>503</v>
      </c>
      <c r="H1355" s="19">
        <f>Fact_Defect_Split!J227</f>
        <v>0</v>
      </c>
    </row>
    <row r="1356" spans="1:8" x14ac:dyDescent="0.25">
      <c r="A1356" s="18" t="s">
        <v>2337</v>
      </c>
      <c r="B1356" s="4">
        <f>Fact_Defect_Split!B227</f>
        <v>20260702</v>
      </c>
      <c r="C1356" s="4">
        <f>Fact_Defect_Split!C227</f>
        <v>8</v>
      </c>
      <c r="D1356" s="4" t="str">
        <f>Fact_Defect_Split!D227</f>
        <v>M2</v>
      </c>
      <c r="E1356" s="4" t="str">
        <f>Fact_Defect_Split!E227</f>
        <v>A-AM</v>
      </c>
      <c r="F1356" s="4" t="str">
        <f>Fact_Defect_Split!F227</f>
        <v>A</v>
      </c>
      <c r="G1356" s="4" t="s">
        <v>509</v>
      </c>
      <c r="H1356" s="19">
        <f>Fact_Defect_Split!K227</f>
        <v>0</v>
      </c>
    </row>
    <row r="1357" spans="1:8" x14ac:dyDescent="0.25">
      <c r="A1357" s="18" t="s">
        <v>2338</v>
      </c>
      <c r="B1357" s="4">
        <f>Fact_Defect_Split!B227</f>
        <v>20260702</v>
      </c>
      <c r="C1357" s="4">
        <f>Fact_Defect_Split!C227</f>
        <v>8</v>
      </c>
      <c r="D1357" s="4" t="str">
        <f>Fact_Defect_Split!D227</f>
        <v>M2</v>
      </c>
      <c r="E1357" s="4" t="str">
        <f>Fact_Defect_Split!E227</f>
        <v>A-AM</v>
      </c>
      <c r="F1357" s="4" t="str">
        <f>Fact_Defect_Split!F227</f>
        <v>A</v>
      </c>
      <c r="G1357" s="4" t="s">
        <v>520</v>
      </c>
      <c r="H1357" s="19">
        <f>Fact_Defect_Split!L227</f>
        <v>1</v>
      </c>
    </row>
    <row r="1358" spans="1:8" x14ac:dyDescent="0.25">
      <c r="A1358" s="18" t="s">
        <v>2339</v>
      </c>
      <c r="B1358" s="4">
        <f>Fact_Defect_Split!B228</f>
        <v>20260702</v>
      </c>
      <c r="C1358" s="4">
        <f>Fact_Defect_Split!C228</f>
        <v>8</v>
      </c>
      <c r="D1358" s="4" t="str">
        <f>Fact_Defect_Split!D228</f>
        <v>M3</v>
      </c>
      <c r="E1358" s="4" t="str">
        <f>Fact_Defect_Split!E228</f>
        <v>A-AM</v>
      </c>
      <c r="F1358" s="4" t="str">
        <f>Fact_Defect_Split!F228</f>
        <v>A</v>
      </c>
      <c r="G1358" s="4" t="s">
        <v>498</v>
      </c>
      <c r="H1358" s="19">
        <f>Fact_Defect_Split!G228</f>
        <v>0</v>
      </c>
    </row>
    <row r="1359" spans="1:8" x14ac:dyDescent="0.25">
      <c r="A1359" s="18" t="s">
        <v>2340</v>
      </c>
      <c r="B1359" s="4">
        <f>Fact_Defect_Split!B228</f>
        <v>20260702</v>
      </c>
      <c r="C1359" s="4">
        <f>Fact_Defect_Split!C228</f>
        <v>8</v>
      </c>
      <c r="D1359" s="4" t="str">
        <f>Fact_Defect_Split!D228</f>
        <v>M3</v>
      </c>
      <c r="E1359" s="4" t="str">
        <f>Fact_Defect_Split!E228</f>
        <v>A-AM</v>
      </c>
      <c r="F1359" s="4" t="str">
        <f>Fact_Defect_Split!F228</f>
        <v>A</v>
      </c>
      <c r="G1359" s="4" t="s">
        <v>500</v>
      </c>
      <c r="H1359" s="19">
        <f>Fact_Defect_Split!H228</f>
        <v>0</v>
      </c>
    </row>
    <row r="1360" spans="1:8" x14ac:dyDescent="0.25">
      <c r="A1360" s="18" t="s">
        <v>2341</v>
      </c>
      <c r="B1360" s="4">
        <f>Fact_Defect_Split!B228</f>
        <v>20260702</v>
      </c>
      <c r="C1360" s="4">
        <f>Fact_Defect_Split!C228</f>
        <v>8</v>
      </c>
      <c r="D1360" s="4" t="str">
        <f>Fact_Defect_Split!D228</f>
        <v>M3</v>
      </c>
      <c r="E1360" s="4" t="str">
        <f>Fact_Defect_Split!E228</f>
        <v>A-AM</v>
      </c>
      <c r="F1360" s="4" t="str">
        <f>Fact_Defect_Split!F228</f>
        <v>A</v>
      </c>
      <c r="G1360" s="4" t="s">
        <v>517</v>
      </c>
      <c r="H1360" s="19">
        <f>Fact_Defect_Split!I228</f>
        <v>0</v>
      </c>
    </row>
    <row r="1361" spans="1:8" x14ac:dyDescent="0.25">
      <c r="A1361" s="18" t="s">
        <v>2342</v>
      </c>
      <c r="B1361" s="4">
        <f>Fact_Defect_Split!B228</f>
        <v>20260702</v>
      </c>
      <c r="C1361" s="4">
        <f>Fact_Defect_Split!C228</f>
        <v>8</v>
      </c>
      <c r="D1361" s="4" t="str">
        <f>Fact_Defect_Split!D228</f>
        <v>M3</v>
      </c>
      <c r="E1361" s="4" t="str">
        <f>Fact_Defect_Split!E228</f>
        <v>A-AM</v>
      </c>
      <c r="F1361" s="4" t="str">
        <f>Fact_Defect_Split!F228</f>
        <v>A</v>
      </c>
      <c r="G1361" s="4" t="s">
        <v>503</v>
      </c>
      <c r="H1361" s="19">
        <f>Fact_Defect_Split!J228</f>
        <v>0</v>
      </c>
    </row>
    <row r="1362" spans="1:8" x14ac:dyDescent="0.25">
      <c r="A1362" s="18" t="s">
        <v>2343</v>
      </c>
      <c r="B1362" s="4">
        <f>Fact_Defect_Split!B228</f>
        <v>20260702</v>
      </c>
      <c r="C1362" s="4">
        <f>Fact_Defect_Split!C228</f>
        <v>8</v>
      </c>
      <c r="D1362" s="4" t="str">
        <f>Fact_Defect_Split!D228</f>
        <v>M3</v>
      </c>
      <c r="E1362" s="4" t="str">
        <f>Fact_Defect_Split!E228</f>
        <v>A-AM</v>
      </c>
      <c r="F1362" s="4" t="str">
        <f>Fact_Defect_Split!F228</f>
        <v>A</v>
      </c>
      <c r="G1362" s="4" t="s">
        <v>509</v>
      </c>
      <c r="H1362" s="19">
        <f>Fact_Defect_Split!K228</f>
        <v>0</v>
      </c>
    </row>
    <row r="1363" spans="1:8" x14ac:dyDescent="0.25">
      <c r="A1363" s="18" t="s">
        <v>2344</v>
      </c>
      <c r="B1363" s="4">
        <f>Fact_Defect_Split!B228</f>
        <v>20260702</v>
      </c>
      <c r="C1363" s="4">
        <f>Fact_Defect_Split!C228</f>
        <v>8</v>
      </c>
      <c r="D1363" s="4" t="str">
        <f>Fact_Defect_Split!D228</f>
        <v>M3</v>
      </c>
      <c r="E1363" s="4" t="str">
        <f>Fact_Defect_Split!E228</f>
        <v>A-AM</v>
      </c>
      <c r="F1363" s="4" t="str">
        <f>Fact_Defect_Split!F228</f>
        <v>A</v>
      </c>
      <c r="G1363" s="4" t="s">
        <v>520</v>
      </c>
      <c r="H1363" s="19">
        <f>Fact_Defect_Split!L228</f>
        <v>1</v>
      </c>
    </row>
    <row r="1364" spans="1:8" x14ac:dyDescent="0.25">
      <c r="A1364" s="18" t="s">
        <v>2345</v>
      </c>
      <c r="B1364" s="4">
        <f>Fact_Defect_Split!B229</f>
        <v>20260702</v>
      </c>
      <c r="C1364" s="4">
        <f>Fact_Defect_Split!C229</f>
        <v>8</v>
      </c>
      <c r="D1364" s="4" t="str">
        <f>Fact_Defect_Split!D229</f>
        <v>M4</v>
      </c>
      <c r="E1364" s="4" t="str">
        <f>Fact_Defect_Split!E229</f>
        <v>A-AM</v>
      </c>
      <c r="F1364" s="4" t="str">
        <f>Fact_Defect_Split!F229</f>
        <v>A</v>
      </c>
      <c r="G1364" s="4" t="s">
        <v>498</v>
      </c>
      <c r="H1364" s="19">
        <f>Fact_Defect_Split!G229</f>
        <v>0</v>
      </c>
    </row>
    <row r="1365" spans="1:8" x14ac:dyDescent="0.25">
      <c r="A1365" s="18" t="s">
        <v>2346</v>
      </c>
      <c r="B1365" s="4">
        <f>Fact_Defect_Split!B229</f>
        <v>20260702</v>
      </c>
      <c r="C1365" s="4">
        <f>Fact_Defect_Split!C229</f>
        <v>8</v>
      </c>
      <c r="D1365" s="4" t="str">
        <f>Fact_Defect_Split!D229</f>
        <v>M4</v>
      </c>
      <c r="E1365" s="4" t="str">
        <f>Fact_Defect_Split!E229</f>
        <v>A-AM</v>
      </c>
      <c r="F1365" s="4" t="str">
        <f>Fact_Defect_Split!F229</f>
        <v>A</v>
      </c>
      <c r="G1365" s="4" t="s">
        <v>500</v>
      </c>
      <c r="H1365" s="19">
        <f>Fact_Defect_Split!H229</f>
        <v>0</v>
      </c>
    </row>
    <row r="1366" spans="1:8" x14ac:dyDescent="0.25">
      <c r="A1366" s="18" t="s">
        <v>2347</v>
      </c>
      <c r="B1366" s="4">
        <f>Fact_Defect_Split!B229</f>
        <v>20260702</v>
      </c>
      <c r="C1366" s="4">
        <f>Fact_Defect_Split!C229</f>
        <v>8</v>
      </c>
      <c r="D1366" s="4" t="str">
        <f>Fact_Defect_Split!D229</f>
        <v>M4</v>
      </c>
      <c r="E1366" s="4" t="str">
        <f>Fact_Defect_Split!E229</f>
        <v>A-AM</v>
      </c>
      <c r="F1366" s="4" t="str">
        <f>Fact_Defect_Split!F229</f>
        <v>A</v>
      </c>
      <c r="G1366" s="4" t="s">
        <v>517</v>
      </c>
      <c r="H1366" s="19">
        <f>Fact_Defect_Split!I229</f>
        <v>1</v>
      </c>
    </row>
    <row r="1367" spans="1:8" x14ac:dyDescent="0.25">
      <c r="A1367" s="18" t="s">
        <v>2348</v>
      </c>
      <c r="B1367" s="4">
        <f>Fact_Defect_Split!B229</f>
        <v>20260702</v>
      </c>
      <c r="C1367" s="4">
        <f>Fact_Defect_Split!C229</f>
        <v>8</v>
      </c>
      <c r="D1367" s="4" t="str">
        <f>Fact_Defect_Split!D229</f>
        <v>M4</v>
      </c>
      <c r="E1367" s="4" t="str">
        <f>Fact_Defect_Split!E229</f>
        <v>A-AM</v>
      </c>
      <c r="F1367" s="4" t="str">
        <f>Fact_Defect_Split!F229</f>
        <v>A</v>
      </c>
      <c r="G1367" s="4" t="s">
        <v>503</v>
      </c>
      <c r="H1367" s="19">
        <f>Fact_Defect_Split!J229</f>
        <v>0</v>
      </c>
    </row>
    <row r="1368" spans="1:8" x14ac:dyDescent="0.25">
      <c r="A1368" s="18" t="s">
        <v>2349</v>
      </c>
      <c r="B1368" s="4">
        <f>Fact_Defect_Split!B229</f>
        <v>20260702</v>
      </c>
      <c r="C1368" s="4">
        <f>Fact_Defect_Split!C229</f>
        <v>8</v>
      </c>
      <c r="D1368" s="4" t="str">
        <f>Fact_Defect_Split!D229</f>
        <v>M4</v>
      </c>
      <c r="E1368" s="4" t="str">
        <f>Fact_Defect_Split!E229</f>
        <v>A-AM</v>
      </c>
      <c r="F1368" s="4" t="str">
        <f>Fact_Defect_Split!F229</f>
        <v>A</v>
      </c>
      <c r="G1368" s="4" t="s">
        <v>509</v>
      </c>
      <c r="H1368" s="19">
        <f>Fact_Defect_Split!K229</f>
        <v>1</v>
      </c>
    </row>
    <row r="1369" spans="1:8" x14ac:dyDescent="0.25">
      <c r="A1369" s="18" t="s">
        <v>2350</v>
      </c>
      <c r="B1369" s="4">
        <f>Fact_Defect_Split!B229</f>
        <v>20260702</v>
      </c>
      <c r="C1369" s="4">
        <f>Fact_Defect_Split!C229</f>
        <v>8</v>
      </c>
      <c r="D1369" s="4" t="str">
        <f>Fact_Defect_Split!D229</f>
        <v>M4</v>
      </c>
      <c r="E1369" s="4" t="str">
        <f>Fact_Defect_Split!E229</f>
        <v>A-AM</v>
      </c>
      <c r="F1369" s="4" t="str">
        <f>Fact_Defect_Split!F229</f>
        <v>A</v>
      </c>
      <c r="G1369" s="4" t="s">
        <v>520</v>
      </c>
      <c r="H1369" s="19">
        <f>Fact_Defect_Split!L229</f>
        <v>0</v>
      </c>
    </row>
    <row r="1370" spans="1:8" x14ac:dyDescent="0.25">
      <c r="A1370" s="18" t="s">
        <v>2351</v>
      </c>
      <c r="B1370" s="4">
        <f>Fact_Defect_Split!B230</f>
        <v>20260702</v>
      </c>
      <c r="C1370" s="4">
        <f>Fact_Defect_Split!C230</f>
        <v>8</v>
      </c>
      <c r="D1370" s="4" t="str">
        <f>Fact_Defect_Split!D230</f>
        <v>M5</v>
      </c>
      <c r="E1370" s="4" t="str">
        <f>Fact_Defect_Split!E230</f>
        <v>A-AM</v>
      </c>
      <c r="F1370" s="4" t="str">
        <f>Fact_Defect_Split!F230</f>
        <v>C</v>
      </c>
      <c r="G1370" s="4" t="s">
        <v>498</v>
      </c>
      <c r="H1370" s="19">
        <f>Fact_Defect_Split!G230</f>
        <v>0</v>
      </c>
    </row>
    <row r="1371" spans="1:8" x14ac:dyDescent="0.25">
      <c r="A1371" s="18" t="s">
        <v>2352</v>
      </c>
      <c r="B1371" s="4">
        <f>Fact_Defect_Split!B230</f>
        <v>20260702</v>
      </c>
      <c r="C1371" s="4">
        <f>Fact_Defect_Split!C230</f>
        <v>8</v>
      </c>
      <c r="D1371" s="4" t="str">
        <f>Fact_Defect_Split!D230</f>
        <v>M5</v>
      </c>
      <c r="E1371" s="4" t="str">
        <f>Fact_Defect_Split!E230</f>
        <v>A-AM</v>
      </c>
      <c r="F1371" s="4" t="str">
        <f>Fact_Defect_Split!F230</f>
        <v>C</v>
      </c>
      <c r="G1371" s="4" t="s">
        <v>500</v>
      </c>
      <c r="H1371" s="19">
        <f>Fact_Defect_Split!H230</f>
        <v>0</v>
      </c>
    </row>
    <row r="1372" spans="1:8" x14ac:dyDescent="0.25">
      <c r="A1372" s="18" t="s">
        <v>2353</v>
      </c>
      <c r="B1372" s="4">
        <f>Fact_Defect_Split!B230</f>
        <v>20260702</v>
      </c>
      <c r="C1372" s="4">
        <f>Fact_Defect_Split!C230</f>
        <v>8</v>
      </c>
      <c r="D1372" s="4" t="str">
        <f>Fact_Defect_Split!D230</f>
        <v>M5</v>
      </c>
      <c r="E1372" s="4" t="str">
        <f>Fact_Defect_Split!E230</f>
        <v>A-AM</v>
      </c>
      <c r="F1372" s="4" t="str">
        <f>Fact_Defect_Split!F230</f>
        <v>C</v>
      </c>
      <c r="G1372" s="4" t="s">
        <v>517</v>
      </c>
      <c r="H1372" s="19">
        <f>Fact_Defect_Split!I230</f>
        <v>0</v>
      </c>
    </row>
    <row r="1373" spans="1:8" x14ac:dyDescent="0.25">
      <c r="A1373" s="18" t="s">
        <v>2354</v>
      </c>
      <c r="B1373" s="4">
        <f>Fact_Defect_Split!B230</f>
        <v>20260702</v>
      </c>
      <c r="C1373" s="4">
        <f>Fact_Defect_Split!C230</f>
        <v>8</v>
      </c>
      <c r="D1373" s="4" t="str">
        <f>Fact_Defect_Split!D230</f>
        <v>M5</v>
      </c>
      <c r="E1373" s="4" t="str">
        <f>Fact_Defect_Split!E230</f>
        <v>A-AM</v>
      </c>
      <c r="F1373" s="4" t="str">
        <f>Fact_Defect_Split!F230</f>
        <v>C</v>
      </c>
      <c r="G1373" s="4" t="s">
        <v>503</v>
      </c>
      <c r="H1373" s="19">
        <f>Fact_Defect_Split!J230</f>
        <v>0</v>
      </c>
    </row>
    <row r="1374" spans="1:8" x14ac:dyDescent="0.25">
      <c r="A1374" s="18" t="s">
        <v>2355</v>
      </c>
      <c r="B1374" s="4">
        <f>Fact_Defect_Split!B230</f>
        <v>20260702</v>
      </c>
      <c r="C1374" s="4">
        <f>Fact_Defect_Split!C230</f>
        <v>8</v>
      </c>
      <c r="D1374" s="4" t="str">
        <f>Fact_Defect_Split!D230</f>
        <v>M5</v>
      </c>
      <c r="E1374" s="4" t="str">
        <f>Fact_Defect_Split!E230</f>
        <v>A-AM</v>
      </c>
      <c r="F1374" s="4" t="str">
        <f>Fact_Defect_Split!F230</f>
        <v>C</v>
      </c>
      <c r="G1374" s="4" t="s">
        <v>509</v>
      </c>
      <c r="H1374" s="19">
        <f>Fact_Defect_Split!K230</f>
        <v>0</v>
      </c>
    </row>
    <row r="1375" spans="1:8" x14ac:dyDescent="0.25">
      <c r="A1375" s="18" t="s">
        <v>2356</v>
      </c>
      <c r="B1375" s="4">
        <f>Fact_Defect_Split!B230</f>
        <v>20260702</v>
      </c>
      <c r="C1375" s="4">
        <f>Fact_Defect_Split!C230</f>
        <v>8</v>
      </c>
      <c r="D1375" s="4" t="str">
        <f>Fact_Defect_Split!D230</f>
        <v>M5</v>
      </c>
      <c r="E1375" s="4" t="str">
        <f>Fact_Defect_Split!E230</f>
        <v>A-AM</v>
      </c>
      <c r="F1375" s="4" t="str">
        <f>Fact_Defect_Split!F230</f>
        <v>C</v>
      </c>
      <c r="G1375" s="4" t="s">
        <v>520</v>
      </c>
      <c r="H1375" s="19">
        <f>Fact_Defect_Split!L230</f>
        <v>1</v>
      </c>
    </row>
    <row r="1376" spans="1:8" x14ac:dyDescent="0.25">
      <c r="A1376" s="18" t="s">
        <v>2357</v>
      </c>
      <c r="B1376" s="4">
        <f>Fact_Defect_Split!B231</f>
        <v>20260702</v>
      </c>
      <c r="C1376" s="4">
        <f>Fact_Defect_Split!C231</f>
        <v>8</v>
      </c>
      <c r="D1376" s="4" t="str">
        <f>Fact_Defect_Split!D231</f>
        <v>M6</v>
      </c>
      <c r="E1376" s="4" t="str">
        <f>Fact_Defect_Split!E231</f>
        <v>A-AM</v>
      </c>
      <c r="F1376" s="4" t="str">
        <f>Fact_Defect_Split!F231</f>
        <v>C</v>
      </c>
      <c r="G1376" s="4" t="s">
        <v>498</v>
      </c>
      <c r="H1376" s="19">
        <f>Fact_Defect_Split!G231</f>
        <v>0</v>
      </c>
    </row>
    <row r="1377" spans="1:8" x14ac:dyDescent="0.25">
      <c r="A1377" s="18" t="s">
        <v>2358</v>
      </c>
      <c r="B1377" s="4">
        <f>Fact_Defect_Split!B231</f>
        <v>20260702</v>
      </c>
      <c r="C1377" s="4">
        <f>Fact_Defect_Split!C231</f>
        <v>8</v>
      </c>
      <c r="D1377" s="4" t="str">
        <f>Fact_Defect_Split!D231</f>
        <v>M6</v>
      </c>
      <c r="E1377" s="4" t="str">
        <f>Fact_Defect_Split!E231</f>
        <v>A-AM</v>
      </c>
      <c r="F1377" s="4" t="str">
        <f>Fact_Defect_Split!F231</f>
        <v>C</v>
      </c>
      <c r="G1377" s="4" t="s">
        <v>500</v>
      </c>
      <c r="H1377" s="19">
        <f>Fact_Defect_Split!H231</f>
        <v>0</v>
      </c>
    </row>
    <row r="1378" spans="1:8" x14ac:dyDescent="0.25">
      <c r="A1378" s="18" t="s">
        <v>2359</v>
      </c>
      <c r="B1378" s="4">
        <f>Fact_Defect_Split!B231</f>
        <v>20260702</v>
      </c>
      <c r="C1378" s="4">
        <f>Fact_Defect_Split!C231</f>
        <v>8</v>
      </c>
      <c r="D1378" s="4" t="str">
        <f>Fact_Defect_Split!D231</f>
        <v>M6</v>
      </c>
      <c r="E1378" s="4" t="str">
        <f>Fact_Defect_Split!E231</f>
        <v>A-AM</v>
      </c>
      <c r="F1378" s="4" t="str">
        <f>Fact_Defect_Split!F231</f>
        <v>C</v>
      </c>
      <c r="G1378" s="4" t="s">
        <v>517</v>
      </c>
      <c r="H1378" s="19">
        <f>Fact_Defect_Split!I231</f>
        <v>0</v>
      </c>
    </row>
    <row r="1379" spans="1:8" x14ac:dyDescent="0.25">
      <c r="A1379" s="18" t="s">
        <v>2360</v>
      </c>
      <c r="B1379" s="4">
        <f>Fact_Defect_Split!B231</f>
        <v>20260702</v>
      </c>
      <c r="C1379" s="4">
        <f>Fact_Defect_Split!C231</f>
        <v>8</v>
      </c>
      <c r="D1379" s="4" t="str">
        <f>Fact_Defect_Split!D231</f>
        <v>M6</v>
      </c>
      <c r="E1379" s="4" t="str">
        <f>Fact_Defect_Split!E231</f>
        <v>A-AM</v>
      </c>
      <c r="F1379" s="4" t="str">
        <f>Fact_Defect_Split!F231</f>
        <v>C</v>
      </c>
      <c r="G1379" s="4" t="s">
        <v>503</v>
      </c>
      <c r="H1379" s="19">
        <f>Fact_Defect_Split!J231</f>
        <v>0</v>
      </c>
    </row>
    <row r="1380" spans="1:8" x14ac:dyDescent="0.25">
      <c r="A1380" s="18" t="s">
        <v>2361</v>
      </c>
      <c r="B1380" s="4">
        <f>Fact_Defect_Split!B231</f>
        <v>20260702</v>
      </c>
      <c r="C1380" s="4">
        <f>Fact_Defect_Split!C231</f>
        <v>8</v>
      </c>
      <c r="D1380" s="4" t="str">
        <f>Fact_Defect_Split!D231</f>
        <v>M6</v>
      </c>
      <c r="E1380" s="4" t="str">
        <f>Fact_Defect_Split!E231</f>
        <v>A-AM</v>
      </c>
      <c r="F1380" s="4" t="str">
        <f>Fact_Defect_Split!F231</f>
        <v>C</v>
      </c>
      <c r="G1380" s="4" t="s">
        <v>509</v>
      </c>
      <c r="H1380" s="19">
        <f>Fact_Defect_Split!K231</f>
        <v>1</v>
      </c>
    </row>
    <row r="1381" spans="1:8" x14ac:dyDescent="0.25">
      <c r="A1381" s="18" t="s">
        <v>2362</v>
      </c>
      <c r="B1381" s="4">
        <f>Fact_Defect_Split!B231</f>
        <v>20260702</v>
      </c>
      <c r="C1381" s="4">
        <f>Fact_Defect_Split!C231</f>
        <v>8</v>
      </c>
      <c r="D1381" s="4" t="str">
        <f>Fact_Defect_Split!D231</f>
        <v>M6</v>
      </c>
      <c r="E1381" s="4" t="str">
        <f>Fact_Defect_Split!E231</f>
        <v>A-AM</v>
      </c>
      <c r="F1381" s="4" t="str">
        <f>Fact_Defect_Split!F231</f>
        <v>C</v>
      </c>
      <c r="G1381" s="4" t="s">
        <v>520</v>
      </c>
      <c r="H1381" s="19">
        <f>Fact_Defect_Split!L231</f>
        <v>0</v>
      </c>
    </row>
    <row r="1382" spans="1:8" x14ac:dyDescent="0.25">
      <c r="A1382" s="18" t="s">
        <v>2363</v>
      </c>
      <c r="B1382" s="4">
        <f>Fact_Defect_Split!B232</f>
        <v>20260702</v>
      </c>
      <c r="C1382" s="4">
        <f>Fact_Defect_Split!C232</f>
        <v>8</v>
      </c>
      <c r="D1382" s="4" t="str">
        <f>Fact_Defect_Split!D232</f>
        <v>M7</v>
      </c>
      <c r="E1382" s="4" t="str">
        <f>Fact_Defect_Split!E232</f>
        <v>A-AM</v>
      </c>
      <c r="F1382" s="4" t="str">
        <f>Fact_Defect_Split!F232</f>
        <v>C</v>
      </c>
      <c r="G1382" s="4" t="s">
        <v>498</v>
      </c>
      <c r="H1382" s="19">
        <f>Fact_Defect_Split!G232</f>
        <v>0</v>
      </c>
    </row>
    <row r="1383" spans="1:8" x14ac:dyDescent="0.25">
      <c r="A1383" s="18" t="s">
        <v>2364</v>
      </c>
      <c r="B1383" s="4">
        <f>Fact_Defect_Split!B232</f>
        <v>20260702</v>
      </c>
      <c r="C1383" s="4">
        <f>Fact_Defect_Split!C232</f>
        <v>8</v>
      </c>
      <c r="D1383" s="4" t="str">
        <f>Fact_Defect_Split!D232</f>
        <v>M7</v>
      </c>
      <c r="E1383" s="4" t="str">
        <f>Fact_Defect_Split!E232</f>
        <v>A-AM</v>
      </c>
      <c r="F1383" s="4" t="str">
        <f>Fact_Defect_Split!F232</f>
        <v>C</v>
      </c>
      <c r="G1383" s="4" t="s">
        <v>500</v>
      </c>
      <c r="H1383" s="19">
        <f>Fact_Defect_Split!H232</f>
        <v>0</v>
      </c>
    </row>
    <row r="1384" spans="1:8" x14ac:dyDescent="0.25">
      <c r="A1384" s="18" t="s">
        <v>2365</v>
      </c>
      <c r="B1384" s="4">
        <f>Fact_Defect_Split!B232</f>
        <v>20260702</v>
      </c>
      <c r="C1384" s="4">
        <f>Fact_Defect_Split!C232</f>
        <v>8</v>
      </c>
      <c r="D1384" s="4" t="str">
        <f>Fact_Defect_Split!D232</f>
        <v>M7</v>
      </c>
      <c r="E1384" s="4" t="str">
        <f>Fact_Defect_Split!E232</f>
        <v>A-AM</v>
      </c>
      <c r="F1384" s="4" t="str">
        <f>Fact_Defect_Split!F232</f>
        <v>C</v>
      </c>
      <c r="G1384" s="4" t="s">
        <v>517</v>
      </c>
      <c r="H1384" s="19">
        <f>Fact_Defect_Split!I232</f>
        <v>0</v>
      </c>
    </row>
    <row r="1385" spans="1:8" x14ac:dyDescent="0.25">
      <c r="A1385" s="18" t="s">
        <v>2366</v>
      </c>
      <c r="B1385" s="4">
        <f>Fact_Defect_Split!B232</f>
        <v>20260702</v>
      </c>
      <c r="C1385" s="4">
        <f>Fact_Defect_Split!C232</f>
        <v>8</v>
      </c>
      <c r="D1385" s="4" t="str">
        <f>Fact_Defect_Split!D232</f>
        <v>M7</v>
      </c>
      <c r="E1385" s="4" t="str">
        <f>Fact_Defect_Split!E232</f>
        <v>A-AM</v>
      </c>
      <c r="F1385" s="4" t="str">
        <f>Fact_Defect_Split!F232</f>
        <v>C</v>
      </c>
      <c r="G1385" s="4" t="s">
        <v>503</v>
      </c>
      <c r="H1385" s="19">
        <f>Fact_Defect_Split!J232</f>
        <v>1</v>
      </c>
    </row>
    <row r="1386" spans="1:8" x14ac:dyDescent="0.25">
      <c r="A1386" s="18" t="s">
        <v>2367</v>
      </c>
      <c r="B1386" s="4">
        <f>Fact_Defect_Split!B232</f>
        <v>20260702</v>
      </c>
      <c r="C1386" s="4">
        <f>Fact_Defect_Split!C232</f>
        <v>8</v>
      </c>
      <c r="D1386" s="4" t="str">
        <f>Fact_Defect_Split!D232</f>
        <v>M7</v>
      </c>
      <c r="E1386" s="4" t="str">
        <f>Fact_Defect_Split!E232</f>
        <v>A-AM</v>
      </c>
      <c r="F1386" s="4" t="str">
        <f>Fact_Defect_Split!F232</f>
        <v>C</v>
      </c>
      <c r="G1386" s="4" t="s">
        <v>509</v>
      </c>
      <c r="H1386" s="19">
        <f>Fact_Defect_Split!K232</f>
        <v>1</v>
      </c>
    </row>
    <row r="1387" spans="1:8" x14ac:dyDescent="0.25">
      <c r="A1387" s="18" t="s">
        <v>2368</v>
      </c>
      <c r="B1387" s="4">
        <f>Fact_Defect_Split!B232</f>
        <v>20260702</v>
      </c>
      <c r="C1387" s="4">
        <f>Fact_Defect_Split!C232</f>
        <v>8</v>
      </c>
      <c r="D1387" s="4" t="str">
        <f>Fact_Defect_Split!D232</f>
        <v>M7</v>
      </c>
      <c r="E1387" s="4" t="str">
        <f>Fact_Defect_Split!E232</f>
        <v>A-AM</v>
      </c>
      <c r="F1387" s="4" t="str">
        <f>Fact_Defect_Split!F232</f>
        <v>C</v>
      </c>
      <c r="G1387" s="4" t="s">
        <v>520</v>
      </c>
      <c r="H1387" s="19">
        <f>Fact_Defect_Split!L232</f>
        <v>0</v>
      </c>
    </row>
    <row r="1388" spans="1:8" x14ac:dyDescent="0.25">
      <c r="A1388" s="18" t="s">
        <v>2369</v>
      </c>
      <c r="B1388" s="4">
        <f>Fact_Defect_Split!B233</f>
        <v>20260702</v>
      </c>
      <c r="C1388" s="4">
        <f>Fact_Defect_Split!C233</f>
        <v>9</v>
      </c>
      <c r="D1388" s="4" t="str">
        <f>Fact_Defect_Split!D233</f>
        <v>M1</v>
      </c>
      <c r="E1388" s="4" t="str">
        <f>Fact_Defect_Split!E233</f>
        <v>A-AM</v>
      </c>
      <c r="F1388" s="4" t="str">
        <f>Fact_Defect_Split!F233</f>
        <v>C</v>
      </c>
      <c r="G1388" s="4" t="s">
        <v>498</v>
      </c>
      <c r="H1388" s="19">
        <f>Fact_Defect_Split!G233</f>
        <v>0</v>
      </c>
    </row>
    <row r="1389" spans="1:8" x14ac:dyDescent="0.25">
      <c r="A1389" s="18" t="s">
        <v>2370</v>
      </c>
      <c r="B1389" s="4">
        <f>Fact_Defect_Split!B233</f>
        <v>20260702</v>
      </c>
      <c r="C1389" s="4">
        <f>Fact_Defect_Split!C233</f>
        <v>9</v>
      </c>
      <c r="D1389" s="4" t="str">
        <f>Fact_Defect_Split!D233</f>
        <v>M1</v>
      </c>
      <c r="E1389" s="4" t="str">
        <f>Fact_Defect_Split!E233</f>
        <v>A-AM</v>
      </c>
      <c r="F1389" s="4" t="str">
        <f>Fact_Defect_Split!F233</f>
        <v>C</v>
      </c>
      <c r="G1389" s="4" t="s">
        <v>500</v>
      </c>
      <c r="H1389" s="19">
        <f>Fact_Defect_Split!H233</f>
        <v>0</v>
      </c>
    </row>
    <row r="1390" spans="1:8" x14ac:dyDescent="0.25">
      <c r="A1390" s="18" t="s">
        <v>2371</v>
      </c>
      <c r="B1390" s="4">
        <f>Fact_Defect_Split!B233</f>
        <v>20260702</v>
      </c>
      <c r="C1390" s="4">
        <f>Fact_Defect_Split!C233</f>
        <v>9</v>
      </c>
      <c r="D1390" s="4" t="str">
        <f>Fact_Defect_Split!D233</f>
        <v>M1</v>
      </c>
      <c r="E1390" s="4" t="str">
        <f>Fact_Defect_Split!E233</f>
        <v>A-AM</v>
      </c>
      <c r="F1390" s="4" t="str">
        <f>Fact_Defect_Split!F233</f>
        <v>C</v>
      </c>
      <c r="G1390" s="4" t="s">
        <v>517</v>
      </c>
      <c r="H1390" s="19">
        <f>Fact_Defect_Split!I233</f>
        <v>0</v>
      </c>
    </row>
    <row r="1391" spans="1:8" x14ac:dyDescent="0.25">
      <c r="A1391" s="18" t="s">
        <v>2372</v>
      </c>
      <c r="B1391" s="4">
        <f>Fact_Defect_Split!B233</f>
        <v>20260702</v>
      </c>
      <c r="C1391" s="4">
        <f>Fact_Defect_Split!C233</f>
        <v>9</v>
      </c>
      <c r="D1391" s="4" t="str">
        <f>Fact_Defect_Split!D233</f>
        <v>M1</v>
      </c>
      <c r="E1391" s="4" t="str">
        <f>Fact_Defect_Split!E233</f>
        <v>A-AM</v>
      </c>
      <c r="F1391" s="4" t="str">
        <f>Fact_Defect_Split!F233</f>
        <v>C</v>
      </c>
      <c r="G1391" s="4" t="s">
        <v>503</v>
      </c>
      <c r="H1391" s="19">
        <f>Fact_Defect_Split!J233</f>
        <v>0</v>
      </c>
    </row>
    <row r="1392" spans="1:8" x14ac:dyDescent="0.25">
      <c r="A1392" s="18" t="s">
        <v>2373</v>
      </c>
      <c r="B1392" s="4">
        <f>Fact_Defect_Split!B233</f>
        <v>20260702</v>
      </c>
      <c r="C1392" s="4">
        <f>Fact_Defect_Split!C233</f>
        <v>9</v>
      </c>
      <c r="D1392" s="4" t="str">
        <f>Fact_Defect_Split!D233</f>
        <v>M1</v>
      </c>
      <c r="E1392" s="4" t="str">
        <f>Fact_Defect_Split!E233</f>
        <v>A-AM</v>
      </c>
      <c r="F1392" s="4" t="str">
        <f>Fact_Defect_Split!F233</f>
        <v>C</v>
      </c>
      <c r="G1392" s="4" t="s">
        <v>509</v>
      </c>
      <c r="H1392" s="19">
        <f>Fact_Defect_Split!K233</f>
        <v>0</v>
      </c>
    </row>
    <row r="1393" spans="1:8" x14ac:dyDescent="0.25">
      <c r="A1393" s="18" t="s">
        <v>2374</v>
      </c>
      <c r="B1393" s="4">
        <f>Fact_Defect_Split!B233</f>
        <v>20260702</v>
      </c>
      <c r="C1393" s="4">
        <f>Fact_Defect_Split!C233</f>
        <v>9</v>
      </c>
      <c r="D1393" s="4" t="str">
        <f>Fact_Defect_Split!D233</f>
        <v>M1</v>
      </c>
      <c r="E1393" s="4" t="str">
        <f>Fact_Defect_Split!E233</f>
        <v>A-AM</v>
      </c>
      <c r="F1393" s="4" t="str">
        <f>Fact_Defect_Split!F233</f>
        <v>C</v>
      </c>
      <c r="G1393" s="4" t="s">
        <v>520</v>
      </c>
      <c r="H1393" s="19">
        <f>Fact_Defect_Split!L233</f>
        <v>1</v>
      </c>
    </row>
    <row r="1394" spans="1:8" x14ac:dyDescent="0.25">
      <c r="A1394" s="18" t="s">
        <v>2375</v>
      </c>
      <c r="B1394" s="4">
        <f>Fact_Defect_Split!B234</f>
        <v>20260702</v>
      </c>
      <c r="C1394" s="4">
        <f>Fact_Defect_Split!C234</f>
        <v>9</v>
      </c>
      <c r="D1394" s="4" t="str">
        <f>Fact_Defect_Split!D234</f>
        <v>M2</v>
      </c>
      <c r="E1394" s="4" t="str">
        <f>Fact_Defect_Split!E234</f>
        <v>A-AM</v>
      </c>
      <c r="F1394" s="4" t="str">
        <f>Fact_Defect_Split!F234</f>
        <v>A</v>
      </c>
      <c r="G1394" s="4" t="s">
        <v>498</v>
      </c>
      <c r="H1394" s="19">
        <f>Fact_Defect_Split!G234</f>
        <v>0</v>
      </c>
    </row>
    <row r="1395" spans="1:8" x14ac:dyDescent="0.25">
      <c r="A1395" s="18" t="s">
        <v>2376</v>
      </c>
      <c r="B1395" s="4">
        <f>Fact_Defect_Split!B234</f>
        <v>20260702</v>
      </c>
      <c r="C1395" s="4">
        <f>Fact_Defect_Split!C234</f>
        <v>9</v>
      </c>
      <c r="D1395" s="4" t="str">
        <f>Fact_Defect_Split!D234</f>
        <v>M2</v>
      </c>
      <c r="E1395" s="4" t="str">
        <f>Fact_Defect_Split!E234</f>
        <v>A-AM</v>
      </c>
      <c r="F1395" s="4" t="str">
        <f>Fact_Defect_Split!F234</f>
        <v>A</v>
      </c>
      <c r="G1395" s="4" t="s">
        <v>500</v>
      </c>
      <c r="H1395" s="19">
        <f>Fact_Defect_Split!H234</f>
        <v>0</v>
      </c>
    </row>
    <row r="1396" spans="1:8" x14ac:dyDescent="0.25">
      <c r="A1396" s="18" t="s">
        <v>2377</v>
      </c>
      <c r="B1396" s="4">
        <f>Fact_Defect_Split!B234</f>
        <v>20260702</v>
      </c>
      <c r="C1396" s="4">
        <f>Fact_Defect_Split!C234</f>
        <v>9</v>
      </c>
      <c r="D1396" s="4" t="str">
        <f>Fact_Defect_Split!D234</f>
        <v>M2</v>
      </c>
      <c r="E1396" s="4" t="str">
        <f>Fact_Defect_Split!E234</f>
        <v>A-AM</v>
      </c>
      <c r="F1396" s="4" t="str">
        <f>Fact_Defect_Split!F234</f>
        <v>A</v>
      </c>
      <c r="G1396" s="4" t="s">
        <v>517</v>
      </c>
      <c r="H1396" s="19">
        <f>Fact_Defect_Split!I234</f>
        <v>1</v>
      </c>
    </row>
    <row r="1397" spans="1:8" x14ac:dyDescent="0.25">
      <c r="A1397" s="18" t="s">
        <v>2378</v>
      </c>
      <c r="B1397" s="4">
        <f>Fact_Defect_Split!B234</f>
        <v>20260702</v>
      </c>
      <c r="C1397" s="4">
        <f>Fact_Defect_Split!C234</f>
        <v>9</v>
      </c>
      <c r="D1397" s="4" t="str">
        <f>Fact_Defect_Split!D234</f>
        <v>M2</v>
      </c>
      <c r="E1397" s="4" t="str">
        <f>Fact_Defect_Split!E234</f>
        <v>A-AM</v>
      </c>
      <c r="F1397" s="4" t="str">
        <f>Fact_Defect_Split!F234</f>
        <v>A</v>
      </c>
      <c r="G1397" s="4" t="s">
        <v>503</v>
      </c>
      <c r="H1397" s="19">
        <f>Fact_Defect_Split!J234</f>
        <v>0</v>
      </c>
    </row>
    <row r="1398" spans="1:8" x14ac:dyDescent="0.25">
      <c r="A1398" s="18" t="s">
        <v>2379</v>
      </c>
      <c r="B1398" s="4">
        <f>Fact_Defect_Split!B234</f>
        <v>20260702</v>
      </c>
      <c r="C1398" s="4">
        <f>Fact_Defect_Split!C234</f>
        <v>9</v>
      </c>
      <c r="D1398" s="4" t="str">
        <f>Fact_Defect_Split!D234</f>
        <v>M2</v>
      </c>
      <c r="E1398" s="4" t="str">
        <f>Fact_Defect_Split!E234</f>
        <v>A-AM</v>
      </c>
      <c r="F1398" s="4" t="str">
        <f>Fact_Defect_Split!F234</f>
        <v>A</v>
      </c>
      <c r="G1398" s="4" t="s">
        <v>509</v>
      </c>
      <c r="H1398" s="19">
        <f>Fact_Defect_Split!K234</f>
        <v>1</v>
      </c>
    </row>
    <row r="1399" spans="1:8" x14ac:dyDescent="0.25">
      <c r="A1399" s="18" t="s">
        <v>2380</v>
      </c>
      <c r="B1399" s="4">
        <f>Fact_Defect_Split!B234</f>
        <v>20260702</v>
      </c>
      <c r="C1399" s="4">
        <f>Fact_Defect_Split!C234</f>
        <v>9</v>
      </c>
      <c r="D1399" s="4" t="str">
        <f>Fact_Defect_Split!D234</f>
        <v>M2</v>
      </c>
      <c r="E1399" s="4" t="str">
        <f>Fact_Defect_Split!E234</f>
        <v>A-AM</v>
      </c>
      <c r="F1399" s="4" t="str">
        <f>Fact_Defect_Split!F234</f>
        <v>A</v>
      </c>
      <c r="G1399" s="4" t="s">
        <v>520</v>
      </c>
      <c r="H1399" s="19">
        <f>Fact_Defect_Split!L234</f>
        <v>1</v>
      </c>
    </row>
    <row r="1400" spans="1:8" x14ac:dyDescent="0.25">
      <c r="A1400" s="18" t="s">
        <v>2381</v>
      </c>
      <c r="B1400" s="4">
        <f>Fact_Defect_Split!B235</f>
        <v>20260702</v>
      </c>
      <c r="C1400" s="4">
        <f>Fact_Defect_Split!C235</f>
        <v>9</v>
      </c>
      <c r="D1400" s="4" t="str">
        <f>Fact_Defect_Split!D235</f>
        <v>M3</v>
      </c>
      <c r="E1400" s="4" t="str">
        <f>Fact_Defect_Split!E235</f>
        <v>A-AM</v>
      </c>
      <c r="F1400" s="4" t="str">
        <f>Fact_Defect_Split!F235</f>
        <v>A</v>
      </c>
      <c r="G1400" s="4" t="s">
        <v>498</v>
      </c>
      <c r="H1400" s="19">
        <f>Fact_Defect_Split!G235</f>
        <v>0</v>
      </c>
    </row>
    <row r="1401" spans="1:8" x14ac:dyDescent="0.25">
      <c r="A1401" s="18" t="s">
        <v>2382</v>
      </c>
      <c r="B1401" s="4">
        <f>Fact_Defect_Split!B235</f>
        <v>20260702</v>
      </c>
      <c r="C1401" s="4">
        <f>Fact_Defect_Split!C235</f>
        <v>9</v>
      </c>
      <c r="D1401" s="4" t="str">
        <f>Fact_Defect_Split!D235</f>
        <v>M3</v>
      </c>
      <c r="E1401" s="4" t="str">
        <f>Fact_Defect_Split!E235</f>
        <v>A-AM</v>
      </c>
      <c r="F1401" s="4" t="str">
        <f>Fact_Defect_Split!F235</f>
        <v>A</v>
      </c>
      <c r="G1401" s="4" t="s">
        <v>500</v>
      </c>
      <c r="H1401" s="19">
        <f>Fact_Defect_Split!H235</f>
        <v>0</v>
      </c>
    </row>
    <row r="1402" spans="1:8" x14ac:dyDescent="0.25">
      <c r="A1402" s="18" t="s">
        <v>2383</v>
      </c>
      <c r="B1402" s="4">
        <f>Fact_Defect_Split!B235</f>
        <v>20260702</v>
      </c>
      <c r="C1402" s="4">
        <f>Fact_Defect_Split!C235</f>
        <v>9</v>
      </c>
      <c r="D1402" s="4" t="str">
        <f>Fact_Defect_Split!D235</f>
        <v>M3</v>
      </c>
      <c r="E1402" s="4" t="str">
        <f>Fact_Defect_Split!E235</f>
        <v>A-AM</v>
      </c>
      <c r="F1402" s="4" t="str">
        <f>Fact_Defect_Split!F235</f>
        <v>A</v>
      </c>
      <c r="G1402" s="4" t="s">
        <v>517</v>
      </c>
      <c r="H1402" s="19">
        <f>Fact_Defect_Split!I235</f>
        <v>0</v>
      </c>
    </row>
    <row r="1403" spans="1:8" x14ac:dyDescent="0.25">
      <c r="A1403" s="18" t="s">
        <v>2384</v>
      </c>
      <c r="B1403" s="4">
        <f>Fact_Defect_Split!B235</f>
        <v>20260702</v>
      </c>
      <c r="C1403" s="4">
        <f>Fact_Defect_Split!C235</f>
        <v>9</v>
      </c>
      <c r="D1403" s="4" t="str">
        <f>Fact_Defect_Split!D235</f>
        <v>M3</v>
      </c>
      <c r="E1403" s="4" t="str">
        <f>Fact_Defect_Split!E235</f>
        <v>A-AM</v>
      </c>
      <c r="F1403" s="4" t="str">
        <f>Fact_Defect_Split!F235</f>
        <v>A</v>
      </c>
      <c r="G1403" s="4" t="s">
        <v>503</v>
      </c>
      <c r="H1403" s="19">
        <f>Fact_Defect_Split!J235</f>
        <v>0</v>
      </c>
    </row>
    <row r="1404" spans="1:8" x14ac:dyDescent="0.25">
      <c r="A1404" s="18" t="s">
        <v>2385</v>
      </c>
      <c r="B1404" s="4">
        <f>Fact_Defect_Split!B235</f>
        <v>20260702</v>
      </c>
      <c r="C1404" s="4">
        <f>Fact_Defect_Split!C235</f>
        <v>9</v>
      </c>
      <c r="D1404" s="4" t="str">
        <f>Fact_Defect_Split!D235</f>
        <v>M3</v>
      </c>
      <c r="E1404" s="4" t="str">
        <f>Fact_Defect_Split!E235</f>
        <v>A-AM</v>
      </c>
      <c r="F1404" s="4" t="str">
        <f>Fact_Defect_Split!F235</f>
        <v>A</v>
      </c>
      <c r="G1404" s="4" t="s">
        <v>509</v>
      </c>
      <c r="H1404" s="19">
        <f>Fact_Defect_Split!K235</f>
        <v>1</v>
      </c>
    </row>
    <row r="1405" spans="1:8" x14ac:dyDescent="0.25">
      <c r="A1405" s="18" t="s">
        <v>2386</v>
      </c>
      <c r="B1405" s="4">
        <f>Fact_Defect_Split!B235</f>
        <v>20260702</v>
      </c>
      <c r="C1405" s="4">
        <f>Fact_Defect_Split!C235</f>
        <v>9</v>
      </c>
      <c r="D1405" s="4" t="str">
        <f>Fact_Defect_Split!D235</f>
        <v>M3</v>
      </c>
      <c r="E1405" s="4" t="str">
        <f>Fact_Defect_Split!E235</f>
        <v>A-AM</v>
      </c>
      <c r="F1405" s="4" t="str">
        <f>Fact_Defect_Split!F235</f>
        <v>A</v>
      </c>
      <c r="G1405" s="4" t="s">
        <v>520</v>
      </c>
      <c r="H1405" s="19">
        <f>Fact_Defect_Split!L235</f>
        <v>0</v>
      </c>
    </row>
    <row r="1406" spans="1:8" x14ac:dyDescent="0.25">
      <c r="A1406" s="18" t="s">
        <v>2387</v>
      </c>
      <c r="B1406" s="4">
        <f>Fact_Defect_Split!B236</f>
        <v>20260702</v>
      </c>
      <c r="C1406" s="4">
        <f>Fact_Defect_Split!C236</f>
        <v>9</v>
      </c>
      <c r="D1406" s="4" t="str">
        <f>Fact_Defect_Split!D236</f>
        <v>M4</v>
      </c>
      <c r="E1406" s="4" t="str">
        <f>Fact_Defect_Split!E236</f>
        <v>A-AM</v>
      </c>
      <c r="F1406" s="4" t="str">
        <f>Fact_Defect_Split!F236</f>
        <v>A</v>
      </c>
      <c r="G1406" s="4" t="s">
        <v>498</v>
      </c>
      <c r="H1406" s="19">
        <f>Fact_Defect_Split!G236</f>
        <v>0</v>
      </c>
    </row>
    <row r="1407" spans="1:8" x14ac:dyDescent="0.25">
      <c r="A1407" s="18" t="s">
        <v>2388</v>
      </c>
      <c r="B1407" s="4">
        <f>Fact_Defect_Split!B236</f>
        <v>20260702</v>
      </c>
      <c r="C1407" s="4">
        <f>Fact_Defect_Split!C236</f>
        <v>9</v>
      </c>
      <c r="D1407" s="4" t="str">
        <f>Fact_Defect_Split!D236</f>
        <v>M4</v>
      </c>
      <c r="E1407" s="4" t="str">
        <f>Fact_Defect_Split!E236</f>
        <v>A-AM</v>
      </c>
      <c r="F1407" s="4" t="str">
        <f>Fact_Defect_Split!F236</f>
        <v>A</v>
      </c>
      <c r="G1407" s="4" t="s">
        <v>500</v>
      </c>
      <c r="H1407" s="19">
        <f>Fact_Defect_Split!H236</f>
        <v>0</v>
      </c>
    </row>
    <row r="1408" spans="1:8" x14ac:dyDescent="0.25">
      <c r="A1408" s="18" t="s">
        <v>2389</v>
      </c>
      <c r="B1408" s="4">
        <f>Fact_Defect_Split!B236</f>
        <v>20260702</v>
      </c>
      <c r="C1408" s="4">
        <f>Fact_Defect_Split!C236</f>
        <v>9</v>
      </c>
      <c r="D1408" s="4" t="str">
        <f>Fact_Defect_Split!D236</f>
        <v>M4</v>
      </c>
      <c r="E1408" s="4" t="str">
        <f>Fact_Defect_Split!E236</f>
        <v>A-AM</v>
      </c>
      <c r="F1408" s="4" t="str">
        <f>Fact_Defect_Split!F236</f>
        <v>A</v>
      </c>
      <c r="G1408" s="4" t="s">
        <v>517</v>
      </c>
      <c r="H1408" s="19">
        <f>Fact_Defect_Split!I236</f>
        <v>0</v>
      </c>
    </row>
    <row r="1409" spans="1:8" x14ac:dyDescent="0.25">
      <c r="A1409" s="18" t="s">
        <v>2390</v>
      </c>
      <c r="B1409" s="4">
        <f>Fact_Defect_Split!B236</f>
        <v>20260702</v>
      </c>
      <c r="C1409" s="4">
        <f>Fact_Defect_Split!C236</f>
        <v>9</v>
      </c>
      <c r="D1409" s="4" t="str">
        <f>Fact_Defect_Split!D236</f>
        <v>M4</v>
      </c>
      <c r="E1409" s="4" t="str">
        <f>Fact_Defect_Split!E236</f>
        <v>A-AM</v>
      </c>
      <c r="F1409" s="4" t="str">
        <f>Fact_Defect_Split!F236</f>
        <v>A</v>
      </c>
      <c r="G1409" s="4" t="s">
        <v>503</v>
      </c>
      <c r="H1409" s="19">
        <f>Fact_Defect_Split!J236</f>
        <v>0</v>
      </c>
    </row>
    <row r="1410" spans="1:8" x14ac:dyDescent="0.25">
      <c r="A1410" s="18" t="s">
        <v>2391</v>
      </c>
      <c r="B1410" s="4">
        <f>Fact_Defect_Split!B236</f>
        <v>20260702</v>
      </c>
      <c r="C1410" s="4">
        <f>Fact_Defect_Split!C236</f>
        <v>9</v>
      </c>
      <c r="D1410" s="4" t="str">
        <f>Fact_Defect_Split!D236</f>
        <v>M4</v>
      </c>
      <c r="E1410" s="4" t="str">
        <f>Fact_Defect_Split!E236</f>
        <v>A-AM</v>
      </c>
      <c r="F1410" s="4" t="str">
        <f>Fact_Defect_Split!F236</f>
        <v>A</v>
      </c>
      <c r="G1410" s="4" t="s">
        <v>509</v>
      </c>
      <c r="H1410" s="19">
        <f>Fact_Defect_Split!K236</f>
        <v>1</v>
      </c>
    </row>
    <row r="1411" spans="1:8" x14ac:dyDescent="0.25">
      <c r="A1411" s="18" t="s">
        <v>2392</v>
      </c>
      <c r="B1411" s="4">
        <f>Fact_Defect_Split!B236</f>
        <v>20260702</v>
      </c>
      <c r="C1411" s="4">
        <f>Fact_Defect_Split!C236</f>
        <v>9</v>
      </c>
      <c r="D1411" s="4" t="str">
        <f>Fact_Defect_Split!D236</f>
        <v>M4</v>
      </c>
      <c r="E1411" s="4" t="str">
        <f>Fact_Defect_Split!E236</f>
        <v>A-AM</v>
      </c>
      <c r="F1411" s="4" t="str">
        <f>Fact_Defect_Split!F236</f>
        <v>A</v>
      </c>
      <c r="G1411" s="4" t="s">
        <v>520</v>
      </c>
      <c r="H1411" s="19">
        <f>Fact_Defect_Split!L236</f>
        <v>0</v>
      </c>
    </row>
    <row r="1412" spans="1:8" x14ac:dyDescent="0.25">
      <c r="A1412" s="18" t="s">
        <v>2393</v>
      </c>
      <c r="B1412" s="4">
        <f>Fact_Defect_Split!B237</f>
        <v>20260702</v>
      </c>
      <c r="C1412" s="4">
        <f>Fact_Defect_Split!C237</f>
        <v>9</v>
      </c>
      <c r="D1412" s="4" t="str">
        <f>Fact_Defect_Split!D237</f>
        <v>M5</v>
      </c>
      <c r="E1412" s="4" t="str">
        <f>Fact_Defect_Split!E237</f>
        <v>A-AM</v>
      </c>
      <c r="F1412" s="4" t="str">
        <f>Fact_Defect_Split!F237</f>
        <v>C</v>
      </c>
      <c r="G1412" s="4" t="s">
        <v>498</v>
      </c>
      <c r="H1412" s="19">
        <f>Fact_Defect_Split!G237</f>
        <v>0</v>
      </c>
    </row>
    <row r="1413" spans="1:8" x14ac:dyDescent="0.25">
      <c r="A1413" s="18" t="s">
        <v>2394</v>
      </c>
      <c r="B1413" s="4">
        <f>Fact_Defect_Split!B237</f>
        <v>20260702</v>
      </c>
      <c r="C1413" s="4">
        <f>Fact_Defect_Split!C237</f>
        <v>9</v>
      </c>
      <c r="D1413" s="4" t="str">
        <f>Fact_Defect_Split!D237</f>
        <v>M5</v>
      </c>
      <c r="E1413" s="4" t="str">
        <f>Fact_Defect_Split!E237</f>
        <v>A-AM</v>
      </c>
      <c r="F1413" s="4" t="str">
        <f>Fact_Defect_Split!F237</f>
        <v>C</v>
      </c>
      <c r="G1413" s="4" t="s">
        <v>500</v>
      </c>
      <c r="H1413" s="19">
        <f>Fact_Defect_Split!H237</f>
        <v>0</v>
      </c>
    </row>
    <row r="1414" spans="1:8" x14ac:dyDescent="0.25">
      <c r="A1414" s="18" t="s">
        <v>2395</v>
      </c>
      <c r="B1414" s="4">
        <f>Fact_Defect_Split!B237</f>
        <v>20260702</v>
      </c>
      <c r="C1414" s="4">
        <f>Fact_Defect_Split!C237</f>
        <v>9</v>
      </c>
      <c r="D1414" s="4" t="str">
        <f>Fact_Defect_Split!D237</f>
        <v>M5</v>
      </c>
      <c r="E1414" s="4" t="str">
        <f>Fact_Defect_Split!E237</f>
        <v>A-AM</v>
      </c>
      <c r="F1414" s="4" t="str">
        <f>Fact_Defect_Split!F237</f>
        <v>C</v>
      </c>
      <c r="G1414" s="4" t="s">
        <v>517</v>
      </c>
      <c r="H1414" s="19">
        <f>Fact_Defect_Split!I237</f>
        <v>0</v>
      </c>
    </row>
    <row r="1415" spans="1:8" x14ac:dyDescent="0.25">
      <c r="A1415" s="18" t="s">
        <v>2396</v>
      </c>
      <c r="B1415" s="4">
        <f>Fact_Defect_Split!B237</f>
        <v>20260702</v>
      </c>
      <c r="C1415" s="4">
        <f>Fact_Defect_Split!C237</f>
        <v>9</v>
      </c>
      <c r="D1415" s="4" t="str">
        <f>Fact_Defect_Split!D237</f>
        <v>M5</v>
      </c>
      <c r="E1415" s="4" t="str">
        <f>Fact_Defect_Split!E237</f>
        <v>A-AM</v>
      </c>
      <c r="F1415" s="4" t="str">
        <f>Fact_Defect_Split!F237</f>
        <v>C</v>
      </c>
      <c r="G1415" s="4" t="s">
        <v>503</v>
      </c>
      <c r="H1415" s="19">
        <f>Fact_Defect_Split!J237</f>
        <v>0</v>
      </c>
    </row>
    <row r="1416" spans="1:8" x14ac:dyDescent="0.25">
      <c r="A1416" s="18" t="s">
        <v>2397</v>
      </c>
      <c r="B1416" s="4">
        <f>Fact_Defect_Split!B237</f>
        <v>20260702</v>
      </c>
      <c r="C1416" s="4">
        <f>Fact_Defect_Split!C237</f>
        <v>9</v>
      </c>
      <c r="D1416" s="4" t="str">
        <f>Fact_Defect_Split!D237</f>
        <v>M5</v>
      </c>
      <c r="E1416" s="4" t="str">
        <f>Fact_Defect_Split!E237</f>
        <v>A-AM</v>
      </c>
      <c r="F1416" s="4" t="str">
        <f>Fact_Defect_Split!F237</f>
        <v>C</v>
      </c>
      <c r="G1416" s="4" t="s">
        <v>509</v>
      </c>
      <c r="H1416" s="19">
        <f>Fact_Defect_Split!K237</f>
        <v>0</v>
      </c>
    </row>
    <row r="1417" spans="1:8" x14ac:dyDescent="0.25">
      <c r="A1417" s="18" t="s">
        <v>2398</v>
      </c>
      <c r="B1417" s="4">
        <f>Fact_Defect_Split!B237</f>
        <v>20260702</v>
      </c>
      <c r="C1417" s="4">
        <f>Fact_Defect_Split!C237</f>
        <v>9</v>
      </c>
      <c r="D1417" s="4" t="str">
        <f>Fact_Defect_Split!D237</f>
        <v>M5</v>
      </c>
      <c r="E1417" s="4" t="str">
        <f>Fact_Defect_Split!E237</f>
        <v>A-AM</v>
      </c>
      <c r="F1417" s="4" t="str">
        <f>Fact_Defect_Split!F237</f>
        <v>C</v>
      </c>
      <c r="G1417" s="4" t="s">
        <v>520</v>
      </c>
      <c r="H1417" s="19">
        <f>Fact_Defect_Split!L237</f>
        <v>1</v>
      </c>
    </row>
    <row r="1418" spans="1:8" x14ac:dyDescent="0.25">
      <c r="A1418" s="18" t="s">
        <v>2399</v>
      </c>
      <c r="B1418" s="4">
        <f>Fact_Defect_Split!B238</f>
        <v>20260702</v>
      </c>
      <c r="C1418" s="4">
        <f>Fact_Defect_Split!C238</f>
        <v>9</v>
      </c>
      <c r="D1418" s="4" t="str">
        <f>Fact_Defect_Split!D238</f>
        <v>M6</v>
      </c>
      <c r="E1418" s="4" t="str">
        <f>Fact_Defect_Split!E238</f>
        <v>A-AM</v>
      </c>
      <c r="F1418" s="4" t="str">
        <f>Fact_Defect_Split!F238</f>
        <v>C</v>
      </c>
      <c r="G1418" s="4" t="s">
        <v>498</v>
      </c>
      <c r="H1418" s="19">
        <f>Fact_Defect_Split!G238</f>
        <v>0</v>
      </c>
    </row>
    <row r="1419" spans="1:8" x14ac:dyDescent="0.25">
      <c r="A1419" s="18" t="s">
        <v>2400</v>
      </c>
      <c r="B1419" s="4">
        <f>Fact_Defect_Split!B238</f>
        <v>20260702</v>
      </c>
      <c r="C1419" s="4">
        <f>Fact_Defect_Split!C238</f>
        <v>9</v>
      </c>
      <c r="D1419" s="4" t="str">
        <f>Fact_Defect_Split!D238</f>
        <v>M6</v>
      </c>
      <c r="E1419" s="4" t="str">
        <f>Fact_Defect_Split!E238</f>
        <v>A-AM</v>
      </c>
      <c r="F1419" s="4" t="str">
        <f>Fact_Defect_Split!F238</f>
        <v>C</v>
      </c>
      <c r="G1419" s="4" t="s">
        <v>500</v>
      </c>
      <c r="H1419" s="19">
        <f>Fact_Defect_Split!H238</f>
        <v>0</v>
      </c>
    </row>
    <row r="1420" spans="1:8" x14ac:dyDescent="0.25">
      <c r="A1420" s="18" t="s">
        <v>2401</v>
      </c>
      <c r="B1420" s="4">
        <f>Fact_Defect_Split!B238</f>
        <v>20260702</v>
      </c>
      <c r="C1420" s="4">
        <f>Fact_Defect_Split!C238</f>
        <v>9</v>
      </c>
      <c r="D1420" s="4" t="str">
        <f>Fact_Defect_Split!D238</f>
        <v>M6</v>
      </c>
      <c r="E1420" s="4" t="str">
        <f>Fact_Defect_Split!E238</f>
        <v>A-AM</v>
      </c>
      <c r="F1420" s="4" t="str">
        <f>Fact_Defect_Split!F238</f>
        <v>C</v>
      </c>
      <c r="G1420" s="4" t="s">
        <v>517</v>
      </c>
      <c r="H1420" s="19">
        <f>Fact_Defect_Split!I238</f>
        <v>0</v>
      </c>
    </row>
    <row r="1421" spans="1:8" x14ac:dyDescent="0.25">
      <c r="A1421" s="18" t="s">
        <v>2402</v>
      </c>
      <c r="B1421" s="4">
        <f>Fact_Defect_Split!B238</f>
        <v>20260702</v>
      </c>
      <c r="C1421" s="4">
        <f>Fact_Defect_Split!C238</f>
        <v>9</v>
      </c>
      <c r="D1421" s="4" t="str">
        <f>Fact_Defect_Split!D238</f>
        <v>M6</v>
      </c>
      <c r="E1421" s="4" t="str">
        <f>Fact_Defect_Split!E238</f>
        <v>A-AM</v>
      </c>
      <c r="F1421" s="4" t="str">
        <f>Fact_Defect_Split!F238</f>
        <v>C</v>
      </c>
      <c r="G1421" s="4" t="s">
        <v>503</v>
      </c>
      <c r="H1421" s="19">
        <f>Fact_Defect_Split!J238</f>
        <v>0</v>
      </c>
    </row>
    <row r="1422" spans="1:8" x14ac:dyDescent="0.25">
      <c r="A1422" s="18" t="s">
        <v>2403</v>
      </c>
      <c r="B1422" s="4">
        <f>Fact_Defect_Split!B238</f>
        <v>20260702</v>
      </c>
      <c r="C1422" s="4">
        <f>Fact_Defect_Split!C238</f>
        <v>9</v>
      </c>
      <c r="D1422" s="4" t="str">
        <f>Fact_Defect_Split!D238</f>
        <v>M6</v>
      </c>
      <c r="E1422" s="4" t="str">
        <f>Fact_Defect_Split!E238</f>
        <v>A-AM</v>
      </c>
      <c r="F1422" s="4" t="str">
        <f>Fact_Defect_Split!F238</f>
        <v>C</v>
      </c>
      <c r="G1422" s="4" t="s">
        <v>509</v>
      </c>
      <c r="H1422" s="19">
        <f>Fact_Defect_Split!K238</f>
        <v>1</v>
      </c>
    </row>
    <row r="1423" spans="1:8" x14ac:dyDescent="0.25">
      <c r="A1423" s="18" t="s">
        <v>2404</v>
      </c>
      <c r="B1423" s="4">
        <f>Fact_Defect_Split!B238</f>
        <v>20260702</v>
      </c>
      <c r="C1423" s="4">
        <f>Fact_Defect_Split!C238</f>
        <v>9</v>
      </c>
      <c r="D1423" s="4" t="str">
        <f>Fact_Defect_Split!D238</f>
        <v>M6</v>
      </c>
      <c r="E1423" s="4" t="str">
        <f>Fact_Defect_Split!E238</f>
        <v>A-AM</v>
      </c>
      <c r="F1423" s="4" t="str">
        <f>Fact_Defect_Split!F238</f>
        <v>C</v>
      </c>
      <c r="G1423" s="4" t="s">
        <v>520</v>
      </c>
      <c r="H1423" s="19">
        <f>Fact_Defect_Split!L238</f>
        <v>0</v>
      </c>
    </row>
    <row r="1424" spans="1:8" x14ac:dyDescent="0.25">
      <c r="A1424" s="18" t="s">
        <v>2405</v>
      </c>
      <c r="B1424" s="4">
        <f>Fact_Defect_Split!B239</f>
        <v>20260702</v>
      </c>
      <c r="C1424" s="4">
        <f>Fact_Defect_Split!C239</f>
        <v>9</v>
      </c>
      <c r="D1424" s="4" t="str">
        <f>Fact_Defect_Split!D239</f>
        <v>M7</v>
      </c>
      <c r="E1424" s="4" t="str">
        <f>Fact_Defect_Split!E239</f>
        <v>A-AM</v>
      </c>
      <c r="F1424" s="4" t="str">
        <f>Fact_Defect_Split!F239</f>
        <v>C</v>
      </c>
      <c r="G1424" s="4" t="s">
        <v>498</v>
      </c>
      <c r="H1424" s="19">
        <f>Fact_Defect_Split!G239</f>
        <v>0</v>
      </c>
    </row>
    <row r="1425" spans="1:8" x14ac:dyDescent="0.25">
      <c r="A1425" s="18" t="s">
        <v>2406</v>
      </c>
      <c r="B1425" s="4">
        <f>Fact_Defect_Split!B239</f>
        <v>20260702</v>
      </c>
      <c r="C1425" s="4">
        <f>Fact_Defect_Split!C239</f>
        <v>9</v>
      </c>
      <c r="D1425" s="4" t="str">
        <f>Fact_Defect_Split!D239</f>
        <v>M7</v>
      </c>
      <c r="E1425" s="4" t="str">
        <f>Fact_Defect_Split!E239</f>
        <v>A-AM</v>
      </c>
      <c r="F1425" s="4" t="str">
        <f>Fact_Defect_Split!F239</f>
        <v>C</v>
      </c>
      <c r="G1425" s="4" t="s">
        <v>500</v>
      </c>
      <c r="H1425" s="19">
        <f>Fact_Defect_Split!H239</f>
        <v>0</v>
      </c>
    </row>
    <row r="1426" spans="1:8" x14ac:dyDescent="0.25">
      <c r="A1426" s="18" t="s">
        <v>2407</v>
      </c>
      <c r="B1426" s="4">
        <f>Fact_Defect_Split!B239</f>
        <v>20260702</v>
      </c>
      <c r="C1426" s="4">
        <f>Fact_Defect_Split!C239</f>
        <v>9</v>
      </c>
      <c r="D1426" s="4" t="str">
        <f>Fact_Defect_Split!D239</f>
        <v>M7</v>
      </c>
      <c r="E1426" s="4" t="str">
        <f>Fact_Defect_Split!E239</f>
        <v>A-AM</v>
      </c>
      <c r="F1426" s="4" t="str">
        <f>Fact_Defect_Split!F239</f>
        <v>C</v>
      </c>
      <c r="G1426" s="4" t="s">
        <v>517</v>
      </c>
      <c r="H1426" s="19">
        <f>Fact_Defect_Split!I239</f>
        <v>0</v>
      </c>
    </row>
    <row r="1427" spans="1:8" x14ac:dyDescent="0.25">
      <c r="A1427" s="18" t="s">
        <v>2408</v>
      </c>
      <c r="B1427" s="4">
        <f>Fact_Defect_Split!B239</f>
        <v>20260702</v>
      </c>
      <c r="C1427" s="4">
        <f>Fact_Defect_Split!C239</f>
        <v>9</v>
      </c>
      <c r="D1427" s="4" t="str">
        <f>Fact_Defect_Split!D239</f>
        <v>M7</v>
      </c>
      <c r="E1427" s="4" t="str">
        <f>Fact_Defect_Split!E239</f>
        <v>A-AM</v>
      </c>
      <c r="F1427" s="4" t="str">
        <f>Fact_Defect_Split!F239</f>
        <v>C</v>
      </c>
      <c r="G1427" s="4" t="s">
        <v>503</v>
      </c>
      <c r="H1427" s="19">
        <f>Fact_Defect_Split!J239</f>
        <v>1</v>
      </c>
    </row>
    <row r="1428" spans="1:8" x14ac:dyDescent="0.25">
      <c r="A1428" s="18" t="s">
        <v>2409</v>
      </c>
      <c r="B1428" s="4">
        <f>Fact_Defect_Split!B239</f>
        <v>20260702</v>
      </c>
      <c r="C1428" s="4">
        <f>Fact_Defect_Split!C239</f>
        <v>9</v>
      </c>
      <c r="D1428" s="4" t="str">
        <f>Fact_Defect_Split!D239</f>
        <v>M7</v>
      </c>
      <c r="E1428" s="4" t="str">
        <f>Fact_Defect_Split!E239</f>
        <v>A-AM</v>
      </c>
      <c r="F1428" s="4" t="str">
        <f>Fact_Defect_Split!F239</f>
        <v>C</v>
      </c>
      <c r="G1428" s="4" t="s">
        <v>509</v>
      </c>
      <c r="H1428" s="19">
        <f>Fact_Defect_Split!K239</f>
        <v>1</v>
      </c>
    </row>
    <row r="1429" spans="1:8" x14ac:dyDescent="0.25">
      <c r="A1429" s="18" t="s">
        <v>2410</v>
      </c>
      <c r="B1429" s="4">
        <f>Fact_Defect_Split!B239</f>
        <v>20260702</v>
      </c>
      <c r="C1429" s="4">
        <f>Fact_Defect_Split!C239</f>
        <v>9</v>
      </c>
      <c r="D1429" s="4" t="str">
        <f>Fact_Defect_Split!D239</f>
        <v>M7</v>
      </c>
      <c r="E1429" s="4" t="str">
        <f>Fact_Defect_Split!E239</f>
        <v>A-AM</v>
      </c>
      <c r="F1429" s="4" t="str">
        <f>Fact_Defect_Split!F239</f>
        <v>C</v>
      </c>
      <c r="G1429" s="4" t="s">
        <v>520</v>
      </c>
      <c r="H1429" s="19">
        <f>Fact_Defect_Split!L239</f>
        <v>1</v>
      </c>
    </row>
    <row r="1430" spans="1:8" x14ac:dyDescent="0.25">
      <c r="A1430" s="18" t="s">
        <v>2411</v>
      </c>
      <c r="B1430" s="4">
        <f>Fact_Defect_Split!B240</f>
        <v>20260702</v>
      </c>
      <c r="C1430" s="4">
        <f>Fact_Defect_Split!C240</f>
        <v>10</v>
      </c>
      <c r="D1430" s="4" t="str">
        <f>Fact_Defect_Split!D240</f>
        <v>M1</v>
      </c>
      <c r="E1430" s="4" t="str">
        <f>Fact_Defect_Split!E240</f>
        <v>A-AM</v>
      </c>
      <c r="F1430" s="4" t="str">
        <f>Fact_Defect_Split!F240</f>
        <v>C</v>
      </c>
      <c r="G1430" s="4" t="s">
        <v>498</v>
      </c>
      <c r="H1430" s="19">
        <f>Fact_Defect_Split!G240</f>
        <v>0</v>
      </c>
    </row>
    <row r="1431" spans="1:8" x14ac:dyDescent="0.25">
      <c r="A1431" s="18" t="s">
        <v>2412</v>
      </c>
      <c r="B1431" s="4">
        <f>Fact_Defect_Split!B240</f>
        <v>20260702</v>
      </c>
      <c r="C1431" s="4">
        <f>Fact_Defect_Split!C240</f>
        <v>10</v>
      </c>
      <c r="D1431" s="4" t="str">
        <f>Fact_Defect_Split!D240</f>
        <v>M1</v>
      </c>
      <c r="E1431" s="4" t="str">
        <f>Fact_Defect_Split!E240</f>
        <v>A-AM</v>
      </c>
      <c r="F1431" s="4" t="str">
        <f>Fact_Defect_Split!F240</f>
        <v>C</v>
      </c>
      <c r="G1431" s="4" t="s">
        <v>500</v>
      </c>
      <c r="H1431" s="19">
        <f>Fact_Defect_Split!H240</f>
        <v>0</v>
      </c>
    </row>
    <row r="1432" spans="1:8" x14ac:dyDescent="0.25">
      <c r="A1432" s="18" t="s">
        <v>2413</v>
      </c>
      <c r="B1432" s="4">
        <f>Fact_Defect_Split!B240</f>
        <v>20260702</v>
      </c>
      <c r="C1432" s="4">
        <f>Fact_Defect_Split!C240</f>
        <v>10</v>
      </c>
      <c r="D1432" s="4" t="str">
        <f>Fact_Defect_Split!D240</f>
        <v>M1</v>
      </c>
      <c r="E1432" s="4" t="str">
        <f>Fact_Defect_Split!E240</f>
        <v>A-AM</v>
      </c>
      <c r="F1432" s="4" t="str">
        <f>Fact_Defect_Split!F240</f>
        <v>C</v>
      </c>
      <c r="G1432" s="4" t="s">
        <v>517</v>
      </c>
      <c r="H1432" s="19">
        <f>Fact_Defect_Split!I240</f>
        <v>1</v>
      </c>
    </row>
    <row r="1433" spans="1:8" x14ac:dyDescent="0.25">
      <c r="A1433" s="18" t="s">
        <v>2414</v>
      </c>
      <c r="B1433" s="4">
        <f>Fact_Defect_Split!B240</f>
        <v>20260702</v>
      </c>
      <c r="C1433" s="4">
        <f>Fact_Defect_Split!C240</f>
        <v>10</v>
      </c>
      <c r="D1433" s="4" t="str">
        <f>Fact_Defect_Split!D240</f>
        <v>M1</v>
      </c>
      <c r="E1433" s="4" t="str">
        <f>Fact_Defect_Split!E240</f>
        <v>A-AM</v>
      </c>
      <c r="F1433" s="4" t="str">
        <f>Fact_Defect_Split!F240</f>
        <v>C</v>
      </c>
      <c r="G1433" s="4" t="s">
        <v>503</v>
      </c>
      <c r="H1433" s="19">
        <f>Fact_Defect_Split!J240</f>
        <v>0</v>
      </c>
    </row>
    <row r="1434" spans="1:8" x14ac:dyDescent="0.25">
      <c r="A1434" s="18" t="s">
        <v>2415</v>
      </c>
      <c r="B1434" s="4">
        <f>Fact_Defect_Split!B240</f>
        <v>20260702</v>
      </c>
      <c r="C1434" s="4">
        <f>Fact_Defect_Split!C240</f>
        <v>10</v>
      </c>
      <c r="D1434" s="4" t="str">
        <f>Fact_Defect_Split!D240</f>
        <v>M1</v>
      </c>
      <c r="E1434" s="4" t="str">
        <f>Fact_Defect_Split!E240</f>
        <v>A-AM</v>
      </c>
      <c r="F1434" s="4" t="str">
        <f>Fact_Defect_Split!F240</f>
        <v>C</v>
      </c>
      <c r="G1434" s="4" t="s">
        <v>509</v>
      </c>
      <c r="H1434" s="19">
        <f>Fact_Defect_Split!K240</f>
        <v>1</v>
      </c>
    </row>
    <row r="1435" spans="1:8" x14ac:dyDescent="0.25">
      <c r="A1435" s="18" t="s">
        <v>2416</v>
      </c>
      <c r="B1435" s="4">
        <f>Fact_Defect_Split!B240</f>
        <v>20260702</v>
      </c>
      <c r="C1435" s="4">
        <f>Fact_Defect_Split!C240</f>
        <v>10</v>
      </c>
      <c r="D1435" s="4" t="str">
        <f>Fact_Defect_Split!D240</f>
        <v>M1</v>
      </c>
      <c r="E1435" s="4" t="str">
        <f>Fact_Defect_Split!E240</f>
        <v>A-AM</v>
      </c>
      <c r="F1435" s="4" t="str">
        <f>Fact_Defect_Split!F240</f>
        <v>C</v>
      </c>
      <c r="G1435" s="4" t="s">
        <v>520</v>
      </c>
      <c r="H1435" s="19">
        <f>Fact_Defect_Split!L240</f>
        <v>0</v>
      </c>
    </row>
    <row r="1436" spans="1:8" x14ac:dyDescent="0.25">
      <c r="A1436" s="18" t="s">
        <v>2417</v>
      </c>
      <c r="B1436" s="4">
        <f>Fact_Defect_Split!B241</f>
        <v>20260702</v>
      </c>
      <c r="C1436" s="4">
        <f>Fact_Defect_Split!C241</f>
        <v>10</v>
      </c>
      <c r="D1436" s="4" t="str">
        <f>Fact_Defect_Split!D241</f>
        <v>M2</v>
      </c>
      <c r="E1436" s="4" t="str">
        <f>Fact_Defect_Split!E241</f>
        <v>A-AM</v>
      </c>
      <c r="F1436" s="4" t="str">
        <f>Fact_Defect_Split!F241</f>
        <v>A</v>
      </c>
      <c r="G1436" s="4" t="s">
        <v>498</v>
      </c>
      <c r="H1436" s="19">
        <f>Fact_Defect_Split!G241</f>
        <v>0</v>
      </c>
    </row>
    <row r="1437" spans="1:8" x14ac:dyDescent="0.25">
      <c r="A1437" s="18" t="s">
        <v>2418</v>
      </c>
      <c r="B1437" s="4">
        <f>Fact_Defect_Split!B241</f>
        <v>20260702</v>
      </c>
      <c r="C1437" s="4">
        <f>Fact_Defect_Split!C241</f>
        <v>10</v>
      </c>
      <c r="D1437" s="4" t="str">
        <f>Fact_Defect_Split!D241</f>
        <v>M2</v>
      </c>
      <c r="E1437" s="4" t="str">
        <f>Fact_Defect_Split!E241</f>
        <v>A-AM</v>
      </c>
      <c r="F1437" s="4" t="str">
        <f>Fact_Defect_Split!F241</f>
        <v>A</v>
      </c>
      <c r="G1437" s="4" t="s">
        <v>500</v>
      </c>
      <c r="H1437" s="19">
        <f>Fact_Defect_Split!H241</f>
        <v>0</v>
      </c>
    </row>
    <row r="1438" spans="1:8" x14ac:dyDescent="0.25">
      <c r="A1438" s="18" t="s">
        <v>2419</v>
      </c>
      <c r="B1438" s="4">
        <f>Fact_Defect_Split!B241</f>
        <v>20260702</v>
      </c>
      <c r="C1438" s="4">
        <f>Fact_Defect_Split!C241</f>
        <v>10</v>
      </c>
      <c r="D1438" s="4" t="str">
        <f>Fact_Defect_Split!D241</f>
        <v>M2</v>
      </c>
      <c r="E1438" s="4" t="str">
        <f>Fact_Defect_Split!E241</f>
        <v>A-AM</v>
      </c>
      <c r="F1438" s="4" t="str">
        <f>Fact_Defect_Split!F241</f>
        <v>A</v>
      </c>
      <c r="G1438" s="4" t="s">
        <v>517</v>
      </c>
      <c r="H1438" s="19">
        <f>Fact_Defect_Split!I241</f>
        <v>0</v>
      </c>
    </row>
    <row r="1439" spans="1:8" x14ac:dyDescent="0.25">
      <c r="A1439" s="18" t="s">
        <v>2420</v>
      </c>
      <c r="B1439" s="4">
        <f>Fact_Defect_Split!B241</f>
        <v>20260702</v>
      </c>
      <c r="C1439" s="4">
        <f>Fact_Defect_Split!C241</f>
        <v>10</v>
      </c>
      <c r="D1439" s="4" t="str">
        <f>Fact_Defect_Split!D241</f>
        <v>M2</v>
      </c>
      <c r="E1439" s="4" t="str">
        <f>Fact_Defect_Split!E241</f>
        <v>A-AM</v>
      </c>
      <c r="F1439" s="4" t="str">
        <f>Fact_Defect_Split!F241</f>
        <v>A</v>
      </c>
      <c r="G1439" s="4" t="s">
        <v>503</v>
      </c>
      <c r="H1439" s="19">
        <f>Fact_Defect_Split!J241</f>
        <v>1</v>
      </c>
    </row>
    <row r="1440" spans="1:8" x14ac:dyDescent="0.25">
      <c r="A1440" s="18" t="s">
        <v>2421</v>
      </c>
      <c r="B1440" s="4">
        <f>Fact_Defect_Split!B241</f>
        <v>20260702</v>
      </c>
      <c r="C1440" s="4">
        <f>Fact_Defect_Split!C241</f>
        <v>10</v>
      </c>
      <c r="D1440" s="4" t="str">
        <f>Fact_Defect_Split!D241</f>
        <v>M2</v>
      </c>
      <c r="E1440" s="4" t="str">
        <f>Fact_Defect_Split!E241</f>
        <v>A-AM</v>
      </c>
      <c r="F1440" s="4" t="str">
        <f>Fact_Defect_Split!F241</f>
        <v>A</v>
      </c>
      <c r="G1440" s="4" t="s">
        <v>509</v>
      </c>
      <c r="H1440" s="19">
        <f>Fact_Defect_Split!K241</f>
        <v>1</v>
      </c>
    </row>
    <row r="1441" spans="1:8" x14ac:dyDescent="0.25">
      <c r="A1441" s="18" t="s">
        <v>2422</v>
      </c>
      <c r="B1441" s="4">
        <f>Fact_Defect_Split!B241</f>
        <v>20260702</v>
      </c>
      <c r="C1441" s="4">
        <f>Fact_Defect_Split!C241</f>
        <v>10</v>
      </c>
      <c r="D1441" s="4" t="str">
        <f>Fact_Defect_Split!D241</f>
        <v>M2</v>
      </c>
      <c r="E1441" s="4" t="str">
        <f>Fact_Defect_Split!E241</f>
        <v>A-AM</v>
      </c>
      <c r="F1441" s="4" t="str">
        <f>Fact_Defect_Split!F241</f>
        <v>A</v>
      </c>
      <c r="G1441" s="4" t="s">
        <v>520</v>
      </c>
      <c r="H1441" s="19">
        <f>Fact_Defect_Split!L241</f>
        <v>0</v>
      </c>
    </row>
    <row r="1442" spans="1:8" x14ac:dyDescent="0.25">
      <c r="A1442" s="18" t="s">
        <v>2423</v>
      </c>
      <c r="B1442" s="4">
        <f>Fact_Defect_Split!B242</f>
        <v>20260702</v>
      </c>
      <c r="C1442" s="4">
        <f>Fact_Defect_Split!C242</f>
        <v>10</v>
      </c>
      <c r="D1442" s="4" t="str">
        <f>Fact_Defect_Split!D242</f>
        <v>M3</v>
      </c>
      <c r="E1442" s="4" t="str">
        <f>Fact_Defect_Split!E242</f>
        <v>A-AM</v>
      </c>
      <c r="F1442" s="4" t="str">
        <f>Fact_Defect_Split!F242</f>
        <v>A</v>
      </c>
      <c r="G1442" s="4" t="s">
        <v>498</v>
      </c>
      <c r="H1442" s="19">
        <f>Fact_Defect_Split!G242</f>
        <v>0</v>
      </c>
    </row>
    <row r="1443" spans="1:8" x14ac:dyDescent="0.25">
      <c r="A1443" s="18" t="s">
        <v>2424</v>
      </c>
      <c r="B1443" s="4">
        <f>Fact_Defect_Split!B242</f>
        <v>20260702</v>
      </c>
      <c r="C1443" s="4">
        <f>Fact_Defect_Split!C242</f>
        <v>10</v>
      </c>
      <c r="D1443" s="4" t="str">
        <f>Fact_Defect_Split!D242</f>
        <v>M3</v>
      </c>
      <c r="E1443" s="4" t="str">
        <f>Fact_Defect_Split!E242</f>
        <v>A-AM</v>
      </c>
      <c r="F1443" s="4" t="str">
        <f>Fact_Defect_Split!F242</f>
        <v>A</v>
      </c>
      <c r="G1443" s="4" t="s">
        <v>500</v>
      </c>
      <c r="H1443" s="19">
        <f>Fact_Defect_Split!H242</f>
        <v>0</v>
      </c>
    </row>
    <row r="1444" spans="1:8" x14ac:dyDescent="0.25">
      <c r="A1444" s="18" t="s">
        <v>2425</v>
      </c>
      <c r="B1444" s="4">
        <f>Fact_Defect_Split!B242</f>
        <v>20260702</v>
      </c>
      <c r="C1444" s="4">
        <f>Fact_Defect_Split!C242</f>
        <v>10</v>
      </c>
      <c r="D1444" s="4" t="str">
        <f>Fact_Defect_Split!D242</f>
        <v>M3</v>
      </c>
      <c r="E1444" s="4" t="str">
        <f>Fact_Defect_Split!E242</f>
        <v>A-AM</v>
      </c>
      <c r="F1444" s="4" t="str">
        <f>Fact_Defect_Split!F242</f>
        <v>A</v>
      </c>
      <c r="G1444" s="4" t="s">
        <v>517</v>
      </c>
      <c r="H1444" s="19">
        <f>Fact_Defect_Split!I242</f>
        <v>0</v>
      </c>
    </row>
    <row r="1445" spans="1:8" x14ac:dyDescent="0.25">
      <c r="A1445" s="18" t="s">
        <v>2426</v>
      </c>
      <c r="B1445" s="4">
        <f>Fact_Defect_Split!B242</f>
        <v>20260702</v>
      </c>
      <c r="C1445" s="4">
        <f>Fact_Defect_Split!C242</f>
        <v>10</v>
      </c>
      <c r="D1445" s="4" t="str">
        <f>Fact_Defect_Split!D242</f>
        <v>M3</v>
      </c>
      <c r="E1445" s="4" t="str">
        <f>Fact_Defect_Split!E242</f>
        <v>A-AM</v>
      </c>
      <c r="F1445" s="4" t="str">
        <f>Fact_Defect_Split!F242</f>
        <v>A</v>
      </c>
      <c r="G1445" s="4" t="s">
        <v>503</v>
      </c>
      <c r="H1445" s="19">
        <f>Fact_Defect_Split!J242</f>
        <v>0</v>
      </c>
    </row>
    <row r="1446" spans="1:8" x14ac:dyDescent="0.25">
      <c r="A1446" s="18" t="s">
        <v>2427</v>
      </c>
      <c r="B1446" s="4">
        <f>Fact_Defect_Split!B242</f>
        <v>20260702</v>
      </c>
      <c r="C1446" s="4">
        <f>Fact_Defect_Split!C242</f>
        <v>10</v>
      </c>
      <c r="D1446" s="4" t="str">
        <f>Fact_Defect_Split!D242</f>
        <v>M3</v>
      </c>
      <c r="E1446" s="4" t="str">
        <f>Fact_Defect_Split!E242</f>
        <v>A-AM</v>
      </c>
      <c r="F1446" s="4" t="str">
        <f>Fact_Defect_Split!F242</f>
        <v>A</v>
      </c>
      <c r="G1446" s="4" t="s">
        <v>509</v>
      </c>
      <c r="H1446" s="19">
        <f>Fact_Defect_Split!K242</f>
        <v>0</v>
      </c>
    </row>
    <row r="1447" spans="1:8" x14ac:dyDescent="0.25">
      <c r="A1447" s="18" t="s">
        <v>2428</v>
      </c>
      <c r="B1447" s="4">
        <f>Fact_Defect_Split!B242</f>
        <v>20260702</v>
      </c>
      <c r="C1447" s="4">
        <f>Fact_Defect_Split!C242</f>
        <v>10</v>
      </c>
      <c r="D1447" s="4" t="str">
        <f>Fact_Defect_Split!D242</f>
        <v>M3</v>
      </c>
      <c r="E1447" s="4" t="str">
        <f>Fact_Defect_Split!E242</f>
        <v>A-AM</v>
      </c>
      <c r="F1447" s="4" t="str">
        <f>Fact_Defect_Split!F242</f>
        <v>A</v>
      </c>
      <c r="G1447" s="4" t="s">
        <v>520</v>
      </c>
      <c r="H1447" s="19">
        <f>Fact_Defect_Split!L242</f>
        <v>1</v>
      </c>
    </row>
    <row r="1448" spans="1:8" x14ac:dyDescent="0.25">
      <c r="A1448" s="18" t="s">
        <v>2429</v>
      </c>
      <c r="B1448" s="4">
        <f>Fact_Defect_Split!B243</f>
        <v>20260702</v>
      </c>
      <c r="C1448" s="4">
        <f>Fact_Defect_Split!C243</f>
        <v>10</v>
      </c>
      <c r="D1448" s="4" t="str">
        <f>Fact_Defect_Split!D243</f>
        <v>M4</v>
      </c>
      <c r="E1448" s="4" t="str">
        <f>Fact_Defect_Split!E243</f>
        <v>A-AM</v>
      </c>
      <c r="F1448" s="4" t="str">
        <f>Fact_Defect_Split!F243</f>
        <v>A</v>
      </c>
      <c r="G1448" s="4" t="s">
        <v>498</v>
      </c>
      <c r="H1448" s="19">
        <f>Fact_Defect_Split!G243</f>
        <v>0</v>
      </c>
    </row>
    <row r="1449" spans="1:8" x14ac:dyDescent="0.25">
      <c r="A1449" s="18" t="s">
        <v>2430</v>
      </c>
      <c r="B1449" s="4">
        <f>Fact_Defect_Split!B243</f>
        <v>20260702</v>
      </c>
      <c r="C1449" s="4">
        <f>Fact_Defect_Split!C243</f>
        <v>10</v>
      </c>
      <c r="D1449" s="4" t="str">
        <f>Fact_Defect_Split!D243</f>
        <v>M4</v>
      </c>
      <c r="E1449" s="4" t="str">
        <f>Fact_Defect_Split!E243</f>
        <v>A-AM</v>
      </c>
      <c r="F1449" s="4" t="str">
        <f>Fact_Defect_Split!F243</f>
        <v>A</v>
      </c>
      <c r="G1449" s="4" t="s">
        <v>500</v>
      </c>
      <c r="H1449" s="19">
        <f>Fact_Defect_Split!H243</f>
        <v>0</v>
      </c>
    </row>
    <row r="1450" spans="1:8" x14ac:dyDescent="0.25">
      <c r="A1450" s="18" t="s">
        <v>2431</v>
      </c>
      <c r="B1450" s="4">
        <f>Fact_Defect_Split!B243</f>
        <v>20260702</v>
      </c>
      <c r="C1450" s="4">
        <f>Fact_Defect_Split!C243</f>
        <v>10</v>
      </c>
      <c r="D1450" s="4" t="str">
        <f>Fact_Defect_Split!D243</f>
        <v>M4</v>
      </c>
      <c r="E1450" s="4" t="str">
        <f>Fact_Defect_Split!E243</f>
        <v>A-AM</v>
      </c>
      <c r="F1450" s="4" t="str">
        <f>Fact_Defect_Split!F243</f>
        <v>A</v>
      </c>
      <c r="G1450" s="4" t="s">
        <v>517</v>
      </c>
      <c r="H1450" s="19">
        <f>Fact_Defect_Split!I243</f>
        <v>0</v>
      </c>
    </row>
    <row r="1451" spans="1:8" x14ac:dyDescent="0.25">
      <c r="A1451" s="18" t="s">
        <v>2432</v>
      </c>
      <c r="B1451" s="4">
        <f>Fact_Defect_Split!B243</f>
        <v>20260702</v>
      </c>
      <c r="C1451" s="4">
        <f>Fact_Defect_Split!C243</f>
        <v>10</v>
      </c>
      <c r="D1451" s="4" t="str">
        <f>Fact_Defect_Split!D243</f>
        <v>M4</v>
      </c>
      <c r="E1451" s="4" t="str">
        <f>Fact_Defect_Split!E243</f>
        <v>A-AM</v>
      </c>
      <c r="F1451" s="4" t="str">
        <f>Fact_Defect_Split!F243</f>
        <v>A</v>
      </c>
      <c r="G1451" s="4" t="s">
        <v>503</v>
      </c>
      <c r="H1451" s="19">
        <f>Fact_Defect_Split!J243</f>
        <v>1</v>
      </c>
    </row>
    <row r="1452" spans="1:8" x14ac:dyDescent="0.25">
      <c r="A1452" s="18" t="s">
        <v>2433</v>
      </c>
      <c r="B1452" s="4">
        <f>Fact_Defect_Split!B243</f>
        <v>20260702</v>
      </c>
      <c r="C1452" s="4">
        <f>Fact_Defect_Split!C243</f>
        <v>10</v>
      </c>
      <c r="D1452" s="4" t="str">
        <f>Fact_Defect_Split!D243</f>
        <v>M4</v>
      </c>
      <c r="E1452" s="4" t="str">
        <f>Fact_Defect_Split!E243</f>
        <v>A-AM</v>
      </c>
      <c r="F1452" s="4" t="str">
        <f>Fact_Defect_Split!F243</f>
        <v>A</v>
      </c>
      <c r="G1452" s="4" t="s">
        <v>509</v>
      </c>
      <c r="H1452" s="19">
        <f>Fact_Defect_Split!K243</f>
        <v>1</v>
      </c>
    </row>
    <row r="1453" spans="1:8" x14ac:dyDescent="0.25">
      <c r="A1453" s="18" t="s">
        <v>2434</v>
      </c>
      <c r="B1453" s="4">
        <f>Fact_Defect_Split!B243</f>
        <v>20260702</v>
      </c>
      <c r="C1453" s="4">
        <f>Fact_Defect_Split!C243</f>
        <v>10</v>
      </c>
      <c r="D1453" s="4" t="str">
        <f>Fact_Defect_Split!D243</f>
        <v>M4</v>
      </c>
      <c r="E1453" s="4" t="str">
        <f>Fact_Defect_Split!E243</f>
        <v>A-AM</v>
      </c>
      <c r="F1453" s="4" t="str">
        <f>Fact_Defect_Split!F243</f>
        <v>A</v>
      </c>
      <c r="G1453" s="4" t="s">
        <v>520</v>
      </c>
      <c r="H1453" s="19">
        <f>Fact_Defect_Split!L243</f>
        <v>0</v>
      </c>
    </row>
    <row r="1454" spans="1:8" x14ac:dyDescent="0.25">
      <c r="A1454" s="18" t="s">
        <v>2435</v>
      </c>
      <c r="B1454" s="4">
        <f>Fact_Defect_Split!B244</f>
        <v>20260702</v>
      </c>
      <c r="C1454" s="4">
        <f>Fact_Defect_Split!C244</f>
        <v>10</v>
      </c>
      <c r="D1454" s="4" t="str">
        <f>Fact_Defect_Split!D244</f>
        <v>M5</v>
      </c>
      <c r="E1454" s="4" t="str">
        <f>Fact_Defect_Split!E244</f>
        <v>A-AM</v>
      </c>
      <c r="F1454" s="4" t="str">
        <f>Fact_Defect_Split!F244</f>
        <v>C</v>
      </c>
      <c r="G1454" s="4" t="s">
        <v>498</v>
      </c>
      <c r="H1454" s="19">
        <f>Fact_Defect_Split!G244</f>
        <v>0</v>
      </c>
    </row>
    <row r="1455" spans="1:8" x14ac:dyDescent="0.25">
      <c r="A1455" s="18" t="s">
        <v>2436</v>
      </c>
      <c r="B1455" s="4">
        <f>Fact_Defect_Split!B244</f>
        <v>20260702</v>
      </c>
      <c r="C1455" s="4">
        <f>Fact_Defect_Split!C244</f>
        <v>10</v>
      </c>
      <c r="D1455" s="4" t="str">
        <f>Fact_Defect_Split!D244</f>
        <v>M5</v>
      </c>
      <c r="E1455" s="4" t="str">
        <f>Fact_Defect_Split!E244</f>
        <v>A-AM</v>
      </c>
      <c r="F1455" s="4" t="str">
        <f>Fact_Defect_Split!F244</f>
        <v>C</v>
      </c>
      <c r="G1455" s="4" t="s">
        <v>500</v>
      </c>
      <c r="H1455" s="19">
        <f>Fact_Defect_Split!H244</f>
        <v>0</v>
      </c>
    </row>
    <row r="1456" spans="1:8" x14ac:dyDescent="0.25">
      <c r="A1456" s="18" t="s">
        <v>2437</v>
      </c>
      <c r="B1456" s="4">
        <f>Fact_Defect_Split!B244</f>
        <v>20260702</v>
      </c>
      <c r="C1456" s="4">
        <f>Fact_Defect_Split!C244</f>
        <v>10</v>
      </c>
      <c r="D1456" s="4" t="str">
        <f>Fact_Defect_Split!D244</f>
        <v>M5</v>
      </c>
      <c r="E1456" s="4" t="str">
        <f>Fact_Defect_Split!E244</f>
        <v>A-AM</v>
      </c>
      <c r="F1456" s="4" t="str">
        <f>Fact_Defect_Split!F244</f>
        <v>C</v>
      </c>
      <c r="G1456" s="4" t="s">
        <v>517</v>
      </c>
      <c r="H1456" s="19">
        <f>Fact_Defect_Split!I244</f>
        <v>0</v>
      </c>
    </row>
    <row r="1457" spans="1:8" x14ac:dyDescent="0.25">
      <c r="A1457" s="18" t="s">
        <v>2438</v>
      </c>
      <c r="B1457" s="4">
        <f>Fact_Defect_Split!B244</f>
        <v>20260702</v>
      </c>
      <c r="C1457" s="4">
        <f>Fact_Defect_Split!C244</f>
        <v>10</v>
      </c>
      <c r="D1457" s="4" t="str">
        <f>Fact_Defect_Split!D244</f>
        <v>M5</v>
      </c>
      <c r="E1457" s="4" t="str">
        <f>Fact_Defect_Split!E244</f>
        <v>A-AM</v>
      </c>
      <c r="F1457" s="4" t="str">
        <f>Fact_Defect_Split!F244</f>
        <v>C</v>
      </c>
      <c r="G1457" s="4" t="s">
        <v>503</v>
      </c>
      <c r="H1457" s="19">
        <f>Fact_Defect_Split!J244</f>
        <v>0</v>
      </c>
    </row>
    <row r="1458" spans="1:8" x14ac:dyDescent="0.25">
      <c r="A1458" s="18" t="s">
        <v>2439</v>
      </c>
      <c r="B1458" s="4">
        <f>Fact_Defect_Split!B244</f>
        <v>20260702</v>
      </c>
      <c r="C1458" s="4">
        <f>Fact_Defect_Split!C244</f>
        <v>10</v>
      </c>
      <c r="D1458" s="4" t="str">
        <f>Fact_Defect_Split!D244</f>
        <v>M5</v>
      </c>
      <c r="E1458" s="4" t="str">
        <f>Fact_Defect_Split!E244</f>
        <v>A-AM</v>
      </c>
      <c r="F1458" s="4" t="str">
        <f>Fact_Defect_Split!F244</f>
        <v>C</v>
      </c>
      <c r="G1458" s="4" t="s">
        <v>509</v>
      </c>
      <c r="H1458" s="19">
        <f>Fact_Defect_Split!K244</f>
        <v>0</v>
      </c>
    </row>
    <row r="1459" spans="1:8" x14ac:dyDescent="0.25">
      <c r="A1459" s="18" t="s">
        <v>2440</v>
      </c>
      <c r="B1459" s="4">
        <f>Fact_Defect_Split!B244</f>
        <v>20260702</v>
      </c>
      <c r="C1459" s="4">
        <f>Fact_Defect_Split!C244</f>
        <v>10</v>
      </c>
      <c r="D1459" s="4" t="str">
        <f>Fact_Defect_Split!D244</f>
        <v>M5</v>
      </c>
      <c r="E1459" s="4" t="str">
        <f>Fact_Defect_Split!E244</f>
        <v>A-AM</v>
      </c>
      <c r="F1459" s="4" t="str">
        <f>Fact_Defect_Split!F244</f>
        <v>C</v>
      </c>
      <c r="G1459" s="4" t="s">
        <v>520</v>
      </c>
      <c r="H1459" s="19">
        <f>Fact_Defect_Split!L244</f>
        <v>1</v>
      </c>
    </row>
    <row r="1460" spans="1:8" x14ac:dyDescent="0.25">
      <c r="A1460" s="18" t="s">
        <v>2441</v>
      </c>
      <c r="B1460" s="4">
        <f>Fact_Defect_Split!B245</f>
        <v>20260702</v>
      </c>
      <c r="C1460" s="4">
        <f>Fact_Defect_Split!C245</f>
        <v>10</v>
      </c>
      <c r="D1460" s="4" t="str">
        <f>Fact_Defect_Split!D245</f>
        <v>M6</v>
      </c>
      <c r="E1460" s="4" t="str">
        <f>Fact_Defect_Split!E245</f>
        <v>A-AM</v>
      </c>
      <c r="F1460" s="4" t="str">
        <f>Fact_Defect_Split!F245</f>
        <v>C</v>
      </c>
      <c r="G1460" s="4" t="s">
        <v>498</v>
      </c>
      <c r="H1460" s="19">
        <f>Fact_Defect_Split!G245</f>
        <v>0</v>
      </c>
    </row>
    <row r="1461" spans="1:8" x14ac:dyDescent="0.25">
      <c r="A1461" s="18" t="s">
        <v>2442</v>
      </c>
      <c r="B1461" s="4">
        <f>Fact_Defect_Split!B245</f>
        <v>20260702</v>
      </c>
      <c r="C1461" s="4">
        <f>Fact_Defect_Split!C245</f>
        <v>10</v>
      </c>
      <c r="D1461" s="4" t="str">
        <f>Fact_Defect_Split!D245</f>
        <v>M6</v>
      </c>
      <c r="E1461" s="4" t="str">
        <f>Fact_Defect_Split!E245</f>
        <v>A-AM</v>
      </c>
      <c r="F1461" s="4" t="str">
        <f>Fact_Defect_Split!F245</f>
        <v>C</v>
      </c>
      <c r="G1461" s="4" t="s">
        <v>500</v>
      </c>
      <c r="H1461" s="19">
        <f>Fact_Defect_Split!H245</f>
        <v>0</v>
      </c>
    </row>
    <row r="1462" spans="1:8" x14ac:dyDescent="0.25">
      <c r="A1462" s="18" t="s">
        <v>2443</v>
      </c>
      <c r="B1462" s="4">
        <f>Fact_Defect_Split!B245</f>
        <v>20260702</v>
      </c>
      <c r="C1462" s="4">
        <f>Fact_Defect_Split!C245</f>
        <v>10</v>
      </c>
      <c r="D1462" s="4" t="str">
        <f>Fact_Defect_Split!D245</f>
        <v>M6</v>
      </c>
      <c r="E1462" s="4" t="str">
        <f>Fact_Defect_Split!E245</f>
        <v>A-AM</v>
      </c>
      <c r="F1462" s="4" t="str">
        <f>Fact_Defect_Split!F245</f>
        <v>C</v>
      </c>
      <c r="G1462" s="4" t="s">
        <v>517</v>
      </c>
      <c r="H1462" s="19">
        <f>Fact_Defect_Split!I245</f>
        <v>0</v>
      </c>
    </row>
    <row r="1463" spans="1:8" x14ac:dyDescent="0.25">
      <c r="A1463" s="18" t="s">
        <v>2444</v>
      </c>
      <c r="B1463" s="4">
        <f>Fact_Defect_Split!B245</f>
        <v>20260702</v>
      </c>
      <c r="C1463" s="4">
        <f>Fact_Defect_Split!C245</f>
        <v>10</v>
      </c>
      <c r="D1463" s="4" t="str">
        <f>Fact_Defect_Split!D245</f>
        <v>M6</v>
      </c>
      <c r="E1463" s="4" t="str">
        <f>Fact_Defect_Split!E245</f>
        <v>A-AM</v>
      </c>
      <c r="F1463" s="4" t="str">
        <f>Fact_Defect_Split!F245</f>
        <v>C</v>
      </c>
      <c r="G1463" s="4" t="s">
        <v>503</v>
      </c>
      <c r="H1463" s="19">
        <f>Fact_Defect_Split!J245</f>
        <v>0</v>
      </c>
    </row>
    <row r="1464" spans="1:8" x14ac:dyDescent="0.25">
      <c r="A1464" s="18" t="s">
        <v>2445</v>
      </c>
      <c r="B1464" s="4">
        <f>Fact_Defect_Split!B245</f>
        <v>20260702</v>
      </c>
      <c r="C1464" s="4">
        <f>Fact_Defect_Split!C245</f>
        <v>10</v>
      </c>
      <c r="D1464" s="4" t="str">
        <f>Fact_Defect_Split!D245</f>
        <v>M6</v>
      </c>
      <c r="E1464" s="4" t="str">
        <f>Fact_Defect_Split!E245</f>
        <v>A-AM</v>
      </c>
      <c r="F1464" s="4" t="str">
        <f>Fact_Defect_Split!F245</f>
        <v>C</v>
      </c>
      <c r="G1464" s="4" t="s">
        <v>509</v>
      </c>
      <c r="H1464" s="19">
        <f>Fact_Defect_Split!K245</f>
        <v>1</v>
      </c>
    </row>
    <row r="1465" spans="1:8" x14ac:dyDescent="0.25">
      <c r="A1465" s="18" t="s">
        <v>2446</v>
      </c>
      <c r="B1465" s="4">
        <f>Fact_Defect_Split!B245</f>
        <v>20260702</v>
      </c>
      <c r="C1465" s="4">
        <f>Fact_Defect_Split!C245</f>
        <v>10</v>
      </c>
      <c r="D1465" s="4" t="str">
        <f>Fact_Defect_Split!D245</f>
        <v>M6</v>
      </c>
      <c r="E1465" s="4" t="str">
        <f>Fact_Defect_Split!E245</f>
        <v>A-AM</v>
      </c>
      <c r="F1465" s="4" t="str">
        <f>Fact_Defect_Split!F245</f>
        <v>C</v>
      </c>
      <c r="G1465" s="4" t="s">
        <v>520</v>
      </c>
      <c r="H1465" s="19">
        <f>Fact_Defect_Split!L245</f>
        <v>0</v>
      </c>
    </row>
    <row r="1466" spans="1:8" x14ac:dyDescent="0.25">
      <c r="A1466" s="18" t="s">
        <v>2447</v>
      </c>
      <c r="B1466" s="4">
        <f>Fact_Defect_Split!B246</f>
        <v>20260702</v>
      </c>
      <c r="C1466" s="4">
        <f>Fact_Defect_Split!C246</f>
        <v>10</v>
      </c>
      <c r="D1466" s="4" t="str">
        <f>Fact_Defect_Split!D246</f>
        <v>M7</v>
      </c>
      <c r="E1466" s="4" t="str">
        <f>Fact_Defect_Split!E246</f>
        <v>A-AM</v>
      </c>
      <c r="F1466" s="4" t="str">
        <f>Fact_Defect_Split!F246</f>
        <v>C</v>
      </c>
      <c r="G1466" s="4" t="s">
        <v>498</v>
      </c>
      <c r="H1466" s="19">
        <f>Fact_Defect_Split!G246</f>
        <v>0</v>
      </c>
    </row>
    <row r="1467" spans="1:8" x14ac:dyDescent="0.25">
      <c r="A1467" s="18" t="s">
        <v>2448</v>
      </c>
      <c r="B1467" s="4">
        <f>Fact_Defect_Split!B246</f>
        <v>20260702</v>
      </c>
      <c r="C1467" s="4">
        <f>Fact_Defect_Split!C246</f>
        <v>10</v>
      </c>
      <c r="D1467" s="4" t="str">
        <f>Fact_Defect_Split!D246</f>
        <v>M7</v>
      </c>
      <c r="E1467" s="4" t="str">
        <f>Fact_Defect_Split!E246</f>
        <v>A-AM</v>
      </c>
      <c r="F1467" s="4" t="str">
        <f>Fact_Defect_Split!F246</f>
        <v>C</v>
      </c>
      <c r="G1467" s="4" t="s">
        <v>500</v>
      </c>
      <c r="H1467" s="19">
        <f>Fact_Defect_Split!H246</f>
        <v>0</v>
      </c>
    </row>
    <row r="1468" spans="1:8" x14ac:dyDescent="0.25">
      <c r="A1468" s="18" t="s">
        <v>2449</v>
      </c>
      <c r="B1468" s="4">
        <f>Fact_Defect_Split!B246</f>
        <v>20260702</v>
      </c>
      <c r="C1468" s="4">
        <f>Fact_Defect_Split!C246</f>
        <v>10</v>
      </c>
      <c r="D1468" s="4" t="str">
        <f>Fact_Defect_Split!D246</f>
        <v>M7</v>
      </c>
      <c r="E1468" s="4" t="str">
        <f>Fact_Defect_Split!E246</f>
        <v>A-AM</v>
      </c>
      <c r="F1468" s="4" t="str">
        <f>Fact_Defect_Split!F246</f>
        <v>C</v>
      </c>
      <c r="G1468" s="4" t="s">
        <v>517</v>
      </c>
      <c r="H1468" s="19">
        <f>Fact_Defect_Split!I246</f>
        <v>1</v>
      </c>
    </row>
    <row r="1469" spans="1:8" x14ac:dyDescent="0.25">
      <c r="A1469" s="18" t="s">
        <v>2450</v>
      </c>
      <c r="B1469" s="4">
        <f>Fact_Defect_Split!B246</f>
        <v>20260702</v>
      </c>
      <c r="C1469" s="4">
        <f>Fact_Defect_Split!C246</f>
        <v>10</v>
      </c>
      <c r="D1469" s="4" t="str">
        <f>Fact_Defect_Split!D246</f>
        <v>M7</v>
      </c>
      <c r="E1469" s="4" t="str">
        <f>Fact_Defect_Split!E246</f>
        <v>A-AM</v>
      </c>
      <c r="F1469" s="4" t="str">
        <f>Fact_Defect_Split!F246</f>
        <v>C</v>
      </c>
      <c r="G1469" s="4" t="s">
        <v>503</v>
      </c>
      <c r="H1469" s="19">
        <f>Fact_Defect_Split!J246</f>
        <v>0</v>
      </c>
    </row>
    <row r="1470" spans="1:8" x14ac:dyDescent="0.25">
      <c r="A1470" s="18" t="s">
        <v>2451</v>
      </c>
      <c r="B1470" s="4">
        <f>Fact_Defect_Split!B246</f>
        <v>20260702</v>
      </c>
      <c r="C1470" s="4">
        <f>Fact_Defect_Split!C246</f>
        <v>10</v>
      </c>
      <c r="D1470" s="4" t="str">
        <f>Fact_Defect_Split!D246</f>
        <v>M7</v>
      </c>
      <c r="E1470" s="4" t="str">
        <f>Fact_Defect_Split!E246</f>
        <v>A-AM</v>
      </c>
      <c r="F1470" s="4" t="str">
        <f>Fact_Defect_Split!F246</f>
        <v>C</v>
      </c>
      <c r="G1470" s="4" t="s">
        <v>509</v>
      </c>
      <c r="H1470" s="19">
        <f>Fact_Defect_Split!K246</f>
        <v>1</v>
      </c>
    </row>
    <row r="1471" spans="1:8" x14ac:dyDescent="0.25">
      <c r="A1471" s="18" t="s">
        <v>2452</v>
      </c>
      <c r="B1471" s="4">
        <f>Fact_Defect_Split!B246</f>
        <v>20260702</v>
      </c>
      <c r="C1471" s="4">
        <f>Fact_Defect_Split!C246</f>
        <v>10</v>
      </c>
      <c r="D1471" s="4" t="str">
        <f>Fact_Defect_Split!D246</f>
        <v>M7</v>
      </c>
      <c r="E1471" s="4" t="str">
        <f>Fact_Defect_Split!E246</f>
        <v>A-AM</v>
      </c>
      <c r="F1471" s="4" t="str">
        <f>Fact_Defect_Split!F246</f>
        <v>C</v>
      </c>
      <c r="G1471" s="4" t="s">
        <v>520</v>
      </c>
      <c r="H1471" s="19">
        <f>Fact_Defect_Split!L246</f>
        <v>1</v>
      </c>
    </row>
    <row r="1472" spans="1:8" x14ac:dyDescent="0.25">
      <c r="A1472" s="18" t="s">
        <v>2453</v>
      </c>
      <c r="B1472" s="4">
        <f>Fact_Defect_Split!B247</f>
        <v>20260702</v>
      </c>
      <c r="C1472" s="4">
        <f>Fact_Defect_Split!C247</f>
        <v>11</v>
      </c>
      <c r="D1472" s="4" t="str">
        <f>Fact_Defect_Split!D247</f>
        <v>M1</v>
      </c>
      <c r="E1472" s="4" t="str">
        <f>Fact_Defect_Split!E247</f>
        <v>A-AM</v>
      </c>
      <c r="F1472" s="4" t="str">
        <f>Fact_Defect_Split!F247</f>
        <v>C</v>
      </c>
      <c r="G1472" s="4" t="s">
        <v>498</v>
      </c>
      <c r="H1472" s="19">
        <f>Fact_Defect_Split!G247</f>
        <v>0</v>
      </c>
    </row>
    <row r="1473" spans="1:8" x14ac:dyDescent="0.25">
      <c r="A1473" s="18" t="s">
        <v>2454</v>
      </c>
      <c r="B1473" s="4">
        <f>Fact_Defect_Split!B247</f>
        <v>20260702</v>
      </c>
      <c r="C1473" s="4">
        <f>Fact_Defect_Split!C247</f>
        <v>11</v>
      </c>
      <c r="D1473" s="4" t="str">
        <f>Fact_Defect_Split!D247</f>
        <v>M1</v>
      </c>
      <c r="E1473" s="4" t="str">
        <f>Fact_Defect_Split!E247</f>
        <v>A-AM</v>
      </c>
      <c r="F1473" s="4" t="str">
        <f>Fact_Defect_Split!F247</f>
        <v>C</v>
      </c>
      <c r="G1473" s="4" t="s">
        <v>500</v>
      </c>
      <c r="H1473" s="19">
        <f>Fact_Defect_Split!H247</f>
        <v>0</v>
      </c>
    </row>
    <row r="1474" spans="1:8" x14ac:dyDescent="0.25">
      <c r="A1474" s="18" t="s">
        <v>2455</v>
      </c>
      <c r="B1474" s="4">
        <f>Fact_Defect_Split!B247</f>
        <v>20260702</v>
      </c>
      <c r="C1474" s="4">
        <f>Fact_Defect_Split!C247</f>
        <v>11</v>
      </c>
      <c r="D1474" s="4" t="str">
        <f>Fact_Defect_Split!D247</f>
        <v>M1</v>
      </c>
      <c r="E1474" s="4" t="str">
        <f>Fact_Defect_Split!E247</f>
        <v>A-AM</v>
      </c>
      <c r="F1474" s="4" t="str">
        <f>Fact_Defect_Split!F247</f>
        <v>C</v>
      </c>
      <c r="G1474" s="4" t="s">
        <v>517</v>
      </c>
      <c r="H1474" s="19">
        <f>Fact_Defect_Split!I247</f>
        <v>0</v>
      </c>
    </row>
    <row r="1475" spans="1:8" x14ac:dyDescent="0.25">
      <c r="A1475" s="18" t="s">
        <v>2456</v>
      </c>
      <c r="B1475" s="4">
        <f>Fact_Defect_Split!B247</f>
        <v>20260702</v>
      </c>
      <c r="C1475" s="4">
        <f>Fact_Defect_Split!C247</f>
        <v>11</v>
      </c>
      <c r="D1475" s="4" t="str">
        <f>Fact_Defect_Split!D247</f>
        <v>M1</v>
      </c>
      <c r="E1475" s="4" t="str">
        <f>Fact_Defect_Split!E247</f>
        <v>A-AM</v>
      </c>
      <c r="F1475" s="4" t="str">
        <f>Fact_Defect_Split!F247</f>
        <v>C</v>
      </c>
      <c r="G1475" s="4" t="s">
        <v>503</v>
      </c>
      <c r="H1475" s="19">
        <f>Fact_Defect_Split!J247</f>
        <v>1</v>
      </c>
    </row>
    <row r="1476" spans="1:8" x14ac:dyDescent="0.25">
      <c r="A1476" s="18" t="s">
        <v>2457</v>
      </c>
      <c r="B1476" s="4">
        <f>Fact_Defect_Split!B247</f>
        <v>20260702</v>
      </c>
      <c r="C1476" s="4">
        <f>Fact_Defect_Split!C247</f>
        <v>11</v>
      </c>
      <c r="D1476" s="4" t="str">
        <f>Fact_Defect_Split!D247</f>
        <v>M1</v>
      </c>
      <c r="E1476" s="4" t="str">
        <f>Fact_Defect_Split!E247</f>
        <v>A-AM</v>
      </c>
      <c r="F1476" s="4" t="str">
        <f>Fact_Defect_Split!F247</f>
        <v>C</v>
      </c>
      <c r="G1476" s="4" t="s">
        <v>509</v>
      </c>
      <c r="H1476" s="19">
        <f>Fact_Defect_Split!K247</f>
        <v>1</v>
      </c>
    </row>
    <row r="1477" spans="1:8" x14ac:dyDescent="0.25">
      <c r="A1477" s="18" t="s">
        <v>2458</v>
      </c>
      <c r="B1477" s="4">
        <f>Fact_Defect_Split!B247</f>
        <v>20260702</v>
      </c>
      <c r="C1477" s="4">
        <f>Fact_Defect_Split!C247</f>
        <v>11</v>
      </c>
      <c r="D1477" s="4" t="str">
        <f>Fact_Defect_Split!D247</f>
        <v>M1</v>
      </c>
      <c r="E1477" s="4" t="str">
        <f>Fact_Defect_Split!E247</f>
        <v>A-AM</v>
      </c>
      <c r="F1477" s="4" t="str">
        <f>Fact_Defect_Split!F247</f>
        <v>C</v>
      </c>
      <c r="G1477" s="4" t="s">
        <v>520</v>
      </c>
      <c r="H1477" s="19">
        <f>Fact_Defect_Split!L247</f>
        <v>0</v>
      </c>
    </row>
    <row r="1478" spans="1:8" x14ac:dyDescent="0.25">
      <c r="A1478" s="18" t="s">
        <v>2459</v>
      </c>
      <c r="B1478" s="4">
        <f>Fact_Defect_Split!B248</f>
        <v>20260702</v>
      </c>
      <c r="C1478" s="4">
        <f>Fact_Defect_Split!C248</f>
        <v>11</v>
      </c>
      <c r="D1478" s="4" t="str">
        <f>Fact_Defect_Split!D248</f>
        <v>M2</v>
      </c>
      <c r="E1478" s="4" t="str">
        <f>Fact_Defect_Split!E248</f>
        <v>A-AM</v>
      </c>
      <c r="F1478" s="4" t="str">
        <f>Fact_Defect_Split!F248</f>
        <v>A</v>
      </c>
      <c r="G1478" s="4" t="s">
        <v>498</v>
      </c>
      <c r="H1478" s="19">
        <f>Fact_Defect_Split!G248</f>
        <v>0</v>
      </c>
    </row>
    <row r="1479" spans="1:8" x14ac:dyDescent="0.25">
      <c r="A1479" s="18" t="s">
        <v>2460</v>
      </c>
      <c r="B1479" s="4">
        <f>Fact_Defect_Split!B248</f>
        <v>20260702</v>
      </c>
      <c r="C1479" s="4">
        <f>Fact_Defect_Split!C248</f>
        <v>11</v>
      </c>
      <c r="D1479" s="4" t="str">
        <f>Fact_Defect_Split!D248</f>
        <v>M2</v>
      </c>
      <c r="E1479" s="4" t="str">
        <f>Fact_Defect_Split!E248</f>
        <v>A-AM</v>
      </c>
      <c r="F1479" s="4" t="str">
        <f>Fact_Defect_Split!F248</f>
        <v>A</v>
      </c>
      <c r="G1479" s="4" t="s">
        <v>500</v>
      </c>
      <c r="H1479" s="19">
        <f>Fact_Defect_Split!H248</f>
        <v>0</v>
      </c>
    </row>
    <row r="1480" spans="1:8" x14ac:dyDescent="0.25">
      <c r="A1480" s="18" t="s">
        <v>2461</v>
      </c>
      <c r="B1480" s="4">
        <f>Fact_Defect_Split!B248</f>
        <v>20260702</v>
      </c>
      <c r="C1480" s="4">
        <f>Fact_Defect_Split!C248</f>
        <v>11</v>
      </c>
      <c r="D1480" s="4" t="str">
        <f>Fact_Defect_Split!D248</f>
        <v>M2</v>
      </c>
      <c r="E1480" s="4" t="str">
        <f>Fact_Defect_Split!E248</f>
        <v>A-AM</v>
      </c>
      <c r="F1480" s="4" t="str">
        <f>Fact_Defect_Split!F248</f>
        <v>A</v>
      </c>
      <c r="G1480" s="4" t="s">
        <v>517</v>
      </c>
      <c r="H1480" s="19">
        <f>Fact_Defect_Split!I248</f>
        <v>0</v>
      </c>
    </row>
    <row r="1481" spans="1:8" x14ac:dyDescent="0.25">
      <c r="A1481" s="18" t="s">
        <v>2462</v>
      </c>
      <c r="B1481" s="4">
        <f>Fact_Defect_Split!B248</f>
        <v>20260702</v>
      </c>
      <c r="C1481" s="4">
        <f>Fact_Defect_Split!C248</f>
        <v>11</v>
      </c>
      <c r="D1481" s="4" t="str">
        <f>Fact_Defect_Split!D248</f>
        <v>M2</v>
      </c>
      <c r="E1481" s="4" t="str">
        <f>Fact_Defect_Split!E248</f>
        <v>A-AM</v>
      </c>
      <c r="F1481" s="4" t="str">
        <f>Fact_Defect_Split!F248</f>
        <v>A</v>
      </c>
      <c r="G1481" s="4" t="s">
        <v>503</v>
      </c>
      <c r="H1481" s="19">
        <f>Fact_Defect_Split!J248</f>
        <v>1</v>
      </c>
    </row>
    <row r="1482" spans="1:8" x14ac:dyDescent="0.25">
      <c r="A1482" s="18" t="s">
        <v>2463</v>
      </c>
      <c r="B1482" s="4">
        <f>Fact_Defect_Split!B248</f>
        <v>20260702</v>
      </c>
      <c r="C1482" s="4">
        <f>Fact_Defect_Split!C248</f>
        <v>11</v>
      </c>
      <c r="D1482" s="4" t="str">
        <f>Fact_Defect_Split!D248</f>
        <v>M2</v>
      </c>
      <c r="E1482" s="4" t="str">
        <f>Fact_Defect_Split!E248</f>
        <v>A-AM</v>
      </c>
      <c r="F1482" s="4" t="str">
        <f>Fact_Defect_Split!F248</f>
        <v>A</v>
      </c>
      <c r="G1482" s="4" t="s">
        <v>509</v>
      </c>
      <c r="H1482" s="19">
        <f>Fact_Defect_Split!K248</f>
        <v>1</v>
      </c>
    </row>
    <row r="1483" spans="1:8" x14ac:dyDescent="0.25">
      <c r="A1483" s="18" t="s">
        <v>2464</v>
      </c>
      <c r="B1483" s="4">
        <f>Fact_Defect_Split!B248</f>
        <v>20260702</v>
      </c>
      <c r="C1483" s="4">
        <f>Fact_Defect_Split!C248</f>
        <v>11</v>
      </c>
      <c r="D1483" s="4" t="str">
        <f>Fact_Defect_Split!D248</f>
        <v>M2</v>
      </c>
      <c r="E1483" s="4" t="str">
        <f>Fact_Defect_Split!E248</f>
        <v>A-AM</v>
      </c>
      <c r="F1483" s="4" t="str">
        <f>Fact_Defect_Split!F248</f>
        <v>A</v>
      </c>
      <c r="G1483" s="4" t="s">
        <v>520</v>
      </c>
      <c r="H1483" s="19">
        <f>Fact_Defect_Split!L248</f>
        <v>0</v>
      </c>
    </row>
    <row r="1484" spans="1:8" x14ac:dyDescent="0.25">
      <c r="A1484" s="18" t="s">
        <v>2465</v>
      </c>
      <c r="B1484" s="4">
        <f>Fact_Defect_Split!B249</f>
        <v>20260702</v>
      </c>
      <c r="C1484" s="4">
        <f>Fact_Defect_Split!C249</f>
        <v>11</v>
      </c>
      <c r="D1484" s="4" t="str">
        <f>Fact_Defect_Split!D249</f>
        <v>M3</v>
      </c>
      <c r="E1484" s="4" t="str">
        <f>Fact_Defect_Split!E249</f>
        <v>A-AM</v>
      </c>
      <c r="F1484" s="4" t="str">
        <f>Fact_Defect_Split!F249</f>
        <v>A</v>
      </c>
      <c r="G1484" s="4" t="s">
        <v>498</v>
      </c>
      <c r="H1484" s="19">
        <f>Fact_Defect_Split!G249</f>
        <v>0</v>
      </c>
    </row>
    <row r="1485" spans="1:8" x14ac:dyDescent="0.25">
      <c r="A1485" s="18" t="s">
        <v>2466</v>
      </c>
      <c r="B1485" s="4">
        <f>Fact_Defect_Split!B249</f>
        <v>20260702</v>
      </c>
      <c r="C1485" s="4">
        <f>Fact_Defect_Split!C249</f>
        <v>11</v>
      </c>
      <c r="D1485" s="4" t="str">
        <f>Fact_Defect_Split!D249</f>
        <v>M3</v>
      </c>
      <c r="E1485" s="4" t="str">
        <f>Fact_Defect_Split!E249</f>
        <v>A-AM</v>
      </c>
      <c r="F1485" s="4" t="str">
        <f>Fact_Defect_Split!F249</f>
        <v>A</v>
      </c>
      <c r="G1485" s="4" t="s">
        <v>500</v>
      </c>
      <c r="H1485" s="19">
        <f>Fact_Defect_Split!H249</f>
        <v>0</v>
      </c>
    </row>
    <row r="1486" spans="1:8" x14ac:dyDescent="0.25">
      <c r="A1486" s="18" t="s">
        <v>2467</v>
      </c>
      <c r="B1486" s="4">
        <f>Fact_Defect_Split!B249</f>
        <v>20260702</v>
      </c>
      <c r="C1486" s="4">
        <f>Fact_Defect_Split!C249</f>
        <v>11</v>
      </c>
      <c r="D1486" s="4" t="str">
        <f>Fact_Defect_Split!D249</f>
        <v>M3</v>
      </c>
      <c r="E1486" s="4" t="str">
        <f>Fact_Defect_Split!E249</f>
        <v>A-AM</v>
      </c>
      <c r="F1486" s="4" t="str">
        <f>Fact_Defect_Split!F249</f>
        <v>A</v>
      </c>
      <c r="G1486" s="4" t="s">
        <v>517</v>
      </c>
      <c r="H1486" s="19">
        <f>Fact_Defect_Split!I249</f>
        <v>0</v>
      </c>
    </row>
    <row r="1487" spans="1:8" x14ac:dyDescent="0.25">
      <c r="A1487" s="18" t="s">
        <v>2468</v>
      </c>
      <c r="B1487" s="4">
        <f>Fact_Defect_Split!B249</f>
        <v>20260702</v>
      </c>
      <c r="C1487" s="4">
        <f>Fact_Defect_Split!C249</f>
        <v>11</v>
      </c>
      <c r="D1487" s="4" t="str">
        <f>Fact_Defect_Split!D249</f>
        <v>M3</v>
      </c>
      <c r="E1487" s="4" t="str">
        <f>Fact_Defect_Split!E249</f>
        <v>A-AM</v>
      </c>
      <c r="F1487" s="4" t="str">
        <f>Fact_Defect_Split!F249</f>
        <v>A</v>
      </c>
      <c r="G1487" s="4" t="s">
        <v>503</v>
      </c>
      <c r="H1487" s="19">
        <f>Fact_Defect_Split!J249</f>
        <v>0</v>
      </c>
    </row>
    <row r="1488" spans="1:8" x14ac:dyDescent="0.25">
      <c r="A1488" s="18" t="s">
        <v>2469</v>
      </c>
      <c r="B1488" s="4">
        <f>Fact_Defect_Split!B249</f>
        <v>20260702</v>
      </c>
      <c r="C1488" s="4">
        <f>Fact_Defect_Split!C249</f>
        <v>11</v>
      </c>
      <c r="D1488" s="4" t="str">
        <f>Fact_Defect_Split!D249</f>
        <v>M3</v>
      </c>
      <c r="E1488" s="4" t="str">
        <f>Fact_Defect_Split!E249</f>
        <v>A-AM</v>
      </c>
      <c r="F1488" s="4" t="str">
        <f>Fact_Defect_Split!F249</f>
        <v>A</v>
      </c>
      <c r="G1488" s="4" t="s">
        <v>509</v>
      </c>
      <c r="H1488" s="19">
        <f>Fact_Defect_Split!K249</f>
        <v>1</v>
      </c>
    </row>
    <row r="1489" spans="1:8" x14ac:dyDescent="0.25">
      <c r="A1489" s="18" t="s">
        <v>2470</v>
      </c>
      <c r="B1489" s="4">
        <f>Fact_Defect_Split!B249</f>
        <v>20260702</v>
      </c>
      <c r="C1489" s="4">
        <f>Fact_Defect_Split!C249</f>
        <v>11</v>
      </c>
      <c r="D1489" s="4" t="str">
        <f>Fact_Defect_Split!D249</f>
        <v>M3</v>
      </c>
      <c r="E1489" s="4" t="str">
        <f>Fact_Defect_Split!E249</f>
        <v>A-AM</v>
      </c>
      <c r="F1489" s="4" t="str">
        <f>Fact_Defect_Split!F249</f>
        <v>A</v>
      </c>
      <c r="G1489" s="4" t="s">
        <v>520</v>
      </c>
      <c r="H1489" s="19">
        <f>Fact_Defect_Split!L249</f>
        <v>0</v>
      </c>
    </row>
    <row r="1490" spans="1:8" x14ac:dyDescent="0.25">
      <c r="A1490" s="18" t="s">
        <v>2471</v>
      </c>
      <c r="B1490" s="4">
        <f>Fact_Defect_Split!B250</f>
        <v>20260702</v>
      </c>
      <c r="C1490" s="4">
        <f>Fact_Defect_Split!C250</f>
        <v>11</v>
      </c>
      <c r="D1490" s="4" t="str">
        <f>Fact_Defect_Split!D250</f>
        <v>M4</v>
      </c>
      <c r="E1490" s="4" t="str">
        <f>Fact_Defect_Split!E250</f>
        <v>A-AM</v>
      </c>
      <c r="F1490" s="4" t="str">
        <f>Fact_Defect_Split!F250</f>
        <v>A</v>
      </c>
      <c r="G1490" s="4" t="s">
        <v>498</v>
      </c>
      <c r="H1490" s="19">
        <f>Fact_Defect_Split!G250</f>
        <v>0</v>
      </c>
    </row>
    <row r="1491" spans="1:8" x14ac:dyDescent="0.25">
      <c r="A1491" s="18" t="s">
        <v>2472</v>
      </c>
      <c r="B1491" s="4">
        <f>Fact_Defect_Split!B250</f>
        <v>20260702</v>
      </c>
      <c r="C1491" s="4">
        <f>Fact_Defect_Split!C250</f>
        <v>11</v>
      </c>
      <c r="D1491" s="4" t="str">
        <f>Fact_Defect_Split!D250</f>
        <v>M4</v>
      </c>
      <c r="E1491" s="4" t="str">
        <f>Fact_Defect_Split!E250</f>
        <v>A-AM</v>
      </c>
      <c r="F1491" s="4" t="str">
        <f>Fact_Defect_Split!F250</f>
        <v>A</v>
      </c>
      <c r="G1491" s="4" t="s">
        <v>500</v>
      </c>
      <c r="H1491" s="19">
        <f>Fact_Defect_Split!H250</f>
        <v>0</v>
      </c>
    </row>
    <row r="1492" spans="1:8" x14ac:dyDescent="0.25">
      <c r="A1492" s="18" t="s">
        <v>2473</v>
      </c>
      <c r="B1492" s="4">
        <f>Fact_Defect_Split!B250</f>
        <v>20260702</v>
      </c>
      <c r="C1492" s="4">
        <f>Fact_Defect_Split!C250</f>
        <v>11</v>
      </c>
      <c r="D1492" s="4" t="str">
        <f>Fact_Defect_Split!D250</f>
        <v>M4</v>
      </c>
      <c r="E1492" s="4" t="str">
        <f>Fact_Defect_Split!E250</f>
        <v>A-AM</v>
      </c>
      <c r="F1492" s="4" t="str">
        <f>Fact_Defect_Split!F250</f>
        <v>A</v>
      </c>
      <c r="G1492" s="4" t="s">
        <v>517</v>
      </c>
      <c r="H1492" s="19">
        <f>Fact_Defect_Split!I250</f>
        <v>0</v>
      </c>
    </row>
    <row r="1493" spans="1:8" x14ac:dyDescent="0.25">
      <c r="A1493" s="18" t="s">
        <v>2474</v>
      </c>
      <c r="B1493" s="4">
        <f>Fact_Defect_Split!B250</f>
        <v>20260702</v>
      </c>
      <c r="C1493" s="4">
        <f>Fact_Defect_Split!C250</f>
        <v>11</v>
      </c>
      <c r="D1493" s="4" t="str">
        <f>Fact_Defect_Split!D250</f>
        <v>M4</v>
      </c>
      <c r="E1493" s="4" t="str">
        <f>Fact_Defect_Split!E250</f>
        <v>A-AM</v>
      </c>
      <c r="F1493" s="4" t="str">
        <f>Fact_Defect_Split!F250</f>
        <v>A</v>
      </c>
      <c r="G1493" s="4" t="s">
        <v>503</v>
      </c>
      <c r="H1493" s="19">
        <f>Fact_Defect_Split!J250</f>
        <v>1</v>
      </c>
    </row>
    <row r="1494" spans="1:8" x14ac:dyDescent="0.25">
      <c r="A1494" s="18" t="s">
        <v>2475</v>
      </c>
      <c r="B1494" s="4">
        <f>Fact_Defect_Split!B250</f>
        <v>20260702</v>
      </c>
      <c r="C1494" s="4">
        <f>Fact_Defect_Split!C250</f>
        <v>11</v>
      </c>
      <c r="D1494" s="4" t="str">
        <f>Fact_Defect_Split!D250</f>
        <v>M4</v>
      </c>
      <c r="E1494" s="4" t="str">
        <f>Fact_Defect_Split!E250</f>
        <v>A-AM</v>
      </c>
      <c r="F1494" s="4" t="str">
        <f>Fact_Defect_Split!F250</f>
        <v>A</v>
      </c>
      <c r="G1494" s="4" t="s">
        <v>509</v>
      </c>
      <c r="H1494" s="19">
        <f>Fact_Defect_Split!K250</f>
        <v>1</v>
      </c>
    </row>
    <row r="1495" spans="1:8" x14ac:dyDescent="0.25">
      <c r="A1495" s="18" t="s">
        <v>2476</v>
      </c>
      <c r="B1495" s="4">
        <f>Fact_Defect_Split!B250</f>
        <v>20260702</v>
      </c>
      <c r="C1495" s="4">
        <f>Fact_Defect_Split!C250</f>
        <v>11</v>
      </c>
      <c r="D1495" s="4" t="str">
        <f>Fact_Defect_Split!D250</f>
        <v>M4</v>
      </c>
      <c r="E1495" s="4" t="str">
        <f>Fact_Defect_Split!E250</f>
        <v>A-AM</v>
      </c>
      <c r="F1495" s="4" t="str">
        <f>Fact_Defect_Split!F250</f>
        <v>A</v>
      </c>
      <c r="G1495" s="4" t="s">
        <v>520</v>
      </c>
      <c r="H1495" s="19">
        <f>Fact_Defect_Split!L250</f>
        <v>1</v>
      </c>
    </row>
    <row r="1496" spans="1:8" x14ac:dyDescent="0.25">
      <c r="A1496" s="18" t="s">
        <v>2477</v>
      </c>
      <c r="B1496" s="4">
        <f>Fact_Defect_Split!B251</f>
        <v>20260702</v>
      </c>
      <c r="C1496" s="4">
        <f>Fact_Defect_Split!C251</f>
        <v>11</v>
      </c>
      <c r="D1496" s="4" t="str">
        <f>Fact_Defect_Split!D251</f>
        <v>M5</v>
      </c>
      <c r="E1496" s="4" t="str">
        <f>Fact_Defect_Split!E251</f>
        <v>A-AM</v>
      </c>
      <c r="F1496" s="4" t="str">
        <f>Fact_Defect_Split!F251</f>
        <v>C</v>
      </c>
      <c r="G1496" s="4" t="s">
        <v>498</v>
      </c>
      <c r="H1496" s="19">
        <f>Fact_Defect_Split!G251</f>
        <v>0</v>
      </c>
    </row>
    <row r="1497" spans="1:8" x14ac:dyDescent="0.25">
      <c r="A1497" s="18" t="s">
        <v>2478</v>
      </c>
      <c r="B1497" s="4">
        <f>Fact_Defect_Split!B251</f>
        <v>20260702</v>
      </c>
      <c r="C1497" s="4">
        <f>Fact_Defect_Split!C251</f>
        <v>11</v>
      </c>
      <c r="D1497" s="4" t="str">
        <f>Fact_Defect_Split!D251</f>
        <v>M5</v>
      </c>
      <c r="E1497" s="4" t="str">
        <f>Fact_Defect_Split!E251</f>
        <v>A-AM</v>
      </c>
      <c r="F1497" s="4" t="str">
        <f>Fact_Defect_Split!F251</f>
        <v>C</v>
      </c>
      <c r="G1497" s="4" t="s">
        <v>500</v>
      </c>
      <c r="H1497" s="19">
        <f>Fact_Defect_Split!H251</f>
        <v>0</v>
      </c>
    </row>
    <row r="1498" spans="1:8" x14ac:dyDescent="0.25">
      <c r="A1498" s="18" t="s">
        <v>2479</v>
      </c>
      <c r="B1498" s="4">
        <f>Fact_Defect_Split!B251</f>
        <v>20260702</v>
      </c>
      <c r="C1498" s="4">
        <f>Fact_Defect_Split!C251</f>
        <v>11</v>
      </c>
      <c r="D1498" s="4" t="str">
        <f>Fact_Defect_Split!D251</f>
        <v>M5</v>
      </c>
      <c r="E1498" s="4" t="str">
        <f>Fact_Defect_Split!E251</f>
        <v>A-AM</v>
      </c>
      <c r="F1498" s="4" t="str">
        <f>Fact_Defect_Split!F251</f>
        <v>C</v>
      </c>
      <c r="G1498" s="4" t="s">
        <v>517</v>
      </c>
      <c r="H1498" s="19">
        <f>Fact_Defect_Split!I251</f>
        <v>1</v>
      </c>
    </row>
    <row r="1499" spans="1:8" x14ac:dyDescent="0.25">
      <c r="A1499" s="18" t="s">
        <v>2480</v>
      </c>
      <c r="B1499" s="4">
        <f>Fact_Defect_Split!B251</f>
        <v>20260702</v>
      </c>
      <c r="C1499" s="4">
        <f>Fact_Defect_Split!C251</f>
        <v>11</v>
      </c>
      <c r="D1499" s="4" t="str">
        <f>Fact_Defect_Split!D251</f>
        <v>M5</v>
      </c>
      <c r="E1499" s="4" t="str">
        <f>Fact_Defect_Split!E251</f>
        <v>A-AM</v>
      </c>
      <c r="F1499" s="4" t="str">
        <f>Fact_Defect_Split!F251</f>
        <v>C</v>
      </c>
      <c r="G1499" s="4" t="s">
        <v>503</v>
      </c>
      <c r="H1499" s="19">
        <f>Fact_Defect_Split!J251</f>
        <v>0</v>
      </c>
    </row>
    <row r="1500" spans="1:8" x14ac:dyDescent="0.25">
      <c r="A1500" s="18" t="s">
        <v>2481</v>
      </c>
      <c r="B1500" s="4">
        <f>Fact_Defect_Split!B251</f>
        <v>20260702</v>
      </c>
      <c r="C1500" s="4">
        <f>Fact_Defect_Split!C251</f>
        <v>11</v>
      </c>
      <c r="D1500" s="4" t="str">
        <f>Fact_Defect_Split!D251</f>
        <v>M5</v>
      </c>
      <c r="E1500" s="4" t="str">
        <f>Fact_Defect_Split!E251</f>
        <v>A-AM</v>
      </c>
      <c r="F1500" s="4" t="str">
        <f>Fact_Defect_Split!F251</f>
        <v>C</v>
      </c>
      <c r="G1500" s="4" t="s">
        <v>509</v>
      </c>
      <c r="H1500" s="19">
        <f>Fact_Defect_Split!K251</f>
        <v>0</v>
      </c>
    </row>
    <row r="1501" spans="1:8" x14ac:dyDescent="0.25">
      <c r="A1501" s="18" t="s">
        <v>2482</v>
      </c>
      <c r="B1501" s="4">
        <f>Fact_Defect_Split!B251</f>
        <v>20260702</v>
      </c>
      <c r="C1501" s="4">
        <f>Fact_Defect_Split!C251</f>
        <v>11</v>
      </c>
      <c r="D1501" s="4" t="str">
        <f>Fact_Defect_Split!D251</f>
        <v>M5</v>
      </c>
      <c r="E1501" s="4" t="str">
        <f>Fact_Defect_Split!E251</f>
        <v>A-AM</v>
      </c>
      <c r="F1501" s="4" t="str">
        <f>Fact_Defect_Split!F251</f>
        <v>C</v>
      </c>
      <c r="G1501" s="4" t="s">
        <v>520</v>
      </c>
      <c r="H1501" s="19">
        <f>Fact_Defect_Split!L251</f>
        <v>1</v>
      </c>
    </row>
    <row r="1502" spans="1:8" x14ac:dyDescent="0.25">
      <c r="A1502" s="18" t="s">
        <v>2483</v>
      </c>
      <c r="B1502" s="4">
        <f>Fact_Defect_Split!B252</f>
        <v>20260702</v>
      </c>
      <c r="C1502" s="4">
        <f>Fact_Defect_Split!C252</f>
        <v>11</v>
      </c>
      <c r="D1502" s="4" t="str">
        <f>Fact_Defect_Split!D252</f>
        <v>M6</v>
      </c>
      <c r="E1502" s="4" t="str">
        <f>Fact_Defect_Split!E252</f>
        <v>A-AM</v>
      </c>
      <c r="F1502" s="4" t="str">
        <f>Fact_Defect_Split!F252</f>
        <v>C</v>
      </c>
      <c r="G1502" s="4" t="s">
        <v>498</v>
      </c>
      <c r="H1502" s="19">
        <f>Fact_Defect_Split!G252</f>
        <v>0</v>
      </c>
    </row>
    <row r="1503" spans="1:8" x14ac:dyDescent="0.25">
      <c r="A1503" s="18" t="s">
        <v>2484</v>
      </c>
      <c r="B1503" s="4">
        <f>Fact_Defect_Split!B252</f>
        <v>20260702</v>
      </c>
      <c r="C1503" s="4">
        <f>Fact_Defect_Split!C252</f>
        <v>11</v>
      </c>
      <c r="D1503" s="4" t="str">
        <f>Fact_Defect_Split!D252</f>
        <v>M6</v>
      </c>
      <c r="E1503" s="4" t="str">
        <f>Fact_Defect_Split!E252</f>
        <v>A-AM</v>
      </c>
      <c r="F1503" s="4" t="str">
        <f>Fact_Defect_Split!F252</f>
        <v>C</v>
      </c>
      <c r="G1503" s="4" t="s">
        <v>500</v>
      </c>
      <c r="H1503" s="19">
        <f>Fact_Defect_Split!H252</f>
        <v>0</v>
      </c>
    </row>
    <row r="1504" spans="1:8" x14ac:dyDescent="0.25">
      <c r="A1504" s="18" t="s">
        <v>2485</v>
      </c>
      <c r="B1504" s="4">
        <f>Fact_Defect_Split!B252</f>
        <v>20260702</v>
      </c>
      <c r="C1504" s="4">
        <f>Fact_Defect_Split!C252</f>
        <v>11</v>
      </c>
      <c r="D1504" s="4" t="str">
        <f>Fact_Defect_Split!D252</f>
        <v>M6</v>
      </c>
      <c r="E1504" s="4" t="str">
        <f>Fact_Defect_Split!E252</f>
        <v>A-AM</v>
      </c>
      <c r="F1504" s="4" t="str">
        <f>Fact_Defect_Split!F252</f>
        <v>C</v>
      </c>
      <c r="G1504" s="4" t="s">
        <v>517</v>
      </c>
      <c r="H1504" s="19">
        <f>Fact_Defect_Split!I252</f>
        <v>0</v>
      </c>
    </row>
    <row r="1505" spans="1:8" x14ac:dyDescent="0.25">
      <c r="A1505" s="18" t="s">
        <v>2486</v>
      </c>
      <c r="B1505" s="4">
        <f>Fact_Defect_Split!B252</f>
        <v>20260702</v>
      </c>
      <c r="C1505" s="4">
        <f>Fact_Defect_Split!C252</f>
        <v>11</v>
      </c>
      <c r="D1505" s="4" t="str">
        <f>Fact_Defect_Split!D252</f>
        <v>M6</v>
      </c>
      <c r="E1505" s="4" t="str">
        <f>Fact_Defect_Split!E252</f>
        <v>A-AM</v>
      </c>
      <c r="F1505" s="4" t="str">
        <f>Fact_Defect_Split!F252</f>
        <v>C</v>
      </c>
      <c r="G1505" s="4" t="s">
        <v>503</v>
      </c>
      <c r="H1505" s="19">
        <f>Fact_Defect_Split!J252</f>
        <v>0</v>
      </c>
    </row>
    <row r="1506" spans="1:8" x14ac:dyDescent="0.25">
      <c r="A1506" s="18" t="s">
        <v>2487</v>
      </c>
      <c r="B1506" s="4">
        <f>Fact_Defect_Split!B252</f>
        <v>20260702</v>
      </c>
      <c r="C1506" s="4">
        <f>Fact_Defect_Split!C252</f>
        <v>11</v>
      </c>
      <c r="D1506" s="4" t="str">
        <f>Fact_Defect_Split!D252</f>
        <v>M6</v>
      </c>
      <c r="E1506" s="4" t="str">
        <f>Fact_Defect_Split!E252</f>
        <v>A-AM</v>
      </c>
      <c r="F1506" s="4" t="str">
        <f>Fact_Defect_Split!F252</f>
        <v>C</v>
      </c>
      <c r="G1506" s="4" t="s">
        <v>509</v>
      </c>
      <c r="H1506" s="19">
        <f>Fact_Defect_Split!K252</f>
        <v>1</v>
      </c>
    </row>
    <row r="1507" spans="1:8" x14ac:dyDescent="0.25">
      <c r="A1507" s="18" t="s">
        <v>2488</v>
      </c>
      <c r="B1507" s="4">
        <f>Fact_Defect_Split!B252</f>
        <v>20260702</v>
      </c>
      <c r="C1507" s="4">
        <f>Fact_Defect_Split!C252</f>
        <v>11</v>
      </c>
      <c r="D1507" s="4" t="str">
        <f>Fact_Defect_Split!D252</f>
        <v>M6</v>
      </c>
      <c r="E1507" s="4" t="str">
        <f>Fact_Defect_Split!E252</f>
        <v>A-AM</v>
      </c>
      <c r="F1507" s="4" t="str">
        <f>Fact_Defect_Split!F252</f>
        <v>C</v>
      </c>
      <c r="G1507" s="4" t="s">
        <v>520</v>
      </c>
      <c r="H1507" s="19">
        <f>Fact_Defect_Split!L252</f>
        <v>0</v>
      </c>
    </row>
    <row r="1508" spans="1:8" x14ac:dyDescent="0.25">
      <c r="A1508" s="18" t="s">
        <v>2489</v>
      </c>
      <c r="B1508" s="4">
        <f>Fact_Defect_Split!B253</f>
        <v>20260702</v>
      </c>
      <c r="C1508" s="4">
        <f>Fact_Defect_Split!C253</f>
        <v>11</v>
      </c>
      <c r="D1508" s="4" t="str">
        <f>Fact_Defect_Split!D253</f>
        <v>M7</v>
      </c>
      <c r="E1508" s="4" t="str">
        <f>Fact_Defect_Split!E253</f>
        <v>A-AM</v>
      </c>
      <c r="F1508" s="4" t="str">
        <f>Fact_Defect_Split!F253</f>
        <v>C</v>
      </c>
      <c r="G1508" s="4" t="s">
        <v>498</v>
      </c>
      <c r="H1508" s="19">
        <f>Fact_Defect_Split!G253</f>
        <v>0</v>
      </c>
    </row>
    <row r="1509" spans="1:8" x14ac:dyDescent="0.25">
      <c r="A1509" s="18" t="s">
        <v>2490</v>
      </c>
      <c r="B1509" s="4">
        <f>Fact_Defect_Split!B253</f>
        <v>20260702</v>
      </c>
      <c r="C1509" s="4">
        <f>Fact_Defect_Split!C253</f>
        <v>11</v>
      </c>
      <c r="D1509" s="4" t="str">
        <f>Fact_Defect_Split!D253</f>
        <v>M7</v>
      </c>
      <c r="E1509" s="4" t="str">
        <f>Fact_Defect_Split!E253</f>
        <v>A-AM</v>
      </c>
      <c r="F1509" s="4" t="str">
        <f>Fact_Defect_Split!F253</f>
        <v>C</v>
      </c>
      <c r="G1509" s="4" t="s">
        <v>500</v>
      </c>
      <c r="H1509" s="19">
        <f>Fact_Defect_Split!H253</f>
        <v>0</v>
      </c>
    </row>
    <row r="1510" spans="1:8" x14ac:dyDescent="0.25">
      <c r="A1510" s="18" t="s">
        <v>2491</v>
      </c>
      <c r="B1510" s="4">
        <f>Fact_Defect_Split!B253</f>
        <v>20260702</v>
      </c>
      <c r="C1510" s="4">
        <f>Fact_Defect_Split!C253</f>
        <v>11</v>
      </c>
      <c r="D1510" s="4" t="str">
        <f>Fact_Defect_Split!D253</f>
        <v>M7</v>
      </c>
      <c r="E1510" s="4" t="str">
        <f>Fact_Defect_Split!E253</f>
        <v>A-AM</v>
      </c>
      <c r="F1510" s="4" t="str">
        <f>Fact_Defect_Split!F253</f>
        <v>C</v>
      </c>
      <c r="G1510" s="4" t="s">
        <v>517</v>
      </c>
      <c r="H1510" s="19">
        <f>Fact_Defect_Split!I253</f>
        <v>1</v>
      </c>
    </row>
    <row r="1511" spans="1:8" x14ac:dyDescent="0.25">
      <c r="A1511" s="18" t="s">
        <v>2492</v>
      </c>
      <c r="B1511" s="4">
        <f>Fact_Defect_Split!B253</f>
        <v>20260702</v>
      </c>
      <c r="C1511" s="4">
        <f>Fact_Defect_Split!C253</f>
        <v>11</v>
      </c>
      <c r="D1511" s="4" t="str">
        <f>Fact_Defect_Split!D253</f>
        <v>M7</v>
      </c>
      <c r="E1511" s="4" t="str">
        <f>Fact_Defect_Split!E253</f>
        <v>A-AM</v>
      </c>
      <c r="F1511" s="4" t="str">
        <f>Fact_Defect_Split!F253</f>
        <v>C</v>
      </c>
      <c r="G1511" s="4" t="s">
        <v>503</v>
      </c>
      <c r="H1511" s="19">
        <f>Fact_Defect_Split!J253</f>
        <v>0</v>
      </c>
    </row>
    <row r="1512" spans="1:8" x14ac:dyDescent="0.25">
      <c r="A1512" s="18" t="s">
        <v>2493</v>
      </c>
      <c r="B1512" s="4">
        <f>Fact_Defect_Split!B253</f>
        <v>20260702</v>
      </c>
      <c r="C1512" s="4">
        <f>Fact_Defect_Split!C253</f>
        <v>11</v>
      </c>
      <c r="D1512" s="4" t="str">
        <f>Fact_Defect_Split!D253</f>
        <v>M7</v>
      </c>
      <c r="E1512" s="4" t="str">
        <f>Fact_Defect_Split!E253</f>
        <v>A-AM</v>
      </c>
      <c r="F1512" s="4" t="str">
        <f>Fact_Defect_Split!F253</f>
        <v>C</v>
      </c>
      <c r="G1512" s="4" t="s">
        <v>509</v>
      </c>
      <c r="H1512" s="19">
        <f>Fact_Defect_Split!K253</f>
        <v>1</v>
      </c>
    </row>
    <row r="1513" spans="1:8" x14ac:dyDescent="0.25">
      <c r="A1513" s="18" t="s">
        <v>2494</v>
      </c>
      <c r="B1513" s="4">
        <f>Fact_Defect_Split!B253</f>
        <v>20260702</v>
      </c>
      <c r="C1513" s="4">
        <f>Fact_Defect_Split!C253</f>
        <v>11</v>
      </c>
      <c r="D1513" s="4" t="str">
        <f>Fact_Defect_Split!D253</f>
        <v>M7</v>
      </c>
      <c r="E1513" s="4" t="str">
        <f>Fact_Defect_Split!E253</f>
        <v>A-AM</v>
      </c>
      <c r="F1513" s="4" t="str">
        <f>Fact_Defect_Split!F253</f>
        <v>C</v>
      </c>
      <c r="G1513" s="4" t="s">
        <v>520</v>
      </c>
      <c r="H1513" s="19">
        <f>Fact_Defect_Split!L253</f>
        <v>1</v>
      </c>
    </row>
    <row r="1514" spans="1:8" x14ac:dyDescent="0.25">
      <c r="A1514" s="18" t="s">
        <v>2495</v>
      </c>
      <c r="B1514" s="4">
        <f>Fact_Defect_Split!B254</f>
        <v>20260702</v>
      </c>
      <c r="C1514" s="4">
        <f>Fact_Defect_Split!C254</f>
        <v>12</v>
      </c>
      <c r="D1514" s="4" t="str">
        <f>Fact_Defect_Split!D254</f>
        <v>M1</v>
      </c>
      <c r="E1514" s="4" t="str">
        <f>Fact_Defect_Split!E254</f>
        <v>A-AM</v>
      </c>
      <c r="F1514" s="4" t="str">
        <f>Fact_Defect_Split!F254</f>
        <v>C</v>
      </c>
      <c r="G1514" s="4" t="s">
        <v>498</v>
      </c>
      <c r="H1514" s="19">
        <f>Fact_Defect_Split!G254</f>
        <v>0</v>
      </c>
    </row>
    <row r="1515" spans="1:8" x14ac:dyDescent="0.25">
      <c r="A1515" s="18" t="s">
        <v>2496</v>
      </c>
      <c r="B1515" s="4">
        <f>Fact_Defect_Split!B254</f>
        <v>20260702</v>
      </c>
      <c r="C1515" s="4">
        <f>Fact_Defect_Split!C254</f>
        <v>12</v>
      </c>
      <c r="D1515" s="4" t="str">
        <f>Fact_Defect_Split!D254</f>
        <v>M1</v>
      </c>
      <c r="E1515" s="4" t="str">
        <f>Fact_Defect_Split!E254</f>
        <v>A-AM</v>
      </c>
      <c r="F1515" s="4" t="str">
        <f>Fact_Defect_Split!F254</f>
        <v>C</v>
      </c>
      <c r="G1515" s="4" t="s">
        <v>500</v>
      </c>
      <c r="H1515" s="19">
        <f>Fact_Defect_Split!H254</f>
        <v>0</v>
      </c>
    </row>
    <row r="1516" spans="1:8" x14ac:dyDescent="0.25">
      <c r="A1516" s="18" t="s">
        <v>2497</v>
      </c>
      <c r="B1516" s="4">
        <f>Fact_Defect_Split!B254</f>
        <v>20260702</v>
      </c>
      <c r="C1516" s="4">
        <f>Fact_Defect_Split!C254</f>
        <v>12</v>
      </c>
      <c r="D1516" s="4" t="str">
        <f>Fact_Defect_Split!D254</f>
        <v>M1</v>
      </c>
      <c r="E1516" s="4" t="str">
        <f>Fact_Defect_Split!E254</f>
        <v>A-AM</v>
      </c>
      <c r="F1516" s="4" t="str">
        <f>Fact_Defect_Split!F254</f>
        <v>C</v>
      </c>
      <c r="G1516" s="4" t="s">
        <v>517</v>
      </c>
      <c r="H1516" s="19">
        <f>Fact_Defect_Split!I254</f>
        <v>0</v>
      </c>
    </row>
    <row r="1517" spans="1:8" x14ac:dyDescent="0.25">
      <c r="A1517" s="18" t="s">
        <v>2498</v>
      </c>
      <c r="B1517" s="4">
        <f>Fact_Defect_Split!B254</f>
        <v>20260702</v>
      </c>
      <c r="C1517" s="4">
        <f>Fact_Defect_Split!C254</f>
        <v>12</v>
      </c>
      <c r="D1517" s="4" t="str">
        <f>Fact_Defect_Split!D254</f>
        <v>M1</v>
      </c>
      <c r="E1517" s="4" t="str">
        <f>Fact_Defect_Split!E254</f>
        <v>A-AM</v>
      </c>
      <c r="F1517" s="4" t="str">
        <f>Fact_Defect_Split!F254</f>
        <v>C</v>
      </c>
      <c r="G1517" s="4" t="s">
        <v>503</v>
      </c>
      <c r="H1517" s="19">
        <f>Fact_Defect_Split!J254</f>
        <v>0</v>
      </c>
    </row>
    <row r="1518" spans="1:8" x14ac:dyDescent="0.25">
      <c r="A1518" s="18" t="s">
        <v>2499</v>
      </c>
      <c r="B1518" s="4">
        <f>Fact_Defect_Split!B254</f>
        <v>20260702</v>
      </c>
      <c r="C1518" s="4">
        <f>Fact_Defect_Split!C254</f>
        <v>12</v>
      </c>
      <c r="D1518" s="4" t="str">
        <f>Fact_Defect_Split!D254</f>
        <v>M1</v>
      </c>
      <c r="E1518" s="4" t="str">
        <f>Fact_Defect_Split!E254</f>
        <v>A-AM</v>
      </c>
      <c r="F1518" s="4" t="str">
        <f>Fact_Defect_Split!F254</f>
        <v>C</v>
      </c>
      <c r="G1518" s="4" t="s">
        <v>509</v>
      </c>
      <c r="H1518" s="19">
        <f>Fact_Defect_Split!K254</f>
        <v>1</v>
      </c>
    </row>
    <row r="1519" spans="1:8" x14ac:dyDescent="0.25">
      <c r="A1519" s="18" t="s">
        <v>2500</v>
      </c>
      <c r="B1519" s="4">
        <f>Fact_Defect_Split!B254</f>
        <v>20260702</v>
      </c>
      <c r="C1519" s="4">
        <f>Fact_Defect_Split!C254</f>
        <v>12</v>
      </c>
      <c r="D1519" s="4" t="str">
        <f>Fact_Defect_Split!D254</f>
        <v>M1</v>
      </c>
      <c r="E1519" s="4" t="str">
        <f>Fact_Defect_Split!E254</f>
        <v>A-AM</v>
      </c>
      <c r="F1519" s="4" t="str">
        <f>Fact_Defect_Split!F254</f>
        <v>C</v>
      </c>
      <c r="G1519" s="4" t="s">
        <v>520</v>
      </c>
      <c r="H1519" s="19">
        <f>Fact_Defect_Split!L254</f>
        <v>0</v>
      </c>
    </row>
    <row r="1520" spans="1:8" x14ac:dyDescent="0.25">
      <c r="A1520" s="18" t="s">
        <v>2501</v>
      </c>
      <c r="B1520" s="4">
        <f>Fact_Defect_Split!B255</f>
        <v>20260702</v>
      </c>
      <c r="C1520" s="4">
        <f>Fact_Defect_Split!C255</f>
        <v>12</v>
      </c>
      <c r="D1520" s="4" t="str">
        <f>Fact_Defect_Split!D255</f>
        <v>M2</v>
      </c>
      <c r="E1520" s="4" t="str">
        <f>Fact_Defect_Split!E255</f>
        <v>A-AM</v>
      </c>
      <c r="F1520" s="4" t="str">
        <f>Fact_Defect_Split!F255</f>
        <v>A</v>
      </c>
      <c r="G1520" s="4" t="s">
        <v>498</v>
      </c>
      <c r="H1520" s="19">
        <f>Fact_Defect_Split!G255</f>
        <v>0</v>
      </c>
    </row>
    <row r="1521" spans="1:8" x14ac:dyDescent="0.25">
      <c r="A1521" s="18" t="s">
        <v>2502</v>
      </c>
      <c r="B1521" s="4">
        <f>Fact_Defect_Split!B255</f>
        <v>20260702</v>
      </c>
      <c r="C1521" s="4">
        <f>Fact_Defect_Split!C255</f>
        <v>12</v>
      </c>
      <c r="D1521" s="4" t="str">
        <f>Fact_Defect_Split!D255</f>
        <v>M2</v>
      </c>
      <c r="E1521" s="4" t="str">
        <f>Fact_Defect_Split!E255</f>
        <v>A-AM</v>
      </c>
      <c r="F1521" s="4" t="str">
        <f>Fact_Defect_Split!F255</f>
        <v>A</v>
      </c>
      <c r="G1521" s="4" t="s">
        <v>500</v>
      </c>
      <c r="H1521" s="19">
        <f>Fact_Defect_Split!H255</f>
        <v>0</v>
      </c>
    </row>
    <row r="1522" spans="1:8" x14ac:dyDescent="0.25">
      <c r="A1522" s="18" t="s">
        <v>2503</v>
      </c>
      <c r="B1522" s="4">
        <f>Fact_Defect_Split!B255</f>
        <v>20260702</v>
      </c>
      <c r="C1522" s="4">
        <f>Fact_Defect_Split!C255</f>
        <v>12</v>
      </c>
      <c r="D1522" s="4" t="str">
        <f>Fact_Defect_Split!D255</f>
        <v>M2</v>
      </c>
      <c r="E1522" s="4" t="str">
        <f>Fact_Defect_Split!E255</f>
        <v>A-AM</v>
      </c>
      <c r="F1522" s="4" t="str">
        <f>Fact_Defect_Split!F255</f>
        <v>A</v>
      </c>
      <c r="G1522" s="4" t="s">
        <v>517</v>
      </c>
      <c r="H1522" s="19">
        <f>Fact_Defect_Split!I255</f>
        <v>0</v>
      </c>
    </row>
    <row r="1523" spans="1:8" x14ac:dyDescent="0.25">
      <c r="A1523" s="18" t="s">
        <v>2504</v>
      </c>
      <c r="B1523" s="4">
        <f>Fact_Defect_Split!B255</f>
        <v>20260702</v>
      </c>
      <c r="C1523" s="4">
        <f>Fact_Defect_Split!C255</f>
        <v>12</v>
      </c>
      <c r="D1523" s="4" t="str">
        <f>Fact_Defect_Split!D255</f>
        <v>M2</v>
      </c>
      <c r="E1523" s="4" t="str">
        <f>Fact_Defect_Split!E255</f>
        <v>A-AM</v>
      </c>
      <c r="F1523" s="4" t="str">
        <f>Fact_Defect_Split!F255</f>
        <v>A</v>
      </c>
      <c r="G1523" s="4" t="s">
        <v>503</v>
      </c>
      <c r="H1523" s="19">
        <f>Fact_Defect_Split!J255</f>
        <v>1</v>
      </c>
    </row>
    <row r="1524" spans="1:8" x14ac:dyDescent="0.25">
      <c r="A1524" s="18" t="s">
        <v>2505</v>
      </c>
      <c r="B1524" s="4">
        <f>Fact_Defect_Split!B255</f>
        <v>20260702</v>
      </c>
      <c r="C1524" s="4">
        <f>Fact_Defect_Split!C255</f>
        <v>12</v>
      </c>
      <c r="D1524" s="4" t="str">
        <f>Fact_Defect_Split!D255</f>
        <v>M2</v>
      </c>
      <c r="E1524" s="4" t="str">
        <f>Fact_Defect_Split!E255</f>
        <v>A-AM</v>
      </c>
      <c r="F1524" s="4" t="str">
        <f>Fact_Defect_Split!F255</f>
        <v>A</v>
      </c>
      <c r="G1524" s="4" t="s">
        <v>509</v>
      </c>
      <c r="H1524" s="19">
        <f>Fact_Defect_Split!K255</f>
        <v>1</v>
      </c>
    </row>
    <row r="1525" spans="1:8" x14ac:dyDescent="0.25">
      <c r="A1525" s="18" t="s">
        <v>2506</v>
      </c>
      <c r="B1525" s="4">
        <f>Fact_Defect_Split!B255</f>
        <v>20260702</v>
      </c>
      <c r="C1525" s="4">
        <f>Fact_Defect_Split!C255</f>
        <v>12</v>
      </c>
      <c r="D1525" s="4" t="str">
        <f>Fact_Defect_Split!D255</f>
        <v>M2</v>
      </c>
      <c r="E1525" s="4" t="str">
        <f>Fact_Defect_Split!E255</f>
        <v>A-AM</v>
      </c>
      <c r="F1525" s="4" t="str">
        <f>Fact_Defect_Split!F255</f>
        <v>A</v>
      </c>
      <c r="G1525" s="4" t="s">
        <v>520</v>
      </c>
      <c r="H1525" s="19">
        <f>Fact_Defect_Split!L255</f>
        <v>1</v>
      </c>
    </row>
    <row r="1526" spans="1:8" x14ac:dyDescent="0.25">
      <c r="A1526" s="18" t="s">
        <v>2507</v>
      </c>
      <c r="B1526" s="4">
        <f>Fact_Defect_Split!B256</f>
        <v>20260702</v>
      </c>
      <c r="C1526" s="4">
        <f>Fact_Defect_Split!C256</f>
        <v>12</v>
      </c>
      <c r="D1526" s="4" t="str">
        <f>Fact_Defect_Split!D256</f>
        <v>M3</v>
      </c>
      <c r="E1526" s="4" t="str">
        <f>Fact_Defect_Split!E256</f>
        <v>A-AM</v>
      </c>
      <c r="F1526" s="4" t="str">
        <f>Fact_Defect_Split!F256</f>
        <v>A</v>
      </c>
      <c r="G1526" s="4" t="s">
        <v>498</v>
      </c>
      <c r="H1526" s="19">
        <f>Fact_Defect_Split!G256</f>
        <v>0</v>
      </c>
    </row>
    <row r="1527" spans="1:8" x14ac:dyDescent="0.25">
      <c r="A1527" s="18" t="s">
        <v>2508</v>
      </c>
      <c r="B1527" s="4">
        <f>Fact_Defect_Split!B256</f>
        <v>20260702</v>
      </c>
      <c r="C1527" s="4">
        <f>Fact_Defect_Split!C256</f>
        <v>12</v>
      </c>
      <c r="D1527" s="4" t="str">
        <f>Fact_Defect_Split!D256</f>
        <v>M3</v>
      </c>
      <c r="E1527" s="4" t="str">
        <f>Fact_Defect_Split!E256</f>
        <v>A-AM</v>
      </c>
      <c r="F1527" s="4" t="str">
        <f>Fact_Defect_Split!F256</f>
        <v>A</v>
      </c>
      <c r="G1527" s="4" t="s">
        <v>500</v>
      </c>
      <c r="H1527" s="19">
        <f>Fact_Defect_Split!H256</f>
        <v>0</v>
      </c>
    </row>
    <row r="1528" spans="1:8" x14ac:dyDescent="0.25">
      <c r="A1528" s="18" t="s">
        <v>2509</v>
      </c>
      <c r="B1528" s="4">
        <f>Fact_Defect_Split!B256</f>
        <v>20260702</v>
      </c>
      <c r="C1528" s="4">
        <f>Fact_Defect_Split!C256</f>
        <v>12</v>
      </c>
      <c r="D1528" s="4" t="str">
        <f>Fact_Defect_Split!D256</f>
        <v>M3</v>
      </c>
      <c r="E1528" s="4" t="str">
        <f>Fact_Defect_Split!E256</f>
        <v>A-AM</v>
      </c>
      <c r="F1528" s="4" t="str">
        <f>Fact_Defect_Split!F256</f>
        <v>A</v>
      </c>
      <c r="G1528" s="4" t="s">
        <v>517</v>
      </c>
      <c r="H1528" s="19">
        <f>Fact_Defect_Split!I256</f>
        <v>0</v>
      </c>
    </row>
    <row r="1529" spans="1:8" x14ac:dyDescent="0.25">
      <c r="A1529" s="18" t="s">
        <v>2510</v>
      </c>
      <c r="B1529" s="4">
        <f>Fact_Defect_Split!B256</f>
        <v>20260702</v>
      </c>
      <c r="C1529" s="4">
        <f>Fact_Defect_Split!C256</f>
        <v>12</v>
      </c>
      <c r="D1529" s="4" t="str">
        <f>Fact_Defect_Split!D256</f>
        <v>M3</v>
      </c>
      <c r="E1529" s="4" t="str">
        <f>Fact_Defect_Split!E256</f>
        <v>A-AM</v>
      </c>
      <c r="F1529" s="4" t="str">
        <f>Fact_Defect_Split!F256</f>
        <v>A</v>
      </c>
      <c r="G1529" s="4" t="s">
        <v>503</v>
      </c>
      <c r="H1529" s="19">
        <f>Fact_Defect_Split!J256</f>
        <v>0</v>
      </c>
    </row>
    <row r="1530" spans="1:8" x14ac:dyDescent="0.25">
      <c r="A1530" s="18" t="s">
        <v>2511</v>
      </c>
      <c r="B1530" s="4">
        <f>Fact_Defect_Split!B256</f>
        <v>20260702</v>
      </c>
      <c r="C1530" s="4">
        <f>Fact_Defect_Split!C256</f>
        <v>12</v>
      </c>
      <c r="D1530" s="4" t="str">
        <f>Fact_Defect_Split!D256</f>
        <v>M3</v>
      </c>
      <c r="E1530" s="4" t="str">
        <f>Fact_Defect_Split!E256</f>
        <v>A-AM</v>
      </c>
      <c r="F1530" s="4" t="str">
        <f>Fact_Defect_Split!F256</f>
        <v>A</v>
      </c>
      <c r="G1530" s="4" t="s">
        <v>509</v>
      </c>
      <c r="H1530" s="19">
        <f>Fact_Defect_Split!K256</f>
        <v>0</v>
      </c>
    </row>
    <row r="1531" spans="1:8" x14ac:dyDescent="0.25">
      <c r="A1531" s="18" t="s">
        <v>2512</v>
      </c>
      <c r="B1531" s="4">
        <f>Fact_Defect_Split!B256</f>
        <v>20260702</v>
      </c>
      <c r="C1531" s="4">
        <f>Fact_Defect_Split!C256</f>
        <v>12</v>
      </c>
      <c r="D1531" s="4" t="str">
        <f>Fact_Defect_Split!D256</f>
        <v>M3</v>
      </c>
      <c r="E1531" s="4" t="str">
        <f>Fact_Defect_Split!E256</f>
        <v>A-AM</v>
      </c>
      <c r="F1531" s="4" t="str">
        <f>Fact_Defect_Split!F256</f>
        <v>A</v>
      </c>
      <c r="G1531" s="4" t="s">
        <v>520</v>
      </c>
      <c r="H1531" s="19">
        <f>Fact_Defect_Split!L256</f>
        <v>0</v>
      </c>
    </row>
    <row r="1532" spans="1:8" x14ac:dyDescent="0.25">
      <c r="A1532" s="18" t="s">
        <v>2513</v>
      </c>
      <c r="B1532" s="4">
        <f>Fact_Defect_Split!B257</f>
        <v>20260702</v>
      </c>
      <c r="C1532" s="4">
        <f>Fact_Defect_Split!C257</f>
        <v>12</v>
      </c>
      <c r="D1532" s="4" t="str">
        <f>Fact_Defect_Split!D257</f>
        <v>M4</v>
      </c>
      <c r="E1532" s="4" t="str">
        <f>Fact_Defect_Split!E257</f>
        <v>A-AM</v>
      </c>
      <c r="F1532" s="4" t="str">
        <f>Fact_Defect_Split!F257</f>
        <v>A</v>
      </c>
      <c r="G1532" s="4" t="s">
        <v>498</v>
      </c>
      <c r="H1532" s="19">
        <f>Fact_Defect_Split!G257</f>
        <v>0</v>
      </c>
    </row>
    <row r="1533" spans="1:8" x14ac:dyDescent="0.25">
      <c r="A1533" s="18" t="s">
        <v>2514</v>
      </c>
      <c r="B1533" s="4">
        <f>Fact_Defect_Split!B257</f>
        <v>20260702</v>
      </c>
      <c r="C1533" s="4">
        <f>Fact_Defect_Split!C257</f>
        <v>12</v>
      </c>
      <c r="D1533" s="4" t="str">
        <f>Fact_Defect_Split!D257</f>
        <v>M4</v>
      </c>
      <c r="E1533" s="4" t="str">
        <f>Fact_Defect_Split!E257</f>
        <v>A-AM</v>
      </c>
      <c r="F1533" s="4" t="str">
        <f>Fact_Defect_Split!F257</f>
        <v>A</v>
      </c>
      <c r="G1533" s="4" t="s">
        <v>500</v>
      </c>
      <c r="H1533" s="19">
        <f>Fact_Defect_Split!H257</f>
        <v>0</v>
      </c>
    </row>
    <row r="1534" spans="1:8" x14ac:dyDescent="0.25">
      <c r="A1534" s="18" t="s">
        <v>2515</v>
      </c>
      <c r="B1534" s="4">
        <f>Fact_Defect_Split!B257</f>
        <v>20260702</v>
      </c>
      <c r="C1534" s="4">
        <f>Fact_Defect_Split!C257</f>
        <v>12</v>
      </c>
      <c r="D1534" s="4" t="str">
        <f>Fact_Defect_Split!D257</f>
        <v>M4</v>
      </c>
      <c r="E1534" s="4" t="str">
        <f>Fact_Defect_Split!E257</f>
        <v>A-AM</v>
      </c>
      <c r="F1534" s="4" t="str">
        <f>Fact_Defect_Split!F257</f>
        <v>A</v>
      </c>
      <c r="G1534" s="4" t="s">
        <v>517</v>
      </c>
      <c r="H1534" s="19">
        <f>Fact_Defect_Split!I257</f>
        <v>0</v>
      </c>
    </row>
    <row r="1535" spans="1:8" x14ac:dyDescent="0.25">
      <c r="A1535" s="18" t="s">
        <v>2516</v>
      </c>
      <c r="B1535" s="4">
        <f>Fact_Defect_Split!B257</f>
        <v>20260702</v>
      </c>
      <c r="C1535" s="4">
        <f>Fact_Defect_Split!C257</f>
        <v>12</v>
      </c>
      <c r="D1535" s="4" t="str">
        <f>Fact_Defect_Split!D257</f>
        <v>M4</v>
      </c>
      <c r="E1535" s="4" t="str">
        <f>Fact_Defect_Split!E257</f>
        <v>A-AM</v>
      </c>
      <c r="F1535" s="4" t="str">
        <f>Fact_Defect_Split!F257</f>
        <v>A</v>
      </c>
      <c r="G1535" s="4" t="s">
        <v>503</v>
      </c>
      <c r="H1535" s="19">
        <f>Fact_Defect_Split!J257</f>
        <v>0</v>
      </c>
    </row>
    <row r="1536" spans="1:8" x14ac:dyDescent="0.25">
      <c r="A1536" s="18" t="s">
        <v>2517</v>
      </c>
      <c r="B1536" s="4">
        <f>Fact_Defect_Split!B257</f>
        <v>20260702</v>
      </c>
      <c r="C1536" s="4">
        <f>Fact_Defect_Split!C257</f>
        <v>12</v>
      </c>
      <c r="D1536" s="4" t="str">
        <f>Fact_Defect_Split!D257</f>
        <v>M4</v>
      </c>
      <c r="E1536" s="4" t="str">
        <f>Fact_Defect_Split!E257</f>
        <v>A-AM</v>
      </c>
      <c r="F1536" s="4" t="str">
        <f>Fact_Defect_Split!F257</f>
        <v>A</v>
      </c>
      <c r="G1536" s="4" t="s">
        <v>509</v>
      </c>
      <c r="H1536" s="19">
        <f>Fact_Defect_Split!K257</f>
        <v>0</v>
      </c>
    </row>
    <row r="1537" spans="1:8" x14ac:dyDescent="0.25">
      <c r="A1537" s="18" t="s">
        <v>2518</v>
      </c>
      <c r="B1537" s="4">
        <f>Fact_Defect_Split!B257</f>
        <v>20260702</v>
      </c>
      <c r="C1537" s="4">
        <f>Fact_Defect_Split!C257</f>
        <v>12</v>
      </c>
      <c r="D1537" s="4" t="str">
        <f>Fact_Defect_Split!D257</f>
        <v>M4</v>
      </c>
      <c r="E1537" s="4" t="str">
        <f>Fact_Defect_Split!E257</f>
        <v>A-AM</v>
      </c>
      <c r="F1537" s="4" t="str">
        <f>Fact_Defect_Split!F257</f>
        <v>A</v>
      </c>
      <c r="G1537" s="4" t="s">
        <v>520</v>
      </c>
      <c r="H1537" s="19">
        <f>Fact_Defect_Split!L257</f>
        <v>1</v>
      </c>
    </row>
    <row r="1538" spans="1:8" x14ac:dyDescent="0.25">
      <c r="A1538" s="18" t="s">
        <v>2519</v>
      </c>
      <c r="B1538" s="4">
        <f>Fact_Defect_Split!B258</f>
        <v>20260702</v>
      </c>
      <c r="C1538" s="4">
        <f>Fact_Defect_Split!C258</f>
        <v>12</v>
      </c>
      <c r="D1538" s="4" t="str">
        <f>Fact_Defect_Split!D258</f>
        <v>M5</v>
      </c>
      <c r="E1538" s="4" t="str">
        <f>Fact_Defect_Split!E258</f>
        <v>A-AM</v>
      </c>
      <c r="F1538" s="4" t="str">
        <f>Fact_Defect_Split!F258</f>
        <v>C</v>
      </c>
      <c r="G1538" s="4" t="s">
        <v>498</v>
      </c>
      <c r="H1538" s="19">
        <f>Fact_Defect_Split!G258</f>
        <v>0</v>
      </c>
    </row>
    <row r="1539" spans="1:8" x14ac:dyDescent="0.25">
      <c r="A1539" s="18" t="s">
        <v>2520</v>
      </c>
      <c r="B1539" s="4">
        <f>Fact_Defect_Split!B258</f>
        <v>20260702</v>
      </c>
      <c r="C1539" s="4">
        <f>Fact_Defect_Split!C258</f>
        <v>12</v>
      </c>
      <c r="D1539" s="4" t="str">
        <f>Fact_Defect_Split!D258</f>
        <v>M5</v>
      </c>
      <c r="E1539" s="4" t="str">
        <f>Fact_Defect_Split!E258</f>
        <v>A-AM</v>
      </c>
      <c r="F1539" s="4" t="str">
        <f>Fact_Defect_Split!F258</f>
        <v>C</v>
      </c>
      <c r="G1539" s="4" t="s">
        <v>500</v>
      </c>
      <c r="H1539" s="19">
        <f>Fact_Defect_Split!H258</f>
        <v>0</v>
      </c>
    </row>
    <row r="1540" spans="1:8" x14ac:dyDescent="0.25">
      <c r="A1540" s="18" t="s">
        <v>2521</v>
      </c>
      <c r="B1540" s="4">
        <f>Fact_Defect_Split!B258</f>
        <v>20260702</v>
      </c>
      <c r="C1540" s="4">
        <f>Fact_Defect_Split!C258</f>
        <v>12</v>
      </c>
      <c r="D1540" s="4" t="str">
        <f>Fact_Defect_Split!D258</f>
        <v>M5</v>
      </c>
      <c r="E1540" s="4" t="str">
        <f>Fact_Defect_Split!E258</f>
        <v>A-AM</v>
      </c>
      <c r="F1540" s="4" t="str">
        <f>Fact_Defect_Split!F258</f>
        <v>C</v>
      </c>
      <c r="G1540" s="4" t="s">
        <v>517</v>
      </c>
      <c r="H1540" s="19">
        <f>Fact_Defect_Split!I258</f>
        <v>0</v>
      </c>
    </row>
    <row r="1541" spans="1:8" x14ac:dyDescent="0.25">
      <c r="A1541" s="18" t="s">
        <v>2522</v>
      </c>
      <c r="B1541" s="4">
        <f>Fact_Defect_Split!B258</f>
        <v>20260702</v>
      </c>
      <c r="C1541" s="4">
        <f>Fact_Defect_Split!C258</f>
        <v>12</v>
      </c>
      <c r="D1541" s="4" t="str">
        <f>Fact_Defect_Split!D258</f>
        <v>M5</v>
      </c>
      <c r="E1541" s="4" t="str">
        <f>Fact_Defect_Split!E258</f>
        <v>A-AM</v>
      </c>
      <c r="F1541" s="4" t="str">
        <f>Fact_Defect_Split!F258</f>
        <v>C</v>
      </c>
      <c r="G1541" s="4" t="s">
        <v>503</v>
      </c>
      <c r="H1541" s="19">
        <f>Fact_Defect_Split!J258</f>
        <v>1</v>
      </c>
    </row>
    <row r="1542" spans="1:8" x14ac:dyDescent="0.25">
      <c r="A1542" s="18" t="s">
        <v>2523</v>
      </c>
      <c r="B1542" s="4">
        <f>Fact_Defect_Split!B258</f>
        <v>20260702</v>
      </c>
      <c r="C1542" s="4">
        <f>Fact_Defect_Split!C258</f>
        <v>12</v>
      </c>
      <c r="D1542" s="4" t="str">
        <f>Fact_Defect_Split!D258</f>
        <v>M5</v>
      </c>
      <c r="E1542" s="4" t="str">
        <f>Fact_Defect_Split!E258</f>
        <v>A-AM</v>
      </c>
      <c r="F1542" s="4" t="str">
        <f>Fact_Defect_Split!F258</f>
        <v>C</v>
      </c>
      <c r="G1542" s="4" t="s">
        <v>509</v>
      </c>
      <c r="H1542" s="19">
        <f>Fact_Defect_Split!K258</f>
        <v>1</v>
      </c>
    </row>
    <row r="1543" spans="1:8" x14ac:dyDescent="0.25">
      <c r="A1543" s="18" t="s">
        <v>2524</v>
      </c>
      <c r="B1543" s="4">
        <f>Fact_Defect_Split!B258</f>
        <v>20260702</v>
      </c>
      <c r="C1543" s="4">
        <f>Fact_Defect_Split!C258</f>
        <v>12</v>
      </c>
      <c r="D1543" s="4" t="str">
        <f>Fact_Defect_Split!D258</f>
        <v>M5</v>
      </c>
      <c r="E1543" s="4" t="str">
        <f>Fact_Defect_Split!E258</f>
        <v>A-AM</v>
      </c>
      <c r="F1543" s="4" t="str">
        <f>Fact_Defect_Split!F258</f>
        <v>C</v>
      </c>
      <c r="G1543" s="4" t="s">
        <v>520</v>
      </c>
      <c r="H1543" s="19">
        <f>Fact_Defect_Split!L258</f>
        <v>0</v>
      </c>
    </row>
    <row r="1544" spans="1:8" x14ac:dyDescent="0.25">
      <c r="A1544" s="18" t="s">
        <v>2525</v>
      </c>
      <c r="B1544" s="4">
        <f>Fact_Defect_Split!B259</f>
        <v>20260702</v>
      </c>
      <c r="C1544" s="4">
        <f>Fact_Defect_Split!C259</f>
        <v>12</v>
      </c>
      <c r="D1544" s="4" t="str">
        <f>Fact_Defect_Split!D259</f>
        <v>M6</v>
      </c>
      <c r="E1544" s="4" t="str">
        <f>Fact_Defect_Split!E259</f>
        <v>A-AM</v>
      </c>
      <c r="F1544" s="4" t="str">
        <f>Fact_Defect_Split!F259</f>
        <v>C</v>
      </c>
      <c r="G1544" s="4" t="s">
        <v>498</v>
      </c>
      <c r="H1544" s="19">
        <f>Fact_Defect_Split!G259</f>
        <v>0</v>
      </c>
    </row>
    <row r="1545" spans="1:8" x14ac:dyDescent="0.25">
      <c r="A1545" s="18" t="s">
        <v>2526</v>
      </c>
      <c r="B1545" s="4">
        <f>Fact_Defect_Split!B259</f>
        <v>20260702</v>
      </c>
      <c r="C1545" s="4">
        <f>Fact_Defect_Split!C259</f>
        <v>12</v>
      </c>
      <c r="D1545" s="4" t="str">
        <f>Fact_Defect_Split!D259</f>
        <v>M6</v>
      </c>
      <c r="E1545" s="4" t="str">
        <f>Fact_Defect_Split!E259</f>
        <v>A-AM</v>
      </c>
      <c r="F1545" s="4" t="str">
        <f>Fact_Defect_Split!F259</f>
        <v>C</v>
      </c>
      <c r="G1545" s="4" t="s">
        <v>500</v>
      </c>
      <c r="H1545" s="19">
        <f>Fact_Defect_Split!H259</f>
        <v>0</v>
      </c>
    </row>
    <row r="1546" spans="1:8" x14ac:dyDescent="0.25">
      <c r="A1546" s="18" t="s">
        <v>2527</v>
      </c>
      <c r="B1546" s="4">
        <f>Fact_Defect_Split!B259</f>
        <v>20260702</v>
      </c>
      <c r="C1546" s="4">
        <f>Fact_Defect_Split!C259</f>
        <v>12</v>
      </c>
      <c r="D1546" s="4" t="str">
        <f>Fact_Defect_Split!D259</f>
        <v>M6</v>
      </c>
      <c r="E1546" s="4" t="str">
        <f>Fact_Defect_Split!E259</f>
        <v>A-AM</v>
      </c>
      <c r="F1546" s="4" t="str">
        <f>Fact_Defect_Split!F259</f>
        <v>C</v>
      </c>
      <c r="G1546" s="4" t="s">
        <v>517</v>
      </c>
      <c r="H1546" s="19">
        <f>Fact_Defect_Split!I259</f>
        <v>0</v>
      </c>
    </row>
    <row r="1547" spans="1:8" x14ac:dyDescent="0.25">
      <c r="A1547" s="18" t="s">
        <v>2528</v>
      </c>
      <c r="B1547" s="4">
        <f>Fact_Defect_Split!B259</f>
        <v>20260702</v>
      </c>
      <c r="C1547" s="4">
        <f>Fact_Defect_Split!C259</f>
        <v>12</v>
      </c>
      <c r="D1547" s="4" t="str">
        <f>Fact_Defect_Split!D259</f>
        <v>M6</v>
      </c>
      <c r="E1547" s="4" t="str">
        <f>Fact_Defect_Split!E259</f>
        <v>A-AM</v>
      </c>
      <c r="F1547" s="4" t="str">
        <f>Fact_Defect_Split!F259</f>
        <v>C</v>
      </c>
      <c r="G1547" s="4" t="s">
        <v>503</v>
      </c>
      <c r="H1547" s="19">
        <f>Fact_Defect_Split!J259</f>
        <v>0</v>
      </c>
    </row>
    <row r="1548" spans="1:8" x14ac:dyDescent="0.25">
      <c r="A1548" s="18" t="s">
        <v>2529</v>
      </c>
      <c r="B1548" s="4">
        <f>Fact_Defect_Split!B259</f>
        <v>20260702</v>
      </c>
      <c r="C1548" s="4">
        <f>Fact_Defect_Split!C259</f>
        <v>12</v>
      </c>
      <c r="D1548" s="4" t="str">
        <f>Fact_Defect_Split!D259</f>
        <v>M6</v>
      </c>
      <c r="E1548" s="4" t="str">
        <f>Fact_Defect_Split!E259</f>
        <v>A-AM</v>
      </c>
      <c r="F1548" s="4" t="str">
        <f>Fact_Defect_Split!F259</f>
        <v>C</v>
      </c>
      <c r="G1548" s="4" t="s">
        <v>509</v>
      </c>
      <c r="H1548" s="19">
        <f>Fact_Defect_Split!K259</f>
        <v>1</v>
      </c>
    </row>
    <row r="1549" spans="1:8" x14ac:dyDescent="0.25">
      <c r="A1549" s="18" t="s">
        <v>2530</v>
      </c>
      <c r="B1549" s="4">
        <f>Fact_Defect_Split!B259</f>
        <v>20260702</v>
      </c>
      <c r="C1549" s="4">
        <f>Fact_Defect_Split!C259</f>
        <v>12</v>
      </c>
      <c r="D1549" s="4" t="str">
        <f>Fact_Defect_Split!D259</f>
        <v>M6</v>
      </c>
      <c r="E1549" s="4" t="str">
        <f>Fact_Defect_Split!E259</f>
        <v>A-AM</v>
      </c>
      <c r="F1549" s="4" t="str">
        <f>Fact_Defect_Split!F259</f>
        <v>C</v>
      </c>
      <c r="G1549" s="4" t="s">
        <v>520</v>
      </c>
      <c r="H1549" s="19">
        <f>Fact_Defect_Split!L259</f>
        <v>0</v>
      </c>
    </row>
    <row r="1550" spans="1:8" x14ac:dyDescent="0.25">
      <c r="A1550" s="18" t="s">
        <v>2531</v>
      </c>
      <c r="B1550" s="4">
        <f>Fact_Defect_Split!B260</f>
        <v>20260702</v>
      </c>
      <c r="C1550" s="4">
        <f>Fact_Defect_Split!C260</f>
        <v>12</v>
      </c>
      <c r="D1550" s="4" t="str">
        <f>Fact_Defect_Split!D260</f>
        <v>M7</v>
      </c>
      <c r="E1550" s="4" t="str">
        <f>Fact_Defect_Split!E260</f>
        <v>A-AM</v>
      </c>
      <c r="F1550" s="4" t="str">
        <f>Fact_Defect_Split!F260</f>
        <v>C</v>
      </c>
      <c r="G1550" s="4" t="s">
        <v>498</v>
      </c>
      <c r="H1550" s="19">
        <f>Fact_Defect_Split!G260</f>
        <v>0</v>
      </c>
    </row>
    <row r="1551" spans="1:8" x14ac:dyDescent="0.25">
      <c r="A1551" s="18" t="s">
        <v>2532</v>
      </c>
      <c r="B1551" s="4">
        <f>Fact_Defect_Split!B260</f>
        <v>20260702</v>
      </c>
      <c r="C1551" s="4">
        <f>Fact_Defect_Split!C260</f>
        <v>12</v>
      </c>
      <c r="D1551" s="4" t="str">
        <f>Fact_Defect_Split!D260</f>
        <v>M7</v>
      </c>
      <c r="E1551" s="4" t="str">
        <f>Fact_Defect_Split!E260</f>
        <v>A-AM</v>
      </c>
      <c r="F1551" s="4" t="str">
        <f>Fact_Defect_Split!F260</f>
        <v>C</v>
      </c>
      <c r="G1551" s="4" t="s">
        <v>500</v>
      </c>
      <c r="H1551" s="19">
        <f>Fact_Defect_Split!H260</f>
        <v>0</v>
      </c>
    </row>
    <row r="1552" spans="1:8" x14ac:dyDescent="0.25">
      <c r="A1552" s="18" t="s">
        <v>2533</v>
      </c>
      <c r="B1552" s="4">
        <f>Fact_Defect_Split!B260</f>
        <v>20260702</v>
      </c>
      <c r="C1552" s="4">
        <f>Fact_Defect_Split!C260</f>
        <v>12</v>
      </c>
      <c r="D1552" s="4" t="str">
        <f>Fact_Defect_Split!D260</f>
        <v>M7</v>
      </c>
      <c r="E1552" s="4" t="str">
        <f>Fact_Defect_Split!E260</f>
        <v>A-AM</v>
      </c>
      <c r="F1552" s="4" t="str">
        <f>Fact_Defect_Split!F260</f>
        <v>C</v>
      </c>
      <c r="G1552" s="4" t="s">
        <v>517</v>
      </c>
      <c r="H1552" s="19">
        <f>Fact_Defect_Split!I260</f>
        <v>0</v>
      </c>
    </row>
    <row r="1553" spans="1:8" x14ac:dyDescent="0.25">
      <c r="A1553" s="18" t="s">
        <v>2534</v>
      </c>
      <c r="B1553" s="4">
        <f>Fact_Defect_Split!B260</f>
        <v>20260702</v>
      </c>
      <c r="C1553" s="4">
        <f>Fact_Defect_Split!C260</f>
        <v>12</v>
      </c>
      <c r="D1553" s="4" t="str">
        <f>Fact_Defect_Split!D260</f>
        <v>M7</v>
      </c>
      <c r="E1553" s="4" t="str">
        <f>Fact_Defect_Split!E260</f>
        <v>A-AM</v>
      </c>
      <c r="F1553" s="4" t="str">
        <f>Fact_Defect_Split!F260</f>
        <v>C</v>
      </c>
      <c r="G1553" s="4" t="s">
        <v>503</v>
      </c>
      <c r="H1553" s="19">
        <f>Fact_Defect_Split!J260</f>
        <v>1</v>
      </c>
    </row>
    <row r="1554" spans="1:8" x14ac:dyDescent="0.25">
      <c r="A1554" s="18" t="s">
        <v>2535</v>
      </c>
      <c r="B1554" s="4">
        <f>Fact_Defect_Split!B260</f>
        <v>20260702</v>
      </c>
      <c r="C1554" s="4">
        <f>Fact_Defect_Split!C260</f>
        <v>12</v>
      </c>
      <c r="D1554" s="4" t="str">
        <f>Fact_Defect_Split!D260</f>
        <v>M7</v>
      </c>
      <c r="E1554" s="4" t="str">
        <f>Fact_Defect_Split!E260</f>
        <v>A-AM</v>
      </c>
      <c r="F1554" s="4" t="str">
        <f>Fact_Defect_Split!F260</f>
        <v>C</v>
      </c>
      <c r="G1554" s="4" t="s">
        <v>509</v>
      </c>
      <c r="H1554" s="19">
        <f>Fact_Defect_Split!K260</f>
        <v>1</v>
      </c>
    </row>
    <row r="1555" spans="1:8" x14ac:dyDescent="0.25">
      <c r="A1555" s="18" t="s">
        <v>2536</v>
      </c>
      <c r="B1555" s="4">
        <f>Fact_Defect_Split!B260</f>
        <v>20260702</v>
      </c>
      <c r="C1555" s="4">
        <f>Fact_Defect_Split!C260</f>
        <v>12</v>
      </c>
      <c r="D1555" s="4" t="str">
        <f>Fact_Defect_Split!D260</f>
        <v>M7</v>
      </c>
      <c r="E1555" s="4" t="str">
        <f>Fact_Defect_Split!E260</f>
        <v>A-AM</v>
      </c>
      <c r="F1555" s="4" t="str">
        <f>Fact_Defect_Split!F260</f>
        <v>C</v>
      </c>
      <c r="G1555" s="4" t="s">
        <v>520</v>
      </c>
      <c r="H1555" s="19">
        <f>Fact_Defect_Split!L260</f>
        <v>0</v>
      </c>
    </row>
    <row r="1556" spans="1:8" x14ac:dyDescent="0.25">
      <c r="A1556" s="18" t="s">
        <v>2537</v>
      </c>
      <c r="B1556" s="4">
        <f>Fact_Defect_Split!B261</f>
        <v>20260702</v>
      </c>
      <c r="C1556" s="4">
        <f>Fact_Defect_Split!C261</f>
        <v>13</v>
      </c>
      <c r="D1556" s="4" t="str">
        <f>Fact_Defect_Split!D261</f>
        <v>M1</v>
      </c>
      <c r="E1556" s="4" t="str">
        <f>Fact_Defect_Split!E261</f>
        <v>A-AM</v>
      </c>
      <c r="F1556" s="4" t="str">
        <f>Fact_Defect_Split!F261</f>
        <v>C</v>
      </c>
      <c r="G1556" s="4" t="s">
        <v>498</v>
      </c>
      <c r="H1556" s="19">
        <f>Fact_Defect_Split!G261</f>
        <v>0</v>
      </c>
    </row>
    <row r="1557" spans="1:8" x14ac:dyDescent="0.25">
      <c r="A1557" s="18" t="s">
        <v>2538</v>
      </c>
      <c r="B1557" s="4">
        <f>Fact_Defect_Split!B261</f>
        <v>20260702</v>
      </c>
      <c r="C1557" s="4">
        <f>Fact_Defect_Split!C261</f>
        <v>13</v>
      </c>
      <c r="D1557" s="4" t="str">
        <f>Fact_Defect_Split!D261</f>
        <v>M1</v>
      </c>
      <c r="E1557" s="4" t="str">
        <f>Fact_Defect_Split!E261</f>
        <v>A-AM</v>
      </c>
      <c r="F1557" s="4" t="str">
        <f>Fact_Defect_Split!F261</f>
        <v>C</v>
      </c>
      <c r="G1557" s="4" t="s">
        <v>500</v>
      </c>
      <c r="H1557" s="19">
        <f>Fact_Defect_Split!H261</f>
        <v>0</v>
      </c>
    </row>
    <row r="1558" spans="1:8" x14ac:dyDescent="0.25">
      <c r="A1558" s="18" t="s">
        <v>2539</v>
      </c>
      <c r="B1558" s="4">
        <f>Fact_Defect_Split!B261</f>
        <v>20260702</v>
      </c>
      <c r="C1558" s="4">
        <f>Fact_Defect_Split!C261</f>
        <v>13</v>
      </c>
      <c r="D1558" s="4" t="str">
        <f>Fact_Defect_Split!D261</f>
        <v>M1</v>
      </c>
      <c r="E1558" s="4" t="str">
        <f>Fact_Defect_Split!E261</f>
        <v>A-AM</v>
      </c>
      <c r="F1558" s="4" t="str">
        <f>Fact_Defect_Split!F261</f>
        <v>C</v>
      </c>
      <c r="G1558" s="4" t="s">
        <v>517</v>
      </c>
      <c r="H1558" s="19">
        <f>Fact_Defect_Split!I261</f>
        <v>0</v>
      </c>
    </row>
    <row r="1559" spans="1:8" x14ac:dyDescent="0.25">
      <c r="A1559" s="18" t="s">
        <v>2540</v>
      </c>
      <c r="B1559" s="4">
        <f>Fact_Defect_Split!B261</f>
        <v>20260702</v>
      </c>
      <c r="C1559" s="4">
        <f>Fact_Defect_Split!C261</f>
        <v>13</v>
      </c>
      <c r="D1559" s="4" t="str">
        <f>Fact_Defect_Split!D261</f>
        <v>M1</v>
      </c>
      <c r="E1559" s="4" t="str">
        <f>Fact_Defect_Split!E261</f>
        <v>A-AM</v>
      </c>
      <c r="F1559" s="4" t="str">
        <f>Fact_Defect_Split!F261</f>
        <v>C</v>
      </c>
      <c r="G1559" s="4" t="s">
        <v>503</v>
      </c>
      <c r="H1559" s="19">
        <f>Fact_Defect_Split!J261</f>
        <v>0</v>
      </c>
    </row>
    <row r="1560" spans="1:8" x14ac:dyDescent="0.25">
      <c r="A1560" s="18" t="s">
        <v>2541</v>
      </c>
      <c r="B1560" s="4">
        <f>Fact_Defect_Split!B261</f>
        <v>20260702</v>
      </c>
      <c r="C1560" s="4">
        <f>Fact_Defect_Split!C261</f>
        <v>13</v>
      </c>
      <c r="D1560" s="4" t="str">
        <f>Fact_Defect_Split!D261</f>
        <v>M1</v>
      </c>
      <c r="E1560" s="4" t="str">
        <f>Fact_Defect_Split!E261</f>
        <v>A-AM</v>
      </c>
      <c r="F1560" s="4" t="str">
        <f>Fact_Defect_Split!F261</f>
        <v>C</v>
      </c>
      <c r="G1560" s="4" t="s">
        <v>509</v>
      </c>
      <c r="H1560" s="19">
        <f>Fact_Defect_Split!K261</f>
        <v>1</v>
      </c>
    </row>
    <row r="1561" spans="1:8" x14ac:dyDescent="0.25">
      <c r="A1561" s="18" t="s">
        <v>2542</v>
      </c>
      <c r="B1561" s="4">
        <f>Fact_Defect_Split!B261</f>
        <v>20260702</v>
      </c>
      <c r="C1561" s="4">
        <f>Fact_Defect_Split!C261</f>
        <v>13</v>
      </c>
      <c r="D1561" s="4" t="str">
        <f>Fact_Defect_Split!D261</f>
        <v>M1</v>
      </c>
      <c r="E1561" s="4" t="str">
        <f>Fact_Defect_Split!E261</f>
        <v>A-AM</v>
      </c>
      <c r="F1561" s="4" t="str">
        <f>Fact_Defect_Split!F261</f>
        <v>C</v>
      </c>
      <c r="G1561" s="4" t="s">
        <v>520</v>
      </c>
      <c r="H1561" s="19">
        <f>Fact_Defect_Split!L261</f>
        <v>0</v>
      </c>
    </row>
    <row r="1562" spans="1:8" x14ac:dyDescent="0.25">
      <c r="A1562" s="18" t="s">
        <v>2543</v>
      </c>
      <c r="B1562" s="4">
        <f>Fact_Defect_Split!B262</f>
        <v>20260702</v>
      </c>
      <c r="C1562" s="4">
        <f>Fact_Defect_Split!C262</f>
        <v>13</v>
      </c>
      <c r="D1562" s="4" t="str">
        <f>Fact_Defect_Split!D262</f>
        <v>M2</v>
      </c>
      <c r="E1562" s="4" t="str">
        <f>Fact_Defect_Split!E262</f>
        <v>A-AM</v>
      </c>
      <c r="F1562" s="4" t="str">
        <f>Fact_Defect_Split!F262</f>
        <v>A</v>
      </c>
      <c r="G1562" s="4" t="s">
        <v>498</v>
      </c>
      <c r="H1562" s="19">
        <f>Fact_Defect_Split!G262</f>
        <v>0</v>
      </c>
    </row>
    <row r="1563" spans="1:8" x14ac:dyDescent="0.25">
      <c r="A1563" s="18" t="s">
        <v>2544</v>
      </c>
      <c r="B1563" s="4">
        <f>Fact_Defect_Split!B262</f>
        <v>20260702</v>
      </c>
      <c r="C1563" s="4">
        <f>Fact_Defect_Split!C262</f>
        <v>13</v>
      </c>
      <c r="D1563" s="4" t="str">
        <f>Fact_Defect_Split!D262</f>
        <v>M2</v>
      </c>
      <c r="E1563" s="4" t="str">
        <f>Fact_Defect_Split!E262</f>
        <v>A-AM</v>
      </c>
      <c r="F1563" s="4" t="str">
        <f>Fact_Defect_Split!F262</f>
        <v>A</v>
      </c>
      <c r="G1563" s="4" t="s">
        <v>500</v>
      </c>
      <c r="H1563" s="19">
        <f>Fact_Defect_Split!H262</f>
        <v>0</v>
      </c>
    </row>
    <row r="1564" spans="1:8" x14ac:dyDescent="0.25">
      <c r="A1564" s="18" t="s">
        <v>2545</v>
      </c>
      <c r="B1564" s="4">
        <f>Fact_Defect_Split!B262</f>
        <v>20260702</v>
      </c>
      <c r="C1564" s="4">
        <f>Fact_Defect_Split!C262</f>
        <v>13</v>
      </c>
      <c r="D1564" s="4" t="str">
        <f>Fact_Defect_Split!D262</f>
        <v>M2</v>
      </c>
      <c r="E1564" s="4" t="str">
        <f>Fact_Defect_Split!E262</f>
        <v>A-AM</v>
      </c>
      <c r="F1564" s="4" t="str">
        <f>Fact_Defect_Split!F262</f>
        <v>A</v>
      </c>
      <c r="G1564" s="4" t="s">
        <v>517</v>
      </c>
      <c r="H1564" s="19">
        <f>Fact_Defect_Split!I262</f>
        <v>0</v>
      </c>
    </row>
    <row r="1565" spans="1:8" x14ac:dyDescent="0.25">
      <c r="A1565" s="18" t="s">
        <v>2546</v>
      </c>
      <c r="B1565" s="4">
        <f>Fact_Defect_Split!B262</f>
        <v>20260702</v>
      </c>
      <c r="C1565" s="4">
        <f>Fact_Defect_Split!C262</f>
        <v>13</v>
      </c>
      <c r="D1565" s="4" t="str">
        <f>Fact_Defect_Split!D262</f>
        <v>M2</v>
      </c>
      <c r="E1565" s="4" t="str">
        <f>Fact_Defect_Split!E262</f>
        <v>A-AM</v>
      </c>
      <c r="F1565" s="4" t="str">
        <f>Fact_Defect_Split!F262</f>
        <v>A</v>
      </c>
      <c r="G1565" s="4" t="s">
        <v>503</v>
      </c>
      <c r="H1565" s="19">
        <f>Fact_Defect_Split!J262</f>
        <v>0</v>
      </c>
    </row>
    <row r="1566" spans="1:8" x14ac:dyDescent="0.25">
      <c r="A1566" s="18" t="s">
        <v>2547</v>
      </c>
      <c r="B1566" s="4">
        <f>Fact_Defect_Split!B262</f>
        <v>20260702</v>
      </c>
      <c r="C1566" s="4">
        <f>Fact_Defect_Split!C262</f>
        <v>13</v>
      </c>
      <c r="D1566" s="4" t="str">
        <f>Fact_Defect_Split!D262</f>
        <v>M2</v>
      </c>
      <c r="E1566" s="4" t="str">
        <f>Fact_Defect_Split!E262</f>
        <v>A-AM</v>
      </c>
      <c r="F1566" s="4" t="str">
        <f>Fact_Defect_Split!F262</f>
        <v>A</v>
      </c>
      <c r="G1566" s="4" t="s">
        <v>509</v>
      </c>
      <c r="H1566" s="19">
        <f>Fact_Defect_Split!K262</f>
        <v>0</v>
      </c>
    </row>
    <row r="1567" spans="1:8" x14ac:dyDescent="0.25">
      <c r="A1567" s="18" t="s">
        <v>2548</v>
      </c>
      <c r="B1567" s="4">
        <f>Fact_Defect_Split!B262</f>
        <v>20260702</v>
      </c>
      <c r="C1567" s="4">
        <f>Fact_Defect_Split!C262</f>
        <v>13</v>
      </c>
      <c r="D1567" s="4" t="str">
        <f>Fact_Defect_Split!D262</f>
        <v>M2</v>
      </c>
      <c r="E1567" s="4" t="str">
        <f>Fact_Defect_Split!E262</f>
        <v>A-AM</v>
      </c>
      <c r="F1567" s="4" t="str">
        <f>Fact_Defect_Split!F262</f>
        <v>A</v>
      </c>
      <c r="G1567" s="4" t="s">
        <v>520</v>
      </c>
      <c r="H1567" s="19">
        <f>Fact_Defect_Split!L262</f>
        <v>1</v>
      </c>
    </row>
    <row r="1568" spans="1:8" x14ac:dyDescent="0.25">
      <c r="A1568" s="18" t="s">
        <v>2549</v>
      </c>
      <c r="B1568" s="4">
        <f>Fact_Defect_Split!B263</f>
        <v>20260702</v>
      </c>
      <c r="C1568" s="4">
        <f>Fact_Defect_Split!C263</f>
        <v>13</v>
      </c>
      <c r="D1568" s="4" t="str">
        <f>Fact_Defect_Split!D263</f>
        <v>M3</v>
      </c>
      <c r="E1568" s="4" t="str">
        <f>Fact_Defect_Split!E263</f>
        <v>A-AM</v>
      </c>
      <c r="F1568" s="4" t="str">
        <f>Fact_Defect_Split!F263</f>
        <v>A</v>
      </c>
      <c r="G1568" s="4" t="s">
        <v>498</v>
      </c>
      <c r="H1568" s="19">
        <f>Fact_Defect_Split!G263</f>
        <v>0</v>
      </c>
    </row>
    <row r="1569" spans="1:8" x14ac:dyDescent="0.25">
      <c r="A1569" s="18" t="s">
        <v>2550</v>
      </c>
      <c r="B1569" s="4">
        <f>Fact_Defect_Split!B263</f>
        <v>20260702</v>
      </c>
      <c r="C1569" s="4">
        <f>Fact_Defect_Split!C263</f>
        <v>13</v>
      </c>
      <c r="D1569" s="4" t="str">
        <f>Fact_Defect_Split!D263</f>
        <v>M3</v>
      </c>
      <c r="E1569" s="4" t="str">
        <f>Fact_Defect_Split!E263</f>
        <v>A-AM</v>
      </c>
      <c r="F1569" s="4" t="str">
        <f>Fact_Defect_Split!F263</f>
        <v>A</v>
      </c>
      <c r="G1569" s="4" t="s">
        <v>500</v>
      </c>
      <c r="H1569" s="19">
        <f>Fact_Defect_Split!H263</f>
        <v>0</v>
      </c>
    </row>
    <row r="1570" spans="1:8" x14ac:dyDescent="0.25">
      <c r="A1570" s="18" t="s">
        <v>2551</v>
      </c>
      <c r="B1570" s="4">
        <f>Fact_Defect_Split!B263</f>
        <v>20260702</v>
      </c>
      <c r="C1570" s="4">
        <f>Fact_Defect_Split!C263</f>
        <v>13</v>
      </c>
      <c r="D1570" s="4" t="str">
        <f>Fact_Defect_Split!D263</f>
        <v>M3</v>
      </c>
      <c r="E1570" s="4" t="str">
        <f>Fact_Defect_Split!E263</f>
        <v>A-AM</v>
      </c>
      <c r="F1570" s="4" t="str">
        <f>Fact_Defect_Split!F263</f>
        <v>A</v>
      </c>
      <c r="G1570" s="4" t="s">
        <v>517</v>
      </c>
      <c r="H1570" s="19">
        <f>Fact_Defect_Split!I263</f>
        <v>0</v>
      </c>
    </row>
    <row r="1571" spans="1:8" x14ac:dyDescent="0.25">
      <c r="A1571" s="18" t="s">
        <v>2552</v>
      </c>
      <c r="B1571" s="4">
        <f>Fact_Defect_Split!B263</f>
        <v>20260702</v>
      </c>
      <c r="C1571" s="4">
        <f>Fact_Defect_Split!C263</f>
        <v>13</v>
      </c>
      <c r="D1571" s="4" t="str">
        <f>Fact_Defect_Split!D263</f>
        <v>M3</v>
      </c>
      <c r="E1571" s="4" t="str">
        <f>Fact_Defect_Split!E263</f>
        <v>A-AM</v>
      </c>
      <c r="F1571" s="4" t="str">
        <f>Fact_Defect_Split!F263</f>
        <v>A</v>
      </c>
      <c r="G1571" s="4" t="s">
        <v>503</v>
      </c>
      <c r="H1571" s="19">
        <f>Fact_Defect_Split!J263</f>
        <v>0</v>
      </c>
    </row>
    <row r="1572" spans="1:8" x14ac:dyDescent="0.25">
      <c r="A1572" s="18" t="s">
        <v>2553</v>
      </c>
      <c r="B1572" s="4">
        <f>Fact_Defect_Split!B263</f>
        <v>20260702</v>
      </c>
      <c r="C1572" s="4">
        <f>Fact_Defect_Split!C263</f>
        <v>13</v>
      </c>
      <c r="D1572" s="4" t="str">
        <f>Fact_Defect_Split!D263</f>
        <v>M3</v>
      </c>
      <c r="E1572" s="4" t="str">
        <f>Fact_Defect_Split!E263</f>
        <v>A-AM</v>
      </c>
      <c r="F1572" s="4" t="str">
        <f>Fact_Defect_Split!F263</f>
        <v>A</v>
      </c>
      <c r="G1572" s="4" t="s">
        <v>509</v>
      </c>
      <c r="H1572" s="19">
        <f>Fact_Defect_Split!K263</f>
        <v>1</v>
      </c>
    </row>
    <row r="1573" spans="1:8" x14ac:dyDescent="0.25">
      <c r="A1573" s="18" t="s">
        <v>2554</v>
      </c>
      <c r="B1573" s="4">
        <f>Fact_Defect_Split!B263</f>
        <v>20260702</v>
      </c>
      <c r="C1573" s="4">
        <f>Fact_Defect_Split!C263</f>
        <v>13</v>
      </c>
      <c r="D1573" s="4" t="str">
        <f>Fact_Defect_Split!D263</f>
        <v>M3</v>
      </c>
      <c r="E1573" s="4" t="str">
        <f>Fact_Defect_Split!E263</f>
        <v>A-AM</v>
      </c>
      <c r="F1573" s="4" t="str">
        <f>Fact_Defect_Split!F263</f>
        <v>A</v>
      </c>
      <c r="G1573" s="4" t="s">
        <v>520</v>
      </c>
      <c r="H1573" s="19">
        <f>Fact_Defect_Split!L263</f>
        <v>0</v>
      </c>
    </row>
    <row r="1574" spans="1:8" x14ac:dyDescent="0.25">
      <c r="A1574" s="18" t="s">
        <v>2555</v>
      </c>
      <c r="B1574" s="4">
        <f>Fact_Defect_Split!B264</f>
        <v>20260702</v>
      </c>
      <c r="C1574" s="4">
        <f>Fact_Defect_Split!C264</f>
        <v>13</v>
      </c>
      <c r="D1574" s="4" t="str">
        <f>Fact_Defect_Split!D264</f>
        <v>M4</v>
      </c>
      <c r="E1574" s="4" t="str">
        <f>Fact_Defect_Split!E264</f>
        <v>A-AM</v>
      </c>
      <c r="F1574" s="4" t="str">
        <f>Fact_Defect_Split!F264</f>
        <v>A</v>
      </c>
      <c r="G1574" s="4" t="s">
        <v>498</v>
      </c>
      <c r="H1574" s="19">
        <f>Fact_Defect_Split!G264</f>
        <v>0</v>
      </c>
    </row>
    <row r="1575" spans="1:8" x14ac:dyDescent="0.25">
      <c r="A1575" s="18" t="s">
        <v>2556</v>
      </c>
      <c r="B1575" s="4">
        <f>Fact_Defect_Split!B264</f>
        <v>20260702</v>
      </c>
      <c r="C1575" s="4">
        <f>Fact_Defect_Split!C264</f>
        <v>13</v>
      </c>
      <c r="D1575" s="4" t="str">
        <f>Fact_Defect_Split!D264</f>
        <v>M4</v>
      </c>
      <c r="E1575" s="4" t="str">
        <f>Fact_Defect_Split!E264</f>
        <v>A-AM</v>
      </c>
      <c r="F1575" s="4" t="str">
        <f>Fact_Defect_Split!F264</f>
        <v>A</v>
      </c>
      <c r="G1575" s="4" t="s">
        <v>500</v>
      </c>
      <c r="H1575" s="19">
        <f>Fact_Defect_Split!H264</f>
        <v>0</v>
      </c>
    </row>
    <row r="1576" spans="1:8" x14ac:dyDescent="0.25">
      <c r="A1576" s="18" t="s">
        <v>2557</v>
      </c>
      <c r="B1576" s="4">
        <f>Fact_Defect_Split!B264</f>
        <v>20260702</v>
      </c>
      <c r="C1576" s="4">
        <f>Fact_Defect_Split!C264</f>
        <v>13</v>
      </c>
      <c r="D1576" s="4" t="str">
        <f>Fact_Defect_Split!D264</f>
        <v>M4</v>
      </c>
      <c r="E1576" s="4" t="str">
        <f>Fact_Defect_Split!E264</f>
        <v>A-AM</v>
      </c>
      <c r="F1576" s="4" t="str">
        <f>Fact_Defect_Split!F264</f>
        <v>A</v>
      </c>
      <c r="G1576" s="4" t="s">
        <v>517</v>
      </c>
      <c r="H1576" s="19">
        <f>Fact_Defect_Split!I264</f>
        <v>0</v>
      </c>
    </row>
    <row r="1577" spans="1:8" x14ac:dyDescent="0.25">
      <c r="A1577" s="18" t="s">
        <v>2558</v>
      </c>
      <c r="B1577" s="4">
        <f>Fact_Defect_Split!B264</f>
        <v>20260702</v>
      </c>
      <c r="C1577" s="4">
        <f>Fact_Defect_Split!C264</f>
        <v>13</v>
      </c>
      <c r="D1577" s="4" t="str">
        <f>Fact_Defect_Split!D264</f>
        <v>M4</v>
      </c>
      <c r="E1577" s="4" t="str">
        <f>Fact_Defect_Split!E264</f>
        <v>A-AM</v>
      </c>
      <c r="F1577" s="4" t="str">
        <f>Fact_Defect_Split!F264</f>
        <v>A</v>
      </c>
      <c r="G1577" s="4" t="s">
        <v>503</v>
      </c>
      <c r="H1577" s="19">
        <f>Fact_Defect_Split!J264</f>
        <v>0</v>
      </c>
    </row>
    <row r="1578" spans="1:8" x14ac:dyDescent="0.25">
      <c r="A1578" s="18" t="s">
        <v>2559</v>
      </c>
      <c r="B1578" s="4">
        <f>Fact_Defect_Split!B264</f>
        <v>20260702</v>
      </c>
      <c r="C1578" s="4">
        <f>Fact_Defect_Split!C264</f>
        <v>13</v>
      </c>
      <c r="D1578" s="4" t="str">
        <f>Fact_Defect_Split!D264</f>
        <v>M4</v>
      </c>
      <c r="E1578" s="4" t="str">
        <f>Fact_Defect_Split!E264</f>
        <v>A-AM</v>
      </c>
      <c r="F1578" s="4" t="str">
        <f>Fact_Defect_Split!F264</f>
        <v>A</v>
      </c>
      <c r="G1578" s="4" t="s">
        <v>509</v>
      </c>
      <c r="H1578" s="19">
        <f>Fact_Defect_Split!K264</f>
        <v>0</v>
      </c>
    </row>
    <row r="1579" spans="1:8" x14ac:dyDescent="0.25">
      <c r="A1579" s="18" t="s">
        <v>2560</v>
      </c>
      <c r="B1579" s="4">
        <f>Fact_Defect_Split!B264</f>
        <v>20260702</v>
      </c>
      <c r="C1579" s="4">
        <f>Fact_Defect_Split!C264</f>
        <v>13</v>
      </c>
      <c r="D1579" s="4" t="str">
        <f>Fact_Defect_Split!D264</f>
        <v>M4</v>
      </c>
      <c r="E1579" s="4" t="str">
        <f>Fact_Defect_Split!E264</f>
        <v>A-AM</v>
      </c>
      <c r="F1579" s="4" t="str">
        <f>Fact_Defect_Split!F264</f>
        <v>A</v>
      </c>
      <c r="G1579" s="4" t="s">
        <v>520</v>
      </c>
      <c r="H1579" s="19">
        <f>Fact_Defect_Split!L264</f>
        <v>1</v>
      </c>
    </row>
    <row r="1580" spans="1:8" x14ac:dyDescent="0.25">
      <c r="A1580" s="18" t="s">
        <v>2561</v>
      </c>
      <c r="B1580" s="4">
        <f>Fact_Defect_Split!B265</f>
        <v>20260702</v>
      </c>
      <c r="C1580" s="4">
        <f>Fact_Defect_Split!C265</f>
        <v>13</v>
      </c>
      <c r="D1580" s="4" t="str">
        <f>Fact_Defect_Split!D265</f>
        <v>M5</v>
      </c>
      <c r="E1580" s="4" t="str">
        <f>Fact_Defect_Split!E265</f>
        <v>A-AM</v>
      </c>
      <c r="F1580" s="4" t="str">
        <f>Fact_Defect_Split!F265</f>
        <v>C</v>
      </c>
      <c r="G1580" s="4" t="s">
        <v>498</v>
      </c>
      <c r="H1580" s="19">
        <f>Fact_Defect_Split!G265</f>
        <v>0</v>
      </c>
    </row>
    <row r="1581" spans="1:8" x14ac:dyDescent="0.25">
      <c r="A1581" s="18" t="s">
        <v>2562</v>
      </c>
      <c r="B1581" s="4">
        <f>Fact_Defect_Split!B265</f>
        <v>20260702</v>
      </c>
      <c r="C1581" s="4">
        <f>Fact_Defect_Split!C265</f>
        <v>13</v>
      </c>
      <c r="D1581" s="4" t="str">
        <f>Fact_Defect_Split!D265</f>
        <v>M5</v>
      </c>
      <c r="E1581" s="4" t="str">
        <f>Fact_Defect_Split!E265</f>
        <v>A-AM</v>
      </c>
      <c r="F1581" s="4" t="str">
        <f>Fact_Defect_Split!F265</f>
        <v>C</v>
      </c>
      <c r="G1581" s="4" t="s">
        <v>500</v>
      </c>
      <c r="H1581" s="19">
        <f>Fact_Defect_Split!H265</f>
        <v>0</v>
      </c>
    </row>
    <row r="1582" spans="1:8" x14ac:dyDescent="0.25">
      <c r="A1582" s="18" t="s">
        <v>2563</v>
      </c>
      <c r="B1582" s="4">
        <f>Fact_Defect_Split!B265</f>
        <v>20260702</v>
      </c>
      <c r="C1582" s="4">
        <f>Fact_Defect_Split!C265</f>
        <v>13</v>
      </c>
      <c r="D1582" s="4" t="str">
        <f>Fact_Defect_Split!D265</f>
        <v>M5</v>
      </c>
      <c r="E1582" s="4" t="str">
        <f>Fact_Defect_Split!E265</f>
        <v>A-AM</v>
      </c>
      <c r="F1582" s="4" t="str">
        <f>Fact_Defect_Split!F265</f>
        <v>C</v>
      </c>
      <c r="G1582" s="4" t="s">
        <v>517</v>
      </c>
      <c r="H1582" s="19">
        <f>Fact_Defect_Split!I265</f>
        <v>1</v>
      </c>
    </row>
    <row r="1583" spans="1:8" x14ac:dyDescent="0.25">
      <c r="A1583" s="18" t="s">
        <v>2564</v>
      </c>
      <c r="B1583" s="4">
        <f>Fact_Defect_Split!B265</f>
        <v>20260702</v>
      </c>
      <c r="C1583" s="4">
        <f>Fact_Defect_Split!C265</f>
        <v>13</v>
      </c>
      <c r="D1583" s="4" t="str">
        <f>Fact_Defect_Split!D265</f>
        <v>M5</v>
      </c>
      <c r="E1583" s="4" t="str">
        <f>Fact_Defect_Split!E265</f>
        <v>A-AM</v>
      </c>
      <c r="F1583" s="4" t="str">
        <f>Fact_Defect_Split!F265</f>
        <v>C</v>
      </c>
      <c r="G1583" s="4" t="s">
        <v>503</v>
      </c>
      <c r="H1583" s="19">
        <f>Fact_Defect_Split!J265</f>
        <v>0</v>
      </c>
    </row>
    <row r="1584" spans="1:8" x14ac:dyDescent="0.25">
      <c r="A1584" s="18" t="s">
        <v>2565</v>
      </c>
      <c r="B1584" s="4">
        <f>Fact_Defect_Split!B265</f>
        <v>20260702</v>
      </c>
      <c r="C1584" s="4">
        <f>Fact_Defect_Split!C265</f>
        <v>13</v>
      </c>
      <c r="D1584" s="4" t="str">
        <f>Fact_Defect_Split!D265</f>
        <v>M5</v>
      </c>
      <c r="E1584" s="4" t="str">
        <f>Fact_Defect_Split!E265</f>
        <v>A-AM</v>
      </c>
      <c r="F1584" s="4" t="str">
        <f>Fact_Defect_Split!F265</f>
        <v>C</v>
      </c>
      <c r="G1584" s="4" t="s">
        <v>509</v>
      </c>
      <c r="H1584" s="19">
        <f>Fact_Defect_Split!K265</f>
        <v>1</v>
      </c>
    </row>
    <row r="1585" spans="1:8" x14ac:dyDescent="0.25">
      <c r="A1585" s="18" t="s">
        <v>2566</v>
      </c>
      <c r="B1585" s="4">
        <f>Fact_Defect_Split!B265</f>
        <v>20260702</v>
      </c>
      <c r="C1585" s="4">
        <f>Fact_Defect_Split!C265</f>
        <v>13</v>
      </c>
      <c r="D1585" s="4" t="str">
        <f>Fact_Defect_Split!D265</f>
        <v>M5</v>
      </c>
      <c r="E1585" s="4" t="str">
        <f>Fact_Defect_Split!E265</f>
        <v>A-AM</v>
      </c>
      <c r="F1585" s="4" t="str">
        <f>Fact_Defect_Split!F265</f>
        <v>C</v>
      </c>
      <c r="G1585" s="4" t="s">
        <v>520</v>
      </c>
      <c r="H1585" s="19">
        <f>Fact_Defect_Split!L265</f>
        <v>0</v>
      </c>
    </row>
    <row r="1586" spans="1:8" x14ac:dyDescent="0.25">
      <c r="A1586" s="18" t="s">
        <v>2567</v>
      </c>
      <c r="B1586" s="4">
        <f>Fact_Defect_Split!B266</f>
        <v>20260702</v>
      </c>
      <c r="C1586" s="4">
        <f>Fact_Defect_Split!C266</f>
        <v>13</v>
      </c>
      <c r="D1586" s="4" t="str">
        <f>Fact_Defect_Split!D266</f>
        <v>M6</v>
      </c>
      <c r="E1586" s="4" t="str">
        <f>Fact_Defect_Split!E266</f>
        <v>A-AM</v>
      </c>
      <c r="F1586" s="4" t="str">
        <f>Fact_Defect_Split!F266</f>
        <v>C</v>
      </c>
      <c r="G1586" s="4" t="s">
        <v>498</v>
      </c>
      <c r="H1586" s="19">
        <f>Fact_Defect_Split!G266</f>
        <v>0</v>
      </c>
    </row>
    <row r="1587" spans="1:8" x14ac:dyDescent="0.25">
      <c r="A1587" s="18" t="s">
        <v>2568</v>
      </c>
      <c r="B1587" s="4">
        <f>Fact_Defect_Split!B266</f>
        <v>20260702</v>
      </c>
      <c r="C1587" s="4">
        <f>Fact_Defect_Split!C266</f>
        <v>13</v>
      </c>
      <c r="D1587" s="4" t="str">
        <f>Fact_Defect_Split!D266</f>
        <v>M6</v>
      </c>
      <c r="E1587" s="4" t="str">
        <f>Fact_Defect_Split!E266</f>
        <v>A-AM</v>
      </c>
      <c r="F1587" s="4" t="str">
        <f>Fact_Defect_Split!F266</f>
        <v>C</v>
      </c>
      <c r="G1587" s="4" t="s">
        <v>500</v>
      </c>
      <c r="H1587" s="19">
        <f>Fact_Defect_Split!H266</f>
        <v>0</v>
      </c>
    </row>
    <row r="1588" spans="1:8" x14ac:dyDescent="0.25">
      <c r="A1588" s="18" t="s">
        <v>2569</v>
      </c>
      <c r="B1588" s="4">
        <f>Fact_Defect_Split!B266</f>
        <v>20260702</v>
      </c>
      <c r="C1588" s="4">
        <f>Fact_Defect_Split!C266</f>
        <v>13</v>
      </c>
      <c r="D1588" s="4" t="str">
        <f>Fact_Defect_Split!D266</f>
        <v>M6</v>
      </c>
      <c r="E1588" s="4" t="str">
        <f>Fact_Defect_Split!E266</f>
        <v>A-AM</v>
      </c>
      <c r="F1588" s="4" t="str">
        <f>Fact_Defect_Split!F266</f>
        <v>C</v>
      </c>
      <c r="G1588" s="4" t="s">
        <v>517</v>
      </c>
      <c r="H1588" s="19">
        <f>Fact_Defect_Split!I266</f>
        <v>0</v>
      </c>
    </row>
    <row r="1589" spans="1:8" x14ac:dyDescent="0.25">
      <c r="A1589" s="18" t="s">
        <v>2570</v>
      </c>
      <c r="B1589" s="4">
        <f>Fact_Defect_Split!B266</f>
        <v>20260702</v>
      </c>
      <c r="C1589" s="4">
        <f>Fact_Defect_Split!C266</f>
        <v>13</v>
      </c>
      <c r="D1589" s="4" t="str">
        <f>Fact_Defect_Split!D266</f>
        <v>M6</v>
      </c>
      <c r="E1589" s="4" t="str">
        <f>Fact_Defect_Split!E266</f>
        <v>A-AM</v>
      </c>
      <c r="F1589" s="4" t="str">
        <f>Fact_Defect_Split!F266</f>
        <v>C</v>
      </c>
      <c r="G1589" s="4" t="s">
        <v>503</v>
      </c>
      <c r="H1589" s="19">
        <f>Fact_Defect_Split!J266</f>
        <v>0</v>
      </c>
    </row>
    <row r="1590" spans="1:8" x14ac:dyDescent="0.25">
      <c r="A1590" s="18" t="s">
        <v>2571</v>
      </c>
      <c r="B1590" s="4">
        <f>Fact_Defect_Split!B266</f>
        <v>20260702</v>
      </c>
      <c r="C1590" s="4">
        <f>Fact_Defect_Split!C266</f>
        <v>13</v>
      </c>
      <c r="D1590" s="4" t="str">
        <f>Fact_Defect_Split!D266</f>
        <v>M6</v>
      </c>
      <c r="E1590" s="4" t="str">
        <f>Fact_Defect_Split!E266</f>
        <v>A-AM</v>
      </c>
      <c r="F1590" s="4" t="str">
        <f>Fact_Defect_Split!F266</f>
        <v>C</v>
      </c>
      <c r="G1590" s="4" t="s">
        <v>509</v>
      </c>
      <c r="H1590" s="19">
        <f>Fact_Defect_Split!K266</f>
        <v>1</v>
      </c>
    </row>
    <row r="1591" spans="1:8" x14ac:dyDescent="0.25">
      <c r="A1591" s="18" t="s">
        <v>2572</v>
      </c>
      <c r="B1591" s="4">
        <f>Fact_Defect_Split!B266</f>
        <v>20260702</v>
      </c>
      <c r="C1591" s="4">
        <f>Fact_Defect_Split!C266</f>
        <v>13</v>
      </c>
      <c r="D1591" s="4" t="str">
        <f>Fact_Defect_Split!D266</f>
        <v>M6</v>
      </c>
      <c r="E1591" s="4" t="str">
        <f>Fact_Defect_Split!E266</f>
        <v>A-AM</v>
      </c>
      <c r="F1591" s="4" t="str">
        <f>Fact_Defect_Split!F266</f>
        <v>C</v>
      </c>
      <c r="G1591" s="4" t="s">
        <v>520</v>
      </c>
      <c r="H1591" s="19">
        <f>Fact_Defect_Split!L266</f>
        <v>0</v>
      </c>
    </row>
    <row r="1592" spans="1:8" x14ac:dyDescent="0.25">
      <c r="A1592" s="18" t="s">
        <v>2573</v>
      </c>
      <c r="B1592" s="4">
        <f>Fact_Defect_Split!B267</f>
        <v>20260702</v>
      </c>
      <c r="C1592" s="4">
        <f>Fact_Defect_Split!C267</f>
        <v>13</v>
      </c>
      <c r="D1592" s="4" t="str">
        <f>Fact_Defect_Split!D267</f>
        <v>M7</v>
      </c>
      <c r="E1592" s="4" t="str">
        <f>Fact_Defect_Split!E267</f>
        <v>A-AM</v>
      </c>
      <c r="F1592" s="4" t="str">
        <f>Fact_Defect_Split!F267</f>
        <v>C</v>
      </c>
      <c r="G1592" s="4" t="s">
        <v>498</v>
      </c>
      <c r="H1592" s="19">
        <f>Fact_Defect_Split!G267</f>
        <v>0</v>
      </c>
    </row>
    <row r="1593" spans="1:8" x14ac:dyDescent="0.25">
      <c r="A1593" s="18" t="s">
        <v>2574</v>
      </c>
      <c r="B1593" s="4">
        <f>Fact_Defect_Split!B267</f>
        <v>20260702</v>
      </c>
      <c r="C1593" s="4">
        <f>Fact_Defect_Split!C267</f>
        <v>13</v>
      </c>
      <c r="D1593" s="4" t="str">
        <f>Fact_Defect_Split!D267</f>
        <v>M7</v>
      </c>
      <c r="E1593" s="4" t="str">
        <f>Fact_Defect_Split!E267</f>
        <v>A-AM</v>
      </c>
      <c r="F1593" s="4" t="str">
        <f>Fact_Defect_Split!F267</f>
        <v>C</v>
      </c>
      <c r="G1593" s="4" t="s">
        <v>500</v>
      </c>
      <c r="H1593" s="19">
        <f>Fact_Defect_Split!H267</f>
        <v>0</v>
      </c>
    </row>
    <row r="1594" spans="1:8" x14ac:dyDescent="0.25">
      <c r="A1594" s="18" t="s">
        <v>2575</v>
      </c>
      <c r="B1594" s="4">
        <f>Fact_Defect_Split!B267</f>
        <v>20260702</v>
      </c>
      <c r="C1594" s="4">
        <f>Fact_Defect_Split!C267</f>
        <v>13</v>
      </c>
      <c r="D1594" s="4" t="str">
        <f>Fact_Defect_Split!D267</f>
        <v>M7</v>
      </c>
      <c r="E1594" s="4" t="str">
        <f>Fact_Defect_Split!E267</f>
        <v>A-AM</v>
      </c>
      <c r="F1594" s="4" t="str">
        <f>Fact_Defect_Split!F267</f>
        <v>C</v>
      </c>
      <c r="G1594" s="4" t="s">
        <v>517</v>
      </c>
      <c r="H1594" s="19">
        <f>Fact_Defect_Split!I267</f>
        <v>1</v>
      </c>
    </row>
    <row r="1595" spans="1:8" x14ac:dyDescent="0.25">
      <c r="A1595" s="18" t="s">
        <v>2576</v>
      </c>
      <c r="B1595" s="4">
        <f>Fact_Defect_Split!B267</f>
        <v>20260702</v>
      </c>
      <c r="C1595" s="4">
        <f>Fact_Defect_Split!C267</f>
        <v>13</v>
      </c>
      <c r="D1595" s="4" t="str">
        <f>Fact_Defect_Split!D267</f>
        <v>M7</v>
      </c>
      <c r="E1595" s="4" t="str">
        <f>Fact_Defect_Split!E267</f>
        <v>A-AM</v>
      </c>
      <c r="F1595" s="4" t="str">
        <f>Fact_Defect_Split!F267</f>
        <v>C</v>
      </c>
      <c r="G1595" s="4" t="s">
        <v>503</v>
      </c>
      <c r="H1595" s="19">
        <f>Fact_Defect_Split!J267</f>
        <v>0</v>
      </c>
    </row>
    <row r="1596" spans="1:8" x14ac:dyDescent="0.25">
      <c r="A1596" s="18" t="s">
        <v>2577</v>
      </c>
      <c r="B1596" s="4">
        <f>Fact_Defect_Split!B267</f>
        <v>20260702</v>
      </c>
      <c r="C1596" s="4">
        <f>Fact_Defect_Split!C267</f>
        <v>13</v>
      </c>
      <c r="D1596" s="4" t="str">
        <f>Fact_Defect_Split!D267</f>
        <v>M7</v>
      </c>
      <c r="E1596" s="4" t="str">
        <f>Fact_Defect_Split!E267</f>
        <v>A-AM</v>
      </c>
      <c r="F1596" s="4" t="str">
        <f>Fact_Defect_Split!F267</f>
        <v>C</v>
      </c>
      <c r="G1596" s="4" t="s">
        <v>509</v>
      </c>
      <c r="H1596" s="19">
        <f>Fact_Defect_Split!K267</f>
        <v>0</v>
      </c>
    </row>
    <row r="1597" spans="1:8" x14ac:dyDescent="0.25">
      <c r="A1597" s="18" t="s">
        <v>2578</v>
      </c>
      <c r="B1597" s="4">
        <f>Fact_Defect_Split!B267</f>
        <v>20260702</v>
      </c>
      <c r="C1597" s="4">
        <f>Fact_Defect_Split!C267</f>
        <v>13</v>
      </c>
      <c r="D1597" s="4" t="str">
        <f>Fact_Defect_Split!D267</f>
        <v>M7</v>
      </c>
      <c r="E1597" s="4" t="str">
        <f>Fact_Defect_Split!E267</f>
        <v>A-AM</v>
      </c>
      <c r="F1597" s="4" t="str">
        <f>Fact_Defect_Split!F267</f>
        <v>C</v>
      </c>
      <c r="G1597" s="4" t="s">
        <v>520</v>
      </c>
      <c r="H1597" s="19">
        <f>Fact_Defect_Split!L267</f>
        <v>1</v>
      </c>
    </row>
    <row r="1598" spans="1:8" x14ac:dyDescent="0.25">
      <c r="A1598" s="18" t="s">
        <v>2579</v>
      </c>
      <c r="B1598" s="4">
        <f>Fact_Defect_Split!B268</f>
        <v>20260702</v>
      </c>
      <c r="C1598" s="4">
        <f>Fact_Defect_Split!C268</f>
        <v>14</v>
      </c>
      <c r="D1598" s="4" t="str">
        <f>Fact_Defect_Split!D268</f>
        <v>M1</v>
      </c>
      <c r="E1598" s="4" t="str">
        <f>Fact_Defect_Split!E268</f>
        <v>A-AM</v>
      </c>
      <c r="F1598" s="4" t="str">
        <f>Fact_Defect_Split!F268</f>
        <v>C</v>
      </c>
      <c r="G1598" s="4" t="s">
        <v>498</v>
      </c>
      <c r="H1598" s="19">
        <f>Fact_Defect_Split!G268</f>
        <v>0</v>
      </c>
    </row>
    <row r="1599" spans="1:8" x14ac:dyDescent="0.25">
      <c r="A1599" s="18" t="s">
        <v>2580</v>
      </c>
      <c r="B1599" s="4">
        <f>Fact_Defect_Split!B268</f>
        <v>20260702</v>
      </c>
      <c r="C1599" s="4">
        <f>Fact_Defect_Split!C268</f>
        <v>14</v>
      </c>
      <c r="D1599" s="4" t="str">
        <f>Fact_Defect_Split!D268</f>
        <v>M1</v>
      </c>
      <c r="E1599" s="4" t="str">
        <f>Fact_Defect_Split!E268</f>
        <v>A-AM</v>
      </c>
      <c r="F1599" s="4" t="str">
        <f>Fact_Defect_Split!F268</f>
        <v>C</v>
      </c>
      <c r="G1599" s="4" t="s">
        <v>500</v>
      </c>
      <c r="H1599" s="19">
        <f>Fact_Defect_Split!H268</f>
        <v>0</v>
      </c>
    </row>
    <row r="1600" spans="1:8" x14ac:dyDescent="0.25">
      <c r="A1600" s="18" t="s">
        <v>2581</v>
      </c>
      <c r="B1600" s="4">
        <f>Fact_Defect_Split!B268</f>
        <v>20260702</v>
      </c>
      <c r="C1600" s="4">
        <f>Fact_Defect_Split!C268</f>
        <v>14</v>
      </c>
      <c r="D1600" s="4" t="str">
        <f>Fact_Defect_Split!D268</f>
        <v>M1</v>
      </c>
      <c r="E1600" s="4" t="str">
        <f>Fact_Defect_Split!E268</f>
        <v>A-AM</v>
      </c>
      <c r="F1600" s="4" t="str">
        <f>Fact_Defect_Split!F268</f>
        <v>C</v>
      </c>
      <c r="G1600" s="4" t="s">
        <v>517</v>
      </c>
      <c r="H1600" s="19">
        <f>Fact_Defect_Split!I268</f>
        <v>0</v>
      </c>
    </row>
    <row r="1601" spans="1:8" x14ac:dyDescent="0.25">
      <c r="A1601" s="18" t="s">
        <v>2582</v>
      </c>
      <c r="B1601" s="4">
        <f>Fact_Defect_Split!B268</f>
        <v>20260702</v>
      </c>
      <c r="C1601" s="4">
        <f>Fact_Defect_Split!C268</f>
        <v>14</v>
      </c>
      <c r="D1601" s="4" t="str">
        <f>Fact_Defect_Split!D268</f>
        <v>M1</v>
      </c>
      <c r="E1601" s="4" t="str">
        <f>Fact_Defect_Split!E268</f>
        <v>A-AM</v>
      </c>
      <c r="F1601" s="4" t="str">
        <f>Fact_Defect_Split!F268</f>
        <v>C</v>
      </c>
      <c r="G1601" s="4" t="s">
        <v>503</v>
      </c>
      <c r="H1601" s="19">
        <f>Fact_Defect_Split!J268</f>
        <v>0</v>
      </c>
    </row>
    <row r="1602" spans="1:8" x14ac:dyDescent="0.25">
      <c r="A1602" s="18" t="s">
        <v>2583</v>
      </c>
      <c r="B1602" s="4">
        <f>Fact_Defect_Split!B268</f>
        <v>20260702</v>
      </c>
      <c r="C1602" s="4">
        <f>Fact_Defect_Split!C268</f>
        <v>14</v>
      </c>
      <c r="D1602" s="4" t="str">
        <f>Fact_Defect_Split!D268</f>
        <v>M1</v>
      </c>
      <c r="E1602" s="4" t="str">
        <f>Fact_Defect_Split!E268</f>
        <v>A-AM</v>
      </c>
      <c r="F1602" s="4" t="str">
        <f>Fact_Defect_Split!F268</f>
        <v>C</v>
      </c>
      <c r="G1602" s="4" t="s">
        <v>509</v>
      </c>
      <c r="H1602" s="19">
        <f>Fact_Defect_Split!K268</f>
        <v>1</v>
      </c>
    </row>
    <row r="1603" spans="1:8" x14ac:dyDescent="0.25">
      <c r="A1603" s="18" t="s">
        <v>2584</v>
      </c>
      <c r="B1603" s="4">
        <f>Fact_Defect_Split!B268</f>
        <v>20260702</v>
      </c>
      <c r="C1603" s="4">
        <f>Fact_Defect_Split!C268</f>
        <v>14</v>
      </c>
      <c r="D1603" s="4" t="str">
        <f>Fact_Defect_Split!D268</f>
        <v>M1</v>
      </c>
      <c r="E1603" s="4" t="str">
        <f>Fact_Defect_Split!E268</f>
        <v>A-AM</v>
      </c>
      <c r="F1603" s="4" t="str">
        <f>Fact_Defect_Split!F268</f>
        <v>C</v>
      </c>
      <c r="G1603" s="4" t="s">
        <v>520</v>
      </c>
      <c r="H1603" s="19">
        <f>Fact_Defect_Split!L268</f>
        <v>0</v>
      </c>
    </row>
    <row r="1604" spans="1:8" x14ac:dyDescent="0.25">
      <c r="A1604" s="18" t="s">
        <v>2585</v>
      </c>
      <c r="B1604" s="4">
        <f>Fact_Defect_Split!B269</f>
        <v>20260702</v>
      </c>
      <c r="C1604" s="4">
        <f>Fact_Defect_Split!C269</f>
        <v>14</v>
      </c>
      <c r="D1604" s="4" t="str">
        <f>Fact_Defect_Split!D269</f>
        <v>M2</v>
      </c>
      <c r="E1604" s="4" t="str">
        <f>Fact_Defect_Split!E269</f>
        <v>A-AM</v>
      </c>
      <c r="F1604" s="4" t="str">
        <f>Fact_Defect_Split!F269</f>
        <v>A</v>
      </c>
      <c r="G1604" s="4" t="s">
        <v>498</v>
      </c>
      <c r="H1604" s="19">
        <f>Fact_Defect_Split!G269</f>
        <v>0</v>
      </c>
    </row>
    <row r="1605" spans="1:8" x14ac:dyDescent="0.25">
      <c r="A1605" s="18" t="s">
        <v>2586</v>
      </c>
      <c r="B1605" s="4">
        <f>Fact_Defect_Split!B269</f>
        <v>20260702</v>
      </c>
      <c r="C1605" s="4">
        <f>Fact_Defect_Split!C269</f>
        <v>14</v>
      </c>
      <c r="D1605" s="4" t="str">
        <f>Fact_Defect_Split!D269</f>
        <v>M2</v>
      </c>
      <c r="E1605" s="4" t="str">
        <f>Fact_Defect_Split!E269</f>
        <v>A-AM</v>
      </c>
      <c r="F1605" s="4" t="str">
        <f>Fact_Defect_Split!F269</f>
        <v>A</v>
      </c>
      <c r="G1605" s="4" t="s">
        <v>500</v>
      </c>
      <c r="H1605" s="19">
        <f>Fact_Defect_Split!H269</f>
        <v>0</v>
      </c>
    </row>
    <row r="1606" spans="1:8" x14ac:dyDescent="0.25">
      <c r="A1606" s="18" t="s">
        <v>2587</v>
      </c>
      <c r="B1606" s="4">
        <f>Fact_Defect_Split!B269</f>
        <v>20260702</v>
      </c>
      <c r="C1606" s="4">
        <f>Fact_Defect_Split!C269</f>
        <v>14</v>
      </c>
      <c r="D1606" s="4" t="str">
        <f>Fact_Defect_Split!D269</f>
        <v>M2</v>
      </c>
      <c r="E1606" s="4" t="str">
        <f>Fact_Defect_Split!E269</f>
        <v>A-AM</v>
      </c>
      <c r="F1606" s="4" t="str">
        <f>Fact_Defect_Split!F269</f>
        <v>A</v>
      </c>
      <c r="G1606" s="4" t="s">
        <v>517</v>
      </c>
      <c r="H1606" s="19">
        <f>Fact_Defect_Split!I269</f>
        <v>0</v>
      </c>
    </row>
    <row r="1607" spans="1:8" x14ac:dyDescent="0.25">
      <c r="A1607" s="18" t="s">
        <v>2588</v>
      </c>
      <c r="B1607" s="4">
        <f>Fact_Defect_Split!B269</f>
        <v>20260702</v>
      </c>
      <c r="C1607" s="4">
        <f>Fact_Defect_Split!C269</f>
        <v>14</v>
      </c>
      <c r="D1607" s="4" t="str">
        <f>Fact_Defect_Split!D269</f>
        <v>M2</v>
      </c>
      <c r="E1607" s="4" t="str">
        <f>Fact_Defect_Split!E269</f>
        <v>A-AM</v>
      </c>
      <c r="F1607" s="4" t="str">
        <f>Fact_Defect_Split!F269</f>
        <v>A</v>
      </c>
      <c r="G1607" s="4" t="s">
        <v>503</v>
      </c>
      <c r="H1607" s="19">
        <f>Fact_Defect_Split!J269</f>
        <v>0</v>
      </c>
    </row>
    <row r="1608" spans="1:8" x14ac:dyDescent="0.25">
      <c r="A1608" s="18" t="s">
        <v>2589</v>
      </c>
      <c r="B1608" s="4">
        <f>Fact_Defect_Split!B269</f>
        <v>20260702</v>
      </c>
      <c r="C1608" s="4">
        <f>Fact_Defect_Split!C269</f>
        <v>14</v>
      </c>
      <c r="D1608" s="4" t="str">
        <f>Fact_Defect_Split!D269</f>
        <v>M2</v>
      </c>
      <c r="E1608" s="4" t="str">
        <f>Fact_Defect_Split!E269</f>
        <v>A-AM</v>
      </c>
      <c r="F1608" s="4" t="str">
        <f>Fact_Defect_Split!F269</f>
        <v>A</v>
      </c>
      <c r="G1608" s="4" t="s">
        <v>509</v>
      </c>
      <c r="H1608" s="19">
        <f>Fact_Defect_Split!K269</f>
        <v>1</v>
      </c>
    </row>
    <row r="1609" spans="1:8" x14ac:dyDescent="0.25">
      <c r="A1609" s="18" t="s">
        <v>2590</v>
      </c>
      <c r="B1609" s="4">
        <f>Fact_Defect_Split!B269</f>
        <v>20260702</v>
      </c>
      <c r="C1609" s="4">
        <f>Fact_Defect_Split!C269</f>
        <v>14</v>
      </c>
      <c r="D1609" s="4" t="str">
        <f>Fact_Defect_Split!D269</f>
        <v>M2</v>
      </c>
      <c r="E1609" s="4" t="str">
        <f>Fact_Defect_Split!E269</f>
        <v>A-AM</v>
      </c>
      <c r="F1609" s="4" t="str">
        <f>Fact_Defect_Split!F269</f>
        <v>A</v>
      </c>
      <c r="G1609" s="4" t="s">
        <v>520</v>
      </c>
      <c r="H1609" s="19">
        <f>Fact_Defect_Split!L269</f>
        <v>0</v>
      </c>
    </row>
    <row r="1610" spans="1:8" x14ac:dyDescent="0.25">
      <c r="A1610" s="18" t="s">
        <v>2591</v>
      </c>
      <c r="B1610" s="4">
        <f>Fact_Defect_Split!B270</f>
        <v>20260702</v>
      </c>
      <c r="C1610" s="4">
        <f>Fact_Defect_Split!C270</f>
        <v>14</v>
      </c>
      <c r="D1610" s="4" t="str">
        <f>Fact_Defect_Split!D270</f>
        <v>M3</v>
      </c>
      <c r="E1610" s="4" t="str">
        <f>Fact_Defect_Split!E270</f>
        <v>A-AM</v>
      </c>
      <c r="F1610" s="4" t="str">
        <f>Fact_Defect_Split!F270</f>
        <v>A</v>
      </c>
      <c r="G1610" s="4" t="s">
        <v>498</v>
      </c>
      <c r="H1610" s="19">
        <f>Fact_Defect_Split!G270</f>
        <v>0</v>
      </c>
    </row>
    <row r="1611" spans="1:8" x14ac:dyDescent="0.25">
      <c r="A1611" s="18" t="s">
        <v>2592</v>
      </c>
      <c r="B1611" s="4">
        <f>Fact_Defect_Split!B270</f>
        <v>20260702</v>
      </c>
      <c r="C1611" s="4">
        <f>Fact_Defect_Split!C270</f>
        <v>14</v>
      </c>
      <c r="D1611" s="4" t="str">
        <f>Fact_Defect_Split!D270</f>
        <v>M3</v>
      </c>
      <c r="E1611" s="4" t="str">
        <f>Fact_Defect_Split!E270</f>
        <v>A-AM</v>
      </c>
      <c r="F1611" s="4" t="str">
        <f>Fact_Defect_Split!F270</f>
        <v>A</v>
      </c>
      <c r="G1611" s="4" t="s">
        <v>500</v>
      </c>
      <c r="H1611" s="19">
        <f>Fact_Defect_Split!H270</f>
        <v>0</v>
      </c>
    </row>
    <row r="1612" spans="1:8" x14ac:dyDescent="0.25">
      <c r="A1612" s="18" t="s">
        <v>2593</v>
      </c>
      <c r="B1612" s="4">
        <f>Fact_Defect_Split!B270</f>
        <v>20260702</v>
      </c>
      <c r="C1612" s="4">
        <f>Fact_Defect_Split!C270</f>
        <v>14</v>
      </c>
      <c r="D1612" s="4" t="str">
        <f>Fact_Defect_Split!D270</f>
        <v>M3</v>
      </c>
      <c r="E1612" s="4" t="str">
        <f>Fact_Defect_Split!E270</f>
        <v>A-AM</v>
      </c>
      <c r="F1612" s="4" t="str">
        <f>Fact_Defect_Split!F270</f>
        <v>A</v>
      </c>
      <c r="G1612" s="4" t="s">
        <v>517</v>
      </c>
      <c r="H1612" s="19">
        <f>Fact_Defect_Split!I270</f>
        <v>0</v>
      </c>
    </row>
    <row r="1613" spans="1:8" x14ac:dyDescent="0.25">
      <c r="A1613" s="18" t="s">
        <v>2594</v>
      </c>
      <c r="B1613" s="4">
        <f>Fact_Defect_Split!B270</f>
        <v>20260702</v>
      </c>
      <c r="C1613" s="4">
        <f>Fact_Defect_Split!C270</f>
        <v>14</v>
      </c>
      <c r="D1613" s="4" t="str">
        <f>Fact_Defect_Split!D270</f>
        <v>M3</v>
      </c>
      <c r="E1613" s="4" t="str">
        <f>Fact_Defect_Split!E270</f>
        <v>A-AM</v>
      </c>
      <c r="F1613" s="4" t="str">
        <f>Fact_Defect_Split!F270</f>
        <v>A</v>
      </c>
      <c r="G1613" s="4" t="s">
        <v>503</v>
      </c>
      <c r="H1613" s="19">
        <f>Fact_Defect_Split!J270</f>
        <v>0</v>
      </c>
    </row>
    <row r="1614" spans="1:8" x14ac:dyDescent="0.25">
      <c r="A1614" s="18" t="s">
        <v>2595</v>
      </c>
      <c r="B1614" s="4">
        <f>Fact_Defect_Split!B270</f>
        <v>20260702</v>
      </c>
      <c r="C1614" s="4">
        <f>Fact_Defect_Split!C270</f>
        <v>14</v>
      </c>
      <c r="D1614" s="4" t="str">
        <f>Fact_Defect_Split!D270</f>
        <v>M3</v>
      </c>
      <c r="E1614" s="4" t="str">
        <f>Fact_Defect_Split!E270</f>
        <v>A-AM</v>
      </c>
      <c r="F1614" s="4" t="str">
        <f>Fact_Defect_Split!F270</f>
        <v>A</v>
      </c>
      <c r="G1614" s="4" t="s">
        <v>509</v>
      </c>
      <c r="H1614" s="19">
        <f>Fact_Defect_Split!K270</f>
        <v>0</v>
      </c>
    </row>
    <row r="1615" spans="1:8" x14ac:dyDescent="0.25">
      <c r="A1615" s="18" t="s">
        <v>2596</v>
      </c>
      <c r="B1615" s="4">
        <f>Fact_Defect_Split!B270</f>
        <v>20260702</v>
      </c>
      <c r="C1615" s="4">
        <f>Fact_Defect_Split!C270</f>
        <v>14</v>
      </c>
      <c r="D1615" s="4" t="str">
        <f>Fact_Defect_Split!D270</f>
        <v>M3</v>
      </c>
      <c r="E1615" s="4" t="str">
        <f>Fact_Defect_Split!E270</f>
        <v>A-AM</v>
      </c>
      <c r="F1615" s="4" t="str">
        <f>Fact_Defect_Split!F270</f>
        <v>A</v>
      </c>
      <c r="G1615" s="4" t="s">
        <v>520</v>
      </c>
      <c r="H1615" s="19">
        <f>Fact_Defect_Split!L270</f>
        <v>0</v>
      </c>
    </row>
    <row r="1616" spans="1:8" x14ac:dyDescent="0.25">
      <c r="A1616" s="18" t="s">
        <v>2597</v>
      </c>
      <c r="B1616" s="4">
        <f>Fact_Defect_Split!B271</f>
        <v>20260702</v>
      </c>
      <c r="C1616" s="4">
        <f>Fact_Defect_Split!C271</f>
        <v>14</v>
      </c>
      <c r="D1616" s="4" t="str">
        <f>Fact_Defect_Split!D271</f>
        <v>M4</v>
      </c>
      <c r="E1616" s="4" t="str">
        <f>Fact_Defect_Split!E271</f>
        <v>A-AM</v>
      </c>
      <c r="F1616" s="4" t="str">
        <f>Fact_Defect_Split!F271</f>
        <v>A</v>
      </c>
      <c r="G1616" s="4" t="s">
        <v>498</v>
      </c>
      <c r="H1616" s="19">
        <f>Fact_Defect_Split!G271</f>
        <v>0</v>
      </c>
    </row>
    <row r="1617" spans="1:8" x14ac:dyDescent="0.25">
      <c r="A1617" s="18" t="s">
        <v>2598</v>
      </c>
      <c r="B1617" s="4">
        <f>Fact_Defect_Split!B271</f>
        <v>20260702</v>
      </c>
      <c r="C1617" s="4">
        <f>Fact_Defect_Split!C271</f>
        <v>14</v>
      </c>
      <c r="D1617" s="4" t="str">
        <f>Fact_Defect_Split!D271</f>
        <v>M4</v>
      </c>
      <c r="E1617" s="4" t="str">
        <f>Fact_Defect_Split!E271</f>
        <v>A-AM</v>
      </c>
      <c r="F1617" s="4" t="str">
        <f>Fact_Defect_Split!F271</f>
        <v>A</v>
      </c>
      <c r="G1617" s="4" t="s">
        <v>500</v>
      </c>
      <c r="H1617" s="19">
        <f>Fact_Defect_Split!H271</f>
        <v>0</v>
      </c>
    </row>
    <row r="1618" spans="1:8" x14ac:dyDescent="0.25">
      <c r="A1618" s="18" t="s">
        <v>2599</v>
      </c>
      <c r="B1618" s="4">
        <f>Fact_Defect_Split!B271</f>
        <v>20260702</v>
      </c>
      <c r="C1618" s="4">
        <f>Fact_Defect_Split!C271</f>
        <v>14</v>
      </c>
      <c r="D1618" s="4" t="str">
        <f>Fact_Defect_Split!D271</f>
        <v>M4</v>
      </c>
      <c r="E1618" s="4" t="str">
        <f>Fact_Defect_Split!E271</f>
        <v>A-AM</v>
      </c>
      <c r="F1618" s="4" t="str">
        <f>Fact_Defect_Split!F271</f>
        <v>A</v>
      </c>
      <c r="G1618" s="4" t="s">
        <v>517</v>
      </c>
      <c r="H1618" s="19">
        <f>Fact_Defect_Split!I271</f>
        <v>0</v>
      </c>
    </row>
    <row r="1619" spans="1:8" x14ac:dyDescent="0.25">
      <c r="A1619" s="18" t="s">
        <v>2600</v>
      </c>
      <c r="B1619" s="4">
        <f>Fact_Defect_Split!B271</f>
        <v>20260702</v>
      </c>
      <c r="C1619" s="4">
        <f>Fact_Defect_Split!C271</f>
        <v>14</v>
      </c>
      <c r="D1619" s="4" t="str">
        <f>Fact_Defect_Split!D271</f>
        <v>M4</v>
      </c>
      <c r="E1619" s="4" t="str">
        <f>Fact_Defect_Split!E271</f>
        <v>A-AM</v>
      </c>
      <c r="F1619" s="4" t="str">
        <f>Fact_Defect_Split!F271</f>
        <v>A</v>
      </c>
      <c r="G1619" s="4" t="s">
        <v>503</v>
      </c>
      <c r="H1619" s="19">
        <f>Fact_Defect_Split!J271</f>
        <v>1</v>
      </c>
    </row>
    <row r="1620" spans="1:8" x14ac:dyDescent="0.25">
      <c r="A1620" s="18" t="s">
        <v>2601</v>
      </c>
      <c r="B1620" s="4">
        <f>Fact_Defect_Split!B271</f>
        <v>20260702</v>
      </c>
      <c r="C1620" s="4">
        <f>Fact_Defect_Split!C271</f>
        <v>14</v>
      </c>
      <c r="D1620" s="4" t="str">
        <f>Fact_Defect_Split!D271</f>
        <v>M4</v>
      </c>
      <c r="E1620" s="4" t="str">
        <f>Fact_Defect_Split!E271</f>
        <v>A-AM</v>
      </c>
      <c r="F1620" s="4" t="str">
        <f>Fact_Defect_Split!F271</f>
        <v>A</v>
      </c>
      <c r="G1620" s="4" t="s">
        <v>509</v>
      </c>
      <c r="H1620" s="19">
        <f>Fact_Defect_Split!K271</f>
        <v>1</v>
      </c>
    </row>
    <row r="1621" spans="1:8" x14ac:dyDescent="0.25">
      <c r="A1621" s="18" t="s">
        <v>2602</v>
      </c>
      <c r="B1621" s="4">
        <f>Fact_Defect_Split!B271</f>
        <v>20260702</v>
      </c>
      <c r="C1621" s="4">
        <f>Fact_Defect_Split!C271</f>
        <v>14</v>
      </c>
      <c r="D1621" s="4" t="str">
        <f>Fact_Defect_Split!D271</f>
        <v>M4</v>
      </c>
      <c r="E1621" s="4" t="str">
        <f>Fact_Defect_Split!E271</f>
        <v>A-AM</v>
      </c>
      <c r="F1621" s="4" t="str">
        <f>Fact_Defect_Split!F271</f>
        <v>A</v>
      </c>
      <c r="G1621" s="4" t="s">
        <v>520</v>
      </c>
      <c r="H1621" s="19">
        <f>Fact_Defect_Split!L271</f>
        <v>1</v>
      </c>
    </row>
    <row r="1622" spans="1:8" x14ac:dyDescent="0.25">
      <c r="A1622" s="18" t="s">
        <v>2603</v>
      </c>
      <c r="B1622" s="4">
        <f>Fact_Defect_Split!B272</f>
        <v>20260702</v>
      </c>
      <c r="C1622" s="4">
        <f>Fact_Defect_Split!C272</f>
        <v>14</v>
      </c>
      <c r="D1622" s="4" t="str">
        <f>Fact_Defect_Split!D272</f>
        <v>M5</v>
      </c>
      <c r="E1622" s="4" t="str">
        <f>Fact_Defect_Split!E272</f>
        <v>A-AM</v>
      </c>
      <c r="F1622" s="4" t="str">
        <f>Fact_Defect_Split!F272</f>
        <v>C</v>
      </c>
      <c r="G1622" s="4" t="s">
        <v>498</v>
      </c>
      <c r="H1622" s="19">
        <f>Fact_Defect_Split!G272</f>
        <v>0</v>
      </c>
    </row>
    <row r="1623" spans="1:8" x14ac:dyDescent="0.25">
      <c r="A1623" s="18" t="s">
        <v>2604</v>
      </c>
      <c r="B1623" s="4">
        <f>Fact_Defect_Split!B272</f>
        <v>20260702</v>
      </c>
      <c r="C1623" s="4">
        <f>Fact_Defect_Split!C272</f>
        <v>14</v>
      </c>
      <c r="D1623" s="4" t="str">
        <f>Fact_Defect_Split!D272</f>
        <v>M5</v>
      </c>
      <c r="E1623" s="4" t="str">
        <f>Fact_Defect_Split!E272</f>
        <v>A-AM</v>
      </c>
      <c r="F1623" s="4" t="str">
        <f>Fact_Defect_Split!F272</f>
        <v>C</v>
      </c>
      <c r="G1623" s="4" t="s">
        <v>500</v>
      </c>
      <c r="H1623" s="19">
        <f>Fact_Defect_Split!H272</f>
        <v>0</v>
      </c>
    </row>
    <row r="1624" spans="1:8" x14ac:dyDescent="0.25">
      <c r="A1624" s="18" t="s">
        <v>2605</v>
      </c>
      <c r="B1624" s="4">
        <f>Fact_Defect_Split!B272</f>
        <v>20260702</v>
      </c>
      <c r="C1624" s="4">
        <f>Fact_Defect_Split!C272</f>
        <v>14</v>
      </c>
      <c r="D1624" s="4" t="str">
        <f>Fact_Defect_Split!D272</f>
        <v>M5</v>
      </c>
      <c r="E1624" s="4" t="str">
        <f>Fact_Defect_Split!E272</f>
        <v>A-AM</v>
      </c>
      <c r="F1624" s="4" t="str">
        <f>Fact_Defect_Split!F272</f>
        <v>C</v>
      </c>
      <c r="G1624" s="4" t="s">
        <v>517</v>
      </c>
      <c r="H1624" s="19">
        <f>Fact_Defect_Split!I272</f>
        <v>0</v>
      </c>
    </row>
    <row r="1625" spans="1:8" x14ac:dyDescent="0.25">
      <c r="A1625" s="18" t="s">
        <v>2606</v>
      </c>
      <c r="B1625" s="4">
        <f>Fact_Defect_Split!B272</f>
        <v>20260702</v>
      </c>
      <c r="C1625" s="4">
        <f>Fact_Defect_Split!C272</f>
        <v>14</v>
      </c>
      <c r="D1625" s="4" t="str">
        <f>Fact_Defect_Split!D272</f>
        <v>M5</v>
      </c>
      <c r="E1625" s="4" t="str">
        <f>Fact_Defect_Split!E272</f>
        <v>A-AM</v>
      </c>
      <c r="F1625" s="4" t="str">
        <f>Fact_Defect_Split!F272</f>
        <v>C</v>
      </c>
      <c r="G1625" s="4" t="s">
        <v>503</v>
      </c>
      <c r="H1625" s="19">
        <f>Fact_Defect_Split!J272</f>
        <v>0</v>
      </c>
    </row>
    <row r="1626" spans="1:8" x14ac:dyDescent="0.25">
      <c r="A1626" s="18" t="s">
        <v>2607</v>
      </c>
      <c r="B1626" s="4">
        <f>Fact_Defect_Split!B272</f>
        <v>20260702</v>
      </c>
      <c r="C1626" s="4">
        <f>Fact_Defect_Split!C272</f>
        <v>14</v>
      </c>
      <c r="D1626" s="4" t="str">
        <f>Fact_Defect_Split!D272</f>
        <v>M5</v>
      </c>
      <c r="E1626" s="4" t="str">
        <f>Fact_Defect_Split!E272</f>
        <v>A-AM</v>
      </c>
      <c r="F1626" s="4" t="str">
        <f>Fact_Defect_Split!F272</f>
        <v>C</v>
      </c>
      <c r="G1626" s="4" t="s">
        <v>509</v>
      </c>
      <c r="H1626" s="19">
        <f>Fact_Defect_Split!K272</f>
        <v>0</v>
      </c>
    </row>
    <row r="1627" spans="1:8" x14ac:dyDescent="0.25">
      <c r="A1627" s="18" t="s">
        <v>2608</v>
      </c>
      <c r="B1627" s="4">
        <f>Fact_Defect_Split!B272</f>
        <v>20260702</v>
      </c>
      <c r="C1627" s="4">
        <f>Fact_Defect_Split!C272</f>
        <v>14</v>
      </c>
      <c r="D1627" s="4" t="str">
        <f>Fact_Defect_Split!D272</f>
        <v>M5</v>
      </c>
      <c r="E1627" s="4" t="str">
        <f>Fact_Defect_Split!E272</f>
        <v>A-AM</v>
      </c>
      <c r="F1627" s="4" t="str">
        <f>Fact_Defect_Split!F272</f>
        <v>C</v>
      </c>
      <c r="G1627" s="4" t="s">
        <v>520</v>
      </c>
      <c r="H1627" s="19">
        <f>Fact_Defect_Split!L272</f>
        <v>1</v>
      </c>
    </row>
    <row r="1628" spans="1:8" x14ac:dyDescent="0.25">
      <c r="A1628" s="18" t="s">
        <v>2609</v>
      </c>
      <c r="B1628" s="4">
        <f>Fact_Defect_Split!B273</f>
        <v>20260702</v>
      </c>
      <c r="C1628" s="4">
        <f>Fact_Defect_Split!C273</f>
        <v>14</v>
      </c>
      <c r="D1628" s="4" t="str">
        <f>Fact_Defect_Split!D273</f>
        <v>M6</v>
      </c>
      <c r="E1628" s="4" t="str">
        <f>Fact_Defect_Split!E273</f>
        <v>A-AM</v>
      </c>
      <c r="F1628" s="4" t="str">
        <f>Fact_Defect_Split!F273</f>
        <v>C</v>
      </c>
      <c r="G1628" s="4" t="s">
        <v>498</v>
      </c>
      <c r="H1628" s="19">
        <f>Fact_Defect_Split!G273</f>
        <v>0</v>
      </c>
    </row>
    <row r="1629" spans="1:8" x14ac:dyDescent="0.25">
      <c r="A1629" s="18" t="s">
        <v>2610</v>
      </c>
      <c r="B1629" s="4">
        <f>Fact_Defect_Split!B273</f>
        <v>20260702</v>
      </c>
      <c r="C1629" s="4">
        <f>Fact_Defect_Split!C273</f>
        <v>14</v>
      </c>
      <c r="D1629" s="4" t="str">
        <f>Fact_Defect_Split!D273</f>
        <v>M6</v>
      </c>
      <c r="E1629" s="4" t="str">
        <f>Fact_Defect_Split!E273</f>
        <v>A-AM</v>
      </c>
      <c r="F1629" s="4" t="str">
        <f>Fact_Defect_Split!F273</f>
        <v>C</v>
      </c>
      <c r="G1629" s="4" t="s">
        <v>500</v>
      </c>
      <c r="H1629" s="19">
        <f>Fact_Defect_Split!H273</f>
        <v>0</v>
      </c>
    </row>
    <row r="1630" spans="1:8" x14ac:dyDescent="0.25">
      <c r="A1630" s="18" t="s">
        <v>2611</v>
      </c>
      <c r="B1630" s="4">
        <f>Fact_Defect_Split!B273</f>
        <v>20260702</v>
      </c>
      <c r="C1630" s="4">
        <f>Fact_Defect_Split!C273</f>
        <v>14</v>
      </c>
      <c r="D1630" s="4" t="str">
        <f>Fact_Defect_Split!D273</f>
        <v>M6</v>
      </c>
      <c r="E1630" s="4" t="str">
        <f>Fact_Defect_Split!E273</f>
        <v>A-AM</v>
      </c>
      <c r="F1630" s="4" t="str">
        <f>Fact_Defect_Split!F273</f>
        <v>C</v>
      </c>
      <c r="G1630" s="4" t="s">
        <v>517</v>
      </c>
      <c r="H1630" s="19">
        <f>Fact_Defect_Split!I273</f>
        <v>0</v>
      </c>
    </row>
    <row r="1631" spans="1:8" x14ac:dyDescent="0.25">
      <c r="A1631" s="18" t="s">
        <v>2612</v>
      </c>
      <c r="B1631" s="4">
        <f>Fact_Defect_Split!B273</f>
        <v>20260702</v>
      </c>
      <c r="C1631" s="4">
        <f>Fact_Defect_Split!C273</f>
        <v>14</v>
      </c>
      <c r="D1631" s="4" t="str">
        <f>Fact_Defect_Split!D273</f>
        <v>M6</v>
      </c>
      <c r="E1631" s="4" t="str">
        <f>Fact_Defect_Split!E273</f>
        <v>A-AM</v>
      </c>
      <c r="F1631" s="4" t="str">
        <f>Fact_Defect_Split!F273</f>
        <v>C</v>
      </c>
      <c r="G1631" s="4" t="s">
        <v>503</v>
      </c>
      <c r="H1631" s="19">
        <f>Fact_Defect_Split!J273</f>
        <v>0</v>
      </c>
    </row>
    <row r="1632" spans="1:8" x14ac:dyDescent="0.25">
      <c r="A1632" s="18" t="s">
        <v>2613</v>
      </c>
      <c r="B1632" s="4">
        <f>Fact_Defect_Split!B273</f>
        <v>20260702</v>
      </c>
      <c r="C1632" s="4">
        <f>Fact_Defect_Split!C273</f>
        <v>14</v>
      </c>
      <c r="D1632" s="4" t="str">
        <f>Fact_Defect_Split!D273</f>
        <v>M6</v>
      </c>
      <c r="E1632" s="4" t="str">
        <f>Fact_Defect_Split!E273</f>
        <v>A-AM</v>
      </c>
      <c r="F1632" s="4" t="str">
        <f>Fact_Defect_Split!F273</f>
        <v>C</v>
      </c>
      <c r="G1632" s="4" t="s">
        <v>509</v>
      </c>
      <c r="H1632" s="19">
        <f>Fact_Defect_Split!K273</f>
        <v>1</v>
      </c>
    </row>
    <row r="1633" spans="1:8" x14ac:dyDescent="0.25">
      <c r="A1633" s="18" t="s">
        <v>2614</v>
      </c>
      <c r="B1633" s="4">
        <f>Fact_Defect_Split!B273</f>
        <v>20260702</v>
      </c>
      <c r="C1633" s="4">
        <f>Fact_Defect_Split!C273</f>
        <v>14</v>
      </c>
      <c r="D1633" s="4" t="str">
        <f>Fact_Defect_Split!D273</f>
        <v>M6</v>
      </c>
      <c r="E1633" s="4" t="str">
        <f>Fact_Defect_Split!E273</f>
        <v>A-AM</v>
      </c>
      <c r="F1633" s="4" t="str">
        <f>Fact_Defect_Split!F273</f>
        <v>C</v>
      </c>
      <c r="G1633" s="4" t="s">
        <v>520</v>
      </c>
      <c r="H1633" s="19">
        <f>Fact_Defect_Split!L273</f>
        <v>0</v>
      </c>
    </row>
    <row r="1634" spans="1:8" x14ac:dyDescent="0.25">
      <c r="A1634" s="18" t="s">
        <v>2615</v>
      </c>
      <c r="B1634" s="4">
        <f>Fact_Defect_Split!B274</f>
        <v>20260702</v>
      </c>
      <c r="C1634" s="4">
        <f>Fact_Defect_Split!C274</f>
        <v>14</v>
      </c>
      <c r="D1634" s="4" t="str">
        <f>Fact_Defect_Split!D274</f>
        <v>M7</v>
      </c>
      <c r="E1634" s="4" t="str">
        <f>Fact_Defect_Split!E274</f>
        <v>A-AM</v>
      </c>
      <c r="F1634" s="4" t="str">
        <f>Fact_Defect_Split!F274</f>
        <v>C</v>
      </c>
      <c r="G1634" s="4" t="s">
        <v>498</v>
      </c>
      <c r="H1634" s="19">
        <f>Fact_Defect_Split!G274</f>
        <v>0</v>
      </c>
    </row>
    <row r="1635" spans="1:8" x14ac:dyDescent="0.25">
      <c r="A1635" s="18" t="s">
        <v>2616</v>
      </c>
      <c r="B1635" s="4">
        <f>Fact_Defect_Split!B274</f>
        <v>20260702</v>
      </c>
      <c r="C1635" s="4">
        <f>Fact_Defect_Split!C274</f>
        <v>14</v>
      </c>
      <c r="D1635" s="4" t="str">
        <f>Fact_Defect_Split!D274</f>
        <v>M7</v>
      </c>
      <c r="E1635" s="4" t="str">
        <f>Fact_Defect_Split!E274</f>
        <v>A-AM</v>
      </c>
      <c r="F1635" s="4" t="str">
        <f>Fact_Defect_Split!F274</f>
        <v>C</v>
      </c>
      <c r="G1635" s="4" t="s">
        <v>500</v>
      </c>
      <c r="H1635" s="19">
        <f>Fact_Defect_Split!H274</f>
        <v>0</v>
      </c>
    </row>
    <row r="1636" spans="1:8" x14ac:dyDescent="0.25">
      <c r="A1636" s="18" t="s">
        <v>2617</v>
      </c>
      <c r="B1636" s="4">
        <f>Fact_Defect_Split!B274</f>
        <v>20260702</v>
      </c>
      <c r="C1636" s="4">
        <f>Fact_Defect_Split!C274</f>
        <v>14</v>
      </c>
      <c r="D1636" s="4" t="str">
        <f>Fact_Defect_Split!D274</f>
        <v>M7</v>
      </c>
      <c r="E1636" s="4" t="str">
        <f>Fact_Defect_Split!E274</f>
        <v>A-AM</v>
      </c>
      <c r="F1636" s="4" t="str">
        <f>Fact_Defect_Split!F274</f>
        <v>C</v>
      </c>
      <c r="G1636" s="4" t="s">
        <v>517</v>
      </c>
      <c r="H1636" s="19">
        <f>Fact_Defect_Split!I274</f>
        <v>1</v>
      </c>
    </row>
    <row r="1637" spans="1:8" x14ac:dyDescent="0.25">
      <c r="A1637" s="18" t="s">
        <v>2618</v>
      </c>
      <c r="B1637" s="4">
        <f>Fact_Defect_Split!B274</f>
        <v>20260702</v>
      </c>
      <c r="C1637" s="4">
        <f>Fact_Defect_Split!C274</f>
        <v>14</v>
      </c>
      <c r="D1637" s="4" t="str">
        <f>Fact_Defect_Split!D274</f>
        <v>M7</v>
      </c>
      <c r="E1637" s="4" t="str">
        <f>Fact_Defect_Split!E274</f>
        <v>A-AM</v>
      </c>
      <c r="F1637" s="4" t="str">
        <f>Fact_Defect_Split!F274</f>
        <v>C</v>
      </c>
      <c r="G1637" s="4" t="s">
        <v>503</v>
      </c>
      <c r="H1637" s="19">
        <f>Fact_Defect_Split!J274</f>
        <v>0</v>
      </c>
    </row>
    <row r="1638" spans="1:8" x14ac:dyDescent="0.25">
      <c r="A1638" s="18" t="s">
        <v>2619</v>
      </c>
      <c r="B1638" s="4">
        <f>Fact_Defect_Split!B274</f>
        <v>20260702</v>
      </c>
      <c r="C1638" s="4">
        <f>Fact_Defect_Split!C274</f>
        <v>14</v>
      </c>
      <c r="D1638" s="4" t="str">
        <f>Fact_Defect_Split!D274</f>
        <v>M7</v>
      </c>
      <c r="E1638" s="4" t="str">
        <f>Fact_Defect_Split!E274</f>
        <v>A-AM</v>
      </c>
      <c r="F1638" s="4" t="str">
        <f>Fact_Defect_Split!F274</f>
        <v>C</v>
      </c>
      <c r="G1638" s="4" t="s">
        <v>509</v>
      </c>
      <c r="H1638" s="19">
        <f>Fact_Defect_Split!K274</f>
        <v>0</v>
      </c>
    </row>
    <row r="1639" spans="1:8" x14ac:dyDescent="0.25">
      <c r="A1639" s="18" t="s">
        <v>2620</v>
      </c>
      <c r="B1639" s="4">
        <f>Fact_Defect_Split!B274</f>
        <v>20260702</v>
      </c>
      <c r="C1639" s="4">
        <f>Fact_Defect_Split!C274</f>
        <v>14</v>
      </c>
      <c r="D1639" s="4" t="str">
        <f>Fact_Defect_Split!D274</f>
        <v>M7</v>
      </c>
      <c r="E1639" s="4" t="str">
        <f>Fact_Defect_Split!E274</f>
        <v>A-AM</v>
      </c>
      <c r="F1639" s="4" t="str">
        <f>Fact_Defect_Split!F274</f>
        <v>C</v>
      </c>
      <c r="G1639" s="4" t="s">
        <v>520</v>
      </c>
      <c r="H1639" s="19">
        <f>Fact_Defect_Split!L274</f>
        <v>1</v>
      </c>
    </row>
    <row r="1640" spans="1:8" x14ac:dyDescent="0.25">
      <c r="A1640" s="18" t="s">
        <v>2621</v>
      </c>
      <c r="B1640" s="4">
        <f>Fact_Defect_Split!B275</f>
        <v>20260702</v>
      </c>
      <c r="C1640" s="4">
        <f>Fact_Defect_Split!C275</f>
        <v>15</v>
      </c>
      <c r="D1640" s="4" t="str">
        <f>Fact_Defect_Split!D275</f>
        <v>M1</v>
      </c>
      <c r="E1640" s="4" t="str">
        <f>Fact_Defect_Split!E275</f>
        <v>A-AM</v>
      </c>
      <c r="F1640" s="4" t="str">
        <f>Fact_Defect_Split!F275</f>
        <v>C</v>
      </c>
      <c r="G1640" s="4" t="s">
        <v>498</v>
      </c>
      <c r="H1640" s="19">
        <f>Fact_Defect_Split!G275</f>
        <v>0</v>
      </c>
    </row>
    <row r="1641" spans="1:8" x14ac:dyDescent="0.25">
      <c r="A1641" s="18" t="s">
        <v>2622</v>
      </c>
      <c r="B1641" s="4">
        <f>Fact_Defect_Split!B275</f>
        <v>20260702</v>
      </c>
      <c r="C1641" s="4">
        <f>Fact_Defect_Split!C275</f>
        <v>15</v>
      </c>
      <c r="D1641" s="4" t="str">
        <f>Fact_Defect_Split!D275</f>
        <v>M1</v>
      </c>
      <c r="E1641" s="4" t="str">
        <f>Fact_Defect_Split!E275</f>
        <v>A-AM</v>
      </c>
      <c r="F1641" s="4" t="str">
        <f>Fact_Defect_Split!F275</f>
        <v>C</v>
      </c>
      <c r="G1641" s="4" t="s">
        <v>500</v>
      </c>
      <c r="H1641" s="19">
        <f>Fact_Defect_Split!H275</f>
        <v>0</v>
      </c>
    </row>
    <row r="1642" spans="1:8" x14ac:dyDescent="0.25">
      <c r="A1642" s="18" t="s">
        <v>2623</v>
      </c>
      <c r="B1642" s="4">
        <f>Fact_Defect_Split!B275</f>
        <v>20260702</v>
      </c>
      <c r="C1642" s="4">
        <f>Fact_Defect_Split!C275</f>
        <v>15</v>
      </c>
      <c r="D1642" s="4" t="str">
        <f>Fact_Defect_Split!D275</f>
        <v>M1</v>
      </c>
      <c r="E1642" s="4" t="str">
        <f>Fact_Defect_Split!E275</f>
        <v>A-AM</v>
      </c>
      <c r="F1642" s="4" t="str">
        <f>Fact_Defect_Split!F275</f>
        <v>C</v>
      </c>
      <c r="G1642" s="4" t="s">
        <v>517</v>
      </c>
      <c r="H1642" s="19">
        <f>Fact_Defect_Split!I275</f>
        <v>0</v>
      </c>
    </row>
    <row r="1643" spans="1:8" x14ac:dyDescent="0.25">
      <c r="A1643" s="18" t="s">
        <v>2624</v>
      </c>
      <c r="B1643" s="4">
        <f>Fact_Defect_Split!B275</f>
        <v>20260702</v>
      </c>
      <c r="C1643" s="4">
        <f>Fact_Defect_Split!C275</f>
        <v>15</v>
      </c>
      <c r="D1643" s="4" t="str">
        <f>Fact_Defect_Split!D275</f>
        <v>M1</v>
      </c>
      <c r="E1643" s="4" t="str">
        <f>Fact_Defect_Split!E275</f>
        <v>A-AM</v>
      </c>
      <c r="F1643" s="4" t="str">
        <f>Fact_Defect_Split!F275</f>
        <v>C</v>
      </c>
      <c r="G1643" s="4" t="s">
        <v>503</v>
      </c>
      <c r="H1643" s="19">
        <f>Fact_Defect_Split!J275</f>
        <v>0</v>
      </c>
    </row>
    <row r="1644" spans="1:8" x14ac:dyDescent="0.25">
      <c r="A1644" s="18" t="s">
        <v>2625</v>
      </c>
      <c r="B1644" s="4">
        <f>Fact_Defect_Split!B275</f>
        <v>20260702</v>
      </c>
      <c r="C1644" s="4">
        <f>Fact_Defect_Split!C275</f>
        <v>15</v>
      </c>
      <c r="D1644" s="4" t="str">
        <f>Fact_Defect_Split!D275</f>
        <v>M1</v>
      </c>
      <c r="E1644" s="4" t="str">
        <f>Fact_Defect_Split!E275</f>
        <v>A-AM</v>
      </c>
      <c r="F1644" s="4" t="str">
        <f>Fact_Defect_Split!F275</f>
        <v>C</v>
      </c>
      <c r="G1644" s="4" t="s">
        <v>509</v>
      </c>
      <c r="H1644" s="19">
        <f>Fact_Defect_Split!K275</f>
        <v>1</v>
      </c>
    </row>
    <row r="1645" spans="1:8" x14ac:dyDescent="0.25">
      <c r="A1645" s="18" t="s">
        <v>2626</v>
      </c>
      <c r="B1645" s="4">
        <f>Fact_Defect_Split!B275</f>
        <v>20260702</v>
      </c>
      <c r="C1645" s="4">
        <f>Fact_Defect_Split!C275</f>
        <v>15</v>
      </c>
      <c r="D1645" s="4" t="str">
        <f>Fact_Defect_Split!D275</f>
        <v>M1</v>
      </c>
      <c r="E1645" s="4" t="str">
        <f>Fact_Defect_Split!E275</f>
        <v>A-AM</v>
      </c>
      <c r="F1645" s="4" t="str">
        <f>Fact_Defect_Split!F275</f>
        <v>C</v>
      </c>
      <c r="G1645" s="4" t="s">
        <v>520</v>
      </c>
      <c r="H1645" s="19">
        <f>Fact_Defect_Split!L275</f>
        <v>0</v>
      </c>
    </row>
    <row r="1646" spans="1:8" x14ac:dyDescent="0.25">
      <c r="A1646" s="18" t="s">
        <v>2627</v>
      </c>
      <c r="B1646" s="4">
        <f>Fact_Defect_Split!B276</f>
        <v>20260702</v>
      </c>
      <c r="C1646" s="4">
        <f>Fact_Defect_Split!C276</f>
        <v>15</v>
      </c>
      <c r="D1646" s="4" t="str">
        <f>Fact_Defect_Split!D276</f>
        <v>M2</v>
      </c>
      <c r="E1646" s="4" t="str">
        <f>Fact_Defect_Split!E276</f>
        <v>A-AM</v>
      </c>
      <c r="F1646" s="4" t="str">
        <f>Fact_Defect_Split!F276</f>
        <v>A</v>
      </c>
      <c r="G1646" s="4" t="s">
        <v>498</v>
      </c>
      <c r="H1646" s="19">
        <f>Fact_Defect_Split!G276</f>
        <v>0</v>
      </c>
    </row>
    <row r="1647" spans="1:8" x14ac:dyDescent="0.25">
      <c r="A1647" s="18" t="s">
        <v>2628</v>
      </c>
      <c r="B1647" s="4">
        <f>Fact_Defect_Split!B276</f>
        <v>20260702</v>
      </c>
      <c r="C1647" s="4">
        <f>Fact_Defect_Split!C276</f>
        <v>15</v>
      </c>
      <c r="D1647" s="4" t="str">
        <f>Fact_Defect_Split!D276</f>
        <v>M2</v>
      </c>
      <c r="E1647" s="4" t="str">
        <f>Fact_Defect_Split!E276</f>
        <v>A-AM</v>
      </c>
      <c r="F1647" s="4" t="str">
        <f>Fact_Defect_Split!F276</f>
        <v>A</v>
      </c>
      <c r="G1647" s="4" t="s">
        <v>500</v>
      </c>
      <c r="H1647" s="19">
        <f>Fact_Defect_Split!H276</f>
        <v>0</v>
      </c>
    </row>
    <row r="1648" spans="1:8" x14ac:dyDescent="0.25">
      <c r="A1648" s="18" t="s">
        <v>2629</v>
      </c>
      <c r="B1648" s="4">
        <f>Fact_Defect_Split!B276</f>
        <v>20260702</v>
      </c>
      <c r="C1648" s="4">
        <f>Fact_Defect_Split!C276</f>
        <v>15</v>
      </c>
      <c r="D1648" s="4" t="str">
        <f>Fact_Defect_Split!D276</f>
        <v>M2</v>
      </c>
      <c r="E1648" s="4" t="str">
        <f>Fact_Defect_Split!E276</f>
        <v>A-AM</v>
      </c>
      <c r="F1648" s="4" t="str">
        <f>Fact_Defect_Split!F276</f>
        <v>A</v>
      </c>
      <c r="G1648" s="4" t="s">
        <v>517</v>
      </c>
      <c r="H1648" s="19">
        <f>Fact_Defect_Split!I276</f>
        <v>1</v>
      </c>
    </row>
    <row r="1649" spans="1:8" x14ac:dyDescent="0.25">
      <c r="A1649" s="18" t="s">
        <v>2630</v>
      </c>
      <c r="B1649" s="4">
        <f>Fact_Defect_Split!B276</f>
        <v>20260702</v>
      </c>
      <c r="C1649" s="4">
        <f>Fact_Defect_Split!C276</f>
        <v>15</v>
      </c>
      <c r="D1649" s="4" t="str">
        <f>Fact_Defect_Split!D276</f>
        <v>M2</v>
      </c>
      <c r="E1649" s="4" t="str">
        <f>Fact_Defect_Split!E276</f>
        <v>A-AM</v>
      </c>
      <c r="F1649" s="4" t="str">
        <f>Fact_Defect_Split!F276</f>
        <v>A</v>
      </c>
      <c r="G1649" s="4" t="s">
        <v>503</v>
      </c>
      <c r="H1649" s="19">
        <f>Fact_Defect_Split!J276</f>
        <v>0</v>
      </c>
    </row>
    <row r="1650" spans="1:8" x14ac:dyDescent="0.25">
      <c r="A1650" s="18" t="s">
        <v>2631</v>
      </c>
      <c r="B1650" s="4">
        <f>Fact_Defect_Split!B276</f>
        <v>20260702</v>
      </c>
      <c r="C1650" s="4">
        <f>Fact_Defect_Split!C276</f>
        <v>15</v>
      </c>
      <c r="D1650" s="4" t="str">
        <f>Fact_Defect_Split!D276</f>
        <v>M2</v>
      </c>
      <c r="E1650" s="4" t="str">
        <f>Fact_Defect_Split!E276</f>
        <v>A-AM</v>
      </c>
      <c r="F1650" s="4" t="str">
        <f>Fact_Defect_Split!F276</f>
        <v>A</v>
      </c>
      <c r="G1650" s="4" t="s">
        <v>509</v>
      </c>
      <c r="H1650" s="19">
        <f>Fact_Defect_Split!K276</f>
        <v>0</v>
      </c>
    </row>
    <row r="1651" spans="1:8" x14ac:dyDescent="0.25">
      <c r="A1651" s="18" t="s">
        <v>2632</v>
      </c>
      <c r="B1651" s="4">
        <f>Fact_Defect_Split!B276</f>
        <v>20260702</v>
      </c>
      <c r="C1651" s="4">
        <f>Fact_Defect_Split!C276</f>
        <v>15</v>
      </c>
      <c r="D1651" s="4" t="str">
        <f>Fact_Defect_Split!D276</f>
        <v>M2</v>
      </c>
      <c r="E1651" s="4" t="str">
        <f>Fact_Defect_Split!E276</f>
        <v>A-AM</v>
      </c>
      <c r="F1651" s="4" t="str">
        <f>Fact_Defect_Split!F276</f>
        <v>A</v>
      </c>
      <c r="G1651" s="4" t="s">
        <v>520</v>
      </c>
      <c r="H1651" s="19">
        <f>Fact_Defect_Split!L276</f>
        <v>1</v>
      </c>
    </row>
    <row r="1652" spans="1:8" x14ac:dyDescent="0.25">
      <c r="A1652" s="18" t="s">
        <v>2633</v>
      </c>
      <c r="B1652" s="4">
        <f>Fact_Defect_Split!B277</f>
        <v>20260702</v>
      </c>
      <c r="C1652" s="4">
        <f>Fact_Defect_Split!C277</f>
        <v>15</v>
      </c>
      <c r="D1652" s="4" t="str">
        <f>Fact_Defect_Split!D277</f>
        <v>M3</v>
      </c>
      <c r="E1652" s="4" t="str">
        <f>Fact_Defect_Split!E277</f>
        <v>A-AM</v>
      </c>
      <c r="F1652" s="4" t="str">
        <f>Fact_Defect_Split!F277</f>
        <v>A</v>
      </c>
      <c r="G1652" s="4" t="s">
        <v>498</v>
      </c>
      <c r="H1652" s="19">
        <f>Fact_Defect_Split!G277</f>
        <v>0</v>
      </c>
    </row>
    <row r="1653" spans="1:8" x14ac:dyDescent="0.25">
      <c r="A1653" s="18" t="s">
        <v>2634</v>
      </c>
      <c r="B1653" s="4">
        <f>Fact_Defect_Split!B277</f>
        <v>20260702</v>
      </c>
      <c r="C1653" s="4">
        <f>Fact_Defect_Split!C277</f>
        <v>15</v>
      </c>
      <c r="D1653" s="4" t="str">
        <f>Fact_Defect_Split!D277</f>
        <v>M3</v>
      </c>
      <c r="E1653" s="4" t="str">
        <f>Fact_Defect_Split!E277</f>
        <v>A-AM</v>
      </c>
      <c r="F1653" s="4" t="str">
        <f>Fact_Defect_Split!F277</f>
        <v>A</v>
      </c>
      <c r="G1653" s="4" t="s">
        <v>500</v>
      </c>
      <c r="H1653" s="19">
        <f>Fact_Defect_Split!H277</f>
        <v>0</v>
      </c>
    </row>
    <row r="1654" spans="1:8" x14ac:dyDescent="0.25">
      <c r="A1654" s="18" t="s">
        <v>2635</v>
      </c>
      <c r="B1654" s="4">
        <f>Fact_Defect_Split!B277</f>
        <v>20260702</v>
      </c>
      <c r="C1654" s="4">
        <f>Fact_Defect_Split!C277</f>
        <v>15</v>
      </c>
      <c r="D1654" s="4" t="str">
        <f>Fact_Defect_Split!D277</f>
        <v>M3</v>
      </c>
      <c r="E1654" s="4" t="str">
        <f>Fact_Defect_Split!E277</f>
        <v>A-AM</v>
      </c>
      <c r="F1654" s="4" t="str">
        <f>Fact_Defect_Split!F277</f>
        <v>A</v>
      </c>
      <c r="G1654" s="4" t="s">
        <v>517</v>
      </c>
      <c r="H1654" s="19">
        <f>Fact_Defect_Split!I277</f>
        <v>0</v>
      </c>
    </row>
    <row r="1655" spans="1:8" x14ac:dyDescent="0.25">
      <c r="A1655" s="18" t="s">
        <v>2636</v>
      </c>
      <c r="B1655" s="4">
        <f>Fact_Defect_Split!B277</f>
        <v>20260702</v>
      </c>
      <c r="C1655" s="4">
        <f>Fact_Defect_Split!C277</f>
        <v>15</v>
      </c>
      <c r="D1655" s="4" t="str">
        <f>Fact_Defect_Split!D277</f>
        <v>M3</v>
      </c>
      <c r="E1655" s="4" t="str">
        <f>Fact_Defect_Split!E277</f>
        <v>A-AM</v>
      </c>
      <c r="F1655" s="4" t="str">
        <f>Fact_Defect_Split!F277</f>
        <v>A</v>
      </c>
      <c r="G1655" s="4" t="s">
        <v>503</v>
      </c>
      <c r="H1655" s="19">
        <f>Fact_Defect_Split!J277</f>
        <v>0</v>
      </c>
    </row>
    <row r="1656" spans="1:8" x14ac:dyDescent="0.25">
      <c r="A1656" s="18" t="s">
        <v>2637</v>
      </c>
      <c r="B1656" s="4">
        <f>Fact_Defect_Split!B277</f>
        <v>20260702</v>
      </c>
      <c r="C1656" s="4">
        <f>Fact_Defect_Split!C277</f>
        <v>15</v>
      </c>
      <c r="D1656" s="4" t="str">
        <f>Fact_Defect_Split!D277</f>
        <v>M3</v>
      </c>
      <c r="E1656" s="4" t="str">
        <f>Fact_Defect_Split!E277</f>
        <v>A-AM</v>
      </c>
      <c r="F1656" s="4" t="str">
        <f>Fact_Defect_Split!F277</f>
        <v>A</v>
      </c>
      <c r="G1656" s="4" t="s">
        <v>509</v>
      </c>
      <c r="H1656" s="19">
        <f>Fact_Defect_Split!K277</f>
        <v>0</v>
      </c>
    </row>
    <row r="1657" spans="1:8" x14ac:dyDescent="0.25">
      <c r="A1657" s="18" t="s">
        <v>2638</v>
      </c>
      <c r="B1657" s="4">
        <f>Fact_Defect_Split!B277</f>
        <v>20260702</v>
      </c>
      <c r="C1657" s="4">
        <f>Fact_Defect_Split!C277</f>
        <v>15</v>
      </c>
      <c r="D1657" s="4" t="str">
        <f>Fact_Defect_Split!D277</f>
        <v>M3</v>
      </c>
      <c r="E1657" s="4" t="str">
        <f>Fact_Defect_Split!E277</f>
        <v>A-AM</v>
      </c>
      <c r="F1657" s="4" t="str">
        <f>Fact_Defect_Split!F277</f>
        <v>A</v>
      </c>
      <c r="G1657" s="4" t="s">
        <v>520</v>
      </c>
      <c r="H1657" s="19">
        <f>Fact_Defect_Split!L277</f>
        <v>0</v>
      </c>
    </row>
    <row r="1658" spans="1:8" x14ac:dyDescent="0.25">
      <c r="A1658" s="18" t="s">
        <v>2639</v>
      </c>
      <c r="B1658" s="4">
        <f>Fact_Defect_Split!B278</f>
        <v>20260702</v>
      </c>
      <c r="C1658" s="4">
        <f>Fact_Defect_Split!C278</f>
        <v>15</v>
      </c>
      <c r="D1658" s="4" t="str">
        <f>Fact_Defect_Split!D278</f>
        <v>M4</v>
      </c>
      <c r="E1658" s="4" t="str">
        <f>Fact_Defect_Split!E278</f>
        <v>A-AM</v>
      </c>
      <c r="F1658" s="4" t="str">
        <f>Fact_Defect_Split!F278</f>
        <v>A</v>
      </c>
      <c r="G1658" s="4" t="s">
        <v>498</v>
      </c>
      <c r="H1658" s="19">
        <f>Fact_Defect_Split!G278</f>
        <v>0</v>
      </c>
    </row>
    <row r="1659" spans="1:8" x14ac:dyDescent="0.25">
      <c r="A1659" s="18" t="s">
        <v>2640</v>
      </c>
      <c r="B1659" s="4">
        <f>Fact_Defect_Split!B278</f>
        <v>20260702</v>
      </c>
      <c r="C1659" s="4">
        <f>Fact_Defect_Split!C278</f>
        <v>15</v>
      </c>
      <c r="D1659" s="4" t="str">
        <f>Fact_Defect_Split!D278</f>
        <v>M4</v>
      </c>
      <c r="E1659" s="4" t="str">
        <f>Fact_Defect_Split!E278</f>
        <v>A-AM</v>
      </c>
      <c r="F1659" s="4" t="str">
        <f>Fact_Defect_Split!F278</f>
        <v>A</v>
      </c>
      <c r="G1659" s="4" t="s">
        <v>500</v>
      </c>
      <c r="H1659" s="19">
        <f>Fact_Defect_Split!H278</f>
        <v>0</v>
      </c>
    </row>
    <row r="1660" spans="1:8" x14ac:dyDescent="0.25">
      <c r="A1660" s="18" t="s">
        <v>2641</v>
      </c>
      <c r="B1660" s="4">
        <f>Fact_Defect_Split!B278</f>
        <v>20260702</v>
      </c>
      <c r="C1660" s="4">
        <f>Fact_Defect_Split!C278</f>
        <v>15</v>
      </c>
      <c r="D1660" s="4" t="str">
        <f>Fact_Defect_Split!D278</f>
        <v>M4</v>
      </c>
      <c r="E1660" s="4" t="str">
        <f>Fact_Defect_Split!E278</f>
        <v>A-AM</v>
      </c>
      <c r="F1660" s="4" t="str">
        <f>Fact_Defect_Split!F278</f>
        <v>A</v>
      </c>
      <c r="G1660" s="4" t="s">
        <v>517</v>
      </c>
      <c r="H1660" s="19">
        <f>Fact_Defect_Split!I278</f>
        <v>1</v>
      </c>
    </row>
    <row r="1661" spans="1:8" x14ac:dyDescent="0.25">
      <c r="A1661" s="18" t="s">
        <v>2642</v>
      </c>
      <c r="B1661" s="4">
        <f>Fact_Defect_Split!B278</f>
        <v>20260702</v>
      </c>
      <c r="C1661" s="4">
        <f>Fact_Defect_Split!C278</f>
        <v>15</v>
      </c>
      <c r="D1661" s="4" t="str">
        <f>Fact_Defect_Split!D278</f>
        <v>M4</v>
      </c>
      <c r="E1661" s="4" t="str">
        <f>Fact_Defect_Split!E278</f>
        <v>A-AM</v>
      </c>
      <c r="F1661" s="4" t="str">
        <f>Fact_Defect_Split!F278</f>
        <v>A</v>
      </c>
      <c r="G1661" s="4" t="s">
        <v>503</v>
      </c>
      <c r="H1661" s="19">
        <f>Fact_Defect_Split!J278</f>
        <v>0</v>
      </c>
    </row>
    <row r="1662" spans="1:8" x14ac:dyDescent="0.25">
      <c r="A1662" s="18" t="s">
        <v>2643</v>
      </c>
      <c r="B1662" s="4">
        <f>Fact_Defect_Split!B278</f>
        <v>20260702</v>
      </c>
      <c r="C1662" s="4">
        <f>Fact_Defect_Split!C278</f>
        <v>15</v>
      </c>
      <c r="D1662" s="4" t="str">
        <f>Fact_Defect_Split!D278</f>
        <v>M4</v>
      </c>
      <c r="E1662" s="4" t="str">
        <f>Fact_Defect_Split!E278</f>
        <v>A-AM</v>
      </c>
      <c r="F1662" s="4" t="str">
        <f>Fact_Defect_Split!F278</f>
        <v>A</v>
      </c>
      <c r="G1662" s="4" t="s">
        <v>509</v>
      </c>
      <c r="H1662" s="19">
        <f>Fact_Defect_Split!K278</f>
        <v>1</v>
      </c>
    </row>
    <row r="1663" spans="1:8" x14ac:dyDescent="0.25">
      <c r="A1663" s="18" t="s">
        <v>2644</v>
      </c>
      <c r="B1663" s="4">
        <f>Fact_Defect_Split!B278</f>
        <v>20260702</v>
      </c>
      <c r="C1663" s="4">
        <f>Fact_Defect_Split!C278</f>
        <v>15</v>
      </c>
      <c r="D1663" s="4" t="str">
        <f>Fact_Defect_Split!D278</f>
        <v>M4</v>
      </c>
      <c r="E1663" s="4" t="str">
        <f>Fact_Defect_Split!E278</f>
        <v>A-AM</v>
      </c>
      <c r="F1663" s="4" t="str">
        <f>Fact_Defect_Split!F278</f>
        <v>A</v>
      </c>
      <c r="G1663" s="4" t="s">
        <v>520</v>
      </c>
      <c r="H1663" s="19">
        <f>Fact_Defect_Split!L278</f>
        <v>0</v>
      </c>
    </row>
    <row r="1664" spans="1:8" x14ac:dyDescent="0.25">
      <c r="A1664" s="18" t="s">
        <v>2645</v>
      </c>
      <c r="B1664" s="4">
        <f>Fact_Defect_Split!B279</f>
        <v>20260702</v>
      </c>
      <c r="C1664" s="4">
        <f>Fact_Defect_Split!C279</f>
        <v>15</v>
      </c>
      <c r="D1664" s="4" t="str">
        <f>Fact_Defect_Split!D279</f>
        <v>M5</v>
      </c>
      <c r="E1664" s="4" t="str">
        <f>Fact_Defect_Split!E279</f>
        <v>A-AM</v>
      </c>
      <c r="F1664" s="4" t="str">
        <f>Fact_Defect_Split!F279</f>
        <v>C</v>
      </c>
      <c r="G1664" s="4" t="s">
        <v>498</v>
      </c>
      <c r="H1664" s="19">
        <f>Fact_Defect_Split!G279</f>
        <v>0</v>
      </c>
    </row>
    <row r="1665" spans="1:8" x14ac:dyDescent="0.25">
      <c r="A1665" s="18" t="s">
        <v>2646</v>
      </c>
      <c r="B1665" s="4">
        <f>Fact_Defect_Split!B279</f>
        <v>20260702</v>
      </c>
      <c r="C1665" s="4">
        <f>Fact_Defect_Split!C279</f>
        <v>15</v>
      </c>
      <c r="D1665" s="4" t="str">
        <f>Fact_Defect_Split!D279</f>
        <v>M5</v>
      </c>
      <c r="E1665" s="4" t="str">
        <f>Fact_Defect_Split!E279</f>
        <v>A-AM</v>
      </c>
      <c r="F1665" s="4" t="str">
        <f>Fact_Defect_Split!F279</f>
        <v>C</v>
      </c>
      <c r="G1665" s="4" t="s">
        <v>500</v>
      </c>
      <c r="H1665" s="19">
        <f>Fact_Defect_Split!H279</f>
        <v>0</v>
      </c>
    </row>
    <row r="1666" spans="1:8" x14ac:dyDescent="0.25">
      <c r="A1666" s="18" t="s">
        <v>2647</v>
      </c>
      <c r="B1666" s="4">
        <f>Fact_Defect_Split!B279</f>
        <v>20260702</v>
      </c>
      <c r="C1666" s="4">
        <f>Fact_Defect_Split!C279</f>
        <v>15</v>
      </c>
      <c r="D1666" s="4" t="str">
        <f>Fact_Defect_Split!D279</f>
        <v>M5</v>
      </c>
      <c r="E1666" s="4" t="str">
        <f>Fact_Defect_Split!E279</f>
        <v>A-AM</v>
      </c>
      <c r="F1666" s="4" t="str">
        <f>Fact_Defect_Split!F279</f>
        <v>C</v>
      </c>
      <c r="G1666" s="4" t="s">
        <v>517</v>
      </c>
      <c r="H1666" s="19">
        <f>Fact_Defect_Split!I279</f>
        <v>1</v>
      </c>
    </row>
    <row r="1667" spans="1:8" x14ac:dyDescent="0.25">
      <c r="A1667" s="18" t="s">
        <v>2648</v>
      </c>
      <c r="B1667" s="4">
        <f>Fact_Defect_Split!B279</f>
        <v>20260702</v>
      </c>
      <c r="C1667" s="4">
        <f>Fact_Defect_Split!C279</f>
        <v>15</v>
      </c>
      <c r="D1667" s="4" t="str">
        <f>Fact_Defect_Split!D279</f>
        <v>M5</v>
      </c>
      <c r="E1667" s="4" t="str">
        <f>Fact_Defect_Split!E279</f>
        <v>A-AM</v>
      </c>
      <c r="F1667" s="4" t="str">
        <f>Fact_Defect_Split!F279</f>
        <v>C</v>
      </c>
      <c r="G1667" s="4" t="s">
        <v>503</v>
      </c>
      <c r="H1667" s="19">
        <f>Fact_Defect_Split!J279</f>
        <v>0</v>
      </c>
    </row>
    <row r="1668" spans="1:8" x14ac:dyDescent="0.25">
      <c r="A1668" s="18" t="s">
        <v>2649</v>
      </c>
      <c r="B1668" s="4">
        <f>Fact_Defect_Split!B279</f>
        <v>20260702</v>
      </c>
      <c r="C1668" s="4">
        <f>Fact_Defect_Split!C279</f>
        <v>15</v>
      </c>
      <c r="D1668" s="4" t="str">
        <f>Fact_Defect_Split!D279</f>
        <v>M5</v>
      </c>
      <c r="E1668" s="4" t="str">
        <f>Fact_Defect_Split!E279</f>
        <v>A-AM</v>
      </c>
      <c r="F1668" s="4" t="str">
        <f>Fact_Defect_Split!F279</f>
        <v>C</v>
      </c>
      <c r="G1668" s="4" t="s">
        <v>509</v>
      </c>
      <c r="H1668" s="19">
        <f>Fact_Defect_Split!K279</f>
        <v>0</v>
      </c>
    </row>
    <row r="1669" spans="1:8" x14ac:dyDescent="0.25">
      <c r="A1669" s="18" t="s">
        <v>2650</v>
      </c>
      <c r="B1669" s="4">
        <f>Fact_Defect_Split!B279</f>
        <v>20260702</v>
      </c>
      <c r="C1669" s="4">
        <f>Fact_Defect_Split!C279</f>
        <v>15</v>
      </c>
      <c r="D1669" s="4" t="str">
        <f>Fact_Defect_Split!D279</f>
        <v>M5</v>
      </c>
      <c r="E1669" s="4" t="str">
        <f>Fact_Defect_Split!E279</f>
        <v>A-AM</v>
      </c>
      <c r="F1669" s="4" t="str">
        <f>Fact_Defect_Split!F279</f>
        <v>C</v>
      </c>
      <c r="G1669" s="4" t="s">
        <v>520</v>
      </c>
      <c r="H1669" s="19">
        <f>Fact_Defect_Split!L279</f>
        <v>1</v>
      </c>
    </row>
    <row r="1670" spans="1:8" x14ac:dyDescent="0.25">
      <c r="A1670" s="18" t="s">
        <v>2651</v>
      </c>
      <c r="B1670" s="4">
        <f>Fact_Defect_Split!B280</f>
        <v>20260702</v>
      </c>
      <c r="C1670" s="4">
        <f>Fact_Defect_Split!C280</f>
        <v>15</v>
      </c>
      <c r="D1670" s="4" t="str">
        <f>Fact_Defect_Split!D280</f>
        <v>M6</v>
      </c>
      <c r="E1670" s="4" t="str">
        <f>Fact_Defect_Split!E280</f>
        <v>A-AM</v>
      </c>
      <c r="F1670" s="4" t="str">
        <f>Fact_Defect_Split!F280</f>
        <v>C</v>
      </c>
      <c r="G1670" s="4" t="s">
        <v>498</v>
      </c>
      <c r="H1670" s="19">
        <f>Fact_Defect_Split!G280</f>
        <v>0</v>
      </c>
    </row>
    <row r="1671" spans="1:8" x14ac:dyDescent="0.25">
      <c r="A1671" s="18" t="s">
        <v>2652</v>
      </c>
      <c r="B1671" s="4">
        <f>Fact_Defect_Split!B280</f>
        <v>20260702</v>
      </c>
      <c r="C1671" s="4">
        <f>Fact_Defect_Split!C280</f>
        <v>15</v>
      </c>
      <c r="D1671" s="4" t="str">
        <f>Fact_Defect_Split!D280</f>
        <v>M6</v>
      </c>
      <c r="E1671" s="4" t="str">
        <f>Fact_Defect_Split!E280</f>
        <v>A-AM</v>
      </c>
      <c r="F1671" s="4" t="str">
        <f>Fact_Defect_Split!F280</f>
        <v>C</v>
      </c>
      <c r="G1671" s="4" t="s">
        <v>500</v>
      </c>
      <c r="H1671" s="19">
        <f>Fact_Defect_Split!H280</f>
        <v>0</v>
      </c>
    </row>
    <row r="1672" spans="1:8" x14ac:dyDescent="0.25">
      <c r="A1672" s="18" t="s">
        <v>2653</v>
      </c>
      <c r="B1672" s="4">
        <f>Fact_Defect_Split!B280</f>
        <v>20260702</v>
      </c>
      <c r="C1672" s="4">
        <f>Fact_Defect_Split!C280</f>
        <v>15</v>
      </c>
      <c r="D1672" s="4" t="str">
        <f>Fact_Defect_Split!D280</f>
        <v>M6</v>
      </c>
      <c r="E1672" s="4" t="str">
        <f>Fact_Defect_Split!E280</f>
        <v>A-AM</v>
      </c>
      <c r="F1672" s="4" t="str">
        <f>Fact_Defect_Split!F280</f>
        <v>C</v>
      </c>
      <c r="G1672" s="4" t="s">
        <v>517</v>
      </c>
      <c r="H1672" s="19">
        <f>Fact_Defect_Split!I280</f>
        <v>0</v>
      </c>
    </row>
    <row r="1673" spans="1:8" x14ac:dyDescent="0.25">
      <c r="A1673" s="18" t="s">
        <v>2654</v>
      </c>
      <c r="B1673" s="4">
        <f>Fact_Defect_Split!B280</f>
        <v>20260702</v>
      </c>
      <c r="C1673" s="4">
        <f>Fact_Defect_Split!C280</f>
        <v>15</v>
      </c>
      <c r="D1673" s="4" t="str">
        <f>Fact_Defect_Split!D280</f>
        <v>M6</v>
      </c>
      <c r="E1673" s="4" t="str">
        <f>Fact_Defect_Split!E280</f>
        <v>A-AM</v>
      </c>
      <c r="F1673" s="4" t="str">
        <f>Fact_Defect_Split!F280</f>
        <v>C</v>
      </c>
      <c r="G1673" s="4" t="s">
        <v>503</v>
      </c>
      <c r="H1673" s="19">
        <f>Fact_Defect_Split!J280</f>
        <v>0</v>
      </c>
    </row>
    <row r="1674" spans="1:8" x14ac:dyDescent="0.25">
      <c r="A1674" s="18" t="s">
        <v>2655</v>
      </c>
      <c r="B1674" s="4">
        <f>Fact_Defect_Split!B280</f>
        <v>20260702</v>
      </c>
      <c r="C1674" s="4">
        <f>Fact_Defect_Split!C280</f>
        <v>15</v>
      </c>
      <c r="D1674" s="4" t="str">
        <f>Fact_Defect_Split!D280</f>
        <v>M6</v>
      </c>
      <c r="E1674" s="4" t="str">
        <f>Fact_Defect_Split!E280</f>
        <v>A-AM</v>
      </c>
      <c r="F1674" s="4" t="str">
        <f>Fact_Defect_Split!F280</f>
        <v>C</v>
      </c>
      <c r="G1674" s="4" t="s">
        <v>509</v>
      </c>
      <c r="H1674" s="19">
        <f>Fact_Defect_Split!K280</f>
        <v>0</v>
      </c>
    </row>
    <row r="1675" spans="1:8" x14ac:dyDescent="0.25">
      <c r="A1675" s="18" t="s">
        <v>2656</v>
      </c>
      <c r="B1675" s="4">
        <f>Fact_Defect_Split!B280</f>
        <v>20260702</v>
      </c>
      <c r="C1675" s="4">
        <f>Fact_Defect_Split!C280</f>
        <v>15</v>
      </c>
      <c r="D1675" s="4" t="str">
        <f>Fact_Defect_Split!D280</f>
        <v>M6</v>
      </c>
      <c r="E1675" s="4" t="str">
        <f>Fact_Defect_Split!E280</f>
        <v>A-AM</v>
      </c>
      <c r="F1675" s="4" t="str">
        <f>Fact_Defect_Split!F280</f>
        <v>C</v>
      </c>
      <c r="G1675" s="4" t="s">
        <v>520</v>
      </c>
      <c r="H1675" s="19">
        <f>Fact_Defect_Split!L280</f>
        <v>0</v>
      </c>
    </row>
    <row r="1676" spans="1:8" x14ac:dyDescent="0.25">
      <c r="A1676" s="18" t="s">
        <v>2657</v>
      </c>
      <c r="B1676" s="4">
        <f>Fact_Defect_Split!B281</f>
        <v>20260702</v>
      </c>
      <c r="C1676" s="4">
        <f>Fact_Defect_Split!C281</f>
        <v>15</v>
      </c>
      <c r="D1676" s="4" t="str">
        <f>Fact_Defect_Split!D281</f>
        <v>M7</v>
      </c>
      <c r="E1676" s="4" t="str">
        <f>Fact_Defect_Split!E281</f>
        <v>A-AM</v>
      </c>
      <c r="F1676" s="4" t="str">
        <f>Fact_Defect_Split!F281</f>
        <v>C</v>
      </c>
      <c r="G1676" s="4" t="s">
        <v>498</v>
      </c>
      <c r="H1676" s="19">
        <f>Fact_Defect_Split!G281</f>
        <v>0</v>
      </c>
    </row>
    <row r="1677" spans="1:8" x14ac:dyDescent="0.25">
      <c r="A1677" s="18" t="s">
        <v>2658</v>
      </c>
      <c r="B1677" s="4">
        <f>Fact_Defect_Split!B281</f>
        <v>20260702</v>
      </c>
      <c r="C1677" s="4">
        <f>Fact_Defect_Split!C281</f>
        <v>15</v>
      </c>
      <c r="D1677" s="4" t="str">
        <f>Fact_Defect_Split!D281</f>
        <v>M7</v>
      </c>
      <c r="E1677" s="4" t="str">
        <f>Fact_Defect_Split!E281</f>
        <v>A-AM</v>
      </c>
      <c r="F1677" s="4" t="str">
        <f>Fact_Defect_Split!F281</f>
        <v>C</v>
      </c>
      <c r="G1677" s="4" t="s">
        <v>500</v>
      </c>
      <c r="H1677" s="19">
        <f>Fact_Defect_Split!H281</f>
        <v>0</v>
      </c>
    </row>
    <row r="1678" spans="1:8" x14ac:dyDescent="0.25">
      <c r="A1678" s="18" t="s">
        <v>2659</v>
      </c>
      <c r="B1678" s="4">
        <f>Fact_Defect_Split!B281</f>
        <v>20260702</v>
      </c>
      <c r="C1678" s="4">
        <f>Fact_Defect_Split!C281</f>
        <v>15</v>
      </c>
      <c r="D1678" s="4" t="str">
        <f>Fact_Defect_Split!D281</f>
        <v>M7</v>
      </c>
      <c r="E1678" s="4" t="str">
        <f>Fact_Defect_Split!E281</f>
        <v>A-AM</v>
      </c>
      <c r="F1678" s="4" t="str">
        <f>Fact_Defect_Split!F281</f>
        <v>C</v>
      </c>
      <c r="G1678" s="4" t="s">
        <v>517</v>
      </c>
      <c r="H1678" s="19">
        <f>Fact_Defect_Split!I281</f>
        <v>0</v>
      </c>
    </row>
    <row r="1679" spans="1:8" x14ac:dyDescent="0.25">
      <c r="A1679" s="18" t="s">
        <v>2660</v>
      </c>
      <c r="B1679" s="4">
        <f>Fact_Defect_Split!B281</f>
        <v>20260702</v>
      </c>
      <c r="C1679" s="4">
        <f>Fact_Defect_Split!C281</f>
        <v>15</v>
      </c>
      <c r="D1679" s="4" t="str">
        <f>Fact_Defect_Split!D281</f>
        <v>M7</v>
      </c>
      <c r="E1679" s="4" t="str">
        <f>Fact_Defect_Split!E281</f>
        <v>A-AM</v>
      </c>
      <c r="F1679" s="4" t="str">
        <f>Fact_Defect_Split!F281</f>
        <v>C</v>
      </c>
      <c r="G1679" s="4" t="s">
        <v>503</v>
      </c>
      <c r="H1679" s="19">
        <f>Fact_Defect_Split!J281</f>
        <v>1</v>
      </c>
    </row>
    <row r="1680" spans="1:8" x14ac:dyDescent="0.25">
      <c r="A1680" s="18" t="s">
        <v>2661</v>
      </c>
      <c r="B1680" s="4">
        <f>Fact_Defect_Split!B281</f>
        <v>20260702</v>
      </c>
      <c r="C1680" s="4">
        <f>Fact_Defect_Split!C281</f>
        <v>15</v>
      </c>
      <c r="D1680" s="4" t="str">
        <f>Fact_Defect_Split!D281</f>
        <v>M7</v>
      </c>
      <c r="E1680" s="4" t="str">
        <f>Fact_Defect_Split!E281</f>
        <v>A-AM</v>
      </c>
      <c r="F1680" s="4" t="str">
        <f>Fact_Defect_Split!F281</f>
        <v>C</v>
      </c>
      <c r="G1680" s="4" t="s">
        <v>509</v>
      </c>
      <c r="H1680" s="19">
        <f>Fact_Defect_Split!K281</f>
        <v>0</v>
      </c>
    </row>
    <row r="1681" spans="1:8" x14ac:dyDescent="0.25">
      <c r="A1681" s="18" t="s">
        <v>2662</v>
      </c>
      <c r="B1681" s="4">
        <f>Fact_Defect_Split!B281</f>
        <v>20260702</v>
      </c>
      <c r="C1681" s="4">
        <f>Fact_Defect_Split!C281</f>
        <v>15</v>
      </c>
      <c r="D1681" s="4" t="str">
        <f>Fact_Defect_Split!D281</f>
        <v>M7</v>
      </c>
      <c r="E1681" s="4" t="str">
        <f>Fact_Defect_Split!E281</f>
        <v>A-AM</v>
      </c>
      <c r="F1681" s="4" t="str">
        <f>Fact_Defect_Split!F281</f>
        <v>C</v>
      </c>
      <c r="G1681" s="4" t="s">
        <v>520</v>
      </c>
      <c r="H1681" s="19">
        <f>Fact_Defect_Split!L281</f>
        <v>1</v>
      </c>
    </row>
    <row r="1682" spans="1:8" x14ac:dyDescent="0.25">
      <c r="A1682" s="18" t="s">
        <v>2663</v>
      </c>
      <c r="B1682" s="4">
        <f>Fact_Defect_Split!B282</f>
        <v>20260702</v>
      </c>
      <c r="C1682" s="4">
        <f>Fact_Defect_Split!C282</f>
        <v>16</v>
      </c>
      <c r="D1682" s="4" t="str">
        <f>Fact_Defect_Split!D282</f>
        <v>M1</v>
      </c>
      <c r="E1682" s="4" t="str">
        <f>Fact_Defect_Split!E282</f>
        <v>A-AM</v>
      </c>
      <c r="F1682" s="4" t="str">
        <f>Fact_Defect_Split!F282</f>
        <v>C</v>
      </c>
      <c r="G1682" s="4" t="s">
        <v>498</v>
      </c>
      <c r="H1682" s="19">
        <f>Fact_Defect_Split!G282</f>
        <v>0</v>
      </c>
    </row>
    <row r="1683" spans="1:8" x14ac:dyDescent="0.25">
      <c r="A1683" s="18" t="s">
        <v>2664</v>
      </c>
      <c r="B1683" s="4">
        <f>Fact_Defect_Split!B282</f>
        <v>20260702</v>
      </c>
      <c r="C1683" s="4">
        <f>Fact_Defect_Split!C282</f>
        <v>16</v>
      </c>
      <c r="D1683" s="4" t="str">
        <f>Fact_Defect_Split!D282</f>
        <v>M1</v>
      </c>
      <c r="E1683" s="4" t="str">
        <f>Fact_Defect_Split!E282</f>
        <v>A-AM</v>
      </c>
      <c r="F1683" s="4" t="str">
        <f>Fact_Defect_Split!F282</f>
        <v>C</v>
      </c>
      <c r="G1683" s="4" t="s">
        <v>500</v>
      </c>
      <c r="H1683" s="19">
        <f>Fact_Defect_Split!H282</f>
        <v>0</v>
      </c>
    </row>
    <row r="1684" spans="1:8" x14ac:dyDescent="0.25">
      <c r="A1684" s="18" t="s">
        <v>2665</v>
      </c>
      <c r="B1684" s="4">
        <f>Fact_Defect_Split!B282</f>
        <v>20260702</v>
      </c>
      <c r="C1684" s="4">
        <f>Fact_Defect_Split!C282</f>
        <v>16</v>
      </c>
      <c r="D1684" s="4" t="str">
        <f>Fact_Defect_Split!D282</f>
        <v>M1</v>
      </c>
      <c r="E1684" s="4" t="str">
        <f>Fact_Defect_Split!E282</f>
        <v>A-AM</v>
      </c>
      <c r="F1684" s="4" t="str">
        <f>Fact_Defect_Split!F282</f>
        <v>C</v>
      </c>
      <c r="G1684" s="4" t="s">
        <v>517</v>
      </c>
      <c r="H1684" s="19">
        <f>Fact_Defect_Split!I282</f>
        <v>1</v>
      </c>
    </row>
    <row r="1685" spans="1:8" x14ac:dyDescent="0.25">
      <c r="A1685" s="18" t="s">
        <v>2666</v>
      </c>
      <c r="B1685" s="4">
        <f>Fact_Defect_Split!B282</f>
        <v>20260702</v>
      </c>
      <c r="C1685" s="4">
        <f>Fact_Defect_Split!C282</f>
        <v>16</v>
      </c>
      <c r="D1685" s="4" t="str">
        <f>Fact_Defect_Split!D282</f>
        <v>M1</v>
      </c>
      <c r="E1685" s="4" t="str">
        <f>Fact_Defect_Split!E282</f>
        <v>A-AM</v>
      </c>
      <c r="F1685" s="4" t="str">
        <f>Fact_Defect_Split!F282</f>
        <v>C</v>
      </c>
      <c r="G1685" s="4" t="s">
        <v>503</v>
      </c>
      <c r="H1685" s="19">
        <f>Fact_Defect_Split!J282</f>
        <v>0</v>
      </c>
    </row>
    <row r="1686" spans="1:8" x14ac:dyDescent="0.25">
      <c r="A1686" s="18" t="s">
        <v>2667</v>
      </c>
      <c r="B1686" s="4">
        <f>Fact_Defect_Split!B282</f>
        <v>20260702</v>
      </c>
      <c r="C1686" s="4">
        <f>Fact_Defect_Split!C282</f>
        <v>16</v>
      </c>
      <c r="D1686" s="4" t="str">
        <f>Fact_Defect_Split!D282</f>
        <v>M1</v>
      </c>
      <c r="E1686" s="4" t="str">
        <f>Fact_Defect_Split!E282</f>
        <v>A-AM</v>
      </c>
      <c r="F1686" s="4" t="str">
        <f>Fact_Defect_Split!F282</f>
        <v>C</v>
      </c>
      <c r="G1686" s="4" t="s">
        <v>509</v>
      </c>
      <c r="H1686" s="19">
        <f>Fact_Defect_Split!K282</f>
        <v>1</v>
      </c>
    </row>
    <row r="1687" spans="1:8" x14ac:dyDescent="0.25">
      <c r="A1687" s="18" t="s">
        <v>2668</v>
      </c>
      <c r="B1687" s="4">
        <f>Fact_Defect_Split!B282</f>
        <v>20260702</v>
      </c>
      <c r="C1687" s="4">
        <f>Fact_Defect_Split!C282</f>
        <v>16</v>
      </c>
      <c r="D1687" s="4" t="str">
        <f>Fact_Defect_Split!D282</f>
        <v>M1</v>
      </c>
      <c r="E1687" s="4" t="str">
        <f>Fact_Defect_Split!E282</f>
        <v>A-AM</v>
      </c>
      <c r="F1687" s="4" t="str">
        <f>Fact_Defect_Split!F282</f>
        <v>C</v>
      </c>
      <c r="G1687" s="4" t="s">
        <v>520</v>
      </c>
      <c r="H1687" s="19">
        <f>Fact_Defect_Split!L282</f>
        <v>0</v>
      </c>
    </row>
    <row r="1688" spans="1:8" x14ac:dyDescent="0.25">
      <c r="A1688" s="18" t="s">
        <v>2669</v>
      </c>
      <c r="B1688" s="4">
        <f>Fact_Defect_Split!B283</f>
        <v>20260702</v>
      </c>
      <c r="C1688" s="4">
        <f>Fact_Defect_Split!C283</f>
        <v>16</v>
      </c>
      <c r="D1688" s="4" t="str">
        <f>Fact_Defect_Split!D283</f>
        <v>M2</v>
      </c>
      <c r="E1688" s="4" t="str">
        <f>Fact_Defect_Split!E283</f>
        <v>A-AM</v>
      </c>
      <c r="F1688" s="4" t="str">
        <f>Fact_Defect_Split!F283</f>
        <v>A</v>
      </c>
      <c r="G1688" s="4" t="s">
        <v>498</v>
      </c>
      <c r="H1688" s="19">
        <f>Fact_Defect_Split!G283</f>
        <v>0</v>
      </c>
    </row>
    <row r="1689" spans="1:8" x14ac:dyDescent="0.25">
      <c r="A1689" s="18" t="s">
        <v>2670</v>
      </c>
      <c r="B1689" s="4">
        <f>Fact_Defect_Split!B283</f>
        <v>20260702</v>
      </c>
      <c r="C1689" s="4">
        <f>Fact_Defect_Split!C283</f>
        <v>16</v>
      </c>
      <c r="D1689" s="4" t="str">
        <f>Fact_Defect_Split!D283</f>
        <v>M2</v>
      </c>
      <c r="E1689" s="4" t="str">
        <f>Fact_Defect_Split!E283</f>
        <v>A-AM</v>
      </c>
      <c r="F1689" s="4" t="str">
        <f>Fact_Defect_Split!F283</f>
        <v>A</v>
      </c>
      <c r="G1689" s="4" t="s">
        <v>500</v>
      </c>
      <c r="H1689" s="19">
        <f>Fact_Defect_Split!H283</f>
        <v>0</v>
      </c>
    </row>
    <row r="1690" spans="1:8" x14ac:dyDescent="0.25">
      <c r="A1690" s="18" t="s">
        <v>2671</v>
      </c>
      <c r="B1690" s="4">
        <f>Fact_Defect_Split!B283</f>
        <v>20260702</v>
      </c>
      <c r="C1690" s="4">
        <f>Fact_Defect_Split!C283</f>
        <v>16</v>
      </c>
      <c r="D1690" s="4" t="str">
        <f>Fact_Defect_Split!D283</f>
        <v>M2</v>
      </c>
      <c r="E1690" s="4" t="str">
        <f>Fact_Defect_Split!E283</f>
        <v>A-AM</v>
      </c>
      <c r="F1690" s="4" t="str">
        <f>Fact_Defect_Split!F283</f>
        <v>A</v>
      </c>
      <c r="G1690" s="4" t="s">
        <v>517</v>
      </c>
      <c r="H1690" s="19">
        <f>Fact_Defect_Split!I283</f>
        <v>0</v>
      </c>
    </row>
    <row r="1691" spans="1:8" x14ac:dyDescent="0.25">
      <c r="A1691" s="18" t="s">
        <v>2672</v>
      </c>
      <c r="B1691" s="4">
        <f>Fact_Defect_Split!B283</f>
        <v>20260702</v>
      </c>
      <c r="C1691" s="4">
        <f>Fact_Defect_Split!C283</f>
        <v>16</v>
      </c>
      <c r="D1691" s="4" t="str">
        <f>Fact_Defect_Split!D283</f>
        <v>M2</v>
      </c>
      <c r="E1691" s="4" t="str">
        <f>Fact_Defect_Split!E283</f>
        <v>A-AM</v>
      </c>
      <c r="F1691" s="4" t="str">
        <f>Fact_Defect_Split!F283</f>
        <v>A</v>
      </c>
      <c r="G1691" s="4" t="s">
        <v>503</v>
      </c>
      <c r="H1691" s="19">
        <f>Fact_Defect_Split!J283</f>
        <v>0</v>
      </c>
    </row>
    <row r="1692" spans="1:8" x14ac:dyDescent="0.25">
      <c r="A1692" s="18" t="s">
        <v>2673</v>
      </c>
      <c r="B1692" s="4">
        <f>Fact_Defect_Split!B283</f>
        <v>20260702</v>
      </c>
      <c r="C1692" s="4">
        <f>Fact_Defect_Split!C283</f>
        <v>16</v>
      </c>
      <c r="D1692" s="4" t="str">
        <f>Fact_Defect_Split!D283</f>
        <v>M2</v>
      </c>
      <c r="E1692" s="4" t="str">
        <f>Fact_Defect_Split!E283</f>
        <v>A-AM</v>
      </c>
      <c r="F1692" s="4" t="str">
        <f>Fact_Defect_Split!F283</f>
        <v>A</v>
      </c>
      <c r="G1692" s="4" t="s">
        <v>509</v>
      </c>
      <c r="H1692" s="19">
        <f>Fact_Defect_Split!K283</f>
        <v>1</v>
      </c>
    </row>
    <row r="1693" spans="1:8" x14ac:dyDescent="0.25">
      <c r="A1693" s="18" t="s">
        <v>2674</v>
      </c>
      <c r="B1693" s="4">
        <f>Fact_Defect_Split!B283</f>
        <v>20260702</v>
      </c>
      <c r="C1693" s="4">
        <f>Fact_Defect_Split!C283</f>
        <v>16</v>
      </c>
      <c r="D1693" s="4" t="str">
        <f>Fact_Defect_Split!D283</f>
        <v>M2</v>
      </c>
      <c r="E1693" s="4" t="str">
        <f>Fact_Defect_Split!E283</f>
        <v>A-AM</v>
      </c>
      <c r="F1693" s="4" t="str">
        <f>Fact_Defect_Split!F283</f>
        <v>A</v>
      </c>
      <c r="G1693" s="4" t="s">
        <v>520</v>
      </c>
      <c r="H1693" s="19">
        <f>Fact_Defect_Split!L283</f>
        <v>0</v>
      </c>
    </row>
    <row r="1694" spans="1:8" x14ac:dyDescent="0.25">
      <c r="A1694" s="18" t="s">
        <v>2675</v>
      </c>
      <c r="B1694" s="4">
        <f>Fact_Defect_Split!B284</f>
        <v>20260702</v>
      </c>
      <c r="C1694" s="4">
        <f>Fact_Defect_Split!C284</f>
        <v>16</v>
      </c>
      <c r="D1694" s="4" t="str">
        <f>Fact_Defect_Split!D284</f>
        <v>M3</v>
      </c>
      <c r="E1694" s="4" t="str">
        <f>Fact_Defect_Split!E284</f>
        <v>A-AM</v>
      </c>
      <c r="F1694" s="4" t="str">
        <f>Fact_Defect_Split!F284</f>
        <v>A</v>
      </c>
      <c r="G1694" s="4" t="s">
        <v>498</v>
      </c>
      <c r="H1694" s="19">
        <f>Fact_Defect_Split!G284</f>
        <v>0</v>
      </c>
    </row>
    <row r="1695" spans="1:8" x14ac:dyDescent="0.25">
      <c r="A1695" s="18" t="s">
        <v>2676</v>
      </c>
      <c r="B1695" s="4">
        <f>Fact_Defect_Split!B284</f>
        <v>20260702</v>
      </c>
      <c r="C1695" s="4">
        <f>Fact_Defect_Split!C284</f>
        <v>16</v>
      </c>
      <c r="D1695" s="4" t="str">
        <f>Fact_Defect_Split!D284</f>
        <v>M3</v>
      </c>
      <c r="E1695" s="4" t="str">
        <f>Fact_Defect_Split!E284</f>
        <v>A-AM</v>
      </c>
      <c r="F1695" s="4" t="str">
        <f>Fact_Defect_Split!F284</f>
        <v>A</v>
      </c>
      <c r="G1695" s="4" t="s">
        <v>500</v>
      </c>
      <c r="H1695" s="19">
        <f>Fact_Defect_Split!H284</f>
        <v>0</v>
      </c>
    </row>
    <row r="1696" spans="1:8" x14ac:dyDescent="0.25">
      <c r="A1696" s="18" t="s">
        <v>2677</v>
      </c>
      <c r="B1696" s="4">
        <f>Fact_Defect_Split!B284</f>
        <v>20260702</v>
      </c>
      <c r="C1696" s="4">
        <f>Fact_Defect_Split!C284</f>
        <v>16</v>
      </c>
      <c r="D1696" s="4" t="str">
        <f>Fact_Defect_Split!D284</f>
        <v>M3</v>
      </c>
      <c r="E1696" s="4" t="str">
        <f>Fact_Defect_Split!E284</f>
        <v>A-AM</v>
      </c>
      <c r="F1696" s="4" t="str">
        <f>Fact_Defect_Split!F284</f>
        <v>A</v>
      </c>
      <c r="G1696" s="4" t="s">
        <v>517</v>
      </c>
      <c r="H1696" s="19">
        <f>Fact_Defect_Split!I284</f>
        <v>0</v>
      </c>
    </row>
    <row r="1697" spans="1:8" x14ac:dyDescent="0.25">
      <c r="A1697" s="18" t="s">
        <v>2678</v>
      </c>
      <c r="B1697" s="4">
        <f>Fact_Defect_Split!B284</f>
        <v>20260702</v>
      </c>
      <c r="C1697" s="4">
        <f>Fact_Defect_Split!C284</f>
        <v>16</v>
      </c>
      <c r="D1697" s="4" t="str">
        <f>Fact_Defect_Split!D284</f>
        <v>M3</v>
      </c>
      <c r="E1697" s="4" t="str">
        <f>Fact_Defect_Split!E284</f>
        <v>A-AM</v>
      </c>
      <c r="F1697" s="4" t="str">
        <f>Fact_Defect_Split!F284</f>
        <v>A</v>
      </c>
      <c r="G1697" s="4" t="s">
        <v>503</v>
      </c>
      <c r="H1697" s="19">
        <f>Fact_Defect_Split!J284</f>
        <v>0</v>
      </c>
    </row>
    <row r="1698" spans="1:8" x14ac:dyDescent="0.25">
      <c r="A1698" s="18" t="s">
        <v>2679</v>
      </c>
      <c r="B1698" s="4">
        <f>Fact_Defect_Split!B284</f>
        <v>20260702</v>
      </c>
      <c r="C1698" s="4">
        <f>Fact_Defect_Split!C284</f>
        <v>16</v>
      </c>
      <c r="D1698" s="4" t="str">
        <f>Fact_Defect_Split!D284</f>
        <v>M3</v>
      </c>
      <c r="E1698" s="4" t="str">
        <f>Fact_Defect_Split!E284</f>
        <v>A-AM</v>
      </c>
      <c r="F1698" s="4" t="str">
        <f>Fact_Defect_Split!F284</f>
        <v>A</v>
      </c>
      <c r="G1698" s="4" t="s">
        <v>509</v>
      </c>
      <c r="H1698" s="19">
        <f>Fact_Defect_Split!K284</f>
        <v>0</v>
      </c>
    </row>
    <row r="1699" spans="1:8" x14ac:dyDescent="0.25">
      <c r="A1699" s="18" t="s">
        <v>2680</v>
      </c>
      <c r="B1699" s="4">
        <f>Fact_Defect_Split!B284</f>
        <v>20260702</v>
      </c>
      <c r="C1699" s="4">
        <f>Fact_Defect_Split!C284</f>
        <v>16</v>
      </c>
      <c r="D1699" s="4" t="str">
        <f>Fact_Defect_Split!D284</f>
        <v>M3</v>
      </c>
      <c r="E1699" s="4" t="str">
        <f>Fact_Defect_Split!E284</f>
        <v>A-AM</v>
      </c>
      <c r="F1699" s="4" t="str">
        <f>Fact_Defect_Split!F284</f>
        <v>A</v>
      </c>
      <c r="G1699" s="4" t="s">
        <v>520</v>
      </c>
      <c r="H1699" s="19">
        <f>Fact_Defect_Split!L284</f>
        <v>0</v>
      </c>
    </row>
    <row r="1700" spans="1:8" x14ac:dyDescent="0.25">
      <c r="A1700" s="18" t="s">
        <v>2681</v>
      </c>
      <c r="B1700" s="4">
        <f>Fact_Defect_Split!B285</f>
        <v>20260702</v>
      </c>
      <c r="C1700" s="4">
        <f>Fact_Defect_Split!C285</f>
        <v>16</v>
      </c>
      <c r="D1700" s="4" t="str">
        <f>Fact_Defect_Split!D285</f>
        <v>M4</v>
      </c>
      <c r="E1700" s="4" t="str">
        <f>Fact_Defect_Split!E285</f>
        <v>A-AM</v>
      </c>
      <c r="F1700" s="4" t="str">
        <f>Fact_Defect_Split!F285</f>
        <v>A</v>
      </c>
      <c r="G1700" s="4" t="s">
        <v>498</v>
      </c>
      <c r="H1700" s="19">
        <f>Fact_Defect_Split!G285</f>
        <v>0</v>
      </c>
    </row>
    <row r="1701" spans="1:8" x14ac:dyDescent="0.25">
      <c r="A1701" s="18" t="s">
        <v>2682</v>
      </c>
      <c r="B1701" s="4">
        <f>Fact_Defect_Split!B285</f>
        <v>20260702</v>
      </c>
      <c r="C1701" s="4">
        <f>Fact_Defect_Split!C285</f>
        <v>16</v>
      </c>
      <c r="D1701" s="4" t="str">
        <f>Fact_Defect_Split!D285</f>
        <v>M4</v>
      </c>
      <c r="E1701" s="4" t="str">
        <f>Fact_Defect_Split!E285</f>
        <v>A-AM</v>
      </c>
      <c r="F1701" s="4" t="str">
        <f>Fact_Defect_Split!F285</f>
        <v>A</v>
      </c>
      <c r="G1701" s="4" t="s">
        <v>500</v>
      </c>
      <c r="H1701" s="19">
        <f>Fact_Defect_Split!H285</f>
        <v>0</v>
      </c>
    </row>
    <row r="1702" spans="1:8" x14ac:dyDescent="0.25">
      <c r="A1702" s="18" t="s">
        <v>2683</v>
      </c>
      <c r="B1702" s="4">
        <f>Fact_Defect_Split!B285</f>
        <v>20260702</v>
      </c>
      <c r="C1702" s="4">
        <f>Fact_Defect_Split!C285</f>
        <v>16</v>
      </c>
      <c r="D1702" s="4" t="str">
        <f>Fact_Defect_Split!D285</f>
        <v>M4</v>
      </c>
      <c r="E1702" s="4" t="str">
        <f>Fact_Defect_Split!E285</f>
        <v>A-AM</v>
      </c>
      <c r="F1702" s="4" t="str">
        <f>Fact_Defect_Split!F285</f>
        <v>A</v>
      </c>
      <c r="G1702" s="4" t="s">
        <v>517</v>
      </c>
      <c r="H1702" s="19">
        <f>Fact_Defect_Split!I285</f>
        <v>1</v>
      </c>
    </row>
    <row r="1703" spans="1:8" x14ac:dyDescent="0.25">
      <c r="A1703" s="18" t="s">
        <v>2684</v>
      </c>
      <c r="B1703" s="4">
        <f>Fact_Defect_Split!B285</f>
        <v>20260702</v>
      </c>
      <c r="C1703" s="4">
        <f>Fact_Defect_Split!C285</f>
        <v>16</v>
      </c>
      <c r="D1703" s="4" t="str">
        <f>Fact_Defect_Split!D285</f>
        <v>M4</v>
      </c>
      <c r="E1703" s="4" t="str">
        <f>Fact_Defect_Split!E285</f>
        <v>A-AM</v>
      </c>
      <c r="F1703" s="4" t="str">
        <f>Fact_Defect_Split!F285</f>
        <v>A</v>
      </c>
      <c r="G1703" s="4" t="s">
        <v>503</v>
      </c>
      <c r="H1703" s="19">
        <f>Fact_Defect_Split!J285</f>
        <v>0</v>
      </c>
    </row>
    <row r="1704" spans="1:8" x14ac:dyDescent="0.25">
      <c r="A1704" s="18" t="s">
        <v>2685</v>
      </c>
      <c r="B1704" s="4">
        <f>Fact_Defect_Split!B285</f>
        <v>20260702</v>
      </c>
      <c r="C1704" s="4">
        <f>Fact_Defect_Split!C285</f>
        <v>16</v>
      </c>
      <c r="D1704" s="4" t="str">
        <f>Fact_Defect_Split!D285</f>
        <v>M4</v>
      </c>
      <c r="E1704" s="4" t="str">
        <f>Fact_Defect_Split!E285</f>
        <v>A-AM</v>
      </c>
      <c r="F1704" s="4" t="str">
        <f>Fact_Defect_Split!F285</f>
        <v>A</v>
      </c>
      <c r="G1704" s="4" t="s">
        <v>509</v>
      </c>
      <c r="H1704" s="19">
        <f>Fact_Defect_Split!K285</f>
        <v>1</v>
      </c>
    </row>
    <row r="1705" spans="1:8" x14ac:dyDescent="0.25">
      <c r="A1705" s="18" t="s">
        <v>2686</v>
      </c>
      <c r="B1705" s="4">
        <f>Fact_Defect_Split!B285</f>
        <v>20260702</v>
      </c>
      <c r="C1705" s="4">
        <f>Fact_Defect_Split!C285</f>
        <v>16</v>
      </c>
      <c r="D1705" s="4" t="str">
        <f>Fact_Defect_Split!D285</f>
        <v>M4</v>
      </c>
      <c r="E1705" s="4" t="str">
        <f>Fact_Defect_Split!E285</f>
        <v>A-AM</v>
      </c>
      <c r="F1705" s="4" t="str">
        <f>Fact_Defect_Split!F285</f>
        <v>A</v>
      </c>
      <c r="G1705" s="4" t="s">
        <v>520</v>
      </c>
      <c r="H1705" s="19">
        <f>Fact_Defect_Split!L285</f>
        <v>1</v>
      </c>
    </row>
    <row r="1706" spans="1:8" x14ac:dyDescent="0.25">
      <c r="A1706" s="18" t="s">
        <v>2687</v>
      </c>
      <c r="B1706" s="4">
        <f>Fact_Defect_Split!B286</f>
        <v>20260702</v>
      </c>
      <c r="C1706" s="4">
        <f>Fact_Defect_Split!C286</f>
        <v>16</v>
      </c>
      <c r="D1706" s="4" t="str">
        <f>Fact_Defect_Split!D286</f>
        <v>M5</v>
      </c>
      <c r="E1706" s="4" t="str">
        <f>Fact_Defect_Split!E286</f>
        <v>A-AM</v>
      </c>
      <c r="F1706" s="4" t="str">
        <f>Fact_Defect_Split!F286</f>
        <v>C</v>
      </c>
      <c r="G1706" s="4" t="s">
        <v>498</v>
      </c>
      <c r="H1706" s="19">
        <f>Fact_Defect_Split!G286</f>
        <v>0</v>
      </c>
    </row>
    <row r="1707" spans="1:8" x14ac:dyDescent="0.25">
      <c r="A1707" s="18" t="s">
        <v>2688</v>
      </c>
      <c r="B1707" s="4">
        <f>Fact_Defect_Split!B286</f>
        <v>20260702</v>
      </c>
      <c r="C1707" s="4">
        <f>Fact_Defect_Split!C286</f>
        <v>16</v>
      </c>
      <c r="D1707" s="4" t="str">
        <f>Fact_Defect_Split!D286</f>
        <v>M5</v>
      </c>
      <c r="E1707" s="4" t="str">
        <f>Fact_Defect_Split!E286</f>
        <v>A-AM</v>
      </c>
      <c r="F1707" s="4" t="str">
        <f>Fact_Defect_Split!F286</f>
        <v>C</v>
      </c>
      <c r="G1707" s="4" t="s">
        <v>500</v>
      </c>
      <c r="H1707" s="19">
        <f>Fact_Defect_Split!H286</f>
        <v>0</v>
      </c>
    </row>
    <row r="1708" spans="1:8" x14ac:dyDescent="0.25">
      <c r="A1708" s="18" t="s">
        <v>2689</v>
      </c>
      <c r="B1708" s="4">
        <f>Fact_Defect_Split!B286</f>
        <v>20260702</v>
      </c>
      <c r="C1708" s="4">
        <f>Fact_Defect_Split!C286</f>
        <v>16</v>
      </c>
      <c r="D1708" s="4" t="str">
        <f>Fact_Defect_Split!D286</f>
        <v>M5</v>
      </c>
      <c r="E1708" s="4" t="str">
        <f>Fact_Defect_Split!E286</f>
        <v>A-AM</v>
      </c>
      <c r="F1708" s="4" t="str">
        <f>Fact_Defect_Split!F286</f>
        <v>C</v>
      </c>
      <c r="G1708" s="4" t="s">
        <v>517</v>
      </c>
      <c r="H1708" s="19">
        <f>Fact_Defect_Split!I286</f>
        <v>0</v>
      </c>
    </row>
    <row r="1709" spans="1:8" x14ac:dyDescent="0.25">
      <c r="A1709" s="18" t="s">
        <v>2690</v>
      </c>
      <c r="B1709" s="4">
        <f>Fact_Defect_Split!B286</f>
        <v>20260702</v>
      </c>
      <c r="C1709" s="4">
        <f>Fact_Defect_Split!C286</f>
        <v>16</v>
      </c>
      <c r="D1709" s="4" t="str">
        <f>Fact_Defect_Split!D286</f>
        <v>M5</v>
      </c>
      <c r="E1709" s="4" t="str">
        <f>Fact_Defect_Split!E286</f>
        <v>A-AM</v>
      </c>
      <c r="F1709" s="4" t="str">
        <f>Fact_Defect_Split!F286</f>
        <v>C</v>
      </c>
      <c r="G1709" s="4" t="s">
        <v>503</v>
      </c>
      <c r="H1709" s="19">
        <f>Fact_Defect_Split!J286</f>
        <v>0</v>
      </c>
    </row>
    <row r="1710" spans="1:8" x14ac:dyDescent="0.25">
      <c r="A1710" s="18" t="s">
        <v>2691</v>
      </c>
      <c r="B1710" s="4">
        <f>Fact_Defect_Split!B286</f>
        <v>20260702</v>
      </c>
      <c r="C1710" s="4">
        <f>Fact_Defect_Split!C286</f>
        <v>16</v>
      </c>
      <c r="D1710" s="4" t="str">
        <f>Fact_Defect_Split!D286</f>
        <v>M5</v>
      </c>
      <c r="E1710" s="4" t="str">
        <f>Fact_Defect_Split!E286</f>
        <v>A-AM</v>
      </c>
      <c r="F1710" s="4" t="str">
        <f>Fact_Defect_Split!F286</f>
        <v>C</v>
      </c>
      <c r="G1710" s="4" t="s">
        <v>509</v>
      </c>
      <c r="H1710" s="19">
        <f>Fact_Defect_Split!K286</f>
        <v>1</v>
      </c>
    </row>
    <row r="1711" spans="1:8" x14ac:dyDescent="0.25">
      <c r="A1711" s="18" t="s">
        <v>2692</v>
      </c>
      <c r="B1711" s="4">
        <f>Fact_Defect_Split!B286</f>
        <v>20260702</v>
      </c>
      <c r="C1711" s="4">
        <f>Fact_Defect_Split!C286</f>
        <v>16</v>
      </c>
      <c r="D1711" s="4" t="str">
        <f>Fact_Defect_Split!D286</f>
        <v>M5</v>
      </c>
      <c r="E1711" s="4" t="str">
        <f>Fact_Defect_Split!E286</f>
        <v>A-AM</v>
      </c>
      <c r="F1711" s="4" t="str">
        <f>Fact_Defect_Split!F286</f>
        <v>C</v>
      </c>
      <c r="G1711" s="4" t="s">
        <v>520</v>
      </c>
      <c r="H1711" s="19">
        <f>Fact_Defect_Split!L286</f>
        <v>0</v>
      </c>
    </row>
    <row r="1712" spans="1:8" x14ac:dyDescent="0.25">
      <c r="A1712" s="18" t="s">
        <v>2693</v>
      </c>
      <c r="B1712" s="4">
        <f>Fact_Defect_Split!B287</f>
        <v>20260702</v>
      </c>
      <c r="C1712" s="4">
        <f>Fact_Defect_Split!C287</f>
        <v>16</v>
      </c>
      <c r="D1712" s="4" t="str">
        <f>Fact_Defect_Split!D287</f>
        <v>M6</v>
      </c>
      <c r="E1712" s="4" t="str">
        <f>Fact_Defect_Split!E287</f>
        <v>A-AM</v>
      </c>
      <c r="F1712" s="4" t="str">
        <f>Fact_Defect_Split!F287</f>
        <v>C</v>
      </c>
      <c r="G1712" s="4" t="s">
        <v>498</v>
      </c>
      <c r="H1712" s="19">
        <f>Fact_Defect_Split!G287</f>
        <v>0</v>
      </c>
    </row>
    <row r="1713" spans="1:8" x14ac:dyDescent="0.25">
      <c r="A1713" s="18" t="s">
        <v>2694</v>
      </c>
      <c r="B1713" s="4">
        <f>Fact_Defect_Split!B287</f>
        <v>20260702</v>
      </c>
      <c r="C1713" s="4">
        <f>Fact_Defect_Split!C287</f>
        <v>16</v>
      </c>
      <c r="D1713" s="4" t="str">
        <f>Fact_Defect_Split!D287</f>
        <v>M6</v>
      </c>
      <c r="E1713" s="4" t="str">
        <f>Fact_Defect_Split!E287</f>
        <v>A-AM</v>
      </c>
      <c r="F1713" s="4" t="str">
        <f>Fact_Defect_Split!F287</f>
        <v>C</v>
      </c>
      <c r="G1713" s="4" t="s">
        <v>500</v>
      </c>
      <c r="H1713" s="19">
        <f>Fact_Defect_Split!H287</f>
        <v>0</v>
      </c>
    </row>
    <row r="1714" spans="1:8" x14ac:dyDescent="0.25">
      <c r="A1714" s="18" t="s">
        <v>2695</v>
      </c>
      <c r="B1714" s="4">
        <f>Fact_Defect_Split!B287</f>
        <v>20260702</v>
      </c>
      <c r="C1714" s="4">
        <f>Fact_Defect_Split!C287</f>
        <v>16</v>
      </c>
      <c r="D1714" s="4" t="str">
        <f>Fact_Defect_Split!D287</f>
        <v>M6</v>
      </c>
      <c r="E1714" s="4" t="str">
        <f>Fact_Defect_Split!E287</f>
        <v>A-AM</v>
      </c>
      <c r="F1714" s="4" t="str">
        <f>Fact_Defect_Split!F287</f>
        <v>C</v>
      </c>
      <c r="G1714" s="4" t="s">
        <v>517</v>
      </c>
      <c r="H1714" s="19">
        <f>Fact_Defect_Split!I287</f>
        <v>0</v>
      </c>
    </row>
    <row r="1715" spans="1:8" x14ac:dyDescent="0.25">
      <c r="A1715" s="18" t="s">
        <v>2696</v>
      </c>
      <c r="B1715" s="4">
        <f>Fact_Defect_Split!B287</f>
        <v>20260702</v>
      </c>
      <c r="C1715" s="4">
        <f>Fact_Defect_Split!C287</f>
        <v>16</v>
      </c>
      <c r="D1715" s="4" t="str">
        <f>Fact_Defect_Split!D287</f>
        <v>M6</v>
      </c>
      <c r="E1715" s="4" t="str">
        <f>Fact_Defect_Split!E287</f>
        <v>A-AM</v>
      </c>
      <c r="F1715" s="4" t="str">
        <f>Fact_Defect_Split!F287</f>
        <v>C</v>
      </c>
      <c r="G1715" s="4" t="s">
        <v>503</v>
      </c>
      <c r="H1715" s="19">
        <f>Fact_Defect_Split!J287</f>
        <v>0</v>
      </c>
    </row>
    <row r="1716" spans="1:8" x14ac:dyDescent="0.25">
      <c r="A1716" s="18" t="s">
        <v>2697</v>
      </c>
      <c r="B1716" s="4">
        <f>Fact_Defect_Split!B287</f>
        <v>20260702</v>
      </c>
      <c r="C1716" s="4">
        <f>Fact_Defect_Split!C287</f>
        <v>16</v>
      </c>
      <c r="D1716" s="4" t="str">
        <f>Fact_Defect_Split!D287</f>
        <v>M6</v>
      </c>
      <c r="E1716" s="4" t="str">
        <f>Fact_Defect_Split!E287</f>
        <v>A-AM</v>
      </c>
      <c r="F1716" s="4" t="str">
        <f>Fact_Defect_Split!F287</f>
        <v>C</v>
      </c>
      <c r="G1716" s="4" t="s">
        <v>509</v>
      </c>
      <c r="H1716" s="19">
        <f>Fact_Defect_Split!K287</f>
        <v>0</v>
      </c>
    </row>
    <row r="1717" spans="1:8" x14ac:dyDescent="0.25">
      <c r="A1717" s="18" t="s">
        <v>2698</v>
      </c>
      <c r="B1717" s="4">
        <f>Fact_Defect_Split!B287</f>
        <v>20260702</v>
      </c>
      <c r="C1717" s="4">
        <f>Fact_Defect_Split!C287</f>
        <v>16</v>
      </c>
      <c r="D1717" s="4" t="str">
        <f>Fact_Defect_Split!D287</f>
        <v>M6</v>
      </c>
      <c r="E1717" s="4" t="str">
        <f>Fact_Defect_Split!E287</f>
        <v>A-AM</v>
      </c>
      <c r="F1717" s="4" t="str">
        <f>Fact_Defect_Split!F287</f>
        <v>C</v>
      </c>
      <c r="G1717" s="4" t="s">
        <v>520</v>
      </c>
      <c r="H1717" s="19">
        <f>Fact_Defect_Split!L287</f>
        <v>1</v>
      </c>
    </row>
    <row r="1718" spans="1:8" x14ac:dyDescent="0.25">
      <c r="A1718" s="18" t="s">
        <v>2699</v>
      </c>
      <c r="B1718" s="4">
        <f>Fact_Defect_Split!B288</f>
        <v>20260702</v>
      </c>
      <c r="C1718" s="4">
        <f>Fact_Defect_Split!C288</f>
        <v>16</v>
      </c>
      <c r="D1718" s="4" t="str">
        <f>Fact_Defect_Split!D288</f>
        <v>M7</v>
      </c>
      <c r="E1718" s="4" t="str">
        <f>Fact_Defect_Split!E288</f>
        <v>A-AM</v>
      </c>
      <c r="F1718" s="4" t="str">
        <f>Fact_Defect_Split!F288</f>
        <v>C</v>
      </c>
      <c r="G1718" s="4" t="s">
        <v>498</v>
      </c>
      <c r="H1718" s="19">
        <f>Fact_Defect_Split!G288</f>
        <v>0</v>
      </c>
    </row>
    <row r="1719" spans="1:8" x14ac:dyDescent="0.25">
      <c r="A1719" s="18" t="s">
        <v>2700</v>
      </c>
      <c r="B1719" s="4">
        <f>Fact_Defect_Split!B288</f>
        <v>20260702</v>
      </c>
      <c r="C1719" s="4">
        <f>Fact_Defect_Split!C288</f>
        <v>16</v>
      </c>
      <c r="D1719" s="4" t="str">
        <f>Fact_Defect_Split!D288</f>
        <v>M7</v>
      </c>
      <c r="E1719" s="4" t="str">
        <f>Fact_Defect_Split!E288</f>
        <v>A-AM</v>
      </c>
      <c r="F1719" s="4" t="str">
        <f>Fact_Defect_Split!F288</f>
        <v>C</v>
      </c>
      <c r="G1719" s="4" t="s">
        <v>500</v>
      </c>
      <c r="H1719" s="19">
        <f>Fact_Defect_Split!H288</f>
        <v>0</v>
      </c>
    </row>
    <row r="1720" spans="1:8" x14ac:dyDescent="0.25">
      <c r="A1720" s="18" t="s">
        <v>2701</v>
      </c>
      <c r="B1720" s="4">
        <f>Fact_Defect_Split!B288</f>
        <v>20260702</v>
      </c>
      <c r="C1720" s="4">
        <f>Fact_Defect_Split!C288</f>
        <v>16</v>
      </c>
      <c r="D1720" s="4" t="str">
        <f>Fact_Defect_Split!D288</f>
        <v>M7</v>
      </c>
      <c r="E1720" s="4" t="str">
        <f>Fact_Defect_Split!E288</f>
        <v>A-AM</v>
      </c>
      <c r="F1720" s="4" t="str">
        <f>Fact_Defect_Split!F288</f>
        <v>C</v>
      </c>
      <c r="G1720" s="4" t="s">
        <v>517</v>
      </c>
      <c r="H1720" s="19">
        <f>Fact_Defect_Split!I288</f>
        <v>0</v>
      </c>
    </row>
    <row r="1721" spans="1:8" x14ac:dyDescent="0.25">
      <c r="A1721" s="18" t="s">
        <v>2702</v>
      </c>
      <c r="B1721" s="4">
        <f>Fact_Defect_Split!B288</f>
        <v>20260702</v>
      </c>
      <c r="C1721" s="4">
        <f>Fact_Defect_Split!C288</f>
        <v>16</v>
      </c>
      <c r="D1721" s="4" t="str">
        <f>Fact_Defect_Split!D288</f>
        <v>M7</v>
      </c>
      <c r="E1721" s="4" t="str">
        <f>Fact_Defect_Split!E288</f>
        <v>A-AM</v>
      </c>
      <c r="F1721" s="4" t="str">
        <f>Fact_Defect_Split!F288</f>
        <v>C</v>
      </c>
      <c r="G1721" s="4" t="s">
        <v>503</v>
      </c>
      <c r="H1721" s="19">
        <f>Fact_Defect_Split!J288</f>
        <v>1</v>
      </c>
    </row>
    <row r="1722" spans="1:8" x14ac:dyDescent="0.25">
      <c r="A1722" s="18" t="s">
        <v>2703</v>
      </c>
      <c r="B1722" s="4">
        <f>Fact_Defect_Split!B288</f>
        <v>20260702</v>
      </c>
      <c r="C1722" s="4">
        <f>Fact_Defect_Split!C288</f>
        <v>16</v>
      </c>
      <c r="D1722" s="4" t="str">
        <f>Fact_Defect_Split!D288</f>
        <v>M7</v>
      </c>
      <c r="E1722" s="4" t="str">
        <f>Fact_Defect_Split!E288</f>
        <v>A-AM</v>
      </c>
      <c r="F1722" s="4" t="str">
        <f>Fact_Defect_Split!F288</f>
        <v>C</v>
      </c>
      <c r="G1722" s="4" t="s">
        <v>509</v>
      </c>
      <c r="H1722" s="19">
        <f>Fact_Defect_Split!K288</f>
        <v>1</v>
      </c>
    </row>
    <row r="1723" spans="1:8" x14ac:dyDescent="0.25">
      <c r="A1723" s="18" t="s">
        <v>2704</v>
      </c>
      <c r="B1723" s="4">
        <f>Fact_Defect_Split!B288</f>
        <v>20260702</v>
      </c>
      <c r="C1723" s="4">
        <f>Fact_Defect_Split!C288</f>
        <v>16</v>
      </c>
      <c r="D1723" s="4" t="str">
        <f>Fact_Defect_Split!D288</f>
        <v>M7</v>
      </c>
      <c r="E1723" s="4" t="str">
        <f>Fact_Defect_Split!E288</f>
        <v>A-AM</v>
      </c>
      <c r="F1723" s="4" t="str">
        <f>Fact_Defect_Split!F288</f>
        <v>C</v>
      </c>
      <c r="G1723" s="4" t="s">
        <v>520</v>
      </c>
      <c r="H1723" s="19">
        <f>Fact_Defect_Split!L288</f>
        <v>1</v>
      </c>
    </row>
    <row r="1724" spans="1:8" x14ac:dyDescent="0.25">
      <c r="A1724" s="18" t="s">
        <v>2705</v>
      </c>
      <c r="B1724" s="4">
        <f>Fact_Defect_Split!B289</f>
        <v>20260702</v>
      </c>
      <c r="C1724" s="4">
        <f>Fact_Defect_Split!C289</f>
        <v>17</v>
      </c>
      <c r="D1724" s="4" t="str">
        <f>Fact_Defect_Split!D289</f>
        <v>M1</v>
      </c>
      <c r="E1724" s="4" t="str">
        <f>Fact_Defect_Split!E289</f>
        <v>A-AM</v>
      </c>
      <c r="F1724" s="4" t="str">
        <f>Fact_Defect_Split!F289</f>
        <v>C</v>
      </c>
      <c r="G1724" s="4" t="s">
        <v>498</v>
      </c>
      <c r="H1724" s="19">
        <f>Fact_Defect_Split!G289</f>
        <v>0</v>
      </c>
    </row>
    <row r="1725" spans="1:8" x14ac:dyDescent="0.25">
      <c r="A1725" s="18" t="s">
        <v>2706</v>
      </c>
      <c r="B1725" s="4">
        <f>Fact_Defect_Split!B289</f>
        <v>20260702</v>
      </c>
      <c r="C1725" s="4">
        <f>Fact_Defect_Split!C289</f>
        <v>17</v>
      </c>
      <c r="D1725" s="4" t="str">
        <f>Fact_Defect_Split!D289</f>
        <v>M1</v>
      </c>
      <c r="E1725" s="4" t="str">
        <f>Fact_Defect_Split!E289</f>
        <v>A-AM</v>
      </c>
      <c r="F1725" s="4" t="str">
        <f>Fact_Defect_Split!F289</f>
        <v>C</v>
      </c>
      <c r="G1725" s="4" t="s">
        <v>500</v>
      </c>
      <c r="H1725" s="19">
        <f>Fact_Defect_Split!H289</f>
        <v>0</v>
      </c>
    </row>
    <row r="1726" spans="1:8" x14ac:dyDescent="0.25">
      <c r="A1726" s="18" t="s">
        <v>2707</v>
      </c>
      <c r="B1726" s="4">
        <f>Fact_Defect_Split!B289</f>
        <v>20260702</v>
      </c>
      <c r="C1726" s="4">
        <f>Fact_Defect_Split!C289</f>
        <v>17</v>
      </c>
      <c r="D1726" s="4" t="str">
        <f>Fact_Defect_Split!D289</f>
        <v>M1</v>
      </c>
      <c r="E1726" s="4" t="str">
        <f>Fact_Defect_Split!E289</f>
        <v>A-AM</v>
      </c>
      <c r="F1726" s="4" t="str">
        <f>Fact_Defect_Split!F289</f>
        <v>C</v>
      </c>
      <c r="G1726" s="4" t="s">
        <v>517</v>
      </c>
      <c r="H1726" s="19">
        <f>Fact_Defect_Split!I289</f>
        <v>1</v>
      </c>
    </row>
    <row r="1727" spans="1:8" x14ac:dyDescent="0.25">
      <c r="A1727" s="18" t="s">
        <v>2708</v>
      </c>
      <c r="B1727" s="4">
        <f>Fact_Defect_Split!B289</f>
        <v>20260702</v>
      </c>
      <c r="C1727" s="4">
        <f>Fact_Defect_Split!C289</f>
        <v>17</v>
      </c>
      <c r="D1727" s="4" t="str">
        <f>Fact_Defect_Split!D289</f>
        <v>M1</v>
      </c>
      <c r="E1727" s="4" t="str">
        <f>Fact_Defect_Split!E289</f>
        <v>A-AM</v>
      </c>
      <c r="F1727" s="4" t="str">
        <f>Fact_Defect_Split!F289</f>
        <v>C</v>
      </c>
      <c r="G1727" s="4" t="s">
        <v>503</v>
      </c>
      <c r="H1727" s="19">
        <f>Fact_Defect_Split!J289</f>
        <v>0</v>
      </c>
    </row>
    <row r="1728" spans="1:8" x14ac:dyDescent="0.25">
      <c r="A1728" s="18" t="s">
        <v>2709</v>
      </c>
      <c r="B1728" s="4">
        <f>Fact_Defect_Split!B289</f>
        <v>20260702</v>
      </c>
      <c r="C1728" s="4">
        <f>Fact_Defect_Split!C289</f>
        <v>17</v>
      </c>
      <c r="D1728" s="4" t="str">
        <f>Fact_Defect_Split!D289</f>
        <v>M1</v>
      </c>
      <c r="E1728" s="4" t="str">
        <f>Fact_Defect_Split!E289</f>
        <v>A-AM</v>
      </c>
      <c r="F1728" s="4" t="str">
        <f>Fact_Defect_Split!F289</f>
        <v>C</v>
      </c>
      <c r="G1728" s="4" t="s">
        <v>509</v>
      </c>
      <c r="H1728" s="19">
        <f>Fact_Defect_Split!K289</f>
        <v>1</v>
      </c>
    </row>
    <row r="1729" spans="1:8" x14ac:dyDescent="0.25">
      <c r="A1729" s="18" t="s">
        <v>2710</v>
      </c>
      <c r="B1729" s="4">
        <f>Fact_Defect_Split!B289</f>
        <v>20260702</v>
      </c>
      <c r="C1729" s="4">
        <f>Fact_Defect_Split!C289</f>
        <v>17</v>
      </c>
      <c r="D1729" s="4" t="str">
        <f>Fact_Defect_Split!D289</f>
        <v>M1</v>
      </c>
      <c r="E1729" s="4" t="str">
        <f>Fact_Defect_Split!E289</f>
        <v>A-AM</v>
      </c>
      <c r="F1729" s="4" t="str">
        <f>Fact_Defect_Split!F289</f>
        <v>C</v>
      </c>
      <c r="G1729" s="4" t="s">
        <v>520</v>
      </c>
      <c r="H1729" s="19">
        <f>Fact_Defect_Split!L289</f>
        <v>0</v>
      </c>
    </row>
    <row r="1730" spans="1:8" x14ac:dyDescent="0.25">
      <c r="A1730" s="18" t="s">
        <v>2711</v>
      </c>
      <c r="B1730" s="4">
        <f>Fact_Defect_Split!B290</f>
        <v>20260702</v>
      </c>
      <c r="C1730" s="4">
        <f>Fact_Defect_Split!C290</f>
        <v>17</v>
      </c>
      <c r="D1730" s="4" t="str">
        <f>Fact_Defect_Split!D290</f>
        <v>M2</v>
      </c>
      <c r="E1730" s="4" t="str">
        <f>Fact_Defect_Split!E290</f>
        <v>A-AM</v>
      </c>
      <c r="F1730" s="4" t="str">
        <f>Fact_Defect_Split!F290</f>
        <v>A</v>
      </c>
      <c r="G1730" s="4" t="s">
        <v>498</v>
      </c>
      <c r="H1730" s="19">
        <f>Fact_Defect_Split!G290</f>
        <v>0</v>
      </c>
    </row>
    <row r="1731" spans="1:8" x14ac:dyDescent="0.25">
      <c r="A1731" s="18" t="s">
        <v>2712</v>
      </c>
      <c r="B1731" s="4">
        <f>Fact_Defect_Split!B290</f>
        <v>20260702</v>
      </c>
      <c r="C1731" s="4">
        <f>Fact_Defect_Split!C290</f>
        <v>17</v>
      </c>
      <c r="D1731" s="4" t="str">
        <f>Fact_Defect_Split!D290</f>
        <v>M2</v>
      </c>
      <c r="E1731" s="4" t="str">
        <f>Fact_Defect_Split!E290</f>
        <v>A-AM</v>
      </c>
      <c r="F1731" s="4" t="str">
        <f>Fact_Defect_Split!F290</f>
        <v>A</v>
      </c>
      <c r="G1731" s="4" t="s">
        <v>500</v>
      </c>
      <c r="H1731" s="19">
        <f>Fact_Defect_Split!H290</f>
        <v>0</v>
      </c>
    </row>
    <row r="1732" spans="1:8" x14ac:dyDescent="0.25">
      <c r="A1732" s="18" t="s">
        <v>2713</v>
      </c>
      <c r="B1732" s="4">
        <f>Fact_Defect_Split!B290</f>
        <v>20260702</v>
      </c>
      <c r="C1732" s="4">
        <f>Fact_Defect_Split!C290</f>
        <v>17</v>
      </c>
      <c r="D1732" s="4" t="str">
        <f>Fact_Defect_Split!D290</f>
        <v>M2</v>
      </c>
      <c r="E1732" s="4" t="str">
        <f>Fact_Defect_Split!E290</f>
        <v>A-AM</v>
      </c>
      <c r="F1732" s="4" t="str">
        <f>Fact_Defect_Split!F290</f>
        <v>A</v>
      </c>
      <c r="G1732" s="4" t="s">
        <v>517</v>
      </c>
      <c r="H1732" s="19">
        <f>Fact_Defect_Split!I290</f>
        <v>1</v>
      </c>
    </row>
    <row r="1733" spans="1:8" x14ac:dyDescent="0.25">
      <c r="A1733" s="18" t="s">
        <v>2714</v>
      </c>
      <c r="B1733" s="4">
        <f>Fact_Defect_Split!B290</f>
        <v>20260702</v>
      </c>
      <c r="C1733" s="4">
        <f>Fact_Defect_Split!C290</f>
        <v>17</v>
      </c>
      <c r="D1733" s="4" t="str">
        <f>Fact_Defect_Split!D290</f>
        <v>M2</v>
      </c>
      <c r="E1733" s="4" t="str">
        <f>Fact_Defect_Split!E290</f>
        <v>A-AM</v>
      </c>
      <c r="F1733" s="4" t="str">
        <f>Fact_Defect_Split!F290</f>
        <v>A</v>
      </c>
      <c r="G1733" s="4" t="s">
        <v>503</v>
      </c>
      <c r="H1733" s="19">
        <f>Fact_Defect_Split!J290</f>
        <v>0</v>
      </c>
    </row>
    <row r="1734" spans="1:8" x14ac:dyDescent="0.25">
      <c r="A1734" s="18" t="s">
        <v>2715</v>
      </c>
      <c r="B1734" s="4">
        <f>Fact_Defect_Split!B290</f>
        <v>20260702</v>
      </c>
      <c r="C1734" s="4">
        <f>Fact_Defect_Split!C290</f>
        <v>17</v>
      </c>
      <c r="D1734" s="4" t="str">
        <f>Fact_Defect_Split!D290</f>
        <v>M2</v>
      </c>
      <c r="E1734" s="4" t="str">
        <f>Fact_Defect_Split!E290</f>
        <v>A-AM</v>
      </c>
      <c r="F1734" s="4" t="str">
        <f>Fact_Defect_Split!F290</f>
        <v>A</v>
      </c>
      <c r="G1734" s="4" t="s">
        <v>509</v>
      </c>
      <c r="H1734" s="19">
        <f>Fact_Defect_Split!K290</f>
        <v>0</v>
      </c>
    </row>
    <row r="1735" spans="1:8" x14ac:dyDescent="0.25">
      <c r="A1735" s="18" t="s">
        <v>2716</v>
      </c>
      <c r="B1735" s="4">
        <f>Fact_Defect_Split!B290</f>
        <v>20260702</v>
      </c>
      <c r="C1735" s="4">
        <f>Fact_Defect_Split!C290</f>
        <v>17</v>
      </c>
      <c r="D1735" s="4" t="str">
        <f>Fact_Defect_Split!D290</f>
        <v>M2</v>
      </c>
      <c r="E1735" s="4" t="str">
        <f>Fact_Defect_Split!E290</f>
        <v>A-AM</v>
      </c>
      <c r="F1735" s="4" t="str">
        <f>Fact_Defect_Split!F290</f>
        <v>A</v>
      </c>
      <c r="G1735" s="4" t="s">
        <v>520</v>
      </c>
      <c r="H1735" s="19">
        <f>Fact_Defect_Split!L290</f>
        <v>1</v>
      </c>
    </row>
    <row r="1736" spans="1:8" x14ac:dyDescent="0.25">
      <c r="A1736" s="18" t="s">
        <v>2717</v>
      </c>
      <c r="B1736" s="4">
        <f>Fact_Defect_Split!B291</f>
        <v>20260702</v>
      </c>
      <c r="C1736" s="4">
        <f>Fact_Defect_Split!C291</f>
        <v>17</v>
      </c>
      <c r="D1736" s="4" t="str">
        <f>Fact_Defect_Split!D291</f>
        <v>M3</v>
      </c>
      <c r="E1736" s="4" t="str">
        <f>Fact_Defect_Split!E291</f>
        <v>A-AM</v>
      </c>
      <c r="F1736" s="4" t="str">
        <f>Fact_Defect_Split!F291</f>
        <v>A</v>
      </c>
      <c r="G1736" s="4" t="s">
        <v>498</v>
      </c>
      <c r="H1736" s="19">
        <f>Fact_Defect_Split!G291</f>
        <v>0</v>
      </c>
    </row>
    <row r="1737" spans="1:8" x14ac:dyDescent="0.25">
      <c r="A1737" s="18" t="s">
        <v>2718</v>
      </c>
      <c r="B1737" s="4">
        <f>Fact_Defect_Split!B291</f>
        <v>20260702</v>
      </c>
      <c r="C1737" s="4">
        <f>Fact_Defect_Split!C291</f>
        <v>17</v>
      </c>
      <c r="D1737" s="4" t="str">
        <f>Fact_Defect_Split!D291</f>
        <v>M3</v>
      </c>
      <c r="E1737" s="4" t="str">
        <f>Fact_Defect_Split!E291</f>
        <v>A-AM</v>
      </c>
      <c r="F1737" s="4" t="str">
        <f>Fact_Defect_Split!F291</f>
        <v>A</v>
      </c>
      <c r="G1737" s="4" t="s">
        <v>500</v>
      </c>
      <c r="H1737" s="19">
        <f>Fact_Defect_Split!H291</f>
        <v>0</v>
      </c>
    </row>
    <row r="1738" spans="1:8" x14ac:dyDescent="0.25">
      <c r="A1738" s="18" t="s">
        <v>2719</v>
      </c>
      <c r="B1738" s="4">
        <f>Fact_Defect_Split!B291</f>
        <v>20260702</v>
      </c>
      <c r="C1738" s="4">
        <f>Fact_Defect_Split!C291</f>
        <v>17</v>
      </c>
      <c r="D1738" s="4" t="str">
        <f>Fact_Defect_Split!D291</f>
        <v>M3</v>
      </c>
      <c r="E1738" s="4" t="str">
        <f>Fact_Defect_Split!E291</f>
        <v>A-AM</v>
      </c>
      <c r="F1738" s="4" t="str">
        <f>Fact_Defect_Split!F291</f>
        <v>A</v>
      </c>
      <c r="G1738" s="4" t="s">
        <v>517</v>
      </c>
      <c r="H1738" s="19">
        <f>Fact_Defect_Split!I291</f>
        <v>0</v>
      </c>
    </row>
    <row r="1739" spans="1:8" x14ac:dyDescent="0.25">
      <c r="A1739" s="18" t="s">
        <v>2720</v>
      </c>
      <c r="B1739" s="4">
        <f>Fact_Defect_Split!B291</f>
        <v>20260702</v>
      </c>
      <c r="C1739" s="4">
        <f>Fact_Defect_Split!C291</f>
        <v>17</v>
      </c>
      <c r="D1739" s="4" t="str">
        <f>Fact_Defect_Split!D291</f>
        <v>M3</v>
      </c>
      <c r="E1739" s="4" t="str">
        <f>Fact_Defect_Split!E291</f>
        <v>A-AM</v>
      </c>
      <c r="F1739" s="4" t="str">
        <f>Fact_Defect_Split!F291</f>
        <v>A</v>
      </c>
      <c r="G1739" s="4" t="s">
        <v>503</v>
      </c>
      <c r="H1739" s="19">
        <f>Fact_Defect_Split!J291</f>
        <v>0</v>
      </c>
    </row>
    <row r="1740" spans="1:8" x14ac:dyDescent="0.25">
      <c r="A1740" s="18" t="s">
        <v>2721</v>
      </c>
      <c r="B1740" s="4">
        <f>Fact_Defect_Split!B291</f>
        <v>20260702</v>
      </c>
      <c r="C1740" s="4">
        <f>Fact_Defect_Split!C291</f>
        <v>17</v>
      </c>
      <c r="D1740" s="4" t="str">
        <f>Fact_Defect_Split!D291</f>
        <v>M3</v>
      </c>
      <c r="E1740" s="4" t="str">
        <f>Fact_Defect_Split!E291</f>
        <v>A-AM</v>
      </c>
      <c r="F1740" s="4" t="str">
        <f>Fact_Defect_Split!F291</f>
        <v>A</v>
      </c>
      <c r="G1740" s="4" t="s">
        <v>509</v>
      </c>
      <c r="H1740" s="19">
        <f>Fact_Defect_Split!K291</f>
        <v>0</v>
      </c>
    </row>
    <row r="1741" spans="1:8" x14ac:dyDescent="0.25">
      <c r="A1741" s="18" t="s">
        <v>2722</v>
      </c>
      <c r="B1741" s="4">
        <f>Fact_Defect_Split!B291</f>
        <v>20260702</v>
      </c>
      <c r="C1741" s="4">
        <f>Fact_Defect_Split!C291</f>
        <v>17</v>
      </c>
      <c r="D1741" s="4" t="str">
        <f>Fact_Defect_Split!D291</f>
        <v>M3</v>
      </c>
      <c r="E1741" s="4" t="str">
        <f>Fact_Defect_Split!E291</f>
        <v>A-AM</v>
      </c>
      <c r="F1741" s="4" t="str">
        <f>Fact_Defect_Split!F291</f>
        <v>A</v>
      </c>
      <c r="G1741" s="4" t="s">
        <v>520</v>
      </c>
      <c r="H1741" s="19">
        <f>Fact_Defect_Split!L291</f>
        <v>1</v>
      </c>
    </row>
    <row r="1742" spans="1:8" x14ac:dyDescent="0.25">
      <c r="A1742" s="18" t="s">
        <v>2723</v>
      </c>
      <c r="B1742" s="4">
        <f>Fact_Defect_Split!B292</f>
        <v>20260702</v>
      </c>
      <c r="C1742" s="4">
        <f>Fact_Defect_Split!C292</f>
        <v>17</v>
      </c>
      <c r="D1742" s="4" t="str">
        <f>Fact_Defect_Split!D292</f>
        <v>M4</v>
      </c>
      <c r="E1742" s="4" t="str">
        <f>Fact_Defect_Split!E292</f>
        <v>A-AM</v>
      </c>
      <c r="F1742" s="4" t="str">
        <f>Fact_Defect_Split!F292</f>
        <v>A</v>
      </c>
      <c r="G1742" s="4" t="s">
        <v>498</v>
      </c>
      <c r="H1742" s="19">
        <f>Fact_Defect_Split!G292</f>
        <v>0</v>
      </c>
    </row>
    <row r="1743" spans="1:8" x14ac:dyDescent="0.25">
      <c r="A1743" s="18" t="s">
        <v>2724</v>
      </c>
      <c r="B1743" s="4">
        <f>Fact_Defect_Split!B292</f>
        <v>20260702</v>
      </c>
      <c r="C1743" s="4">
        <f>Fact_Defect_Split!C292</f>
        <v>17</v>
      </c>
      <c r="D1743" s="4" t="str">
        <f>Fact_Defect_Split!D292</f>
        <v>M4</v>
      </c>
      <c r="E1743" s="4" t="str">
        <f>Fact_Defect_Split!E292</f>
        <v>A-AM</v>
      </c>
      <c r="F1743" s="4" t="str">
        <f>Fact_Defect_Split!F292</f>
        <v>A</v>
      </c>
      <c r="G1743" s="4" t="s">
        <v>500</v>
      </c>
      <c r="H1743" s="19">
        <f>Fact_Defect_Split!H292</f>
        <v>0</v>
      </c>
    </row>
    <row r="1744" spans="1:8" x14ac:dyDescent="0.25">
      <c r="A1744" s="18" t="s">
        <v>2725</v>
      </c>
      <c r="B1744" s="4">
        <f>Fact_Defect_Split!B292</f>
        <v>20260702</v>
      </c>
      <c r="C1744" s="4">
        <f>Fact_Defect_Split!C292</f>
        <v>17</v>
      </c>
      <c r="D1744" s="4" t="str">
        <f>Fact_Defect_Split!D292</f>
        <v>M4</v>
      </c>
      <c r="E1744" s="4" t="str">
        <f>Fact_Defect_Split!E292</f>
        <v>A-AM</v>
      </c>
      <c r="F1744" s="4" t="str">
        <f>Fact_Defect_Split!F292</f>
        <v>A</v>
      </c>
      <c r="G1744" s="4" t="s">
        <v>517</v>
      </c>
      <c r="H1744" s="19">
        <f>Fact_Defect_Split!I292</f>
        <v>1</v>
      </c>
    </row>
    <row r="1745" spans="1:8" x14ac:dyDescent="0.25">
      <c r="A1745" s="18" t="s">
        <v>2726</v>
      </c>
      <c r="B1745" s="4">
        <f>Fact_Defect_Split!B292</f>
        <v>20260702</v>
      </c>
      <c r="C1745" s="4">
        <f>Fact_Defect_Split!C292</f>
        <v>17</v>
      </c>
      <c r="D1745" s="4" t="str">
        <f>Fact_Defect_Split!D292</f>
        <v>M4</v>
      </c>
      <c r="E1745" s="4" t="str">
        <f>Fact_Defect_Split!E292</f>
        <v>A-AM</v>
      </c>
      <c r="F1745" s="4" t="str">
        <f>Fact_Defect_Split!F292</f>
        <v>A</v>
      </c>
      <c r="G1745" s="4" t="s">
        <v>503</v>
      </c>
      <c r="H1745" s="19">
        <f>Fact_Defect_Split!J292</f>
        <v>0</v>
      </c>
    </row>
    <row r="1746" spans="1:8" x14ac:dyDescent="0.25">
      <c r="A1746" s="18" t="s">
        <v>2727</v>
      </c>
      <c r="B1746" s="4">
        <f>Fact_Defect_Split!B292</f>
        <v>20260702</v>
      </c>
      <c r="C1746" s="4">
        <f>Fact_Defect_Split!C292</f>
        <v>17</v>
      </c>
      <c r="D1746" s="4" t="str">
        <f>Fact_Defect_Split!D292</f>
        <v>M4</v>
      </c>
      <c r="E1746" s="4" t="str">
        <f>Fact_Defect_Split!E292</f>
        <v>A-AM</v>
      </c>
      <c r="F1746" s="4" t="str">
        <f>Fact_Defect_Split!F292</f>
        <v>A</v>
      </c>
      <c r="G1746" s="4" t="s">
        <v>509</v>
      </c>
      <c r="H1746" s="19">
        <f>Fact_Defect_Split!K292</f>
        <v>1</v>
      </c>
    </row>
    <row r="1747" spans="1:8" x14ac:dyDescent="0.25">
      <c r="A1747" s="18" t="s">
        <v>2728</v>
      </c>
      <c r="B1747" s="4">
        <f>Fact_Defect_Split!B292</f>
        <v>20260702</v>
      </c>
      <c r="C1747" s="4">
        <f>Fact_Defect_Split!C292</f>
        <v>17</v>
      </c>
      <c r="D1747" s="4" t="str">
        <f>Fact_Defect_Split!D292</f>
        <v>M4</v>
      </c>
      <c r="E1747" s="4" t="str">
        <f>Fact_Defect_Split!E292</f>
        <v>A-AM</v>
      </c>
      <c r="F1747" s="4" t="str">
        <f>Fact_Defect_Split!F292</f>
        <v>A</v>
      </c>
      <c r="G1747" s="4" t="s">
        <v>520</v>
      </c>
      <c r="H1747" s="19">
        <f>Fact_Defect_Split!L292</f>
        <v>1</v>
      </c>
    </row>
    <row r="1748" spans="1:8" x14ac:dyDescent="0.25">
      <c r="A1748" s="18" t="s">
        <v>2729</v>
      </c>
      <c r="B1748" s="4">
        <f>Fact_Defect_Split!B293</f>
        <v>20260702</v>
      </c>
      <c r="C1748" s="4">
        <f>Fact_Defect_Split!C293</f>
        <v>17</v>
      </c>
      <c r="D1748" s="4" t="str">
        <f>Fact_Defect_Split!D293</f>
        <v>M5</v>
      </c>
      <c r="E1748" s="4" t="str">
        <f>Fact_Defect_Split!E293</f>
        <v>A-AM</v>
      </c>
      <c r="F1748" s="4" t="str">
        <f>Fact_Defect_Split!F293</f>
        <v>C</v>
      </c>
      <c r="G1748" s="4" t="s">
        <v>498</v>
      </c>
      <c r="H1748" s="19">
        <f>Fact_Defect_Split!G293</f>
        <v>0</v>
      </c>
    </row>
    <row r="1749" spans="1:8" x14ac:dyDescent="0.25">
      <c r="A1749" s="18" t="s">
        <v>2730</v>
      </c>
      <c r="B1749" s="4">
        <f>Fact_Defect_Split!B293</f>
        <v>20260702</v>
      </c>
      <c r="C1749" s="4">
        <f>Fact_Defect_Split!C293</f>
        <v>17</v>
      </c>
      <c r="D1749" s="4" t="str">
        <f>Fact_Defect_Split!D293</f>
        <v>M5</v>
      </c>
      <c r="E1749" s="4" t="str">
        <f>Fact_Defect_Split!E293</f>
        <v>A-AM</v>
      </c>
      <c r="F1749" s="4" t="str">
        <f>Fact_Defect_Split!F293</f>
        <v>C</v>
      </c>
      <c r="G1749" s="4" t="s">
        <v>500</v>
      </c>
      <c r="H1749" s="19">
        <f>Fact_Defect_Split!H293</f>
        <v>0</v>
      </c>
    </row>
    <row r="1750" spans="1:8" x14ac:dyDescent="0.25">
      <c r="A1750" s="18" t="s">
        <v>2731</v>
      </c>
      <c r="B1750" s="4">
        <f>Fact_Defect_Split!B293</f>
        <v>20260702</v>
      </c>
      <c r="C1750" s="4">
        <f>Fact_Defect_Split!C293</f>
        <v>17</v>
      </c>
      <c r="D1750" s="4" t="str">
        <f>Fact_Defect_Split!D293</f>
        <v>M5</v>
      </c>
      <c r="E1750" s="4" t="str">
        <f>Fact_Defect_Split!E293</f>
        <v>A-AM</v>
      </c>
      <c r="F1750" s="4" t="str">
        <f>Fact_Defect_Split!F293</f>
        <v>C</v>
      </c>
      <c r="G1750" s="4" t="s">
        <v>517</v>
      </c>
      <c r="H1750" s="19">
        <f>Fact_Defect_Split!I293</f>
        <v>0</v>
      </c>
    </row>
    <row r="1751" spans="1:8" x14ac:dyDescent="0.25">
      <c r="A1751" s="18" t="s">
        <v>2732</v>
      </c>
      <c r="B1751" s="4">
        <f>Fact_Defect_Split!B293</f>
        <v>20260702</v>
      </c>
      <c r="C1751" s="4">
        <f>Fact_Defect_Split!C293</f>
        <v>17</v>
      </c>
      <c r="D1751" s="4" t="str">
        <f>Fact_Defect_Split!D293</f>
        <v>M5</v>
      </c>
      <c r="E1751" s="4" t="str">
        <f>Fact_Defect_Split!E293</f>
        <v>A-AM</v>
      </c>
      <c r="F1751" s="4" t="str">
        <f>Fact_Defect_Split!F293</f>
        <v>C</v>
      </c>
      <c r="G1751" s="4" t="s">
        <v>503</v>
      </c>
      <c r="H1751" s="19">
        <f>Fact_Defect_Split!J293</f>
        <v>0</v>
      </c>
    </row>
    <row r="1752" spans="1:8" x14ac:dyDescent="0.25">
      <c r="A1752" s="18" t="s">
        <v>2733</v>
      </c>
      <c r="B1752" s="4">
        <f>Fact_Defect_Split!B293</f>
        <v>20260702</v>
      </c>
      <c r="C1752" s="4">
        <f>Fact_Defect_Split!C293</f>
        <v>17</v>
      </c>
      <c r="D1752" s="4" t="str">
        <f>Fact_Defect_Split!D293</f>
        <v>M5</v>
      </c>
      <c r="E1752" s="4" t="str">
        <f>Fact_Defect_Split!E293</f>
        <v>A-AM</v>
      </c>
      <c r="F1752" s="4" t="str">
        <f>Fact_Defect_Split!F293</f>
        <v>C</v>
      </c>
      <c r="G1752" s="4" t="s">
        <v>509</v>
      </c>
      <c r="H1752" s="19">
        <f>Fact_Defect_Split!K293</f>
        <v>0</v>
      </c>
    </row>
    <row r="1753" spans="1:8" x14ac:dyDescent="0.25">
      <c r="A1753" s="18" t="s">
        <v>2734</v>
      </c>
      <c r="B1753" s="4">
        <f>Fact_Defect_Split!B293</f>
        <v>20260702</v>
      </c>
      <c r="C1753" s="4">
        <f>Fact_Defect_Split!C293</f>
        <v>17</v>
      </c>
      <c r="D1753" s="4" t="str">
        <f>Fact_Defect_Split!D293</f>
        <v>M5</v>
      </c>
      <c r="E1753" s="4" t="str">
        <f>Fact_Defect_Split!E293</f>
        <v>A-AM</v>
      </c>
      <c r="F1753" s="4" t="str">
        <f>Fact_Defect_Split!F293</f>
        <v>C</v>
      </c>
      <c r="G1753" s="4" t="s">
        <v>520</v>
      </c>
      <c r="H1753" s="19">
        <f>Fact_Defect_Split!L293</f>
        <v>1</v>
      </c>
    </row>
    <row r="1754" spans="1:8" x14ac:dyDescent="0.25">
      <c r="A1754" s="18" t="s">
        <v>2735</v>
      </c>
      <c r="B1754" s="4">
        <f>Fact_Defect_Split!B294</f>
        <v>20260702</v>
      </c>
      <c r="C1754" s="4">
        <f>Fact_Defect_Split!C294</f>
        <v>17</v>
      </c>
      <c r="D1754" s="4" t="str">
        <f>Fact_Defect_Split!D294</f>
        <v>M6</v>
      </c>
      <c r="E1754" s="4" t="str">
        <f>Fact_Defect_Split!E294</f>
        <v>A-AM</v>
      </c>
      <c r="F1754" s="4" t="str">
        <f>Fact_Defect_Split!F294</f>
        <v>C</v>
      </c>
      <c r="G1754" s="4" t="s">
        <v>498</v>
      </c>
      <c r="H1754" s="19">
        <f>Fact_Defect_Split!G294</f>
        <v>0</v>
      </c>
    </row>
    <row r="1755" spans="1:8" x14ac:dyDescent="0.25">
      <c r="A1755" s="18" t="s">
        <v>2736</v>
      </c>
      <c r="B1755" s="4">
        <f>Fact_Defect_Split!B294</f>
        <v>20260702</v>
      </c>
      <c r="C1755" s="4">
        <f>Fact_Defect_Split!C294</f>
        <v>17</v>
      </c>
      <c r="D1755" s="4" t="str">
        <f>Fact_Defect_Split!D294</f>
        <v>M6</v>
      </c>
      <c r="E1755" s="4" t="str">
        <f>Fact_Defect_Split!E294</f>
        <v>A-AM</v>
      </c>
      <c r="F1755" s="4" t="str">
        <f>Fact_Defect_Split!F294</f>
        <v>C</v>
      </c>
      <c r="G1755" s="4" t="s">
        <v>500</v>
      </c>
      <c r="H1755" s="19">
        <f>Fact_Defect_Split!H294</f>
        <v>0</v>
      </c>
    </row>
    <row r="1756" spans="1:8" x14ac:dyDescent="0.25">
      <c r="A1756" s="18" t="s">
        <v>2737</v>
      </c>
      <c r="B1756" s="4">
        <f>Fact_Defect_Split!B294</f>
        <v>20260702</v>
      </c>
      <c r="C1756" s="4">
        <f>Fact_Defect_Split!C294</f>
        <v>17</v>
      </c>
      <c r="D1756" s="4" t="str">
        <f>Fact_Defect_Split!D294</f>
        <v>M6</v>
      </c>
      <c r="E1756" s="4" t="str">
        <f>Fact_Defect_Split!E294</f>
        <v>A-AM</v>
      </c>
      <c r="F1756" s="4" t="str">
        <f>Fact_Defect_Split!F294</f>
        <v>C</v>
      </c>
      <c r="G1756" s="4" t="s">
        <v>517</v>
      </c>
      <c r="H1756" s="19">
        <f>Fact_Defect_Split!I294</f>
        <v>0</v>
      </c>
    </row>
    <row r="1757" spans="1:8" x14ac:dyDescent="0.25">
      <c r="A1757" s="18" t="s">
        <v>2738</v>
      </c>
      <c r="B1757" s="4">
        <f>Fact_Defect_Split!B294</f>
        <v>20260702</v>
      </c>
      <c r="C1757" s="4">
        <f>Fact_Defect_Split!C294</f>
        <v>17</v>
      </c>
      <c r="D1757" s="4" t="str">
        <f>Fact_Defect_Split!D294</f>
        <v>M6</v>
      </c>
      <c r="E1757" s="4" t="str">
        <f>Fact_Defect_Split!E294</f>
        <v>A-AM</v>
      </c>
      <c r="F1757" s="4" t="str">
        <f>Fact_Defect_Split!F294</f>
        <v>C</v>
      </c>
      <c r="G1757" s="4" t="s">
        <v>503</v>
      </c>
      <c r="H1757" s="19">
        <f>Fact_Defect_Split!J294</f>
        <v>0</v>
      </c>
    </row>
    <row r="1758" spans="1:8" x14ac:dyDescent="0.25">
      <c r="A1758" s="18" t="s">
        <v>2739</v>
      </c>
      <c r="B1758" s="4">
        <f>Fact_Defect_Split!B294</f>
        <v>20260702</v>
      </c>
      <c r="C1758" s="4">
        <f>Fact_Defect_Split!C294</f>
        <v>17</v>
      </c>
      <c r="D1758" s="4" t="str">
        <f>Fact_Defect_Split!D294</f>
        <v>M6</v>
      </c>
      <c r="E1758" s="4" t="str">
        <f>Fact_Defect_Split!E294</f>
        <v>A-AM</v>
      </c>
      <c r="F1758" s="4" t="str">
        <f>Fact_Defect_Split!F294</f>
        <v>C</v>
      </c>
      <c r="G1758" s="4" t="s">
        <v>509</v>
      </c>
      <c r="H1758" s="19">
        <f>Fact_Defect_Split!K294</f>
        <v>1</v>
      </c>
    </row>
    <row r="1759" spans="1:8" x14ac:dyDescent="0.25">
      <c r="A1759" s="18" t="s">
        <v>2740</v>
      </c>
      <c r="B1759" s="4">
        <f>Fact_Defect_Split!B294</f>
        <v>20260702</v>
      </c>
      <c r="C1759" s="4">
        <f>Fact_Defect_Split!C294</f>
        <v>17</v>
      </c>
      <c r="D1759" s="4" t="str">
        <f>Fact_Defect_Split!D294</f>
        <v>M6</v>
      </c>
      <c r="E1759" s="4" t="str">
        <f>Fact_Defect_Split!E294</f>
        <v>A-AM</v>
      </c>
      <c r="F1759" s="4" t="str">
        <f>Fact_Defect_Split!F294</f>
        <v>C</v>
      </c>
      <c r="G1759" s="4" t="s">
        <v>520</v>
      </c>
      <c r="H1759" s="19">
        <f>Fact_Defect_Split!L294</f>
        <v>0</v>
      </c>
    </row>
    <row r="1760" spans="1:8" x14ac:dyDescent="0.25">
      <c r="A1760" s="18" t="s">
        <v>2741</v>
      </c>
      <c r="B1760" s="4">
        <f>Fact_Defect_Split!B295</f>
        <v>20260702</v>
      </c>
      <c r="C1760" s="4">
        <f>Fact_Defect_Split!C295</f>
        <v>17</v>
      </c>
      <c r="D1760" s="4" t="str">
        <f>Fact_Defect_Split!D295</f>
        <v>M7</v>
      </c>
      <c r="E1760" s="4" t="str">
        <f>Fact_Defect_Split!E295</f>
        <v>A-AM</v>
      </c>
      <c r="F1760" s="4" t="str">
        <f>Fact_Defect_Split!F295</f>
        <v>C</v>
      </c>
      <c r="G1760" s="4" t="s">
        <v>498</v>
      </c>
      <c r="H1760" s="19">
        <f>Fact_Defect_Split!G295</f>
        <v>0</v>
      </c>
    </row>
    <row r="1761" spans="1:8" x14ac:dyDescent="0.25">
      <c r="A1761" s="18" t="s">
        <v>2742</v>
      </c>
      <c r="B1761" s="4">
        <f>Fact_Defect_Split!B295</f>
        <v>20260702</v>
      </c>
      <c r="C1761" s="4">
        <f>Fact_Defect_Split!C295</f>
        <v>17</v>
      </c>
      <c r="D1761" s="4" t="str">
        <f>Fact_Defect_Split!D295</f>
        <v>M7</v>
      </c>
      <c r="E1761" s="4" t="str">
        <f>Fact_Defect_Split!E295</f>
        <v>A-AM</v>
      </c>
      <c r="F1761" s="4" t="str">
        <f>Fact_Defect_Split!F295</f>
        <v>C</v>
      </c>
      <c r="G1761" s="4" t="s">
        <v>500</v>
      </c>
      <c r="H1761" s="19">
        <f>Fact_Defect_Split!H295</f>
        <v>0</v>
      </c>
    </row>
    <row r="1762" spans="1:8" x14ac:dyDescent="0.25">
      <c r="A1762" s="18" t="s">
        <v>2743</v>
      </c>
      <c r="B1762" s="4">
        <f>Fact_Defect_Split!B295</f>
        <v>20260702</v>
      </c>
      <c r="C1762" s="4">
        <f>Fact_Defect_Split!C295</f>
        <v>17</v>
      </c>
      <c r="D1762" s="4" t="str">
        <f>Fact_Defect_Split!D295</f>
        <v>M7</v>
      </c>
      <c r="E1762" s="4" t="str">
        <f>Fact_Defect_Split!E295</f>
        <v>A-AM</v>
      </c>
      <c r="F1762" s="4" t="str">
        <f>Fact_Defect_Split!F295</f>
        <v>C</v>
      </c>
      <c r="G1762" s="4" t="s">
        <v>517</v>
      </c>
      <c r="H1762" s="19">
        <f>Fact_Defect_Split!I295</f>
        <v>0</v>
      </c>
    </row>
    <row r="1763" spans="1:8" x14ac:dyDescent="0.25">
      <c r="A1763" s="18" t="s">
        <v>2744</v>
      </c>
      <c r="B1763" s="4">
        <f>Fact_Defect_Split!B295</f>
        <v>20260702</v>
      </c>
      <c r="C1763" s="4">
        <f>Fact_Defect_Split!C295</f>
        <v>17</v>
      </c>
      <c r="D1763" s="4" t="str">
        <f>Fact_Defect_Split!D295</f>
        <v>M7</v>
      </c>
      <c r="E1763" s="4" t="str">
        <f>Fact_Defect_Split!E295</f>
        <v>A-AM</v>
      </c>
      <c r="F1763" s="4" t="str">
        <f>Fact_Defect_Split!F295</f>
        <v>C</v>
      </c>
      <c r="G1763" s="4" t="s">
        <v>503</v>
      </c>
      <c r="H1763" s="19">
        <f>Fact_Defect_Split!J295</f>
        <v>1</v>
      </c>
    </row>
    <row r="1764" spans="1:8" x14ac:dyDescent="0.25">
      <c r="A1764" s="18" t="s">
        <v>2745</v>
      </c>
      <c r="B1764" s="4">
        <f>Fact_Defect_Split!B295</f>
        <v>20260702</v>
      </c>
      <c r="C1764" s="4">
        <f>Fact_Defect_Split!C295</f>
        <v>17</v>
      </c>
      <c r="D1764" s="4" t="str">
        <f>Fact_Defect_Split!D295</f>
        <v>M7</v>
      </c>
      <c r="E1764" s="4" t="str">
        <f>Fact_Defect_Split!E295</f>
        <v>A-AM</v>
      </c>
      <c r="F1764" s="4" t="str">
        <f>Fact_Defect_Split!F295</f>
        <v>C</v>
      </c>
      <c r="G1764" s="4" t="s">
        <v>509</v>
      </c>
      <c r="H1764" s="19">
        <f>Fact_Defect_Split!K295</f>
        <v>1</v>
      </c>
    </row>
    <row r="1765" spans="1:8" x14ac:dyDescent="0.25">
      <c r="A1765" s="18" t="s">
        <v>2746</v>
      </c>
      <c r="B1765" s="4">
        <f>Fact_Defect_Split!B295</f>
        <v>20260702</v>
      </c>
      <c r="C1765" s="4">
        <f>Fact_Defect_Split!C295</f>
        <v>17</v>
      </c>
      <c r="D1765" s="4" t="str">
        <f>Fact_Defect_Split!D295</f>
        <v>M7</v>
      </c>
      <c r="E1765" s="4" t="str">
        <f>Fact_Defect_Split!E295</f>
        <v>A-AM</v>
      </c>
      <c r="F1765" s="4" t="str">
        <f>Fact_Defect_Split!F295</f>
        <v>C</v>
      </c>
      <c r="G1765" s="4" t="s">
        <v>520</v>
      </c>
      <c r="H1765" s="19">
        <f>Fact_Defect_Split!L295</f>
        <v>1</v>
      </c>
    </row>
    <row r="1766" spans="1:8" x14ac:dyDescent="0.25">
      <c r="A1766" s="18" t="s">
        <v>2747</v>
      </c>
      <c r="B1766" s="4">
        <f>Fact_Defect_Split!B296</f>
        <v>20260702</v>
      </c>
      <c r="C1766" s="4">
        <f>Fact_Defect_Split!C296</f>
        <v>18</v>
      </c>
      <c r="D1766" s="4" t="str">
        <f>Fact_Defect_Split!D296</f>
        <v>M1</v>
      </c>
      <c r="E1766" s="4" t="str">
        <f>Fact_Defect_Split!E296</f>
        <v>B-PM</v>
      </c>
      <c r="F1766" s="4" t="str">
        <f>Fact_Defect_Split!F296</f>
        <v>B</v>
      </c>
      <c r="G1766" s="4" t="s">
        <v>498</v>
      </c>
      <c r="H1766" s="19">
        <f>Fact_Defect_Split!G296</f>
        <v>0</v>
      </c>
    </row>
    <row r="1767" spans="1:8" x14ac:dyDescent="0.25">
      <c r="A1767" s="18" t="s">
        <v>2748</v>
      </c>
      <c r="B1767" s="4">
        <f>Fact_Defect_Split!B296</f>
        <v>20260702</v>
      </c>
      <c r="C1767" s="4">
        <f>Fact_Defect_Split!C296</f>
        <v>18</v>
      </c>
      <c r="D1767" s="4" t="str">
        <f>Fact_Defect_Split!D296</f>
        <v>M1</v>
      </c>
      <c r="E1767" s="4" t="str">
        <f>Fact_Defect_Split!E296</f>
        <v>B-PM</v>
      </c>
      <c r="F1767" s="4" t="str">
        <f>Fact_Defect_Split!F296</f>
        <v>B</v>
      </c>
      <c r="G1767" s="4" t="s">
        <v>500</v>
      </c>
      <c r="H1767" s="19">
        <f>Fact_Defect_Split!H296</f>
        <v>0</v>
      </c>
    </row>
    <row r="1768" spans="1:8" x14ac:dyDescent="0.25">
      <c r="A1768" s="18" t="s">
        <v>2749</v>
      </c>
      <c r="B1768" s="4">
        <f>Fact_Defect_Split!B296</f>
        <v>20260702</v>
      </c>
      <c r="C1768" s="4">
        <f>Fact_Defect_Split!C296</f>
        <v>18</v>
      </c>
      <c r="D1768" s="4" t="str">
        <f>Fact_Defect_Split!D296</f>
        <v>M1</v>
      </c>
      <c r="E1768" s="4" t="str">
        <f>Fact_Defect_Split!E296</f>
        <v>B-PM</v>
      </c>
      <c r="F1768" s="4" t="str">
        <f>Fact_Defect_Split!F296</f>
        <v>B</v>
      </c>
      <c r="G1768" s="4" t="s">
        <v>517</v>
      </c>
      <c r="H1768" s="19">
        <f>Fact_Defect_Split!I296</f>
        <v>0</v>
      </c>
    </row>
    <row r="1769" spans="1:8" x14ac:dyDescent="0.25">
      <c r="A1769" s="18" t="s">
        <v>2750</v>
      </c>
      <c r="B1769" s="4">
        <f>Fact_Defect_Split!B296</f>
        <v>20260702</v>
      </c>
      <c r="C1769" s="4">
        <f>Fact_Defect_Split!C296</f>
        <v>18</v>
      </c>
      <c r="D1769" s="4" t="str">
        <f>Fact_Defect_Split!D296</f>
        <v>M1</v>
      </c>
      <c r="E1769" s="4" t="str">
        <f>Fact_Defect_Split!E296</f>
        <v>B-PM</v>
      </c>
      <c r="F1769" s="4" t="str">
        <f>Fact_Defect_Split!F296</f>
        <v>B</v>
      </c>
      <c r="G1769" s="4" t="s">
        <v>503</v>
      </c>
      <c r="H1769" s="19">
        <f>Fact_Defect_Split!J296</f>
        <v>0</v>
      </c>
    </row>
    <row r="1770" spans="1:8" x14ac:dyDescent="0.25">
      <c r="A1770" s="18" t="s">
        <v>2751</v>
      </c>
      <c r="B1770" s="4">
        <f>Fact_Defect_Split!B296</f>
        <v>20260702</v>
      </c>
      <c r="C1770" s="4">
        <f>Fact_Defect_Split!C296</f>
        <v>18</v>
      </c>
      <c r="D1770" s="4" t="str">
        <f>Fact_Defect_Split!D296</f>
        <v>M1</v>
      </c>
      <c r="E1770" s="4" t="str">
        <f>Fact_Defect_Split!E296</f>
        <v>B-PM</v>
      </c>
      <c r="F1770" s="4" t="str">
        <f>Fact_Defect_Split!F296</f>
        <v>B</v>
      </c>
      <c r="G1770" s="4" t="s">
        <v>509</v>
      </c>
      <c r="H1770" s="19">
        <f>Fact_Defect_Split!K296</f>
        <v>0</v>
      </c>
    </row>
    <row r="1771" spans="1:8" x14ac:dyDescent="0.25">
      <c r="A1771" s="18" t="s">
        <v>2752</v>
      </c>
      <c r="B1771" s="4">
        <f>Fact_Defect_Split!B296</f>
        <v>20260702</v>
      </c>
      <c r="C1771" s="4">
        <f>Fact_Defect_Split!C296</f>
        <v>18</v>
      </c>
      <c r="D1771" s="4" t="str">
        <f>Fact_Defect_Split!D296</f>
        <v>M1</v>
      </c>
      <c r="E1771" s="4" t="str">
        <f>Fact_Defect_Split!E296</f>
        <v>B-PM</v>
      </c>
      <c r="F1771" s="4" t="str">
        <f>Fact_Defect_Split!F296</f>
        <v>B</v>
      </c>
      <c r="G1771" s="4" t="s">
        <v>520</v>
      </c>
      <c r="H1771" s="19">
        <f>Fact_Defect_Split!L296</f>
        <v>1</v>
      </c>
    </row>
    <row r="1772" spans="1:8" x14ac:dyDescent="0.25">
      <c r="A1772" s="18" t="s">
        <v>2753</v>
      </c>
      <c r="B1772" s="4">
        <f>Fact_Defect_Split!B297</f>
        <v>20260702</v>
      </c>
      <c r="C1772" s="4">
        <f>Fact_Defect_Split!C297</f>
        <v>18</v>
      </c>
      <c r="D1772" s="4" t="str">
        <f>Fact_Defect_Split!D297</f>
        <v>M2</v>
      </c>
      <c r="E1772" s="4" t="str">
        <f>Fact_Defect_Split!E297</f>
        <v>B-PM</v>
      </c>
      <c r="F1772" s="4" t="str">
        <f>Fact_Defect_Split!F297</f>
        <v>A</v>
      </c>
      <c r="G1772" s="4" t="s">
        <v>498</v>
      </c>
      <c r="H1772" s="19">
        <f>Fact_Defect_Split!G297</f>
        <v>0</v>
      </c>
    </row>
    <row r="1773" spans="1:8" x14ac:dyDescent="0.25">
      <c r="A1773" s="18" t="s">
        <v>2754</v>
      </c>
      <c r="B1773" s="4">
        <f>Fact_Defect_Split!B297</f>
        <v>20260702</v>
      </c>
      <c r="C1773" s="4">
        <f>Fact_Defect_Split!C297</f>
        <v>18</v>
      </c>
      <c r="D1773" s="4" t="str">
        <f>Fact_Defect_Split!D297</f>
        <v>M2</v>
      </c>
      <c r="E1773" s="4" t="str">
        <f>Fact_Defect_Split!E297</f>
        <v>B-PM</v>
      </c>
      <c r="F1773" s="4" t="str">
        <f>Fact_Defect_Split!F297</f>
        <v>A</v>
      </c>
      <c r="G1773" s="4" t="s">
        <v>500</v>
      </c>
      <c r="H1773" s="19">
        <f>Fact_Defect_Split!H297</f>
        <v>0</v>
      </c>
    </row>
    <row r="1774" spans="1:8" x14ac:dyDescent="0.25">
      <c r="A1774" s="18" t="s">
        <v>2755</v>
      </c>
      <c r="B1774" s="4">
        <f>Fact_Defect_Split!B297</f>
        <v>20260702</v>
      </c>
      <c r="C1774" s="4">
        <f>Fact_Defect_Split!C297</f>
        <v>18</v>
      </c>
      <c r="D1774" s="4" t="str">
        <f>Fact_Defect_Split!D297</f>
        <v>M2</v>
      </c>
      <c r="E1774" s="4" t="str">
        <f>Fact_Defect_Split!E297</f>
        <v>B-PM</v>
      </c>
      <c r="F1774" s="4" t="str">
        <f>Fact_Defect_Split!F297</f>
        <v>A</v>
      </c>
      <c r="G1774" s="4" t="s">
        <v>517</v>
      </c>
      <c r="H1774" s="19">
        <f>Fact_Defect_Split!I297</f>
        <v>1</v>
      </c>
    </row>
    <row r="1775" spans="1:8" x14ac:dyDescent="0.25">
      <c r="A1775" s="18" t="s">
        <v>2756</v>
      </c>
      <c r="B1775" s="4">
        <f>Fact_Defect_Split!B297</f>
        <v>20260702</v>
      </c>
      <c r="C1775" s="4">
        <f>Fact_Defect_Split!C297</f>
        <v>18</v>
      </c>
      <c r="D1775" s="4" t="str">
        <f>Fact_Defect_Split!D297</f>
        <v>M2</v>
      </c>
      <c r="E1775" s="4" t="str">
        <f>Fact_Defect_Split!E297</f>
        <v>B-PM</v>
      </c>
      <c r="F1775" s="4" t="str">
        <f>Fact_Defect_Split!F297</f>
        <v>A</v>
      </c>
      <c r="G1775" s="4" t="s">
        <v>503</v>
      </c>
      <c r="H1775" s="19">
        <f>Fact_Defect_Split!J297</f>
        <v>0</v>
      </c>
    </row>
    <row r="1776" spans="1:8" x14ac:dyDescent="0.25">
      <c r="A1776" s="18" t="s">
        <v>2757</v>
      </c>
      <c r="B1776" s="4">
        <f>Fact_Defect_Split!B297</f>
        <v>20260702</v>
      </c>
      <c r="C1776" s="4">
        <f>Fact_Defect_Split!C297</f>
        <v>18</v>
      </c>
      <c r="D1776" s="4" t="str">
        <f>Fact_Defect_Split!D297</f>
        <v>M2</v>
      </c>
      <c r="E1776" s="4" t="str">
        <f>Fact_Defect_Split!E297</f>
        <v>B-PM</v>
      </c>
      <c r="F1776" s="4" t="str">
        <f>Fact_Defect_Split!F297</f>
        <v>A</v>
      </c>
      <c r="G1776" s="4" t="s">
        <v>509</v>
      </c>
      <c r="H1776" s="19">
        <f>Fact_Defect_Split!K297</f>
        <v>1</v>
      </c>
    </row>
    <row r="1777" spans="1:8" x14ac:dyDescent="0.25">
      <c r="A1777" s="18" t="s">
        <v>2758</v>
      </c>
      <c r="B1777" s="4">
        <f>Fact_Defect_Split!B297</f>
        <v>20260702</v>
      </c>
      <c r="C1777" s="4">
        <f>Fact_Defect_Split!C297</f>
        <v>18</v>
      </c>
      <c r="D1777" s="4" t="str">
        <f>Fact_Defect_Split!D297</f>
        <v>M2</v>
      </c>
      <c r="E1777" s="4" t="str">
        <f>Fact_Defect_Split!E297</f>
        <v>B-PM</v>
      </c>
      <c r="F1777" s="4" t="str">
        <f>Fact_Defect_Split!F297</f>
        <v>A</v>
      </c>
      <c r="G1777" s="4" t="s">
        <v>520</v>
      </c>
      <c r="H1777" s="19">
        <f>Fact_Defect_Split!L297</f>
        <v>0</v>
      </c>
    </row>
    <row r="1778" spans="1:8" x14ac:dyDescent="0.25">
      <c r="A1778" s="18" t="s">
        <v>2759</v>
      </c>
      <c r="B1778" s="4">
        <f>Fact_Defect_Split!B298</f>
        <v>20260702</v>
      </c>
      <c r="C1778" s="4">
        <f>Fact_Defect_Split!C298</f>
        <v>18</v>
      </c>
      <c r="D1778" s="4" t="str">
        <f>Fact_Defect_Split!D298</f>
        <v>M3</v>
      </c>
      <c r="E1778" s="4" t="str">
        <f>Fact_Defect_Split!E298</f>
        <v>B-PM</v>
      </c>
      <c r="F1778" s="4" t="str">
        <f>Fact_Defect_Split!F298</f>
        <v>A</v>
      </c>
      <c r="G1778" s="4" t="s">
        <v>498</v>
      </c>
      <c r="H1778" s="19">
        <f>Fact_Defect_Split!G298</f>
        <v>0</v>
      </c>
    </row>
    <row r="1779" spans="1:8" x14ac:dyDescent="0.25">
      <c r="A1779" s="18" t="s">
        <v>2760</v>
      </c>
      <c r="B1779" s="4">
        <f>Fact_Defect_Split!B298</f>
        <v>20260702</v>
      </c>
      <c r="C1779" s="4">
        <f>Fact_Defect_Split!C298</f>
        <v>18</v>
      </c>
      <c r="D1779" s="4" t="str">
        <f>Fact_Defect_Split!D298</f>
        <v>M3</v>
      </c>
      <c r="E1779" s="4" t="str">
        <f>Fact_Defect_Split!E298</f>
        <v>B-PM</v>
      </c>
      <c r="F1779" s="4" t="str">
        <f>Fact_Defect_Split!F298</f>
        <v>A</v>
      </c>
      <c r="G1779" s="4" t="s">
        <v>500</v>
      </c>
      <c r="H1779" s="19">
        <f>Fact_Defect_Split!H298</f>
        <v>0</v>
      </c>
    </row>
    <row r="1780" spans="1:8" x14ac:dyDescent="0.25">
      <c r="A1780" s="18" t="s">
        <v>2761</v>
      </c>
      <c r="B1780" s="4">
        <f>Fact_Defect_Split!B298</f>
        <v>20260702</v>
      </c>
      <c r="C1780" s="4">
        <f>Fact_Defect_Split!C298</f>
        <v>18</v>
      </c>
      <c r="D1780" s="4" t="str">
        <f>Fact_Defect_Split!D298</f>
        <v>M3</v>
      </c>
      <c r="E1780" s="4" t="str">
        <f>Fact_Defect_Split!E298</f>
        <v>B-PM</v>
      </c>
      <c r="F1780" s="4" t="str">
        <f>Fact_Defect_Split!F298</f>
        <v>A</v>
      </c>
      <c r="G1780" s="4" t="s">
        <v>517</v>
      </c>
      <c r="H1780" s="19">
        <f>Fact_Defect_Split!I298</f>
        <v>0</v>
      </c>
    </row>
    <row r="1781" spans="1:8" x14ac:dyDescent="0.25">
      <c r="A1781" s="18" t="s">
        <v>2762</v>
      </c>
      <c r="B1781" s="4">
        <f>Fact_Defect_Split!B298</f>
        <v>20260702</v>
      </c>
      <c r="C1781" s="4">
        <f>Fact_Defect_Split!C298</f>
        <v>18</v>
      </c>
      <c r="D1781" s="4" t="str">
        <f>Fact_Defect_Split!D298</f>
        <v>M3</v>
      </c>
      <c r="E1781" s="4" t="str">
        <f>Fact_Defect_Split!E298</f>
        <v>B-PM</v>
      </c>
      <c r="F1781" s="4" t="str">
        <f>Fact_Defect_Split!F298</f>
        <v>A</v>
      </c>
      <c r="G1781" s="4" t="s">
        <v>503</v>
      </c>
      <c r="H1781" s="19">
        <f>Fact_Defect_Split!J298</f>
        <v>0</v>
      </c>
    </row>
    <row r="1782" spans="1:8" x14ac:dyDescent="0.25">
      <c r="A1782" s="18" t="s">
        <v>2763</v>
      </c>
      <c r="B1782" s="4">
        <f>Fact_Defect_Split!B298</f>
        <v>20260702</v>
      </c>
      <c r="C1782" s="4">
        <f>Fact_Defect_Split!C298</f>
        <v>18</v>
      </c>
      <c r="D1782" s="4" t="str">
        <f>Fact_Defect_Split!D298</f>
        <v>M3</v>
      </c>
      <c r="E1782" s="4" t="str">
        <f>Fact_Defect_Split!E298</f>
        <v>B-PM</v>
      </c>
      <c r="F1782" s="4" t="str">
        <f>Fact_Defect_Split!F298</f>
        <v>A</v>
      </c>
      <c r="G1782" s="4" t="s">
        <v>509</v>
      </c>
      <c r="H1782" s="19">
        <f>Fact_Defect_Split!K298</f>
        <v>1</v>
      </c>
    </row>
    <row r="1783" spans="1:8" x14ac:dyDescent="0.25">
      <c r="A1783" s="18" t="s">
        <v>2764</v>
      </c>
      <c r="B1783" s="4">
        <f>Fact_Defect_Split!B298</f>
        <v>20260702</v>
      </c>
      <c r="C1783" s="4">
        <f>Fact_Defect_Split!C298</f>
        <v>18</v>
      </c>
      <c r="D1783" s="4" t="str">
        <f>Fact_Defect_Split!D298</f>
        <v>M3</v>
      </c>
      <c r="E1783" s="4" t="str">
        <f>Fact_Defect_Split!E298</f>
        <v>B-PM</v>
      </c>
      <c r="F1783" s="4" t="str">
        <f>Fact_Defect_Split!F298</f>
        <v>A</v>
      </c>
      <c r="G1783" s="4" t="s">
        <v>520</v>
      </c>
      <c r="H1783" s="19">
        <f>Fact_Defect_Split!L298</f>
        <v>0</v>
      </c>
    </row>
    <row r="1784" spans="1:8" x14ac:dyDescent="0.25">
      <c r="A1784" s="18" t="s">
        <v>2765</v>
      </c>
      <c r="B1784" s="4">
        <f>Fact_Defect_Split!B299</f>
        <v>20260702</v>
      </c>
      <c r="C1784" s="4">
        <f>Fact_Defect_Split!C299</f>
        <v>18</v>
      </c>
      <c r="D1784" s="4" t="str">
        <f>Fact_Defect_Split!D299</f>
        <v>M4</v>
      </c>
      <c r="E1784" s="4" t="str">
        <f>Fact_Defect_Split!E299</f>
        <v>B-PM</v>
      </c>
      <c r="F1784" s="4" t="str">
        <f>Fact_Defect_Split!F299</f>
        <v>C</v>
      </c>
      <c r="G1784" s="4" t="s">
        <v>498</v>
      </c>
      <c r="H1784" s="19">
        <f>Fact_Defect_Split!G299</f>
        <v>0</v>
      </c>
    </row>
    <row r="1785" spans="1:8" x14ac:dyDescent="0.25">
      <c r="A1785" s="18" t="s">
        <v>2766</v>
      </c>
      <c r="B1785" s="4">
        <f>Fact_Defect_Split!B299</f>
        <v>20260702</v>
      </c>
      <c r="C1785" s="4">
        <f>Fact_Defect_Split!C299</f>
        <v>18</v>
      </c>
      <c r="D1785" s="4" t="str">
        <f>Fact_Defect_Split!D299</f>
        <v>M4</v>
      </c>
      <c r="E1785" s="4" t="str">
        <f>Fact_Defect_Split!E299</f>
        <v>B-PM</v>
      </c>
      <c r="F1785" s="4" t="str">
        <f>Fact_Defect_Split!F299</f>
        <v>C</v>
      </c>
      <c r="G1785" s="4" t="s">
        <v>500</v>
      </c>
      <c r="H1785" s="19">
        <f>Fact_Defect_Split!H299</f>
        <v>0</v>
      </c>
    </row>
    <row r="1786" spans="1:8" x14ac:dyDescent="0.25">
      <c r="A1786" s="18" t="s">
        <v>2767</v>
      </c>
      <c r="B1786" s="4">
        <f>Fact_Defect_Split!B299</f>
        <v>20260702</v>
      </c>
      <c r="C1786" s="4">
        <f>Fact_Defect_Split!C299</f>
        <v>18</v>
      </c>
      <c r="D1786" s="4" t="str">
        <f>Fact_Defect_Split!D299</f>
        <v>M4</v>
      </c>
      <c r="E1786" s="4" t="str">
        <f>Fact_Defect_Split!E299</f>
        <v>B-PM</v>
      </c>
      <c r="F1786" s="4" t="str">
        <f>Fact_Defect_Split!F299</f>
        <v>C</v>
      </c>
      <c r="G1786" s="4" t="s">
        <v>517</v>
      </c>
      <c r="H1786" s="19">
        <f>Fact_Defect_Split!I299</f>
        <v>1</v>
      </c>
    </row>
    <row r="1787" spans="1:8" x14ac:dyDescent="0.25">
      <c r="A1787" s="18" t="s">
        <v>2768</v>
      </c>
      <c r="B1787" s="4">
        <f>Fact_Defect_Split!B299</f>
        <v>20260702</v>
      </c>
      <c r="C1787" s="4">
        <f>Fact_Defect_Split!C299</f>
        <v>18</v>
      </c>
      <c r="D1787" s="4" t="str">
        <f>Fact_Defect_Split!D299</f>
        <v>M4</v>
      </c>
      <c r="E1787" s="4" t="str">
        <f>Fact_Defect_Split!E299</f>
        <v>B-PM</v>
      </c>
      <c r="F1787" s="4" t="str">
        <f>Fact_Defect_Split!F299</f>
        <v>C</v>
      </c>
      <c r="G1787" s="4" t="s">
        <v>503</v>
      </c>
      <c r="H1787" s="19">
        <f>Fact_Defect_Split!J299</f>
        <v>0</v>
      </c>
    </row>
    <row r="1788" spans="1:8" x14ac:dyDescent="0.25">
      <c r="A1788" s="18" t="s">
        <v>2769</v>
      </c>
      <c r="B1788" s="4">
        <f>Fact_Defect_Split!B299</f>
        <v>20260702</v>
      </c>
      <c r="C1788" s="4">
        <f>Fact_Defect_Split!C299</f>
        <v>18</v>
      </c>
      <c r="D1788" s="4" t="str">
        <f>Fact_Defect_Split!D299</f>
        <v>M4</v>
      </c>
      <c r="E1788" s="4" t="str">
        <f>Fact_Defect_Split!E299</f>
        <v>B-PM</v>
      </c>
      <c r="F1788" s="4" t="str">
        <f>Fact_Defect_Split!F299</f>
        <v>C</v>
      </c>
      <c r="G1788" s="4" t="s">
        <v>509</v>
      </c>
      <c r="H1788" s="19">
        <f>Fact_Defect_Split!K299</f>
        <v>0</v>
      </c>
    </row>
    <row r="1789" spans="1:8" x14ac:dyDescent="0.25">
      <c r="A1789" s="18" t="s">
        <v>2770</v>
      </c>
      <c r="B1789" s="4">
        <f>Fact_Defect_Split!B299</f>
        <v>20260702</v>
      </c>
      <c r="C1789" s="4">
        <f>Fact_Defect_Split!C299</f>
        <v>18</v>
      </c>
      <c r="D1789" s="4" t="str">
        <f>Fact_Defect_Split!D299</f>
        <v>M4</v>
      </c>
      <c r="E1789" s="4" t="str">
        <f>Fact_Defect_Split!E299</f>
        <v>B-PM</v>
      </c>
      <c r="F1789" s="4" t="str">
        <f>Fact_Defect_Split!F299</f>
        <v>C</v>
      </c>
      <c r="G1789" s="4" t="s">
        <v>520</v>
      </c>
      <c r="H1789" s="19">
        <f>Fact_Defect_Split!L299</f>
        <v>1</v>
      </c>
    </row>
    <row r="1790" spans="1:8" x14ac:dyDescent="0.25">
      <c r="A1790" s="18" t="s">
        <v>2771</v>
      </c>
      <c r="B1790" s="4">
        <f>Fact_Defect_Split!B300</f>
        <v>20260702</v>
      </c>
      <c r="C1790" s="4">
        <f>Fact_Defect_Split!C300</f>
        <v>18</v>
      </c>
      <c r="D1790" s="4" t="str">
        <f>Fact_Defect_Split!D300</f>
        <v>M5</v>
      </c>
      <c r="E1790" s="4" t="str">
        <f>Fact_Defect_Split!E300</f>
        <v>B-PM</v>
      </c>
      <c r="F1790" s="4" t="str">
        <f>Fact_Defect_Split!F300</f>
        <v>A</v>
      </c>
      <c r="G1790" s="4" t="s">
        <v>498</v>
      </c>
      <c r="H1790" s="19">
        <f>Fact_Defect_Split!G300</f>
        <v>0</v>
      </c>
    </row>
    <row r="1791" spans="1:8" x14ac:dyDescent="0.25">
      <c r="A1791" s="18" t="s">
        <v>2772</v>
      </c>
      <c r="B1791" s="4">
        <f>Fact_Defect_Split!B300</f>
        <v>20260702</v>
      </c>
      <c r="C1791" s="4">
        <f>Fact_Defect_Split!C300</f>
        <v>18</v>
      </c>
      <c r="D1791" s="4" t="str">
        <f>Fact_Defect_Split!D300</f>
        <v>M5</v>
      </c>
      <c r="E1791" s="4" t="str">
        <f>Fact_Defect_Split!E300</f>
        <v>B-PM</v>
      </c>
      <c r="F1791" s="4" t="str">
        <f>Fact_Defect_Split!F300</f>
        <v>A</v>
      </c>
      <c r="G1791" s="4" t="s">
        <v>500</v>
      </c>
      <c r="H1791" s="19">
        <f>Fact_Defect_Split!H300</f>
        <v>0</v>
      </c>
    </row>
    <row r="1792" spans="1:8" x14ac:dyDescent="0.25">
      <c r="A1792" s="18" t="s">
        <v>2773</v>
      </c>
      <c r="B1792" s="4">
        <f>Fact_Defect_Split!B300</f>
        <v>20260702</v>
      </c>
      <c r="C1792" s="4">
        <f>Fact_Defect_Split!C300</f>
        <v>18</v>
      </c>
      <c r="D1792" s="4" t="str">
        <f>Fact_Defect_Split!D300</f>
        <v>M5</v>
      </c>
      <c r="E1792" s="4" t="str">
        <f>Fact_Defect_Split!E300</f>
        <v>B-PM</v>
      </c>
      <c r="F1792" s="4" t="str">
        <f>Fact_Defect_Split!F300</f>
        <v>A</v>
      </c>
      <c r="G1792" s="4" t="s">
        <v>517</v>
      </c>
      <c r="H1792" s="19">
        <f>Fact_Defect_Split!I300</f>
        <v>1</v>
      </c>
    </row>
    <row r="1793" spans="1:8" x14ac:dyDescent="0.25">
      <c r="A1793" s="18" t="s">
        <v>2774</v>
      </c>
      <c r="B1793" s="4">
        <f>Fact_Defect_Split!B300</f>
        <v>20260702</v>
      </c>
      <c r="C1793" s="4">
        <f>Fact_Defect_Split!C300</f>
        <v>18</v>
      </c>
      <c r="D1793" s="4" t="str">
        <f>Fact_Defect_Split!D300</f>
        <v>M5</v>
      </c>
      <c r="E1793" s="4" t="str">
        <f>Fact_Defect_Split!E300</f>
        <v>B-PM</v>
      </c>
      <c r="F1793" s="4" t="str">
        <f>Fact_Defect_Split!F300</f>
        <v>A</v>
      </c>
      <c r="G1793" s="4" t="s">
        <v>503</v>
      </c>
      <c r="H1793" s="19">
        <f>Fact_Defect_Split!J300</f>
        <v>0</v>
      </c>
    </row>
    <row r="1794" spans="1:8" x14ac:dyDescent="0.25">
      <c r="A1794" s="18" t="s">
        <v>2775</v>
      </c>
      <c r="B1794" s="4">
        <f>Fact_Defect_Split!B300</f>
        <v>20260702</v>
      </c>
      <c r="C1794" s="4">
        <f>Fact_Defect_Split!C300</f>
        <v>18</v>
      </c>
      <c r="D1794" s="4" t="str">
        <f>Fact_Defect_Split!D300</f>
        <v>M5</v>
      </c>
      <c r="E1794" s="4" t="str">
        <f>Fact_Defect_Split!E300</f>
        <v>B-PM</v>
      </c>
      <c r="F1794" s="4" t="str">
        <f>Fact_Defect_Split!F300</f>
        <v>A</v>
      </c>
      <c r="G1794" s="4" t="s">
        <v>509</v>
      </c>
      <c r="H1794" s="19">
        <f>Fact_Defect_Split!K300</f>
        <v>1</v>
      </c>
    </row>
    <row r="1795" spans="1:8" x14ac:dyDescent="0.25">
      <c r="A1795" s="18" t="s">
        <v>2776</v>
      </c>
      <c r="B1795" s="4">
        <f>Fact_Defect_Split!B300</f>
        <v>20260702</v>
      </c>
      <c r="C1795" s="4">
        <f>Fact_Defect_Split!C300</f>
        <v>18</v>
      </c>
      <c r="D1795" s="4" t="str">
        <f>Fact_Defect_Split!D300</f>
        <v>M5</v>
      </c>
      <c r="E1795" s="4" t="str">
        <f>Fact_Defect_Split!E300</f>
        <v>B-PM</v>
      </c>
      <c r="F1795" s="4" t="str">
        <f>Fact_Defect_Split!F300</f>
        <v>A</v>
      </c>
      <c r="G1795" s="4" t="s">
        <v>520</v>
      </c>
      <c r="H1795" s="19">
        <f>Fact_Defect_Split!L300</f>
        <v>0</v>
      </c>
    </row>
    <row r="1796" spans="1:8" x14ac:dyDescent="0.25">
      <c r="A1796" s="18" t="s">
        <v>2777</v>
      </c>
      <c r="B1796" s="4">
        <f>Fact_Defect_Split!B301</f>
        <v>20260702</v>
      </c>
      <c r="C1796" s="4">
        <f>Fact_Defect_Split!C301</f>
        <v>18</v>
      </c>
      <c r="D1796" s="4" t="str">
        <f>Fact_Defect_Split!D301</f>
        <v>M6</v>
      </c>
      <c r="E1796" s="4" t="str">
        <f>Fact_Defect_Split!E301</f>
        <v>B-PM</v>
      </c>
      <c r="F1796" s="4" t="str">
        <f>Fact_Defect_Split!F301</f>
        <v>A</v>
      </c>
      <c r="G1796" s="4" t="s">
        <v>498</v>
      </c>
      <c r="H1796" s="19">
        <f>Fact_Defect_Split!G301</f>
        <v>0</v>
      </c>
    </row>
    <row r="1797" spans="1:8" x14ac:dyDescent="0.25">
      <c r="A1797" s="18" t="s">
        <v>2778</v>
      </c>
      <c r="B1797" s="4">
        <f>Fact_Defect_Split!B301</f>
        <v>20260702</v>
      </c>
      <c r="C1797" s="4">
        <f>Fact_Defect_Split!C301</f>
        <v>18</v>
      </c>
      <c r="D1797" s="4" t="str">
        <f>Fact_Defect_Split!D301</f>
        <v>M6</v>
      </c>
      <c r="E1797" s="4" t="str">
        <f>Fact_Defect_Split!E301</f>
        <v>B-PM</v>
      </c>
      <c r="F1797" s="4" t="str">
        <f>Fact_Defect_Split!F301</f>
        <v>A</v>
      </c>
      <c r="G1797" s="4" t="s">
        <v>500</v>
      </c>
      <c r="H1797" s="19">
        <f>Fact_Defect_Split!H301</f>
        <v>0</v>
      </c>
    </row>
    <row r="1798" spans="1:8" x14ac:dyDescent="0.25">
      <c r="A1798" s="18" t="s">
        <v>2779</v>
      </c>
      <c r="B1798" s="4">
        <f>Fact_Defect_Split!B301</f>
        <v>20260702</v>
      </c>
      <c r="C1798" s="4">
        <f>Fact_Defect_Split!C301</f>
        <v>18</v>
      </c>
      <c r="D1798" s="4" t="str">
        <f>Fact_Defect_Split!D301</f>
        <v>M6</v>
      </c>
      <c r="E1798" s="4" t="str">
        <f>Fact_Defect_Split!E301</f>
        <v>B-PM</v>
      </c>
      <c r="F1798" s="4" t="str">
        <f>Fact_Defect_Split!F301</f>
        <v>A</v>
      </c>
      <c r="G1798" s="4" t="s">
        <v>517</v>
      </c>
      <c r="H1798" s="19">
        <f>Fact_Defect_Split!I301</f>
        <v>0</v>
      </c>
    </row>
    <row r="1799" spans="1:8" x14ac:dyDescent="0.25">
      <c r="A1799" s="18" t="s">
        <v>2780</v>
      </c>
      <c r="B1799" s="4">
        <f>Fact_Defect_Split!B301</f>
        <v>20260702</v>
      </c>
      <c r="C1799" s="4">
        <f>Fact_Defect_Split!C301</f>
        <v>18</v>
      </c>
      <c r="D1799" s="4" t="str">
        <f>Fact_Defect_Split!D301</f>
        <v>M6</v>
      </c>
      <c r="E1799" s="4" t="str">
        <f>Fact_Defect_Split!E301</f>
        <v>B-PM</v>
      </c>
      <c r="F1799" s="4" t="str">
        <f>Fact_Defect_Split!F301</f>
        <v>A</v>
      </c>
      <c r="G1799" s="4" t="s">
        <v>503</v>
      </c>
      <c r="H1799" s="19">
        <f>Fact_Defect_Split!J301</f>
        <v>0</v>
      </c>
    </row>
    <row r="1800" spans="1:8" x14ac:dyDescent="0.25">
      <c r="A1800" s="18" t="s">
        <v>2781</v>
      </c>
      <c r="B1800" s="4">
        <f>Fact_Defect_Split!B301</f>
        <v>20260702</v>
      </c>
      <c r="C1800" s="4">
        <f>Fact_Defect_Split!C301</f>
        <v>18</v>
      </c>
      <c r="D1800" s="4" t="str">
        <f>Fact_Defect_Split!D301</f>
        <v>M6</v>
      </c>
      <c r="E1800" s="4" t="str">
        <f>Fact_Defect_Split!E301</f>
        <v>B-PM</v>
      </c>
      <c r="F1800" s="4" t="str">
        <f>Fact_Defect_Split!F301</f>
        <v>A</v>
      </c>
      <c r="G1800" s="4" t="s">
        <v>509</v>
      </c>
      <c r="H1800" s="19">
        <f>Fact_Defect_Split!K301</f>
        <v>0</v>
      </c>
    </row>
    <row r="1801" spans="1:8" x14ac:dyDescent="0.25">
      <c r="A1801" s="18" t="s">
        <v>2782</v>
      </c>
      <c r="B1801" s="4">
        <f>Fact_Defect_Split!B301</f>
        <v>20260702</v>
      </c>
      <c r="C1801" s="4">
        <f>Fact_Defect_Split!C301</f>
        <v>18</v>
      </c>
      <c r="D1801" s="4" t="str">
        <f>Fact_Defect_Split!D301</f>
        <v>M6</v>
      </c>
      <c r="E1801" s="4" t="str">
        <f>Fact_Defect_Split!E301</f>
        <v>B-PM</v>
      </c>
      <c r="F1801" s="4" t="str">
        <f>Fact_Defect_Split!F301</f>
        <v>A</v>
      </c>
      <c r="G1801" s="4" t="s">
        <v>520</v>
      </c>
      <c r="H1801" s="19">
        <f>Fact_Defect_Split!L301</f>
        <v>0</v>
      </c>
    </row>
    <row r="1802" spans="1:8" x14ac:dyDescent="0.25">
      <c r="A1802" s="18" t="s">
        <v>2783</v>
      </c>
      <c r="B1802" s="4">
        <f>Fact_Defect_Split!B302</f>
        <v>20260702</v>
      </c>
      <c r="C1802" s="4">
        <f>Fact_Defect_Split!C302</f>
        <v>18</v>
      </c>
      <c r="D1802" s="4" t="str">
        <f>Fact_Defect_Split!D302</f>
        <v>M7</v>
      </c>
      <c r="E1802" s="4" t="str">
        <f>Fact_Defect_Split!E302</f>
        <v>B-PM</v>
      </c>
      <c r="F1802" s="4" t="str">
        <f>Fact_Defect_Split!F302</f>
        <v>C</v>
      </c>
      <c r="G1802" s="4" t="s">
        <v>498</v>
      </c>
      <c r="H1802" s="19">
        <f>Fact_Defect_Split!G302</f>
        <v>0</v>
      </c>
    </row>
    <row r="1803" spans="1:8" x14ac:dyDescent="0.25">
      <c r="A1803" s="18" t="s">
        <v>2784</v>
      </c>
      <c r="B1803" s="4">
        <f>Fact_Defect_Split!B302</f>
        <v>20260702</v>
      </c>
      <c r="C1803" s="4">
        <f>Fact_Defect_Split!C302</f>
        <v>18</v>
      </c>
      <c r="D1803" s="4" t="str">
        <f>Fact_Defect_Split!D302</f>
        <v>M7</v>
      </c>
      <c r="E1803" s="4" t="str">
        <f>Fact_Defect_Split!E302</f>
        <v>B-PM</v>
      </c>
      <c r="F1803" s="4" t="str">
        <f>Fact_Defect_Split!F302</f>
        <v>C</v>
      </c>
      <c r="G1803" s="4" t="s">
        <v>500</v>
      </c>
      <c r="H1803" s="19">
        <f>Fact_Defect_Split!H302</f>
        <v>0</v>
      </c>
    </row>
    <row r="1804" spans="1:8" x14ac:dyDescent="0.25">
      <c r="A1804" s="18" t="s">
        <v>2785</v>
      </c>
      <c r="B1804" s="4">
        <f>Fact_Defect_Split!B302</f>
        <v>20260702</v>
      </c>
      <c r="C1804" s="4">
        <f>Fact_Defect_Split!C302</f>
        <v>18</v>
      </c>
      <c r="D1804" s="4" t="str">
        <f>Fact_Defect_Split!D302</f>
        <v>M7</v>
      </c>
      <c r="E1804" s="4" t="str">
        <f>Fact_Defect_Split!E302</f>
        <v>B-PM</v>
      </c>
      <c r="F1804" s="4" t="str">
        <f>Fact_Defect_Split!F302</f>
        <v>C</v>
      </c>
      <c r="G1804" s="4" t="s">
        <v>517</v>
      </c>
      <c r="H1804" s="19">
        <f>Fact_Defect_Split!I302</f>
        <v>1</v>
      </c>
    </row>
    <row r="1805" spans="1:8" x14ac:dyDescent="0.25">
      <c r="A1805" s="18" t="s">
        <v>2786</v>
      </c>
      <c r="B1805" s="4">
        <f>Fact_Defect_Split!B302</f>
        <v>20260702</v>
      </c>
      <c r="C1805" s="4">
        <f>Fact_Defect_Split!C302</f>
        <v>18</v>
      </c>
      <c r="D1805" s="4" t="str">
        <f>Fact_Defect_Split!D302</f>
        <v>M7</v>
      </c>
      <c r="E1805" s="4" t="str">
        <f>Fact_Defect_Split!E302</f>
        <v>B-PM</v>
      </c>
      <c r="F1805" s="4" t="str">
        <f>Fact_Defect_Split!F302</f>
        <v>C</v>
      </c>
      <c r="G1805" s="4" t="s">
        <v>503</v>
      </c>
      <c r="H1805" s="19">
        <f>Fact_Defect_Split!J302</f>
        <v>0</v>
      </c>
    </row>
    <row r="1806" spans="1:8" x14ac:dyDescent="0.25">
      <c r="A1806" s="18" t="s">
        <v>2787</v>
      </c>
      <c r="B1806" s="4">
        <f>Fact_Defect_Split!B302</f>
        <v>20260702</v>
      </c>
      <c r="C1806" s="4">
        <f>Fact_Defect_Split!C302</f>
        <v>18</v>
      </c>
      <c r="D1806" s="4" t="str">
        <f>Fact_Defect_Split!D302</f>
        <v>M7</v>
      </c>
      <c r="E1806" s="4" t="str">
        <f>Fact_Defect_Split!E302</f>
        <v>B-PM</v>
      </c>
      <c r="F1806" s="4" t="str">
        <f>Fact_Defect_Split!F302</f>
        <v>C</v>
      </c>
      <c r="G1806" s="4" t="s">
        <v>509</v>
      </c>
      <c r="H1806" s="19">
        <f>Fact_Defect_Split!K302</f>
        <v>1</v>
      </c>
    </row>
    <row r="1807" spans="1:8" x14ac:dyDescent="0.25">
      <c r="A1807" s="18" t="s">
        <v>2788</v>
      </c>
      <c r="B1807" s="4">
        <f>Fact_Defect_Split!B302</f>
        <v>20260702</v>
      </c>
      <c r="C1807" s="4">
        <f>Fact_Defect_Split!C302</f>
        <v>18</v>
      </c>
      <c r="D1807" s="4" t="str">
        <f>Fact_Defect_Split!D302</f>
        <v>M7</v>
      </c>
      <c r="E1807" s="4" t="str">
        <f>Fact_Defect_Split!E302</f>
        <v>B-PM</v>
      </c>
      <c r="F1807" s="4" t="str">
        <f>Fact_Defect_Split!F302</f>
        <v>C</v>
      </c>
      <c r="G1807" s="4" t="s">
        <v>520</v>
      </c>
      <c r="H1807" s="19">
        <f>Fact_Defect_Split!L302</f>
        <v>0</v>
      </c>
    </row>
    <row r="1808" spans="1:8" x14ac:dyDescent="0.25">
      <c r="A1808" s="18" t="s">
        <v>2789</v>
      </c>
      <c r="B1808" s="4">
        <f>Fact_Defect_Split!B303</f>
        <v>20260702</v>
      </c>
      <c r="C1808" s="4">
        <f>Fact_Defect_Split!C303</f>
        <v>19</v>
      </c>
      <c r="D1808" s="4" t="str">
        <f>Fact_Defect_Split!D303</f>
        <v>M1</v>
      </c>
      <c r="E1808" s="4" t="str">
        <f>Fact_Defect_Split!E303</f>
        <v>B-PM</v>
      </c>
      <c r="F1808" s="4" t="str">
        <f>Fact_Defect_Split!F303</f>
        <v>B</v>
      </c>
      <c r="G1808" s="4" t="s">
        <v>498</v>
      </c>
      <c r="H1808" s="19">
        <f>Fact_Defect_Split!G303</f>
        <v>0</v>
      </c>
    </row>
    <row r="1809" spans="1:8" x14ac:dyDescent="0.25">
      <c r="A1809" s="18" t="s">
        <v>2790</v>
      </c>
      <c r="B1809" s="4">
        <f>Fact_Defect_Split!B303</f>
        <v>20260702</v>
      </c>
      <c r="C1809" s="4">
        <f>Fact_Defect_Split!C303</f>
        <v>19</v>
      </c>
      <c r="D1809" s="4" t="str">
        <f>Fact_Defect_Split!D303</f>
        <v>M1</v>
      </c>
      <c r="E1809" s="4" t="str">
        <f>Fact_Defect_Split!E303</f>
        <v>B-PM</v>
      </c>
      <c r="F1809" s="4" t="str">
        <f>Fact_Defect_Split!F303</f>
        <v>B</v>
      </c>
      <c r="G1809" s="4" t="s">
        <v>500</v>
      </c>
      <c r="H1809" s="19">
        <f>Fact_Defect_Split!H303</f>
        <v>0</v>
      </c>
    </row>
    <row r="1810" spans="1:8" x14ac:dyDescent="0.25">
      <c r="A1810" s="18" t="s">
        <v>2791</v>
      </c>
      <c r="B1810" s="4">
        <f>Fact_Defect_Split!B303</f>
        <v>20260702</v>
      </c>
      <c r="C1810" s="4">
        <f>Fact_Defect_Split!C303</f>
        <v>19</v>
      </c>
      <c r="D1810" s="4" t="str">
        <f>Fact_Defect_Split!D303</f>
        <v>M1</v>
      </c>
      <c r="E1810" s="4" t="str">
        <f>Fact_Defect_Split!E303</f>
        <v>B-PM</v>
      </c>
      <c r="F1810" s="4" t="str">
        <f>Fact_Defect_Split!F303</f>
        <v>B</v>
      </c>
      <c r="G1810" s="4" t="s">
        <v>517</v>
      </c>
      <c r="H1810" s="19">
        <f>Fact_Defect_Split!I303</f>
        <v>1</v>
      </c>
    </row>
    <row r="1811" spans="1:8" x14ac:dyDescent="0.25">
      <c r="A1811" s="18" t="s">
        <v>2792</v>
      </c>
      <c r="B1811" s="4">
        <f>Fact_Defect_Split!B303</f>
        <v>20260702</v>
      </c>
      <c r="C1811" s="4">
        <f>Fact_Defect_Split!C303</f>
        <v>19</v>
      </c>
      <c r="D1811" s="4" t="str">
        <f>Fact_Defect_Split!D303</f>
        <v>M1</v>
      </c>
      <c r="E1811" s="4" t="str">
        <f>Fact_Defect_Split!E303</f>
        <v>B-PM</v>
      </c>
      <c r="F1811" s="4" t="str">
        <f>Fact_Defect_Split!F303</f>
        <v>B</v>
      </c>
      <c r="G1811" s="4" t="s">
        <v>503</v>
      </c>
      <c r="H1811" s="19">
        <f>Fact_Defect_Split!J303</f>
        <v>0</v>
      </c>
    </row>
    <row r="1812" spans="1:8" x14ac:dyDescent="0.25">
      <c r="A1812" s="18" t="s">
        <v>2793</v>
      </c>
      <c r="B1812" s="4">
        <f>Fact_Defect_Split!B303</f>
        <v>20260702</v>
      </c>
      <c r="C1812" s="4">
        <f>Fact_Defect_Split!C303</f>
        <v>19</v>
      </c>
      <c r="D1812" s="4" t="str">
        <f>Fact_Defect_Split!D303</f>
        <v>M1</v>
      </c>
      <c r="E1812" s="4" t="str">
        <f>Fact_Defect_Split!E303</f>
        <v>B-PM</v>
      </c>
      <c r="F1812" s="4" t="str">
        <f>Fact_Defect_Split!F303</f>
        <v>B</v>
      </c>
      <c r="G1812" s="4" t="s">
        <v>509</v>
      </c>
      <c r="H1812" s="19">
        <f>Fact_Defect_Split!K303</f>
        <v>1</v>
      </c>
    </row>
    <row r="1813" spans="1:8" x14ac:dyDescent="0.25">
      <c r="A1813" s="18" t="s">
        <v>2794</v>
      </c>
      <c r="B1813" s="4">
        <f>Fact_Defect_Split!B303</f>
        <v>20260702</v>
      </c>
      <c r="C1813" s="4">
        <f>Fact_Defect_Split!C303</f>
        <v>19</v>
      </c>
      <c r="D1813" s="4" t="str">
        <f>Fact_Defect_Split!D303</f>
        <v>M1</v>
      </c>
      <c r="E1813" s="4" t="str">
        <f>Fact_Defect_Split!E303</f>
        <v>B-PM</v>
      </c>
      <c r="F1813" s="4" t="str">
        <f>Fact_Defect_Split!F303</f>
        <v>B</v>
      </c>
      <c r="G1813" s="4" t="s">
        <v>520</v>
      </c>
      <c r="H1813" s="19">
        <f>Fact_Defect_Split!L303</f>
        <v>0</v>
      </c>
    </row>
    <row r="1814" spans="1:8" x14ac:dyDescent="0.25">
      <c r="A1814" s="18" t="s">
        <v>2795</v>
      </c>
      <c r="B1814" s="4">
        <f>Fact_Defect_Split!B304</f>
        <v>20260702</v>
      </c>
      <c r="C1814" s="4">
        <f>Fact_Defect_Split!C304</f>
        <v>19</v>
      </c>
      <c r="D1814" s="4" t="str">
        <f>Fact_Defect_Split!D304</f>
        <v>M2</v>
      </c>
      <c r="E1814" s="4" t="str">
        <f>Fact_Defect_Split!E304</f>
        <v>B-PM</v>
      </c>
      <c r="F1814" s="4" t="str">
        <f>Fact_Defect_Split!F304</f>
        <v>A</v>
      </c>
      <c r="G1814" s="4" t="s">
        <v>498</v>
      </c>
      <c r="H1814" s="19">
        <f>Fact_Defect_Split!G304</f>
        <v>0</v>
      </c>
    </row>
    <row r="1815" spans="1:8" x14ac:dyDescent="0.25">
      <c r="A1815" s="18" t="s">
        <v>2796</v>
      </c>
      <c r="B1815" s="4">
        <f>Fact_Defect_Split!B304</f>
        <v>20260702</v>
      </c>
      <c r="C1815" s="4">
        <f>Fact_Defect_Split!C304</f>
        <v>19</v>
      </c>
      <c r="D1815" s="4" t="str">
        <f>Fact_Defect_Split!D304</f>
        <v>M2</v>
      </c>
      <c r="E1815" s="4" t="str">
        <f>Fact_Defect_Split!E304</f>
        <v>B-PM</v>
      </c>
      <c r="F1815" s="4" t="str">
        <f>Fact_Defect_Split!F304</f>
        <v>A</v>
      </c>
      <c r="G1815" s="4" t="s">
        <v>500</v>
      </c>
      <c r="H1815" s="19">
        <f>Fact_Defect_Split!H304</f>
        <v>0</v>
      </c>
    </row>
    <row r="1816" spans="1:8" x14ac:dyDescent="0.25">
      <c r="A1816" s="18" t="s">
        <v>2797</v>
      </c>
      <c r="B1816" s="4">
        <f>Fact_Defect_Split!B304</f>
        <v>20260702</v>
      </c>
      <c r="C1816" s="4">
        <f>Fact_Defect_Split!C304</f>
        <v>19</v>
      </c>
      <c r="D1816" s="4" t="str">
        <f>Fact_Defect_Split!D304</f>
        <v>M2</v>
      </c>
      <c r="E1816" s="4" t="str">
        <f>Fact_Defect_Split!E304</f>
        <v>B-PM</v>
      </c>
      <c r="F1816" s="4" t="str">
        <f>Fact_Defect_Split!F304</f>
        <v>A</v>
      </c>
      <c r="G1816" s="4" t="s">
        <v>517</v>
      </c>
      <c r="H1816" s="19">
        <f>Fact_Defect_Split!I304</f>
        <v>0</v>
      </c>
    </row>
    <row r="1817" spans="1:8" x14ac:dyDescent="0.25">
      <c r="A1817" s="18" t="s">
        <v>2798</v>
      </c>
      <c r="B1817" s="4">
        <f>Fact_Defect_Split!B304</f>
        <v>20260702</v>
      </c>
      <c r="C1817" s="4">
        <f>Fact_Defect_Split!C304</f>
        <v>19</v>
      </c>
      <c r="D1817" s="4" t="str">
        <f>Fact_Defect_Split!D304</f>
        <v>M2</v>
      </c>
      <c r="E1817" s="4" t="str">
        <f>Fact_Defect_Split!E304</f>
        <v>B-PM</v>
      </c>
      <c r="F1817" s="4" t="str">
        <f>Fact_Defect_Split!F304</f>
        <v>A</v>
      </c>
      <c r="G1817" s="4" t="s">
        <v>503</v>
      </c>
      <c r="H1817" s="19">
        <f>Fact_Defect_Split!J304</f>
        <v>1</v>
      </c>
    </row>
    <row r="1818" spans="1:8" x14ac:dyDescent="0.25">
      <c r="A1818" s="18" t="s">
        <v>2799</v>
      </c>
      <c r="B1818" s="4">
        <f>Fact_Defect_Split!B304</f>
        <v>20260702</v>
      </c>
      <c r="C1818" s="4">
        <f>Fact_Defect_Split!C304</f>
        <v>19</v>
      </c>
      <c r="D1818" s="4" t="str">
        <f>Fact_Defect_Split!D304</f>
        <v>M2</v>
      </c>
      <c r="E1818" s="4" t="str">
        <f>Fact_Defect_Split!E304</f>
        <v>B-PM</v>
      </c>
      <c r="F1818" s="4" t="str">
        <f>Fact_Defect_Split!F304</f>
        <v>A</v>
      </c>
      <c r="G1818" s="4" t="s">
        <v>509</v>
      </c>
      <c r="H1818" s="19">
        <f>Fact_Defect_Split!K304</f>
        <v>1</v>
      </c>
    </row>
    <row r="1819" spans="1:8" x14ac:dyDescent="0.25">
      <c r="A1819" s="18" t="s">
        <v>2800</v>
      </c>
      <c r="B1819" s="4">
        <f>Fact_Defect_Split!B304</f>
        <v>20260702</v>
      </c>
      <c r="C1819" s="4">
        <f>Fact_Defect_Split!C304</f>
        <v>19</v>
      </c>
      <c r="D1819" s="4" t="str">
        <f>Fact_Defect_Split!D304</f>
        <v>M2</v>
      </c>
      <c r="E1819" s="4" t="str">
        <f>Fact_Defect_Split!E304</f>
        <v>B-PM</v>
      </c>
      <c r="F1819" s="4" t="str">
        <f>Fact_Defect_Split!F304</f>
        <v>A</v>
      </c>
      <c r="G1819" s="4" t="s">
        <v>520</v>
      </c>
      <c r="H1819" s="19">
        <f>Fact_Defect_Split!L304</f>
        <v>0</v>
      </c>
    </row>
    <row r="1820" spans="1:8" x14ac:dyDescent="0.25">
      <c r="A1820" s="18" t="s">
        <v>2801</v>
      </c>
      <c r="B1820" s="4">
        <f>Fact_Defect_Split!B305</f>
        <v>20260702</v>
      </c>
      <c r="C1820" s="4">
        <f>Fact_Defect_Split!C305</f>
        <v>19</v>
      </c>
      <c r="D1820" s="4" t="str">
        <f>Fact_Defect_Split!D305</f>
        <v>M3</v>
      </c>
      <c r="E1820" s="4" t="str">
        <f>Fact_Defect_Split!E305</f>
        <v>B-PM</v>
      </c>
      <c r="F1820" s="4" t="str">
        <f>Fact_Defect_Split!F305</f>
        <v>A</v>
      </c>
      <c r="G1820" s="4" t="s">
        <v>498</v>
      </c>
      <c r="H1820" s="19">
        <f>Fact_Defect_Split!G305</f>
        <v>0</v>
      </c>
    </row>
    <row r="1821" spans="1:8" x14ac:dyDescent="0.25">
      <c r="A1821" s="18" t="s">
        <v>2802</v>
      </c>
      <c r="B1821" s="4">
        <f>Fact_Defect_Split!B305</f>
        <v>20260702</v>
      </c>
      <c r="C1821" s="4">
        <f>Fact_Defect_Split!C305</f>
        <v>19</v>
      </c>
      <c r="D1821" s="4" t="str">
        <f>Fact_Defect_Split!D305</f>
        <v>M3</v>
      </c>
      <c r="E1821" s="4" t="str">
        <f>Fact_Defect_Split!E305</f>
        <v>B-PM</v>
      </c>
      <c r="F1821" s="4" t="str">
        <f>Fact_Defect_Split!F305</f>
        <v>A</v>
      </c>
      <c r="G1821" s="4" t="s">
        <v>500</v>
      </c>
      <c r="H1821" s="19">
        <f>Fact_Defect_Split!H305</f>
        <v>0</v>
      </c>
    </row>
    <row r="1822" spans="1:8" x14ac:dyDescent="0.25">
      <c r="A1822" s="18" t="s">
        <v>2803</v>
      </c>
      <c r="B1822" s="4">
        <f>Fact_Defect_Split!B305</f>
        <v>20260702</v>
      </c>
      <c r="C1822" s="4">
        <f>Fact_Defect_Split!C305</f>
        <v>19</v>
      </c>
      <c r="D1822" s="4" t="str">
        <f>Fact_Defect_Split!D305</f>
        <v>M3</v>
      </c>
      <c r="E1822" s="4" t="str">
        <f>Fact_Defect_Split!E305</f>
        <v>B-PM</v>
      </c>
      <c r="F1822" s="4" t="str">
        <f>Fact_Defect_Split!F305</f>
        <v>A</v>
      </c>
      <c r="G1822" s="4" t="s">
        <v>517</v>
      </c>
      <c r="H1822" s="19">
        <f>Fact_Defect_Split!I305</f>
        <v>0</v>
      </c>
    </row>
    <row r="1823" spans="1:8" x14ac:dyDescent="0.25">
      <c r="A1823" s="18" t="s">
        <v>2804</v>
      </c>
      <c r="B1823" s="4">
        <f>Fact_Defect_Split!B305</f>
        <v>20260702</v>
      </c>
      <c r="C1823" s="4">
        <f>Fact_Defect_Split!C305</f>
        <v>19</v>
      </c>
      <c r="D1823" s="4" t="str">
        <f>Fact_Defect_Split!D305</f>
        <v>M3</v>
      </c>
      <c r="E1823" s="4" t="str">
        <f>Fact_Defect_Split!E305</f>
        <v>B-PM</v>
      </c>
      <c r="F1823" s="4" t="str">
        <f>Fact_Defect_Split!F305</f>
        <v>A</v>
      </c>
      <c r="G1823" s="4" t="s">
        <v>503</v>
      </c>
      <c r="H1823" s="19">
        <f>Fact_Defect_Split!J305</f>
        <v>0</v>
      </c>
    </row>
    <row r="1824" spans="1:8" x14ac:dyDescent="0.25">
      <c r="A1824" s="18" t="s">
        <v>2805</v>
      </c>
      <c r="B1824" s="4">
        <f>Fact_Defect_Split!B305</f>
        <v>20260702</v>
      </c>
      <c r="C1824" s="4">
        <f>Fact_Defect_Split!C305</f>
        <v>19</v>
      </c>
      <c r="D1824" s="4" t="str">
        <f>Fact_Defect_Split!D305</f>
        <v>M3</v>
      </c>
      <c r="E1824" s="4" t="str">
        <f>Fact_Defect_Split!E305</f>
        <v>B-PM</v>
      </c>
      <c r="F1824" s="4" t="str">
        <f>Fact_Defect_Split!F305</f>
        <v>A</v>
      </c>
      <c r="G1824" s="4" t="s">
        <v>509</v>
      </c>
      <c r="H1824" s="19">
        <f>Fact_Defect_Split!K305</f>
        <v>0</v>
      </c>
    </row>
    <row r="1825" spans="1:8" x14ac:dyDescent="0.25">
      <c r="A1825" s="18" t="s">
        <v>2806</v>
      </c>
      <c r="B1825" s="4">
        <f>Fact_Defect_Split!B305</f>
        <v>20260702</v>
      </c>
      <c r="C1825" s="4">
        <f>Fact_Defect_Split!C305</f>
        <v>19</v>
      </c>
      <c r="D1825" s="4" t="str">
        <f>Fact_Defect_Split!D305</f>
        <v>M3</v>
      </c>
      <c r="E1825" s="4" t="str">
        <f>Fact_Defect_Split!E305</f>
        <v>B-PM</v>
      </c>
      <c r="F1825" s="4" t="str">
        <f>Fact_Defect_Split!F305</f>
        <v>A</v>
      </c>
      <c r="G1825" s="4" t="s">
        <v>520</v>
      </c>
      <c r="H1825" s="19">
        <f>Fact_Defect_Split!L305</f>
        <v>0</v>
      </c>
    </row>
    <row r="1826" spans="1:8" x14ac:dyDescent="0.25">
      <c r="A1826" s="18" t="s">
        <v>2807</v>
      </c>
      <c r="B1826" s="4">
        <f>Fact_Defect_Split!B306</f>
        <v>20260702</v>
      </c>
      <c r="C1826" s="4">
        <f>Fact_Defect_Split!C306</f>
        <v>19</v>
      </c>
      <c r="D1826" s="4" t="str">
        <f>Fact_Defect_Split!D306</f>
        <v>M4</v>
      </c>
      <c r="E1826" s="4" t="str">
        <f>Fact_Defect_Split!E306</f>
        <v>B-PM</v>
      </c>
      <c r="F1826" s="4" t="str">
        <f>Fact_Defect_Split!F306</f>
        <v>C</v>
      </c>
      <c r="G1826" s="4" t="s">
        <v>498</v>
      </c>
      <c r="H1826" s="19">
        <f>Fact_Defect_Split!G306</f>
        <v>0</v>
      </c>
    </row>
    <row r="1827" spans="1:8" x14ac:dyDescent="0.25">
      <c r="A1827" s="18" t="s">
        <v>2808</v>
      </c>
      <c r="B1827" s="4">
        <f>Fact_Defect_Split!B306</f>
        <v>20260702</v>
      </c>
      <c r="C1827" s="4">
        <f>Fact_Defect_Split!C306</f>
        <v>19</v>
      </c>
      <c r="D1827" s="4" t="str">
        <f>Fact_Defect_Split!D306</f>
        <v>M4</v>
      </c>
      <c r="E1827" s="4" t="str">
        <f>Fact_Defect_Split!E306</f>
        <v>B-PM</v>
      </c>
      <c r="F1827" s="4" t="str">
        <f>Fact_Defect_Split!F306</f>
        <v>C</v>
      </c>
      <c r="G1827" s="4" t="s">
        <v>500</v>
      </c>
      <c r="H1827" s="19">
        <f>Fact_Defect_Split!H306</f>
        <v>0</v>
      </c>
    </row>
    <row r="1828" spans="1:8" x14ac:dyDescent="0.25">
      <c r="A1828" s="18" t="s">
        <v>2809</v>
      </c>
      <c r="B1828" s="4">
        <f>Fact_Defect_Split!B306</f>
        <v>20260702</v>
      </c>
      <c r="C1828" s="4">
        <f>Fact_Defect_Split!C306</f>
        <v>19</v>
      </c>
      <c r="D1828" s="4" t="str">
        <f>Fact_Defect_Split!D306</f>
        <v>M4</v>
      </c>
      <c r="E1828" s="4" t="str">
        <f>Fact_Defect_Split!E306</f>
        <v>B-PM</v>
      </c>
      <c r="F1828" s="4" t="str">
        <f>Fact_Defect_Split!F306</f>
        <v>C</v>
      </c>
      <c r="G1828" s="4" t="s">
        <v>517</v>
      </c>
      <c r="H1828" s="19">
        <f>Fact_Defect_Split!I306</f>
        <v>1</v>
      </c>
    </row>
    <row r="1829" spans="1:8" x14ac:dyDescent="0.25">
      <c r="A1829" s="18" t="s">
        <v>2810</v>
      </c>
      <c r="B1829" s="4">
        <f>Fact_Defect_Split!B306</f>
        <v>20260702</v>
      </c>
      <c r="C1829" s="4">
        <f>Fact_Defect_Split!C306</f>
        <v>19</v>
      </c>
      <c r="D1829" s="4" t="str">
        <f>Fact_Defect_Split!D306</f>
        <v>M4</v>
      </c>
      <c r="E1829" s="4" t="str">
        <f>Fact_Defect_Split!E306</f>
        <v>B-PM</v>
      </c>
      <c r="F1829" s="4" t="str">
        <f>Fact_Defect_Split!F306</f>
        <v>C</v>
      </c>
      <c r="G1829" s="4" t="s">
        <v>503</v>
      </c>
      <c r="H1829" s="19">
        <f>Fact_Defect_Split!J306</f>
        <v>0</v>
      </c>
    </row>
    <row r="1830" spans="1:8" x14ac:dyDescent="0.25">
      <c r="A1830" s="18" t="s">
        <v>2811</v>
      </c>
      <c r="B1830" s="4">
        <f>Fact_Defect_Split!B306</f>
        <v>20260702</v>
      </c>
      <c r="C1830" s="4">
        <f>Fact_Defect_Split!C306</f>
        <v>19</v>
      </c>
      <c r="D1830" s="4" t="str">
        <f>Fact_Defect_Split!D306</f>
        <v>M4</v>
      </c>
      <c r="E1830" s="4" t="str">
        <f>Fact_Defect_Split!E306</f>
        <v>B-PM</v>
      </c>
      <c r="F1830" s="4" t="str">
        <f>Fact_Defect_Split!F306</f>
        <v>C</v>
      </c>
      <c r="G1830" s="4" t="s">
        <v>509</v>
      </c>
      <c r="H1830" s="19">
        <f>Fact_Defect_Split!K306</f>
        <v>1</v>
      </c>
    </row>
    <row r="1831" spans="1:8" x14ac:dyDescent="0.25">
      <c r="A1831" s="18" t="s">
        <v>2812</v>
      </c>
      <c r="B1831" s="4">
        <f>Fact_Defect_Split!B306</f>
        <v>20260702</v>
      </c>
      <c r="C1831" s="4">
        <f>Fact_Defect_Split!C306</f>
        <v>19</v>
      </c>
      <c r="D1831" s="4" t="str">
        <f>Fact_Defect_Split!D306</f>
        <v>M4</v>
      </c>
      <c r="E1831" s="4" t="str">
        <f>Fact_Defect_Split!E306</f>
        <v>B-PM</v>
      </c>
      <c r="F1831" s="4" t="str">
        <f>Fact_Defect_Split!F306</f>
        <v>C</v>
      </c>
      <c r="G1831" s="4" t="s">
        <v>520</v>
      </c>
      <c r="H1831" s="19">
        <f>Fact_Defect_Split!L306</f>
        <v>0</v>
      </c>
    </row>
    <row r="1832" spans="1:8" x14ac:dyDescent="0.25">
      <c r="A1832" s="18" t="s">
        <v>2813</v>
      </c>
      <c r="B1832" s="4">
        <f>Fact_Defect_Split!B307</f>
        <v>20260702</v>
      </c>
      <c r="C1832" s="4">
        <f>Fact_Defect_Split!C307</f>
        <v>19</v>
      </c>
      <c r="D1832" s="4" t="str">
        <f>Fact_Defect_Split!D307</f>
        <v>M5</v>
      </c>
      <c r="E1832" s="4" t="str">
        <f>Fact_Defect_Split!E307</f>
        <v>B-PM</v>
      </c>
      <c r="F1832" s="4" t="str">
        <f>Fact_Defect_Split!F307</f>
        <v>A</v>
      </c>
      <c r="G1832" s="4" t="s">
        <v>498</v>
      </c>
      <c r="H1832" s="19">
        <f>Fact_Defect_Split!G307</f>
        <v>0</v>
      </c>
    </row>
    <row r="1833" spans="1:8" x14ac:dyDescent="0.25">
      <c r="A1833" s="18" t="s">
        <v>2814</v>
      </c>
      <c r="B1833" s="4">
        <f>Fact_Defect_Split!B307</f>
        <v>20260702</v>
      </c>
      <c r="C1833" s="4">
        <f>Fact_Defect_Split!C307</f>
        <v>19</v>
      </c>
      <c r="D1833" s="4" t="str">
        <f>Fact_Defect_Split!D307</f>
        <v>M5</v>
      </c>
      <c r="E1833" s="4" t="str">
        <f>Fact_Defect_Split!E307</f>
        <v>B-PM</v>
      </c>
      <c r="F1833" s="4" t="str">
        <f>Fact_Defect_Split!F307</f>
        <v>A</v>
      </c>
      <c r="G1833" s="4" t="s">
        <v>500</v>
      </c>
      <c r="H1833" s="19">
        <f>Fact_Defect_Split!H307</f>
        <v>0</v>
      </c>
    </row>
    <row r="1834" spans="1:8" x14ac:dyDescent="0.25">
      <c r="A1834" s="18" t="s">
        <v>2815</v>
      </c>
      <c r="B1834" s="4">
        <f>Fact_Defect_Split!B307</f>
        <v>20260702</v>
      </c>
      <c r="C1834" s="4">
        <f>Fact_Defect_Split!C307</f>
        <v>19</v>
      </c>
      <c r="D1834" s="4" t="str">
        <f>Fact_Defect_Split!D307</f>
        <v>M5</v>
      </c>
      <c r="E1834" s="4" t="str">
        <f>Fact_Defect_Split!E307</f>
        <v>B-PM</v>
      </c>
      <c r="F1834" s="4" t="str">
        <f>Fact_Defect_Split!F307</f>
        <v>A</v>
      </c>
      <c r="G1834" s="4" t="s">
        <v>517</v>
      </c>
      <c r="H1834" s="19">
        <f>Fact_Defect_Split!I307</f>
        <v>1</v>
      </c>
    </row>
    <row r="1835" spans="1:8" x14ac:dyDescent="0.25">
      <c r="A1835" s="18" t="s">
        <v>2816</v>
      </c>
      <c r="B1835" s="4">
        <f>Fact_Defect_Split!B307</f>
        <v>20260702</v>
      </c>
      <c r="C1835" s="4">
        <f>Fact_Defect_Split!C307</f>
        <v>19</v>
      </c>
      <c r="D1835" s="4" t="str">
        <f>Fact_Defect_Split!D307</f>
        <v>M5</v>
      </c>
      <c r="E1835" s="4" t="str">
        <f>Fact_Defect_Split!E307</f>
        <v>B-PM</v>
      </c>
      <c r="F1835" s="4" t="str">
        <f>Fact_Defect_Split!F307</f>
        <v>A</v>
      </c>
      <c r="G1835" s="4" t="s">
        <v>503</v>
      </c>
      <c r="H1835" s="19">
        <f>Fact_Defect_Split!J307</f>
        <v>0</v>
      </c>
    </row>
    <row r="1836" spans="1:8" x14ac:dyDescent="0.25">
      <c r="A1836" s="18" t="s">
        <v>2817</v>
      </c>
      <c r="B1836" s="4">
        <f>Fact_Defect_Split!B307</f>
        <v>20260702</v>
      </c>
      <c r="C1836" s="4">
        <f>Fact_Defect_Split!C307</f>
        <v>19</v>
      </c>
      <c r="D1836" s="4" t="str">
        <f>Fact_Defect_Split!D307</f>
        <v>M5</v>
      </c>
      <c r="E1836" s="4" t="str">
        <f>Fact_Defect_Split!E307</f>
        <v>B-PM</v>
      </c>
      <c r="F1836" s="4" t="str">
        <f>Fact_Defect_Split!F307</f>
        <v>A</v>
      </c>
      <c r="G1836" s="4" t="s">
        <v>509</v>
      </c>
      <c r="H1836" s="19">
        <f>Fact_Defect_Split!K307</f>
        <v>0</v>
      </c>
    </row>
    <row r="1837" spans="1:8" x14ac:dyDescent="0.25">
      <c r="A1837" s="18" t="s">
        <v>2818</v>
      </c>
      <c r="B1837" s="4">
        <f>Fact_Defect_Split!B307</f>
        <v>20260702</v>
      </c>
      <c r="C1837" s="4">
        <f>Fact_Defect_Split!C307</f>
        <v>19</v>
      </c>
      <c r="D1837" s="4" t="str">
        <f>Fact_Defect_Split!D307</f>
        <v>M5</v>
      </c>
      <c r="E1837" s="4" t="str">
        <f>Fact_Defect_Split!E307</f>
        <v>B-PM</v>
      </c>
      <c r="F1837" s="4" t="str">
        <f>Fact_Defect_Split!F307</f>
        <v>A</v>
      </c>
      <c r="G1837" s="4" t="s">
        <v>520</v>
      </c>
      <c r="H1837" s="19">
        <f>Fact_Defect_Split!L307</f>
        <v>1</v>
      </c>
    </row>
    <row r="1838" spans="1:8" x14ac:dyDescent="0.25">
      <c r="A1838" s="18" t="s">
        <v>2819</v>
      </c>
      <c r="B1838" s="4">
        <f>Fact_Defect_Split!B308</f>
        <v>20260702</v>
      </c>
      <c r="C1838" s="4">
        <f>Fact_Defect_Split!C308</f>
        <v>19</v>
      </c>
      <c r="D1838" s="4" t="str">
        <f>Fact_Defect_Split!D308</f>
        <v>M6</v>
      </c>
      <c r="E1838" s="4" t="str">
        <f>Fact_Defect_Split!E308</f>
        <v>B-PM</v>
      </c>
      <c r="F1838" s="4" t="str">
        <f>Fact_Defect_Split!F308</f>
        <v>A</v>
      </c>
      <c r="G1838" s="4" t="s">
        <v>498</v>
      </c>
      <c r="H1838" s="19">
        <f>Fact_Defect_Split!G308</f>
        <v>0</v>
      </c>
    </row>
    <row r="1839" spans="1:8" x14ac:dyDescent="0.25">
      <c r="A1839" s="18" t="s">
        <v>2820</v>
      </c>
      <c r="B1839" s="4">
        <f>Fact_Defect_Split!B308</f>
        <v>20260702</v>
      </c>
      <c r="C1839" s="4">
        <f>Fact_Defect_Split!C308</f>
        <v>19</v>
      </c>
      <c r="D1839" s="4" t="str">
        <f>Fact_Defect_Split!D308</f>
        <v>M6</v>
      </c>
      <c r="E1839" s="4" t="str">
        <f>Fact_Defect_Split!E308</f>
        <v>B-PM</v>
      </c>
      <c r="F1839" s="4" t="str">
        <f>Fact_Defect_Split!F308</f>
        <v>A</v>
      </c>
      <c r="G1839" s="4" t="s">
        <v>500</v>
      </c>
      <c r="H1839" s="19">
        <f>Fact_Defect_Split!H308</f>
        <v>0</v>
      </c>
    </row>
    <row r="1840" spans="1:8" x14ac:dyDescent="0.25">
      <c r="A1840" s="18" t="s">
        <v>2821</v>
      </c>
      <c r="B1840" s="4">
        <f>Fact_Defect_Split!B308</f>
        <v>20260702</v>
      </c>
      <c r="C1840" s="4">
        <f>Fact_Defect_Split!C308</f>
        <v>19</v>
      </c>
      <c r="D1840" s="4" t="str">
        <f>Fact_Defect_Split!D308</f>
        <v>M6</v>
      </c>
      <c r="E1840" s="4" t="str">
        <f>Fact_Defect_Split!E308</f>
        <v>B-PM</v>
      </c>
      <c r="F1840" s="4" t="str">
        <f>Fact_Defect_Split!F308</f>
        <v>A</v>
      </c>
      <c r="G1840" s="4" t="s">
        <v>517</v>
      </c>
      <c r="H1840" s="19">
        <f>Fact_Defect_Split!I308</f>
        <v>0</v>
      </c>
    </row>
    <row r="1841" spans="1:8" x14ac:dyDescent="0.25">
      <c r="A1841" s="18" t="s">
        <v>2822</v>
      </c>
      <c r="B1841" s="4">
        <f>Fact_Defect_Split!B308</f>
        <v>20260702</v>
      </c>
      <c r="C1841" s="4">
        <f>Fact_Defect_Split!C308</f>
        <v>19</v>
      </c>
      <c r="D1841" s="4" t="str">
        <f>Fact_Defect_Split!D308</f>
        <v>M6</v>
      </c>
      <c r="E1841" s="4" t="str">
        <f>Fact_Defect_Split!E308</f>
        <v>B-PM</v>
      </c>
      <c r="F1841" s="4" t="str">
        <f>Fact_Defect_Split!F308</f>
        <v>A</v>
      </c>
      <c r="G1841" s="4" t="s">
        <v>503</v>
      </c>
      <c r="H1841" s="19">
        <f>Fact_Defect_Split!J308</f>
        <v>0</v>
      </c>
    </row>
    <row r="1842" spans="1:8" x14ac:dyDescent="0.25">
      <c r="A1842" s="18" t="s">
        <v>2823</v>
      </c>
      <c r="B1842" s="4">
        <f>Fact_Defect_Split!B308</f>
        <v>20260702</v>
      </c>
      <c r="C1842" s="4">
        <f>Fact_Defect_Split!C308</f>
        <v>19</v>
      </c>
      <c r="D1842" s="4" t="str">
        <f>Fact_Defect_Split!D308</f>
        <v>M6</v>
      </c>
      <c r="E1842" s="4" t="str">
        <f>Fact_Defect_Split!E308</f>
        <v>B-PM</v>
      </c>
      <c r="F1842" s="4" t="str">
        <f>Fact_Defect_Split!F308</f>
        <v>A</v>
      </c>
      <c r="G1842" s="4" t="s">
        <v>509</v>
      </c>
      <c r="H1842" s="19">
        <f>Fact_Defect_Split!K308</f>
        <v>0</v>
      </c>
    </row>
    <row r="1843" spans="1:8" x14ac:dyDescent="0.25">
      <c r="A1843" s="18" t="s">
        <v>2824</v>
      </c>
      <c r="B1843" s="4">
        <f>Fact_Defect_Split!B308</f>
        <v>20260702</v>
      </c>
      <c r="C1843" s="4">
        <f>Fact_Defect_Split!C308</f>
        <v>19</v>
      </c>
      <c r="D1843" s="4" t="str">
        <f>Fact_Defect_Split!D308</f>
        <v>M6</v>
      </c>
      <c r="E1843" s="4" t="str">
        <f>Fact_Defect_Split!E308</f>
        <v>B-PM</v>
      </c>
      <c r="F1843" s="4" t="str">
        <f>Fact_Defect_Split!F308</f>
        <v>A</v>
      </c>
      <c r="G1843" s="4" t="s">
        <v>520</v>
      </c>
      <c r="H1843" s="19">
        <f>Fact_Defect_Split!L308</f>
        <v>0</v>
      </c>
    </row>
    <row r="1844" spans="1:8" x14ac:dyDescent="0.25">
      <c r="A1844" s="18" t="s">
        <v>2825</v>
      </c>
      <c r="B1844" s="4">
        <f>Fact_Defect_Split!B309</f>
        <v>20260702</v>
      </c>
      <c r="C1844" s="4">
        <f>Fact_Defect_Split!C309</f>
        <v>19</v>
      </c>
      <c r="D1844" s="4" t="str">
        <f>Fact_Defect_Split!D309</f>
        <v>M7</v>
      </c>
      <c r="E1844" s="4" t="str">
        <f>Fact_Defect_Split!E309</f>
        <v>B-PM</v>
      </c>
      <c r="F1844" s="4" t="str">
        <f>Fact_Defect_Split!F309</f>
        <v>C</v>
      </c>
      <c r="G1844" s="4" t="s">
        <v>498</v>
      </c>
      <c r="H1844" s="19">
        <f>Fact_Defect_Split!G309</f>
        <v>0</v>
      </c>
    </row>
    <row r="1845" spans="1:8" x14ac:dyDescent="0.25">
      <c r="A1845" s="18" t="s">
        <v>2826</v>
      </c>
      <c r="B1845" s="4">
        <f>Fact_Defect_Split!B309</f>
        <v>20260702</v>
      </c>
      <c r="C1845" s="4">
        <f>Fact_Defect_Split!C309</f>
        <v>19</v>
      </c>
      <c r="D1845" s="4" t="str">
        <f>Fact_Defect_Split!D309</f>
        <v>M7</v>
      </c>
      <c r="E1845" s="4" t="str">
        <f>Fact_Defect_Split!E309</f>
        <v>B-PM</v>
      </c>
      <c r="F1845" s="4" t="str">
        <f>Fact_Defect_Split!F309</f>
        <v>C</v>
      </c>
      <c r="G1845" s="4" t="s">
        <v>500</v>
      </c>
      <c r="H1845" s="19">
        <f>Fact_Defect_Split!H309</f>
        <v>0</v>
      </c>
    </row>
    <row r="1846" spans="1:8" x14ac:dyDescent="0.25">
      <c r="A1846" s="18" t="s">
        <v>2827</v>
      </c>
      <c r="B1846" s="4">
        <f>Fact_Defect_Split!B309</f>
        <v>20260702</v>
      </c>
      <c r="C1846" s="4">
        <f>Fact_Defect_Split!C309</f>
        <v>19</v>
      </c>
      <c r="D1846" s="4" t="str">
        <f>Fact_Defect_Split!D309</f>
        <v>M7</v>
      </c>
      <c r="E1846" s="4" t="str">
        <f>Fact_Defect_Split!E309</f>
        <v>B-PM</v>
      </c>
      <c r="F1846" s="4" t="str">
        <f>Fact_Defect_Split!F309</f>
        <v>C</v>
      </c>
      <c r="G1846" s="4" t="s">
        <v>517</v>
      </c>
      <c r="H1846" s="19">
        <f>Fact_Defect_Split!I309</f>
        <v>0</v>
      </c>
    </row>
    <row r="1847" spans="1:8" x14ac:dyDescent="0.25">
      <c r="A1847" s="18" t="s">
        <v>2828</v>
      </c>
      <c r="B1847" s="4">
        <f>Fact_Defect_Split!B309</f>
        <v>20260702</v>
      </c>
      <c r="C1847" s="4">
        <f>Fact_Defect_Split!C309</f>
        <v>19</v>
      </c>
      <c r="D1847" s="4" t="str">
        <f>Fact_Defect_Split!D309</f>
        <v>M7</v>
      </c>
      <c r="E1847" s="4" t="str">
        <f>Fact_Defect_Split!E309</f>
        <v>B-PM</v>
      </c>
      <c r="F1847" s="4" t="str">
        <f>Fact_Defect_Split!F309</f>
        <v>C</v>
      </c>
      <c r="G1847" s="4" t="s">
        <v>503</v>
      </c>
      <c r="H1847" s="19">
        <f>Fact_Defect_Split!J309</f>
        <v>1</v>
      </c>
    </row>
    <row r="1848" spans="1:8" x14ac:dyDescent="0.25">
      <c r="A1848" s="18" t="s">
        <v>2829</v>
      </c>
      <c r="B1848" s="4">
        <f>Fact_Defect_Split!B309</f>
        <v>20260702</v>
      </c>
      <c r="C1848" s="4">
        <f>Fact_Defect_Split!C309</f>
        <v>19</v>
      </c>
      <c r="D1848" s="4" t="str">
        <f>Fact_Defect_Split!D309</f>
        <v>M7</v>
      </c>
      <c r="E1848" s="4" t="str">
        <f>Fact_Defect_Split!E309</f>
        <v>B-PM</v>
      </c>
      <c r="F1848" s="4" t="str">
        <f>Fact_Defect_Split!F309</f>
        <v>C</v>
      </c>
      <c r="G1848" s="4" t="s">
        <v>509</v>
      </c>
      <c r="H1848" s="19">
        <f>Fact_Defect_Split!K309</f>
        <v>1</v>
      </c>
    </row>
    <row r="1849" spans="1:8" x14ac:dyDescent="0.25">
      <c r="A1849" s="18" t="s">
        <v>2830</v>
      </c>
      <c r="B1849" s="4">
        <f>Fact_Defect_Split!B309</f>
        <v>20260702</v>
      </c>
      <c r="C1849" s="4">
        <f>Fact_Defect_Split!C309</f>
        <v>19</v>
      </c>
      <c r="D1849" s="4" t="str">
        <f>Fact_Defect_Split!D309</f>
        <v>M7</v>
      </c>
      <c r="E1849" s="4" t="str">
        <f>Fact_Defect_Split!E309</f>
        <v>B-PM</v>
      </c>
      <c r="F1849" s="4" t="str">
        <f>Fact_Defect_Split!F309</f>
        <v>C</v>
      </c>
      <c r="G1849" s="4" t="s">
        <v>520</v>
      </c>
      <c r="H1849" s="19">
        <f>Fact_Defect_Split!L309</f>
        <v>0</v>
      </c>
    </row>
    <row r="1850" spans="1:8" x14ac:dyDescent="0.25">
      <c r="A1850" s="18" t="s">
        <v>2831</v>
      </c>
      <c r="B1850" s="4">
        <f>Fact_Defect_Split!B310</f>
        <v>20260702</v>
      </c>
      <c r="C1850" s="4">
        <f>Fact_Defect_Split!C310</f>
        <v>20</v>
      </c>
      <c r="D1850" s="4" t="str">
        <f>Fact_Defect_Split!D310</f>
        <v>M1</v>
      </c>
      <c r="E1850" s="4" t="str">
        <f>Fact_Defect_Split!E310</f>
        <v>B-PM</v>
      </c>
      <c r="F1850" s="4" t="str">
        <f>Fact_Defect_Split!F310</f>
        <v>B</v>
      </c>
      <c r="G1850" s="4" t="s">
        <v>498</v>
      </c>
      <c r="H1850" s="19">
        <f>Fact_Defect_Split!G310</f>
        <v>0</v>
      </c>
    </row>
    <row r="1851" spans="1:8" x14ac:dyDescent="0.25">
      <c r="A1851" s="18" t="s">
        <v>2832</v>
      </c>
      <c r="B1851" s="4">
        <f>Fact_Defect_Split!B310</f>
        <v>20260702</v>
      </c>
      <c r="C1851" s="4">
        <f>Fact_Defect_Split!C310</f>
        <v>20</v>
      </c>
      <c r="D1851" s="4" t="str">
        <f>Fact_Defect_Split!D310</f>
        <v>M1</v>
      </c>
      <c r="E1851" s="4" t="str">
        <f>Fact_Defect_Split!E310</f>
        <v>B-PM</v>
      </c>
      <c r="F1851" s="4" t="str">
        <f>Fact_Defect_Split!F310</f>
        <v>B</v>
      </c>
      <c r="G1851" s="4" t="s">
        <v>500</v>
      </c>
      <c r="H1851" s="19">
        <f>Fact_Defect_Split!H310</f>
        <v>0</v>
      </c>
    </row>
    <row r="1852" spans="1:8" x14ac:dyDescent="0.25">
      <c r="A1852" s="18" t="s">
        <v>2833</v>
      </c>
      <c r="B1852" s="4">
        <f>Fact_Defect_Split!B310</f>
        <v>20260702</v>
      </c>
      <c r="C1852" s="4">
        <f>Fact_Defect_Split!C310</f>
        <v>20</v>
      </c>
      <c r="D1852" s="4" t="str">
        <f>Fact_Defect_Split!D310</f>
        <v>M1</v>
      </c>
      <c r="E1852" s="4" t="str">
        <f>Fact_Defect_Split!E310</f>
        <v>B-PM</v>
      </c>
      <c r="F1852" s="4" t="str">
        <f>Fact_Defect_Split!F310</f>
        <v>B</v>
      </c>
      <c r="G1852" s="4" t="s">
        <v>517</v>
      </c>
      <c r="H1852" s="19">
        <f>Fact_Defect_Split!I310</f>
        <v>1</v>
      </c>
    </row>
    <row r="1853" spans="1:8" x14ac:dyDescent="0.25">
      <c r="A1853" s="18" t="s">
        <v>2834</v>
      </c>
      <c r="B1853" s="4">
        <f>Fact_Defect_Split!B310</f>
        <v>20260702</v>
      </c>
      <c r="C1853" s="4">
        <f>Fact_Defect_Split!C310</f>
        <v>20</v>
      </c>
      <c r="D1853" s="4" t="str">
        <f>Fact_Defect_Split!D310</f>
        <v>M1</v>
      </c>
      <c r="E1853" s="4" t="str">
        <f>Fact_Defect_Split!E310</f>
        <v>B-PM</v>
      </c>
      <c r="F1853" s="4" t="str">
        <f>Fact_Defect_Split!F310</f>
        <v>B</v>
      </c>
      <c r="G1853" s="4" t="s">
        <v>503</v>
      </c>
      <c r="H1853" s="19">
        <f>Fact_Defect_Split!J310</f>
        <v>0</v>
      </c>
    </row>
    <row r="1854" spans="1:8" x14ac:dyDescent="0.25">
      <c r="A1854" s="18" t="s">
        <v>2835</v>
      </c>
      <c r="B1854" s="4">
        <f>Fact_Defect_Split!B310</f>
        <v>20260702</v>
      </c>
      <c r="C1854" s="4">
        <f>Fact_Defect_Split!C310</f>
        <v>20</v>
      </c>
      <c r="D1854" s="4" t="str">
        <f>Fact_Defect_Split!D310</f>
        <v>M1</v>
      </c>
      <c r="E1854" s="4" t="str">
        <f>Fact_Defect_Split!E310</f>
        <v>B-PM</v>
      </c>
      <c r="F1854" s="4" t="str">
        <f>Fact_Defect_Split!F310</f>
        <v>B</v>
      </c>
      <c r="G1854" s="4" t="s">
        <v>509</v>
      </c>
      <c r="H1854" s="19">
        <f>Fact_Defect_Split!K310</f>
        <v>0</v>
      </c>
    </row>
    <row r="1855" spans="1:8" x14ac:dyDescent="0.25">
      <c r="A1855" s="18" t="s">
        <v>2836</v>
      </c>
      <c r="B1855" s="4">
        <f>Fact_Defect_Split!B310</f>
        <v>20260702</v>
      </c>
      <c r="C1855" s="4">
        <f>Fact_Defect_Split!C310</f>
        <v>20</v>
      </c>
      <c r="D1855" s="4" t="str">
        <f>Fact_Defect_Split!D310</f>
        <v>M1</v>
      </c>
      <c r="E1855" s="4" t="str">
        <f>Fact_Defect_Split!E310</f>
        <v>B-PM</v>
      </c>
      <c r="F1855" s="4" t="str">
        <f>Fact_Defect_Split!F310</f>
        <v>B</v>
      </c>
      <c r="G1855" s="4" t="s">
        <v>520</v>
      </c>
      <c r="H1855" s="19">
        <f>Fact_Defect_Split!L310</f>
        <v>1</v>
      </c>
    </row>
    <row r="1856" spans="1:8" x14ac:dyDescent="0.25">
      <c r="A1856" s="18" t="s">
        <v>2837</v>
      </c>
      <c r="B1856" s="4">
        <f>Fact_Defect_Split!B311</f>
        <v>20260702</v>
      </c>
      <c r="C1856" s="4">
        <f>Fact_Defect_Split!C311</f>
        <v>20</v>
      </c>
      <c r="D1856" s="4" t="str">
        <f>Fact_Defect_Split!D311</f>
        <v>M2</v>
      </c>
      <c r="E1856" s="4" t="str">
        <f>Fact_Defect_Split!E311</f>
        <v>B-PM</v>
      </c>
      <c r="F1856" s="4" t="str">
        <f>Fact_Defect_Split!F311</f>
        <v>A</v>
      </c>
      <c r="G1856" s="4" t="s">
        <v>498</v>
      </c>
      <c r="H1856" s="19">
        <f>Fact_Defect_Split!G311</f>
        <v>0</v>
      </c>
    </row>
    <row r="1857" spans="1:8" x14ac:dyDescent="0.25">
      <c r="A1857" s="18" t="s">
        <v>2838</v>
      </c>
      <c r="B1857" s="4">
        <f>Fact_Defect_Split!B311</f>
        <v>20260702</v>
      </c>
      <c r="C1857" s="4">
        <f>Fact_Defect_Split!C311</f>
        <v>20</v>
      </c>
      <c r="D1857" s="4" t="str">
        <f>Fact_Defect_Split!D311</f>
        <v>M2</v>
      </c>
      <c r="E1857" s="4" t="str">
        <f>Fact_Defect_Split!E311</f>
        <v>B-PM</v>
      </c>
      <c r="F1857" s="4" t="str">
        <f>Fact_Defect_Split!F311</f>
        <v>A</v>
      </c>
      <c r="G1857" s="4" t="s">
        <v>500</v>
      </c>
      <c r="H1857" s="19">
        <f>Fact_Defect_Split!H311</f>
        <v>0</v>
      </c>
    </row>
    <row r="1858" spans="1:8" x14ac:dyDescent="0.25">
      <c r="A1858" s="18" t="s">
        <v>2839</v>
      </c>
      <c r="B1858" s="4">
        <f>Fact_Defect_Split!B311</f>
        <v>20260702</v>
      </c>
      <c r="C1858" s="4">
        <f>Fact_Defect_Split!C311</f>
        <v>20</v>
      </c>
      <c r="D1858" s="4" t="str">
        <f>Fact_Defect_Split!D311</f>
        <v>M2</v>
      </c>
      <c r="E1858" s="4" t="str">
        <f>Fact_Defect_Split!E311</f>
        <v>B-PM</v>
      </c>
      <c r="F1858" s="4" t="str">
        <f>Fact_Defect_Split!F311</f>
        <v>A</v>
      </c>
      <c r="G1858" s="4" t="s">
        <v>517</v>
      </c>
      <c r="H1858" s="19">
        <f>Fact_Defect_Split!I311</f>
        <v>0</v>
      </c>
    </row>
    <row r="1859" spans="1:8" x14ac:dyDescent="0.25">
      <c r="A1859" s="18" t="s">
        <v>2840</v>
      </c>
      <c r="B1859" s="4">
        <f>Fact_Defect_Split!B311</f>
        <v>20260702</v>
      </c>
      <c r="C1859" s="4">
        <f>Fact_Defect_Split!C311</f>
        <v>20</v>
      </c>
      <c r="D1859" s="4" t="str">
        <f>Fact_Defect_Split!D311</f>
        <v>M2</v>
      </c>
      <c r="E1859" s="4" t="str">
        <f>Fact_Defect_Split!E311</f>
        <v>B-PM</v>
      </c>
      <c r="F1859" s="4" t="str">
        <f>Fact_Defect_Split!F311</f>
        <v>A</v>
      </c>
      <c r="G1859" s="4" t="s">
        <v>503</v>
      </c>
      <c r="H1859" s="19">
        <f>Fact_Defect_Split!J311</f>
        <v>0</v>
      </c>
    </row>
    <row r="1860" spans="1:8" x14ac:dyDescent="0.25">
      <c r="A1860" s="18" t="s">
        <v>2841</v>
      </c>
      <c r="B1860" s="4">
        <f>Fact_Defect_Split!B311</f>
        <v>20260702</v>
      </c>
      <c r="C1860" s="4">
        <f>Fact_Defect_Split!C311</f>
        <v>20</v>
      </c>
      <c r="D1860" s="4" t="str">
        <f>Fact_Defect_Split!D311</f>
        <v>M2</v>
      </c>
      <c r="E1860" s="4" t="str">
        <f>Fact_Defect_Split!E311</f>
        <v>B-PM</v>
      </c>
      <c r="F1860" s="4" t="str">
        <f>Fact_Defect_Split!F311</f>
        <v>A</v>
      </c>
      <c r="G1860" s="4" t="s">
        <v>509</v>
      </c>
      <c r="H1860" s="19">
        <f>Fact_Defect_Split!K311</f>
        <v>1</v>
      </c>
    </row>
    <row r="1861" spans="1:8" x14ac:dyDescent="0.25">
      <c r="A1861" s="18" t="s">
        <v>2842</v>
      </c>
      <c r="B1861" s="4">
        <f>Fact_Defect_Split!B311</f>
        <v>20260702</v>
      </c>
      <c r="C1861" s="4">
        <f>Fact_Defect_Split!C311</f>
        <v>20</v>
      </c>
      <c r="D1861" s="4" t="str">
        <f>Fact_Defect_Split!D311</f>
        <v>M2</v>
      </c>
      <c r="E1861" s="4" t="str">
        <f>Fact_Defect_Split!E311</f>
        <v>B-PM</v>
      </c>
      <c r="F1861" s="4" t="str">
        <f>Fact_Defect_Split!F311</f>
        <v>A</v>
      </c>
      <c r="G1861" s="4" t="s">
        <v>520</v>
      </c>
      <c r="H1861" s="19">
        <f>Fact_Defect_Split!L311</f>
        <v>0</v>
      </c>
    </row>
    <row r="1862" spans="1:8" x14ac:dyDescent="0.25">
      <c r="A1862" s="18" t="s">
        <v>2843</v>
      </c>
      <c r="B1862" s="4">
        <f>Fact_Defect_Split!B312</f>
        <v>20260702</v>
      </c>
      <c r="C1862" s="4">
        <f>Fact_Defect_Split!C312</f>
        <v>20</v>
      </c>
      <c r="D1862" s="4" t="str">
        <f>Fact_Defect_Split!D312</f>
        <v>M3</v>
      </c>
      <c r="E1862" s="4" t="str">
        <f>Fact_Defect_Split!E312</f>
        <v>B-PM</v>
      </c>
      <c r="F1862" s="4" t="str">
        <f>Fact_Defect_Split!F312</f>
        <v>A</v>
      </c>
      <c r="G1862" s="4" t="s">
        <v>498</v>
      </c>
      <c r="H1862" s="19">
        <f>Fact_Defect_Split!G312</f>
        <v>0</v>
      </c>
    </row>
    <row r="1863" spans="1:8" x14ac:dyDescent="0.25">
      <c r="A1863" s="18" t="s">
        <v>2844</v>
      </c>
      <c r="B1863" s="4">
        <f>Fact_Defect_Split!B312</f>
        <v>20260702</v>
      </c>
      <c r="C1863" s="4">
        <f>Fact_Defect_Split!C312</f>
        <v>20</v>
      </c>
      <c r="D1863" s="4" t="str">
        <f>Fact_Defect_Split!D312</f>
        <v>M3</v>
      </c>
      <c r="E1863" s="4" t="str">
        <f>Fact_Defect_Split!E312</f>
        <v>B-PM</v>
      </c>
      <c r="F1863" s="4" t="str">
        <f>Fact_Defect_Split!F312</f>
        <v>A</v>
      </c>
      <c r="G1863" s="4" t="s">
        <v>500</v>
      </c>
      <c r="H1863" s="19">
        <f>Fact_Defect_Split!H312</f>
        <v>0</v>
      </c>
    </row>
    <row r="1864" spans="1:8" x14ac:dyDescent="0.25">
      <c r="A1864" s="18" t="s">
        <v>2845</v>
      </c>
      <c r="B1864" s="4">
        <f>Fact_Defect_Split!B312</f>
        <v>20260702</v>
      </c>
      <c r="C1864" s="4">
        <f>Fact_Defect_Split!C312</f>
        <v>20</v>
      </c>
      <c r="D1864" s="4" t="str">
        <f>Fact_Defect_Split!D312</f>
        <v>M3</v>
      </c>
      <c r="E1864" s="4" t="str">
        <f>Fact_Defect_Split!E312</f>
        <v>B-PM</v>
      </c>
      <c r="F1864" s="4" t="str">
        <f>Fact_Defect_Split!F312</f>
        <v>A</v>
      </c>
      <c r="G1864" s="4" t="s">
        <v>517</v>
      </c>
      <c r="H1864" s="19">
        <f>Fact_Defect_Split!I312</f>
        <v>0</v>
      </c>
    </row>
    <row r="1865" spans="1:8" x14ac:dyDescent="0.25">
      <c r="A1865" s="18" t="s">
        <v>2846</v>
      </c>
      <c r="B1865" s="4">
        <f>Fact_Defect_Split!B312</f>
        <v>20260702</v>
      </c>
      <c r="C1865" s="4">
        <f>Fact_Defect_Split!C312</f>
        <v>20</v>
      </c>
      <c r="D1865" s="4" t="str">
        <f>Fact_Defect_Split!D312</f>
        <v>M3</v>
      </c>
      <c r="E1865" s="4" t="str">
        <f>Fact_Defect_Split!E312</f>
        <v>B-PM</v>
      </c>
      <c r="F1865" s="4" t="str">
        <f>Fact_Defect_Split!F312</f>
        <v>A</v>
      </c>
      <c r="G1865" s="4" t="s">
        <v>503</v>
      </c>
      <c r="H1865" s="19">
        <f>Fact_Defect_Split!J312</f>
        <v>0</v>
      </c>
    </row>
    <row r="1866" spans="1:8" x14ac:dyDescent="0.25">
      <c r="A1866" s="18" t="s">
        <v>2847</v>
      </c>
      <c r="B1866" s="4">
        <f>Fact_Defect_Split!B312</f>
        <v>20260702</v>
      </c>
      <c r="C1866" s="4">
        <f>Fact_Defect_Split!C312</f>
        <v>20</v>
      </c>
      <c r="D1866" s="4" t="str">
        <f>Fact_Defect_Split!D312</f>
        <v>M3</v>
      </c>
      <c r="E1866" s="4" t="str">
        <f>Fact_Defect_Split!E312</f>
        <v>B-PM</v>
      </c>
      <c r="F1866" s="4" t="str">
        <f>Fact_Defect_Split!F312</f>
        <v>A</v>
      </c>
      <c r="G1866" s="4" t="s">
        <v>509</v>
      </c>
      <c r="H1866" s="19">
        <f>Fact_Defect_Split!K312</f>
        <v>1</v>
      </c>
    </row>
    <row r="1867" spans="1:8" x14ac:dyDescent="0.25">
      <c r="A1867" s="18" t="s">
        <v>2848</v>
      </c>
      <c r="B1867" s="4">
        <f>Fact_Defect_Split!B312</f>
        <v>20260702</v>
      </c>
      <c r="C1867" s="4">
        <f>Fact_Defect_Split!C312</f>
        <v>20</v>
      </c>
      <c r="D1867" s="4" t="str">
        <f>Fact_Defect_Split!D312</f>
        <v>M3</v>
      </c>
      <c r="E1867" s="4" t="str">
        <f>Fact_Defect_Split!E312</f>
        <v>B-PM</v>
      </c>
      <c r="F1867" s="4" t="str">
        <f>Fact_Defect_Split!F312</f>
        <v>A</v>
      </c>
      <c r="G1867" s="4" t="s">
        <v>520</v>
      </c>
      <c r="H1867" s="19">
        <f>Fact_Defect_Split!L312</f>
        <v>0</v>
      </c>
    </row>
    <row r="1868" spans="1:8" x14ac:dyDescent="0.25">
      <c r="A1868" s="18" t="s">
        <v>2849</v>
      </c>
      <c r="B1868" s="4">
        <f>Fact_Defect_Split!B313</f>
        <v>20260702</v>
      </c>
      <c r="C1868" s="4">
        <f>Fact_Defect_Split!C313</f>
        <v>20</v>
      </c>
      <c r="D1868" s="4" t="str">
        <f>Fact_Defect_Split!D313</f>
        <v>M4</v>
      </c>
      <c r="E1868" s="4" t="str">
        <f>Fact_Defect_Split!E313</f>
        <v>B-PM</v>
      </c>
      <c r="F1868" s="4" t="str">
        <f>Fact_Defect_Split!F313</f>
        <v>C</v>
      </c>
      <c r="G1868" s="4" t="s">
        <v>498</v>
      </c>
      <c r="H1868" s="19">
        <f>Fact_Defect_Split!G313</f>
        <v>0</v>
      </c>
    </row>
    <row r="1869" spans="1:8" x14ac:dyDescent="0.25">
      <c r="A1869" s="18" t="s">
        <v>2850</v>
      </c>
      <c r="B1869" s="4">
        <f>Fact_Defect_Split!B313</f>
        <v>20260702</v>
      </c>
      <c r="C1869" s="4">
        <f>Fact_Defect_Split!C313</f>
        <v>20</v>
      </c>
      <c r="D1869" s="4" t="str">
        <f>Fact_Defect_Split!D313</f>
        <v>M4</v>
      </c>
      <c r="E1869" s="4" t="str">
        <f>Fact_Defect_Split!E313</f>
        <v>B-PM</v>
      </c>
      <c r="F1869" s="4" t="str">
        <f>Fact_Defect_Split!F313</f>
        <v>C</v>
      </c>
      <c r="G1869" s="4" t="s">
        <v>500</v>
      </c>
      <c r="H1869" s="19">
        <f>Fact_Defect_Split!H313</f>
        <v>0</v>
      </c>
    </row>
    <row r="1870" spans="1:8" x14ac:dyDescent="0.25">
      <c r="A1870" s="18" t="s">
        <v>2851</v>
      </c>
      <c r="B1870" s="4">
        <f>Fact_Defect_Split!B313</f>
        <v>20260702</v>
      </c>
      <c r="C1870" s="4">
        <f>Fact_Defect_Split!C313</f>
        <v>20</v>
      </c>
      <c r="D1870" s="4" t="str">
        <f>Fact_Defect_Split!D313</f>
        <v>M4</v>
      </c>
      <c r="E1870" s="4" t="str">
        <f>Fact_Defect_Split!E313</f>
        <v>B-PM</v>
      </c>
      <c r="F1870" s="4" t="str">
        <f>Fact_Defect_Split!F313</f>
        <v>C</v>
      </c>
      <c r="G1870" s="4" t="s">
        <v>517</v>
      </c>
      <c r="H1870" s="19">
        <f>Fact_Defect_Split!I313</f>
        <v>0</v>
      </c>
    </row>
    <row r="1871" spans="1:8" x14ac:dyDescent="0.25">
      <c r="A1871" s="18" t="s">
        <v>2852</v>
      </c>
      <c r="B1871" s="4">
        <f>Fact_Defect_Split!B313</f>
        <v>20260702</v>
      </c>
      <c r="C1871" s="4">
        <f>Fact_Defect_Split!C313</f>
        <v>20</v>
      </c>
      <c r="D1871" s="4" t="str">
        <f>Fact_Defect_Split!D313</f>
        <v>M4</v>
      </c>
      <c r="E1871" s="4" t="str">
        <f>Fact_Defect_Split!E313</f>
        <v>B-PM</v>
      </c>
      <c r="F1871" s="4" t="str">
        <f>Fact_Defect_Split!F313</f>
        <v>C</v>
      </c>
      <c r="G1871" s="4" t="s">
        <v>503</v>
      </c>
      <c r="H1871" s="19">
        <f>Fact_Defect_Split!J313</f>
        <v>0</v>
      </c>
    </row>
    <row r="1872" spans="1:8" x14ac:dyDescent="0.25">
      <c r="A1872" s="18" t="s">
        <v>2853</v>
      </c>
      <c r="B1872" s="4">
        <f>Fact_Defect_Split!B313</f>
        <v>20260702</v>
      </c>
      <c r="C1872" s="4">
        <f>Fact_Defect_Split!C313</f>
        <v>20</v>
      </c>
      <c r="D1872" s="4" t="str">
        <f>Fact_Defect_Split!D313</f>
        <v>M4</v>
      </c>
      <c r="E1872" s="4" t="str">
        <f>Fact_Defect_Split!E313</f>
        <v>B-PM</v>
      </c>
      <c r="F1872" s="4" t="str">
        <f>Fact_Defect_Split!F313</f>
        <v>C</v>
      </c>
      <c r="G1872" s="4" t="s">
        <v>509</v>
      </c>
      <c r="H1872" s="19">
        <f>Fact_Defect_Split!K313</f>
        <v>0</v>
      </c>
    </row>
    <row r="1873" spans="1:8" x14ac:dyDescent="0.25">
      <c r="A1873" s="18" t="s">
        <v>2854</v>
      </c>
      <c r="B1873" s="4">
        <f>Fact_Defect_Split!B313</f>
        <v>20260702</v>
      </c>
      <c r="C1873" s="4">
        <f>Fact_Defect_Split!C313</f>
        <v>20</v>
      </c>
      <c r="D1873" s="4" t="str">
        <f>Fact_Defect_Split!D313</f>
        <v>M4</v>
      </c>
      <c r="E1873" s="4" t="str">
        <f>Fact_Defect_Split!E313</f>
        <v>B-PM</v>
      </c>
      <c r="F1873" s="4" t="str">
        <f>Fact_Defect_Split!F313</f>
        <v>C</v>
      </c>
      <c r="G1873" s="4" t="s">
        <v>520</v>
      </c>
      <c r="H1873" s="19">
        <f>Fact_Defect_Split!L313</f>
        <v>1</v>
      </c>
    </row>
    <row r="1874" spans="1:8" x14ac:dyDescent="0.25">
      <c r="A1874" s="18" t="s">
        <v>2855</v>
      </c>
      <c r="B1874" s="4">
        <f>Fact_Defect_Split!B314</f>
        <v>20260702</v>
      </c>
      <c r="C1874" s="4">
        <f>Fact_Defect_Split!C314</f>
        <v>20</v>
      </c>
      <c r="D1874" s="4" t="str">
        <f>Fact_Defect_Split!D314</f>
        <v>M5</v>
      </c>
      <c r="E1874" s="4" t="str">
        <f>Fact_Defect_Split!E314</f>
        <v>B-PM</v>
      </c>
      <c r="F1874" s="4" t="str">
        <f>Fact_Defect_Split!F314</f>
        <v>A</v>
      </c>
      <c r="G1874" s="4" t="s">
        <v>498</v>
      </c>
      <c r="H1874" s="19">
        <f>Fact_Defect_Split!G314</f>
        <v>0</v>
      </c>
    </row>
    <row r="1875" spans="1:8" x14ac:dyDescent="0.25">
      <c r="A1875" s="18" t="s">
        <v>2856</v>
      </c>
      <c r="B1875" s="4">
        <f>Fact_Defect_Split!B314</f>
        <v>20260702</v>
      </c>
      <c r="C1875" s="4">
        <f>Fact_Defect_Split!C314</f>
        <v>20</v>
      </c>
      <c r="D1875" s="4" t="str">
        <f>Fact_Defect_Split!D314</f>
        <v>M5</v>
      </c>
      <c r="E1875" s="4" t="str">
        <f>Fact_Defect_Split!E314</f>
        <v>B-PM</v>
      </c>
      <c r="F1875" s="4" t="str">
        <f>Fact_Defect_Split!F314</f>
        <v>A</v>
      </c>
      <c r="G1875" s="4" t="s">
        <v>500</v>
      </c>
      <c r="H1875" s="19">
        <f>Fact_Defect_Split!H314</f>
        <v>0</v>
      </c>
    </row>
    <row r="1876" spans="1:8" x14ac:dyDescent="0.25">
      <c r="A1876" s="18" t="s">
        <v>2857</v>
      </c>
      <c r="B1876" s="4">
        <f>Fact_Defect_Split!B314</f>
        <v>20260702</v>
      </c>
      <c r="C1876" s="4">
        <f>Fact_Defect_Split!C314</f>
        <v>20</v>
      </c>
      <c r="D1876" s="4" t="str">
        <f>Fact_Defect_Split!D314</f>
        <v>M5</v>
      </c>
      <c r="E1876" s="4" t="str">
        <f>Fact_Defect_Split!E314</f>
        <v>B-PM</v>
      </c>
      <c r="F1876" s="4" t="str">
        <f>Fact_Defect_Split!F314</f>
        <v>A</v>
      </c>
      <c r="G1876" s="4" t="s">
        <v>517</v>
      </c>
      <c r="H1876" s="19">
        <f>Fact_Defect_Split!I314</f>
        <v>0</v>
      </c>
    </row>
    <row r="1877" spans="1:8" x14ac:dyDescent="0.25">
      <c r="A1877" s="18" t="s">
        <v>2858</v>
      </c>
      <c r="B1877" s="4">
        <f>Fact_Defect_Split!B314</f>
        <v>20260702</v>
      </c>
      <c r="C1877" s="4">
        <f>Fact_Defect_Split!C314</f>
        <v>20</v>
      </c>
      <c r="D1877" s="4" t="str">
        <f>Fact_Defect_Split!D314</f>
        <v>M5</v>
      </c>
      <c r="E1877" s="4" t="str">
        <f>Fact_Defect_Split!E314</f>
        <v>B-PM</v>
      </c>
      <c r="F1877" s="4" t="str">
        <f>Fact_Defect_Split!F314</f>
        <v>A</v>
      </c>
      <c r="G1877" s="4" t="s">
        <v>503</v>
      </c>
      <c r="H1877" s="19">
        <f>Fact_Defect_Split!J314</f>
        <v>0</v>
      </c>
    </row>
    <row r="1878" spans="1:8" x14ac:dyDescent="0.25">
      <c r="A1878" s="18" t="s">
        <v>2859</v>
      </c>
      <c r="B1878" s="4">
        <f>Fact_Defect_Split!B314</f>
        <v>20260702</v>
      </c>
      <c r="C1878" s="4">
        <f>Fact_Defect_Split!C314</f>
        <v>20</v>
      </c>
      <c r="D1878" s="4" t="str">
        <f>Fact_Defect_Split!D314</f>
        <v>M5</v>
      </c>
      <c r="E1878" s="4" t="str">
        <f>Fact_Defect_Split!E314</f>
        <v>B-PM</v>
      </c>
      <c r="F1878" s="4" t="str">
        <f>Fact_Defect_Split!F314</f>
        <v>A</v>
      </c>
      <c r="G1878" s="4" t="s">
        <v>509</v>
      </c>
      <c r="H1878" s="19">
        <f>Fact_Defect_Split!K314</f>
        <v>1</v>
      </c>
    </row>
    <row r="1879" spans="1:8" x14ac:dyDescent="0.25">
      <c r="A1879" s="18" t="s">
        <v>2860</v>
      </c>
      <c r="B1879" s="4">
        <f>Fact_Defect_Split!B314</f>
        <v>20260702</v>
      </c>
      <c r="C1879" s="4">
        <f>Fact_Defect_Split!C314</f>
        <v>20</v>
      </c>
      <c r="D1879" s="4" t="str">
        <f>Fact_Defect_Split!D314</f>
        <v>M5</v>
      </c>
      <c r="E1879" s="4" t="str">
        <f>Fact_Defect_Split!E314</f>
        <v>B-PM</v>
      </c>
      <c r="F1879" s="4" t="str">
        <f>Fact_Defect_Split!F314</f>
        <v>A</v>
      </c>
      <c r="G1879" s="4" t="s">
        <v>520</v>
      </c>
      <c r="H1879" s="19">
        <f>Fact_Defect_Split!L314</f>
        <v>0</v>
      </c>
    </row>
    <row r="1880" spans="1:8" x14ac:dyDescent="0.25">
      <c r="A1880" s="18" t="s">
        <v>2861</v>
      </c>
      <c r="B1880" s="4">
        <f>Fact_Defect_Split!B315</f>
        <v>20260702</v>
      </c>
      <c r="C1880" s="4">
        <f>Fact_Defect_Split!C315</f>
        <v>20</v>
      </c>
      <c r="D1880" s="4" t="str">
        <f>Fact_Defect_Split!D315</f>
        <v>M6</v>
      </c>
      <c r="E1880" s="4" t="str">
        <f>Fact_Defect_Split!E315</f>
        <v>B-PM</v>
      </c>
      <c r="F1880" s="4" t="str">
        <f>Fact_Defect_Split!F315</f>
        <v>A</v>
      </c>
      <c r="G1880" s="4" t="s">
        <v>498</v>
      </c>
      <c r="H1880" s="19">
        <f>Fact_Defect_Split!G315</f>
        <v>0</v>
      </c>
    </row>
    <row r="1881" spans="1:8" x14ac:dyDescent="0.25">
      <c r="A1881" s="18" t="s">
        <v>2862</v>
      </c>
      <c r="B1881" s="4">
        <f>Fact_Defect_Split!B315</f>
        <v>20260702</v>
      </c>
      <c r="C1881" s="4">
        <f>Fact_Defect_Split!C315</f>
        <v>20</v>
      </c>
      <c r="D1881" s="4" t="str">
        <f>Fact_Defect_Split!D315</f>
        <v>M6</v>
      </c>
      <c r="E1881" s="4" t="str">
        <f>Fact_Defect_Split!E315</f>
        <v>B-PM</v>
      </c>
      <c r="F1881" s="4" t="str">
        <f>Fact_Defect_Split!F315</f>
        <v>A</v>
      </c>
      <c r="G1881" s="4" t="s">
        <v>500</v>
      </c>
      <c r="H1881" s="19">
        <f>Fact_Defect_Split!H315</f>
        <v>0</v>
      </c>
    </row>
    <row r="1882" spans="1:8" x14ac:dyDescent="0.25">
      <c r="A1882" s="18" t="s">
        <v>2863</v>
      </c>
      <c r="B1882" s="4">
        <f>Fact_Defect_Split!B315</f>
        <v>20260702</v>
      </c>
      <c r="C1882" s="4">
        <f>Fact_Defect_Split!C315</f>
        <v>20</v>
      </c>
      <c r="D1882" s="4" t="str">
        <f>Fact_Defect_Split!D315</f>
        <v>M6</v>
      </c>
      <c r="E1882" s="4" t="str">
        <f>Fact_Defect_Split!E315</f>
        <v>B-PM</v>
      </c>
      <c r="F1882" s="4" t="str">
        <f>Fact_Defect_Split!F315</f>
        <v>A</v>
      </c>
      <c r="G1882" s="4" t="s">
        <v>517</v>
      </c>
      <c r="H1882" s="19">
        <f>Fact_Defect_Split!I315</f>
        <v>0</v>
      </c>
    </row>
    <row r="1883" spans="1:8" x14ac:dyDescent="0.25">
      <c r="A1883" s="18" t="s">
        <v>2864</v>
      </c>
      <c r="B1883" s="4">
        <f>Fact_Defect_Split!B315</f>
        <v>20260702</v>
      </c>
      <c r="C1883" s="4">
        <f>Fact_Defect_Split!C315</f>
        <v>20</v>
      </c>
      <c r="D1883" s="4" t="str">
        <f>Fact_Defect_Split!D315</f>
        <v>M6</v>
      </c>
      <c r="E1883" s="4" t="str">
        <f>Fact_Defect_Split!E315</f>
        <v>B-PM</v>
      </c>
      <c r="F1883" s="4" t="str">
        <f>Fact_Defect_Split!F315</f>
        <v>A</v>
      </c>
      <c r="G1883" s="4" t="s">
        <v>503</v>
      </c>
      <c r="H1883" s="19">
        <f>Fact_Defect_Split!J315</f>
        <v>0</v>
      </c>
    </row>
    <row r="1884" spans="1:8" x14ac:dyDescent="0.25">
      <c r="A1884" s="18" t="s">
        <v>2865</v>
      </c>
      <c r="B1884" s="4">
        <f>Fact_Defect_Split!B315</f>
        <v>20260702</v>
      </c>
      <c r="C1884" s="4">
        <f>Fact_Defect_Split!C315</f>
        <v>20</v>
      </c>
      <c r="D1884" s="4" t="str">
        <f>Fact_Defect_Split!D315</f>
        <v>M6</v>
      </c>
      <c r="E1884" s="4" t="str">
        <f>Fact_Defect_Split!E315</f>
        <v>B-PM</v>
      </c>
      <c r="F1884" s="4" t="str">
        <f>Fact_Defect_Split!F315</f>
        <v>A</v>
      </c>
      <c r="G1884" s="4" t="s">
        <v>509</v>
      </c>
      <c r="H1884" s="19">
        <f>Fact_Defect_Split!K315</f>
        <v>1</v>
      </c>
    </row>
    <row r="1885" spans="1:8" x14ac:dyDescent="0.25">
      <c r="A1885" s="18" t="s">
        <v>2866</v>
      </c>
      <c r="B1885" s="4">
        <f>Fact_Defect_Split!B315</f>
        <v>20260702</v>
      </c>
      <c r="C1885" s="4">
        <f>Fact_Defect_Split!C315</f>
        <v>20</v>
      </c>
      <c r="D1885" s="4" t="str">
        <f>Fact_Defect_Split!D315</f>
        <v>M6</v>
      </c>
      <c r="E1885" s="4" t="str">
        <f>Fact_Defect_Split!E315</f>
        <v>B-PM</v>
      </c>
      <c r="F1885" s="4" t="str">
        <f>Fact_Defect_Split!F315</f>
        <v>A</v>
      </c>
      <c r="G1885" s="4" t="s">
        <v>520</v>
      </c>
      <c r="H1885" s="19">
        <f>Fact_Defect_Split!L315</f>
        <v>0</v>
      </c>
    </row>
    <row r="1886" spans="1:8" x14ac:dyDescent="0.25">
      <c r="A1886" s="18" t="s">
        <v>2867</v>
      </c>
      <c r="B1886" s="4">
        <f>Fact_Defect_Split!B316</f>
        <v>20260702</v>
      </c>
      <c r="C1886" s="4">
        <f>Fact_Defect_Split!C316</f>
        <v>20</v>
      </c>
      <c r="D1886" s="4" t="str">
        <f>Fact_Defect_Split!D316</f>
        <v>M7</v>
      </c>
      <c r="E1886" s="4" t="str">
        <f>Fact_Defect_Split!E316</f>
        <v>B-PM</v>
      </c>
      <c r="F1886" s="4" t="str">
        <f>Fact_Defect_Split!F316</f>
        <v>C</v>
      </c>
      <c r="G1886" s="4" t="s">
        <v>498</v>
      </c>
      <c r="H1886" s="19">
        <f>Fact_Defect_Split!G316</f>
        <v>0</v>
      </c>
    </row>
    <row r="1887" spans="1:8" x14ac:dyDescent="0.25">
      <c r="A1887" s="18" t="s">
        <v>2868</v>
      </c>
      <c r="B1887" s="4">
        <f>Fact_Defect_Split!B316</f>
        <v>20260702</v>
      </c>
      <c r="C1887" s="4">
        <f>Fact_Defect_Split!C316</f>
        <v>20</v>
      </c>
      <c r="D1887" s="4" t="str">
        <f>Fact_Defect_Split!D316</f>
        <v>M7</v>
      </c>
      <c r="E1887" s="4" t="str">
        <f>Fact_Defect_Split!E316</f>
        <v>B-PM</v>
      </c>
      <c r="F1887" s="4" t="str">
        <f>Fact_Defect_Split!F316</f>
        <v>C</v>
      </c>
      <c r="G1887" s="4" t="s">
        <v>500</v>
      </c>
      <c r="H1887" s="19">
        <f>Fact_Defect_Split!H316</f>
        <v>0</v>
      </c>
    </row>
    <row r="1888" spans="1:8" x14ac:dyDescent="0.25">
      <c r="A1888" s="18" t="s">
        <v>2869</v>
      </c>
      <c r="B1888" s="4">
        <f>Fact_Defect_Split!B316</f>
        <v>20260702</v>
      </c>
      <c r="C1888" s="4">
        <f>Fact_Defect_Split!C316</f>
        <v>20</v>
      </c>
      <c r="D1888" s="4" t="str">
        <f>Fact_Defect_Split!D316</f>
        <v>M7</v>
      </c>
      <c r="E1888" s="4" t="str">
        <f>Fact_Defect_Split!E316</f>
        <v>B-PM</v>
      </c>
      <c r="F1888" s="4" t="str">
        <f>Fact_Defect_Split!F316</f>
        <v>C</v>
      </c>
      <c r="G1888" s="4" t="s">
        <v>517</v>
      </c>
      <c r="H1888" s="19">
        <f>Fact_Defect_Split!I316</f>
        <v>0</v>
      </c>
    </row>
    <row r="1889" spans="1:8" x14ac:dyDescent="0.25">
      <c r="A1889" s="18" t="s">
        <v>2870</v>
      </c>
      <c r="B1889" s="4">
        <f>Fact_Defect_Split!B316</f>
        <v>20260702</v>
      </c>
      <c r="C1889" s="4">
        <f>Fact_Defect_Split!C316</f>
        <v>20</v>
      </c>
      <c r="D1889" s="4" t="str">
        <f>Fact_Defect_Split!D316</f>
        <v>M7</v>
      </c>
      <c r="E1889" s="4" t="str">
        <f>Fact_Defect_Split!E316</f>
        <v>B-PM</v>
      </c>
      <c r="F1889" s="4" t="str">
        <f>Fact_Defect_Split!F316</f>
        <v>C</v>
      </c>
      <c r="G1889" s="4" t="s">
        <v>503</v>
      </c>
      <c r="H1889" s="19">
        <f>Fact_Defect_Split!J316</f>
        <v>0</v>
      </c>
    </row>
    <row r="1890" spans="1:8" x14ac:dyDescent="0.25">
      <c r="A1890" s="18" t="s">
        <v>2871</v>
      </c>
      <c r="B1890" s="4">
        <f>Fact_Defect_Split!B316</f>
        <v>20260702</v>
      </c>
      <c r="C1890" s="4">
        <f>Fact_Defect_Split!C316</f>
        <v>20</v>
      </c>
      <c r="D1890" s="4" t="str">
        <f>Fact_Defect_Split!D316</f>
        <v>M7</v>
      </c>
      <c r="E1890" s="4" t="str">
        <f>Fact_Defect_Split!E316</f>
        <v>B-PM</v>
      </c>
      <c r="F1890" s="4" t="str">
        <f>Fact_Defect_Split!F316</f>
        <v>C</v>
      </c>
      <c r="G1890" s="4" t="s">
        <v>509</v>
      </c>
      <c r="H1890" s="19">
        <f>Fact_Defect_Split!K316</f>
        <v>1</v>
      </c>
    </row>
    <row r="1891" spans="1:8" x14ac:dyDescent="0.25">
      <c r="A1891" s="18" t="s">
        <v>2872</v>
      </c>
      <c r="B1891" s="4">
        <f>Fact_Defect_Split!B316</f>
        <v>20260702</v>
      </c>
      <c r="C1891" s="4">
        <f>Fact_Defect_Split!C316</f>
        <v>20</v>
      </c>
      <c r="D1891" s="4" t="str">
        <f>Fact_Defect_Split!D316</f>
        <v>M7</v>
      </c>
      <c r="E1891" s="4" t="str">
        <f>Fact_Defect_Split!E316</f>
        <v>B-PM</v>
      </c>
      <c r="F1891" s="4" t="str">
        <f>Fact_Defect_Split!F316</f>
        <v>C</v>
      </c>
      <c r="G1891" s="4" t="s">
        <v>520</v>
      </c>
      <c r="H1891" s="19">
        <f>Fact_Defect_Split!L316</f>
        <v>0</v>
      </c>
    </row>
    <row r="1892" spans="1:8" x14ac:dyDescent="0.25">
      <c r="A1892" s="18" t="s">
        <v>2873</v>
      </c>
      <c r="B1892" s="4">
        <f>Fact_Defect_Split!B317</f>
        <v>20260702</v>
      </c>
      <c r="C1892" s="4">
        <f>Fact_Defect_Split!C317</f>
        <v>21</v>
      </c>
      <c r="D1892" s="4" t="str">
        <f>Fact_Defect_Split!D317</f>
        <v>M1</v>
      </c>
      <c r="E1892" s="4" t="str">
        <f>Fact_Defect_Split!E317</f>
        <v>B-PM</v>
      </c>
      <c r="F1892" s="4" t="str">
        <f>Fact_Defect_Split!F317</f>
        <v>B</v>
      </c>
      <c r="G1892" s="4" t="s">
        <v>498</v>
      </c>
      <c r="H1892" s="19">
        <f>Fact_Defect_Split!G317</f>
        <v>0</v>
      </c>
    </row>
    <row r="1893" spans="1:8" x14ac:dyDescent="0.25">
      <c r="A1893" s="18" t="s">
        <v>2874</v>
      </c>
      <c r="B1893" s="4">
        <f>Fact_Defect_Split!B317</f>
        <v>20260702</v>
      </c>
      <c r="C1893" s="4">
        <f>Fact_Defect_Split!C317</f>
        <v>21</v>
      </c>
      <c r="D1893" s="4" t="str">
        <f>Fact_Defect_Split!D317</f>
        <v>M1</v>
      </c>
      <c r="E1893" s="4" t="str">
        <f>Fact_Defect_Split!E317</f>
        <v>B-PM</v>
      </c>
      <c r="F1893" s="4" t="str">
        <f>Fact_Defect_Split!F317</f>
        <v>B</v>
      </c>
      <c r="G1893" s="4" t="s">
        <v>500</v>
      </c>
      <c r="H1893" s="19">
        <f>Fact_Defect_Split!H317</f>
        <v>0</v>
      </c>
    </row>
    <row r="1894" spans="1:8" x14ac:dyDescent="0.25">
      <c r="A1894" s="18" t="s">
        <v>2875</v>
      </c>
      <c r="B1894" s="4">
        <f>Fact_Defect_Split!B317</f>
        <v>20260702</v>
      </c>
      <c r="C1894" s="4">
        <f>Fact_Defect_Split!C317</f>
        <v>21</v>
      </c>
      <c r="D1894" s="4" t="str">
        <f>Fact_Defect_Split!D317</f>
        <v>M1</v>
      </c>
      <c r="E1894" s="4" t="str">
        <f>Fact_Defect_Split!E317</f>
        <v>B-PM</v>
      </c>
      <c r="F1894" s="4" t="str">
        <f>Fact_Defect_Split!F317</f>
        <v>B</v>
      </c>
      <c r="G1894" s="4" t="s">
        <v>517</v>
      </c>
      <c r="H1894" s="19">
        <f>Fact_Defect_Split!I317</f>
        <v>0</v>
      </c>
    </row>
    <row r="1895" spans="1:8" x14ac:dyDescent="0.25">
      <c r="A1895" s="18" t="s">
        <v>2876</v>
      </c>
      <c r="B1895" s="4">
        <f>Fact_Defect_Split!B317</f>
        <v>20260702</v>
      </c>
      <c r="C1895" s="4">
        <f>Fact_Defect_Split!C317</f>
        <v>21</v>
      </c>
      <c r="D1895" s="4" t="str">
        <f>Fact_Defect_Split!D317</f>
        <v>M1</v>
      </c>
      <c r="E1895" s="4" t="str">
        <f>Fact_Defect_Split!E317</f>
        <v>B-PM</v>
      </c>
      <c r="F1895" s="4" t="str">
        <f>Fact_Defect_Split!F317</f>
        <v>B</v>
      </c>
      <c r="G1895" s="4" t="s">
        <v>503</v>
      </c>
      <c r="H1895" s="19">
        <f>Fact_Defect_Split!J317</f>
        <v>0</v>
      </c>
    </row>
    <row r="1896" spans="1:8" x14ac:dyDescent="0.25">
      <c r="A1896" s="18" t="s">
        <v>2877</v>
      </c>
      <c r="B1896" s="4">
        <f>Fact_Defect_Split!B317</f>
        <v>20260702</v>
      </c>
      <c r="C1896" s="4">
        <f>Fact_Defect_Split!C317</f>
        <v>21</v>
      </c>
      <c r="D1896" s="4" t="str">
        <f>Fact_Defect_Split!D317</f>
        <v>M1</v>
      </c>
      <c r="E1896" s="4" t="str">
        <f>Fact_Defect_Split!E317</f>
        <v>B-PM</v>
      </c>
      <c r="F1896" s="4" t="str">
        <f>Fact_Defect_Split!F317</f>
        <v>B</v>
      </c>
      <c r="G1896" s="4" t="s">
        <v>509</v>
      </c>
      <c r="H1896" s="19">
        <f>Fact_Defect_Split!K317</f>
        <v>0</v>
      </c>
    </row>
    <row r="1897" spans="1:8" x14ac:dyDescent="0.25">
      <c r="A1897" s="18" t="s">
        <v>2878</v>
      </c>
      <c r="B1897" s="4">
        <f>Fact_Defect_Split!B317</f>
        <v>20260702</v>
      </c>
      <c r="C1897" s="4">
        <f>Fact_Defect_Split!C317</f>
        <v>21</v>
      </c>
      <c r="D1897" s="4" t="str">
        <f>Fact_Defect_Split!D317</f>
        <v>M1</v>
      </c>
      <c r="E1897" s="4" t="str">
        <f>Fact_Defect_Split!E317</f>
        <v>B-PM</v>
      </c>
      <c r="F1897" s="4" t="str">
        <f>Fact_Defect_Split!F317</f>
        <v>B</v>
      </c>
      <c r="G1897" s="4" t="s">
        <v>520</v>
      </c>
      <c r="H1897" s="19">
        <f>Fact_Defect_Split!L317</f>
        <v>1</v>
      </c>
    </row>
    <row r="1898" spans="1:8" x14ac:dyDescent="0.25">
      <c r="A1898" s="18" t="s">
        <v>2879</v>
      </c>
      <c r="B1898" s="4">
        <f>Fact_Defect_Split!B318</f>
        <v>20260702</v>
      </c>
      <c r="C1898" s="4">
        <f>Fact_Defect_Split!C318</f>
        <v>21</v>
      </c>
      <c r="D1898" s="4" t="str">
        <f>Fact_Defect_Split!D318</f>
        <v>M2</v>
      </c>
      <c r="E1898" s="4" t="str">
        <f>Fact_Defect_Split!E318</f>
        <v>B-PM</v>
      </c>
      <c r="F1898" s="4" t="str">
        <f>Fact_Defect_Split!F318</f>
        <v>A</v>
      </c>
      <c r="G1898" s="4" t="s">
        <v>498</v>
      </c>
      <c r="H1898" s="19">
        <f>Fact_Defect_Split!G318</f>
        <v>0</v>
      </c>
    </row>
    <row r="1899" spans="1:8" x14ac:dyDescent="0.25">
      <c r="A1899" s="18" t="s">
        <v>2880</v>
      </c>
      <c r="B1899" s="4">
        <f>Fact_Defect_Split!B318</f>
        <v>20260702</v>
      </c>
      <c r="C1899" s="4">
        <f>Fact_Defect_Split!C318</f>
        <v>21</v>
      </c>
      <c r="D1899" s="4" t="str">
        <f>Fact_Defect_Split!D318</f>
        <v>M2</v>
      </c>
      <c r="E1899" s="4" t="str">
        <f>Fact_Defect_Split!E318</f>
        <v>B-PM</v>
      </c>
      <c r="F1899" s="4" t="str">
        <f>Fact_Defect_Split!F318</f>
        <v>A</v>
      </c>
      <c r="G1899" s="4" t="s">
        <v>500</v>
      </c>
      <c r="H1899" s="19">
        <f>Fact_Defect_Split!H318</f>
        <v>0</v>
      </c>
    </row>
    <row r="1900" spans="1:8" x14ac:dyDescent="0.25">
      <c r="A1900" s="18" t="s">
        <v>2881</v>
      </c>
      <c r="B1900" s="4">
        <f>Fact_Defect_Split!B318</f>
        <v>20260702</v>
      </c>
      <c r="C1900" s="4">
        <f>Fact_Defect_Split!C318</f>
        <v>21</v>
      </c>
      <c r="D1900" s="4" t="str">
        <f>Fact_Defect_Split!D318</f>
        <v>M2</v>
      </c>
      <c r="E1900" s="4" t="str">
        <f>Fact_Defect_Split!E318</f>
        <v>B-PM</v>
      </c>
      <c r="F1900" s="4" t="str">
        <f>Fact_Defect_Split!F318</f>
        <v>A</v>
      </c>
      <c r="G1900" s="4" t="s">
        <v>517</v>
      </c>
      <c r="H1900" s="19">
        <f>Fact_Defect_Split!I318</f>
        <v>1</v>
      </c>
    </row>
    <row r="1901" spans="1:8" x14ac:dyDescent="0.25">
      <c r="A1901" s="18" t="s">
        <v>2882</v>
      </c>
      <c r="B1901" s="4">
        <f>Fact_Defect_Split!B318</f>
        <v>20260702</v>
      </c>
      <c r="C1901" s="4">
        <f>Fact_Defect_Split!C318</f>
        <v>21</v>
      </c>
      <c r="D1901" s="4" t="str">
        <f>Fact_Defect_Split!D318</f>
        <v>M2</v>
      </c>
      <c r="E1901" s="4" t="str">
        <f>Fact_Defect_Split!E318</f>
        <v>B-PM</v>
      </c>
      <c r="F1901" s="4" t="str">
        <f>Fact_Defect_Split!F318</f>
        <v>A</v>
      </c>
      <c r="G1901" s="4" t="s">
        <v>503</v>
      </c>
      <c r="H1901" s="19">
        <f>Fact_Defect_Split!J318</f>
        <v>0</v>
      </c>
    </row>
    <row r="1902" spans="1:8" x14ac:dyDescent="0.25">
      <c r="A1902" s="18" t="s">
        <v>2883</v>
      </c>
      <c r="B1902" s="4">
        <f>Fact_Defect_Split!B318</f>
        <v>20260702</v>
      </c>
      <c r="C1902" s="4">
        <f>Fact_Defect_Split!C318</f>
        <v>21</v>
      </c>
      <c r="D1902" s="4" t="str">
        <f>Fact_Defect_Split!D318</f>
        <v>M2</v>
      </c>
      <c r="E1902" s="4" t="str">
        <f>Fact_Defect_Split!E318</f>
        <v>B-PM</v>
      </c>
      <c r="F1902" s="4" t="str">
        <f>Fact_Defect_Split!F318</f>
        <v>A</v>
      </c>
      <c r="G1902" s="4" t="s">
        <v>509</v>
      </c>
      <c r="H1902" s="19">
        <f>Fact_Defect_Split!K318</f>
        <v>1</v>
      </c>
    </row>
    <row r="1903" spans="1:8" x14ac:dyDescent="0.25">
      <c r="A1903" s="18" t="s">
        <v>2884</v>
      </c>
      <c r="B1903" s="4">
        <f>Fact_Defect_Split!B318</f>
        <v>20260702</v>
      </c>
      <c r="C1903" s="4">
        <f>Fact_Defect_Split!C318</f>
        <v>21</v>
      </c>
      <c r="D1903" s="4" t="str">
        <f>Fact_Defect_Split!D318</f>
        <v>M2</v>
      </c>
      <c r="E1903" s="4" t="str">
        <f>Fact_Defect_Split!E318</f>
        <v>B-PM</v>
      </c>
      <c r="F1903" s="4" t="str">
        <f>Fact_Defect_Split!F318</f>
        <v>A</v>
      </c>
      <c r="G1903" s="4" t="s">
        <v>520</v>
      </c>
      <c r="H1903" s="19">
        <f>Fact_Defect_Split!L318</f>
        <v>1</v>
      </c>
    </row>
    <row r="1904" spans="1:8" x14ac:dyDescent="0.25">
      <c r="A1904" s="18" t="s">
        <v>2885</v>
      </c>
      <c r="B1904" s="4">
        <f>Fact_Defect_Split!B319</f>
        <v>20260702</v>
      </c>
      <c r="C1904" s="4">
        <f>Fact_Defect_Split!C319</f>
        <v>21</v>
      </c>
      <c r="D1904" s="4" t="str">
        <f>Fact_Defect_Split!D319</f>
        <v>M3</v>
      </c>
      <c r="E1904" s="4" t="str">
        <f>Fact_Defect_Split!E319</f>
        <v>B-PM</v>
      </c>
      <c r="F1904" s="4" t="str">
        <f>Fact_Defect_Split!F319</f>
        <v>A</v>
      </c>
      <c r="G1904" s="4" t="s">
        <v>498</v>
      </c>
      <c r="H1904" s="19">
        <f>Fact_Defect_Split!G319</f>
        <v>0</v>
      </c>
    </row>
    <row r="1905" spans="1:8" x14ac:dyDescent="0.25">
      <c r="A1905" s="18" t="s">
        <v>2886</v>
      </c>
      <c r="B1905" s="4">
        <f>Fact_Defect_Split!B319</f>
        <v>20260702</v>
      </c>
      <c r="C1905" s="4">
        <f>Fact_Defect_Split!C319</f>
        <v>21</v>
      </c>
      <c r="D1905" s="4" t="str">
        <f>Fact_Defect_Split!D319</f>
        <v>M3</v>
      </c>
      <c r="E1905" s="4" t="str">
        <f>Fact_Defect_Split!E319</f>
        <v>B-PM</v>
      </c>
      <c r="F1905" s="4" t="str">
        <f>Fact_Defect_Split!F319</f>
        <v>A</v>
      </c>
      <c r="G1905" s="4" t="s">
        <v>500</v>
      </c>
      <c r="H1905" s="19">
        <f>Fact_Defect_Split!H319</f>
        <v>0</v>
      </c>
    </row>
    <row r="1906" spans="1:8" x14ac:dyDescent="0.25">
      <c r="A1906" s="18" t="s">
        <v>2887</v>
      </c>
      <c r="B1906" s="4">
        <f>Fact_Defect_Split!B319</f>
        <v>20260702</v>
      </c>
      <c r="C1906" s="4">
        <f>Fact_Defect_Split!C319</f>
        <v>21</v>
      </c>
      <c r="D1906" s="4" t="str">
        <f>Fact_Defect_Split!D319</f>
        <v>M3</v>
      </c>
      <c r="E1906" s="4" t="str">
        <f>Fact_Defect_Split!E319</f>
        <v>B-PM</v>
      </c>
      <c r="F1906" s="4" t="str">
        <f>Fact_Defect_Split!F319</f>
        <v>A</v>
      </c>
      <c r="G1906" s="4" t="s">
        <v>517</v>
      </c>
      <c r="H1906" s="19">
        <f>Fact_Defect_Split!I319</f>
        <v>0</v>
      </c>
    </row>
    <row r="1907" spans="1:8" x14ac:dyDescent="0.25">
      <c r="A1907" s="18" t="s">
        <v>2888</v>
      </c>
      <c r="B1907" s="4">
        <f>Fact_Defect_Split!B319</f>
        <v>20260702</v>
      </c>
      <c r="C1907" s="4">
        <f>Fact_Defect_Split!C319</f>
        <v>21</v>
      </c>
      <c r="D1907" s="4" t="str">
        <f>Fact_Defect_Split!D319</f>
        <v>M3</v>
      </c>
      <c r="E1907" s="4" t="str">
        <f>Fact_Defect_Split!E319</f>
        <v>B-PM</v>
      </c>
      <c r="F1907" s="4" t="str">
        <f>Fact_Defect_Split!F319</f>
        <v>A</v>
      </c>
      <c r="G1907" s="4" t="s">
        <v>503</v>
      </c>
      <c r="H1907" s="19">
        <f>Fact_Defect_Split!J319</f>
        <v>0</v>
      </c>
    </row>
    <row r="1908" spans="1:8" x14ac:dyDescent="0.25">
      <c r="A1908" s="18" t="s">
        <v>2889</v>
      </c>
      <c r="B1908" s="4">
        <f>Fact_Defect_Split!B319</f>
        <v>20260702</v>
      </c>
      <c r="C1908" s="4">
        <f>Fact_Defect_Split!C319</f>
        <v>21</v>
      </c>
      <c r="D1908" s="4" t="str">
        <f>Fact_Defect_Split!D319</f>
        <v>M3</v>
      </c>
      <c r="E1908" s="4" t="str">
        <f>Fact_Defect_Split!E319</f>
        <v>B-PM</v>
      </c>
      <c r="F1908" s="4" t="str">
        <f>Fact_Defect_Split!F319</f>
        <v>A</v>
      </c>
      <c r="G1908" s="4" t="s">
        <v>509</v>
      </c>
      <c r="H1908" s="19">
        <f>Fact_Defect_Split!K319</f>
        <v>1</v>
      </c>
    </row>
    <row r="1909" spans="1:8" x14ac:dyDescent="0.25">
      <c r="A1909" s="18" t="s">
        <v>2890</v>
      </c>
      <c r="B1909" s="4">
        <f>Fact_Defect_Split!B319</f>
        <v>20260702</v>
      </c>
      <c r="C1909" s="4">
        <f>Fact_Defect_Split!C319</f>
        <v>21</v>
      </c>
      <c r="D1909" s="4" t="str">
        <f>Fact_Defect_Split!D319</f>
        <v>M3</v>
      </c>
      <c r="E1909" s="4" t="str">
        <f>Fact_Defect_Split!E319</f>
        <v>B-PM</v>
      </c>
      <c r="F1909" s="4" t="str">
        <f>Fact_Defect_Split!F319</f>
        <v>A</v>
      </c>
      <c r="G1909" s="4" t="s">
        <v>520</v>
      </c>
      <c r="H1909" s="19">
        <f>Fact_Defect_Split!L319</f>
        <v>0</v>
      </c>
    </row>
    <row r="1910" spans="1:8" x14ac:dyDescent="0.25">
      <c r="A1910" s="18" t="s">
        <v>2891</v>
      </c>
      <c r="B1910" s="4">
        <f>Fact_Defect_Split!B320</f>
        <v>20260702</v>
      </c>
      <c r="C1910" s="4">
        <f>Fact_Defect_Split!C320</f>
        <v>21</v>
      </c>
      <c r="D1910" s="4" t="str">
        <f>Fact_Defect_Split!D320</f>
        <v>M4</v>
      </c>
      <c r="E1910" s="4" t="str">
        <f>Fact_Defect_Split!E320</f>
        <v>B-PM</v>
      </c>
      <c r="F1910" s="4" t="str">
        <f>Fact_Defect_Split!F320</f>
        <v>C</v>
      </c>
      <c r="G1910" s="4" t="s">
        <v>498</v>
      </c>
      <c r="H1910" s="19">
        <f>Fact_Defect_Split!G320</f>
        <v>0</v>
      </c>
    </row>
    <row r="1911" spans="1:8" x14ac:dyDescent="0.25">
      <c r="A1911" s="18" t="s">
        <v>2892</v>
      </c>
      <c r="B1911" s="4">
        <f>Fact_Defect_Split!B320</f>
        <v>20260702</v>
      </c>
      <c r="C1911" s="4">
        <f>Fact_Defect_Split!C320</f>
        <v>21</v>
      </c>
      <c r="D1911" s="4" t="str">
        <f>Fact_Defect_Split!D320</f>
        <v>M4</v>
      </c>
      <c r="E1911" s="4" t="str">
        <f>Fact_Defect_Split!E320</f>
        <v>B-PM</v>
      </c>
      <c r="F1911" s="4" t="str">
        <f>Fact_Defect_Split!F320</f>
        <v>C</v>
      </c>
      <c r="G1911" s="4" t="s">
        <v>500</v>
      </c>
      <c r="H1911" s="19">
        <f>Fact_Defect_Split!H320</f>
        <v>0</v>
      </c>
    </row>
    <row r="1912" spans="1:8" x14ac:dyDescent="0.25">
      <c r="A1912" s="18" t="s">
        <v>2893</v>
      </c>
      <c r="B1912" s="4">
        <f>Fact_Defect_Split!B320</f>
        <v>20260702</v>
      </c>
      <c r="C1912" s="4">
        <f>Fact_Defect_Split!C320</f>
        <v>21</v>
      </c>
      <c r="D1912" s="4" t="str">
        <f>Fact_Defect_Split!D320</f>
        <v>M4</v>
      </c>
      <c r="E1912" s="4" t="str">
        <f>Fact_Defect_Split!E320</f>
        <v>B-PM</v>
      </c>
      <c r="F1912" s="4" t="str">
        <f>Fact_Defect_Split!F320</f>
        <v>C</v>
      </c>
      <c r="G1912" s="4" t="s">
        <v>517</v>
      </c>
      <c r="H1912" s="19">
        <f>Fact_Defect_Split!I320</f>
        <v>0</v>
      </c>
    </row>
    <row r="1913" spans="1:8" x14ac:dyDescent="0.25">
      <c r="A1913" s="18" t="s">
        <v>2894</v>
      </c>
      <c r="B1913" s="4">
        <f>Fact_Defect_Split!B320</f>
        <v>20260702</v>
      </c>
      <c r="C1913" s="4">
        <f>Fact_Defect_Split!C320</f>
        <v>21</v>
      </c>
      <c r="D1913" s="4" t="str">
        <f>Fact_Defect_Split!D320</f>
        <v>M4</v>
      </c>
      <c r="E1913" s="4" t="str">
        <f>Fact_Defect_Split!E320</f>
        <v>B-PM</v>
      </c>
      <c r="F1913" s="4" t="str">
        <f>Fact_Defect_Split!F320</f>
        <v>C</v>
      </c>
      <c r="G1913" s="4" t="s">
        <v>503</v>
      </c>
      <c r="H1913" s="19">
        <f>Fact_Defect_Split!J320</f>
        <v>0</v>
      </c>
    </row>
    <row r="1914" spans="1:8" x14ac:dyDescent="0.25">
      <c r="A1914" s="18" t="s">
        <v>2895</v>
      </c>
      <c r="B1914" s="4">
        <f>Fact_Defect_Split!B320</f>
        <v>20260702</v>
      </c>
      <c r="C1914" s="4">
        <f>Fact_Defect_Split!C320</f>
        <v>21</v>
      </c>
      <c r="D1914" s="4" t="str">
        <f>Fact_Defect_Split!D320</f>
        <v>M4</v>
      </c>
      <c r="E1914" s="4" t="str">
        <f>Fact_Defect_Split!E320</f>
        <v>B-PM</v>
      </c>
      <c r="F1914" s="4" t="str">
        <f>Fact_Defect_Split!F320</f>
        <v>C</v>
      </c>
      <c r="G1914" s="4" t="s">
        <v>509</v>
      </c>
      <c r="H1914" s="19">
        <f>Fact_Defect_Split!K320</f>
        <v>0</v>
      </c>
    </row>
    <row r="1915" spans="1:8" x14ac:dyDescent="0.25">
      <c r="A1915" s="18" t="s">
        <v>2896</v>
      </c>
      <c r="B1915" s="4">
        <f>Fact_Defect_Split!B320</f>
        <v>20260702</v>
      </c>
      <c r="C1915" s="4">
        <f>Fact_Defect_Split!C320</f>
        <v>21</v>
      </c>
      <c r="D1915" s="4" t="str">
        <f>Fact_Defect_Split!D320</f>
        <v>M4</v>
      </c>
      <c r="E1915" s="4" t="str">
        <f>Fact_Defect_Split!E320</f>
        <v>B-PM</v>
      </c>
      <c r="F1915" s="4" t="str">
        <f>Fact_Defect_Split!F320</f>
        <v>C</v>
      </c>
      <c r="G1915" s="4" t="s">
        <v>520</v>
      </c>
      <c r="H1915" s="19">
        <f>Fact_Defect_Split!L320</f>
        <v>1</v>
      </c>
    </row>
    <row r="1916" spans="1:8" x14ac:dyDescent="0.25">
      <c r="A1916" s="18" t="s">
        <v>2897</v>
      </c>
      <c r="B1916" s="4">
        <f>Fact_Defect_Split!B321</f>
        <v>20260702</v>
      </c>
      <c r="C1916" s="4">
        <f>Fact_Defect_Split!C321</f>
        <v>21</v>
      </c>
      <c r="D1916" s="4" t="str">
        <f>Fact_Defect_Split!D321</f>
        <v>M5</v>
      </c>
      <c r="E1916" s="4" t="str">
        <f>Fact_Defect_Split!E321</f>
        <v>B-PM</v>
      </c>
      <c r="F1916" s="4" t="str">
        <f>Fact_Defect_Split!F321</f>
        <v>A</v>
      </c>
      <c r="G1916" s="4" t="s">
        <v>498</v>
      </c>
      <c r="H1916" s="19">
        <f>Fact_Defect_Split!G321</f>
        <v>0</v>
      </c>
    </row>
    <row r="1917" spans="1:8" x14ac:dyDescent="0.25">
      <c r="A1917" s="18" t="s">
        <v>2898</v>
      </c>
      <c r="B1917" s="4">
        <f>Fact_Defect_Split!B321</f>
        <v>20260702</v>
      </c>
      <c r="C1917" s="4">
        <f>Fact_Defect_Split!C321</f>
        <v>21</v>
      </c>
      <c r="D1917" s="4" t="str">
        <f>Fact_Defect_Split!D321</f>
        <v>M5</v>
      </c>
      <c r="E1917" s="4" t="str">
        <f>Fact_Defect_Split!E321</f>
        <v>B-PM</v>
      </c>
      <c r="F1917" s="4" t="str">
        <f>Fact_Defect_Split!F321</f>
        <v>A</v>
      </c>
      <c r="G1917" s="4" t="s">
        <v>500</v>
      </c>
      <c r="H1917" s="19">
        <f>Fact_Defect_Split!H321</f>
        <v>0</v>
      </c>
    </row>
    <row r="1918" spans="1:8" x14ac:dyDescent="0.25">
      <c r="A1918" s="18" t="s">
        <v>2899</v>
      </c>
      <c r="B1918" s="4">
        <f>Fact_Defect_Split!B321</f>
        <v>20260702</v>
      </c>
      <c r="C1918" s="4">
        <f>Fact_Defect_Split!C321</f>
        <v>21</v>
      </c>
      <c r="D1918" s="4" t="str">
        <f>Fact_Defect_Split!D321</f>
        <v>M5</v>
      </c>
      <c r="E1918" s="4" t="str">
        <f>Fact_Defect_Split!E321</f>
        <v>B-PM</v>
      </c>
      <c r="F1918" s="4" t="str">
        <f>Fact_Defect_Split!F321</f>
        <v>A</v>
      </c>
      <c r="G1918" s="4" t="s">
        <v>517</v>
      </c>
      <c r="H1918" s="19">
        <f>Fact_Defect_Split!I321</f>
        <v>0</v>
      </c>
    </row>
    <row r="1919" spans="1:8" x14ac:dyDescent="0.25">
      <c r="A1919" s="18" t="s">
        <v>2900</v>
      </c>
      <c r="B1919" s="4">
        <f>Fact_Defect_Split!B321</f>
        <v>20260702</v>
      </c>
      <c r="C1919" s="4">
        <f>Fact_Defect_Split!C321</f>
        <v>21</v>
      </c>
      <c r="D1919" s="4" t="str">
        <f>Fact_Defect_Split!D321</f>
        <v>M5</v>
      </c>
      <c r="E1919" s="4" t="str">
        <f>Fact_Defect_Split!E321</f>
        <v>B-PM</v>
      </c>
      <c r="F1919" s="4" t="str">
        <f>Fact_Defect_Split!F321</f>
        <v>A</v>
      </c>
      <c r="G1919" s="4" t="s">
        <v>503</v>
      </c>
      <c r="H1919" s="19">
        <f>Fact_Defect_Split!J321</f>
        <v>0</v>
      </c>
    </row>
    <row r="1920" spans="1:8" x14ac:dyDescent="0.25">
      <c r="A1920" s="18" t="s">
        <v>2901</v>
      </c>
      <c r="B1920" s="4">
        <f>Fact_Defect_Split!B321</f>
        <v>20260702</v>
      </c>
      <c r="C1920" s="4">
        <f>Fact_Defect_Split!C321</f>
        <v>21</v>
      </c>
      <c r="D1920" s="4" t="str">
        <f>Fact_Defect_Split!D321</f>
        <v>M5</v>
      </c>
      <c r="E1920" s="4" t="str">
        <f>Fact_Defect_Split!E321</f>
        <v>B-PM</v>
      </c>
      <c r="F1920" s="4" t="str">
        <f>Fact_Defect_Split!F321</f>
        <v>A</v>
      </c>
      <c r="G1920" s="4" t="s">
        <v>509</v>
      </c>
      <c r="H1920" s="19">
        <f>Fact_Defect_Split!K321</f>
        <v>0</v>
      </c>
    </row>
    <row r="1921" spans="1:8" x14ac:dyDescent="0.25">
      <c r="A1921" s="18" t="s">
        <v>2902</v>
      </c>
      <c r="B1921" s="4">
        <f>Fact_Defect_Split!B321</f>
        <v>20260702</v>
      </c>
      <c r="C1921" s="4">
        <f>Fact_Defect_Split!C321</f>
        <v>21</v>
      </c>
      <c r="D1921" s="4" t="str">
        <f>Fact_Defect_Split!D321</f>
        <v>M5</v>
      </c>
      <c r="E1921" s="4" t="str">
        <f>Fact_Defect_Split!E321</f>
        <v>B-PM</v>
      </c>
      <c r="F1921" s="4" t="str">
        <f>Fact_Defect_Split!F321</f>
        <v>A</v>
      </c>
      <c r="G1921" s="4" t="s">
        <v>520</v>
      </c>
      <c r="H1921" s="19">
        <f>Fact_Defect_Split!L321</f>
        <v>0</v>
      </c>
    </row>
    <row r="1922" spans="1:8" x14ac:dyDescent="0.25">
      <c r="A1922" s="18" t="s">
        <v>2903</v>
      </c>
      <c r="B1922" s="4">
        <f>Fact_Defect_Split!B322</f>
        <v>20260702</v>
      </c>
      <c r="C1922" s="4">
        <f>Fact_Defect_Split!C322</f>
        <v>21</v>
      </c>
      <c r="D1922" s="4" t="str">
        <f>Fact_Defect_Split!D322</f>
        <v>M6</v>
      </c>
      <c r="E1922" s="4" t="str">
        <f>Fact_Defect_Split!E322</f>
        <v>B-PM</v>
      </c>
      <c r="F1922" s="4" t="str">
        <f>Fact_Defect_Split!F322</f>
        <v>A</v>
      </c>
      <c r="G1922" s="4" t="s">
        <v>498</v>
      </c>
      <c r="H1922" s="19">
        <f>Fact_Defect_Split!G322</f>
        <v>0</v>
      </c>
    </row>
    <row r="1923" spans="1:8" x14ac:dyDescent="0.25">
      <c r="A1923" s="18" t="s">
        <v>2904</v>
      </c>
      <c r="B1923" s="4">
        <f>Fact_Defect_Split!B322</f>
        <v>20260702</v>
      </c>
      <c r="C1923" s="4">
        <f>Fact_Defect_Split!C322</f>
        <v>21</v>
      </c>
      <c r="D1923" s="4" t="str">
        <f>Fact_Defect_Split!D322</f>
        <v>M6</v>
      </c>
      <c r="E1923" s="4" t="str">
        <f>Fact_Defect_Split!E322</f>
        <v>B-PM</v>
      </c>
      <c r="F1923" s="4" t="str">
        <f>Fact_Defect_Split!F322</f>
        <v>A</v>
      </c>
      <c r="G1923" s="4" t="s">
        <v>500</v>
      </c>
      <c r="H1923" s="19">
        <f>Fact_Defect_Split!H322</f>
        <v>0</v>
      </c>
    </row>
    <row r="1924" spans="1:8" x14ac:dyDescent="0.25">
      <c r="A1924" s="18" t="s">
        <v>2905</v>
      </c>
      <c r="B1924" s="4">
        <f>Fact_Defect_Split!B322</f>
        <v>20260702</v>
      </c>
      <c r="C1924" s="4">
        <f>Fact_Defect_Split!C322</f>
        <v>21</v>
      </c>
      <c r="D1924" s="4" t="str">
        <f>Fact_Defect_Split!D322</f>
        <v>M6</v>
      </c>
      <c r="E1924" s="4" t="str">
        <f>Fact_Defect_Split!E322</f>
        <v>B-PM</v>
      </c>
      <c r="F1924" s="4" t="str">
        <f>Fact_Defect_Split!F322</f>
        <v>A</v>
      </c>
      <c r="G1924" s="4" t="s">
        <v>517</v>
      </c>
      <c r="H1924" s="19">
        <f>Fact_Defect_Split!I322</f>
        <v>1</v>
      </c>
    </row>
    <row r="1925" spans="1:8" x14ac:dyDescent="0.25">
      <c r="A1925" s="18" t="s">
        <v>2906</v>
      </c>
      <c r="B1925" s="4">
        <f>Fact_Defect_Split!B322</f>
        <v>20260702</v>
      </c>
      <c r="C1925" s="4">
        <f>Fact_Defect_Split!C322</f>
        <v>21</v>
      </c>
      <c r="D1925" s="4" t="str">
        <f>Fact_Defect_Split!D322</f>
        <v>M6</v>
      </c>
      <c r="E1925" s="4" t="str">
        <f>Fact_Defect_Split!E322</f>
        <v>B-PM</v>
      </c>
      <c r="F1925" s="4" t="str">
        <f>Fact_Defect_Split!F322</f>
        <v>A</v>
      </c>
      <c r="G1925" s="4" t="s">
        <v>503</v>
      </c>
      <c r="H1925" s="19">
        <f>Fact_Defect_Split!J322</f>
        <v>0</v>
      </c>
    </row>
    <row r="1926" spans="1:8" x14ac:dyDescent="0.25">
      <c r="A1926" s="18" t="s">
        <v>2907</v>
      </c>
      <c r="B1926" s="4">
        <f>Fact_Defect_Split!B322</f>
        <v>20260702</v>
      </c>
      <c r="C1926" s="4">
        <f>Fact_Defect_Split!C322</f>
        <v>21</v>
      </c>
      <c r="D1926" s="4" t="str">
        <f>Fact_Defect_Split!D322</f>
        <v>M6</v>
      </c>
      <c r="E1926" s="4" t="str">
        <f>Fact_Defect_Split!E322</f>
        <v>B-PM</v>
      </c>
      <c r="F1926" s="4" t="str">
        <f>Fact_Defect_Split!F322</f>
        <v>A</v>
      </c>
      <c r="G1926" s="4" t="s">
        <v>509</v>
      </c>
      <c r="H1926" s="19">
        <f>Fact_Defect_Split!K322</f>
        <v>1</v>
      </c>
    </row>
    <row r="1927" spans="1:8" x14ac:dyDescent="0.25">
      <c r="A1927" s="18" t="s">
        <v>2908</v>
      </c>
      <c r="B1927" s="4">
        <f>Fact_Defect_Split!B322</f>
        <v>20260702</v>
      </c>
      <c r="C1927" s="4">
        <f>Fact_Defect_Split!C322</f>
        <v>21</v>
      </c>
      <c r="D1927" s="4" t="str">
        <f>Fact_Defect_Split!D322</f>
        <v>M6</v>
      </c>
      <c r="E1927" s="4" t="str">
        <f>Fact_Defect_Split!E322</f>
        <v>B-PM</v>
      </c>
      <c r="F1927" s="4" t="str">
        <f>Fact_Defect_Split!F322</f>
        <v>A</v>
      </c>
      <c r="G1927" s="4" t="s">
        <v>520</v>
      </c>
      <c r="H1927" s="19">
        <f>Fact_Defect_Split!L322</f>
        <v>0</v>
      </c>
    </row>
    <row r="1928" spans="1:8" x14ac:dyDescent="0.25">
      <c r="A1928" s="18" t="s">
        <v>2909</v>
      </c>
      <c r="B1928" s="4">
        <f>Fact_Defect_Split!B323</f>
        <v>20260702</v>
      </c>
      <c r="C1928" s="4">
        <f>Fact_Defect_Split!C323</f>
        <v>21</v>
      </c>
      <c r="D1928" s="4" t="str">
        <f>Fact_Defect_Split!D323</f>
        <v>M7</v>
      </c>
      <c r="E1928" s="4" t="str">
        <f>Fact_Defect_Split!E323</f>
        <v>B-PM</v>
      </c>
      <c r="F1928" s="4" t="str">
        <f>Fact_Defect_Split!F323</f>
        <v>C</v>
      </c>
      <c r="G1928" s="4" t="s">
        <v>498</v>
      </c>
      <c r="H1928" s="19">
        <f>Fact_Defect_Split!G323</f>
        <v>0</v>
      </c>
    </row>
    <row r="1929" spans="1:8" x14ac:dyDescent="0.25">
      <c r="A1929" s="18" t="s">
        <v>2910</v>
      </c>
      <c r="B1929" s="4">
        <f>Fact_Defect_Split!B323</f>
        <v>20260702</v>
      </c>
      <c r="C1929" s="4">
        <f>Fact_Defect_Split!C323</f>
        <v>21</v>
      </c>
      <c r="D1929" s="4" t="str">
        <f>Fact_Defect_Split!D323</f>
        <v>M7</v>
      </c>
      <c r="E1929" s="4" t="str">
        <f>Fact_Defect_Split!E323</f>
        <v>B-PM</v>
      </c>
      <c r="F1929" s="4" t="str">
        <f>Fact_Defect_Split!F323</f>
        <v>C</v>
      </c>
      <c r="G1929" s="4" t="s">
        <v>500</v>
      </c>
      <c r="H1929" s="19">
        <f>Fact_Defect_Split!H323</f>
        <v>0</v>
      </c>
    </row>
    <row r="1930" spans="1:8" x14ac:dyDescent="0.25">
      <c r="A1930" s="18" t="s">
        <v>2911</v>
      </c>
      <c r="B1930" s="4">
        <f>Fact_Defect_Split!B323</f>
        <v>20260702</v>
      </c>
      <c r="C1930" s="4">
        <f>Fact_Defect_Split!C323</f>
        <v>21</v>
      </c>
      <c r="D1930" s="4" t="str">
        <f>Fact_Defect_Split!D323</f>
        <v>M7</v>
      </c>
      <c r="E1930" s="4" t="str">
        <f>Fact_Defect_Split!E323</f>
        <v>B-PM</v>
      </c>
      <c r="F1930" s="4" t="str">
        <f>Fact_Defect_Split!F323</f>
        <v>C</v>
      </c>
      <c r="G1930" s="4" t="s">
        <v>517</v>
      </c>
      <c r="H1930" s="19">
        <f>Fact_Defect_Split!I323</f>
        <v>1</v>
      </c>
    </row>
    <row r="1931" spans="1:8" x14ac:dyDescent="0.25">
      <c r="A1931" s="18" t="s">
        <v>2912</v>
      </c>
      <c r="B1931" s="4">
        <f>Fact_Defect_Split!B323</f>
        <v>20260702</v>
      </c>
      <c r="C1931" s="4">
        <f>Fact_Defect_Split!C323</f>
        <v>21</v>
      </c>
      <c r="D1931" s="4" t="str">
        <f>Fact_Defect_Split!D323</f>
        <v>M7</v>
      </c>
      <c r="E1931" s="4" t="str">
        <f>Fact_Defect_Split!E323</f>
        <v>B-PM</v>
      </c>
      <c r="F1931" s="4" t="str">
        <f>Fact_Defect_Split!F323</f>
        <v>C</v>
      </c>
      <c r="G1931" s="4" t="s">
        <v>503</v>
      </c>
      <c r="H1931" s="19">
        <f>Fact_Defect_Split!J323</f>
        <v>0</v>
      </c>
    </row>
    <row r="1932" spans="1:8" x14ac:dyDescent="0.25">
      <c r="A1932" s="18" t="s">
        <v>2913</v>
      </c>
      <c r="B1932" s="4">
        <f>Fact_Defect_Split!B323</f>
        <v>20260702</v>
      </c>
      <c r="C1932" s="4">
        <f>Fact_Defect_Split!C323</f>
        <v>21</v>
      </c>
      <c r="D1932" s="4" t="str">
        <f>Fact_Defect_Split!D323</f>
        <v>M7</v>
      </c>
      <c r="E1932" s="4" t="str">
        <f>Fact_Defect_Split!E323</f>
        <v>B-PM</v>
      </c>
      <c r="F1932" s="4" t="str">
        <f>Fact_Defect_Split!F323</f>
        <v>C</v>
      </c>
      <c r="G1932" s="4" t="s">
        <v>509</v>
      </c>
      <c r="H1932" s="19">
        <f>Fact_Defect_Split!K323</f>
        <v>0</v>
      </c>
    </row>
    <row r="1933" spans="1:8" x14ac:dyDescent="0.25">
      <c r="A1933" s="18" t="s">
        <v>2914</v>
      </c>
      <c r="B1933" s="4">
        <f>Fact_Defect_Split!B323</f>
        <v>20260702</v>
      </c>
      <c r="C1933" s="4">
        <f>Fact_Defect_Split!C323</f>
        <v>21</v>
      </c>
      <c r="D1933" s="4" t="str">
        <f>Fact_Defect_Split!D323</f>
        <v>M7</v>
      </c>
      <c r="E1933" s="4" t="str">
        <f>Fact_Defect_Split!E323</f>
        <v>B-PM</v>
      </c>
      <c r="F1933" s="4" t="str">
        <f>Fact_Defect_Split!F323</f>
        <v>C</v>
      </c>
      <c r="G1933" s="4" t="s">
        <v>520</v>
      </c>
      <c r="H1933" s="19">
        <f>Fact_Defect_Split!L323</f>
        <v>1</v>
      </c>
    </row>
    <row r="1934" spans="1:8" x14ac:dyDescent="0.25">
      <c r="A1934" s="18" t="s">
        <v>2915</v>
      </c>
      <c r="B1934" s="4">
        <f>Fact_Defect_Split!B324</f>
        <v>20260702</v>
      </c>
      <c r="C1934" s="4">
        <f>Fact_Defect_Split!C324</f>
        <v>22</v>
      </c>
      <c r="D1934" s="4" t="str">
        <f>Fact_Defect_Split!D324</f>
        <v>M1</v>
      </c>
      <c r="E1934" s="4" t="str">
        <f>Fact_Defect_Split!E324</f>
        <v>B-PM</v>
      </c>
      <c r="F1934" s="4" t="str">
        <f>Fact_Defect_Split!F324</f>
        <v>B</v>
      </c>
      <c r="G1934" s="4" t="s">
        <v>498</v>
      </c>
      <c r="H1934" s="19">
        <f>Fact_Defect_Split!G324</f>
        <v>0</v>
      </c>
    </row>
    <row r="1935" spans="1:8" x14ac:dyDescent="0.25">
      <c r="A1935" s="18" t="s">
        <v>2916</v>
      </c>
      <c r="B1935" s="4">
        <f>Fact_Defect_Split!B324</f>
        <v>20260702</v>
      </c>
      <c r="C1935" s="4">
        <f>Fact_Defect_Split!C324</f>
        <v>22</v>
      </c>
      <c r="D1935" s="4" t="str">
        <f>Fact_Defect_Split!D324</f>
        <v>M1</v>
      </c>
      <c r="E1935" s="4" t="str">
        <f>Fact_Defect_Split!E324</f>
        <v>B-PM</v>
      </c>
      <c r="F1935" s="4" t="str">
        <f>Fact_Defect_Split!F324</f>
        <v>B</v>
      </c>
      <c r="G1935" s="4" t="s">
        <v>500</v>
      </c>
      <c r="H1935" s="19">
        <f>Fact_Defect_Split!H324</f>
        <v>0</v>
      </c>
    </row>
    <row r="1936" spans="1:8" x14ac:dyDescent="0.25">
      <c r="A1936" s="18" t="s">
        <v>2917</v>
      </c>
      <c r="B1936" s="4">
        <f>Fact_Defect_Split!B324</f>
        <v>20260702</v>
      </c>
      <c r="C1936" s="4">
        <f>Fact_Defect_Split!C324</f>
        <v>22</v>
      </c>
      <c r="D1936" s="4" t="str">
        <f>Fact_Defect_Split!D324</f>
        <v>M1</v>
      </c>
      <c r="E1936" s="4" t="str">
        <f>Fact_Defect_Split!E324</f>
        <v>B-PM</v>
      </c>
      <c r="F1936" s="4" t="str">
        <f>Fact_Defect_Split!F324</f>
        <v>B</v>
      </c>
      <c r="G1936" s="4" t="s">
        <v>517</v>
      </c>
      <c r="H1936" s="19">
        <f>Fact_Defect_Split!I324</f>
        <v>0</v>
      </c>
    </row>
    <row r="1937" spans="1:8" x14ac:dyDescent="0.25">
      <c r="A1937" s="18" t="s">
        <v>2918</v>
      </c>
      <c r="B1937" s="4">
        <f>Fact_Defect_Split!B324</f>
        <v>20260702</v>
      </c>
      <c r="C1937" s="4">
        <f>Fact_Defect_Split!C324</f>
        <v>22</v>
      </c>
      <c r="D1937" s="4" t="str">
        <f>Fact_Defect_Split!D324</f>
        <v>M1</v>
      </c>
      <c r="E1937" s="4" t="str">
        <f>Fact_Defect_Split!E324</f>
        <v>B-PM</v>
      </c>
      <c r="F1937" s="4" t="str">
        <f>Fact_Defect_Split!F324</f>
        <v>B</v>
      </c>
      <c r="G1937" s="4" t="s">
        <v>503</v>
      </c>
      <c r="H1937" s="19">
        <f>Fact_Defect_Split!J324</f>
        <v>0</v>
      </c>
    </row>
    <row r="1938" spans="1:8" x14ac:dyDescent="0.25">
      <c r="A1938" s="18" t="s">
        <v>2919</v>
      </c>
      <c r="B1938" s="4">
        <f>Fact_Defect_Split!B324</f>
        <v>20260702</v>
      </c>
      <c r="C1938" s="4">
        <f>Fact_Defect_Split!C324</f>
        <v>22</v>
      </c>
      <c r="D1938" s="4" t="str">
        <f>Fact_Defect_Split!D324</f>
        <v>M1</v>
      </c>
      <c r="E1938" s="4" t="str">
        <f>Fact_Defect_Split!E324</f>
        <v>B-PM</v>
      </c>
      <c r="F1938" s="4" t="str">
        <f>Fact_Defect_Split!F324</f>
        <v>B</v>
      </c>
      <c r="G1938" s="4" t="s">
        <v>509</v>
      </c>
      <c r="H1938" s="19">
        <f>Fact_Defect_Split!K324</f>
        <v>1</v>
      </c>
    </row>
    <row r="1939" spans="1:8" x14ac:dyDescent="0.25">
      <c r="A1939" s="18" t="s">
        <v>2920</v>
      </c>
      <c r="B1939" s="4">
        <f>Fact_Defect_Split!B324</f>
        <v>20260702</v>
      </c>
      <c r="C1939" s="4">
        <f>Fact_Defect_Split!C324</f>
        <v>22</v>
      </c>
      <c r="D1939" s="4" t="str">
        <f>Fact_Defect_Split!D324</f>
        <v>M1</v>
      </c>
      <c r="E1939" s="4" t="str">
        <f>Fact_Defect_Split!E324</f>
        <v>B-PM</v>
      </c>
      <c r="F1939" s="4" t="str">
        <f>Fact_Defect_Split!F324</f>
        <v>B</v>
      </c>
      <c r="G1939" s="4" t="s">
        <v>520</v>
      </c>
      <c r="H1939" s="19">
        <f>Fact_Defect_Split!L324</f>
        <v>0</v>
      </c>
    </row>
    <row r="1940" spans="1:8" x14ac:dyDescent="0.25">
      <c r="A1940" s="18" t="s">
        <v>2921</v>
      </c>
      <c r="B1940" s="4">
        <f>Fact_Defect_Split!B325</f>
        <v>20260702</v>
      </c>
      <c r="C1940" s="4">
        <f>Fact_Defect_Split!C325</f>
        <v>22</v>
      </c>
      <c r="D1940" s="4" t="str">
        <f>Fact_Defect_Split!D325</f>
        <v>M2</v>
      </c>
      <c r="E1940" s="4" t="str">
        <f>Fact_Defect_Split!E325</f>
        <v>B-PM</v>
      </c>
      <c r="F1940" s="4" t="str">
        <f>Fact_Defect_Split!F325</f>
        <v>A</v>
      </c>
      <c r="G1940" s="4" t="s">
        <v>498</v>
      </c>
      <c r="H1940" s="19">
        <f>Fact_Defect_Split!G325</f>
        <v>0</v>
      </c>
    </row>
    <row r="1941" spans="1:8" x14ac:dyDescent="0.25">
      <c r="A1941" s="18" t="s">
        <v>2922</v>
      </c>
      <c r="B1941" s="4">
        <f>Fact_Defect_Split!B325</f>
        <v>20260702</v>
      </c>
      <c r="C1941" s="4">
        <f>Fact_Defect_Split!C325</f>
        <v>22</v>
      </c>
      <c r="D1941" s="4" t="str">
        <f>Fact_Defect_Split!D325</f>
        <v>M2</v>
      </c>
      <c r="E1941" s="4" t="str">
        <f>Fact_Defect_Split!E325</f>
        <v>B-PM</v>
      </c>
      <c r="F1941" s="4" t="str">
        <f>Fact_Defect_Split!F325</f>
        <v>A</v>
      </c>
      <c r="G1941" s="4" t="s">
        <v>500</v>
      </c>
      <c r="H1941" s="19">
        <f>Fact_Defect_Split!H325</f>
        <v>0</v>
      </c>
    </row>
    <row r="1942" spans="1:8" x14ac:dyDescent="0.25">
      <c r="A1942" s="18" t="s">
        <v>2923</v>
      </c>
      <c r="B1942" s="4">
        <f>Fact_Defect_Split!B325</f>
        <v>20260702</v>
      </c>
      <c r="C1942" s="4">
        <f>Fact_Defect_Split!C325</f>
        <v>22</v>
      </c>
      <c r="D1942" s="4" t="str">
        <f>Fact_Defect_Split!D325</f>
        <v>M2</v>
      </c>
      <c r="E1942" s="4" t="str">
        <f>Fact_Defect_Split!E325</f>
        <v>B-PM</v>
      </c>
      <c r="F1942" s="4" t="str">
        <f>Fact_Defect_Split!F325</f>
        <v>A</v>
      </c>
      <c r="G1942" s="4" t="s">
        <v>517</v>
      </c>
      <c r="H1942" s="19">
        <f>Fact_Defect_Split!I325</f>
        <v>0</v>
      </c>
    </row>
    <row r="1943" spans="1:8" x14ac:dyDescent="0.25">
      <c r="A1943" s="18" t="s">
        <v>2924</v>
      </c>
      <c r="B1943" s="4">
        <f>Fact_Defect_Split!B325</f>
        <v>20260702</v>
      </c>
      <c r="C1943" s="4">
        <f>Fact_Defect_Split!C325</f>
        <v>22</v>
      </c>
      <c r="D1943" s="4" t="str">
        <f>Fact_Defect_Split!D325</f>
        <v>M2</v>
      </c>
      <c r="E1943" s="4" t="str">
        <f>Fact_Defect_Split!E325</f>
        <v>B-PM</v>
      </c>
      <c r="F1943" s="4" t="str">
        <f>Fact_Defect_Split!F325</f>
        <v>A</v>
      </c>
      <c r="G1943" s="4" t="s">
        <v>503</v>
      </c>
      <c r="H1943" s="19">
        <f>Fact_Defect_Split!J325</f>
        <v>0</v>
      </c>
    </row>
    <row r="1944" spans="1:8" x14ac:dyDescent="0.25">
      <c r="A1944" s="18" t="s">
        <v>2925</v>
      </c>
      <c r="B1944" s="4">
        <f>Fact_Defect_Split!B325</f>
        <v>20260702</v>
      </c>
      <c r="C1944" s="4">
        <f>Fact_Defect_Split!C325</f>
        <v>22</v>
      </c>
      <c r="D1944" s="4" t="str">
        <f>Fact_Defect_Split!D325</f>
        <v>M2</v>
      </c>
      <c r="E1944" s="4" t="str">
        <f>Fact_Defect_Split!E325</f>
        <v>B-PM</v>
      </c>
      <c r="F1944" s="4" t="str">
        <f>Fact_Defect_Split!F325</f>
        <v>A</v>
      </c>
      <c r="G1944" s="4" t="s">
        <v>509</v>
      </c>
      <c r="H1944" s="19">
        <f>Fact_Defect_Split!K325</f>
        <v>1</v>
      </c>
    </row>
    <row r="1945" spans="1:8" x14ac:dyDescent="0.25">
      <c r="A1945" s="18" t="s">
        <v>2926</v>
      </c>
      <c r="B1945" s="4">
        <f>Fact_Defect_Split!B325</f>
        <v>20260702</v>
      </c>
      <c r="C1945" s="4">
        <f>Fact_Defect_Split!C325</f>
        <v>22</v>
      </c>
      <c r="D1945" s="4" t="str">
        <f>Fact_Defect_Split!D325</f>
        <v>M2</v>
      </c>
      <c r="E1945" s="4" t="str">
        <f>Fact_Defect_Split!E325</f>
        <v>B-PM</v>
      </c>
      <c r="F1945" s="4" t="str">
        <f>Fact_Defect_Split!F325</f>
        <v>A</v>
      </c>
      <c r="G1945" s="4" t="s">
        <v>520</v>
      </c>
      <c r="H1945" s="19">
        <f>Fact_Defect_Split!L325</f>
        <v>0</v>
      </c>
    </row>
    <row r="1946" spans="1:8" x14ac:dyDescent="0.25">
      <c r="A1946" s="18" t="s">
        <v>2927</v>
      </c>
      <c r="B1946" s="4">
        <f>Fact_Defect_Split!B326</f>
        <v>20260702</v>
      </c>
      <c r="C1946" s="4">
        <f>Fact_Defect_Split!C326</f>
        <v>22</v>
      </c>
      <c r="D1946" s="4" t="str">
        <f>Fact_Defect_Split!D326</f>
        <v>M3</v>
      </c>
      <c r="E1946" s="4" t="str">
        <f>Fact_Defect_Split!E326</f>
        <v>B-PM</v>
      </c>
      <c r="F1946" s="4" t="str">
        <f>Fact_Defect_Split!F326</f>
        <v>A</v>
      </c>
      <c r="G1946" s="4" t="s">
        <v>498</v>
      </c>
      <c r="H1946" s="19">
        <f>Fact_Defect_Split!G326</f>
        <v>0</v>
      </c>
    </row>
    <row r="1947" spans="1:8" x14ac:dyDescent="0.25">
      <c r="A1947" s="18" t="s">
        <v>2928</v>
      </c>
      <c r="B1947" s="4">
        <f>Fact_Defect_Split!B326</f>
        <v>20260702</v>
      </c>
      <c r="C1947" s="4">
        <f>Fact_Defect_Split!C326</f>
        <v>22</v>
      </c>
      <c r="D1947" s="4" t="str">
        <f>Fact_Defect_Split!D326</f>
        <v>M3</v>
      </c>
      <c r="E1947" s="4" t="str">
        <f>Fact_Defect_Split!E326</f>
        <v>B-PM</v>
      </c>
      <c r="F1947" s="4" t="str">
        <f>Fact_Defect_Split!F326</f>
        <v>A</v>
      </c>
      <c r="G1947" s="4" t="s">
        <v>500</v>
      </c>
      <c r="H1947" s="19">
        <f>Fact_Defect_Split!H326</f>
        <v>0</v>
      </c>
    </row>
    <row r="1948" spans="1:8" x14ac:dyDescent="0.25">
      <c r="A1948" s="18" t="s">
        <v>2929</v>
      </c>
      <c r="B1948" s="4">
        <f>Fact_Defect_Split!B326</f>
        <v>20260702</v>
      </c>
      <c r="C1948" s="4">
        <f>Fact_Defect_Split!C326</f>
        <v>22</v>
      </c>
      <c r="D1948" s="4" t="str">
        <f>Fact_Defect_Split!D326</f>
        <v>M3</v>
      </c>
      <c r="E1948" s="4" t="str">
        <f>Fact_Defect_Split!E326</f>
        <v>B-PM</v>
      </c>
      <c r="F1948" s="4" t="str">
        <f>Fact_Defect_Split!F326</f>
        <v>A</v>
      </c>
      <c r="G1948" s="4" t="s">
        <v>517</v>
      </c>
      <c r="H1948" s="19">
        <f>Fact_Defect_Split!I326</f>
        <v>0</v>
      </c>
    </row>
    <row r="1949" spans="1:8" x14ac:dyDescent="0.25">
      <c r="A1949" s="18" t="s">
        <v>2930</v>
      </c>
      <c r="B1949" s="4">
        <f>Fact_Defect_Split!B326</f>
        <v>20260702</v>
      </c>
      <c r="C1949" s="4">
        <f>Fact_Defect_Split!C326</f>
        <v>22</v>
      </c>
      <c r="D1949" s="4" t="str">
        <f>Fact_Defect_Split!D326</f>
        <v>M3</v>
      </c>
      <c r="E1949" s="4" t="str">
        <f>Fact_Defect_Split!E326</f>
        <v>B-PM</v>
      </c>
      <c r="F1949" s="4" t="str">
        <f>Fact_Defect_Split!F326</f>
        <v>A</v>
      </c>
      <c r="G1949" s="4" t="s">
        <v>503</v>
      </c>
      <c r="H1949" s="19">
        <f>Fact_Defect_Split!J326</f>
        <v>0</v>
      </c>
    </row>
    <row r="1950" spans="1:8" x14ac:dyDescent="0.25">
      <c r="A1950" s="18" t="s">
        <v>2931</v>
      </c>
      <c r="B1950" s="4">
        <f>Fact_Defect_Split!B326</f>
        <v>20260702</v>
      </c>
      <c r="C1950" s="4">
        <f>Fact_Defect_Split!C326</f>
        <v>22</v>
      </c>
      <c r="D1950" s="4" t="str">
        <f>Fact_Defect_Split!D326</f>
        <v>M3</v>
      </c>
      <c r="E1950" s="4" t="str">
        <f>Fact_Defect_Split!E326</f>
        <v>B-PM</v>
      </c>
      <c r="F1950" s="4" t="str">
        <f>Fact_Defect_Split!F326</f>
        <v>A</v>
      </c>
      <c r="G1950" s="4" t="s">
        <v>509</v>
      </c>
      <c r="H1950" s="19">
        <f>Fact_Defect_Split!K326</f>
        <v>1</v>
      </c>
    </row>
    <row r="1951" spans="1:8" x14ac:dyDescent="0.25">
      <c r="A1951" s="18" t="s">
        <v>2932</v>
      </c>
      <c r="B1951" s="4">
        <f>Fact_Defect_Split!B326</f>
        <v>20260702</v>
      </c>
      <c r="C1951" s="4">
        <f>Fact_Defect_Split!C326</f>
        <v>22</v>
      </c>
      <c r="D1951" s="4" t="str">
        <f>Fact_Defect_Split!D326</f>
        <v>M3</v>
      </c>
      <c r="E1951" s="4" t="str">
        <f>Fact_Defect_Split!E326</f>
        <v>B-PM</v>
      </c>
      <c r="F1951" s="4" t="str">
        <f>Fact_Defect_Split!F326</f>
        <v>A</v>
      </c>
      <c r="G1951" s="4" t="s">
        <v>520</v>
      </c>
      <c r="H1951" s="19">
        <f>Fact_Defect_Split!L326</f>
        <v>0</v>
      </c>
    </row>
    <row r="1952" spans="1:8" x14ac:dyDescent="0.25">
      <c r="A1952" s="18" t="s">
        <v>2933</v>
      </c>
      <c r="B1952" s="4">
        <f>Fact_Defect_Split!B327</f>
        <v>20260702</v>
      </c>
      <c r="C1952" s="4">
        <f>Fact_Defect_Split!C327</f>
        <v>22</v>
      </c>
      <c r="D1952" s="4" t="str">
        <f>Fact_Defect_Split!D327</f>
        <v>M4</v>
      </c>
      <c r="E1952" s="4" t="str">
        <f>Fact_Defect_Split!E327</f>
        <v>B-PM</v>
      </c>
      <c r="F1952" s="4" t="str">
        <f>Fact_Defect_Split!F327</f>
        <v>C</v>
      </c>
      <c r="G1952" s="4" t="s">
        <v>498</v>
      </c>
      <c r="H1952" s="19">
        <f>Fact_Defect_Split!G327</f>
        <v>0</v>
      </c>
    </row>
    <row r="1953" spans="1:8" x14ac:dyDescent="0.25">
      <c r="A1953" s="18" t="s">
        <v>2934</v>
      </c>
      <c r="B1953" s="4">
        <f>Fact_Defect_Split!B327</f>
        <v>20260702</v>
      </c>
      <c r="C1953" s="4">
        <f>Fact_Defect_Split!C327</f>
        <v>22</v>
      </c>
      <c r="D1953" s="4" t="str">
        <f>Fact_Defect_Split!D327</f>
        <v>M4</v>
      </c>
      <c r="E1953" s="4" t="str">
        <f>Fact_Defect_Split!E327</f>
        <v>B-PM</v>
      </c>
      <c r="F1953" s="4" t="str">
        <f>Fact_Defect_Split!F327</f>
        <v>C</v>
      </c>
      <c r="G1953" s="4" t="s">
        <v>500</v>
      </c>
      <c r="H1953" s="19">
        <f>Fact_Defect_Split!H327</f>
        <v>0</v>
      </c>
    </row>
    <row r="1954" spans="1:8" x14ac:dyDescent="0.25">
      <c r="A1954" s="18" t="s">
        <v>2935</v>
      </c>
      <c r="B1954" s="4">
        <f>Fact_Defect_Split!B327</f>
        <v>20260702</v>
      </c>
      <c r="C1954" s="4">
        <f>Fact_Defect_Split!C327</f>
        <v>22</v>
      </c>
      <c r="D1954" s="4" t="str">
        <f>Fact_Defect_Split!D327</f>
        <v>M4</v>
      </c>
      <c r="E1954" s="4" t="str">
        <f>Fact_Defect_Split!E327</f>
        <v>B-PM</v>
      </c>
      <c r="F1954" s="4" t="str">
        <f>Fact_Defect_Split!F327</f>
        <v>C</v>
      </c>
      <c r="G1954" s="4" t="s">
        <v>517</v>
      </c>
      <c r="H1954" s="19">
        <f>Fact_Defect_Split!I327</f>
        <v>0</v>
      </c>
    </row>
    <row r="1955" spans="1:8" x14ac:dyDescent="0.25">
      <c r="A1955" s="18" t="s">
        <v>2936</v>
      </c>
      <c r="B1955" s="4">
        <f>Fact_Defect_Split!B327</f>
        <v>20260702</v>
      </c>
      <c r="C1955" s="4">
        <f>Fact_Defect_Split!C327</f>
        <v>22</v>
      </c>
      <c r="D1955" s="4" t="str">
        <f>Fact_Defect_Split!D327</f>
        <v>M4</v>
      </c>
      <c r="E1955" s="4" t="str">
        <f>Fact_Defect_Split!E327</f>
        <v>B-PM</v>
      </c>
      <c r="F1955" s="4" t="str">
        <f>Fact_Defect_Split!F327</f>
        <v>C</v>
      </c>
      <c r="G1955" s="4" t="s">
        <v>503</v>
      </c>
      <c r="H1955" s="19">
        <f>Fact_Defect_Split!J327</f>
        <v>1</v>
      </c>
    </row>
    <row r="1956" spans="1:8" x14ac:dyDescent="0.25">
      <c r="A1956" s="18" t="s">
        <v>2937</v>
      </c>
      <c r="B1956" s="4">
        <f>Fact_Defect_Split!B327</f>
        <v>20260702</v>
      </c>
      <c r="C1956" s="4">
        <f>Fact_Defect_Split!C327</f>
        <v>22</v>
      </c>
      <c r="D1956" s="4" t="str">
        <f>Fact_Defect_Split!D327</f>
        <v>M4</v>
      </c>
      <c r="E1956" s="4" t="str">
        <f>Fact_Defect_Split!E327</f>
        <v>B-PM</v>
      </c>
      <c r="F1956" s="4" t="str">
        <f>Fact_Defect_Split!F327</f>
        <v>C</v>
      </c>
      <c r="G1956" s="4" t="s">
        <v>509</v>
      </c>
      <c r="H1956" s="19">
        <f>Fact_Defect_Split!K327</f>
        <v>1</v>
      </c>
    </row>
    <row r="1957" spans="1:8" x14ac:dyDescent="0.25">
      <c r="A1957" s="18" t="s">
        <v>2938</v>
      </c>
      <c r="B1957" s="4">
        <f>Fact_Defect_Split!B327</f>
        <v>20260702</v>
      </c>
      <c r="C1957" s="4">
        <f>Fact_Defect_Split!C327</f>
        <v>22</v>
      </c>
      <c r="D1957" s="4" t="str">
        <f>Fact_Defect_Split!D327</f>
        <v>M4</v>
      </c>
      <c r="E1957" s="4" t="str">
        <f>Fact_Defect_Split!E327</f>
        <v>B-PM</v>
      </c>
      <c r="F1957" s="4" t="str">
        <f>Fact_Defect_Split!F327</f>
        <v>C</v>
      </c>
      <c r="G1957" s="4" t="s">
        <v>520</v>
      </c>
      <c r="H1957" s="19">
        <f>Fact_Defect_Split!L327</f>
        <v>0</v>
      </c>
    </row>
    <row r="1958" spans="1:8" x14ac:dyDescent="0.25">
      <c r="A1958" s="18" t="s">
        <v>2939</v>
      </c>
      <c r="B1958" s="4">
        <f>Fact_Defect_Split!B328</f>
        <v>20260702</v>
      </c>
      <c r="C1958" s="4">
        <f>Fact_Defect_Split!C328</f>
        <v>22</v>
      </c>
      <c r="D1958" s="4" t="str">
        <f>Fact_Defect_Split!D328</f>
        <v>M5</v>
      </c>
      <c r="E1958" s="4" t="str">
        <f>Fact_Defect_Split!E328</f>
        <v>B-PM</v>
      </c>
      <c r="F1958" s="4" t="str">
        <f>Fact_Defect_Split!F328</f>
        <v>A</v>
      </c>
      <c r="G1958" s="4" t="s">
        <v>498</v>
      </c>
      <c r="H1958" s="19">
        <f>Fact_Defect_Split!G328</f>
        <v>0</v>
      </c>
    </row>
    <row r="1959" spans="1:8" x14ac:dyDescent="0.25">
      <c r="A1959" s="18" t="s">
        <v>2940</v>
      </c>
      <c r="B1959" s="4">
        <f>Fact_Defect_Split!B328</f>
        <v>20260702</v>
      </c>
      <c r="C1959" s="4">
        <f>Fact_Defect_Split!C328</f>
        <v>22</v>
      </c>
      <c r="D1959" s="4" t="str">
        <f>Fact_Defect_Split!D328</f>
        <v>M5</v>
      </c>
      <c r="E1959" s="4" t="str">
        <f>Fact_Defect_Split!E328</f>
        <v>B-PM</v>
      </c>
      <c r="F1959" s="4" t="str">
        <f>Fact_Defect_Split!F328</f>
        <v>A</v>
      </c>
      <c r="G1959" s="4" t="s">
        <v>500</v>
      </c>
      <c r="H1959" s="19">
        <f>Fact_Defect_Split!H328</f>
        <v>0</v>
      </c>
    </row>
    <row r="1960" spans="1:8" x14ac:dyDescent="0.25">
      <c r="A1960" s="18" t="s">
        <v>2941</v>
      </c>
      <c r="B1960" s="4">
        <f>Fact_Defect_Split!B328</f>
        <v>20260702</v>
      </c>
      <c r="C1960" s="4">
        <f>Fact_Defect_Split!C328</f>
        <v>22</v>
      </c>
      <c r="D1960" s="4" t="str">
        <f>Fact_Defect_Split!D328</f>
        <v>M5</v>
      </c>
      <c r="E1960" s="4" t="str">
        <f>Fact_Defect_Split!E328</f>
        <v>B-PM</v>
      </c>
      <c r="F1960" s="4" t="str">
        <f>Fact_Defect_Split!F328</f>
        <v>A</v>
      </c>
      <c r="G1960" s="4" t="s">
        <v>517</v>
      </c>
      <c r="H1960" s="19">
        <f>Fact_Defect_Split!I328</f>
        <v>0</v>
      </c>
    </row>
    <row r="1961" spans="1:8" x14ac:dyDescent="0.25">
      <c r="A1961" s="18" t="s">
        <v>2942</v>
      </c>
      <c r="B1961" s="4">
        <f>Fact_Defect_Split!B328</f>
        <v>20260702</v>
      </c>
      <c r="C1961" s="4">
        <f>Fact_Defect_Split!C328</f>
        <v>22</v>
      </c>
      <c r="D1961" s="4" t="str">
        <f>Fact_Defect_Split!D328</f>
        <v>M5</v>
      </c>
      <c r="E1961" s="4" t="str">
        <f>Fact_Defect_Split!E328</f>
        <v>B-PM</v>
      </c>
      <c r="F1961" s="4" t="str">
        <f>Fact_Defect_Split!F328</f>
        <v>A</v>
      </c>
      <c r="G1961" s="4" t="s">
        <v>503</v>
      </c>
      <c r="H1961" s="19">
        <f>Fact_Defect_Split!J328</f>
        <v>0</v>
      </c>
    </row>
    <row r="1962" spans="1:8" x14ac:dyDescent="0.25">
      <c r="A1962" s="18" t="s">
        <v>2943</v>
      </c>
      <c r="B1962" s="4">
        <f>Fact_Defect_Split!B328</f>
        <v>20260702</v>
      </c>
      <c r="C1962" s="4">
        <f>Fact_Defect_Split!C328</f>
        <v>22</v>
      </c>
      <c r="D1962" s="4" t="str">
        <f>Fact_Defect_Split!D328</f>
        <v>M5</v>
      </c>
      <c r="E1962" s="4" t="str">
        <f>Fact_Defect_Split!E328</f>
        <v>B-PM</v>
      </c>
      <c r="F1962" s="4" t="str">
        <f>Fact_Defect_Split!F328</f>
        <v>A</v>
      </c>
      <c r="G1962" s="4" t="s">
        <v>509</v>
      </c>
      <c r="H1962" s="19">
        <f>Fact_Defect_Split!K328</f>
        <v>1</v>
      </c>
    </row>
    <row r="1963" spans="1:8" x14ac:dyDescent="0.25">
      <c r="A1963" s="18" t="s">
        <v>2944</v>
      </c>
      <c r="B1963" s="4">
        <f>Fact_Defect_Split!B328</f>
        <v>20260702</v>
      </c>
      <c r="C1963" s="4">
        <f>Fact_Defect_Split!C328</f>
        <v>22</v>
      </c>
      <c r="D1963" s="4" t="str">
        <f>Fact_Defect_Split!D328</f>
        <v>M5</v>
      </c>
      <c r="E1963" s="4" t="str">
        <f>Fact_Defect_Split!E328</f>
        <v>B-PM</v>
      </c>
      <c r="F1963" s="4" t="str">
        <f>Fact_Defect_Split!F328</f>
        <v>A</v>
      </c>
      <c r="G1963" s="4" t="s">
        <v>520</v>
      </c>
      <c r="H1963" s="19">
        <f>Fact_Defect_Split!L328</f>
        <v>0</v>
      </c>
    </row>
    <row r="1964" spans="1:8" x14ac:dyDescent="0.25">
      <c r="A1964" s="18" t="s">
        <v>2945</v>
      </c>
      <c r="B1964" s="4">
        <f>Fact_Defect_Split!B329</f>
        <v>20260702</v>
      </c>
      <c r="C1964" s="4">
        <f>Fact_Defect_Split!C329</f>
        <v>22</v>
      </c>
      <c r="D1964" s="4" t="str">
        <f>Fact_Defect_Split!D329</f>
        <v>M6</v>
      </c>
      <c r="E1964" s="4" t="str">
        <f>Fact_Defect_Split!E329</f>
        <v>B-PM</v>
      </c>
      <c r="F1964" s="4" t="str">
        <f>Fact_Defect_Split!F329</f>
        <v>A</v>
      </c>
      <c r="G1964" s="4" t="s">
        <v>498</v>
      </c>
      <c r="H1964" s="19">
        <f>Fact_Defect_Split!G329</f>
        <v>0</v>
      </c>
    </row>
    <row r="1965" spans="1:8" x14ac:dyDescent="0.25">
      <c r="A1965" s="18" t="s">
        <v>2946</v>
      </c>
      <c r="B1965" s="4">
        <f>Fact_Defect_Split!B329</f>
        <v>20260702</v>
      </c>
      <c r="C1965" s="4">
        <f>Fact_Defect_Split!C329</f>
        <v>22</v>
      </c>
      <c r="D1965" s="4" t="str">
        <f>Fact_Defect_Split!D329</f>
        <v>M6</v>
      </c>
      <c r="E1965" s="4" t="str">
        <f>Fact_Defect_Split!E329</f>
        <v>B-PM</v>
      </c>
      <c r="F1965" s="4" t="str">
        <f>Fact_Defect_Split!F329</f>
        <v>A</v>
      </c>
      <c r="G1965" s="4" t="s">
        <v>500</v>
      </c>
      <c r="H1965" s="19">
        <f>Fact_Defect_Split!H329</f>
        <v>0</v>
      </c>
    </row>
    <row r="1966" spans="1:8" x14ac:dyDescent="0.25">
      <c r="A1966" s="18" t="s">
        <v>2947</v>
      </c>
      <c r="B1966" s="4">
        <f>Fact_Defect_Split!B329</f>
        <v>20260702</v>
      </c>
      <c r="C1966" s="4">
        <f>Fact_Defect_Split!C329</f>
        <v>22</v>
      </c>
      <c r="D1966" s="4" t="str">
        <f>Fact_Defect_Split!D329</f>
        <v>M6</v>
      </c>
      <c r="E1966" s="4" t="str">
        <f>Fact_Defect_Split!E329</f>
        <v>B-PM</v>
      </c>
      <c r="F1966" s="4" t="str">
        <f>Fact_Defect_Split!F329</f>
        <v>A</v>
      </c>
      <c r="G1966" s="4" t="s">
        <v>517</v>
      </c>
      <c r="H1966" s="19">
        <f>Fact_Defect_Split!I329</f>
        <v>0</v>
      </c>
    </row>
    <row r="1967" spans="1:8" x14ac:dyDescent="0.25">
      <c r="A1967" s="18" t="s">
        <v>2948</v>
      </c>
      <c r="B1967" s="4">
        <f>Fact_Defect_Split!B329</f>
        <v>20260702</v>
      </c>
      <c r="C1967" s="4">
        <f>Fact_Defect_Split!C329</f>
        <v>22</v>
      </c>
      <c r="D1967" s="4" t="str">
        <f>Fact_Defect_Split!D329</f>
        <v>M6</v>
      </c>
      <c r="E1967" s="4" t="str">
        <f>Fact_Defect_Split!E329</f>
        <v>B-PM</v>
      </c>
      <c r="F1967" s="4" t="str">
        <f>Fact_Defect_Split!F329</f>
        <v>A</v>
      </c>
      <c r="G1967" s="4" t="s">
        <v>503</v>
      </c>
      <c r="H1967" s="19">
        <f>Fact_Defect_Split!J329</f>
        <v>0</v>
      </c>
    </row>
    <row r="1968" spans="1:8" x14ac:dyDescent="0.25">
      <c r="A1968" s="18" t="s">
        <v>2949</v>
      </c>
      <c r="B1968" s="4">
        <f>Fact_Defect_Split!B329</f>
        <v>20260702</v>
      </c>
      <c r="C1968" s="4">
        <f>Fact_Defect_Split!C329</f>
        <v>22</v>
      </c>
      <c r="D1968" s="4" t="str">
        <f>Fact_Defect_Split!D329</f>
        <v>M6</v>
      </c>
      <c r="E1968" s="4" t="str">
        <f>Fact_Defect_Split!E329</f>
        <v>B-PM</v>
      </c>
      <c r="F1968" s="4" t="str">
        <f>Fact_Defect_Split!F329</f>
        <v>A</v>
      </c>
      <c r="G1968" s="4" t="s">
        <v>509</v>
      </c>
      <c r="H1968" s="19">
        <f>Fact_Defect_Split!K329</f>
        <v>0</v>
      </c>
    </row>
    <row r="1969" spans="1:8" x14ac:dyDescent="0.25">
      <c r="A1969" s="18" t="s">
        <v>2950</v>
      </c>
      <c r="B1969" s="4">
        <f>Fact_Defect_Split!B329</f>
        <v>20260702</v>
      </c>
      <c r="C1969" s="4">
        <f>Fact_Defect_Split!C329</f>
        <v>22</v>
      </c>
      <c r="D1969" s="4" t="str">
        <f>Fact_Defect_Split!D329</f>
        <v>M6</v>
      </c>
      <c r="E1969" s="4" t="str">
        <f>Fact_Defect_Split!E329</f>
        <v>B-PM</v>
      </c>
      <c r="F1969" s="4" t="str">
        <f>Fact_Defect_Split!F329</f>
        <v>A</v>
      </c>
      <c r="G1969" s="4" t="s">
        <v>520</v>
      </c>
      <c r="H1969" s="19">
        <f>Fact_Defect_Split!L329</f>
        <v>1</v>
      </c>
    </row>
    <row r="1970" spans="1:8" x14ac:dyDescent="0.25">
      <c r="A1970" s="18" t="s">
        <v>2951</v>
      </c>
      <c r="B1970" s="4">
        <f>Fact_Defect_Split!B330</f>
        <v>20260702</v>
      </c>
      <c r="C1970" s="4">
        <f>Fact_Defect_Split!C330</f>
        <v>22</v>
      </c>
      <c r="D1970" s="4" t="str">
        <f>Fact_Defect_Split!D330</f>
        <v>M7</v>
      </c>
      <c r="E1970" s="4" t="str">
        <f>Fact_Defect_Split!E330</f>
        <v>B-PM</v>
      </c>
      <c r="F1970" s="4" t="str">
        <f>Fact_Defect_Split!F330</f>
        <v>C</v>
      </c>
      <c r="G1970" s="4" t="s">
        <v>498</v>
      </c>
      <c r="H1970" s="19">
        <f>Fact_Defect_Split!G330</f>
        <v>0</v>
      </c>
    </row>
    <row r="1971" spans="1:8" x14ac:dyDescent="0.25">
      <c r="A1971" s="18" t="s">
        <v>2952</v>
      </c>
      <c r="B1971" s="4">
        <f>Fact_Defect_Split!B330</f>
        <v>20260702</v>
      </c>
      <c r="C1971" s="4">
        <f>Fact_Defect_Split!C330</f>
        <v>22</v>
      </c>
      <c r="D1971" s="4" t="str">
        <f>Fact_Defect_Split!D330</f>
        <v>M7</v>
      </c>
      <c r="E1971" s="4" t="str">
        <f>Fact_Defect_Split!E330</f>
        <v>B-PM</v>
      </c>
      <c r="F1971" s="4" t="str">
        <f>Fact_Defect_Split!F330</f>
        <v>C</v>
      </c>
      <c r="G1971" s="4" t="s">
        <v>500</v>
      </c>
      <c r="H1971" s="19">
        <f>Fact_Defect_Split!H330</f>
        <v>0</v>
      </c>
    </row>
    <row r="1972" spans="1:8" x14ac:dyDescent="0.25">
      <c r="A1972" s="18" t="s">
        <v>2953</v>
      </c>
      <c r="B1972" s="4">
        <f>Fact_Defect_Split!B330</f>
        <v>20260702</v>
      </c>
      <c r="C1972" s="4">
        <f>Fact_Defect_Split!C330</f>
        <v>22</v>
      </c>
      <c r="D1972" s="4" t="str">
        <f>Fact_Defect_Split!D330</f>
        <v>M7</v>
      </c>
      <c r="E1972" s="4" t="str">
        <f>Fact_Defect_Split!E330</f>
        <v>B-PM</v>
      </c>
      <c r="F1972" s="4" t="str">
        <f>Fact_Defect_Split!F330</f>
        <v>C</v>
      </c>
      <c r="G1972" s="4" t="s">
        <v>517</v>
      </c>
      <c r="H1972" s="19">
        <f>Fact_Defect_Split!I330</f>
        <v>0</v>
      </c>
    </row>
    <row r="1973" spans="1:8" x14ac:dyDescent="0.25">
      <c r="A1973" s="18" t="s">
        <v>2954</v>
      </c>
      <c r="B1973" s="4">
        <f>Fact_Defect_Split!B330</f>
        <v>20260702</v>
      </c>
      <c r="C1973" s="4">
        <f>Fact_Defect_Split!C330</f>
        <v>22</v>
      </c>
      <c r="D1973" s="4" t="str">
        <f>Fact_Defect_Split!D330</f>
        <v>M7</v>
      </c>
      <c r="E1973" s="4" t="str">
        <f>Fact_Defect_Split!E330</f>
        <v>B-PM</v>
      </c>
      <c r="F1973" s="4" t="str">
        <f>Fact_Defect_Split!F330</f>
        <v>C</v>
      </c>
      <c r="G1973" s="4" t="s">
        <v>503</v>
      </c>
      <c r="H1973" s="19">
        <f>Fact_Defect_Split!J330</f>
        <v>1</v>
      </c>
    </row>
    <row r="1974" spans="1:8" x14ac:dyDescent="0.25">
      <c r="A1974" s="18" t="s">
        <v>2955</v>
      </c>
      <c r="B1974" s="4">
        <f>Fact_Defect_Split!B330</f>
        <v>20260702</v>
      </c>
      <c r="C1974" s="4">
        <f>Fact_Defect_Split!C330</f>
        <v>22</v>
      </c>
      <c r="D1974" s="4" t="str">
        <f>Fact_Defect_Split!D330</f>
        <v>M7</v>
      </c>
      <c r="E1974" s="4" t="str">
        <f>Fact_Defect_Split!E330</f>
        <v>B-PM</v>
      </c>
      <c r="F1974" s="4" t="str">
        <f>Fact_Defect_Split!F330</f>
        <v>C</v>
      </c>
      <c r="G1974" s="4" t="s">
        <v>509</v>
      </c>
      <c r="H1974" s="19">
        <f>Fact_Defect_Split!K330</f>
        <v>1</v>
      </c>
    </row>
    <row r="1975" spans="1:8" x14ac:dyDescent="0.25">
      <c r="A1975" s="18" t="s">
        <v>2956</v>
      </c>
      <c r="B1975" s="4">
        <f>Fact_Defect_Split!B330</f>
        <v>20260702</v>
      </c>
      <c r="C1975" s="4">
        <f>Fact_Defect_Split!C330</f>
        <v>22</v>
      </c>
      <c r="D1975" s="4" t="str">
        <f>Fact_Defect_Split!D330</f>
        <v>M7</v>
      </c>
      <c r="E1975" s="4" t="str">
        <f>Fact_Defect_Split!E330</f>
        <v>B-PM</v>
      </c>
      <c r="F1975" s="4" t="str">
        <f>Fact_Defect_Split!F330</f>
        <v>C</v>
      </c>
      <c r="G1975" s="4" t="s">
        <v>520</v>
      </c>
      <c r="H1975" s="19">
        <f>Fact_Defect_Split!L330</f>
        <v>1</v>
      </c>
    </row>
    <row r="1976" spans="1:8" x14ac:dyDescent="0.25">
      <c r="A1976" s="18" t="s">
        <v>2957</v>
      </c>
      <c r="B1976" s="4">
        <f>Fact_Defect_Split!B331</f>
        <v>20260702</v>
      </c>
      <c r="C1976" s="4">
        <f>Fact_Defect_Split!C331</f>
        <v>23</v>
      </c>
      <c r="D1976" s="4" t="str">
        <f>Fact_Defect_Split!D331</f>
        <v>M1</v>
      </c>
      <c r="E1976" s="4" t="str">
        <f>Fact_Defect_Split!E331</f>
        <v>B-PM</v>
      </c>
      <c r="F1976" s="4" t="str">
        <f>Fact_Defect_Split!F331</f>
        <v>B</v>
      </c>
      <c r="G1976" s="4" t="s">
        <v>498</v>
      </c>
      <c r="H1976" s="19">
        <f>Fact_Defect_Split!G331</f>
        <v>0</v>
      </c>
    </row>
    <row r="1977" spans="1:8" x14ac:dyDescent="0.25">
      <c r="A1977" s="18" t="s">
        <v>2958</v>
      </c>
      <c r="B1977" s="4">
        <f>Fact_Defect_Split!B331</f>
        <v>20260702</v>
      </c>
      <c r="C1977" s="4">
        <f>Fact_Defect_Split!C331</f>
        <v>23</v>
      </c>
      <c r="D1977" s="4" t="str">
        <f>Fact_Defect_Split!D331</f>
        <v>M1</v>
      </c>
      <c r="E1977" s="4" t="str">
        <f>Fact_Defect_Split!E331</f>
        <v>B-PM</v>
      </c>
      <c r="F1977" s="4" t="str">
        <f>Fact_Defect_Split!F331</f>
        <v>B</v>
      </c>
      <c r="G1977" s="4" t="s">
        <v>500</v>
      </c>
      <c r="H1977" s="19">
        <f>Fact_Defect_Split!H331</f>
        <v>0</v>
      </c>
    </row>
    <row r="1978" spans="1:8" x14ac:dyDescent="0.25">
      <c r="A1978" s="18" t="s">
        <v>2959</v>
      </c>
      <c r="B1978" s="4">
        <f>Fact_Defect_Split!B331</f>
        <v>20260702</v>
      </c>
      <c r="C1978" s="4">
        <f>Fact_Defect_Split!C331</f>
        <v>23</v>
      </c>
      <c r="D1978" s="4" t="str">
        <f>Fact_Defect_Split!D331</f>
        <v>M1</v>
      </c>
      <c r="E1978" s="4" t="str">
        <f>Fact_Defect_Split!E331</f>
        <v>B-PM</v>
      </c>
      <c r="F1978" s="4" t="str">
        <f>Fact_Defect_Split!F331</f>
        <v>B</v>
      </c>
      <c r="G1978" s="4" t="s">
        <v>517</v>
      </c>
      <c r="H1978" s="19">
        <f>Fact_Defect_Split!I331</f>
        <v>0</v>
      </c>
    </row>
    <row r="1979" spans="1:8" x14ac:dyDescent="0.25">
      <c r="A1979" s="18" t="s">
        <v>2960</v>
      </c>
      <c r="B1979" s="4">
        <f>Fact_Defect_Split!B331</f>
        <v>20260702</v>
      </c>
      <c r="C1979" s="4">
        <f>Fact_Defect_Split!C331</f>
        <v>23</v>
      </c>
      <c r="D1979" s="4" t="str">
        <f>Fact_Defect_Split!D331</f>
        <v>M1</v>
      </c>
      <c r="E1979" s="4" t="str">
        <f>Fact_Defect_Split!E331</f>
        <v>B-PM</v>
      </c>
      <c r="F1979" s="4" t="str">
        <f>Fact_Defect_Split!F331</f>
        <v>B</v>
      </c>
      <c r="G1979" s="4" t="s">
        <v>503</v>
      </c>
      <c r="H1979" s="19">
        <f>Fact_Defect_Split!J331</f>
        <v>1</v>
      </c>
    </row>
    <row r="1980" spans="1:8" x14ac:dyDescent="0.25">
      <c r="A1980" s="18" t="s">
        <v>2961</v>
      </c>
      <c r="B1980" s="4">
        <f>Fact_Defect_Split!B331</f>
        <v>20260702</v>
      </c>
      <c r="C1980" s="4">
        <f>Fact_Defect_Split!C331</f>
        <v>23</v>
      </c>
      <c r="D1980" s="4" t="str">
        <f>Fact_Defect_Split!D331</f>
        <v>M1</v>
      </c>
      <c r="E1980" s="4" t="str">
        <f>Fact_Defect_Split!E331</f>
        <v>B-PM</v>
      </c>
      <c r="F1980" s="4" t="str">
        <f>Fact_Defect_Split!F331</f>
        <v>B</v>
      </c>
      <c r="G1980" s="4" t="s">
        <v>509</v>
      </c>
      <c r="H1980" s="19">
        <f>Fact_Defect_Split!K331</f>
        <v>1</v>
      </c>
    </row>
    <row r="1981" spans="1:8" x14ac:dyDescent="0.25">
      <c r="A1981" s="18" t="s">
        <v>2962</v>
      </c>
      <c r="B1981" s="4">
        <f>Fact_Defect_Split!B331</f>
        <v>20260702</v>
      </c>
      <c r="C1981" s="4">
        <f>Fact_Defect_Split!C331</f>
        <v>23</v>
      </c>
      <c r="D1981" s="4" t="str">
        <f>Fact_Defect_Split!D331</f>
        <v>M1</v>
      </c>
      <c r="E1981" s="4" t="str">
        <f>Fact_Defect_Split!E331</f>
        <v>B-PM</v>
      </c>
      <c r="F1981" s="4" t="str">
        <f>Fact_Defect_Split!F331</f>
        <v>B</v>
      </c>
      <c r="G1981" s="4" t="s">
        <v>520</v>
      </c>
      <c r="H1981" s="19">
        <f>Fact_Defect_Split!L331</f>
        <v>0</v>
      </c>
    </row>
    <row r="1982" spans="1:8" x14ac:dyDescent="0.25">
      <c r="A1982" s="18" t="s">
        <v>2963</v>
      </c>
      <c r="B1982" s="4">
        <f>Fact_Defect_Split!B332</f>
        <v>20260702</v>
      </c>
      <c r="C1982" s="4">
        <f>Fact_Defect_Split!C332</f>
        <v>23</v>
      </c>
      <c r="D1982" s="4" t="str">
        <f>Fact_Defect_Split!D332</f>
        <v>M2</v>
      </c>
      <c r="E1982" s="4" t="str">
        <f>Fact_Defect_Split!E332</f>
        <v>B-PM</v>
      </c>
      <c r="F1982" s="4" t="str">
        <f>Fact_Defect_Split!F332</f>
        <v>A</v>
      </c>
      <c r="G1982" s="4" t="s">
        <v>498</v>
      </c>
      <c r="H1982" s="19">
        <f>Fact_Defect_Split!G332</f>
        <v>0</v>
      </c>
    </row>
    <row r="1983" spans="1:8" x14ac:dyDescent="0.25">
      <c r="A1983" s="18" t="s">
        <v>2964</v>
      </c>
      <c r="B1983" s="4">
        <f>Fact_Defect_Split!B332</f>
        <v>20260702</v>
      </c>
      <c r="C1983" s="4">
        <f>Fact_Defect_Split!C332</f>
        <v>23</v>
      </c>
      <c r="D1983" s="4" t="str">
        <f>Fact_Defect_Split!D332</f>
        <v>M2</v>
      </c>
      <c r="E1983" s="4" t="str">
        <f>Fact_Defect_Split!E332</f>
        <v>B-PM</v>
      </c>
      <c r="F1983" s="4" t="str">
        <f>Fact_Defect_Split!F332</f>
        <v>A</v>
      </c>
      <c r="G1983" s="4" t="s">
        <v>500</v>
      </c>
      <c r="H1983" s="19">
        <f>Fact_Defect_Split!H332</f>
        <v>0</v>
      </c>
    </row>
    <row r="1984" spans="1:8" x14ac:dyDescent="0.25">
      <c r="A1984" s="18" t="s">
        <v>2965</v>
      </c>
      <c r="B1984" s="4">
        <f>Fact_Defect_Split!B332</f>
        <v>20260702</v>
      </c>
      <c r="C1984" s="4">
        <f>Fact_Defect_Split!C332</f>
        <v>23</v>
      </c>
      <c r="D1984" s="4" t="str">
        <f>Fact_Defect_Split!D332</f>
        <v>M2</v>
      </c>
      <c r="E1984" s="4" t="str">
        <f>Fact_Defect_Split!E332</f>
        <v>B-PM</v>
      </c>
      <c r="F1984" s="4" t="str">
        <f>Fact_Defect_Split!F332</f>
        <v>A</v>
      </c>
      <c r="G1984" s="4" t="s">
        <v>517</v>
      </c>
      <c r="H1984" s="19">
        <f>Fact_Defect_Split!I332</f>
        <v>0</v>
      </c>
    </row>
    <row r="1985" spans="1:8" x14ac:dyDescent="0.25">
      <c r="A1985" s="18" t="s">
        <v>2966</v>
      </c>
      <c r="B1985" s="4">
        <f>Fact_Defect_Split!B332</f>
        <v>20260702</v>
      </c>
      <c r="C1985" s="4">
        <f>Fact_Defect_Split!C332</f>
        <v>23</v>
      </c>
      <c r="D1985" s="4" t="str">
        <f>Fact_Defect_Split!D332</f>
        <v>M2</v>
      </c>
      <c r="E1985" s="4" t="str">
        <f>Fact_Defect_Split!E332</f>
        <v>B-PM</v>
      </c>
      <c r="F1985" s="4" t="str">
        <f>Fact_Defect_Split!F332</f>
        <v>A</v>
      </c>
      <c r="G1985" s="4" t="s">
        <v>503</v>
      </c>
      <c r="H1985" s="19">
        <f>Fact_Defect_Split!J332</f>
        <v>0</v>
      </c>
    </row>
    <row r="1986" spans="1:8" x14ac:dyDescent="0.25">
      <c r="A1986" s="18" t="s">
        <v>2967</v>
      </c>
      <c r="B1986" s="4">
        <f>Fact_Defect_Split!B332</f>
        <v>20260702</v>
      </c>
      <c r="C1986" s="4">
        <f>Fact_Defect_Split!C332</f>
        <v>23</v>
      </c>
      <c r="D1986" s="4" t="str">
        <f>Fact_Defect_Split!D332</f>
        <v>M2</v>
      </c>
      <c r="E1986" s="4" t="str">
        <f>Fact_Defect_Split!E332</f>
        <v>B-PM</v>
      </c>
      <c r="F1986" s="4" t="str">
        <f>Fact_Defect_Split!F332</f>
        <v>A</v>
      </c>
      <c r="G1986" s="4" t="s">
        <v>509</v>
      </c>
      <c r="H1986" s="19">
        <f>Fact_Defect_Split!K332</f>
        <v>1</v>
      </c>
    </row>
    <row r="1987" spans="1:8" x14ac:dyDescent="0.25">
      <c r="A1987" s="18" t="s">
        <v>2968</v>
      </c>
      <c r="B1987" s="4">
        <f>Fact_Defect_Split!B332</f>
        <v>20260702</v>
      </c>
      <c r="C1987" s="4">
        <f>Fact_Defect_Split!C332</f>
        <v>23</v>
      </c>
      <c r="D1987" s="4" t="str">
        <f>Fact_Defect_Split!D332</f>
        <v>M2</v>
      </c>
      <c r="E1987" s="4" t="str">
        <f>Fact_Defect_Split!E332</f>
        <v>B-PM</v>
      </c>
      <c r="F1987" s="4" t="str">
        <f>Fact_Defect_Split!F332</f>
        <v>A</v>
      </c>
      <c r="G1987" s="4" t="s">
        <v>520</v>
      </c>
      <c r="H1987" s="19">
        <f>Fact_Defect_Split!L332</f>
        <v>0</v>
      </c>
    </row>
    <row r="1988" spans="1:8" x14ac:dyDescent="0.25">
      <c r="A1988" s="18" t="s">
        <v>2969</v>
      </c>
      <c r="B1988" s="4">
        <f>Fact_Defect_Split!B333</f>
        <v>20260702</v>
      </c>
      <c r="C1988" s="4">
        <f>Fact_Defect_Split!C333</f>
        <v>23</v>
      </c>
      <c r="D1988" s="4" t="str">
        <f>Fact_Defect_Split!D333</f>
        <v>M3</v>
      </c>
      <c r="E1988" s="4" t="str">
        <f>Fact_Defect_Split!E333</f>
        <v>B-PM</v>
      </c>
      <c r="F1988" s="4" t="str">
        <f>Fact_Defect_Split!F333</f>
        <v>A</v>
      </c>
      <c r="G1988" s="4" t="s">
        <v>498</v>
      </c>
      <c r="H1988" s="19">
        <f>Fact_Defect_Split!G333</f>
        <v>0</v>
      </c>
    </row>
    <row r="1989" spans="1:8" x14ac:dyDescent="0.25">
      <c r="A1989" s="18" t="s">
        <v>2970</v>
      </c>
      <c r="B1989" s="4">
        <f>Fact_Defect_Split!B333</f>
        <v>20260702</v>
      </c>
      <c r="C1989" s="4">
        <f>Fact_Defect_Split!C333</f>
        <v>23</v>
      </c>
      <c r="D1989" s="4" t="str">
        <f>Fact_Defect_Split!D333</f>
        <v>M3</v>
      </c>
      <c r="E1989" s="4" t="str">
        <f>Fact_Defect_Split!E333</f>
        <v>B-PM</v>
      </c>
      <c r="F1989" s="4" t="str">
        <f>Fact_Defect_Split!F333</f>
        <v>A</v>
      </c>
      <c r="G1989" s="4" t="s">
        <v>500</v>
      </c>
      <c r="H1989" s="19">
        <f>Fact_Defect_Split!H333</f>
        <v>0</v>
      </c>
    </row>
    <row r="1990" spans="1:8" x14ac:dyDescent="0.25">
      <c r="A1990" s="18" t="s">
        <v>2971</v>
      </c>
      <c r="B1990" s="4">
        <f>Fact_Defect_Split!B333</f>
        <v>20260702</v>
      </c>
      <c r="C1990" s="4">
        <f>Fact_Defect_Split!C333</f>
        <v>23</v>
      </c>
      <c r="D1990" s="4" t="str">
        <f>Fact_Defect_Split!D333</f>
        <v>M3</v>
      </c>
      <c r="E1990" s="4" t="str">
        <f>Fact_Defect_Split!E333</f>
        <v>B-PM</v>
      </c>
      <c r="F1990" s="4" t="str">
        <f>Fact_Defect_Split!F333</f>
        <v>A</v>
      </c>
      <c r="G1990" s="4" t="s">
        <v>517</v>
      </c>
      <c r="H1990" s="19">
        <f>Fact_Defect_Split!I333</f>
        <v>0</v>
      </c>
    </row>
    <row r="1991" spans="1:8" x14ac:dyDescent="0.25">
      <c r="A1991" s="18" t="s">
        <v>2972</v>
      </c>
      <c r="B1991" s="4">
        <f>Fact_Defect_Split!B333</f>
        <v>20260702</v>
      </c>
      <c r="C1991" s="4">
        <f>Fact_Defect_Split!C333</f>
        <v>23</v>
      </c>
      <c r="D1991" s="4" t="str">
        <f>Fact_Defect_Split!D333</f>
        <v>M3</v>
      </c>
      <c r="E1991" s="4" t="str">
        <f>Fact_Defect_Split!E333</f>
        <v>B-PM</v>
      </c>
      <c r="F1991" s="4" t="str">
        <f>Fact_Defect_Split!F333</f>
        <v>A</v>
      </c>
      <c r="G1991" s="4" t="s">
        <v>503</v>
      </c>
      <c r="H1991" s="19">
        <f>Fact_Defect_Split!J333</f>
        <v>0</v>
      </c>
    </row>
    <row r="1992" spans="1:8" x14ac:dyDescent="0.25">
      <c r="A1992" s="18" t="s">
        <v>2973</v>
      </c>
      <c r="B1992" s="4">
        <f>Fact_Defect_Split!B333</f>
        <v>20260702</v>
      </c>
      <c r="C1992" s="4">
        <f>Fact_Defect_Split!C333</f>
        <v>23</v>
      </c>
      <c r="D1992" s="4" t="str">
        <f>Fact_Defect_Split!D333</f>
        <v>M3</v>
      </c>
      <c r="E1992" s="4" t="str">
        <f>Fact_Defect_Split!E333</f>
        <v>B-PM</v>
      </c>
      <c r="F1992" s="4" t="str">
        <f>Fact_Defect_Split!F333</f>
        <v>A</v>
      </c>
      <c r="G1992" s="4" t="s">
        <v>509</v>
      </c>
      <c r="H1992" s="19">
        <f>Fact_Defect_Split!K333</f>
        <v>1</v>
      </c>
    </row>
    <row r="1993" spans="1:8" x14ac:dyDescent="0.25">
      <c r="A1993" s="18" t="s">
        <v>2974</v>
      </c>
      <c r="B1993" s="4">
        <f>Fact_Defect_Split!B333</f>
        <v>20260702</v>
      </c>
      <c r="C1993" s="4">
        <f>Fact_Defect_Split!C333</f>
        <v>23</v>
      </c>
      <c r="D1993" s="4" t="str">
        <f>Fact_Defect_Split!D333</f>
        <v>M3</v>
      </c>
      <c r="E1993" s="4" t="str">
        <f>Fact_Defect_Split!E333</f>
        <v>B-PM</v>
      </c>
      <c r="F1993" s="4" t="str">
        <f>Fact_Defect_Split!F333</f>
        <v>A</v>
      </c>
      <c r="G1993" s="4" t="s">
        <v>520</v>
      </c>
      <c r="H1993" s="19">
        <f>Fact_Defect_Split!L333</f>
        <v>0</v>
      </c>
    </row>
    <row r="1994" spans="1:8" x14ac:dyDescent="0.25">
      <c r="A1994" s="18" t="s">
        <v>2975</v>
      </c>
      <c r="B1994" s="4">
        <f>Fact_Defect_Split!B334</f>
        <v>20260702</v>
      </c>
      <c r="C1994" s="4">
        <f>Fact_Defect_Split!C334</f>
        <v>23</v>
      </c>
      <c r="D1994" s="4" t="str">
        <f>Fact_Defect_Split!D334</f>
        <v>M4</v>
      </c>
      <c r="E1994" s="4" t="str">
        <f>Fact_Defect_Split!E334</f>
        <v>B-PM</v>
      </c>
      <c r="F1994" s="4" t="str">
        <f>Fact_Defect_Split!F334</f>
        <v>C</v>
      </c>
      <c r="G1994" s="4" t="s">
        <v>498</v>
      </c>
      <c r="H1994" s="19">
        <f>Fact_Defect_Split!G334</f>
        <v>0</v>
      </c>
    </row>
    <row r="1995" spans="1:8" x14ac:dyDescent="0.25">
      <c r="A1995" s="18" t="s">
        <v>2976</v>
      </c>
      <c r="B1995" s="4">
        <f>Fact_Defect_Split!B334</f>
        <v>20260702</v>
      </c>
      <c r="C1995" s="4">
        <f>Fact_Defect_Split!C334</f>
        <v>23</v>
      </c>
      <c r="D1995" s="4" t="str">
        <f>Fact_Defect_Split!D334</f>
        <v>M4</v>
      </c>
      <c r="E1995" s="4" t="str">
        <f>Fact_Defect_Split!E334</f>
        <v>B-PM</v>
      </c>
      <c r="F1995" s="4" t="str">
        <f>Fact_Defect_Split!F334</f>
        <v>C</v>
      </c>
      <c r="G1995" s="4" t="s">
        <v>500</v>
      </c>
      <c r="H1995" s="19">
        <f>Fact_Defect_Split!H334</f>
        <v>0</v>
      </c>
    </row>
    <row r="1996" spans="1:8" x14ac:dyDescent="0.25">
      <c r="A1996" s="18" t="s">
        <v>2977</v>
      </c>
      <c r="B1996" s="4">
        <f>Fact_Defect_Split!B334</f>
        <v>20260702</v>
      </c>
      <c r="C1996" s="4">
        <f>Fact_Defect_Split!C334</f>
        <v>23</v>
      </c>
      <c r="D1996" s="4" t="str">
        <f>Fact_Defect_Split!D334</f>
        <v>M4</v>
      </c>
      <c r="E1996" s="4" t="str">
        <f>Fact_Defect_Split!E334</f>
        <v>B-PM</v>
      </c>
      <c r="F1996" s="4" t="str">
        <f>Fact_Defect_Split!F334</f>
        <v>C</v>
      </c>
      <c r="G1996" s="4" t="s">
        <v>517</v>
      </c>
      <c r="H1996" s="19">
        <f>Fact_Defect_Split!I334</f>
        <v>0</v>
      </c>
    </row>
    <row r="1997" spans="1:8" x14ac:dyDescent="0.25">
      <c r="A1997" s="18" t="s">
        <v>2978</v>
      </c>
      <c r="B1997" s="4">
        <f>Fact_Defect_Split!B334</f>
        <v>20260702</v>
      </c>
      <c r="C1997" s="4">
        <f>Fact_Defect_Split!C334</f>
        <v>23</v>
      </c>
      <c r="D1997" s="4" t="str">
        <f>Fact_Defect_Split!D334</f>
        <v>M4</v>
      </c>
      <c r="E1997" s="4" t="str">
        <f>Fact_Defect_Split!E334</f>
        <v>B-PM</v>
      </c>
      <c r="F1997" s="4" t="str">
        <f>Fact_Defect_Split!F334</f>
        <v>C</v>
      </c>
      <c r="G1997" s="4" t="s">
        <v>503</v>
      </c>
      <c r="H1997" s="19">
        <f>Fact_Defect_Split!J334</f>
        <v>0</v>
      </c>
    </row>
    <row r="1998" spans="1:8" x14ac:dyDescent="0.25">
      <c r="A1998" s="18" t="s">
        <v>2979</v>
      </c>
      <c r="B1998" s="4">
        <f>Fact_Defect_Split!B334</f>
        <v>20260702</v>
      </c>
      <c r="C1998" s="4">
        <f>Fact_Defect_Split!C334</f>
        <v>23</v>
      </c>
      <c r="D1998" s="4" t="str">
        <f>Fact_Defect_Split!D334</f>
        <v>M4</v>
      </c>
      <c r="E1998" s="4" t="str">
        <f>Fact_Defect_Split!E334</f>
        <v>B-PM</v>
      </c>
      <c r="F1998" s="4" t="str">
        <f>Fact_Defect_Split!F334</f>
        <v>C</v>
      </c>
      <c r="G1998" s="4" t="s">
        <v>509</v>
      </c>
      <c r="H1998" s="19">
        <f>Fact_Defect_Split!K334</f>
        <v>1</v>
      </c>
    </row>
    <row r="1999" spans="1:8" x14ac:dyDescent="0.25">
      <c r="A1999" s="18" t="s">
        <v>2980</v>
      </c>
      <c r="B1999" s="4">
        <f>Fact_Defect_Split!B334</f>
        <v>20260702</v>
      </c>
      <c r="C1999" s="4">
        <f>Fact_Defect_Split!C334</f>
        <v>23</v>
      </c>
      <c r="D1999" s="4" t="str">
        <f>Fact_Defect_Split!D334</f>
        <v>M4</v>
      </c>
      <c r="E1999" s="4" t="str">
        <f>Fact_Defect_Split!E334</f>
        <v>B-PM</v>
      </c>
      <c r="F1999" s="4" t="str">
        <f>Fact_Defect_Split!F334</f>
        <v>C</v>
      </c>
      <c r="G1999" s="4" t="s">
        <v>520</v>
      </c>
      <c r="H1999" s="19">
        <f>Fact_Defect_Split!L334</f>
        <v>0</v>
      </c>
    </row>
    <row r="2000" spans="1:8" x14ac:dyDescent="0.25">
      <c r="A2000" s="18" t="s">
        <v>2981</v>
      </c>
      <c r="B2000" s="4">
        <f>Fact_Defect_Split!B335</f>
        <v>20260702</v>
      </c>
      <c r="C2000" s="4">
        <f>Fact_Defect_Split!C335</f>
        <v>23</v>
      </c>
      <c r="D2000" s="4" t="str">
        <f>Fact_Defect_Split!D335</f>
        <v>M5</v>
      </c>
      <c r="E2000" s="4" t="str">
        <f>Fact_Defect_Split!E335</f>
        <v>B-PM</v>
      </c>
      <c r="F2000" s="4" t="str">
        <f>Fact_Defect_Split!F335</f>
        <v>A</v>
      </c>
      <c r="G2000" s="4" t="s">
        <v>498</v>
      </c>
      <c r="H2000" s="19">
        <f>Fact_Defect_Split!G335</f>
        <v>0</v>
      </c>
    </row>
    <row r="2001" spans="1:8" x14ac:dyDescent="0.25">
      <c r="A2001" s="18" t="s">
        <v>2982</v>
      </c>
      <c r="B2001" s="4">
        <f>Fact_Defect_Split!B335</f>
        <v>20260702</v>
      </c>
      <c r="C2001" s="4">
        <f>Fact_Defect_Split!C335</f>
        <v>23</v>
      </c>
      <c r="D2001" s="4" t="str">
        <f>Fact_Defect_Split!D335</f>
        <v>M5</v>
      </c>
      <c r="E2001" s="4" t="str">
        <f>Fact_Defect_Split!E335</f>
        <v>B-PM</v>
      </c>
      <c r="F2001" s="4" t="str">
        <f>Fact_Defect_Split!F335</f>
        <v>A</v>
      </c>
      <c r="G2001" s="4" t="s">
        <v>500</v>
      </c>
      <c r="H2001" s="19">
        <f>Fact_Defect_Split!H335</f>
        <v>0</v>
      </c>
    </row>
    <row r="2002" spans="1:8" x14ac:dyDescent="0.25">
      <c r="A2002" s="18" t="s">
        <v>2983</v>
      </c>
      <c r="B2002" s="4">
        <f>Fact_Defect_Split!B335</f>
        <v>20260702</v>
      </c>
      <c r="C2002" s="4">
        <f>Fact_Defect_Split!C335</f>
        <v>23</v>
      </c>
      <c r="D2002" s="4" t="str">
        <f>Fact_Defect_Split!D335</f>
        <v>M5</v>
      </c>
      <c r="E2002" s="4" t="str">
        <f>Fact_Defect_Split!E335</f>
        <v>B-PM</v>
      </c>
      <c r="F2002" s="4" t="str">
        <f>Fact_Defect_Split!F335</f>
        <v>A</v>
      </c>
      <c r="G2002" s="4" t="s">
        <v>517</v>
      </c>
      <c r="H2002" s="19">
        <f>Fact_Defect_Split!I335</f>
        <v>0</v>
      </c>
    </row>
    <row r="2003" spans="1:8" x14ac:dyDescent="0.25">
      <c r="A2003" s="18" t="s">
        <v>2984</v>
      </c>
      <c r="B2003" s="4">
        <f>Fact_Defect_Split!B335</f>
        <v>20260702</v>
      </c>
      <c r="C2003" s="4">
        <f>Fact_Defect_Split!C335</f>
        <v>23</v>
      </c>
      <c r="D2003" s="4" t="str">
        <f>Fact_Defect_Split!D335</f>
        <v>M5</v>
      </c>
      <c r="E2003" s="4" t="str">
        <f>Fact_Defect_Split!E335</f>
        <v>B-PM</v>
      </c>
      <c r="F2003" s="4" t="str">
        <f>Fact_Defect_Split!F335</f>
        <v>A</v>
      </c>
      <c r="G2003" s="4" t="s">
        <v>503</v>
      </c>
      <c r="H2003" s="19">
        <f>Fact_Defect_Split!J335</f>
        <v>0</v>
      </c>
    </row>
    <row r="2004" spans="1:8" x14ac:dyDescent="0.25">
      <c r="A2004" s="18" t="s">
        <v>2985</v>
      </c>
      <c r="B2004" s="4">
        <f>Fact_Defect_Split!B335</f>
        <v>20260702</v>
      </c>
      <c r="C2004" s="4">
        <f>Fact_Defect_Split!C335</f>
        <v>23</v>
      </c>
      <c r="D2004" s="4" t="str">
        <f>Fact_Defect_Split!D335</f>
        <v>M5</v>
      </c>
      <c r="E2004" s="4" t="str">
        <f>Fact_Defect_Split!E335</f>
        <v>B-PM</v>
      </c>
      <c r="F2004" s="4" t="str">
        <f>Fact_Defect_Split!F335</f>
        <v>A</v>
      </c>
      <c r="G2004" s="4" t="s">
        <v>509</v>
      </c>
      <c r="H2004" s="19">
        <f>Fact_Defect_Split!K335</f>
        <v>0</v>
      </c>
    </row>
    <row r="2005" spans="1:8" x14ac:dyDescent="0.25">
      <c r="A2005" s="18" t="s">
        <v>2986</v>
      </c>
      <c r="B2005" s="4">
        <f>Fact_Defect_Split!B335</f>
        <v>20260702</v>
      </c>
      <c r="C2005" s="4">
        <f>Fact_Defect_Split!C335</f>
        <v>23</v>
      </c>
      <c r="D2005" s="4" t="str">
        <f>Fact_Defect_Split!D335</f>
        <v>M5</v>
      </c>
      <c r="E2005" s="4" t="str">
        <f>Fact_Defect_Split!E335</f>
        <v>B-PM</v>
      </c>
      <c r="F2005" s="4" t="str">
        <f>Fact_Defect_Split!F335</f>
        <v>A</v>
      </c>
      <c r="G2005" s="4" t="s">
        <v>520</v>
      </c>
      <c r="H2005" s="19">
        <f>Fact_Defect_Split!L335</f>
        <v>1</v>
      </c>
    </row>
    <row r="2006" spans="1:8" x14ac:dyDescent="0.25">
      <c r="A2006" s="18" t="s">
        <v>2987</v>
      </c>
      <c r="B2006" s="4">
        <f>Fact_Defect_Split!B336</f>
        <v>20260702</v>
      </c>
      <c r="C2006" s="4">
        <f>Fact_Defect_Split!C336</f>
        <v>23</v>
      </c>
      <c r="D2006" s="4" t="str">
        <f>Fact_Defect_Split!D336</f>
        <v>M6</v>
      </c>
      <c r="E2006" s="4" t="str">
        <f>Fact_Defect_Split!E336</f>
        <v>B-PM</v>
      </c>
      <c r="F2006" s="4" t="str">
        <f>Fact_Defect_Split!F336</f>
        <v>A</v>
      </c>
      <c r="G2006" s="4" t="s">
        <v>498</v>
      </c>
      <c r="H2006" s="19">
        <f>Fact_Defect_Split!G336</f>
        <v>0</v>
      </c>
    </row>
    <row r="2007" spans="1:8" x14ac:dyDescent="0.25">
      <c r="A2007" s="18" t="s">
        <v>2988</v>
      </c>
      <c r="B2007" s="4">
        <f>Fact_Defect_Split!B336</f>
        <v>20260702</v>
      </c>
      <c r="C2007" s="4">
        <f>Fact_Defect_Split!C336</f>
        <v>23</v>
      </c>
      <c r="D2007" s="4" t="str">
        <f>Fact_Defect_Split!D336</f>
        <v>M6</v>
      </c>
      <c r="E2007" s="4" t="str">
        <f>Fact_Defect_Split!E336</f>
        <v>B-PM</v>
      </c>
      <c r="F2007" s="4" t="str">
        <f>Fact_Defect_Split!F336</f>
        <v>A</v>
      </c>
      <c r="G2007" s="4" t="s">
        <v>500</v>
      </c>
      <c r="H2007" s="19">
        <f>Fact_Defect_Split!H336</f>
        <v>0</v>
      </c>
    </row>
    <row r="2008" spans="1:8" x14ac:dyDescent="0.25">
      <c r="A2008" s="18" t="s">
        <v>2989</v>
      </c>
      <c r="B2008" s="4">
        <f>Fact_Defect_Split!B336</f>
        <v>20260702</v>
      </c>
      <c r="C2008" s="4">
        <f>Fact_Defect_Split!C336</f>
        <v>23</v>
      </c>
      <c r="D2008" s="4" t="str">
        <f>Fact_Defect_Split!D336</f>
        <v>M6</v>
      </c>
      <c r="E2008" s="4" t="str">
        <f>Fact_Defect_Split!E336</f>
        <v>B-PM</v>
      </c>
      <c r="F2008" s="4" t="str">
        <f>Fact_Defect_Split!F336</f>
        <v>A</v>
      </c>
      <c r="G2008" s="4" t="s">
        <v>517</v>
      </c>
      <c r="H2008" s="19">
        <f>Fact_Defect_Split!I336</f>
        <v>0</v>
      </c>
    </row>
    <row r="2009" spans="1:8" x14ac:dyDescent="0.25">
      <c r="A2009" s="18" t="s">
        <v>2990</v>
      </c>
      <c r="B2009" s="4">
        <f>Fact_Defect_Split!B336</f>
        <v>20260702</v>
      </c>
      <c r="C2009" s="4">
        <f>Fact_Defect_Split!C336</f>
        <v>23</v>
      </c>
      <c r="D2009" s="4" t="str">
        <f>Fact_Defect_Split!D336</f>
        <v>M6</v>
      </c>
      <c r="E2009" s="4" t="str">
        <f>Fact_Defect_Split!E336</f>
        <v>B-PM</v>
      </c>
      <c r="F2009" s="4" t="str">
        <f>Fact_Defect_Split!F336</f>
        <v>A</v>
      </c>
      <c r="G2009" s="4" t="s">
        <v>503</v>
      </c>
      <c r="H2009" s="19">
        <f>Fact_Defect_Split!J336</f>
        <v>0</v>
      </c>
    </row>
    <row r="2010" spans="1:8" x14ac:dyDescent="0.25">
      <c r="A2010" s="18" t="s">
        <v>2991</v>
      </c>
      <c r="B2010" s="4">
        <f>Fact_Defect_Split!B336</f>
        <v>20260702</v>
      </c>
      <c r="C2010" s="4">
        <f>Fact_Defect_Split!C336</f>
        <v>23</v>
      </c>
      <c r="D2010" s="4" t="str">
        <f>Fact_Defect_Split!D336</f>
        <v>M6</v>
      </c>
      <c r="E2010" s="4" t="str">
        <f>Fact_Defect_Split!E336</f>
        <v>B-PM</v>
      </c>
      <c r="F2010" s="4" t="str">
        <f>Fact_Defect_Split!F336</f>
        <v>A</v>
      </c>
      <c r="G2010" s="4" t="s">
        <v>509</v>
      </c>
      <c r="H2010" s="19">
        <f>Fact_Defect_Split!K336</f>
        <v>1</v>
      </c>
    </row>
    <row r="2011" spans="1:8" x14ac:dyDescent="0.25">
      <c r="A2011" s="18" t="s">
        <v>2992</v>
      </c>
      <c r="B2011" s="4">
        <f>Fact_Defect_Split!B336</f>
        <v>20260702</v>
      </c>
      <c r="C2011" s="4">
        <f>Fact_Defect_Split!C336</f>
        <v>23</v>
      </c>
      <c r="D2011" s="4" t="str">
        <f>Fact_Defect_Split!D336</f>
        <v>M6</v>
      </c>
      <c r="E2011" s="4" t="str">
        <f>Fact_Defect_Split!E336</f>
        <v>B-PM</v>
      </c>
      <c r="F2011" s="4" t="str">
        <f>Fact_Defect_Split!F336</f>
        <v>A</v>
      </c>
      <c r="G2011" s="4" t="s">
        <v>520</v>
      </c>
      <c r="H2011" s="19">
        <f>Fact_Defect_Split!L336</f>
        <v>0</v>
      </c>
    </row>
    <row r="2012" spans="1:8" x14ac:dyDescent="0.25">
      <c r="A2012" s="18" t="s">
        <v>2993</v>
      </c>
      <c r="B2012" s="4">
        <f>Fact_Defect_Split!B337</f>
        <v>20260702</v>
      </c>
      <c r="C2012" s="4">
        <f>Fact_Defect_Split!C337</f>
        <v>23</v>
      </c>
      <c r="D2012" s="4" t="str">
        <f>Fact_Defect_Split!D337</f>
        <v>M7</v>
      </c>
      <c r="E2012" s="4" t="str">
        <f>Fact_Defect_Split!E337</f>
        <v>B-PM</v>
      </c>
      <c r="F2012" s="4" t="str">
        <f>Fact_Defect_Split!F337</f>
        <v>C</v>
      </c>
      <c r="G2012" s="4" t="s">
        <v>498</v>
      </c>
      <c r="H2012" s="19">
        <f>Fact_Defect_Split!G337</f>
        <v>0</v>
      </c>
    </row>
    <row r="2013" spans="1:8" x14ac:dyDescent="0.25">
      <c r="A2013" s="18" t="s">
        <v>2994</v>
      </c>
      <c r="B2013" s="4">
        <f>Fact_Defect_Split!B337</f>
        <v>20260702</v>
      </c>
      <c r="C2013" s="4">
        <f>Fact_Defect_Split!C337</f>
        <v>23</v>
      </c>
      <c r="D2013" s="4" t="str">
        <f>Fact_Defect_Split!D337</f>
        <v>M7</v>
      </c>
      <c r="E2013" s="4" t="str">
        <f>Fact_Defect_Split!E337</f>
        <v>B-PM</v>
      </c>
      <c r="F2013" s="4" t="str">
        <f>Fact_Defect_Split!F337</f>
        <v>C</v>
      </c>
      <c r="G2013" s="4" t="s">
        <v>500</v>
      </c>
      <c r="H2013" s="19">
        <f>Fact_Defect_Split!H337</f>
        <v>0</v>
      </c>
    </row>
    <row r="2014" spans="1:8" x14ac:dyDescent="0.25">
      <c r="A2014" s="18" t="s">
        <v>2995</v>
      </c>
      <c r="B2014" s="4">
        <f>Fact_Defect_Split!B337</f>
        <v>20260702</v>
      </c>
      <c r="C2014" s="4">
        <f>Fact_Defect_Split!C337</f>
        <v>23</v>
      </c>
      <c r="D2014" s="4" t="str">
        <f>Fact_Defect_Split!D337</f>
        <v>M7</v>
      </c>
      <c r="E2014" s="4" t="str">
        <f>Fact_Defect_Split!E337</f>
        <v>B-PM</v>
      </c>
      <c r="F2014" s="4" t="str">
        <f>Fact_Defect_Split!F337</f>
        <v>C</v>
      </c>
      <c r="G2014" s="4" t="s">
        <v>517</v>
      </c>
      <c r="H2014" s="19">
        <f>Fact_Defect_Split!I337</f>
        <v>0</v>
      </c>
    </row>
    <row r="2015" spans="1:8" x14ac:dyDescent="0.25">
      <c r="A2015" s="18" t="s">
        <v>2996</v>
      </c>
      <c r="B2015" s="4">
        <f>Fact_Defect_Split!B337</f>
        <v>20260702</v>
      </c>
      <c r="C2015" s="4">
        <f>Fact_Defect_Split!C337</f>
        <v>23</v>
      </c>
      <c r="D2015" s="4" t="str">
        <f>Fact_Defect_Split!D337</f>
        <v>M7</v>
      </c>
      <c r="E2015" s="4" t="str">
        <f>Fact_Defect_Split!E337</f>
        <v>B-PM</v>
      </c>
      <c r="F2015" s="4" t="str">
        <f>Fact_Defect_Split!F337</f>
        <v>C</v>
      </c>
      <c r="G2015" s="4" t="s">
        <v>503</v>
      </c>
      <c r="H2015" s="19">
        <f>Fact_Defect_Split!J337</f>
        <v>1</v>
      </c>
    </row>
    <row r="2016" spans="1:8" x14ac:dyDescent="0.25">
      <c r="A2016" s="18" t="s">
        <v>2997</v>
      </c>
      <c r="B2016" s="4">
        <f>Fact_Defect_Split!B337</f>
        <v>20260702</v>
      </c>
      <c r="C2016" s="4">
        <f>Fact_Defect_Split!C337</f>
        <v>23</v>
      </c>
      <c r="D2016" s="4" t="str">
        <f>Fact_Defect_Split!D337</f>
        <v>M7</v>
      </c>
      <c r="E2016" s="4" t="str">
        <f>Fact_Defect_Split!E337</f>
        <v>B-PM</v>
      </c>
      <c r="F2016" s="4" t="str">
        <f>Fact_Defect_Split!F337</f>
        <v>C</v>
      </c>
      <c r="G2016" s="4" t="s">
        <v>509</v>
      </c>
      <c r="H2016" s="19">
        <f>Fact_Defect_Split!K337</f>
        <v>1</v>
      </c>
    </row>
    <row r="2017" spans="1:8" x14ac:dyDescent="0.25">
      <c r="A2017" s="20" t="s">
        <v>2998</v>
      </c>
      <c r="B2017" s="21">
        <f>Fact_Defect_Split!B337</f>
        <v>20260702</v>
      </c>
      <c r="C2017" s="21">
        <f>Fact_Defect_Split!C337</f>
        <v>23</v>
      </c>
      <c r="D2017" s="21" t="str">
        <f>Fact_Defect_Split!D337</f>
        <v>M7</v>
      </c>
      <c r="E2017" s="21" t="str">
        <f>Fact_Defect_Split!E337</f>
        <v>B-PM</v>
      </c>
      <c r="F2017" s="21" t="str">
        <f>Fact_Defect_Split!F337</f>
        <v>C</v>
      </c>
      <c r="G2017" s="21" t="s">
        <v>520</v>
      </c>
      <c r="H2017" s="22">
        <f>Fact_Defect_Split!L337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37"/>
  <sheetViews>
    <sheetView zoomScaleNormal="100" workbookViewId="0">
      <pane xSplit="6" ySplit="1" topLeftCell="G314" activePane="bottomRight" state="frozen"/>
      <selection pane="topRight" activeCell="G1" sqref="G1"/>
      <selection pane="bottomLeft" activeCell="A2" sqref="A2"/>
      <selection pane="bottomRight" activeCell="G349" sqref="G349"/>
    </sheetView>
  </sheetViews>
  <sheetFormatPr defaultColWidth="8.7109375" defaultRowHeight="15" x14ac:dyDescent="0.25"/>
  <cols>
    <col min="1" max="1" width="17.7109375" customWidth="1"/>
    <col min="2" max="2" width="14.85546875" customWidth="1"/>
    <col min="3" max="3" width="15" customWidth="1"/>
    <col min="4" max="4" width="18.42578125" customWidth="1"/>
    <col min="5" max="5" width="15" customWidth="1"/>
    <col min="6" max="6" width="17.7109375" customWidth="1"/>
    <col min="7" max="7" width="14" customWidth="1"/>
    <col min="8" max="8" width="16.140625" customWidth="1"/>
    <col min="9" max="9" width="14" customWidth="1"/>
    <col min="10" max="10" width="18.5703125" customWidth="1"/>
    <col min="11" max="11" width="14.28515625" customWidth="1"/>
    <col min="12" max="12" width="20.5703125" customWidth="1"/>
  </cols>
  <sheetData>
    <row r="1" spans="1:12" ht="30" customHeight="1" x14ac:dyDescent="0.25">
      <c r="A1" s="15" t="s">
        <v>973</v>
      </c>
      <c r="B1" s="16" t="s">
        <v>122</v>
      </c>
      <c r="C1" s="16" t="s">
        <v>123</v>
      </c>
      <c r="D1" s="16" t="s">
        <v>124</v>
      </c>
      <c r="E1" s="16" t="s">
        <v>125</v>
      </c>
      <c r="F1" s="16" t="s">
        <v>126</v>
      </c>
      <c r="G1" s="16" t="s">
        <v>974</v>
      </c>
      <c r="H1" s="16" t="s">
        <v>975</v>
      </c>
      <c r="I1" s="16" t="s">
        <v>976</v>
      </c>
      <c r="J1" s="16" t="s">
        <v>977</v>
      </c>
      <c r="K1" s="16" t="s">
        <v>978</v>
      </c>
      <c r="L1" s="17" t="s">
        <v>979</v>
      </c>
    </row>
    <row r="2" spans="1:12" x14ac:dyDescent="0.25">
      <c r="A2" s="18" t="str">
        <f>Fact_Quality_Sampling!A2</f>
        <v>QS-1</v>
      </c>
      <c r="B2" s="4">
        <f>Fact_Quality_Sampling!B2</f>
        <v>20260701</v>
      </c>
      <c r="C2" s="4">
        <f>Fact_Quality_Sampling!C2</f>
        <v>0</v>
      </c>
      <c r="D2" s="4" t="str">
        <f>Fact_Quality_Sampling!D2</f>
        <v>M1</v>
      </c>
      <c r="E2" s="4" t="str">
        <f>Fact_Quality_Sampling!E2</f>
        <v>B-PM</v>
      </c>
      <c r="F2" s="4" t="str">
        <f>Fact_Quality_Sampling!F2</f>
        <v>A</v>
      </c>
      <c r="G2" s="4">
        <f>ROUND(Fact_Quality_Sampling!I2*0.5,0)</f>
        <v>0</v>
      </c>
      <c r="H2" s="4">
        <f>Fact_Quality_Sampling!I2-G2</f>
        <v>0</v>
      </c>
      <c r="I2" s="4">
        <f>ROUND(Fact_Quality_Sampling!J2*0.45,0)</f>
        <v>0</v>
      </c>
      <c r="J2" s="4">
        <f>Fact_Quality_Sampling!J2-I2</f>
        <v>0</v>
      </c>
      <c r="K2" s="4">
        <f>ROUND(Fact_Quality_Sampling!K2*0.6,0)</f>
        <v>1</v>
      </c>
      <c r="L2" s="19">
        <f>Fact_Quality_Sampling!K2-K2</f>
        <v>0</v>
      </c>
    </row>
    <row r="3" spans="1:12" x14ac:dyDescent="0.25">
      <c r="A3" s="18" t="str">
        <f>Fact_Quality_Sampling!A3</f>
        <v>QS-2</v>
      </c>
      <c r="B3" s="4">
        <f>Fact_Quality_Sampling!B3</f>
        <v>20260701</v>
      </c>
      <c r="C3" s="4">
        <f>Fact_Quality_Sampling!C3</f>
        <v>0</v>
      </c>
      <c r="D3" s="4" t="str">
        <f>Fact_Quality_Sampling!D3</f>
        <v>M2</v>
      </c>
      <c r="E3" s="4" t="str">
        <f>Fact_Quality_Sampling!E3</f>
        <v>B-PM</v>
      </c>
      <c r="F3" s="4" t="str">
        <f>Fact_Quality_Sampling!F3</f>
        <v>C</v>
      </c>
      <c r="G3" s="4">
        <f>ROUND(Fact_Quality_Sampling!I3*0.42,0)</f>
        <v>0</v>
      </c>
      <c r="H3" s="4">
        <f>Fact_Quality_Sampling!I3-G3</f>
        <v>0</v>
      </c>
      <c r="I3" s="4">
        <f>ROUND(Fact_Quality_Sampling!J3*0.56,0)</f>
        <v>0</v>
      </c>
      <c r="J3" s="4">
        <f>Fact_Quality_Sampling!J3-I3</f>
        <v>0</v>
      </c>
      <c r="K3" s="4">
        <f>ROUND(Fact_Quality_Sampling!K3*0.51,0)</f>
        <v>1</v>
      </c>
      <c r="L3" s="19">
        <f>Fact_Quality_Sampling!K3-K3</f>
        <v>0</v>
      </c>
    </row>
    <row r="4" spans="1:12" x14ac:dyDescent="0.25">
      <c r="A4" s="18" t="str">
        <f>Fact_Quality_Sampling!A4</f>
        <v>QS-3</v>
      </c>
      <c r="B4" s="4">
        <f>Fact_Quality_Sampling!B4</f>
        <v>20260701</v>
      </c>
      <c r="C4" s="4">
        <f>Fact_Quality_Sampling!C4</f>
        <v>0</v>
      </c>
      <c r="D4" s="4" t="str">
        <f>Fact_Quality_Sampling!D4</f>
        <v>M3</v>
      </c>
      <c r="E4" s="4" t="str">
        <f>Fact_Quality_Sampling!E4</f>
        <v>B-PM</v>
      </c>
      <c r="F4" s="4" t="str">
        <f>Fact_Quality_Sampling!F4</f>
        <v>A</v>
      </c>
      <c r="G4" s="4">
        <f>ROUND(Fact_Quality_Sampling!I4*0.42,0)</f>
        <v>0</v>
      </c>
      <c r="H4" s="4">
        <f>Fact_Quality_Sampling!I4-G4</f>
        <v>0</v>
      </c>
      <c r="I4" s="4">
        <f>ROUND(Fact_Quality_Sampling!J4*0.55,0)</f>
        <v>0</v>
      </c>
      <c r="J4" s="4">
        <f>Fact_Quality_Sampling!J4-I4</f>
        <v>0</v>
      </c>
      <c r="K4" s="4">
        <f>ROUND(Fact_Quality_Sampling!K4*0.41,0)</f>
        <v>0</v>
      </c>
      <c r="L4" s="19">
        <f>Fact_Quality_Sampling!K4-K4</f>
        <v>1</v>
      </c>
    </row>
    <row r="5" spans="1:12" x14ac:dyDescent="0.25">
      <c r="A5" s="18" t="str">
        <f>Fact_Quality_Sampling!A5</f>
        <v>QS-4</v>
      </c>
      <c r="B5" s="4">
        <f>Fact_Quality_Sampling!B5</f>
        <v>20260701</v>
      </c>
      <c r="C5" s="4">
        <f>Fact_Quality_Sampling!C5</f>
        <v>0</v>
      </c>
      <c r="D5" s="4" t="str">
        <f>Fact_Quality_Sampling!D5</f>
        <v>M4</v>
      </c>
      <c r="E5" s="4" t="str">
        <f>Fact_Quality_Sampling!E5</f>
        <v>B-PM</v>
      </c>
      <c r="F5" s="4" t="str">
        <f>Fact_Quality_Sampling!F5</f>
        <v>A</v>
      </c>
      <c r="G5" s="4">
        <f>ROUND(Fact_Quality_Sampling!I5*0.53,0)</f>
        <v>0</v>
      </c>
      <c r="H5" s="4">
        <f>Fact_Quality_Sampling!I5-G5</f>
        <v>0</v>
      </c>
      <c r="I5" s="4">
        <f>ROUND(Fact_Quality_Sampling!J5*0.42,0)</f>
        <v>0</v>
      </c>
      <c r="J5" s="4">
        <f>Fact_Quality_Sampling!J5-I5</f>
        <v>1</v>
      </c>
      <c r="K5" s="4">
        <f>ROUND(Fact_Quality_Sampling!K5*0.43,0)</f>
        <v>0</v>
      </c>
      <c r="L5" s="19">
        <f>Fact_Quality_Sampling!K5-K5</f>
        <v>1</v>
      </c>
    </row>
    <row r="6" spans="1:12" x14ac:dyDescent="0.25">
      <c r="A6" s="18" t="str">
        <f>Fact_Quality_Sampling!A6</f>
        <v>QS-5</v>
      </c>
      <c r="B6" s="4">
        <f>Fact_Quality_Sampling!B6</f>
        <v>20260701</v>
      </c>
      <c r="C6" s="4">
        <f>Fact_Quality_Sampling!C6</f>
        <v>0</v>
      </c>
      <c r="D6" s="4" t="str">
        <f>Fact_Quality_Sampling!D6</f>
        <v>M5</v>
      </c>
      <c r="E6" s="4" t="str">
        <f>Fact_Quality_Sampling!E6</f>
        <v>B-PM</v>
      </c>
      <c r="F6" s="4" t="str">
        <f>Fact_Quality_Sampling!F6</f>
        <v>A</v>
      </c>
      <c r="G6" s="4">
        <f>ROUND(Fact_Quality_Sampling!I6*0.53,0)</f>
        <v>0</v>
      </c>
      <c r="H6" s="4">
        <f>Fact_Quality_Sampling!I6-G6</f>
        <v>0</v>
      </c>
      <c r="I6" s="4">
        <f>ROUND(Fact_Quality_Sampling!J6*0.65,0)</f>
        <v>0</v>
      </c>
      <c r="J6" s="4">
        <f>Fact_Quality_Sampling!J6-I6</f>
        <v>0</v>
      </c>
      <c r="K6" s="4">
        <f>ROUND(Fact_Quality_Sampling!K6*0.44,0)</f>
        <v>0</v>
      </c>
      <c r="L6" s="19">
        <f>Fact_Quality_Sampling!K6-K6</f>
        <v>1</v>
      </c>
    </row>
    <row r="7" spans="1:12" x14ac:dyDescent="0.25">
      <c r="A7" s="18" t="str">
        <f>Fact_Quality_Sampling!A7</f>
        <v>QS-6</v>
      </c>
      <c r="B7" s="4">
        <f>Fact_Quality_Sampling!B7</f>
        <v>20260701</v>
      </c>
      <c r="C7" s="4">
        <f>Fact_Quality_Sampling!C7</f>
        <v>0</v>
      </c>
      <c r="D7" s="4" t="str">
        <f>Fact_Quality_Sampling!D7</f>
        <v>M6</v>
      </c>
      <c r="E7" s="4" t="str">
        <f>Fact_Quality_Sampling!E7</f>
        <v>B-PM</v>
      </c>
      <c r="F7" s="4" t="str">
        <f>Fact_Quality_Sampling!F7</f>
        <v>C</v>
      </c>
      <c r="G7" s="4">
        <f>ROUND(Fact_Quality_Sampling!I7*0.47,0)</f>
        <v>0</v>
      </c>
      <c r="H7" s="4">
        <f>Fact_Quality_Sampling!I7-G7</f>
        <v>0</v>
      </c>
      <c r="I7" s="4">
        <f>ROUND(Fact_Quality_Sampling!J7*0.59,0)</f>
        <v>0</v>
      </c>
      <c r="J7" s="4">
        <f>Fact_Quality_Sampling!J7-I7</f>
        <v>0</v>
      </c>
      <c r="K7" s="4">
        <f>ROUND(Fact_Quality_Sampling!K7*0.68,0)</f>
        <v>1</v>
      </c>
      <c r="L7" s="19">
        <f>Fact_Quality_Sampling!K7-K7</f>
        <v>0</v>
      </c>
    </row>
    <row r="8" spans="1:12" x14ac:dyDescent="0.25">
      <c r="A8" s="18" t="str">
        <f>Fact_Quality_Sampling!A8</f>
        <v>QS-7</v>
      </c>
      <c r="B8" s="4">
        <f>Fact_Quality_Sampling!B8</f>
        <v>20260701</v>
      </c>
      <c r="C8" s="4">
        <f>Fact_Quality_Sampling!C8</f>
        <v>0</v>
      </c>
      <c r="D8" s="4" t="str">
        <f>Fact_Quality_Sampling!D8</f>
        <v>M7</v>
      </c>
      <c r="E8" s="4" t="str">
        <f>Fact_Quality_Sampling!E8</f>
        <v>B-PM</v>
      </c>
      <c r="F8" s="4" t="str">
        <f>Fact_Quality_Sampling!F8</f>
        <v>A</v>
      </c>
      <c r="G8" s="4">
        <f>ROUND(Fact_Quality_Sampling!I8*0.57,0)</f>
        <v>0</v>
      </c>
      <c r="H8" s="4">
        <f>Fact_Quality_Sampling!I8-G8</f>
        <v>0</v>
      </c>
      <c r="I8" s="4">
        <f>ROUND(Fact_Quality_Sampling!J8*0.52,0)</f>
        <v>1</v>
      </c>
      <c r="J8" s="4">
        <f>Fact_Quality_Sampling!J8-I8</f>
        <v>0</v>
      </c>
      <c r="K8" s="4">
        <f>ROUND(Fact_Quality_Sampling!K8*0.69,0)</f>
        <v>1</v>
      </c>
      <c r="L8" s="19">
        <f>Fact_Quality_Sampling!K8-K8</f>
        <v>0</v>
      </c>
    </row>
    <row r="9" spans="1:12" x14ac:dyDescent="0.25">
      <c r="A9" s="18" t="str">
        <f>Fact_Quality_Sampling!A9</f>
        <v>QS-8</v>
      </c>
      <c r="B9" s="4">
        <f>Fact_Quality_Sampling!B9</f>
        <v>20260701</v>
      </c>
      <c r="C9" s="4">
        <f>Fact_Quality_Sampling!C9</f>
        <v>1</v>
      </c>
      <c r="D9" s="4" t="str">
        <f>Fact_Quality_Sampling!D9</f>
        <v>M1</v>
      </c>
      <c r="E9" s="4" t="str">
        <f>Fact_Quality_Sampling!E9</f>
        <v>B-PM</v>
      </c>
      <c r="F9" s="4" t="str">
        <f>Fact_Quality_Sampling!F9</f>
        <v>A</v>
      </c>
      <c r="G9" s="4">
        <f>ROUND(Fact_Quality_Sampling!I9*0.41,0)</f>
        <v>0</v>
      </c>
      <c r="H9" s="4">
        <f>Fact_Quality_Sampling!I9-G9</f>
        <v>0</v>
      </c>
      <c r="I9" s="4">
        <f>ROUND(Fact_Quality_Sampling!J9*0.66,0)</f>
        <v>1</v>
      </c>
      <c r="J9" s="4">
        <f>Fact_Quality_Sampling!J9-I9</f>
        <v>0</v>
      </c>
      <c r="K9" s="4">
        <f>ROUND(Fact_Quality_Sampling!K9*0.49,0)</f>
        <v>0</v>
      </c>
      <c r="L9" s="19">
        <f>Fact_Quality_Sampling!K9-K9</f>
        <v>1</v>
      </c>
    </row>
    <row r="10" spans="1:12" x14ac:dyDescent="0.25">
      <c r="A10" s="18" t="str">
        <f>Fact_Quality_Sampling!A10</f>
        <v>QS-9</v>
      </c>
      <c r="B10" s="4">
        <f>Fact_Quality_Sampling!B10</f>
        <v>20260701</v>
      </c>
      <c r="C10" s="4">
        <f>Fact_Quality_Sampling!C10</f>
        <v>1</v>
      </c>
      <c r="D10" s="4" t="str">
        <f>Fact_Quality_Sampling!D10</f>
        <v>M2</v>
      </c>
      <c r="E10" s="4" t="str">
        <f>Fact_Quality_Sampling!E10</f>
        <v>B-PM</v>
      </c>
      <c r="F10" s="4" t="str">
        <f>Fact_Quality_Sampling!F10</f>
        <v>C</v>
      </c>
      <c r="G10" s="4">
        <f>ROUND(Fact_Quality_Sampling!I10*0.44,0)</f>
        <v>0</v>
      </c>
      <c r="H10" s="4">
        <f>Fact_Quality_Sampling!I10-G10</f>
        <v>0</v>
      </c>
      <c r="I10" s="4">
        <f>ROUND(Fact_Quality_Sampling!J10*0.44,0)</f>
        <v>0</v>
      </c>
      <c r="J10" s="4">
        <f>Fact_Quality_Sampling!J10-I10</f>
        <v>1</v>
      </c>
      <c r="K10" s="4">
        <f>ROUND(Fact_Quality_Sampling!K10*0.49,0)</f>
        <v>1</v>
      </c>
      <c r="L10" s="19">
        <f>Fact_Quality_Sampling!K10-K10</f>
        <v>1</v>
      </c>
    </row>
    <row r="11" spans="1:12" x14ac:dyDescent="0.25">
      <c r="A11" s="18" t="str">
        <f>Fact_Quality_Sampling!A11</f>
        <v>QS-10</v>
      </c>
      <c r="B11" s="4">
        <f>Fact_Quality_Sampling!B11</f>
        <v>20260701</v>
      </c>
      <c r="C11" s="4">
        <f>Fact_Quality_Sampling!C11</f>
        <v>1</v>
      </c>
      <c r="D11" s="4" t="str">
        <f>Fact_Quality_Sampling!D11</f>
        <v>M3</v>
      </c>
      <c r="E11" s="4" t="str">
        <f>Fact_Quality_Sampling!E11</f>
        <v>B-PM</v>
      </c>
      <c r="F11" s="4" t="str">
        <f>Fact_Quality_Sampling!F11</f>
        <v>A</v>
      </c>
      <c r="G11" s="4">
        <f>ROUND(Fact_Quality_Sampling!I11*0.64,0)</f>
        <v>0</v>
      </c>
      <c r="H11" s="4">
        <f>Fact_Quality_Sampling!I11-G11</f>
        <v>0</v>
      </c>
      <c r="I11" s="4">
        <f>ROUND(Fact_Quality_Sampling!J11*0.45,0)</f>
        <v>0</v>
      </c>
      <c r="J11" s="4">
        <f>Fact_Quality_Sampling!J11-I11</f>
        <v>0</v>
      </c>
      <c r="K11" s="4">
        <f>ROUND(Fact_Quality_Sampling!K11*0.57,0)</f>
        <v>0</v>
      </c>
      <c r="L11" s="19">
        <f>Fact_Quality_Sampling!K11-K11</f>
        <v>0</v>
      </c>
    </row>
    <row r="12" spans="1:12" x14ac:dyDescent="0.25">
      <c r="A12" s="18" t="str">
        <f>Fact_Quality_Sampling!A12</f>
        <v>QS-11</v>
      </c>
      <c r="B12" s="4">
        <f>Fact_Quality_Sampling!B12</f>
        <v>20260701</v>
      </c>
      <c r="C12" s="4">
        <f>Fact_Quality_Sampling!C12</f>
        <v>1</v>
      </c>
      <c r="D12" s="4" t="str">
        <f>Fact_Quality_Sampling!D12</f>
        <v>M4</v>
      </c>
      <c r="E12" s="4" t="str">
        <f>Fact_Quality_Sampling!E12</f>
        <v>B-PM</v>
      </c>
      <c r="F12" s="4" t="str">
        <f>Fact_Quality_Sampling!F12</f>
        <v>A</v>
      </c>
      <c r="G12" s="4">
        <f>ROUND(Fact_Quality_Sampling!I12*0.59,0)</f>
        <v>0</v>
      </c>
      <c r="H12" s="4">
        <f>Fact_Quality_Sampling!I12-G12</f>
        <v>0</v>
      </c>
      <c r="I12" s="4">
        <f>ROUND(Fact_Quality_Sampling!J12*0.51,0)</f>
        <v>0</v>
      </c>
      <c r="J12" s="4">
        <f>Fact_Quality_Sampling!J12-I12</f>
        <v>0</v>
      </c>
      <c r="K12" s="4">
        <f>ROUND(Fact_Quality_Sampling!K12*0.56,0)</f>
        <v>1</v>
      </c>
      <c r="L12" s="19">
        <f>Fact_Quality_Sampling!K12-K12</f>
        <v>0</v>
      </c>
    </row>
    <row r="13" spans="1:12" x14ac:dyDescent="0.25">
      <c r="A13" s="18" t="str">
        <f>Fact_Quality_Sampling!A13</f>
        <v>QS-12</v>
      </c>
      <c r="B13" s="4">
        <f>Fact_Quality_Sampling!B13</f>
        <v>20260701</v>
      </c>
      <c r="C13" s="4">
        <f>Fact_Quality_Sampling!C13</f>
        <v>1</v>
      </c>
      <c r="D13" s="4" t="str">
        <f>Fact_Quality_Sampling!D13</f>
        <v>M5</v>
      </c>
      <c r="E13" s="4" t="str">
        <f>Fact_Quality_Sampling!E13</f>
        <v>B-PM</v>
      </c>
      <c r="F13" s="4" t="str">
        <f>Fact_Quality_Sampling!F13</f>
        <v>A</v>
      </c>
      <c r="G13" s="4">
        <f>ROUND(Fact_Quality_Sampling!I13*0.42,0)</f>
        <v>0</v>
      </c>
      <c r="H13" s="4">
        <f>Fact_Quality_Sampling!I13-G13</f>
        <v>0</v>
      </c>
      <c r="I13" s="4">
        <f>ROUND(Fact_Quality_Sampling!J13*0.42,0)</f>
        <v>0</v>
      </c>
      <c r="J13" s="4">
        <f>Fact_Quality_Sampling!J13-I13</f>
        <v>0</v>
      </c>
      <c r="K13" s="4">
        <f>ROUND(Fact_Quality_Sampling!K13*0.46,0)</f>
        <v>0</v>
      </c>
      <c r="L13" s="19">
        <f>Fact_Quality_Sampling!K13-K13</f>
        <v>1</v>
      </c>
    </row>
    <row r="14" spans="1:12" x14ac:dyDescent="0.25">
      <c r="A14" s="18" t="str">
        <f>Fact_Quality_Sampling!A14</f>
        <v>QS-13</v>
      </c>
      <c r="B14" s="4">
        <f>Fact_Quality_Sampling!B14</f>
        <v>20260701</v>
      </c>
      <c r="C14" s="4">
        <f>Fact_Quality_Sampling!C14</f>
        <v>1</v>
      </c>
      <c r="D14" s="4" t="str">
        <f>Fact_Quality_Sampling!D14</f>
        <v>M6</v>
      </c>
      <c r="E14" s="4" t="str">
        <f>Fact_Quality_Sampling!E14</f>
        <v>B-PM</v>
      </c>
      <c r="F14" s="4" t="str">
        <f>Fact_Quality_Sampling!F14</f>
        <v>C</v>
      </c>
      <c r="G14" s="4">
        <f>ROUND(Fact_Quality_Sampling!I14*0.6,0)</f>
        <v>0</v>
      </c>
      <c r="H14" s="4">
        <f>Fact_Quality_Sampling!I14-G14</f>
        <v>0</v>
      </c>
      <c r="I14" s="4">
        <f>ROUND(Fact_Quality_Sampling!J14*0.53,0)</f>
        <v>0</v>
      </c>
      <c r="J14" s="4">
        <f>Fact_Quality_Sampling!J14-I14</f>
        <v>0</v>
      </c>
      <c r="K14" s="4">
        <f>ROUND(Fact_Quality_Sampling!K14*0.49,0)</f>
        <v>0</v>
      </c>
      <c r="L14" s="19">
        <f>Fact_Quality_Sampling!K14-K14</f>
        <v>1</v>
      </c>
    </row>
    <row r="15" spans="1:12" x14ac:dyDescent="0.25">
      <c r="A15" s="18" t="str">
        <f>Fact_Quality_Sampling!A15</f>
        <v>QS-14</v>
      </c>
      <c r="B15" s="4">
        <f>Fact_Quality_Sampling!B15</f>
        <v>20260701</v>
      </c>
      <c r="C15" s="4">
        <f>Fact_Quality_Sampling!C15</f>
        <v>1</v>
      </c>
      <c r="D15" s="4" t="str">
        <f>Fact_Quality_Sampling!D15</f>
        <v>M7</v>
      </c>
      <c r="E15" s="4" t="str">
        <f>Fact_Quality_Sampling!E15</f>
        <v>B-PM</v>
      </c>
      <c r="F15" s="4" t="str">
        <f>Fact_Quality_Sampling!F15</f>
        <v>A</v>
      </c>
      <c r="G15" s="4">
        <f>ROUND(Fact_Quality_Sampling!I15*0.58,0)</f>
        <v>0</v>
      </c>
      <c r="H15" s="4">
        <f>Fact_Quality_Sampling!I15-G15</f>
        <v>0</v>
      </c>
      <c r="I15" s="4">
        <f>ROUND(Fact_Quality_Sampling!J15*0.54,0)</f>
        <v>0</v>
      </c>
      <c r="J15" s="4">
        <f>Fact_Quality_Sampling!J15-I15</f>
        <v>0</v>
      </c>
      <c r="K15" s="4">
        <f>ROUND(Fact_Quality_Sampling!K15*0.49,0)</f>
        <v>0</v>
      </c>
      <c r="L15" s="19">
        <f>Fact_Quality_Sampling!K15-K15</f>
        <v>1</v>
      </c>
    </row>
    <row r="16" spans="1:12" x14ac:dyDescent="0.25">
      <c r="A16" s="18" t="str">
        <f>Fact_Quality_Sampling!A16</f>
        <v>QS-15</v>
      </c>
      <c r="B16" s="4">
        <f>Fact_Quality_Sampling!B16</f>
        <v>20260701</v>
      </c>
      <c r="C16" s="4">
        <f>Fact_Quality_Sampling!C16</f>
        <v>2</v>
      </c>
      <c r="D16" s="4" t="str">
        <f>Fact_Quality_Sampling!D16</f>
        <v>M1</v>
      </c>
      <c r="E16" s="4" t="str">
        <f>Fact_Quality_Sampling!E16</f>
        <v>B-PM</v>
      </c>
      <c r="F16" s="4" t="str">
        <f>Fact_Quality_Sampling!F16</f>
        <v>A</v>
      </c>
      <c r="G16" s="4">
        <f>ROUND(Fact_Quality_Sampling!I16*0.64,0)</f>
        <v>0</v>
      </c>
      <c r="H16" s="4">
        <f>Fact_Quality_Sampling!I16-G16</f>
        <v>0</v>
      </c>
      <c r="I16" s="4">
        <f>ROUND(Fact_Quality_Sampling!J16*0.61,0)</f>
        <v>0</v>
      </c>
      <c r="J16" s="4">
        <f>Fact_Quality_Sampling!J16-I16</f>
        <v>0</v>
      </c>
      <c r="K16" s="4">
        <f>ROUND(Fact_Quality_Sampling!K16*0.47,0)</f>
        <v>0</v>
      </c>
      <c r="L16" s="19">
        <f>Fact_Quality_Sampling!K16-K16</f>
        <v>0</v>
      </c>
    </row>
    <row r="17" spans="1:12" x14ac:dyDescent="0.25">
      <c r="A17" s="18" t="str">
        <f>Fact_Quality_Sampling!A17</f>
        <v>QS-16</v>
      </c>
      <c r="B17" s="4">
        <f>Fact_Quality_Sampling!B17</f>
        <v>20260701</v>
      </c>
      <c r="C17" s="4">
        <f>Fact_Quality_Sampling!C17</f>
        <v>2</v>
      </c>
      <c r="D17" s="4" t="str">
        <f>Fact_Quality_Sampling!D17</f>
        <v>M2</v>
      </c>
      <c r="E17" s="4" t="str">
        <f>Fact_Quality_Sampling!E17</f>
        <v>B-PM</v>
      </c>
      <c r="F17" s="4" t="str">
        <f>Fact_Quality_Sampling!F17</f>
        <v>C</v>
      </c>
      <c r="G17" s="4">
        <f>ROUND(Fact_Quality_Sampling!I17*0.57,0)</f>
        <v>0</v>
      </c>
      <c r="H17" s="4">
        <f>Fact_Quality_Sampling!I17-G17</f>
        <v>0</v>
      </c>
      <c r="I17" s="4">
        <f>ROUND(Fact_Quality_Sampling!J17*0.56,0)</f>
        <v>1</v>
      </c>
      <c r="J17" s="4">
        <f>Fact_Quality_Sampling!J17-I17</f>
        <v>0</v>
      </c>
      <c r="K17" s="4">
        <f>ROUND(Fact_Quality_Sampling!K17*0.66,0)</f>
        <v>1</v>
      </c>
      <c r="L17" s="19">
        <f>Fact_Quality_Sampling!K17-K17</f>
        <v>1</v>
      </c>
    </row>
    <row r="18" spans="1:12" x14ac:dyDescent="0.25">
      <c r="A18" s="18" t="str">
        <f>Fact_Quality_Sampling!A18</f>
        <v>QS-17</v>
      </c>
      <c r="B18" s="4">
        <f>Fact_Quality_Sampling!B18</f>
        <v>20260701</v>
      </c>
      <c r="C18" s="4">
        <f>Fact_Quality_Sampling!C18</f>
        <v>2</v>
      </c>
      <c r="D18" s="4" t="str">
        <f>Fact_Quality_Sampling!D18</f>
        <v>M3</v>
      </c>
      <c r="E18" s="4" t="str">
        <f>Fact_Quality_Sampling!E18</f>
        <v>B-PM</v>
      </c>
      <c r="F18" s="4" t="str">
        <f>Fact_Quality_Sampling!F18</f>
        <v>A</v>
      </c>
      <c r="G18" s="4">
        <f>ROUND(Fact_Quality_Sampling!I18*0.62,0)</f>
        <v>0</v>
      </c>
      <c r="H18" s="4">
        <f>Fact_Quality_Sampling!I18-G18</f>
        <v>0</v>
      </c>
      <c r="I18" s="4">
        <f>ROUND(Fact_Quality_Sampling!J18*0.49,0)</f>
        <v>0</v>
      </c>
      <c r="J18" s="4">
        <f>Fact_Quality_Sampling!J18-I18</f>
        <v>0</v>
      </c>
      <c r="K18" s="4">
        <f>ROUND(Fact_Quality_Sampling!K18*0.69,0)</f>
        <v>1</v>
      </c>
      <c r="L18" s="19">
        <f>Fact_Quality_Sampling!K18-K18</f>
        <v>0</v>
      </c>
    </row>
    <row r="19" spans="1:12" x14ac:dyDescent="0.25">
      <c r="A19" s="18" t="str">
        <f>Fact_Quality_Sampling!A19</f>
        <v>QS-18</v>
      </c>
      <c r="B19" s="4">
        <f>Fact_Quality_Sampling!B19</f>
        <v>20260701</v>
      </c>
      <c r="C19" s="4">
        <f>Fact_Quality_Sampling!C19</f>
        <v>2</v>
      </c>
      <c r="D19" s="4" t="str">
        <f>Fact_Quality_Sampling!D19</f>
        <v>M4</v>
      </c>
      <c r="E19" s="4" t="str">
        <f>Fact_Quality_Sampling!E19</f>
        <v>B-PM</v>
      </c>
      <c r="F19" s="4" t="str">
        <f>Fact_Quality_Sampling!F19</f>
        <v>A</v>
      </c>
      <c r="G19" s="4">
        <f>ROUND(Fact_Quality_Sampling!I19*0.44,0)</f>
        <v>0</v>
      </c>
      <c r="H19" s="4">
        <f>Fact_Quality_Sampling!I19-G19</f>
        <v>0</v>
      </c>
      <c r="I19" s="4">
        <f>ROUND(Fact_Quality_Sampling!J19*0.53,0)</f>
        <v>1</v>
      </c>
      <c r="J19" s="4">
        <f>Fact_Quality_Sampling!J19-I19</f>
        <v>0</v>
      </c>
      <c r="K19" s="4">
        <f>ROUND(Fact_Quality_Sampling!K19*0.63,0)</f>
        <v>1</v>
      </c>
      <c r="L19" s="19">
        <f>Fact_Quality_Sampling!K19-K19</f>
        <v>0</v>
      </c>
    </row>
    <row r="20" spans="1:12" x14ac:dyDescent="0.25">
      <c r="A20" s="18" t="str">
        <f>Fact_Quality_Sampling!A20</f>
        <v>QS-19</v>
      </c>
      <c r="B20" s="4">
        <f>Fact_Quality_Sampling!B20</f>
        <v>20260701</v>
      </c>
      <c r="C20" s="4">
        <f>Fact_Quality_Sampling!C20</f>
        <v>2</v>
      </c>
      <c r="D20" s="4" t="str">
        <f>Fact_Quality_Sampling!D20</f>
        <v>M5</v>
      </c>
      <c r="E20" s="4" t="str">
        <f>Fact_Quality_Sampling!E20</f>
        <v>B-PM</v>
      </c>
      <c r="F20" s="4" t="str">
        <f>Fact_Quality_Sampling!F20</f>
        <v>A</v>
      </c>
      <c r="G20" s="4">
        <f>ROUND(Fact_Quality_Sampling!I20*0.45,0)</f>
        <v>0</v>
      </c>
      <c r="H20" s="4">
        <f>Fact_Quality_Sampling!I20-G20</f>
        <v>0</v>
      </c>
      <c r="I20" s="4">
        <f>ROUND(Fact_Quality_Sampling!J20*0.55,0)</f>
        <v>1</v>
      </c>
      <c r="J20" s="4">
        <f>Fact_Quality_Sampling!J20-I20</f>
        <v>0</v>
      </c>
      <c r="K20" s="4">
        <f>ROUND(Fact_Quality_Sampling!K20*0.41,0)</f>
        <v>0</v>
      </c>
      <c r="L20" s="19">
        <f>Fact_Quality_Sampling!K20-K20</f>
        <v>1</v>
      </c>
    </row>
    <row r="21" spans="1:12" x14ac:dyDescent="0.25">
      <c r="A21" s="18" t="str">
        <f>Fact_Quality_Sampling!A21</f>
        <v>QS-20</v>
      </c>
      <c r="B21" s="4">
        <f>Fact_Quality_Sampling!B21</f>
        <v>20260701</v>
      </c>
      <c r="C21" s="4">
        <f>Fact_Quality_Sampling!C21</f>
        <v>2</v>
      </c>
      <c r="D21" s="4" t="str">
        <f>Fact_Quality_Sampling!D21</f>
        <v>M6</v>
      </c>
      <c r="E21" s="4" t="str">
        <f>Fact_Quality_Sampling!E21</f>
        <v>B-PM</v>
      </c>
      <c r="F21" s="4" t="str">
        <f>Fact_Quality_Sampling!F21</f>
        <v>C</v>
      </c>
      <c r="G21" s="4">
        <f>ROUND(Fact_Quality_Sampling!I21*0.6,0)</f>
        <v>0</v>
      </c>
      <c r="H21" s="4">
        <f>Fact_Quality_Sampling!I21-G21</f>
        <v>0</v>
      </c>
      <c r="I21" s="4">
        <f>ROUND(Fact_Quality_Sampling!J21*0.63,0)</f>
        <v>1</v>
      </c>
      <c r="J21" s="4">
        <f>Fact_Quality_Sampling!J21-I21</f>
        <v>0</v>
      </c>
      <c r="K21" s="4">
        <f>ROUND(Fact_Quality_Sampling!K21*0.57,0)</f>
        <v>1</v>
      </c>
      <c r="L21" s="19">
        <f>Fact_Quality_Sampling!K21-K21</f>
        <v>0</v>
      </c>
    </row>
    <row r="22" spans="1:12" x14ac:dyDescent="0.25">
      <c r="A22" s="18" t="str">
        <f>Fact_Quality_Sampling!A22</f>
        <v>QS-21</v>
      </c>
      <c r="B22" s="4">
        <f>Fact_Quality_Sampling!B22</f>
        <v>20260701</v>
      </c>
      <c r="C22" s="4">
        <f>Fact_Quality_Sampling!C22</f>
        <v>2</v>
      </c>
      <c r="D22" s="4" t="str">
        <f>Fact_Quality_Sampling!D22</f>
        <v>M7</v>
      </c>
      <c r="E22" s="4" t="str">
        <f>Fact_Quality_Sampling!E22</f>
        <v>B-PM</v>
      </c>
      <c r="F22" s="4" t="str">
        <f>Fact_Quality_Sampling!F22</f>
        <v>A</v>
      </c>
      <c r="G22" s="4">
        <f>ROUND(Fact_Quality_Sampling!I22*0.66,0)</f>
        <v>0</v>
      </c>
      <c r="H22" s="4">
        <f>Fact_Quality_Sampling!I22-G22</f>
        <v>0</v>
      </c>
      <c r="I22" s="4">
        <f>ROUND(Fact_Quality_Sampling!J22*0.49,0)</f>
        <v>0</v>
      </c>
      <c r="J22" s="4">
        <f>Fact_Quality_Sampling!J22-I22</f>
        <v>0</v>
      </c>
      <c r="K22" s="4">
        <f>ROUND(Fact_Quality_Sampling!K22*0.61,0)</f>
        <v>1</v>
      </c>
      <c r="L22" s="19">
        <f>Fact_Quality_Sampling!K22-K22</f>
        <v>0</v>
      </c>
    </row>
    <row r="23" spans="1:12" x14ac:dyDescent="0.25">
      <c r="A23" s="18" t="str">
        <f>Fact_Quality_Sampling!A23</f>
        <v>QS-22</v>
      </c>
      <c r="B23" s="4">
        <f>Fact_Quality_Sampling!B23</f>
        <v>20260701</v>
      </c>
      <c r="C23" s="4">
        <f>Fact_Quality_Sampling!C23</f>
        <v>3</v>
      </c>
      <c r="D23" s="4" t="str">
        <f>Fact_Quality_Sampling!D23</f>
        <v>M1</v>
      </c>
      <c r="E23" s="4" t="str">
        <f>Fact_Quality_Sampling!E23</f>
        <v>B-PM</v>
      </c>
      <c r="F23" s="4" t="str">
        <f>Fact_Quality_Sampling!F23</f>
        <v>A</v>
      </c>
      <c r="G23" s="4">
        <f>ROUND(Fact_Quality_Sampling!I23*0.58,0)</f>
        <v>0</v>
      </c>
      <c r="H23" s="4">
        <f>Fact_Quality_Sampling!I23-G23</f>
        <v>0</v>
      </c>
      <c r="I23" s="4">
        <f>ROUND(Fact_Quality_Sampling!J23*0.57,0)</f>
        <v>0</v>
      </c>
      <c r="J23" s="4">
        <f>Fact_Quality_Sampling!J23-I23</f>
        <v>0</v>
      </c>
      <c r="K23" s="4">
        <f>ROUND(Fact_Quality_Sampling!K23*0.54,0)</f>
        <v>1</v>
      </c>
      <c r="L23" s="19">
        <f>Fact_Quality_Sampling!K23-K23</f>
        <v>0</v>
      </c>
    </row>
    <row r="24" spans="1:12" x14ac:dyDescent="0.25">
      <c r="A24" s="18" t="str">
        <f>Fact_Quality_Sampling!A24</f>
        <v>QS-23</v>
      </c>
      <c r="B24" s="4">
        <f>Fact_Quality_Sampling!B24</f>
        <v>20260701</v>
      </c>
      <c r="C24" s="4">
        <f>Fact_Quality_Sampling!C24</f>
        <v>3</v>
      </c>
      <c r="D24" s="4" t="str">
        <f>Fact_Quality_Sampling!D24</f>
        <v>M2</v>
      </c>
      <c r="E24" s="4" t="str">
        <f>Fact_Quality_Sampling!E24</f>
        <v>B-PM</v>
      </c>
      <c r="F24" s="4" t="str">
        <f>Fact_Quality_Sampling!F24</f>
        <v>C</v>
      </c>
      <c r="G24" s="4">
        <f>ROUND(Fact_Quality_Sampling!I24*0.65,0)</f>
        <v>0</v>
      </c>
      <c r="H24" s="4">
        <f>Fact_Quality_Sampling!I24-G24</f>
        <v>0</v>
      </c>
      <c r="I24" s="4">
        <f>ROUND(Fact_Quality_Sampling!J24*0.68,0)</f>
        <v>1</v>
      </c>
      <c r="J24" s="4">
        <f>Fact_Quality_Sampling!J24-I24</f>
        <v>0</v>
      </c>
      <c r="K24" s="4">
        <f>ROUND(Fact_Quality_Sampling!K24*0.54,0)</f>
        <v>1</v>
      </c>
      <c r="L24" s="19">
        <f>Fact_Quality_Sampling!K24-K24</f>
        <v>1</v>
      </c>
    </row>
    <row r="25" spans="1:12" x14ac:dyDescent="0.25">
      <c r="A25" s="18" t="str">
        <f>Fact_Quality_Sampling!A25</f>
        <v>QS-24</v>
      </c>
      <c r="B25" s="4">
        <f>Fact_Quality_Sampling!B25</f>
        <v>20260701</v>
      </c>
      <c r="C25" s="4">
        <f>Fact_Quality_Sampling!C25</f>
        <v>3</v>
      </c>
      <c r="D25" s="4" t="str">
        <f>Fact_Quality_Sampling!D25</f>
        <v>M3</v>
      </c>
      <c r="E25" s="4" t="str">
        <f>Fact_Quality_Sampling!E25</f>
        <v>B-PM</v>
      </c>
      <c r="F25" s="4" t="str">
        <f>Fact_Quality_Sampling!F25</f>
        <v>A</v>
      </c>
      <c r="G25" s="4">
        <f>ROUND(Fact_Quality_Sampling!I25*0.6,0)</f>
        <v>0</v>
      </c>
      <c r="H25" s="4">
        <f>Fact_Quality_Sampling!I25-G25</f>
        <v>0</v>
      </c>
      <c r="I25" s="4">
        <f>ROUND(Fact_Quality_Sampling!J25*0.42,0)</f>
        <v>0</v>
      </c>
      <c r="J25" s="4">
        <f>Fact_Quality_Sampling!J25-I25</f>
        <v>0</v>
      </c>
      <c r="K25" s="4">
        <f>ROUND(Fact_Quality_Sampling!K25*0.61,0)</f>
        <v>1</v>
      </c>
      <c r="L25" s="19">
        <f>Fact_Quality_Sampling!K25-K25</f>
        <v>0</v>
      </c>
    </row>
    <row r="26" spans="1:12" x14ac:dyDescent="0.25">
      <c r="A26" s="18" t="str">
        <f>Fact_Quality_Sampling!A26</f>
        <v>QS-25</v>
      </c>
      <c r="B26" s="4">
        <f>Fact_Quality_Sampling!B26</f>
        <v>20260701</v>
      </c>
      <c r="C26" s="4">
        <f>Fact_Quality_Sampling!C26</f>
        <v>3</v>
      </c>
      <c r="D26" s="4" t="str">
        <f>Fact_Quality_Sampling!D26</f>
        <v>M4</v>
      </c>
      <c r="E26" s="4" t="str">
        <f>Fact_Quality_Sampling!E26</f>
        <v>B-PM</v>
      </c>
      <c r="F26" s="4" t="str">
        <f>Fact_Quality_Sampling!F26</f>
        <v>A</v>
      </c>
      <c r="G26" s="4">
        <f>ROUND(Fact_Quality_Sampling!I26*0.59,0)</f>
        <v>0</v>
      </c>
      <c r="H26" s="4">
        <f>Fact_Quality_Sampling!I26-G26</f>
        <v>0</v>
      </c>
      <c r="I26" s="4">
        <f>ROUND(Fact_Quality_Sampling!J26*0.7,0)</f>
        <v>1</v>
      </c>
      <c r="J26" s="4">
        <f>Fact_Quality_Sampling!J26-I26</f>
        <v>0</v>
      </c>
      <c r="K26" s="4">
        <f>ROUND(Fact_Quality_Sampling!K26*0.65,0)</f>
        <v>1</v>
      </c>
      <c r="L26" s="19">
        <f>Fact_Quality_Sampling!K26-K26</f>
        <v>0</v>
      </c>
    </row>
    <row r="27" spans="1:12" x14ac:dyDescent="0.25">
      <c r="A27" s="18" t="str">
        <f>Fact_Quality_Sampling!A27</f>
        <v>QS-26</v>
      </c>
      <c r="B27" s="4">
        <f>Fact_Quality_Sampling!B27</f>
        <v>20260701</v>
      </c>
      <c r="C27" s="4">
        <f>Fact_Quality_Sampling!C27</f>
        <v>3</v>
      </c>
      <c r="D27" s="4" t="str">
        <f>Fact_Quality_Sampling!D27</f>
        <v>M5</v>
      </c>
      <c r="E27" s="4" t="str">
        <f>Fact_Quality_Sampling!E27</f>
        <v>B-PM</v>
      </c>
      <c r="F27" s="4" t="str">
        <f>Fact_Quality_Sampling!F27</f>
        <v>A</v>
      </c>
      <c r="G27" s="4">
        <f>ROUND(Fact_Quality_Sampling!I27*0.49,0)</f>
        <v>0</v>
      </c>
      <c r="H27" s="4">
        <f>Fact_Quality_Sampling!I27-G27</f>
        <v>0</v>
      </c>
      <c r="I27" s="4">
        <f>ROUND(Fact_Quality_Sampling!J27*0.52,0)</f>
        <v>0</v>
      </c>
      <c r="J27" s="4">
        <f>Fact_Quality_Sampling!J27-I27</f>
        <v>0</v>
      </c>
      <c r="K27" s="4">
        <f>ROUND(Fact_Quality_Sampling!K27*0.6,0)</f>
        <v>0</v>
      </c>
      <c r="L27" s="19">
        <f>Fact_Quality_Sampling!K27-K27</f>
        <v>0</v>
      </c>
    </row>
    <row r="28" spans="1:12" x14ac:dyDescent="0.25">
      <c r="A28" s="18" t="str">
        <f>Fact_Quality_Sampling!A28</f>
        <v>QS-27</v>
      </c>
      <c r="B28" s="4">
        <f>Fact_Quality_Sampling!B28</f>
        <v>20260701</v>
      </c>
      <c r="C28" s="4">
        <f>Fact_Quality_Sampling!C28</f>
        <v>3</v>
      </c>
      <c r="D28" s="4" t="str">
        <f>Fact_Quality_Sampling!D28</f>
        <v>M6</v>
      </c>
      <c r="E28" s="4" t="str">
        <f>Fact_Quality_Sampling!E28</f>
        <v>B-PM</v>
      </c>
      <c r="F28" s="4" t="str">
        <f>Fact_Quality_Sampling!F28</f>
        <v>C</v>
      </c>
      <c r="G28" s="4">
        <f>ROUND(Fact_Quality_Sampling!I28*0.41,0)</f>
        <v>0</v>
      </c>
      <c r="H28" s="4">
        <f>Fact_Quality_Sampling!I28-G28</f>
        <v>0</v>
      </c>
      <c r="I28" s="4">
        <f>ROUND(Fact_Quality_Sampling!J28*0.54,0)</f>
        <v>0</v>
      </c>
      <c r="J28" s="4">
        <f>Fact_Quality_Sampling!J28-I28</f>
        <v>0</v>
      </c>
      <c r="K28" s="4">
        <f>ROUND(Fact_Quality_Sampling!K28*0.45,0)</f>
        <v>0</v>
      </c>
      <c r="L28" s="19">
        <f>Fact_Quality_Sampling!K28-K28</f>
        <v>1</v>
      </c>
    </row>
    <row r="29" spans="1:12" x14ac:dyDescent="0.25">
      <c r="A29" s="18" t="str">
        <f>Fact_Quality_Sampling!A29</f>
        <v>QS-28</v>
      </c>
      <c r="B29" s="4">
        <f>Fact_Quality_Sampling!B29</f>
        <v>20260701</v>
      </c>
      <c r="C29" s="4">
        <f>Fact_Quality_Sampling!C29</f>
        <v>3</v>
      </c>
      <c r="D29" s="4" t="str">
        <f>Fact_Quality_Sampling!D29</f>
        <v>M7</v>
      </c>
      <c r="E29" s="4" t="str">
        <f>Fact_Quality_Sampling!E29</f>
        <v>B-PM</v>
      </c>
      <c r="F29" s="4" t="str">
        <f>Fact_Quality_Sampling!F29</f>
        <v>A</v>
      </c>
      <c r="G29" s="4">
        <f>ROUND(Fact_Quality_Sampling!I29*0.44,0)</f>
        <v>0</v>
      </c>
      <c r="H29" s="4">
        <f>Fact_Quality_Sampling!I29-G29</f>
        <v>0</v>
      </c>
      <c r="I29" s="4">
        <f>ROUND(Fact_Quality_Sampling!J29*0.42,0)</f>
        <v>0</v>
      </c>
      <c r="J29" s="4">
        <f>Fact_Quality_Sampling!J29-I29</f>
        <v>1</v>
      </c>
      <c r="K29" s="4">
        <f>ROUND(Fact_Quality_Sampling!K29*0.63,0)</f>
        <v>1</v>
      </c>
      <c r="L29" s="19">
        <f>Fact_Quality_Sampling!K29-K29</f>
        <v>0</v>
      </c>
    </row>
    <row r="30" spans="1:12" x14ac:dyDescent="0.25">
      <c r="A30" s="18" t="str">
        <f>Fact_Quality_Sampling!A30</f>
        <v>QS-29</v>
      </c>
      <c r="B30" s="4">
        <f>Fact_Quality_Sampling!B30</f>
        <v>20260701</v>
      </c>
      <c r="C30" s="4">
        <f>Fact_Quality_Sampling!C30</f>
        <v>4</v>
      </c>
      <c r="D30" s="4" t="str">
        <f>Fact_Quality_Sampling!D30</f>
        <v>M1</v>
      </c>
      <c r="E30" s="4" t="str">
        <f>Fact_Quality_Sampling!E30</f>
        <v>B-PM</v>
      </c>
      <c r="F30" s="4" t="str">
        <f>Fact_Quality_Sampling!F30</f>
        <v>A</v>
      </c>
      <c r="G30" s="4">
        <f>ROUND(Fact_Quality_Sampling!I30*0.44,0)</f>
        <v>0</v>
      </c>
      <c r="H30" s="4">
        <f>Fact_Quality_Sampling!I30-G30</f>
        <v>0</v>
      </c>
      <c r="I30" s="4">
        <f>ROUND(Fact_Quality_Sampling!J30*0.47,0)</f>
        <v>0</v>
      </c>
      <c r="J30" s="4">
        <f>Fact_Quality_Sampling!J30-I30</f>
        <v>0</v>
      </c>
      <c r="K30" s="4">
        <f>ROUND(Fact_Quality_Sampling!K30*0.52,0)</f>
        <v>0</v>
      </c>
      <c r="L30" s="19">
        <f>Fact_Quality_Sampling!K30-K30</f>
        <v>0</v>
      </c>
    </row>
    <row r="31" spans="1:12" x14ac:dyDescent="0.25">
      <c r="A31" s="18" t="str">
        <f>Fact_Quality_Sampling!A31</f>
        <v>QS-30</v>
      </c>
      <c r="B31" s="4">
        <f>Fact_Quality_Sampling!B31</f>
        <v>20260701</v>
      </c>
      <c r="C31" s="4">
        <f>Fact_Quality_Sampling!C31</f>
        <v>4</v>
      </c>
      <c r="D31" s="4" t="str">
        <f>Fact_Quality_Sampling!D31</f>
        <v>M2</v>
      </c>
      <c r="E31" s="4" t="str">
        <f>Fact_Quality_Sampling!E31</f>
        <v>B-PM</v>
      </c>
      <c r="F31" s="4" t="str">
        <f>Fact_Quality_Sampling!F31</f>
        <v>C</v>
      </c>
      <c r="G31" s="4">
        <f>ROUND(Fact_Quality_Sampling!I31*0.66,0)</f>
        <v>0</v>
      </c>
      <c r="H31" s="4">
        <f>Fact_Quality_Sampling!I31-G31</f>
        <v>0</v>
      </c>
      <c r="I31" s="4">
        <f>ROUND(Fact_Quality_Sampling!J31*0.42,0)</f>
        <v>0</v>
      </c>
      <c r="J31" s="4">
        <f>Fact_Quality_Sampling!J31-I31</f>
        <v>1</v>
      </c>
      <c r="K31" s="4">
        <f>ROUND(Fact_Quality_Sampling!K31*0.53,0)</f>
        <v>1</v>
      </c>
      <c r="L31" s="19">
        <f>Fact_Quality_Sampling!K31-K31</f>
        <v>1</v>
      </c>
    </row>
    <row r="32" spans="1:12" x14ac:dyDescent="0.25">
      <c r="A32" s="18" t="str">
        <f>Fact_Quality_Sampling!A32</f>
        <v>QS-31</v>
      </c>
      <c r="B32" s="4">
        <f>Fact_Quality_Sampling!B32</f>
        <v>20260701</v>
      </c>
      <c r="C32" s="4">
        <f>Fact_Quality_Sampling!C32</f>
        <v>4</v>
      </c>
      <c r="D32" s="4" t="str">
        <f>Fact_Quality_Sampling!D32</f>
        <v>M3</v>
      </c>
      <c r="E32" s="4" t="str">
        <f>Fact_Quality_Sampling!E32</f>
        <v>B-PM</v>
      </c>
      <c r="F32" s="4" t="str">
        <f>Fact_Quality_Sampling!F32</f>
        <v>A</v>
      </c>
      <c r="G32" s="4">
        <f>ROUND(Fact_Quality_Sampling!I32*0.56,0)</f>
        <v>0</v>
      </c>
      <c r="H32" s="4">
        <f>Fact_Quality_Sampling!I32-G32</f>
        <v>0</v>
      </c>
      <c r="I32" s="4">
        <f>ROUND(Fact_Quality_Sampling!J32*0.67,0)</f>
        <v>0</v>
      </c>
      <c r="J32" s="4">
        <f>Fact_Quality_Sampling!J32-I32</f>
        <v>0</v>
      </c>
      <c r="K32" s="4">
        <f>ROUND(Fact_Quality_Sampling!K32*0.65,0)</f>
        <v>1</v>
      </c>
      <c r="L32" s="19">
        <f>Fact_Quality_Sampling!K32-K32</f>
        <v>0</v>
      </c>
    </row>
    <row r="33" spans="1:12" x14ac:dyDescent="0.25">
      <c r="A33" s="18" t="str">
        <f>Fact_Quality_Sampling!A33</f>
        <v>QS-32</v>
      </c>
      <c r="B33" s="4">
        <f>Fact_Quality_Sampling!B33</f>
        <v>20260701</v>
      </c>
      <c r="C33" s="4">
        <f>Fact_Quality_Sampling!C33</f>
        <v>4</v>
      </c>
      <c r="D33" s="4" t="str">
        <f>Fact_Quality_Sampling!D33</f>
        <v>M4</v>
      </c>
      <c r="E33" s="4" t="str">
        <f>Fact_Quality_Sampling!E33</f>
        <v>B-PM</v>
      </c>
      <c r="F33" s="4" t="str">
        <f>Fact_Quality_Sampling!F33</f>
        <v>A</v>
      </c>
      <c r="G33" s="4">
        <f>ROUND(Fact_Quality_Sampling!I33*0.66,0)</f>
        <v>0</v>
      </c>
      <c r="H33" s="4">
        <f>Fact_Quality_Sampling!I33-G33</f>
        <v>0</v>
      </c>
      <c r="I33" s="4">
        <f>ROUND(Fact_Quality_Sampling!J33*0.48,0)</f>
        <v>0</v>
      </c>
      <c r="J33" s="4">
        <f>Fact_Quality_Sampling!J33-I33</f>
        <v>1</v>
      </c>
      <c r="K33" s="4">
        <f>ROUND(Fact_Quality_Sampling!K33*0.52,0)</f>
        <v>1</v>
      </c>
      <c r="L33" s="19">
        <f>Fact_Quality_Sampling!K33-K33</f>
        <v>0</v>
      </c>
    </row>
    <row r="34" spans="1:12" x14ac:dyDescent="0.25">
      <c r="A34" s="18" t="str">
        <f>Fact_Quality_Sampling!A34</f>
        <v>QS-33</v>
      </c>
      <c r="B34" s="4">
        <f>Fact_Quality_Sampling!B34</f>
        <v>20260701</v>
      </c>
      <c r="C34" s="4">
        <f>Fact_Quality_Sampling!C34</f>
        <v>4</v>
      </c>
      <c r="D34" s="4" t="str">
        <f>Fact_Quality_Sampling!D34</f>
        <v>M5</v>
      </c>
      <c r="E34" s="4" t="str">
        <f>Fact_Quality_Sampling!E34</f>
        <v>B-PM</v>
      </c>
      <c r="F34" s="4" t="str">
        <f>Fact_Quality_Sampling!F34</f>
        <v>A</v>
      </c>
      <c r="G34" s="4">
        <f>ROUND(Fact_Quality_Sampling!I34*0.51,0)</f>
        <v>0</v>
      </c>
      <c r="H34" s="4">
        <f>Fact_Quality_Sampling!I34-G34</f>
        <v>0</v>
      </c>
      <c r="I34" s="4">
        <f>ROUND(Fact_Quality_Sampling!J34*0.67,0)</f>
        <v>0</v>
      </c>
      <c r="J34" s="4">
        <f>Fact_Quality_Sampling!J34-I34</f>
        <v>0</v>
      </c>
      <c r="K34" s="4">
        <f>ROUND(Fact_Quality_Sampling!K34*0.69,0)</f>
        <v>1</v>
      </c>
      <c r="L34" s="19">
        <f>Fact_Quality_Sampling!K34-K34</f>
        <v>0</v>
      </c>
    </row>
    <row r="35" spans="1:12" x14ac:dyDescent="0.25">
      <c r="A35" s="18" t="str">
        <f>Fact_Quality_Sampling!A35</f>
        <v>QS-34</v>
      </c>
      <c r="B35" s="4">
        <f>Fact_Quality_Sampling!B35</f>
        <v>20260701</v>
      </c>
      <c r="C35" s="4">
        <f>Fact_Quality_Sampling!C35</f>
        <v>4</v>
      </c>
      <c r="D35" s="4" t="str">
        <f>Fact_Quality_Sampling!D35</f>
        <v>M6</v>
      </c>
      <c r="E35" s="4" t="str">
        <f>Fact_Quality_Sampling!E35</f>
        <v>B-PM</v>
      </c>
      <c r="F35" s="4" t="str">
        <f>Fact_Quality_Sampling!F35</f>
        <v>C</v>
      </c>
      <c r="G35" s="4">
        <f>ROUND(Fact_Quality_Sampling!I35*0.45,0)</f>
        <v>0</v>
      </c>
      <c r="H35" s="4">
        <f>Fact_Quality_Sampling!I35-G35</f>
        <v>0</v>
      </c>
      <c r="I35" s="4">
        <f>ROUND(Fact_Quality_Sampling!J35*0.45,0)</f>
        <v>0</v>
      </c>
      <c r="J35" s="4">
        <f>Fact_Quality_Sampling!J35-I35</f>
        <v>0</v>
      </c>
      <c r="K35" s="4">
        <f>ROUND(Fact_Quality_Sampling!K35*0.47,0)</f>
        <v>0</v>
      </c>
      <c r="L35" s="19">
        <f>Fact_Quality_Sampling!K35-K35</f>
        <v>1</v>
      </c>
    </row>
    <row r="36" spans="1:12" x14ac:dyDescent="0.25">
      <c r="A36" s="18" t="str">
        <f>Fact_Quality_Sampling!A36</f>
        <v>QS-35</v>
      </c>
      <c r="B36" s="4">
        <f>Fact_Quality_Sampling!B36</f>
        <v>20260701</v>
      </c>
      <c r="C36" s="4">
        <f>Fact_Quality_Sampling!C36</f>
        <v>4</v>
      </c>
      <c r="D36" s="4" t="str">
        <f>Fact_Quality_Sampling!D36</f>
        <v>M7</v>
      </c>
      <c r="E36" s="4" t="str">
        <f>Fact_Quality_Sampling!E36</f>
        <v>B-PM</v>
      </c>
      <c r="F36" s="4" t="str">
        <f>Fact_Quality_Sampling!F36</f>
        <v>A</v>
      </c>
      <c r="G36" s="4">
        <f>ROUND(Fact_Quality_Sampling!I36*0.47,0)</f>
        <v>0</v>
      </c>
      <c r="H36" s="4">
        <f>Fact_Quality_Sampling!I36-G36</f>
        <v>0</v>
      </c>
      <c r="I36" s="4">
        <f>ROUND(Fact_Quality_Sampling!J36*0.55,0)</f>
        <v>1</v>
      </c>
      <c r="J36" s="4">
        <f>Fact_Quality_Sampling!J36-I36</f>
        <v>0</v>
      </c>
      <c r="K36" s="4">
        <f>ROUND(Fact_Quality_Sampling!K36*0.58,0)</f>
        <v>1</v>
      </c>
      <c r="L36" s="19">
        <f>Fact_Quality_Sampling!K36-K36</f>
        <v>0</v>
      </c>
    </row>
    <row r="37" spans="1:12" x14ac:dyDescent="0.25">
      <c r="A37" s="18" t="str">
        <f>Fact_Quality_Sampling!A37</f>
        <v>QS-36</v>
      </c>
      <c r="B37" s="4">
        <f>Fact_Quality_Sampling!B37</f>
        <v>20260701</v>
      </c>
      <c r="C37" s="4">
        <f>Fact_Quality_Sampling!C37</f>
        <v>5</v>
      </c>
      <c r="D37" s="4" t="str">
        <f>Fact_Quality_Sampling!D37</f>
        <v>M1</v>
      </c>
      <c r="E37" s="4" t="str">
        <f>Fact_Quality_Sampling!E37</f>
        <v>B-PM</v>
      </c>
      <c r="F37" s="4" t="str">
        <f>Fact_Quality_Sampling!F37</f>
        <v>A</v>
      </c>
      <c r="G37" s="4">
        <f>ROUND(Fact_Quality_Sampling!I37*0.48,0)</f>
        <v>0</v>
      </c>
      <c r="H37" s="4">
        <f>Fact_Quality_Sampling!I37-G37</f>
        <v>0</v>
      </c>
      <c r="I37" s="4">
        <f>ROUND(Fact_Quality_Sampling!J37*0.4,0)</f>
        <v>0</v>
      </c>
      <c r="J37" s="4">
        <f>Fact_Quality_Sampling!J37-I37</f>
        <v>0</v>
      </c>
      <c r="K37" s="4">
        <f>ROUND(Fact_Quality_Sampling!K37*0.53,0)</f>
        <v>0</v>
      </c>
      <c r="L37" s="19">
        <f>Fact_Quality_Sampling!K37-K37</f>
        <v>0</v>
      </c>
    </row>
    <row r="38" spans="1:12" x14ac:dyDescent="0.25">
      <c r="A38" s="18" t="str">
        <f>Fact_Quality_Sampling!A38</f>
        <v>QS-37</v>
      </c>
      <c r="B38" s="4">
        <f>Fact_Quality_Sampling!B38</f>
        <v>20260701</v>
      </c>
      <c r="C38" s="4">
        <f>Fact_Quality_Sampling!C38</f>
        <v>5</v>
      </c>
      <c r="D38" s="4" t="str">
        <f>Fact_Quality_Sampling!D38</f>
        <v>M2</v>
      </c>
      <c r="E38" s="4" t="str">
        <f>Fact_Quality_Sampling!E38</f>
        <v>B-PM</v>
      </c>
      <c r="F38" s="4" t="str">
        <f>Fact_Quality_Sampling!F38</f>
        <v>C</v>
      </c>
      <c r="G38" s="4">
        <f>ROUND(Fact_Quality_Sampling!I38*0.51,0)</f>
        <v>0</v>
      </c>
      <c r="H38" s="4">
        <f>Fact_Quality_Sampling!I38-G38</f>
        <v>0</v>
      </c>
      <c r="I38" s="4">
        <f>ROUND(Fact_Quality_Sampling!J38*0.57,0)</f>
        <v>0</v>
      </c>
      <c r="J38" s="4">
        <f>Fact_Quality_Sampling!J38-I38</f>
        <v>0</v>
      </c>
      <c r="K38" s="4">
        <f>ROUND(Fact_Quality_Sampling!K38*0.69,0)</f>
        <v>1</v>
      </c>
      <c r="L38" s="19">
        <f>Fact_Quality_Sampling!K38-K38</f>
        <v>0</v>
      </c>
    </row>
    <row r="39" spans="1:12" x14ac:dyDescent="0.25">
      <c r="A39" s="18" t="str">
        <f>Fact_Quality_Sampling!A39</f>
        <v>QS-38</v>
      </c>
      <c r="B39" s="4">
        <f>Fact_Quality_Sampling!B39</f>
        <v>20260701</v>
      </c>
      <c r="C39" s="4">
        <f>Fact_Quality_Sampling!C39</f>
        <v>5</v>
      </c>
      <c r="D39" s="4" t="str">
        <f>Fact_Quality_Sampling!D39</f>
        <v>M3</v>
      </c>
      <c r="E39" s="4" t="str">
        <f>Fact_Quality_Sampling!E39</f>
        <v>B-PM</v>
      </c>
      <c r="F39" s="4" t="str">
        <f>Fact_Quality_Sampling!F39</f>
        <v>A</v>
      </c>
      <c r="G39" s="4">
        <f>ROUND(Fact_Quality_Sampling!I39*0.61,0)</f>
        <v>0</v>
      </c>
      <c r="H39" s="4">
        <f>Fact_Quality_Sampling!I39-G39</f>
        <v>0</v>
      </c>
      <c r="I39" s="4">
        <f>ROUND(Fact_Quality_Sampling!J39*0.55,0)</f>
        <v>0</v>
      </c>
      <c r="J39" s="4">
        <f>Fact_Quality_Sampling!J39-I39</f>
        <v>0</v>
      </c>
      <c r="K39" s="4">
        <f>ROUND(Fact_Quality_Sampling!K39*0.59,0)</f>
        <v>1</v>
      </c>
      <c r="L39" s="19">
        <f>Fact_Quality_Sampling!K39-K39</f>
        <v>0</v>
      </c>
    </row>
    <row r="40" spans="1:12" x14ac:dyDescent="0.25">
      <c r="A40" s="18" t="str">
        <f>Fact_Quality_Sampling!A40</f>
        <v>QS-39</v>
      </c>
      <c r="B40" s="4">
        <f>Fact_Quality_Sampling!B40</f>
        <v>20260701</v>
      </c>
      <c r="C40" s="4">
        <f>Fact_Quality_Sampling!C40</f>
        <v>5</v>
      </c>
      <c r="D40" s="4" t="str">
        <f>Fact_Quality_Sampling!D40</f>
        <v>M4</v>
      </c>
      <c r="E40" s="4" t="str">
        <f>Fact_Quality_Sampling!E40</f>
        <v>B-PM</v>
      </c>
      <c r="F40" s="4" t="str">
        <f>Fact_Quality_Sampling!F40</f>
        <v>A</v>
      </c>
      <c r="G40" s="4">
        <f>ROUND(Fact_Quality_Sampling!I40*0.6,0)</f>
        <v>0</v>
      </c>
      <c r="H40" s="4">
        <f>Fact_Quality_Sampling!I40-G40</f>
        <v>0</v>
      </c>
      <c r="I40" s="4">
        <f>ROUND(Fact_Quality_Sampling!J40*0.42,0)</f>
        <v>0</v>
      </c>
      <c r="J40" s="4">
        <f>Fact_Quality_Sampling!J40-I40</f>
        <v>0</v>
      </c>
      <c r="K40" s="4">
        <f>ROUND(Fact_Quality_Sampling!K40*0.67,0)</f>
        <v>1</v>
      </c>
      <c r="L40" s="19">
        <f>Fact_Quality_Sampling!K40-K40</f>
        <v>0</v>
      </c>
    </row>
    <row r="41" spans="1:12" x14ac:dyDescent="0.25">
      <c r="A41" s="18" t="str">
        <f>Fact_Quality_Sampling!A41</f>
        <v>QS-40</v>
      </c>
      <c r="B41" s="4">
        <f>Fact_Quality_Sampling!B41</f>
        <v>20260701</v>
      </c>
      <c r="C41" s="4">
        <f>Fact_Quality_Sampling!C41</f>
        <v>5</v>
      </c>
      <c r="D41" s="4" t="str">
        <f>Fact_Quality_Sampling!D41</f>
        <v>M5</v>
      </c>
      <c r="E41" s="4" t="str">
        <f>Fact_Quality_Sampling!E41</f>
        <v>B-PM</v>
      </c>
      <c r="F41" s="4" t="str">
        <f>Fact_Quality_Sampling!F41</f>
        <v>A</v>
      </c>
      <c r="G41" s="4">
        <f>ROUND(Fact_Quality_Sampling!I41*0.63,0)</f>
        <v>0</v>
      </c>
      <c r="H41" s="4">
        <f>Fact_Quality_Sampling!I41-G41</f>
        <v>0</v>
      </c>
      <c r="I41" s="4">
        <f>ROUND(Fact_Quality_Sampling!J41*0.66,0)</f>
        <v>1</v>
      </c>
      <c r="J41" s="4">
        <f>Fact_Quality_Sampling!J41-I41</f>
        <v>0</v>
      </c>
      <c r="K41" s="4">
        <f>ROUND(Fact_Quality_Sampling!K41*0.64,0)</f>
        <v>1</v>
      </c>
      <c r="L41" s="19">
        <f>Fact_Quality_Sampling!K41-K41</f>
        <v>0</v>
      </c>
    </row>
    <row r="42" spans="1:12" x14ac:dyDescent="0.25">
      <c r="A42" s="18" t="str">
        <f>Fact_Quality_Sampling!A42</f>
        <v>QS-41</v>
      </c>
      <c r="B42" s="4">
        <f>Fact_Quality_Sampling!B42</f>
        <v>20260701</v>
      </c>
      <c r="C42" s="4">
        <f>Fact_Quality_Sampling!C42</f>
        <v>5</v>
      </c>
      <c r="D42" s="4" t="str">
        <f>Fact_Quality_Sampling!D42</f>
        <v>M6</v>
      </c>
      <c r="E42" s="4" t="str">
        <f>Fact_Quality_Sampling!E42</f>
        <v>B-PM</v>
      </c>
      <c r="F42" s="4" t="str">
        <f>Fact_Quality_Sampling!F42</f>
        <v>C</v>
      </c>
      <c r="G42" s="4">
        <f>ROUND(Fact_Quality_Sampling!I42*0.52,0)</f>
        <v>0</v>
      </c>
      <c r="H42" s="4">
        <f>Fact_Quality_Sampling!I42-G42</f>
        <v>0</v>
      </c>
      <c r="I42" s="4">
        <f>ROUND(Fact_Quality_Sampling!J42*0.52,0)</f>
        <v>0</v>
      </c>
      <c r="J42" s="4">
        <f>Fact_Quality_Sampling!J42-I42</f>
        <v>0</v>
      </c>
      <c r="K42" s="4">
        <f>ROUND(Fact_Quality_Sampling!K42*0.43,0)</f>
        <v>0</v>
      </c>
      <c r="L42" s="19">
        <f>Fact_Quality_Sampling!K42-K42</f>
        <v>1</v>
      </c>
    </row>
    <row r="43" spans="1:12" x14ac:dyDescent="0.25">
      <c r="A43" s="18" t="str">
        <f>Fact_Quality_Sampling!A43</f>
        <v>QS-42</v>
      </c>
      <c r="B43" s="4">
        <f>Fact_Quality_Sampling!B43</f>
        <v>20260701</v>
      </c>
      <c r="C43" s="4">
        <f>Fact_Quality_Sampling!C43</f>
        <v>5</v>
      </c>
      <c r="D43" s="4" t="str">
        <f>Fact_Quality_Sampling!D43</f>
        <v>M7</v>
      </c>
      <c r="E43" s="4" t="str">
        <f>Fact_Quality_Sampling!E43</f>
        <v>B-PM</v>
      </c>
      <c r="F43" s="4" t="str">
        <f>Fact_Quality_Sampling!F43</f>
        <v>A</v>
      </c>
      <c r="G43" s="4">
        <f>ROUND(Fact_Quality_Sampling!I43*0.59,0)</f>
        <v>0</v>
      </c>
      <c r="H43" s="4">
        <f>Fact_Quality_Sampling!I43-G43</f>
        <v>0</v>
      </c>
      <c r="I43" s="4">
        <f>ROUND(Fact_Quality_Sampling!J43*0.42,0)</f>
        <v>0</v>
      </c>
      <c r="J43" s="4">
        <f>Fact_Quality_Sampling!J43-I43</f>
        <v>1</v>
      </c>
      <c r="K43" s="4">
        <f>ROUND(Fact_Quality_Sampling!K43*0.42,0)</f>
        <v>0</v>
      </c>
      <c r="L43" s="19">
        <f>Fact_Quality_Sampling!K43-K43</f>
        <v>1</v>
      </c>
    </row>
    <row r="44" spans="1:12" x14ac:dyDescent="0.25">
      <c r="A44" s="18" t="str">
        <f>Fact_Quality_Sampling!A44</f>
        <v>QS-43</v>
      </c>
      <c r="B44" s="4">
        <f>Fact_Quality_Sampling!B44</f>
        <v>20260701</v>
      </c>
      <c r="C44" s="4">
        <f>Fact_Quality_Sampling!C44</f>
        <v>6</v>
      </c>
      <c r="D44" s="4" t="str">
        <f>Fact_Quality_Sampling!D44</f>
        <v>M1</v>
      </c>
      <c r="E44" s="4" t="str">
        <f>Fact_Quality_Sampling!E44</f>
        <v>A-AM</v>
      </c>
      <c r="F44" s="4" t="str">
        <f>Fact_Quality_Sampling!F44</f>
        <v>C</v>
      </c>
      <c r="G44" s="4">
        <f>ROUND(Fact_Quality_Sampling!I44*0.46,0)</f>
        <v>0</v>
      </c>
      <c r="H44" s="4">
        <f>Fact_Quality_Sampling!I44-G44</f>
        <v>0</v>
      </c>
      <c r="I44" s="4">
        <f>ROUND(Fact_Quality_Sampling!J44*0.45,0)</f>
        <v>0</v>
      </c>
      <c r="J44" s="4">
        <f>Fact_Quality_Sampling!J44-I44</f>
        <v>0</v>
      </c>
      <c r="K44" s="4">
        <f>ROUND(Fact_Quality_Sampling!K44*0.5,0)</f>
        <v>1</v>
      </c>
      <c r="L44" s="19">
        <f>Fact_Quality_Sampling!K44-K44</f>
        <v>0</v>
      </c>
    </row>
    <row r="45" spans="1:12" x14ac:dyDescent="0.25">
      <c r="A45" s="18" t="str">
        <f>Fact_Quality_Sampling!A45</f>
        <v>QS-44</v>
      </c>
      <c r="B45" s="4">
        <f>Fact_Quality_Sampling!B45</f>
        <v>20260701</v>
      </c>
      <c r="C45" s="4">
        <f>Fact_Quality_Sampling!C45</f>
        <v>6</v>
      </c>
      <c r="D45" s="4" t="str">
        <f>Fact_Quality_Sampling!D45</f>
        <v>M2</v>
      </c>
      <c r="E45" s="4" t="str">
        <f>Fact_Quality_Sampling!E45</f>
        <v>A-AM</v>
      </c>
      <c r="F45" s="4" t="str">
        <f>Fact_Quality_Sampling!F45</f>
        <v>A</v>
      </c>
      <c r="G45" s="4">
        <f>ROUND(Fact_Quality_Sampling!I45*0.42,0)</f>
        <v>0</v>
      </c>
      <c r="H45" s="4">
        <f>Fact_Quality_Sampling!I45-G45</f>
        <v>0</v>
      </c>
      <c r="I45" s="4">
        <f>ROUND(Fact_Quality_Sampling!J45*0.4,0)</f>
        <v>0</v>
      </c>
      <c r="J45" s="4">
        <f>Fact_Quality_Sampling!J45-I45</f>
        <v>1</v>
      </c>
      <c r="K45" s="4">
        <f>ROUND(Fact_Quality_Sampling!K45*0.45,0)</f>
        <v>1</v>
      </c>
      <c r="L45" s="19">
        <f>Fact_Quality_Sampling!K45-K45</f>
        <v>1</v>
      </c>
    </row>
    <row r="46" spans="1:12" x14ac:dyDescent="0.25">
      <c r="A46" s="18" t="str">
        <f>Fact_Quality_Sampling!A46</f>
        <v>QS-45</v>
      </c>
      <c r="B46" s="4">
        <f>Fact_Quality_Sampling!B46</f>
        <v>20260701</v>
      </c>
      <c r="C46" s="4">
        <f>Fact_Quality_Sampling!C46</f>
        <v>6</v>
      </c>
      <c r="D46" s="4" t="str">
        <f>Fact_Quality_Sampling!D46</f>
        <v>M3</v>
      </c>
      <c r="E46" s="4" t="str">
        <f>Fact_Quality_Sampling!E46</f>
        <v>A-AM</v>
      </c>
      <c r="F46" s="4" t="str">
        <f>Fact_Quality_Sampling!F46</f>
        <v>B</v>
      </c>
      <c r="G46" s="4">
        <f>ROUND(Fact_Quality_Sampling!I46*0.43,0)</f>
        <v>0</v>
      </c>
      <c r="H46" s="4">
        <f>Fact_Quality_Sampling!I46-G46</f>
        <v>0</v>
      </c>
      <c r="I46" s="4">
        <f>ROUND(Fact_Quality_Sampling!J46*0.51,0)</f>
        <v>0</v>
      </c>
      <c r="J46" s="4">
        <f>Fact_Quality_Sampling!J46-I46</f>
        <v>0</v>
      </c>
      <c r="K46" s="4">
        <f>ROUND(Fact_Quality_Sampling!K46*0.41,0)</f>
        <v>0</v>
      </c>
      <c r="L46" s="19">
        <f>Fact_Quality_Sampling!K46-K46</f>
        <v>1</v>
      </c>
    </row>
    <row r="47" spans="1:12" x14ac:dyDescent="0.25">
      <c r="A47" s="18" t="str">
        <f>Fact_Quality_Sampling!A47</f>
        <v>QS-46</v>
      </c>
      <c r="B47" s="4">
        <f>Fact_Quality_Sampling!B47</f>
        <v>20260701</v>
      </c>
      <c r="C47" s="4">
        <f>Fact_Quality_Sampling!C47</f>
        <v>6</v>
      </c>
      <c r="D47" s="4" t="str">
        <f>Fact_Quality_Sampling!D47</f>
        <v>M4</v>
      </c>
      <c r="E47" s="4" t="str">
        <f>Fact_Quality_Sampling!E47</f>
        <v>A-AM</v>
      </c>
      <c r="F47" s="4" t="str">
        <f>Fact_Quality_Sampling!F47</f>
        <v>A</v>
      </c>
      <c r="G47" s="4">
        <f>ROUND(Fact_Quality_Sampling!I47*0.66,0)</f>
        <v>0</v>
      </c>
      <c r="H47" s="4">
        <f>Fact_Quality_Sampling!I47-G47</f>
        <v>0</v>
      </c>
      <c r="I47" s="4">
        <f>ROUND(Fact_Quality_Sampling!J47*0.58,0)</f>
        <v>1</v>
      </c>
      <c r="J47" s="4">
        <f>Fact_Quality_Sampling!J47-I47</f>
        <v>0</v>
      </c>
      <c r="K47" s="4">
        <f>ROUND(Fact_Quality_Sampling!K47*0.44,0)</f>
        <v>1</v>
      </c>
      <c r="L47" s="19">
        <f>Fact_Quality_Sampling!K47-K47</f>
        <v>1</v>
      </c>
    </row>
    <row r="48" spans="1:12" x14ac:dyDescent="0.25">
      <c r="A48" s="18" t="str">
        <f>Fact_Quality_Sampling!A48</f>
        <v>QS-47</v>
      </c>
      <c r="B48" s="4">
        <f>Fact_Quality_Sampling!B48</f>
        <v>20260701</v>
      </c>
      <c r="C48" s="4">
        <f>Fact_Quality_Sampling!C48</f>
        <v>6</v>
      </c>
      <c r="D48" s="4" t="str">
        <f>Fact_Quality_Sampling!D48</f>
        <v>M5</v>
      </c>
      <c r="E48" s="4" t="str">
        <f>Fact_Quality_Sampling!E48</f>
        <v>A-AM</v>
      </c>
      <c r="F48" s="4" t="str">
        <f>Fact_Quality_Sampling!F48</f>
        <v>C</v>
      </c>
      <c r="G48" s="4">
        <f>ROUND(Fact_Quality_Sampling!I48*0.48,0)</f>
        <v>0</v>
      </c>
      <c r="H48" s="4">
        <f>Fact_Quality_Sampling!I48-G48</f>
        <v>0</v>
      </c>
      <c r="I48" s="4">
        <f>ROUND(Fact_Quality_Sampling!J48*0.5,0)</f>
        <v>0</v>
      </c>
      <c r="J48" s="4">
        <f>Fact_Quality_Sampling!J48-I48</f>
        <v>0</v>
      </c>
      <c r="K48" s="4">
        <f>ROUND(Fact_Quality_Sampling!K48*0.51,0)</f>
        <v>1</v>
      </c>
      <c r="L48" s="19">
        <f>Fact_Quality_Sampling!K48-K48</f>
        <v>0</v>
      </c>
    </row>
    <row r="49" spans="1:12" x14ac:dyDescent="0.25">
      <c r="A49" s="18" t="str">
        <f>Fact_Quality_Sampling!A49</f>
        <v>QS-48</v>
      </c>
      <c r="B49" s="4">
        <f>Fact_Quality_Sampling!B49</f>
        <v>20260701</v>
      </c>
      <c r="C49" s="4">
        <f>Fact_Quality_Sampling!C49</f>
        <v>6</v>
      </c>
      <c r="D49" s="4" t="str">
        <f>Fact_Quality_Sampling!D49</f>
        <v>M6</v>
      </c>
      <c r="E49" s="4" t="str">
        <f>Fact_Quality_Sampling!E49</f>
        <v>A-AM</v>
      </c>
      <c r="F49" s="4" t="str">
        <f>Fact_Quality_Sampling!F49</f>
        <v>C</v>
      </c>
      <c r="G49" s="4">
        <f>ROUND(Fact_Quality_Sampling!I49*0.44,0)</f>
        <v>0</v>
      </c>
      <c r="H49" s="4">
        <f>Fact_Quality_Sampling!I49-G49</f>
        <v>0</v>
      </c>
      <c r="I49" s="4">
        <f>ROUND(Fact_Quality_Sampling!J49*0.65,0)</f>
        <v>0</v>
      </c>
      <c r="J49" s="4">
        <f>Fact_Quality_Sampling!J49-I49</f>
        <v>0</v>
      </c>
      <c r="K49" s="4">
        <f>ROUND(Fact_Quality_Sampling!K49*0.7,0)</f>
        <v>1</v>
      </c>
      <c r="L49" s="19">
        <f>Fact_Quality_Sampling!K49-K49</f>
        <v>0</v>
      </c>
    </row>
    <row r="50" spans="1:12" x14ac:dyDescent="0.25">
      <c r="A50" s="18" t="str">
        <f>Fact_Quality_Sampling!A50</f>
        <v>QS-49</v>
      </c>
      <c r="B50" s="4">
        <f>Fact_Quality_Sampling!B50</f>
        <v>20260701</v>
      </c>
      <c r="C50" s="4">
        <f>Fact_Quality_Sampling!C50</f>
        <v>6</v>
      </c>
      <c r="D50" s="4" t="str">
        <f>Fact_Quality_Sampling!D50</f>
        <v>M7</v>
      </c>
      <c r="E50" s="4" t="str">
        <f>Fact_Quality_Sampling!E50</f>
        <v>A-AM</v>
      </c>
      <c r="F50" s="4" t="str">
        <f>Fact_Quality_Sampling!F50</f>
        <v>C</v>
      </c>
      <c r="G50" s="4">
        <f>ROUND(Fact_Quality_Sampling!I50*0.54,0)</f>
        <v>0</v>
      </c>
      <c r="H50" s="4">
        <f>Fact_Quality_Sampling!I50-G50</f>
        <v>0</v>
      </c>
      <c r="I50" s="4">
        <f>ROUND(Fact_Quality_Sampling!J50*0.55,0)</f>
        <v>1</v>
      </c>
      <c r="J50" s="4">
        <f>Fact_Quality_Sampling!J50-I50</f>
        <v>0</v>
      </c>
      <c r="K50" s="4">
        <f>ROUND(Fact_Quality_Sampling!K50*0.43,0)</f>
        <v>1</v>
      </c>
      <c r="L50" s="19">
        <f>Fact_Quality_Sampling!K50-K50</f>
        <v>1</v>
      </c>
    </row>
    <row r="51" spans="1:12" x14ac:dyDescent="0.25">
      <c r="A51" s="18" t="str">
        <f>Fact_Quality_Sampling!A51</f>
        <v>QS-50</v>
      </c>
      <c r="B51" s="4">
        <f>Fact_Quality_Sampling!B51</f>
        <v>20260701</v>
      </c>
      <c r="C51" s="4">
        <f>Fact_Quality_Sampling!C51</f>
        <v>7</v>
      </c>
      <c r="D51" s="4" t="str">
        <f>Fact_Quality_Sampling!D51</f>
        <v>M1</v>
      </c>
      <c r="E51" s="4" t="str">
        <f>Fact_Quality_Sampling!E51</f>
        <v>A-AM</v>
      </c>
      <c r="F51" s="4" t="str">
        <f>Fact_Quality_Sampling!F51</f>
        <v>C</v>
      </c>
      <c r="G51" s="4">
        <f>ROUND(Fact_Quality_Sampling!I51*0.43,0)</f>
        <v>0</v>
      </c>
      <c r="H51" s="4">
        <f>Fact_Quality_Sampling!I51-G51</f>
        <v>0</v>
      </c>
      <c r="I51" s="4">
        <f>ROUND(Fact_Quality_Sampling!J51*0.5,0)</f>
        <v>1</v>
      </c>
      <c r="J51" s="4">
        <f>Fact_Quality_Sampling!J51-I51</f>
        <v>0</v>
      </c>
      <c r="K51" s="4">
        <f>ROUND(Fact_Quality_Sampling!K51*0.48,0)</f>
        <v>0</v>
      </c>
      <c r="L51" s="19">
        <f>Fact_Quality_Sampling!K51-K51</f>
        <v>1</v>
      </c>
    </row>
    <row r="52" spans="1:12" x14ac:dyDescent="0.25">
      <c r="A52" s="18" t="str">
        <f>Fact_Quality_Sampling!A52</f>
        <v>QS-51</v>
      </c>
      <c r="B52" s="4">
        <f>Fact_Quality_Sampling!B52</f>
        <v>20260701</v>
      </c>
      <c r="C52" s="4">
        <f>Fact_Quality_Sampling!C52</f>
        <v>7</v>
      </c>
      <c r="D52" s="4" t="str">
        <f>Fact_Quality_Sampling!D52</f>
        <v>M2</v>
      </c>
      <c r="E52" s="4" t="str">
        <f>Fact_Quality_Sampling!E52</f>
        <v>A-AM</v>
      </c>
      <c r="F52" s="4" t="str">
        <f>Fact_Quality_Sampling!F52</f>
        <v>A</v>
      </c>
      <c r="G52" s="4">
        <f>ROUND(Fact_Quality_Sampling!I52*0.65,0)</f>
        <v>0</v>
      </c>
      <c r="H52" s="4">
        <f>Fact_Quality_Sampling!I52-G52</f>
        <v>0</v>
      </c>
      <c r="I52" s="4">
        <f>ROUND(Fact_Quality_Sampling!J52*0.45,0)</f>
        <v>0</v>
      </c>
      <c r="J52" s="4">
        <f>Fact_Quality_Sampling!J52-I52</f>
        <v>1</v>
      </c>
      <c r="K52" s="4">
        <f>ROUND(Fact_Quality_Sampling!K52*0.41,0)</f>
        <v>1</v>
      </c>
      <c r="L52" s="19">
        <f>Fact_Quality_Sampling!K52-K52</f>
        <v>1</v>
      </c>
    </row>
    <row r="53" spans="1:12" x14ac:dyDescent="0.25">
      <c r="A53" s="18" t="str">
        <f>Fact_Quality_Sampling!A53</f>
        <v>QS-52</v>
      </c>
      <c r="B53" s="4">
        <f>Fact_Quality_Sampling!B53</f>
        <v>20260701</v>
      </c>
      <c r="C53" s="4">
        <f>Fact_Quality_Sampling!C53</f>
        <v>7</v>
      </c>
      <c r="D53" s="4" t="str">
        <f>Fact_Quality_Sampling!D53</f>
        <v>M3</v>
      </c>
      <c r="E53" s="4" t="str">
        <f>Fact_Quality_Sampling!E53</f>
        <v>A-AM</v>
      </c>
      <c r="F53" s="4" t="str">
        <f>Fact_Quality_Sampling!F53</f>
        <v>B</v>
      </c>
      <c r="G53" s="4">
        <f>ROUND(Fact_Quality_Sampling!I53*0.69,0)</f>
        <v>0</v>
      </c>
      <c r="H53" s="4">
        <f>Fact_Quality_Sampling!I53-G53</f>
        <v>0</v>
      </c>
      <c r="I53" s="4">
        <f>ROUND(Fact_Quality_Sampling!J53*0.56,0)</f>
        <v>0</v>
      </c>
      <c r="J53" s="4">
        <f>Fact_Quality_Sampling!J53-I53</f>
        <v>0</v>
      </c>
      <c r="K53" s="4">
        <f>ROUND(Fact_Quality_Sampling!K53*0.44,0)</f>
        <v>0</v>
      </c>
      <c r="L53" s="19">
        <f>Fact_Quality_Sampling!K53-K53</f>
        <v>1</v>
      </c>
    </row>
    <row r="54" spans="1:12" x14ac:dyDescent="0.25">
      <c r="A54" s="18" t="str">
        <f>Fact_Quality_Sampling!A54</f>
        <v>QS-53</v>
      </c>
      <c r="B54" s="4">
        <f>Fact_Quality_Sampling!B54</f>
        <v>20260701</v>
      </c>
      <c r="C54" s="4">
        <f>Fact_Quality_Sampling!C54</f>
        <v>7</v>
      </c>
      <c r="D54" s="4" t="str">
        <f>Fact_Quality_Sampling!D54</f>
        <v>M4</v>
      </c>
      <c r="E54" s="4" t="str">
        <f>Fact_Quality_Sampling!E54</f>
        <v>A-AM</v>
      </c>
      <c r="F54" s="4" t="str">
        <f>Fact_Quality_Sampling!F54</f>
        <v>A</v>
      </c>
      <c r="G54" s="4">
        <f>ROUND(Fact_Quality_Sampling!I54*0.56,0)</f>
        <v>0</v>
      </c>
      <c r="H54" s="4">
        <f>Fact_Quality_Sampling!I54-G54</f>
        <v>0</v>
      </c>
      <c r="I54" s="4">
        <f>ROUND(Fact_Quality_Sampling!J54*0.41,0)</f>
        <v>0</v>
      </c>
      <c r="J54" s="4">
        <f>Fact_Quality_Sampling!J54-I54</f>
        <v>1</v>
      </c>
      <c r="K54" s="4">
        <f>ROUND(Fact_Quality_Sampling!K54*0.56,0)</f>
        <v>1</v>
      </c>
      <c r="L54" s="19">
        <f>Fact_Quality_Sampling!K54-K54</f>
        <v>1</v>
      </c>
    </row>
    <row r="55" spans="1:12" x14ac:dyDescent="0.25">
      <c r="A55" s="18" t="str">
        <f>Fact_Quality_Sampling!A55</f>
        <v>QS-54</v>
      </c>
      <c r="B55" s="4">
        <f>Fact_Quality_Sampling!B55</f>
        <v>20260701</v>
      </c>
      <c r="C55" s="4">
        <f>Fact_Quality_Sampling!C55</f>
        <v>7</v>
      </c>
      <c r="D55" s="4" t="str">
        <f>Fact_Quality_Sampling!D55</f>
        <v>M5</v>
      </c>
      <c r="E55" s="4" t="str">
        <f>Fact_Quality_Sampling!E55</f>
        <v>A-AM</v>
      </c>
      <c r="F55" s="4" t="str">
        <f>Fact_Quality_Sampling!F55</f>
        <v>C</v>
      </c>
      <c r="G55" s="4">
        <f>ROUND(Fact_Quality_Sampling!I55*0.69,0)</f>
        <v>0</v>
      </c>
      <c r="H55" s="4">
        <f>Fact_Quality_Sampling!I55-G55</f>
        <v>0</v>
      </c>
      <c r="I55" s="4">
        <f>ROUND(Fact_Quality_Sampling!J55*0.66,0)</f>
        <v>0</v>
      </c>
      <c r="J55" s="4">
        <f>Fact_Quality_Sampling!J55-I55</f>
        <v>0</v>
      </c>
      <c r="K55" s="4">
        <f>ROUND(Fact_Quality_Sampling!K55*0.61,0)</f>
        <v>1</v>
      </c>
      <c r="L55" s="19">
        <f>Fact_Quality_Sampling!K55-K55</f>
        <v>0</v>
      </c>
    </row>
    <row r="56" spans="1:12" x14ac:dyDescent="0.25">
      <c r="A56" s="18" t="str">
        <f>Fact_Quality_Sampling!A56</f>
        <v>QS-55</v>
      </c>
      <c r="B56" s="4">
        <f>Fact_Quality_Sampling!B56</f>
        <v>20260701</v>
      </c>
      <c r="C56" s="4">
        <f>Fact_Quality_Sampling!C56</f>
        <v>7</v>
      </c>
      <c r="D56" s="4" t="str">
        <f>Fact_Quality_Sampling!D56</f>
        <v>M6</v>
      </c>
      <c r="E56" s="4" t="str">
        <f>Fact_Quality_Sampling!E56</f>
        <v>A-AM</v>
      </c>
      <c r="F56" s="4" t="str">
        <f>Fact_Quality_Sampling!F56</f>
        <v>C</v>
      </c>
      <c r="G56" s="4">
        <f>ROUND(Fact_Quality_Sampling!I56*0.48,0)</f>
        <v>0</v>
      </c>
      <c r="H56" s="4">
        <f>Fact_Quality_Sampling!I56-G56</f>
        <v>0</v>
      </c>
      <c r="I56" s="4">
        <f>ROUND(Fact_Quality_Sampling!J56*0.51,0)</f>
        <v>1</v>
      </c>
      <c r="J56" s="4">
        <f>Fact_Quality_Sampling!J56-I56</f>
        <v>0</v>
      </c>
      <c r="K56" s="4">
        <f>ROUND(Fact_Quality_Sampling!K56*0.45,0)</f>
        <v>0</v>
      </c>
      <c r="L56" s="19">
        <f>Fact_Quality_Sampling!K56-K56</f>
        <v>1</v>
      </c>
    </row>
    <row r="57" spans="1:12" x14ac:dyDescent="0.25">
      <c r="A57" s="18" t="str">
        <f>Fact_Quality_Sampling!A57</f>
        <v>QS-56</v>
      </c>
      <c r="B57" s="4">
        <f>Fact_Quality_Sampling!B57</f>
        <v>20260701</v>
      </c>
      <c r="C57" s="4">
        <f>Fact_Quality_Sampling!C57</f>
        <v>7</v>
      </c>
      <c r="D57" s="4" t="str">
        <f>Fact_Quality_Sampling!D57</f>
        <v>M7</v>
      </c>
      <c r="E57" s="4" t="str">
        <f>Fact_Quality_Sampling!E57</f>
        <v>A-AM</v>
      </c>
      <c r="F57" s="4" t="str">
        <f>Fact_Quality_Sampling!F57</f>
        <v>C</v>
      </c>
      <c r="G57" s="4">
        <f>ROUND(Fact_Quality_Sampling!I57*0.63,0)</f>
        <v>0</v>
      </c>
      <c r="H57" s="4">
        <f>Fact_Quality_Sampling!I57-G57</f>
        <v>0</v>
      </c>
      <c r="I57" s="4">
        <f>ROUND(Fact_Quality_Sampling!J57*0.56,0)</f>
        <v>1</v>
      </c>
      <c r="J57" s="4">
        <f>Fact_Quality_Sampling!J57-I57</f>
        <v>0</v>
      </c>
      <c r="K57" s="4">
        <f>ROUND(Fact_Quality_Sampling!K57*0.63,0)</f>
        <v>1</v>
      </c>
      <c r="L57" s="19">
        <f>Fact_Quality_Sampling!K57-K57</f>
        <v>0</v>
      </c>
    </row>
    <row r="58" spans="1:12" x14ac:dyDescent="0.25">
      <c r="A58" s="18" t="str">
        <f>Fact_Quality_Sampling!A58</f>
        <v>QS-57</v>
      </c>
      <c r="B58" s="4">
        <f>Fact_Quality_Sampling!B58</f>
        <v>20260701</v>
      </c>
      <c r="C58" s="4">
        <f>Fact_Quality_Sampling!C58</f>
        <v>8</v>
      </c>
      <c r="D58" s="4" t="str">
        <f>Fact_Quality_Sampling!D58</f>
        <v>M1</v>
      </c>
      <c r="E58" s="4" t="str">
        <f>Fact_Quality_Sampling!E58</f>
        <v>A-AM</v>
      </c>
      <c r="F58" s="4" t="str">
        <f>Fact_Quality_Sampling!F58</f>
        <v>C</v>
      </c>
      <c r="G58" s="4">
        <f>ROUND(Fact_Quality_Sampling!I58*0.5,0)</f>
        <v>0</v>
      </c>
      <c r="H58" s="4">
        <f>Fact_Quality_Sampling!I58-G58</f>
        <v>0</v>
      </c>
      <c r="I58" s="4">
        <f>ROUND(Fact_Quality_Sampling!J58*0.47,0)</f>
        <v>0</v>
      </c>
      <c r="J58" s="4">
        <f>Fact_Quality_Sampling!J58-I58</f>
        <v>1</v>
      </c>
      <c r="K58" s="4">
        <f>ROUND(Fact_Quality_Sampling!K58*0.64,0)</f>
        <v>1</v>
      </c>
      <c r="L58" s="19">
        <f>Fact_Quality_Sampling!K58-K58</f>
        <v>0</v>
      </c>
    </row>
    <row r="59" spans="1:12" x14ac:dyDescent="0.25">
      <c r="A59" s="18" t="str">
        <f>Fact_Quality_Sampling!A59</f>
        <v>QS-58</v>
      </c>
      <c r="B59" s="4">
        <f>Fact_Quality_Sampling!B59</f>
        <v>20260701</v>
      </c>
      <c r="C59" s="4">
        <f>Fact_Quality_Sampling!C59</f>
        <v>8</v>
      </c>
      <c r="D59" s="4" t="str">
        <f>Fact_Quality_Sampling!D59</f>
        <v>M2</v>
      </c>
      <c r="E59" s="4" t="str">
        <f>Fact_Quality_Sampling!E59</f>
        <v>A-AM</v>
      </c>
      <c r="F59" s="4" t="str">
        <f>Fact_Quality_Sampling!F59</f>
        <v>A</v>
      </c>
      <c r="G59" s="4">
        <f>ROUND(Fact_Quality_Sampling!I59*0.7,0)</f>
        <v>0</v>
      </c>
      <c r="H59" s="4">
        <f>Fact_Quality_Sampling!I59-G59</f>
        <v>0</v>
      </c>
      <c r="I59" s="4">
        <f>ROUND(Fact_Quality_Sampling!J59*0.66,0)</f>
        <v>1</v>
      </c>
      <c r="J59" s="4">
        <f>Fact_Quality_Sampling!J59-I59</f>
        <v>0</v>
      </c>
      <c r="K59" s="4">
        <f>ROUND(Fact_Quality_Sampling!K59*0.64,0)</f>
        <v>1</v>
      </c>
      <c r="L59" s="19">
        <f>Fact_Quality_Sampling!K59-K59</f>
        <v>0</v>
      </c>
    </row>
    <row r="60" spans="1:12" x14ac:dyDescent="0.25">
      <c r="A60" s="18" t="str">
        <f>Fact_Quality_Sampling!A60</f>
        <v>QS-59</v>
      </c>
      <c r="B60" s="4">
        <f>Fact_Quality_Sampling!B60</f>
        <v>20260701</v>
      </c>
      <c r="C60" s="4">
        <f>Fact_Quality_Sampling!C60</f>
        <v>8</v>
      </c>
      <c r="D60" s="4" t="str">
        <f>Fact_Quality_Sampling!D60</f>
        <v>M3</v>
      </c>
      <c r="E60" s="4" t="str">
        <f>Fact_Quality_Sampling!E60</f>
        <v>A-AM</v>
      </c>
      <c r="F60" s="4" t="str">
        <f>Fact_Quality_Sampling!F60</f>
        <v>B</v>
      </c>
      <c r="G60" s="4">
        <f>ROUND(Fact_Quality_Sampling!I60*0.65,0)</f>
        <v>0</v>
      </c>
      <c r="H60" s="4">
        <f>Fact_Quality_Sampling!I60-G60</f>
        <v>0</v>
      </c>
      <c r="I60" s="4">
        <f>ROUND(Fact_Quality_Sampling!J60*0.62,0)</f>
        <v>0</v>
      </c>
      <c r="J60" s="4">
        <f>Fact_Quality_Sampling!J60-I60</f>
        <v>0</v>
      </c>
      <c r="K60" s="4">
        <f>ROUND(Fact_Quality_Sampling!K60*0.47,0)</f>
        <v>0</v>
      </c>
      <c r="L60" s="19">
        <f>Fact_Quality_Sampling!K60-K60</f>
        <v>1</v>
      </c>
    </row>
    <row r="61" spans="1:12" x14ac:dyDescent="0.25">
      <c r="A61" s="18" t="str">
        <f>Fact_Quality_Sampling!A61</f>
        <v>QS-60</v>
      </c>
      <c r="B61" s="4">
        <f>Fact_Quality_Sampling!B61</f>
        <v>20260701</v>
      </c>
      <c r="C61" s="4">
        <f>Fact_Quality_Sampling!C61</f>
        <v>8</v>
      </c>
      <c r="D61" s="4" t="str">
        <f>Fact_Quality_Sampling!D61</f>
        <v>M4</v>
      </c>
      <c r="E61" s="4" t="str">
        <f>Fact_Quality_Sampling!E61</f>
        <v>A-AM</v>
      </c>
      <c r="F61" s="4" t="str">
        <f>Fact_Quality_Sampling!F61</f>
        <v>A</v>
      </c>
      <c r="G61" s="4">
        <f>ROUND(Fact_Quality_Sampling!I61*0.56,0)</f>
        <v>0</v>
      </c>
      <c r="H61" s="4">
        <f>Fact_Quality_Sampling!I61-G61</f>
        <v>0</v>
      </c>
      <c r="I61" s="4">
        <f>ROUND(Fact_Quality_Sampling!J61*0.51,0)</f>
        <v>1</v>
      </c>
      <c r="J61" s="4">
        <f>Fact_Quality_Sampling!J61-I61</f>
        <v>0</v>
      </c>
      <c r="K61" s="4">
        <f>ROUND(Fact_Quality_Sampling!K61*0.41,0)</f>
        <v>1</v>
      </c>
      <c r="L61" s="19">
        <f>Fact_Quality_Sampling!K61-K61</f>
        <v>1</v>
      </c>
    </row>
    <row r="62" spans="1:12" x14ac:dyDescent="0.25">
      <c r="A62" s="18" t="str">
        <f>Fact_Quality_Sampling!A62</f>
        <v>QS-61</v>
      </c>
      <c r="B62" s="4">
        <f>Fact_Quality_Sampling!B62</f>
        <v>20260701</v>
      </c>
      <c r="C62" s="4">
        <f>Fact_Quality_Sampling!C62</f>
        <v>8</v>
      </c>
      <c r="D62" s="4" t="str">
        <f>Fact_Quality_Sampling!D62</f>
        <v>M5</v>
      </c>
      <c r="E62" s="4" t="str">
        <f>Fact_Quality_Sampling!E62</f>
        <v>A-AM</v>
      </c>
      <c r="F62" s="4" t="str">
        <f>Fact_Quality_Sampling!F62</f>
        <v>C</v>
      </c>
      <c r="G62" s="4">
        <f>ROUND(Fact_Quality_Sampling!I62*0.41,0)</f>
        <v>0</v>
      </c>
      <c r="H62" s="4">
        <f>Fact_Quality_Sampling!I62-G62</f>
        <v>0</v>
      </c>
      <c r="I62" s="4">
        <f>ROUND(Fact_Quality_Sampling!J62*0.48,0)</f>
        <v>0</v>
      </c>
      <c r="J62" s="4">
        <f>Fact_Quality_Sampling!J62-I62</f>
        <v>0</v>
      </c>
      <c r="K62" s="4">
        <f>ROUND(Fact_Quality_Sampling!K62*0.48,0)</f>
        <v>0</v>
      </c>
      <c r="L62" s="19">
        <f>Fact_Quality_Sampling!K62-K62</f>
        <v>1</v>
      </c>
    </row>
    <row r="63" spans="1:12" x14ac:dyDescent="0.25">
      <c r="A63" s="18" t="str">
        <f>Fact_Quality_Sampling!A63</f>
        <v>QS-62</v>
      </c>
      <c r="B63" s="4">
        <f>Fact_Quality_Sampling!B63</f>
        <v>20260701</v>
      </c>
      <c r="C63" s="4">
        <f>Fact_Quality_Sampling!C63</f>
        <v>8</v>
      </c>
      <c r="D63" s="4" t="str">
        <f>Fact_Quality_Sampling!D63</f>
        <v>M6</v>
      </c>
      <c r="E63" s="4" t="str">
        <f>Fact_Quality_Sampling!E63</f>
        <v>A-AM</v>
      </c>
      <c r="F63" s="4" t="str">
        <f>Fact_Quality_Sampling!F63</f>
        <v>C</v>
      </c>
      <c r="G63" s="4">
        <f>ROUND(Fact_Quality_Sampling!I63*0.61,0)</f>
        <v>0</v>
      </c>
      <c r="H63" s="4">
        <f>Fact_Quality_Sampling!I63-G63</f>
        <v>0</v>
      </c>
      <c r="I63" s="4">
        <f>ROUND(Fact_Quality_Sampling!J63*0.69,0)</f>
        <v>0</v>
      </c>
      <c r="J63" s="4">
        <f>Fact_Quality_Sampling!J63-I63</f>
        <v>0</v>
      </c>
      <c r="K63" s="4">
        <f>ROUND(Fact_Quality_Sampling!K63*0.53,0)</f>
        <v>0</v>
      </c>
      <c r="L63" s="19">
        <f>Fact_Quality_Sampling!K63-K63</f>
        <v>0</v>
      </c>
    </row>
    <row r="64" spans="1:12" x14ac:dyDescent="0.25">
      <c r="A64" s="18" t="str">
        <f>Fact_Quality_Sampling!A64</f>
        <v>QS-63</v>
      </c>
      <c r="B64" s="4">
        <f>Fact_Quality_Sampling!B64</f>
        <v>20260701</v>
      </c>
      <c r="C64" s="4">
        <f>Fact_Quality_Sampling!C64</f>
        <v>8</v>
      </c>
      <c r="D64" s="4" t="str">
        <f>Fact_Quality_Sampling!D64</f>
        <v>M7</v>
      </c>
      <c r="E64" s="4" t="str">
        <f>Fact_Quality_Sampling!E64</f>
        <v>A-AM</v>
      </c>
      <c r="F64" s="4" t="str">
        <f>Fact_Quality_Sampling!F64</f>
        <v>C</v>
      </c>
      <c r="G64" s="4">
        <f>ROUND(Fact_Quality_Sampling!I64*0.68,0)</f>
        <v>0</v>
      </c>
      <c r="H64" s="4">
        <f>Fact_Quality_Sampling!I64-G64</f>
        <v>0</v>
      </c>
      <c r="I64" s="4">
        <f>ROUND(Fact_Quality_Sampling!J64*0.7,0)</f>
        <v>0</v>
      </c>
      <c r="J64" s="4">
        <f>Fact_Quality_Sampling!J64-I64</f>
        <v>0</v>
      </c>
      <c r="K64" s="4">
        <f>ROUND(Fact_Quality_Sampling!K64*0.69,0)</f>
        <v>1</v>
      </c>
      <c r="L64" s="19">
        <f>Fact_Quality_Sampling!K64-K64</f>
        <v>0</v>
      </c>
    </row>
    <row r="65" spans="1:12" x14ac:dyDescent="0.25">
      <c r="A65" s="18" t="str">
        <f>Fact_Quality_Sampling!A65</f>
        <v>QS-64</v>
      </c>
      <c r="B65" s="4">
        <f>Fact_Quality_Sampling!B65</f>
        <v>20260701</v>
      </c>
      <c r="C65" s="4">
        <f>Fact_Quality_Sampling!C65</f>
        <v>9</v>
      </c>
      <c r="D65" s="4" t="str">
        <f>Fact_Quality_Sampling!D65</f>
        <v>M1</v>
      </c>
      <c r="E65" s="4" t="str">
        <f>Fact_Quality_Sampling!E65</f>
        <v>A-AM</v>
      </c>
      <c r="F65" s="4" t="str">
        <f>Fact_Quality_Sampling!F65</f>
        <v>C</v>
      </c>
      <c r="G65" s="4">
        <f>ROUND(Fact_Quality_Sampling!I65*0.51,0)</f>
        <v>0</v>
      </c>
      <c r="H65" s="4">
        <f>Fact_Quality_Sampling!I65-G65</f>
        <v>0</v>
      </c>
      <c r="I65" s="4">
        <f>ROUND(Fact_Quality_Sampling!J65*0.47,0)</f>
        <v>0</v>
      </c>
      <c r="J65" s="4">
        <f>Fact_Quality_Sampling!J65-I65</f>
        <v>0</v>
      </c>
      <c r="K65" s="4">
        <f>ROUND(Fact_Quality_Sampling!K65*0.47,0)</f>
        <v>0</v>
      </c>
      <c r="L65" s="19">
        <f>Fact_Quality_Sampling!K65-K65</f>
        <v>1</v>
      </c>
    </row>
    <row r="66" spans="1:12" x14ac:dyDescent="0.25">
      <c r="A66" s="18" t="str">
        <f>Fact_Quality_Sampling!A66</f>
        <v>QS-65</v>
      </c>
      <c r="B66" s="4">
        <f>Fact_Quality_Sampling!B66</f>
        <v>20260701</v>
      </c>
      <c r="C66" s="4">
        <f>Fact_Quality_Sampling!C66</f>
        <v>9</v>
      </c>
      <c r="D66" s="4" t="str">
        <f>Fact_Quality_Sampling!D66</f>
        <v>M2</v>
      </c>
      <c r="E66" s="4" t="str">
        <f>Fact_Quality_Sampling!E66</f>
        <v>A-AM</v>
      </c>
      <c r="F66" s="4" t="str">
        <f>Fact_Quality_Sampling!F66</f>
        <v>A</v>
      </c>
      <c r="G66" s="4">
        <f>ROUND(Fact_Quality_Sampling!I66*0.46,0)</f>
        <v>0</v>
      </c>
      <c r="H66" s="4">
        <f>Fact_Quality_Sampling!I66-G66</f>
        <v>0</v>
      </c>
      <c r="I66" s="4">
        <f>ROUND(Fact_Quality_Sampling!J66*0.46,0)</f>
        <v>0</v>
      </c>
      <c r="J66" s="4">
        <f>Fact_Quality_Sampling!J66-I66</f>
        <v>0</v>
      </c>
      <c r="K66" s="4">
        <f>ROUND(Fact_Quality_Sampling!K66*0.59,0)</f>
        <v>1</v>
      </c>
      <c r="L66" s="19">
        <f>Fact_Quality_Sampling!K66-K66</f>
        <v>0</v>
      </c>
    </row>
    <row r="67" spans="1:12" x14ac:dyDescent="0.25">
      <c r="A67" s="18" t="str">
        <f>Fact_Quality_Sampling!A67</f>
        <v>QS-66</v>
      </c>
      <c r="B67" s="4">
        <f>Fact_Quality_Sampling!B67</f>
        <v>20260701</v>
      </c>
      <c r="C67" s="4">
        <f>Fact_Quality_Sampling!C67</f>
        <v>9</v>
      </c>
      <c r="D67" s="4" t="str">
        <f>Fact_Quality_Sampling!D67</f>
        <v>M3</v>
      </c>
      <c r="E67" s="4" t="str">
        <f>Fact_Quality_Sampling!E67</f>
        <v>A-AM</v>
      </c>
      <c r="F67" s="4" t="str">
        <f>Fact_Quality_Sampling!F67</f>
        <v>B</v>
      </c>
      <c r="G67" s="4">
        <f>ROUND(Fact_Quality_Sampling!I67*0.67,0)</f>
        <v>0</v>
      </c>
      <c r="H67" s="4">
        <f>Fact_Quality_Sampling!I67-G67</f>
        <v>0</v>
      </c>
      <c r="I67" s="4">
        <f>ROUND(Fact_Quality_Sampling!J67*0.65,0)</f>
        <v>0</v>
      </c>
      <c r="J67" s="4">
        <f>Fact_Quality_Sampling!J67-I67</f>
        <v>0</v>
      </c>
      <c r="K67" s="4">
        <f>ROUND(Fact_Quality_Sampling!K67*0.54,0)</f>
        <v>1</v>
      </c>
      <c r="L67" s="19">
        <f>Fact_Quality_Sampling!K67-K67</f>
        <v>0</v>
      </c>
    </row>
    <row r="68" spans="1:12" x14ac:dyDescent="0.25">
      <c r="A68" s="18" t="str">
        <f>Fact_Quality_Sampling!A68</f>
        <v>QS-67</v>
      </c>
      <c r="B68" s="4">
        <f>Fact_Quality_Sampling!B68</f>
        <v>20260701</v>
      </c>
      <c r="C68" s="4">
        <f>Fact_Quality_Sampling!C68</f>
        <v>9</v>
      </c>
      <c r="D68" s="4" t="str">
        <f>Fact_Quality_Sampling!D68</f>
        <v>M4</v>
      </c>
      <c r="E68" s="4" t="str">
        <f>Fact_Quality_Sampling!E68</f>
        <v>A-AM</v>
      </c>
      <c r="F68" s="4" t="str">
        <f>Fact_Quality_Sampling!F68</f>
        <v>A</v>
      </c>
      <c r="G68" s="4">
        <f>ROUND(Fact_Quality_Sampling!I68*0.6,0)</f>
        <v>0</v>
      </c>
      <c r="H68" s="4">
        <f>Fact_Quality_Sampling!I68-G68</f>
        <v>0</v>
      </c>
      <c r="I68" s="4">
        <f>ROUND(Fact_Quality_Sampling!J68*0.64,0)</f>
        <v>1</v>
      </c>
      <c r="J68" s="4">
        <f>Fact_Quality_Sampling!J68-I68</f>
        <v>0</v>
      </c>
      <c r="K68" s="4">
        <f>ROUND(Fact_Quality_Sampling!K68*0.43,0)</f>
        <v>1</v>
      </c>
      <c r="L68" s="19">
        <f>Fact_Quality_Sampling!K68-K68</f>
        <v>1</v>
      </c>
    </row>
    <row r="69" spans="1:12" x14ac:dyDescent="0.25">
      <c r="A69" s="18" t="str">
        <f>Fact_Quality_Sampling!A69</f>
        <v>QS-68</v>
      </c>
      <c r="B69" s="4">
        <f>Fact_Quality_Sampling!B69</f>
        <v>20260701</v>
      </c>
      <c r="C69" s="4">
        <f>Fact_Quality_Sampling!C69</f>
        <v>9</v>
      </c>
      <c r="D69" s="4" t="str">
        <f>Fact_Quality_Sampling!D69</f>
        <v>M5</v>
      </c>
      <c r="E69" s="4" t="str">
        <f>Fact_Quality_Sampling!E69</f>
        <v>A-AM</v>
      </c>
      <c r="F69" s="4" t="str">
        <f>Fact_Quality_Sampling!F69</f>
        <v>C</v>
      </c>
      <c r="G69" s="4">
        <f>ROUND(Fact_Quality_Sampling!I69*0.6,0)</f>
        <v>0</v>
      </c>
      <c r="H69" s="4">
        <f>Fact_Quality_Sampling!I69-G69</f>
        <v>0</v>
      </c>
      <c r="I69" s="4">
        <f>ROUND(Fact_Quality_Sampling!J69*0.67,0)</f>
        <v>0</v>
      </c>
      <c r="J69" s="4">
        <f>Fact_Quality_Sampling!J69-I69</f>
        <v>0</v>
      </c>
      <c r="K69" s="4">
        <f>ROUND(Fact_Quality_Sampling!K69*0.63,0)</f>
        <v>1</v>
      </c>
      <c r="L69" s="19">
        <f>Fact_Quality_Sampling!K69-K69</f>
        <v>0</v>
      </c>
    </row>
    <row r="70" spans="1:12" x14ac:dyDescent="0.25">
      <c r="A70" s="18" t="str">
        <f>Fact_Quality_Sampling!A70</f>
        <v>QS-69</v>
      </c>
      <c r="B70" s="4">
        <f>Fact_Quality_Sampling!B70</f>
        <v>20260701</v>
      </c>
      <c r="C70" s="4">
        <f>Fact_Quality_Sampling!C70</f>
        <v>9</v>
      </c>
      <c r="D70" s="4" t="str">
        <f>Fact_Quality_Sampling!D70</f>
        <v>M6</v>
      </c>
      <c r="E70" s="4" t="str">
        <f>Fact_Quality_Sampling!E70</f>
        <v>A-AM</v>
      </c>
      <c r="F70" s="4" t="str">
        <f>Fact_Quality_Sampling!F70</f>
        <v>C</v>
      </c>
      <c r="G70" s="4">
        <f>ROUND(Fact_Quality_Sampling!I70*0.63,0)</f>
        <v>0</v>
      </c>
      <c r="H70" s="4">
        <f>Fact_Quality_Sampling!I70-G70</f>
        <v>0</v>
      </c>
      <c r="I70" s="4">
        <f>ROUND(Fact_Quality_Sampling!J70*0.54,0)</f>
        <v>0</v>
      </c>
      <c r="J70" s="4">
        <f>Fact_Quality_Sampling!J70-I70</f>
        <v>0</v>
      </c>
      <c r="K70" s="4">
        <f>ROUND(Fact_Quality_Sampling!K70*0.45,0)</f>
        <v>0</v>
      </c>
      <c r="L70" s="19">
        <f>Fact_Quality_Sampling!K70-K70</f>
        <v>1</v>
      </c>
    </row>
    <row r="71" spans="1:12" x14ac:dyDescent="0.25">
      <c r="A71" s="18" t="str">
        <f>Fact_Quality_Sampling!A71</f>
        <v>QS-70</v>
      </c>
      <c r="B71" s="4">
        <f>Fact_Quality_Sampling!B71</f>
        <v>20260701</v>
      </c>
      <c r="C71" s="4">
        <f>Fact_Quality_Sampling!C71</f>
        <v>9</v>
      </c>
      <c r="D71" s="4" t="str">
        <f>Fact_Quality_Sampling!D71</f>
        <v>M7</v>
      </c>
      <c r="E71" s="4" t="str">
        <f>Fact_Quality_Sampling!E71</f>
        <v>A-AM</v>
      </c>
      <c r="F71" s="4" t="str">
        <f>Fact_Quality_Sampling!F71</f>
        <v>C</v>
      </c>
      <c r="G71" s="4">
        <f>ROUND(Fact_Quality_Sampling!I71*0.64,0)</f>
        <v>0</v>
      </c>
      <c r="H71" s="4">
        <f>Fact_Quality_Sampling!I71-G71</f>
        <v>0</v>
      </c>
      <c r="I71" s="4">
        <f>ROUND(Fact_Quality_Sampling!J71*0.5,0)</f>
        <v>0</v>
      </c>
      <c r="J71" s="4">
        <f>Fact_Quality_Sampling!J71-I71</f>
        <v>0</v>
      </c>
      <c r="K71" s="4">
        <f>ROUND(Fact_Quality_Sampling!K71*0.64,0)</f>
        <v>1</v>
      </c>
      <c r="L71" s="19">
        <f>Fact_Quality_Sampling!K71-K71</f>
        <v>0</v>
      </c>
    </row>
    <row r="72" spans="1:12" x14ac:dyDescent="0.25">
      <c r="A72" s="18" t="str">
        <f>Fact_Quality_Sampling!A72</f>
        <v>QS-71</v>
      </c>
      <c r="B72" s="4">
        <f>Fact_Quality_Sampling!B72</f>
        <v>20260701</v>
      </c>
      <c r="C72" s="4">
        <f>Fact_Quality_Sampling!C72</f>
        <v>10</v>
      </c>
      <c r="D72" s="4" t="str">
        <f>Fact_Quality_Sampling!D72</f>
        <v>M1</v>
      </c>
      <c r="E72" s="4" t="str">
        <f>Fact_Quality_Sampling!E72</f>
        <v>A-AM</v>
      </c>
      <c r="F72" s="4" t="str">
        <f>Fact_Quality_Sampling!F72</f>
        <v>C</v>
      </c>
      <c r="G72" s="4">
        <f>ROUND(Fact_Quality_Sampling!I72*0.69,0)</f>
        <v>0</v>
      </c>
      <c r="H72" s="4">
        <f>Fact_Quality_Sampling!I72-G72</f>
        <v>0</v>
      </c>
      <c r="I72" s="4">
        <f>ROUND(Fact_Quality_Sampling!J72*0.52,0)</f>
        <v>1</v>
      </c>
      <c r="J72" s="4">
        <f>Fact_Quality_Sampling!J72-I72</f>
        <v>0</v>
      </c>
      <c r="K72" s="4">
        <f>ROUND(Fact_Quality_Sampling!K72*0.52,0)</f>
        <v>1</v>
      </c>
      <c r="L72" s="19">
        <f>Fact_Quality_Sampling!K72-K72</f>
        <v>0</v>
      </c>
    </row>
    <row r="73" spans="1:12" x14ac:dyDescent="0.25">
      <c r="A73" s="18" t="str">
        <f>Fact_Quality_Sampling!A73</f>
        <v>QS-72</v>
      </c>
      <c r="B73" s="4">
        <f>Fact_Quality_Sampling!B73</f>
        <v>20260701</v>
      </c>
      <c r="C73" s="4">
        <f>Fact_Quality_Sampling!C73</f>
        <v>10</v>
      </c>
      <c r="D73" s="4" t="str">
        <f>Fact_Quality_Sampling!D73</f>
        <v>M2</v>
      </c>
      <c r="E73" s="4" t="str">
        <f>Fact_Quality_Sampling!E73</f>
        <v>A-AM</v>
      </c>
      <c r="F73" s="4" t="str">
        <f>Fact_Quality_Sampling!F73</f>
        <v>A</v>
      </c>
      <c r="G73" s="4">
        <f>ROUND(Fact_Quality_Sampling!I73*0.68,0)</f>
        <v>0</v>
      </c>
      <c r="H73" s="4">
        <f>Fact_Quality_Sampling!I73-G73</f>
        <v>0</v>
      </c>
      <c r="I73" s="4">
        <f>ROUND(Fact_Quality_Sampling!J73*0.62,0)</f>
        <v>1</v>
      </c>
      <c r="J73" s="4">
        <f>Fact_Quality_Sampling!J73-I73</f>
        <v>0</v>
      </c>
      <c r="K73" s="4">
        <f>ROUND(Fact_Quality_Sampling!K73*0.45,0)</f>
        <v>0</v>
      </c>
      <c r="L73" s="19">
        <f>Fact_Quality_Sampling!K73-K73</f>
        <v>1</v>
      </c>
    </row>
    <row r="74" spans="1:12" x14ac:dyDescent="0.25">
      <c r="A74" s="18" t="str">
        <f>Fact_Quality_Sampling!A74</f>
        <v>QS-73</v>
      </c>
      <c r="B74" s="4">
        <f>Fact_Quality_Sampling!B74</f>
        <v>20260701</v>
      </c>
      <c r="C74" s="4">
        <f>Fact_Quality_Sampling!C74</f>
        <v>10</v>
      </c>
      <c r="D74" s="4" t="str">
        <f>Fact_Quality_Sampling!D74</f>
        <v>M3</v>
      </c>
      <c r="E74" s="4" t="str">
        <f>Fact_Quality_Sampling!E74</f>
        <v>A-AM</v>
      </c>
      <c r="F74" s="4" t="str">
        <f>Fact_Quality_Sampling!F74</f>
        <v>B</v>
      </c>
      <c r="G74" s="4">
        <f>ROUND(Fact_Quality_Sampling!I74*0.44,0)</f>
        <v>0</v>
      </c>
      <c r="H74" s="4">
        <f>Fact_Quality_Sampling!I74-G74</f>
        <v>0</v>
      </c>
      <c r="I74" s="4">
        <f>ROUND(Fact_Quality_Sampling!J74*0.45,0)</f>
        <v>0</v>
      </c>
      <c r="J74" s="4">
        <f>Fact_Quality_Sampling!J74-I74</f>
        <v>0</v>
      </c>
      <c r="K74" s="4">
        <f>ROUND(Fact_Quality_Sampling!K74*0.67,0)</f>
        <v>1</v>
      </c>
      <c r="L74" s="19">
        <f>Fact_Quality_Sampling!K74-K74</f>
        <v>0</v>
      </c>
    </row>
    <row r="75" spans="1:12" x14ac:dyDescent="0.25">
      <c r="A75" s="18" t="str">
        <f>Fact_Quality_Sampling!A75</f>
        <v>QS-74</v>
      </c>
      <c r="B75" s="4">
        <f>Fact_Quality_Sampling!B75</f>
        <v>20260701</v>
      </c>
      <c r="C75" s="4">
        <f>Fact_Quality_Sampling!C75</f>
        <v>10</v>
      </c>
      <c r="D75" s="4" t="str">
        <f>Fact_Quality_Sampling!D75</f>
        <v>M4</v>
      </c>
      <c r="E75" s="4" t="str">
        <f>Fact_Quality_Sampling!E75</f>
        <v>A-AM</v>
      </c>
      <c r="F75" s="4" t="str">
        <f>Fact_Quality_Sampling!F75</f>
        <v>A</v>
      </c>
      <c r="G75" s="4">
        <f>ROUND(Fact_Quality_Sampling!I75*0.64,0)</f>
        <v>0</v>
      </c>
      <c r="H75" s="4">
        <f>Fact_Quality_Sampling!I75-G75</f>
        <v>0</v>
      </c>
      <c r="I75" s="4">
        <f>ROUND(Fact_Quality_Sampling!J75*0.44,0)</f>
        <v>0</v>
      </c>
      <c r="J75" s="4">
        <f>Fact_Quality_Sampling!J75-I75</f>
        <v>0</v>
      </c>
      <c r="K75" s="4">
        <f>ROUND(Fact_Quality_Sampling!K75*0.65,0)</f>
        <v>1</v>
      </c>
      <c r="L75" s="19">
        <f>Fact_Quality_Sampling!K75-K75</f>
        <v>0</v>
      </c>
    </row>
    <row r="76" spans="1:12" x14ac:dyDescent="0.25">
      <c r="A76" s="18" t="str">
        <f>Fact_Quality_Sampling!A76</f>
        <v>QS-75</v>
      </c>
      <c r="B76" s="4">
        <f>Fact_Quality_Sampling!B76</f>
        <v>20260701</v>
      </c>
      <c r="C76" s="4">
        <f>Fact_Quality_Sampling!C76</f>
        <v>10</v>
      </c>
      <c r="D76" s="4" t="str">
        <f>Fact_Quality_Sampling!D76</f>
        <v>M5</v>
      </c>
      <c r="E76" s="4" t="str">
        <f>Fact_Quality_Sampling!E76</f>
        <v>A-AM</v>
      </c>
      <c r="F76" s="4" t="str">
        <f>Fact_Quality_Sampling!F76</f>
        <v>C</v>
      </c>
      <c r="G76" s="4">
        <f>ROUND(Fact_Quality_Sampling!I76*0.69,0)</f>
        <v>0</v>
      </c>
      <c r="H76" s="4">
        <f>Fact_Quality_Sampling!I76-G76</f>
        <v>0</v>
      </c>
      <c r="I76" s="4">
        <f>ROUND(Fact_Quality_Sampling!J76*0.6,0)</f>
        <v>0</v>
      </c>
      <c r="J76" s="4">
        <f>Fact_Quality_Sampling!J76-I76</f>
        <v>0</v>
      </c>
      <c r="K76" s="4">
        <f>ROUND(Fact_Quality_Sampling!K76*0.51,0)</f>
        <v>1</v>
      </c>
      <c r="L76" s="19">
        <f>Fact_Quality_Sampling!K76-K76</f>
        <v>0</v>
      </c>
    </row>
    <row r="77" spans="1:12" x14ac:dyDescent="0.25">
      <c r="A77" s="18" t="str">
        <f>Fact_Quality_Sampling!A77</f>
        <v>QS-76</v>
      </c>
      <c r="B77" s="4">
        <f>Fact_Quality_Sampling!B77</f>
        <v>20260701</v>
      </c>
      <c r="C77" s="4">
        <f>Fact_Quality_Sampling!C77</f>
        <v>10</v>
      </c>
      <c r="D77" s="4" t="str">
        <f>Fact_Quality_Sampling!D77</f>
        <v>M6</v>
      </c>
      <c r="E77" s="4" t="str">
        <f>Fact_Quality_Sampling!E77</f>
        <v>A-AM</v>
      </c>
      <c r="F77" s="4" t="str">
        <f>Fact_Quality_Sampling!F77</f>
        <v>C</v>
      </c>
      <c r="G77" s="4">
        <f>ROUND(Fact_Quality_Sampling!I77*0.56,0)</f>
        <v>0</v>
      </c>
      <c r="H77" s="4">
        <f>Fact_Quality_Sampling!I77-G77</f>
        <v>0</v>
      </c>
      <c r="I77" s="4">
        <f>ROUND(Fact_Quality_Sampling!J77*0.44,0)</f>
        <v>0</v>
      </c>
      <c r="J77" s="4">
        <f>Fact_Quality_Sampling!J77-I77</f>
        <v>0</v>
      </c>
      <c r="K77" s="4">
        <f>ROUND(Fact_Quality_Sampling!K77*0.4,0)</f>
        <v>0</v>
      </c>
      <c r="L77" s="19">
        <f>Fact_Quality_Sampling!K77-K77</f>
        <v>1</v>
      </c>
    </row>
    <row r="78" spans="1:12" x14ac:dyDescent="0.25">
      <c r="A78" s="18" t="str">
        <f>Fact_Quality_Sampling!A78</f>
        <v>QS-77</v>
      </c>
      <c r="B78" s="4">
        <f>Fact_Quality_Sampling!B78</f>
        <v>20260701</v>
      </c>
      <c r="C78" s="4">
        <f>Fact_Quality_Sampling!C78</f>
        <v>10</v>
      </c>
      <c r="D78" s="4" t="str">
        <f>Fact_Quality_Sampling!D78</f>
        <v>M7</v>
      </c>
      <c r="E78" s="4" t="str">
        <f>Fact_Quality_Sampling!E78</f>
        <v>A-AM</v>
      </c>
      <c r="F78" s="4" t="str">
        <f>Fact_Quality_Sampling!F78</f>
        <v>C</v>
      </c>
      <c r="G78" s="4">
        <f>ROUND(Fact_Quality_Sampling!I78*0.69,0)</f>
        <v>0</v>
      </c>
      <c r="H78" s="4">
        <f>Fact_Quality_Sampling!I78-G78</f>
        <v>0</v>
      </c>
      <c r="I78" s="4">
        <f>ROUND(Fact_Quality_Sampling!J78*0.59,0)</f>
        <v>1</v>
      </c>
      <c r="J78" s="4">
        <f>Fact_Quality_Sampling!J78-I78</f>
        <v>0</v>
      </c>
      <c r="K78" s="4">
        <f>ROUND(Fact_Quality_Sampling!K78*0.56,0)</f>
        <v>1</v>
      </c>
      <c r="L78" s="19">
        <f>Fact_Quality_Sampling!K78-K78</f>
        <v>1</v>
      </c>
    </row>
    <row r="79" spans="1:12" x14ac:dyDescent="0.25">
      <c r="A79" s="18" t="str">
        <f>Fact_Quality_Sampling!A79</f>
        <v>QS-78</v>
      </c>
      <c r="B79" s="4">
        <f>Fact_Quality_Sampling!B79</f>
        <v>20260701</v>
      </c>
      <c r="C79" s="4">
        <f>Fact_Quality_Sampling!C79</f>
        <v>11</v>
      </c>
      <c r="D79" s="4" t="str">
        <f>Fact_Quality_Sampling!D79</f>
        <v>M1</v>
      </c>
      <c r="E79" s="4" t="str">
        <f>Fact_Quality_Sampling!E79</f>
        <v>A-AM</v>
      </c>
      <c r="F79" s="4" t="str">
        <f>Fact_Quality_Sampling!F79</f>
        <v>C</v>
      </c>
      <c r="G79" s="4">
        <f>ROUND(Fact_Quality_Sampling!I79*0.68,0)</f>
        <v>0</v>
      </c>
      <c r="H79" s="4">
        <f>Fact_Quality_Sampling!I79-G79</f>
        <v>0</v>
      </c>
      <c r="I79" s="4">
        <f>ROUND(Fact_Quality_Sampling!J79*0.53,0)</f>
        <v>0</v>
      </c>
      <c r="J79" s="4">
        <f>Fact_Quality_Sampling!J79-I79</f>
        <v>0</v>
      </c>
      <c r="K79" s="4">
        <f>ROUND(Fact_Quality_Sampling!K79*0.66,0)</f>
        <v>1</v>
      </c>
      <c r="L79" s="19">
        <f>Fact_Quality_Sampling!K79-K79</f>
        <v>0</v>
      </c>
    </row>
    <row r="80" spans="1:12" x14ac:dyDescent="0.25">
      <c r="A80" s="18" t="str">
        <f>Fact_Quality_Sampling!A80</f>
        <v>QS-79</v>
      </c>
      <c r="B80" s="4">
        <f>Fact_Quality_Sampling!B80</f>
        <v>20260701</v>
      </c>
      <c r="C80" s="4">
        <f>Fact_Quality_Sampling!C80</f>
        <v>11</v>
      </c>
      <c r="D80" s="4" t="str">
        <f>Fact_Quality_Sampling!D80</f>
        <v>M2</v>
      </c>
      <c r="E80" s="4" t="str">
        <f>Fact_Quality_Sampling!E80</f>
        <v>A-AM</v>
      </c>
      <c r="F80" s="4" t="str">
        <f>Fact_Quality_Sampling!F80</f>
        <v>A</v>
      </c>
      <c r="G80" s="4">
        <f>ROUND(Fact_Quality_Sampling!I80*0.65,0)</f>
        <v>0</v>
      </c>
      <c r="H80" s="4">
        <f>Fact_Quality_Sampling!I80-G80</f>
        <v>0</v>
      </c>
      <c r="I80" s="4">
        <f>ROUND(Fact_Quality_Sampling!J80*0.46,0)</f>
        <v>0</v>
      </c>
      <c r="J80" s="4">
        <f>Fact_Quality_Sampling!J80-I80</f>
        <v>1</v>
      </c>
      <c r="K80" s="4">
        <f>ROUND(Fact_Quality_Sampling!K80*0.48,0)</f>
        <v>0</v>
      </c>
      <c r="L80" s="19">
        <f>Fact_Quality_Sampling!K80-K80</f>
        <v>1</v>
      </c>
    </row>
    <row r="81" spans="1:12" x14ac:dyDescent="0.25">
      <c r="A81" s="18" t="str">
        <f>Fact_Quality_Sampling!A81</f>
        <v>QS-80</v>
      </c>
      <c r="B81" s="4">
        <f>Fact_Quality_Sampling!B81</f>
        <v>20260701</v>
      </c>
      <c r="C81" s="4">
        <f>Fact_Quality_Sampling!C81</f>
        <v>11</v>
      </c>
      <c r="D81" s="4" t="str">
        <f>Fact_Quality_Sampling!D81</f>
        <v>M3</v>
      </c>
      <c r="E81" s="4" t="str">
        <f>Fact_Quality_Sampling!E81</f>
        <v>A-AM</v>
      </c>
      <c r="F81" s="4" t="str">
        <f>Fact_Quality_Sampling!F81</f>
        <v>B</v>
      </c>
      <c r="G81" s="4">
        <f>ROUND(Fact_Quality_Sampling!I81*0.49,0)</f>
        <v>0</v>
      </c>
      <c r="H81" s="4">
        <f>Fact_Quality_Sampling!I81-G81</f>
        <v>0</v>
      </c>
      <c r="I81" s="4">
        <f>ROUND(Fact_Quality_Sampling!J81*0.47,0)</f>
        <v>0</v>
      </c>
      <c r="J81" s="4">
        <f>Fact_Quality_Sampling!J81-I81</f>
        <v>1</v>
      </c>
      <c r="K81" s="4">
        <f>ROUND(Fact_Quality_Sampling!K81*0.58,0)</f>
        <v>1</v>
      </c>
      <c r="L81" s="19">
        <f>Fact_Quality_Sampling!K81-K81</f>
        <v>0</v>
      </c>
    </row>
    <row r="82" spans="1:12" x14ac:dyDescent="0.25">
      <c r="A82" s="18" t="str">
        <f>Fact_Quality_Sampling!A82</f>
        <v>QS-81</v>
      </c>
      <c r="B82" s="4">
        <f>Fact_Quality_Sampling!B82</f>
        <v>20260701</v>
      </c>
      <c r="C82" s="4">
        <f>Fact_Quality_Sampling!C82</f>
        <v>11</v>
      </c>
      <c r="D82" s="4" t="str">
        <f>Fact_Quality_Sampling!D82</f>
        <v>M4</v>
      </c>
      <c r="E82" s="4" t="str">
        <f>Fact_Quality_Sampling!E82</f>
        <v>A-AM</v>
      </c>
      <c r="F82" s="4" t="str">
        <f>Fact_Quality_Sampling!F82</f>
        <v>A</v>
      </c>
      <c r="G82" s="4">
        <f>ROUND(Fact_Quality_Sampling!I82*0.48,0)</f>
        <v>0</v>
      </c>
      <c r="H82" s="4">
        <f>Fact_Quality_Sampling!I82-G82</f>
        <v>0</v>
      </c>
      <c r="I82" s="4">
        <f>ROUND(Fact_Quality_Sampling!J82*0.53,0)</f>
        <v>0</v>
      </c>
      <c r="J82" s="4">
        <f>Fact_Quality_Sampling!J82-I82</f>
        <v>0</v>
      </c>
      <c r="K82" s="4">
        <f>ROUND(Fact_Quality_Sampling!K82*0.44,0)</f>
        <v>0</v>
      </c>
      <c r="L82" s="19">
        <f>Fact_Quality_Sampling!K82-K82</f>
        <v>1</v>
      </c>
    </row>
    <row r="83" spans="1:12" x14ac:dyDescent="0.25">
      <c r="A83" s="18" t="str">
        <f>Fact_Quality_Sampling!A83</f>
        <v>QS-82</v>
      </c>
      <c r="B83" s="4">
        <f>Fact_Quality_Sampling!B83</f>
        <v>20260701</v>
      </c>
      <c r="C83" s="4">
        <f>Fact_Quality_Sampling!C83</f>
        <v>11</v>
      </c>
      <c r="D83" s="4" t="str">
        <f>Fact_Quality_Sampling!D83</f>
        <v>M5</v>
      </c>
      <c r="E83" s="4" t="str">
        <f>Fact_Quality_Sampling!E83</f>
        <v>A-AM</v>
      </c>
      <c r="F83" s="4" t="str">
        <f>Fact_Quality_Sampling!F83</f>
        <v>C</v>
      </c>
      <c r="G83" s="4">
        <f>ROUND(Fact_Quality_Sampling!I83*0.67,0)</f>
        <v>0</v>
      </c>
      <c r="H83" s="4">
        <f>Fact_Quality_Sampling!I83-G83</f>
        <v>0</v>
      </c>
      <c r="I83" s="4">
        <f>ROUND(Fact_Quality_Sampling!J83*0.51,0)</f>
        <v>1</v>
      </c>
      <c r="J83" s="4">
        <f>Fact_Quality_Sampling!J83-I83</f>
        <v>0</v>
      </c>
      <c r="K83" s="4">
        <f>ROUND(Fact_Quality_Sampling!K83*0.54,0)</f>
        <v>1</v>
      </c>
      <c r="L83" s="19">
        <f>Fact_Quality_Sampling!K83-K83</f>
        <v>0</v>
      </c>
    </row>
    <row r="84" spans="1:12" x14ac:dyDescent="0.25">
      <c r="A84" s="18" t="str">
        <f>Fact_Quality_Sampling!A84</f>
        <v>QS-83</v>
      </c>
      <c r="B84" s="4">
        <f>Fact_Quality_Sampling!B84</f>
        <v>20260701</v>
      </c>
      <c r="C84" s="4">
        <f>Fact_Quality_Sampling!C84</f>
        <v>11</v>
      </c>
      <c r="D84" s="4" t="str">
        <f>Fact_Quality_Sampling!D84</f>
        <v>M6</v>
      </c>
      <c r="E84" s="4" t="str">
        <f>Fact_Quality_Sampling!E84</f>
        <v>A-AM</v>
      </c>
      <c r="F84" s="4" t="str">
        <f>Fact_Quality_Sampling!F84</f>
        <v>C</v>
      </c>
      <c r="G84" s="4">
        <f>ROUND(Fact_Quality_Sampling!I84*0.58,0)</f>
        <v>0</v>
      </c>
      <c r="H84" s="4">
        <f>Fact_Quality_Sampling!I84-G84</f>
        <v>0</v>
      </c>
      <c r="I84" s="4">
        <f>ROUND(Fact_Quality_Sampling!J84*0.67,0)</f>
        <v>0</v>
      </c>
      <c r="J84" s="4">
        <f>Fact_Quality_Sampling!J84-I84</f>
        <v>0</v>
      </c>
      <c r="K84" s="4">
        <f>ROUND(Fact_Quality_Sampling!K84*0.53,0)</f>
        <v>0</v>
      </c>
      <c r="L84" s="19">
        <f>Fact_Quality_Sampling!K84-K84</f>
        <v>0</v>
      </c>
    </row>
    <row r="85" spans="1:12" x14ac:dyDescent="0.25">
      <c r="A85" s="18" t="str">
        <f>Fact_Quality_Sampling!A85</f>
        <v>QS-84</v>
      </c>
      <c r="B85" s="4">
        <f>Fact_Quality_Sampling!B85</f>
        <v>20260701</v>
      </c>
      <c r="C85" s="4">
        <f>Fact_Quality_Sampling!C85</f>
        <v>11</v>
      </c>
      <c r="D85" s="4" t="str">
        <f>Fact_Quality_Sampling!D85</f>
        <v>M7</v>
      </c>
      <c r="E85" s="4" t="str">
        <f>Fact_Quality_Sampling!E85</f>
        <v>A-AM</v>
      </c>
      <c r="F85" s="4" t="str">
        <f>Fact_Quality_Sampling!F85</f>
        <v>C</v>
      </c>
      <c r="G85" s="4">
        <f>ROUND(Fact_Quality_Sampling!I85*0.68,0)</f>
        <v>0</v>
      </c>
      <c r="H85" s="4">
        <f>Fact_Quality_Sampling!I85-G85</f>
        <v>0</v>
      </c>
      <c r="I85" s="4">
        <f>ROUND(Fact_Quality_Sampling!J85*0.55,0)</f>
        <v>1</v>
      </c>
      <c r="J85" s="4">
        <f>Fact_Quality_Sampling!J85-I85</f>
        <v>0</v>
      </c>
      <c r="K85" s="4">
        <f>ROUND(Fact_Quality_Sampling!K85*0.56,0)</f>
        <v>1</v>
      </c>
      <c r="L85" s="19">
        <f>Fact_Quality_Sampling!K85-K85</f>
        <v>0</v>
      </c>
    </row>
    <row r="86" spans="1:12" x14ac:dyDescent="0.25">
      <c r="A86" s="18" t="str">
        <f>Fact_Quality_Sampling!A86</f>
        <v>QS-85</v>
      </c>
      <c r="B86" s="4">
        <f>Fact_Quality_Sampling!B86</f>
        <v>20260701</v>
      </c>
      <c r="C86" s="4">
        <f>Fact_Quality_Sampling!C86</f>
        <v>12</v>
      </c>
      <c r="D86" s="4" t="str">
        <f>Fact_Quality_Sampling!D86</f>
        <v>M1</v>
      </c>
      <c r="E86" s="4" t="str">
        <f>Fact_Quality_Sampling!E86</f>
        <v>A-AM</v>
      </c>
      <c r="F86" s="4" t="str">
        <f>Fact_Quality_Sampling!F86</f>
        <v>C</v>
      </c>
      <c r="G86" s="4">
        <f>ROUND(Fact_Quality_Sampling!I86*0.56,0)</f>
        <v>0</v>
      </c>
      <c r="H86" s="4">
        <f>Fact_Quality_Sampling!I86-G86</f>
        <v>0</v>
      </c>
      <c r="I86" s="4">
        <f>ROUND(Fact_Quality_Sampling!J86*0.41,0)</f>
        <v>0</v>
      </c>
      <c r="J86" s="4">
        <f>Fact_Quality_Sampling!J86-I86</f>
        <v>0</v>
      </c>
      <c r="K86" s="4">
        <f>ROUND(Fact_Quality_Sampling!K86*0.53,0)</f>
        <v>0</v>
      </c>
      <c r="L86" s="19">
        <f>Fact_Quality_Sampling!K86-K86</f>
        <v>0</v>
      </c>
    </row>
    <row r="87" spans="1:12" x14ac:dyDescent="0.25">
      <c r="A87" s="18" t="str">
        <f>Fact_Quality_Sampling!A87</f>
        <v>QS-86</v>
      </c>
      <c r="B87" s="4">
        <f>Fact_Quality_Sampling!B87</f>
        <v>20260701</v>
      </c>
      <c r="C87" s="4">
        <f>Fact_Quality_Sampling!C87</f>
        <v>12</v>
      </c>
      <c r="D87" s="4" t="str">
        <f>Fact_Quality_Sampling!D87</f>
        <v>M2</v>
      </c>
      <c r="E87" s="4" t="str">
        <f>Fact_Quality_Sampling!E87</f>
        <v>A-AM</v>
      </c>
      <c r="F87" s="4" t="str">
        <f>Fact_Quality_Sampling!F87</f>
        <v>A</v>
      </c>
      <c r="G87" s="4">
        <f>ROUND(Fact_Quality_Sampling!I87*0.45,0)</f>
        <v>0</v>
      </c>
      <c r="H87" s="4">
        <f>Fact_Quality_Sampling!I87-G87</f>
        <v>0</v>
      </c>
      <c r="I87" s="4">
        <f>ROUND(Fact_Quality_Sampling!J87*0.4,0)</f>
        <v>0</v>
      </c>
      <c r="J87" s="4">
        <f>Fact_Quality_Sampling!J87-I87</f>
        <v>1</v>
      </c>
      <c r="K87" s="4">
        <f>ROUND(Fact_Quality_Sampling!K87*0.64,0)</f>
        <v>1</v>
      </c>
      <c r="L87" s="19">
        <f>Fact_Quality_Sampling!K87-K87</f>
        <v>0</v>
      </c>
    </row>
    <row r="88" spans="1:12" x14ac:dyDescent="0.25">
      <c r="A88" s="18" t="str">
        <f>Fact_Quality_Sampling!A88</f>
        <v>QS-87</v>
      </c>
      <c r="B88" s="4">
        <f>Fact_Quality_Sampling!B88</f>
        <v>20260701</v>
      </c>
      <c r="C88" s="4">
        <f>Fact_Quality_Sampling!C88</f>
        <v>12</v>
      </c>
      <c r="D88" s="4" t="str">
        <f>Fact_Quality_Sampling!D88</f>
        <v>M3</v>
      </c>
      <c r="E88" s="4" t="str">
        <f>Fact_Quality_Sampling!E88</f>
        <v>A-AM</v>
      </c>
      <c r="F88" s="4" t="str">
        <f>Fact_Quality_Sampling!F88</f>
        <v>B</v>
      </c>
      <c r="G88" s="4">
        <f>ROUND(Fact_Quality_Sampling!I88*0.45,0)</f>
        <v>0</v>
      </c>
      <c r="H88" s="4">
        <f>Fact_Quality_Sampling!I88-G88</f>
        <v>0</v>
      </c>
      <c r="I88" s="4">
        <f>ROUND(Fact_Quality_Sampling!J88*0.54,0)</f>
        <v>0</v>
      </c>
      <c r="J88" s="4">
        <f>Fact_Quality_Sampling!J88-I88</f>
        <v>0</v>
      </c>
      <c r="K88" s="4">
        <f>ROUND(Fact_Quality_Sampling!K88*0.62,0)</f>
        <v>1</v>
      </c>
      <c r="L88" s="19">
        <f>Fact_Quality_Sampling!K88-K88</f>
        <v>0</v>
      </c>
    </row>
    <row r="89" spans="1:12" x14ac:dyDescent="0.25">
      <c r="A89" s="18" t="str">
        <f>Fact_Quality_Sampling!A89</f>
        <v>QS-88</v>
      </c>
      <c r="B89" s="4">
        <f>Fact_Quality_Sampling!B89</f>
        <v>20260701</v>
      </c>
      <c r="C89" s="4">
        <f>Fact_Quality_Sampling!C89</f>
        <v>12</v>
      </c>
      <c r="D89" s="4" t="str">
        <f>Fact_Quality_Sampling!D89</f>
        <v>M4</v>
      </c>
      <c r="E89" s="4" t="str">
        <f>Fact_Quality_Sampling!E89</f>
        <v>A-AM</v>
      </c>
      <c r="F89" s="4" t="str">
        <f>Fact_Quality_Sampling!F89</f>
        <v>A</v>
      </c>
      <c r="G89" s="4">
        <f>ROUND(Fact_Quality_Sampling!I89*0.57,0)</f>
        <v>0</v>
      </c>
      <c r="H89" s="4">
        <f>Fact_Quality_Sampling!I89-G89</f>
        <v>0</v>
      </c>
      <c r="I89" s="4">
        <f>ROUND(Fact_Quality_Sampling!J89*0.5,0)</f>
        <v>1</v>
      </c>
      <c r="J89" s="4">
        <f>Fact_Quality_Sampling!J89-I89</f>
        <v>0</v>
      </c>
      <c r="K89" s="4">
        <f>ROUND(Fact_Quality_Sampling!K89*0.56,0)</f>
        <v>1</v>
      </c>
      <c r="L89" s="19">
        <f>Fact_Quality_Sampling!K89-K89</f>
        <v>1</v>
      </c>
    </row>
    <row r="90" spans="1:12" x14ac:dyDescent="0.25">
      <c r="A90" s="18" t="str">
        <f>Fact_Quality_Sampling!A90</f>
        <v>QS-89</v>
      </c>
      <c r="B90" s="4">
        <f>Fact_Quality_Sampling!B90</f>
        <v>20260701</v>
      </c>
      <c r="C90" s="4">
        <f>Fact_Quality_Sampling!C90</f>
        <v>12</v>
      </c>
      <c r="D90" s="4" t="str">
        <f>Fact_Quality_Sampling!D90</f>
        <v>M5</v>
      </c>
      <c r="E90" s="4" t="str">
        <f>Fact_Quality_Sampling!E90</f>
        <v>A-AM</v>
      </c>
      <c r="F90" s="4" t="str">
        <f>Fact_Quality_Sampling!F90</f>
        <v>C</v>
      </c>
      <c r="G90" s="4">
        <f>ROUND(Fact_Quality_Sampling!I90*0.57,0)</f>
        <v>0</v>
      </c>
      <c r="H90" s="4">
        <f>Fact_Quality_Sampling!I90-G90</f>
        <v>0</v>
      </c>
      <c r="I90" s="4">
        <f>ROUND(Fact_Quality_Sampling!J90*0.64,0)</f>
        <v>0</v>
      </c>
      <c r="J90" s="4">
        <f>Fact_Quality_Sampling!J90-I90</f>
        <v>0</v>
      </c>
      <c r="K90" s="4">
        <f>ROUND(Fact_Quality_Sampling!K90*0.43,0)</f>
        <v>0</v>
      </c>
      <c r="L90" s="19">
        <f>Fact_Quality_Sampling!K90-K90</f>
        <v>1</v>
      </c>
    </row>
    <row r="91" spans="1:12" x14ac:dyDescent="0.25">
      <c r="A91" s="18" t="str">
        <f>Fact_Quality_Sampling!A91</f>
        <v>QS-90</v>
      </c>
      <c r="B91" s="4">
        <f>Fact_Quality_Sampling!B91</f>
        <v>20260701</v>
      </c>
      <c r="C91" s="4">
        <f>Fact_Quality_Sampling!C91</f>
        <v>12</v>
      </c>
      <c r="D91" s="4" t="str">
        <f>Fact_Quality_Sampling!D91</f>
        <v>M6</v>
      </c>
      <c r="E91" s="4" t="str">
        <f>Fact_Quality_Sampling!E91</f>
        <v>A-AM</v>
      </c>
      <c r="F91" s="4" t="str">
        <f>Fact_Quality_Sampling!F91</f>
        <v>C</v>
      </c>
      <c r="G91" s="4">
        <f>ROUND(Fact_Quality_Sampling!I91*0.57,0)</f>
        <v>0</v>
      </c>
      <c r="H91" s="4">
        <f>Fact_Quality_Sampling!I91-G91</f>
        <v>0</v>
      </c>
      <c r="I91" s="4">
        <f>ROUND(Fact_Quality_Sampling!J91*0.47,0)</f>
        <v>0</v>
      </c>
      <c r="J91" s="4">
        <f>Fact_Quality_Sampling!J91-I91</f>
        <v>0</v>
      </c>
      <c r="K91" s="4">
        <f>ROUND(Fact_Quality_Sampling!K91*0.48,0)</f>
        <v>0</v>
      </c>
      <c r="L91" s="19">
        <f>Fact_Quality_Sampling!K91-K91</f>
        <v>1</v>
      </c>
    </row>
    <row r="92" spans="1:12" x14ac:dyDescent="0.25">
      <c r="A92" s="18" t="str">
        <f>Fact_Quality_Sampling!A92</f>
        <v>QS-91</v>
      </c>
      <c r="B92" s="4">
        <f>Fact_Quality_Sampling!B92</f>
        <v>20260701</v>
      </c>
      <c r="C92" s="4">
        <f>Fact_Quality_Sampling!C92</f>
        <v>12</v>
      </c>
      <c r="D92" s="4" t="str">
        <f>Fact_Quality_Sampling!D92</f>
        <v>M7</v>
      </c>
      <c r="E92" s="4" t="str">
        <f>Fact_Quality_Sampling!E92</f>
        <v>A-AM</v>
      </c>
      <c r="F92" s="4" t="str">
        <f>Fact_Quality_Sampling!F92</f>
        <v>C</v>
      </c>
      <c r="G92" s="4">
        <f>ROUND(Fact_Quality_Sampling!I92*0.63,0)</f>
        <v>0</v>
      </c>
      <c r="H92" s="4">
        <f>Fact_Quality_Sampling!I92-G92</f>
        <v>0</v>
      </c>
      <c r="I92" s="4">
        <f>ROUND(Fact_Quality_Sampling!J92*0.55,0)</f>
        <v>1</v>
      </c>
      <c r="J92" s="4">
        <f>Fact_Quality_Sampling!J92-I92</f>
        <v>0</v>
      </c>
      <c r="K92" s="4">
        <f>ROUND(Fact_Quality_Sampling!K92*0.57,0)</f>
        <v>1</v>
      </c>
      <c r="L92" s="19">
        <f>Fact_Quality_Sampling!K92-K92</f>
        <v>1</v>
      </c>
    </row>
    <row r="93" spans="1:12" x14ac:dyDescent="0.25">
      <c r="A93" s="18" t="str">
        <f>Fact_Quality_Sampling!A93</f>
        <v>QS-92</v>
      </c>
      <c r="B93" s="4">
        <f>Fact_Quality_Sampling!B93</f>
        <v>20260701</v>
      </c>
      <c r="C93" s="4">
        <f>Fact_Quality_Sampling!C93</f>
        <v>13</v>
      </c>
      <c r="D93" s="4" t="str">
        <f>Fact_Quality_Sampling!D93</f>
        <v>M1</v>
      </c>
      <c r="E93" s="4" t="str">
        <f>Fact_Quality_Sampling!E93</f>
        <v>A-AM</v>
      </c>
      <c r="F93" s="4" t="str">
        <f>Fact_Quality_Sampling!F93</f>
        <v>C</v>
      </c>
      <c r="G93" s="4">
        <f>ROUND(Fact_Quality_Sampling!I93*0.63,0)</f>
        <v>0</v>
      </c>
      <c r="H93" s="4">
        <f>Fact_Quality_Sampling!I93-G93</f>
        <v>0</v>
      </c>
      <c r="I93" s="4">
        <f>ROUND(Fact_Quality_Sampling!J93*0.67,0)</f>
        <v>0</v>
      </c>
      <c r="J93" s="4">
        <f>Fact_Quality_Sampling!J93-I93</f>
        <v>0</v>
      </c>
      <c r="K93" s="4">
        <f>ROUND(Fact_Quality_Sampling!K93*0.53,0)</f>
        <v>1</v>
      </c>
      <c r="L93" s="19">
        <f>Fact_Quality_Sampling!K93-K93</f>
        <v>0</v>
      </c>
    </row>
    <row r="94" spans="1:12" x14ac:dyDescent="0.25">
      <c r="A94" s="18" t="str">
        <f>Fact_Quality_Sampling!A94</f>
        <v>QS-93</v>
      </c>
      <c r="B94" s="4">
        <f>Fact_Quality_Sampling!B94</f>
        <v>20260701</v>
      </c>
      <c r="C94" s="4">
        <f>Fact_Quality_Sampling!C94</f>
        <v>13</v>
      </c>
      <c r="D94" s="4" t="str">
        <f>Fact_Quality_Sampling!D94</f>
        <v>M2</v>
      </c>
      <c r="E94" s="4" t="str">
        <f>Fact_Quality_Sampling!E94</f>
        <v>A-AM</v>
      </c>
      <c r="F94" s="4" t="str">
        <f>Fact_Quality_Sampling!F94</f>
        <v>A</v>
      </c>
      <c r="G94" s="4">
        <f>ROUND(Fact_Quality_Sampling!I94*0.58,0)</f>
        <v>0</v>
      </c>
      <c r="H94" s="4">
        <f>Fact_Quality_Sampling!I94-G94</f>
        <v>0</v>
      </c>
      <c r="I94" s="4">
        <f>ROUND(Fact_Quality_Sampling!J94*0.55,0)</f>
        <v>0</v>
      </c>
      <c r="J94" s="4">
        <f>Fact_Quality_Sampling!J94-I94</f>
        <v>0</v>
      </c>
      <c r="K94" s="4">
        <f>ROUND(Fact_Quality_Sampling!K94*0.55,0)</f>
        <v>1</v>
      </c>
      <c r="L94" s="19">
        <f>Fact_Quality_Sampling!K94-K94</f>
        <v>0</v>
      </c>
    </row>
    <row r="95" spans="1:12" x14ac:dyDescent="0.25">
      <c r="A95" s="18" t="str">
        <f>Fact_Quality_Sampling!A95</f>
        <v>QS-94</v>
      </c>
      <c r="B95" s="4">
        <f>Fact_Quality_Sampling!B95</f>
        <v>20260701</v>
      </c>
      <c r="C95" s="4">
        <f>Fact_Quality_Sampling!C95</f>
        <v>13</v>
      </c>
      <c r="D95" s="4" t="str">
        <f>Fact_Quality_Sampling!D95</f>
        <v>M3</v>
      </c>
      <c r="E95" s="4" t="str">
        <f>Fact_Quality_Sampling!E95</f>
        <v>A-AM</v>
      </c>
      <c r="F95" s="4" t="str">
        <f>Fact_Quality_Sampling!F95</f>
        <v>B</v>
      </c>
      <c r="G95" s="4">
        <f>ROUND(Fact_Quality_Sampling!I95*0.61,0)</f>
        <v>0</v>
      </c>
      <c r="H95" s="4">
        <f>Fact_Quality_Sampling!I95-G95</f>
        <v>0</v>
      </c>
      <c r="I95" s="4">
        <f>ROUND(Fact_Quality_Sampling!J95*0.54,0)</f>
        <v>0</v>
      </c>
      <c r="J95" s="4">
        <f>Fact_Quality_Sampling!J95-I95</f>
        <v>0</v>
      </c>
      <c r="K95" s="4">
        <f>ROUND(Fact_Quality_Sampling!K95*0.56,0)</f>
        <v>1</v>
      </c>
      <c r="L95" s="19">
        <f>Fact_Quality_Sampling!K95-K95</f>
        <v>0</v>
      </c>
    </row>
    <row r="96" spans="1:12" x14ac:dyDescent="0.25">
      <c r="A96" s="18" t="str">
        <f>Fact_Quality_Sampling!A96</f>
        <v>QS-95</v>
      </c>
      <c r="B96" s="4">
        <f>Fact_Quality_Sampling!B96</f>
        <v>20260701</v>
      </c>
      <c r="C96" s="4">
        <f>Fact_Quality_Sampling!C96</f>
        <v>13</v>
      </c>
      <c r="D96" s="4" t="str">
        <f>Fact_Quality_Sampling!D96</f>
        <v>M4</v>
      </c>
      <c r="E96" s="4" t="str">
        <f>Fact_Quality_Sampling!E96</f>
        <v>A-AM</v>
      </c>
      <c r="F96" s="4" t="str">
        <f>Fact_Quality_Sampling!F96</f>
        <v>A</v>
      </c>
      <c r="G96" s="4">
        <f>ROUND(Fact_Quality_Sampling!I96*0.54,0)</f>
        <v>0</v>
      </c>
      <c r="H96" s="4">
        <f>Fact_Quality_Sampling!I96-G96</f>
        <v>0</v>
      </c>
      <c r="I96" s="4">
        <f>ROUND(Fact_Quality_Sampling!J96*0.68,0)</f>
        <v>1</v>
      </c>
      <c r="J96" s="4">
        <f>Fact_Quality_Sampling!J96-I96</f>
        <v>0</v>
      </c>
      <c r="K96" s="4">
        <f>ROUND(Fact_Quality_Sampling!K96*0.61,0)</f>
        <v>1</v>
      </c>
      <c r="L96" s="19">
        <f>Fact_Quality_Sampling!K96-K96</f>
        <v>1</v>
      </c>
    </row>
    <row r="97" spans="1:12" x14ac:dyDescent="0.25">
      <c r="A97" s="18" t="str">
        <f>Fact_Quality_Sampling!A97</f>
        <v>QS-96</v>
      </c>
      <c r="B97" s="4">
        <f>Fact_Quality_Sampling!B97</f>
        <v>20260701</v>
      </c>
      <c r="C97" s="4">
        <f>Fact_Quality_Sampling!C97</f>
        <v>13</v>
      </c>
      <c r="D97" s="4" t="str">
        <f>Fact_Quality_Sampling!D97</f>
        <v>M5</v>
      </c>
      <c r="E97" s="4" t="str">
        <f>Fact_Quality_Sampling!E97</f>
        <v>A-AM</v>
      </c>
      <c r="F97" s="4" t="str">
        <f>Fact_Quality_Sampling!F97</f>
        <v>C</v>
      </c>
      <c r="G97" s="4">
        <f>ROUND(Fact_Quality_Sampling!I97*0.66,0)</f>
        <v>0</v>
      </c>
      <c r="H97" s="4">
        <f>Fact_Quality_Sampling!I97-G97</f>
        <v>0</v>
      </c>
      <c r="I97" s="4">
        <f>ROUND(Fact_Quality_Sampling!J97*0.68,0)</f>
        <v>0</v>
      </c>
      <c r="J97" s="4">
        <f>Fact_Quality_Sampling!J97-I97</f>
        <v>0</v>
      </c>
      <c r="K97" s="4">
        <f>ROUND(Fact_Quality_Sampling!K97*0.48,0)</f>
        <v>0</v>
      </c>
      <c r="L97" s="19">
        <f>Fact_Quality_Sampling!K97-K97</f>
        <v>1</v>
      </c>
    </row>
    <row r="98" spans="1:12" x14ac:dyDescent="0.25">
      <c r="A98" s="18" t="str">
        <f>Fact_Quality_Sampling!A98</f>
        <v>QS-97</v>
      </c>
      <c r="B98" s="4">
        <f>Fact_Quality_Sampling!B98</f>
        <v>20260701</v>
      </c>
      <c r="C98" s="4">
        <f>Fact_Quality_Sampling!C98</f>
        <v>13</v>
      </c>
      <c r="D98" s="4" t="str">
        <f>Fact_Quality_Sampling!D98</f>
        <v>M6</v>
      </c>
      <c r="E98" s="4" t="str">
        <f>Fact_Quality_Sampling!E98</f>
        <v>A-AM</v>
      </c>
      <c r="F98" s="4" t="str">
        <f>Fact_Quality_Sampling!F98</f>
        <v>C</v>
      </c>
      <c r="G98" s="4">
        <f>ROUND(Fact_Quality_Sampling!I98*0.57,0)</f>
        <v>0</v>
      </c>
      <c r="H98" s="4">
        <f>Fact_Quality_Sampling!I98-G98</f>
        <v>0</v>
      </c>
      <c r="I98" s="4">
        <f>ROUND(Fact_Quality_Sampling!J98*0.68,0)</f>
        <v>0</v>
      </c>
      <c r="J98" s="4">
        <f>Fact_Quality_Sampling!J98-I98</f>
        <v>0</v>
      </c>
      <c r="K98" s="4">
        <f>ROUND(Fact_Quality_Sampling!K98*0.65,0)</f>
        <v>0</v>
      </c>
      <c r="L98" s="19">
        <f>Fact_Quality_Sampling!K98-K98</f>
        <v>0</v>
      </c>
    </row>
    <row r="99" spans="1:12" x14ac:dyDescent="0.25">
      <c r="A99" s="18" t="str">
        <f>Fact_Quality_Sampling!A99</f>
        <v>QS-98</v>
      </c>
      <c r="B99" s="4">
        <f>Fact_Quality_Sampling!B99</f>
        <v>20260701</v>
      </c>
      <c r="C99" s="4">
        <f>Fact_Quality_Sampling!C99</f>
        <v>13</v>
      </c>
      <c r="D99" s="4" t="str">
        <f>Fact_Quality_Sampling!D99</f>
        <v>M7</v>
      </c>
      <c r="E99" s="4" t="str">
        <f>Fact_Quality_Sampling!E99</f>
        <v>A-AM</v>
      </c>
      <c r="F99" s="4" t="str">
        <f>Fact_Quality_Sampling!F99</f>
        <v>C</v>
      </c>
      <c r="G99" s="4">
        <f>ROUND(Fact_Quality_Sampling!I99*0.44,0)</f>
        <v>0</v>
      </c>
      <c r="H99" s="4">
        <f>Fact_Quality_Sampling!I99-G99</f>
        <v>0</v>
      </c>
      <c r="I99" s="4">
        <f>ROUND(Fact_Quality_Sampling!J99*0.44,0)</f>
        <v>0</v>
      </c>
      <c r="J99" s="4">
        <f>Fact_Quality_Sampling!J99-I99</f>
        <v>0</v>
      </c>
      <c r="K99" s="4">
        <f>ROUND(Fact_Quality_Sampling!K99*0.53,0)</f>
        <v>1</v>
      </c>
      <c r="L99" s="19">
        <f>Fact_Quality_Sampling!K99-K99</f>
        <v>0</v>
      </c>
    </row>
    <row r="100" spans="1:12" x14ac:dyDescent="0.25">
      <c r="A100" s="18" t="str">
        <f>Fact_Quality_Sampling!A100</f>
        <v>QS-99</v>
      </c>
      <c r="B100" s="4">
        <f>Fact_Quality_Sampling!B100</f>
        <v>20260701</v>
      </c>
      <c r="C100" s="4">
        <f>Fact_Quality_Sampling!C100</f>
        <v>14</v>
      </c>
      <c r="D100" s="4" t="str">
        <f>Fact_Quality_Sampling!D100</f>
        <v>M1</v>
      </c>
      <c r="E100" s="4" t="str">
        <f>Fact_Quality_Sampling!E100</f>
        <v>A-AM</v>
      </c>
      <c r="F100" s="4" t="str">
        <f>Fact_Quality_Sampling!F100</f>
        <v>C</v>
      </c>
      <c r="G100" s="4">
        <f>ROUND(Fact_Quality_Sampling!I100*0.42,0)</f>
        <v>0</v>
      </c>
      <c r="H100" s="4">
        <f>Fact_Quality_Sampling!I100-G100</f>
        <v>0</v>
      </c>
      <c r="I100" s="4">
        <f>ROUND(Fact_Quality_Sampling!J100*0.47,0)</f>
        <v>0</v>
      </c>
      <c r="J100" s="4">
        <f>Fact_Quality_Sampling!J100-I100</f>
        <v>1</v>
      </c>
      <c r="K100" s="4">
        <f>ROUND(Fact_Quality_Sampling!K100*0.42,0)</f>
        <v>0</v>
      </c>
      <c r="L100" s="19">
        <f>Fact_Quality_Sampling!K100-K100</f>
        <v>1</v>
      </c>
    </row>
    <row r="101" spans="1:12" x14ac:dyDescent="0.25">
      <c r="A101" s="18" t="str">
        <f>Fact_Quality_Sampling!A101</f>
        <v>QS-100</v>
      </c>
      <c r="B101" s="4">
        <f>Fact_Quality_Sampling!B101</f>
        <v>20260701</v>
      </c>
      <c r="C101" s="4">
        <f>Fact_Quality_Sampling!C101</f>
        <v>14</v>
      </c>
      <c r="D101" s="4" t="str">
        <f>Fact_Quality_Sampling!D101</f>
        <v>M2</v>
      </c>
      <c r="E101" s="4" t="str">
        <f>Fact_Quality_Sampling!E101</f>
        <v>A-AM</v>
      </c>
      <c r="F101" s="4" t="str">
        <f>Fact_Quality_Sampling!F101</f>
        <v>A</v>
      </c>
      <c r="G101" s="4">
        <f>ROUND(Fact_Quality_Sampling!I101*0.6,0)</f>
        <v>0</v>
      </c>
      <c r="H101" s="4">
        <f>Fact_Quality_Sampling!I101-G101</f>
        <v>0</v>
      </c>
      <c r="I101" s="4">
        <f>ROUND(Fact_Quality_Sampling!J101*0.64,0)</f>
        <v>0</v>
      </c>
      <c r="J101" s="4">
        <f>Fact_Quality_Sampling!J101-I101</f>
        <v>0</v>
      </c>
      <c r="K101" s="4">
        <f>ROUND(Fact_Quality_Sampling!K101*0.67,0)</f>
        <v>1</v>
      </c>
      <c r="L101" s="19">
        <f>Fact_Quality_Sampling!K101-K101</f>
        <v>0</v>
      </c>
    </row>
    <row r="102" spans="1:12" x14ac:dyDescent="0.25">
      <c r="A102" s="18" t="str">
        <f>Fact_Quality_Sampling!A102</f>
        <v>QS-101</v>
      </c>
      <c r="B102" s="4">
        <f>Fact_Quality_Sampling!B102</f>
        <v>20260701</v>
      </c>
      <c r="C102" s="4">
        <f>Fact_Quality_Sampling!C102</f>
        <v>14</v>
      </c>
      <c r="D102" s="4" t="str">
        <f>Fact_Quality_Sampling!D102</f>
        <v>M3</v>
      </c>
      <c r="E102" s="4" t="str">
        <f>Fact_Quality_Sampling!E102</f>
        <v>A-AM</v>
      </c>
      <c r="F102" s="4" t="str">
        <f>Fact_Quality_Sampling!F102</f>
        <v>B</v>
      </c>
      <c r="G102" s="4">
        <f>ROUND(Fact_Quality_Sampling!I102*0.45,0)</f>
        <v>0</v>
      </c>
      <c r="H102" s="4">
        <f>Fact_Quality_Sampling!I102-G102</f>
        <v>0</v>
      </c>
      <c r="I102" s="4">
        <f>ROUND(Fact_Quality_Sampling!J102*0.61,0)</f>
        <v>0</v>
      </c>
      <c r="J102" s="4">
        <f>Fact_Quality_Sampling!J102-I102</f>
        <v>0</v>
      </c>
      <c r="K102" s="4">
        <f>ROUND(Fact_Quality_Sampling!K102*0.6,0)</f>
        <v>1</v>
      </c>
      <c r="L102" s="19">
        <f>Fact_Quality_Sampling!K102-K102</f>
        <v>0</v>
      </c>
    </row>
    <row r="103" spans="1:12" x14ac:dyDescent="0.25">
      <c r="A103" s="18" t="str">
        <f>Fact_Quality_Sampling!A103</f>
        <v>QS-102</v>
      </c>
      <c r="B103" s="4">
        <f>Fact_Quality_Sampling!B103</f>
        <v>20260701</v>
      </c>
      <c r="C103" s="4">
        <f>Fact_Quality_Sampling!C103</f>
        <v>14</v>
      </c>
      <c r="D103" s="4" t="str">
        <f>Fact_Quality_Sampling!D103</f>
        <v>M4</v>
      </c>
      <c r="E103" s="4" t="str">
        <f>Fact_Quality_Sampling!E103</f>
        <v>A-AM</v>
      </c>
      <c r="F103" s="4" t="str">
        <f>Fact_Quality_Sampling!F103</f>
        <v>A</v>
      </c>
      <c r="G103" s="4">
        <f>ROUND(Fact_Quality_Sampling!I103*0.44,0)</f>
        <v>0</v>
      </c>
      <c r="H103" s="4">
        <f>Fact_Quality_Sampling!I103-G103</f>
        <v>0</v>
      </c>
      <c r="I103" s="4">
        <f>ROUND(Fact_Quality_Sampling!J103*0.66,0)</f>
        <v>0</v>
      </c>
      <c r="J103" s="4">
        <f>Fact_Quality_Sampling!J103-I103</f>
        <v>0</v>
      </c>
      <c r="K103" s="4">
        <f>ROUND(Fact_Quality_Sampling!K103*0.69,0)</f>
        <v>1</v>
      </c>
      <c r="L103" s="19">
        <f>Fact_Quality_Sampling!K103-K103</f>
        <v>0</v>
      </c>
    </row>
    <row r="104" spans="1:12" x14ac:dyDescent="0.25">
      <c r="A104" s="18" t="str">
        <f>Fact_Quality_Sampling!A104</f>
        <v>QS-103</v>
      </c>
      <c r="B104" s="4">
        <f>Fact_Quality_Sampling!B104</f>
        <v>20260701</v>
      </c>
      <c r="C104" s="4">
        <f>Fact_Quality_Sampling!C104</f>
        <v>14</v>
      </c>
      <c r="D104" s="4" t="str">
        <f>Fact_Quality_Sampling!D104</f>
        <v>M5</v>
      </c>
      <c r="E104" s="4" t="str">
        <f>Fact_Quality_Sampling!E104</f>
        <v>A-AM</v>
      </c>
      <c r="F104" s="4" t="str">
        <f>Fact_Quality_Sampling!F104</f>
        <v>C</v>
      </c>
      <c r="G104" s="4">
        <f>ROUND(Fact_Quality_Sampling!I104*0.47,0)</f>
        <v>0</v>
      </c>
      <c r="H104" s="4">
        <f>Fact_Quality_Sampling!I104-G104</f>
        <v>0</v>
      </c>
      <c r="I104" s="4">
        <f>ROUND(Fact_Quality_Sampling!J104*0.69,0)</f>
        <v>1</v>
      </c>
      <c r="J104" s="4">
        <f>Fact_Quality_Sampling!J104-I104</f>
        <v>0</v>
      </c>
      <c r="K104" s="4">
        <f>ROUND(Fact_Quality_Sampling!K104*0.52,0)</f>
        <v>1</v>
      </c>
      <c r="L104" s="19">
        <f>Fact_Quality_Sampling!K104-K104</f>
        <v>0</v>
      </c>
    </row>
    <row r="105" spans="1:12" x14ac:dyDescent="0.25">
      <c r="A105" s="18" t="str">
        <f>Fact_Quality_Sampling!A105</f>
        <v>QS-104</v>
      </c>
      <c r="B105" s="4">
        <f>Fact_Quality_Sampling!B105</f>
        <v>20260701</v>
      </c>
      <c r="C105" s="4">
        <f>Fact_Quality_Sampling!C105</f>
        <v>14</v>
      </c>
      <c r="D105" s="4" t="str">
        <f>Fact_Quality_Sampling!D105</f>
        <v>M6</v>
      </c>
      <c r="E105" s="4" t="str">
        <f>Fact_Quality_Sampling!E105</f>
        <v>A-AM</v>
      </c>
      <c r="F105" s="4" t="str">
        <f>Fact_Quality_Sampling!F105</f>
        <v>C</v>
      </c>
      <c r="G105" s="4">
        <f>ROUND(Fact_Quality_Sampling!I105*0.55,0)</f>
        <v>0</v>
      </c>
      <c r="H105" s="4">
        <f>Fact_Quality_Sampling!I105-G105</f>
        <v>0</v>
      </c>
      <c r="I105" s="4">
        <f>ROUND(Fact_Quality_Sampling!J105*0.7,0)</f>
        <v>1</v>
      </c>
      <c r="J105" s="4">
        <f>Fact_Quality_Sampling!J105-I105</f>
        <v>0</v>
      </c>
      <c r="K105" s="4">
        <f>ROUND(Fact_Quality_Sampling!K105*0.65,0)</f>
        <v>1</v>
      </c>
      <c r="L105" s="19">
        <f>Fact_Quality_Sampling!K105-K105</f>
        <v>0</v>
      </c>
    </row>
    <row r="106" spans="1:12" x14ac:dyDescent="0.25">
      <c r="A106" s="18" t="str">
        <f>Fact_Quality_Sampling!A106</f>
        <v>QS-105</v>
      </c>
      <c r="B106" s="4">
        <f>Fact_Quality_Sampling!B106</f>
        <v>20260701</v>
      </c>
      <c r="C106" s="4">
        <f>Fact_Quality_Sampling!C106</f>
        <v>14</v>
      </c>
      <c r="D106" s="4" t="str">
        <f>Fact_Quality_Sampling!D106</f>
        <v>M7</v>
      </c>
      <c r="E106" s="4" t="str">
        <f>Fact_Quality_Sampling!E106</f>
        <v>A-AM</v>
      </c>
      <c r="F106" s="4" t="str">
        <f>Fact_Quality_Sampling!F106</f>
        <v>C</v>
      </c>
      <c r="G106" s="4">
        <f>ROUND(Fact_Quality_Sampling!I106*0.45,0)</f>
        <v>0</v>
      </c>
      <c r="H106" s="4">
        <f>Fact_Quality_Sampling!I106-G106</f>
        <v>0</v>
      </c>
      <c r="I106" s="4">
        <f>ROUND(Fact_Quality_Sampling!J106*0.53,0)</f>
        <v>0</v>
      </c>
      <c r="J106" s="4">
        <f>Fact_Quality_Sampling!J106-I106</f>
        <v>0</v>
      </c>
      <c r="K106" s="4">
        <f>ROUND(Fact_Quality_Sampling!K106*0.55,0)</f>
        <v>1</v>
      </c>
      <c r="L106" s="19">
        <f>Fact_Quality_Sampling!K106-K106</f>
        <v>0</v>
      </c>
    </row>
    <row r="107" spans="1:12" x14ac:dyDescent="0.25">
      <c r="A107" s="18" t="str">
        <f>Fact_Quality_Sampling!A107</f>
        <v>QS-106</v>
      </c>
      <c r="B107" s="4">
        <f>Fact_Quality_Sampling!B107</f>
        <v>20260701</v>
      </c>
      <c r="C107" s="4">
        <f>Fact_Quality_Sampling!C107</f>
        <v>15</v>
      </c>
      <c r="D107" s="4" t="str">
        <f>Fact_Quality_Sampling!D107</f>
        <v>M1</v>
      </c>
      <c r="E107" s="4" t="str">
        <f>Fact_Quality_Sampling!E107</f>
        <v>A-AM</v>
      </c>
      <c r="F107" s="4" t="str">
        <f>Fact_Quality_Sampling!F107</f>
        <v>C</v>
      </c>
      <c r="G107" s="4">
        <f>ROUND(Fact_Quality_Sampling!I107*0.5,0)</f>
        <v>0</v>
      </c>
      <c r="H107" s="4">
        <f>Fact_Quality_Sampling!I107-G107</f>
        <v>0</v>
      </c>
      <c r="I107" s="4">
        <f>ROUND(Fact_Quality_Sampling!J107*0.46,0)</f>
        <v>0</v>
      </c>
      <c r="J107" s="4">
        <f>Fact_Quality_Sampling!J107-I107</f>
        <v>1</v>
      </c>
      <c r="K107" s="4">
        <f>ROUND(Fact_Quality_Sampling!K107*0.5,0)</f>
        <v>1</v>
      </c>
      <c r="L107" s="19">
        <f>Fact_Quality_Sampling!K107-K107</f>
        <v>0</v>
      </c>
    </row>
    <row r="108" spans="1:12" x14ac:dyDescent="0.25">
      <c r="A108" s="18" t="str">
        <f>Fact_Quality_Sampling!A108</f>
        <v>QS-107</v>
      </c>
      <c r="B108" s="4">
        <f>Fact_Quality_Sampling!B108</f>
        <v>20260701</v>
      </c>
      <c r="C108" s="4">
        <f>Fact_Quality_Sampling!C108</f>
        <v>15</v>
      </c>
      <c r="D108" s="4" t="str">
        <f>Fact_Quality_Sampling!D108</f>
        <v>M2</v>
      </c>
      <c r="E108" s="4" t="str">
        <f>Fact_Quality_Sampling!E108</f>
        <v>A-AM</v>
      </c>
      <c r="F108" s="4" t="str">
        <f>Fact_Quality_Sampling!F108</f>
        <v>A</v>
      </c>
      <c r="G108" s="4">
        <f>ROUND(Fact_Quality_Sampling!I108*0.62,0)</f>
        <v>0</v>
      </c>
      <c r="H108" s="4">
        <f>Fact_Quality_Sampling!I108-G108</f>
        <v>0</v>
      </c>
      <c r="I108" s="4">
        <f>ROUND(Fact_Quality_Sampling!J108*0.41,0)</f>
        <v>0</v>
      </c>
      <c r="J108" s="4">
        <f>Fact_Quality_Sampling!J108-I108</f>
        <v>0</v>
      </c>
      <c r="K108" s="4">
        <f>ROUND(Fact_Quality_Sampling!K108*0.57,0)</f>
        <v>1</v>
      </c>
      <c r="L108" s="19">
        <f>Fact_Quality_Sampling!K108-K108</f>
        <v>0</v>
      </c>
    </row>
    <row r="109" spans="1:12" x14ac:dyDescent="0.25">
      <c r="A109" s="18" t="str">
        <f>Fact_Quality_Sampling!A109</f>
        <v>QS-108</v>
      </c>
      <c r="B109" s="4">
        <f>Fact_Quality_Sampling!B109</f>
        <v>20260701</v>
      </c>
      <c r="C109" s="4">
        <f>Fact_Quality_Sampling!C109</f>
        <v>15</v>
      </c>
      <c r="D109" s="4" t="str">
        <f>Fact_Quality_Sampling!D109</f>
        <v>M3</v>
      </c>
      <c r="E109" s="4" t="str">
        <f>Fact_Quality_Sampling!E109</f>
        <v>A-AM</v>
      </c>
      <c r="F109" s="4" t="str">
        <f>Fact_Quality_Sampling!F109</f>
        <v>B</v>
      </c>
      <c r="G109" s="4">
        <f>ROUND(Fact_Quality_Sampling!I109*0.53,0)</f>
        <v>0</v>
      </c>
      <c r="H109" s="4">
        <f>Fact_Quality_Sampling!I109-G109</f>
        <v>0</v>
      </c>
      <c r="I109" s="4">
        <f>ROUND(Fact_Quality_Sampling!J109*0.41,0)</f>
        <v>0</v>
      </c>
      <c r="J109" s="4">
        <f>Fact_Quality_Sampling!J109-I109</f>
        <v>0</v>
      </c>
      <c r="K109" s="4">
        <f>ROUND(Fact_Quality_Sampling!K109*0.5,0)</f>
        <v>1</v>
      </c>
      <c r="L109" s="19">
        <f>Fact_Quality_Sampling!K109-K109</f>
        <v>0</v>
      </c>
    </row>
    <row r="110" spans="1:12" x14ac:dyDescent="0.25">
      <c r="A110" s="18" t="str">
        <f>Fact_Quality_Sampling!A110</f>
        <v>QS-109</v>
      </c>
      <c r="B110" s="4">
        <f>Fact_Quality_Sampling!B110</f>
        <v>20260701</v>
      </c>
      <c r="C110" s="4">
        <f>Fact_Quality_Sampling!C110</f>
        <v>15</v>
      </c>
      <c r="D110" s="4" t="str">
        <f>Fact_Quality_Sampling!D110</f>
        <v>M4</v>
      </c>
      <c r="E110" s="4" t="str">
        <f>Fact_Quality_Sampling!E110</f>
        <v>A-AM</v>
      </c>
      <c r="F110" s="4" t="str">
        <f>Fact_Quality_Sampling!F110</f>
        <v>A</v>
      </c>
      <c r="G110" s="4">
        <f>ROUND(Fact_Quality_Sampling!I110*0.59,0)</f>
        <v>0</v>
      </c>
      <c r="H110" s="4">
        <f>Fact_Quality_Sampling!I110-G110</f>
        <v>0</v>
      </c>
      <c r="I110" s="4">
        <f>ROUND(Fact_Quality_Sampling!J110*0.55,0)</f>
        <v>1</v>
      </c>
      <c r="J110" s="4">
        <f>Fact_Quality_Sampling!J110-I110</f>
        <v>0</v>
      </c>
      <c r="K110" s="4">
        <f>ROUND(Fact_Quality_Sampling!K110*0.42,0)</f>
        <v>1</v>
      </c>
      <c r="L110" s="19">
        <f>Fact_Quality_Sampling!K110-K110</f>
        <v>1</v>
      </c>
    </row>
    <row r="111" spans="1:12" x14ac:dyDescent="0.25">
      <c r="A111" s="18" t="str">
        <f>Fact_Quality_Sampling!A111</f>
        <v>QS-110</v>
      </c>
      <c r="B111" s="4">
        <f>Fact_Quality_Sampling!B111</f>
        <v>20260701</v>
      </c>
      <c r="C111" s="4">
        <f>Fact_Quality_Sampling!C111</f>
        <v>15</v>
      </c>
      <c r="D111" s="4" t="str">
        <f>Fact_Quality_Sampling!D111</f>
        <v>M5</v>
      </c>
      <c r="E111" s="4" t="str">
        <f>Fact_Quality_Sampling!E111</f>
        <v>A-AM</v>
      </c>
      <c r="F111" s="4" t="str">
        <f>Fact_Quality_Sampling!F111</f>
        <v>C</v>
      </c>
      <c r="G111" s="4">
        <f>ROUND(Fact_Quality_Sampling!I111*0.7,0)</f>
        <v>0</v>
      </c>
      <c r="H111" s="4">
        <f>Fact_Quality_Sampling!I111-G111</f>
        <v>0</v>
      </c>
      <c r="I111" s="4">
        <f>ROUND(Fact_Quality_Sampling!J111*0.64,0)</f>
        <v>1</v>
      </c>
      <c r="J111" s="4">
        <f>Fact_Quality_Sampling!J111-I111</f>
        <v>0</v>
      </c>
      <c r="K111" s="4">
        <f>ROUND(Fact_Quality_Sampling!K111*0.69,0)</f>
        <v>1</v>
      </c>
      <c r="L111" s="19">
        <f>Fact_Quality_Sampling!K111-K111</f>
        <v>0</v>
      </c>
    </row>
    <row r="112" spans="1:12" x14ac:dyDescent="0.25">
      <c r="A112" s="18" t="str">
        <f>Fact_Quality_Sampling!A112</f>
        <v>QS-111</v>
      </c>
      <c r="B112" s="4">
        <f>Fact_Quality_Sampling!B112</f>
        <v>20260701</v>
      </c>
      <c r="C112" s="4">
        <f>Fact_Quality_Sampling!C112</f>
        <v>15</v>
      </c>
      <c r="D112" s="4" t="str">
        <f>Fact_Quality_Sampling!D112</f>
        <v>M6</v>
      </c>
      <c r="E112" s="4" t="str">
        <f>Fact_Quality_Sampling!E112</f>
        <v>A-AM</v>
      </c>
      <c r="F112" s="4" t="str">
        <f>Fact_Quality_Sampling!F112</f>
        <v>C</v>
      </c>
      <c r="G112" s="4">
        <f>ROUND(Fact_Quality_Sampling!I112*0.43,0)</f>
        <v>0</v>
      </c>
      <c r="H112" s="4">
        <f>Fact_Quality_Sampling!I112-G112</f>
        <v>0</v>
      </c>
      <c r="I112" s="4">
        <f>ROUND(Fact_Quality_Sampling!J112*0.48,0)</f>
        <v>0</v>
      </c>
      <c r="J112" s="4">
        <f>Fact_Quality_Sampling!J112-I112</f>
        <v>0</v>
      </c>
      <c r="K112" s="4">
        <f>ROUND(Fact_Quality_Sampling!K112*0.41,0)</f>
        <v>0</v>
      </c>
      <c r="L112" s="19">
        <f>Fact_Quality_Sampling!K112-K112</f>
        <v>0</v>
      </c>
    </row>
    <row r="113" spans="1:12" x14ac:dyDescent="0.25">
      <c r="A113" s="18" t="str">
        <f>Fact_Quality_Sampling!A113</f>
        <v>QS-112</v>
      </c>
      <c r="B113" s="4">
        <f>Fact_Quality_Sampling!B113</f>
        <v>20260701</v>
      </c>
      <c r="C113" s="4">
        <f>Fact_Quality_Sampling!C113</f>
        <v>15</v>
      </c>
      <c r="D113" s="4" t="str">
        <f>Fact_Quality_Sampling!D113</f>
        <v>M7</v>
      </c>
      <c r="E113" s="4" t="str">
        <f>Fact_Quality_Sampling!E113</f>
        <v>A-AM</v>
      </c>
      <c r="F113" s="4" t="str">
        <f>Fact_Quality_Sampling!F113</f>
        <v>C</v>
      </c>
      <c r="G113" s="4">
        <f>ROUND(Fact_Quality_Sampling!I113*0.63,0)</f>
        <v>0</v>
      </c>
      <c r="H113" s="4">
        <f>Fact_Quality_Sampling!I113-G113</f>
        <v>0</v>
      </c>
      <c r="I113" s="4">
        <f>ROUND(Fact_Quality_Sampling!J113*0.48,0)</f>
        <v>0</v>
      </c>
      <c r="J113" s="4">
        <f>Fact_Quality_Sampling!J113-I113</f>
        <v>0</v>
      </c>
      <c r="K113" s="4">
        <f>ROUND(Fact_Quality_Sampling!K113*0.44,0)</f>
        <v>0</v>
      </c>
      <c r="L113" s="19">
        <f>Fact_Quality_Sampling!K113-K113</f>
        <v>1</v>
      </c>
    </row>
    <row r="114" spans="1:12" x14ac:dyDescent="0.25">
      <c r="A114" s="18" t="str">
        <f>Fact_Quality_Sampling!A114</f>
        <v>QS-113</v>
      </c>
      <c r="B114" s="4">
        <f>Fact_Quality_Sampling!B114</f>
        <v>20260701</v>
      </c>
      <c r="C114" s="4">
        <f>Fact_Quality_Sampling!C114</f>
        <v>16</v>
      </c>
      <c r="D114" s="4" t="str">
        <f>Fact_Quality_Sampling!D114</f>
        <v>M1</v>
      </c>
      <c r="E114" s="4" t="str">
        <f>Fact_Quality_Sampling!E114</f>
        <v>A-AM</v>
      </c>
      <c r="F114" s="4" t="str">
        <f>Fact_Quality_Sampling!F114</f>
        <v>C</v>
      </c>
      <c r="G114" s="4">
        <f>ROUND(Fact_Quality_Sampling!I114*0.53,0)</f>
        <v>0</v>
      </c>
      <c r="H114" s="4">
        <f>Fact_Quality_Sampling!I114-G114</f>
        <v>0</v>
      </c>
      <c r="I114" s="4">
        <f>ROUND(Fact_Quality_Sampling!J114*0.67,0)</f>
        <v>0</v>
      </c>
      <c r="J114" s="4">
        <f>Fact_Quality_Sampling!J114-I114</f>
        <v>0</v>
      </c>
      <c r="K114" s="4">
        <f>ROUND(Fact_Quality_Sampling!K114*0.65,0)</f>
        <v>1</v>
      </c>
      <c r="L114" s="19">
        <f>Fact_Quality_Sampling!K114-K114</f>
        <v>0</v>
      </c>
    </row>
    <row r="115" spans="1:12" x14ac:dyDescent="0.25">
      <c r="A115" s="18" t="str">
        <f>Fact_Quality_Sampling!A115</f>
        <v>QS-114</v>
      </c>
      <c r="B115" s="4">
        <f>Fact_Quality_Sampling!B115</f>
        <v>20260701</v>
      </c>
      <c r="C115" s="4">
        <f>Fact_Quality_Sampling!C115</f>
        <v>16</v>
      </c>
      <c r="D115" s="4" t="str">
        <f>Fact_Quality_Sampling!D115</f>
        <v>M2</v>
      </c>
      <c r="E115" s="4" t="str">
        <f>Fact_Quality_Sampling!E115</f>
        <v>A-AM</v>
      </c>
      <c r="F115" s="4" t="str">
        <f>Fact_Quality_Sampling!F115</f>
        <v>A</v>
      </c>
      <c r="G115" s="4">
        <f>ROUND(Fact_Quality_Sampling!I115*0.48,0)</f>
        <v>0</v>
      </c>
      <c r="H115" s="4">
        <f>Fact_Quality_Sampling!I115-G115</f>
        <v>0</v>
      </c>
      <c r="I115" s="4">
        <f>ROUND(Fact_Quality_Sampling!J115*0.44,0)</f>
        <v>0</v>
      </c>
      <c r="J115" s="4">
        <f>Fact_Quality_Sampling!J115-I115</f>
        <v>1</v>
      </c>
      <c r="K115" s="4">
        <f>ROUND(Fact_Quality_Sampling!K115*0.68,0)</f>
        <v>1</v>
      </c>
      <c r="L115" s="19">
        <f>Fact_Quality_Sampling!K115-K115</f>
        <v>0</v>
      </c>
    </row>
    <row r="116" spans="1:12" x14ac:dyDescent="0.25">
      <c r="A116" s="18" t="str">
        <f>Fact_Quality_Sampling!A116</f>
        <v>QS-115</v>
      </c>
      <c r="B116" s="4">
        <f>Fact_Quality_Sampling!B116</f>
        <v>20260701</v>
      </c>
      <c r="C116" s="4">
        <f>Fact_Quality_Sampling!C116</f>
        <v>16</v>
      </c>
      <c r="D116" s="4" t="str">
        <f>Fact_Quality_Sampling!D116</f>
        <v>M3</v>
      </c>
      <c r="E116" s="4" t="str">
        <f>Fact_Quality_Sampling!E116</f>
        <v>A-AM</v>
      </c>
      <c r="F116" s="4" t="str">
        <f>Fact_Quality_Sampling!F116</f>
        <v>B</v>
      </c>
      <c r="G116" s="4">
        <f>ROUND(Fact_Quality_Sampling!I116*0.57,0)</f>
        <v>0</v>
      </c>
      <c r="H116" s="4">
        <f>Fact_Quality_Sampling!I116-G116</f>
        <v>0</v>
      </c>
      <c r="I116" s="4">
        <f>ROUND(Fact_Quality_Sampling!J116*0.61,0)</f>
        <v>1</v>
      </c>
      <c r="J116" s="4">
        <f>Fact_Quality_Sampling!J116-I116</f>
        <v>0</v>
      </c>
      <c r="K116" s="4">
        <f>ROUND(Fact_Quality_Sampling!K116*0.43,0)</f>
        <v>0</v>
      </c>
      <c r="L116" s="19">
        <f>Fact_Quality_Sampling!K116-K116</f>
        <v>1</v>
      </c>
    </row>
    <row r="117" spans="1:12" x14ac:dyDescent="0.25">
      <c r="A117" s="18" t="str">
        <f>Fact_Quality_Sampling!A117</f>
        <v>QS-116</v>
      </c>
      <c r="B117" s="4">
        <f>Fact_Quality_Sampling!B117</f>
        <v>20260701</v>
      </c>
      <c r="C117" s="4">
        <f>Fact_Quality_Sampling!C117</f>
        <v>16</v>
      </c>
      <c r="D117" s="4" t="str">
        <f>Fact_Quality_Sampling!D117</f>
        <v>M4</v>
      </c>
      <c r="E117" s="4" t="str">
        <f>Fact_Quality_Sampling!E117</f>
        <v>A-AM</v>
      </c>
      <c r="F117" s="4" t="str">
        <f>Fact_Quality_Sampling!F117</f>
        <v>A</v>
      </c>
      <c r="G117" s="4">
        <f>ROUND(Fact_Quality_Sampling!I117*0.42,0)</f>
        <v>0</v>
      </c>
      <c r="H117" s="4">
        <f>Fact_Quality_Sampling!I117-G117</f>
        <v>0</v>
      </c>
      <c r="I117" s="4">
        <f>ROUND(Fact_Quality_Sampling!J117*0.61,0)</f>
        <v>0</v>
      </c>
      <c r="J117" s="4">
        <f>Fact_Quality_Sampling!J117-I117</f>
        <v>0</v>
      </c>
      <c r="K117" s="4">
        <f>ROUND(Fact_Quality_Sampling!K117*0.53,0)</f>
        <v>1</v>
      </c>
      <c r="L117" s="19">
        <f>Fact_Quality_Sampling!K117-K117</f>
        <v>0</v>
      </c>
    </row>
    <row r="118" spans="1:12" x14ac:dyDescent="0.25">
      <c r="A118" s="18" t="str">
        <f>Fact_Quality_Sampling!A118</f>
        <v>QS-117</v>
      </c>
      <c r="B118" s="4">
        <f>Fact_Quality_Sampling!B118</f>
        <v>20260701</v>
      </c>
      <c r="C118" s="4">
        <f>Fact_Quality_Sampling!C118</f>
        <v>16</v>
      </c>
      <c r="D118" s="4" t="str">
        <f>Fact_Quality_Sampling!D118</f>
        <v>M5</v>
      </c>
      <c r="E118" s="4" t="str">
        <f>Fact_Quality_Sampling!E118</f>
        <v>A-AM</v>
      </c>
      <c r="F118" s="4" t="str">
        <f>Fact_Quality_Sampling!F118</f>
        <v>C</v>
      </c>
      <c r="G118" s="4">
        <f>ROUND(Fact_Quality_Sampling!I118*0.42,0)</f>
        <v>0</v>
      </c>
      <c r="H118" s="4">
        <f>Fact_Quality_Sampling!I118-G118</f>
        <v>0</v>
      </c>
      <c r="I118" s="4">
        <f>ROUND(Fact_Quality_Sampling!J118*0.68,0)</f>
        <v>1</v>
      </c>
      <c r="J118" s="4">
        <f>Fact_Quality_Sampling!J118-I118</f>
        <v>0</v>
      </c>
      <c r="K118" s="4">
        <f>ROUND(Fact_Quality_Sampling!K118*0.59,0)</f>
        <v>1</v>
      </c>
      <c r="L118" s="19">
        <f>Fact_Quality_Sampling!K118-K118</f>
        <v>0</v>
      </c>
    </row>
    <row r="119" spans="1:12" x14ac:dyDescent="0.25">
      <c r="A119" s="18" t="str">
        <f>Fact_Quality_Sampling!A119</f>
        <v>QS-118</v>
      </c>
      <c r="B119" s="4">
        <f>Fact_Quality_Sampling!B119</f>
        <v>20260701</v>
      </c>
      <c r="C119" s="4">
        <f>Fact_Quality_Sampling!C119</f>
        <v>16</v>
      </c>
      <c r="D119" s="4" t="str">
        <f>Fact_Quality_Sampling!D119</f>
        <v>M6</v>
      </c>
      <c r="E119" s="4" t="str">
        <f>Fact_Quality_Sampling!E119</f>
        <v>A-AM</v>
      </c>
      <c r="F119" s="4" t="str">
        <f>Fact_Quality_Sampling!F119</f>
        <v>C</v>
      </c>
      <c r="G119" s="4">
        <f>ROUND(Fact_Quality_Sampling!I119*0.64,0)</f>
        <v>0</v>
      </c>
      <c r="H119" s="4">
        <f>Fact_Quality_Sampling!I119-G119</f>
        <v>0</v>
      </c>
      <c r="I119" s="4">
        <f>ROUND(Fact_Quality_Sampling!J119*0.43,0)</f>
        <v>0</v>
      </c>
      <c r="J119" s="4">
        <f>Fact_Quality_Sampling!J119-I119</f>
        <v>0</v>
      </c>
      <c r="K119" s="4">
        <f>ROUND(Fact_Quality_Sampling!K119*0.66,0)</f>
        <v>1</v>
      </c>
      <c r="L119" s="19">
        <f>Fact_Quality_Sampling!K119-K119</f>
        <v>0</v>
      </c>
    </row>
    <row r="120" spans="1:12" x14ac:dyDescent="0.25">
      <c r="A120" s="18" t="str">
        <f>Fact_Quality_Sampling!A120</f>
        <v>QS-119</v>
      </c>
      <c r="B120" s="4">
        <f>Fact_Quality_Sampling!B120</f>
        <v>20260701</v>
      </c>
      <c r="C120" s="4">
        <f>Fact_Quality_Sampling!C120</f>
        <v>16</v>
      </c>
      <c r="D120" s="4" t="str">
        <f>Fact_Quality_Sampling!D120</f>
        <v>M7</v>
      </c>
      <c r="E120" s="4" t="str">
        <f>Fact_Quality_Sampling!E120</f>
        <v>A-AM</v>
      </c>
      <c r="F120" s="4" t="str">
        <f>Fact_Quality_Sampling!F120</f>
        <v>C</v>
      </c>
      <c r="G120" s="4">
        <f>ROUND(Fact_Quality_Sampling!I120*0.42,0)</f>
        <v>0</v>
      </c>
      <c r="H120" s="4">
        <f>Fact_Quality_Sampling!I120-G120</f>
        <v>0</v>
      </c>
      <c r="I120" s="4">
        <f>ROUND(Fact_Quality_Sampling!J120*0.66,0)</f>
        <v>1</v>
      </c>
      <c r="J120" s="4">
        <f>Fact_Quality_Sampling!J120-I120</f>
        <v>0</v>
      </c>
      <c r="K120" s="4">
        <f>ROUND(Fact_Quality_Sampling!K120*0.54,0)</f>
        <v>1</v>
      </c>
      <c r="L120" s="19">
        <f>Fact_Quality_Sampling!K120-K120</f>
        <v>1</v>
      </c>
    </row>
    <row r="121" spans="1:12" x14ac:dyDescent="0.25">
      <c r="A121" s="18" t="str">
        <f>Fact_Quality_Sampling!A121</f>
        <v>QS-120</v>
      </c>
      <c r="B121" s="4">
        <f>Fact_Quality_Sampling!B121</f>
        <v>20260701</v>
      </c>
      <c r="C121" s="4">
        <f>Fact_Quality_Sampling!C121</f>
        <v>17</v>
      </c>
      <c r="D121" s="4" t="str">
        <f>Fact_Quality_Sampling!D121</f>
        <v>M1</v>
      </c>
      <c r="E121" s="4" t="str">
        <f>Fact_Quality_Sampling!E121</f>
        <v>A-AM</v>
      </c>
      <c r="F121" s="4" t="str">
        <f>Fact_Quality_Sampling!F121</f>
        <v>C</v>
      </c>
      <c r="G121" s="4">
        <f>ROUND(Fact_Quality_Sampling!I121*0.5,0)</f>
        <v>0</v>
      </c>
      <c r="H121" s="4">
        <f>Fact_Quality_Sampling!I121-G121</f>
        <v>0</v>
      </c>
      <c r="I121" s="4">
        <f>ROUND(Fact_Quality_Sampling!J121*0.57,0)</f>
        <v>1</v>
      </c>
      <c r="J121" s="4">
        <f>Fact_Quality_Sampling!J121-I121</f>
        <v>0</v>
      </c>
      <c r="K121" s="4">
        <f>ROUND(Fact_Quality_Sampling!K121*0.68,0)</f>
        <v>1</v>
      </c>
      <c r="L121" s="19">
        <f>Fact_Quality_Sampling!K121-K121</f>
        <v>0</v>
      </c>
    </row>
    <row r="122" spans="1:12" x14ac:dyDescent="0.25">
      <c r="A122" s="18" t="str">
        <f>Fact_Quality_Sampling!A122</f>
        <v>QS-121</v>
      </c>
      <c r="B122" s="4">
        <f>Fact_Quality_Sampling!B122</f>
        <v>20260701</v>
      </c>
      <c r="C122" s="4">
        <f>Fact_Quality_Sampling!C122</f>
        <v>17</v>
      </c>
      <c r="D122" s="4" t="str">
        <f>Fact_Quality_Sampling!D122</f>
        <v>M2</v>
      </c>
      <c r="E122" s="4" t="str">
        <f>Fact_Quality_Sampling!E122</f>
        <v>A-AM</v>
      </c>
      <c r="F122" s="4" t="str">
        <f>Fact_Quality_Sampling!F122</f>
        <v>A</v>
      </c>
      <c r="G122" s="4">
        <f>ROUND(Fact_Quality_Sampling!I122*0.48,0)</f>
        <v>0</v>
      </c>
      <c r="H122" s="4">
        <f>Fact_Quality_Sampling!I122-G122</f>
        <v>0</v>
      </c>
      <c r="I122" s="4">
        <f>ROUND(Fact_Quality_Sampling!J122*0.44,0)</f>
        <v>0</v>
      </c>
      <c r="J122" s="4">
        <f>Fact_Quality_Sampling!J122-I122</f>
        <v>1</v>
      </c>
      <c r="K122" s="4">
        <f>ROUND(Fact_Quality_Sampling!K122*0.56,0)</f>
        <v>1</v>
      </c>
      <c r="L122" s="19">
        <f>Fact_Quality_Sampling!K122-K122</f>
        <v>0</v>
      </c>
    </row>
    <row r="123" spans="1:12" x14ac:dyDescent="0.25">
      <c r="A123" s="18" t="str">
        <f>Fact_Quality_Sampling!A123</f>
        <v>QS-122</v>
      </c>
      <c r="B123" s="4">
        <f>Fact_Quality_Sampling!B123</f>
        <v>20260701</v>
      </c>
      <c r="C123" s="4">
        <f>Fact_Quality_Sampling!C123</f>
        <v>17</v>
      </c>
      <c r="D123" s="4" t="str">
        <f>Fact_Quality_Sampling!D123</f>
        <v>M3</v>
      </c>
      <c r="E123" s="4" t="str">
        <f>Fact_Quality_Sampling!E123</f>
        <v>A-AM</v>
      </c>
      <c r="F123" s="4" t="str">
        <f>Fact_Quality_Sampling!F123</f>
        <v>B</v>
      </c>
      <c r="G123" s="4">
        <f>ROUND(Fact_Quality_Sampling!I123*0.47,0)</f>
        <v>0</v>
      </c>
      <c r="H123" s="4">
        <f>Fact_Quality_Sampling!I123-G123</f>
        <v>0</v>
      </c>
      <c r="I123" s="4">
        <f>ROUND(Fact_Quality_Sampling!J123*0.43,0)</f>
        <v>0</v>
      </c>
      <c r="J123" s="4">
        <f>Fact_Quality_Sampling!J123-I123</f>
        <v>1</v>
      </c>
      <c r="K123" s="4">
        <f>ROUND(Fact_Quality_Sampling!K123*0.45,0)</f>
        <v>0</v>
      </c>
      <c r="L123" s="19">
        <f>Fact_Quality_Sampling!K123-K123</f>
        <v>1</v>
      </c>
    </row>
    <row r="124" spans="1:12" x14ac:dyDescent="0.25">
      <c r="A124" s="18" t="str">
        <f>Fact_Quality_Sampling!A124</f>
        <v>QS-123</v>
      </c>
      <c r="B124" s="4">
        <f>Fact_Quality_Sampling!B124</f>
        <v>20260701</v>
      </c>
      <c r="C124" s="4">
        <f>Fact_Quality_Sampling!C124</f>
        <v>17</v>
      </c>
      <c r="D124" s="4" t="str">
        <f>Fact_Quality_Sampling!D124</f>
        <v>M4</v>
      </c>
      <c r="E124" s="4" t="str">
        <f>Fact_Quality_Sampling!E124</f>
        <v>A-AM</v>
      </c>
      <c r="F124" s="4" t="str">
        <f>Fact_Quality_Sampling!F124</f>
        <v>A</v>
      </c>
      <c r="G124" s="4">
        <f>ROUND(Fact_Quality_Sampling!I124*0.42,0)</f>
        <v>0</v>
      </c>
      <c r="H124" s="4">
        <f>Fact_Quality_Sampling!I124-G124</f>
        <v>0</v>
      </c>
      <c r="I124" s="4">
        <f>ROUND(Fact_Quality_Sampling!J124*0.46,0)</f>
        <v>0</v>
      </c>
      <c r="J124" s="4">
        <f>Fact_Quality_Sampling!J124-I124</f>
        <v>1</v>
      </c>
      <c r="K124" s="4">
        <f>ROUND(Fact_Quality_Sampling!K124*0.49,0)</f>
        <v>0</v>
      </c>
      <c r="L124" s="19">
        <f>Fact_Quality_Sampling!K124-K124</f>
        <v>1</v>
      </c>
    </row>
    <row r="125" spans="1:12" x14ac:dyDescent="0.25">
      <c r="A125" s="18" t="str">
        <f>Fact_Quality_Sampling!A125</f>
        <v>QS-124</v>
      </c>
      <c r="B125" s="4">
        <f>Fact_Quality_Sampling!B125</f>
        <v>20260701</v>
      </c>
      <c r="C125" s="4">
        <f>Fact_Quality_Sampling!C125</f>
        <v>17</v>
      </c>
      <c r="D125" s="4" t="str">
        <f>Fact_Quality_Sampling!D125</f>
        <v>M5</v>
      </c>
      <c r="E125" s="4" t="str">
        <f>Fact_Quality_Sampling!E125</f>
        <v>A-AM</v>
      </c>
      <c r="F125" s="4" t="str">
        <f>Fact_Quality_Sampling!F125</f>
        <v>C</v>
      </c>
      <c r="G125" s="4">
        <f>ROUND(Fact_Quality_Sampling!I125*0.49,0)</f>
        <v>0</v>
      </c>
      <c r="H125" s="4">
        <f>Fact_Quality_Sampling!I125-G125</f>
        <v>0</v>
      </c>
      <c r="I125" s="4">
        <f>ROUND(Fact_Quality_Sampling!J125*0.63,0)</f>
        <v>0</v>
      </c>
      <c r="J125" s="4">
        <f>Fact_Quality_Sampling!J125-I125</f>
        <v>0</v>
      </c>
      <c r="K125" s="4">
        <f>ROUND(Fact_Quality_Sampling!K125*0.49,0)</f>
        <v>0</v>
      </c>
      <c r="L125" s="19">
        <f>Fact_Quality_Sampling!K125-K125</f>
        <v>0</v>
      </c>
    </row>
    <row r="126" spans="1:12" x14ac:dyDescent="0.25">
      <c r="A126" s="18" t="str">
        <f>Fact_Quality_Sampling!A126</f>
        <v>QS-125</v>
      </c>
      <c r="B126" s="4">
        <f>Fact_Quality_Sampling!B126</f>
        <v>20260701</v>
      </c>
      <c r="C126" s="4">
        <f>Fact_Quality_Sampling!C126</f>
        <v>17</v>
      </c>
      <c r="D126" s="4" t="str">
        <f>Fact_Quality_Sampling!D126</f>
        <v>M6</v>
      </c>
      <c r="E126" s="4" t="str">
        <f>Fact_Quality_Sampling!E126</f>
        <v>A-AM</v>
      </c>
      <c r="F126" s="4" t="str">
        <f>Fact_Quality_Sampling!F126</f>
        <v>C</v>
      </c>
      <c r="G126" s="4">
        <f>ROUND(Fact_Quality_Sampling!I126*0.55,0)</f>
        <v>0</v>
      </c>
      <c r="H126" s="4">
        <f>Fact_Quality_Sampling!I126-G126</f>
        <v>0</v>
      </c>
      <c r="I126" s="4">
        <f>ROUND(Fact_Quality_Sampling!J126*0.45,0)</f>
        <v>0</v>
      </c>
      <c r="J126" s="4">
        <f>Fact_Quality_Sampling!J126-I126</f>
        <v>0</v>
      </c>
      <c r="K126" s="4">
        <f>ROUND(Fact_Quality_Sampling!K126*0.5,0)</f>
        <v>0</v>
      </c>
      <c r="L126" s="19">
        <f>Fact_Quality_Sampling!K126-K126</f>
        <v>0</v>
      </c>
    </row>
    <row r="127" spans="1:12" x14ac:dyDescent="0.25">
      <c r="A127" s="18" t="str">
        <f>Fact_Quality_Sampling!A127</f>
        <v>QS-126</v>
      </c>
      <c r="B127" s="4">
        <f>Fact_Quality_Sampling!B127</f>
        <v>20260701</v>
      </c>
      <c r="C127" s="4">
        <f>Fact_Quality_Sampling!C127</f>
        <v>17</v>
      </c>
      <c r="D127" s="4" t="str">
        <f>Fact_Quality_Sampling!D127</f>
        <v>M7</v>
      </c>
      <c r="E127" s="4" t="str">
        <f>Fact_Quality_Sampling!E127</f>
        <v>A-AM</v>
      </c>
      <c r="F127" s="4" t="str">
        <f>Fact_Quality_Sampling!F127</f>
        <v>C</v>
      </c>
      <c r="G127" s="4">
        <f>ROUND(Fact_Quality_Sampling!I127*0.41,0)</f>
        <v>0</v>
      </c>
      <c r="H127" s="4">
        <f>Fact_Quality_Sampling!I127-G127</f>
        <v>0</v>
      </c>
      <c r="I127" s="4">
        <f>ROUND(Fact_Quality_Sampling!J127*0.48,0)</f>
        <v>0</v>
      </c>
      <c r="J127" s="4">
        <f>Fact_Quality_Sampling!J127-I127</f>
        <v>1</v>
      </c>
      <c r="K127" s="4">
        <f>ROUND(Fact_Quality_Sampling!K127*0.4,0)</f>
        <v>1</v>
      </c>
      <c r="L127" s="19">
        <f>Fact_Quality_Sampling!K127-K127</f>
        <v>1</v>
      </c>
    </row>
    <row r="128" spans="1:12" x14ac:dyDescent="0.25">
      <c r="A128" s="18" t="str">
        <f>Fact_Quality_Sampling!A128</f>
        <v>QS-127</v>
      </c>
      <c r="B128" s="4">
        <f>Fact_Quality_Sampling!B128</f>
        <v>20260701</v>
      </c>
      <c r="C128" s="4">
        <f>Fact_Quality_Sampling!C128</f>
        <v>18</v>
      </c>
      <c r="D128" s="4" t="str">
        <f>Fact_Quality_Sampling!D128</f>
        <v>M1</v>
      </c>
      <c r="E128" s="4" t="str">
        <f>Fact_Quality_Sampling!E128</f>
        <v>B-PM</v>
      </c>
      <c r="F128" s="4" t="str">
        <f>Fact_Quality_Sampling!F128</f>
        <v>A</v>
      </c>
      <c r="G128" s="4">
        <f>ROUND(Fact_Quality_Sampling!I128*0.62,0)</f>
        <v>0</v>
      </c>
      <c r="H128" s="4">
        <f>Fact_Quality_Sampling!I128-G128</f>
        <v>0</v>
      </c>
      <c r="I128" s="4">
        <f>ROUND(Fact_Quality_Sampling!J128*0.57,0)</f>
        <v>1</v>
      </c>
      <c r="J128" s="4">
        <f>Fact_Quality_Sampling!J128-I128</f>
        <v>0</v>
      </c>
      <c r="K128" s="4">
        <f>ROUND(Fact_Quality_Sampling!K128*0.46,0)</f>
        <v>0</v>
      </c>
      <c r="L128" s="19">
        <f>Fact_Quality_Sampling!K128-K128</f>
        <v>1</v>
      </c>
    </row>
    <row r="129" spans="1:12" x14ac:dyDescent="0.25">
      <c r="A129" s="18" t="str">
        <f>Fact_Quality_Sampling!A129</f>
        <v>QS-128</v>
      </c>
      <c r="B129" s="4">
        <f>Fact_Quality_Sampling!B129</f>
        <v>20260701</v>
      </c>
      <c r="C129" s="4">
        <f>Fact_Quality_Sampling!C129</f>
        <v>18</v>
      </c>
      <c r="D129" s="4" t="str">
        <f>Fact_Quality_Sampling!D129</f>
        <v>M2</v>
      </c>
      <c r="E129" s="4" t="str">
        <f>Fact_Quality_Sampling!E129</f>
        <v>B-PM</v>
      </c>
      <c r="F129" s="4" t="str">
        <f>Fact_Quality_Sampling!F129</f>
        <v>C</v>
      </c>
      <c r="G129" s="4">
        <f>ROUND(Fact_Quality_Sampling!I129*0.54,0)</f>
        <v>0</v>
      </c>
      <c r="H129" s="4">
        <f>Fact_Quality_Sampling!I129-G129</f>
        <v>0</v>
      </c>
      <c r="I129" s="4">
        <f>ROUND(Fact_Quality_Sampling!J129*0.68,0)</f>
        <v>1</v>
      </c>
      <c r="J129" s="4">
        <f>Fact_Quality_Sampling!J129-I129</f>
        <v>0</v>
      </c>
      <c r="K129" s="4">
        <f>ROUND(Fact_Quality_Sampling!K129*0.43,0)</f>
        <v>0</v>
      </c>
      <c r="L129" s="19">
        <f>Fact_Quality_Sampling!K129-K129</f>
        <v>1</v>
      </c>
    </row>
    <row r="130" spans="1:12" x14ac:dyDescent="0.25">
      <c r="A130" s="18" t="str">
        <f>Fact_Quality_Sampling!A130</f>
        <v>QS-129</v>
      </c>
      <c r="B130" s="4">
        <f>Fact_Quality_Sampling!B130</f>
        <v>20260701</v>
      </c>
      <c r="C130" s="4">
        <f>Fact_Quality_Sampling!C130</f>
        <v>18</v>
      </c>
      <c r="D130" s="4" t="str">
        <f>Fact_Quality_Sampling!D130</f>
        <v>M3</v>
      </c>
      <c r="E130" s="4" t="str">
        <f>Fact_Quality_Sampling!E130</f>
        <v>B-PM</v>
      </c>
      <c r="F130" s="4" t="str">
        <f>Fact_Quality_Sampling!F130</f>
        <v>A</v>
      </c>
      <c r="G130" s="4">
        <f>ROUND(Fact_Quality_Sampling!I130*0.65,0)</f>
        <v>0</v>
      </c>
      <c r="H130" s="4">
        <f>Fact_Quality_Sampling!I130-G130</f>
        <v>0</v>
      </c>
      <c r="I130" s="4">
        <f>ROUND(Fact_Quality_Sampling!J130*0.53,0)</f>
        <v>0</v>
      </c>
      <c r="J130" s="4">
        <f>Fact_Quality_Sampling!J130-I130</f>
        <v>0</v>
      </c>
      <c r="K130" s="4">
        <f>ROUND(Fact_Quality_Sampling!K130*0.55,0)</f>
        <v>1</v>
      </c>
      <c r="L130" s="19">
        <f>Fact_Quality_Sampling!K130-K130</f>
        <v>0</v>
      </c>
    </row>
    <row r="131" spans="1:12" x14ac:dyDescent="0.25">
      <c r="A131" s="18" t="str">
        <f>Fact_Quality_Sampling!A131</f>
        <v>QS-130</v>
      </c>
      <c r="B131" s="4">
        <f>Fact_Quality_Sampling!B131</f>
        <v>20260701</v>
      </c>
      <c r="C131" s="4">
        <f>Fact_Quality_Sampling!C131</f>
        <v>18</v>
      </c>
      <c r="D131" s="4" t="str">
        <f>Fact_Quality_Sampling!D131</f>
        <v>M4</v>
      </c>
      <c r="E131" s="4" t="str">
        <f>Fact_Quality_Sampling!E131</f>
        <v>B-PM</v>
      </c>
      <c r="F131" s="4" t="str">
        <f>Fact_Quality_Sampling!F131</f>
        <v>A</v>
      </c>
      <c r="G131" s="4">
        <f>ROUND(Fact_Quality_Sampling!I131*0.65,0)</f>
        <v>0</v>
      </c>
      <c r="H131" s="4">
        <f>Fact_Quality_Sampling!I131-G131</f>
        <v>0</v>
      </c>
      <c r="I131" s="4">
        <f>ROUND(Fact_Quality_Sampling!J131*0.52,0)</f>
        <v>1</v>
      </c>
      <c r="J131" s="4">
        <f>Fact_Quality_Sampling!J131-I131</f>
        <v>0</v>
      </c>
      <c r="K131" s="4">
        <f>ROUND(Fact_Quality_Sampling!K131*0.55,0)</f>
        <v>1</v>
      </c>
      <c r="L131" s="19">
        <f>Fact_Quality_Sampling!K131-K131</f>
        <v>0</v>
      </c>
    </row>
    <row r="132" spans="1:12" x14ac:dyDescent="0.25">
      <c r="A132" s="18" t="str">
        <f>Fact_Quality_Sampling!A132</f>
        <v>QS-131</v>
      </c>
      <c r="B132" s="4">
        <f>Fact_Quality_Sampling!B132</f>
        <v>20260701</v>
      </c>
      <c r="C132" s="4">
        <f>Fact_Quality_Sampling!C132</f>
        <v>18</v>
      </c>
      <c r="D132" s="4" t="str">
        <f>Fact_Quality_Sampling!D132</f>
        <v>M5</v>
      </c>
      <c r="E132" s="4" t="str">
        <f>Fact_Quality_Sampling!E132</f>
        <v>B-PM</v>
      </c>
      <c r="F132" s="4" t="str">
        <f>Fact_Quality_Sampling!F132</f>
        <v>A</v>
      </c>
      <c r="G132" s="4">
        <f>ROUND(Fact_Quality_Sampling!I132*0.61,0)</f>
        <v>0</v>
      </c>
      <c r="H132" s="4">
        <f>Fact_Quality_Sampling!I132-G132</f>
        <v>0</v>
      </c>
      <c r="I132" s="4">
        <f>ROUND(Fact_Quality_Sampling!J132*0.69,0)</f>
        <v>0</v>
      </c>
      <c r="J132" s="4">
        <f>Fact_Quality_Sampling!J132-I132</f>
        <v>0</v>
      </c>
      <c r="K132" s="4">
        <f>ROUND(Fact_Quality_Sampling!K132*0.5,0)</f>
        <v>0</v>
      </c>
      <c r="L132" s="19">
        <f>Fact_Quality_Sampling!K132-K132</f>
        <v>0</v>
      </c>
    </row>
    <row r="133" spans="1:12" x14ac:dyDescent="0.25">
      <c r="A133" s="18" t="str">
        <f>Fact_Quality_Sampling!A133</f>
        <v>QS-132</v>
      </c>
      <c r="B133" s="4">
        <f>Fact_Quality_Sampling!B133</f>
        <v>20260701</v>
      </c>
      <c r="C133" s="4">
        <f>Fact_Quality_Sampling!C133</f>
        <v>18</v>
      </c>
      <c r="D133" s="4" t="str">
        <f>Fact_Quality_Sampling!D133</f>
        <v>M6</v>
      </c>
      <c r="E133" s="4" t="str">
        <f>Fact_Quality_Sampling!E133</f>
        <v>B-PM</v>
      </c>
      <c r="F133" s="4" t="str">
        <f>Fact_Quality_Sampling!F133</f>
        <v>C</v>
      </c>
      <c r="G133" s="4">
        <f>ROUND(Fact_Quality_Sampling!I133*0.65,0)</f>
        <v>0</v>
      </c>
      <c r="H133" s="4">
        <f>Fact_Quality_Sampling!I133-G133</f>
        <v>0</v>
      </c>
      <c r="I133" s="4">
        <f>ROUND(Fact_Quality_Sampling!J133*0.61,0)</f>
        <v>0</v>
      </c>
      <c r="J133" s="4">
        <f>Fact_Quality_Sampling!J133-I133</f>
        <v>0</v>
      </c>
      <c r="K133" s="4">
        <f>ROUND(Fact_Quality_Sampling!K133*0.59,0)</f>
        <v>1</v>
      </c>
      <c r="L133" s="19">
        <f>Fact_Quality_Sampling!K133-K133</f>
        <v>0</v>
      </c>
    </row>
    <row r="134" spans="1:12" x14ac:dyDescent="0.25">
      <c r="A134" s="18" t="str">
        <f>Fact_Quality_Sampling!A134</f>
        <v>QS-133</v>
      </c>
      <c r="B134" s="4">
        <f>Fact_Quality_Sampling!B134</f>
        <v>20260701</v>
      </c>
      <c r="C134" s="4">
        <f>Fact_Quality_Sampling!C134</f>
        <v>18</v>
      </c>
      <c r="D134" s="4" t="str">
        <f>Fact_Quality_Sampling!D134</f>
        <v>M7</v>
      </c>
      <c r="E134" s="4" t="str">
        <f>Fact_Quality_Sampling!E134</f>
        <v>B-PM</v>
      </c>
      <c r="F134" s="4" t="str">
        <f>Fact_Quality_Sampling!F134</f>
        <v>A</v>
      </c>
      <c r="G134" s="4">
        <f>ROUND(Fact_Quality_Sampling!I134*0.52,0)</f>
        <v>0</v>
      </c>
      <c r="H134" s="4">
        <f>Fact_Quality_Sampling!I134-G134</f>
        <v>0</v>
      </c>
      <c r="I134" s="4">
        <f>ROUND(Fact_Quality_Sampling!J134*0.5,0)</f>
        <v>1</v>
      </c>
      <c r="J134" s="4">
        <f>Fact_Quality_Sampling!J134-I134</f>
        <v>0</v>
      </c>
      <c r="K134" s="4">
        <f>ROUND(Fact_Quality_Sampling!K134*0.42,0)</f>
        <v>1</v>
      </c>
      <c r="L134" s="19">
        <f>Fact_Quality_Sampling!K134-K134</f>
        <v>1</v>
      </c>
    </row>
    <row r="135" spans="1:12" x14ac:dyDescent="0.25">
      <c r="A135" s="18" t="str">
        <f>Fact_Quality_Sampling!A135</f>
        <v>QS-134</v>
      </c>
      <c r="B135" s="4">
        <f>Fact_Quality_Sampling!B135</f>
        <v>20260701</v>
      </c>
      <c r="C135" s="4">
        <f>Fact_Quality_Sampling!C135</f>
        <v>19</v>
      </c>
      <c r="D135" s="4" t="str">
        <f>Fact_Quality_Sampling!D135</f>
        <v>M1</v>
      </c>
      <c r="E135" s="4" t="str">
        <f>Fact_Quality_Sampling!E135</f>
        <v>B-PM</v>
      </c>
      <c r="F135" s="4" t="str">
        <f>Fact_Quality_Sampling!F135</f>
        <v>A</v>
      </c>
      <c r="G135" s="4">
        <f>ROUND(Fact_Quality_Sampling!I135*0.44,0)</f>
        <v>0</v>
      </c>
      <c r="H135" s="4">
        <f>Fact_Quality_Sampling!I135-G135</f>
        <v>0</v>
      </c>
      <c r="I135" s="4">
        <f>ROUND(Fact_Quality_Sampling!J135*0.42,0)</f>
        <v>0</v>
      </c>
      <c r="J135" s="4">
        <f>Fact_Quality_Sampling!J135-I135</f>
        <v>1</v>
      </c>
      <c r="K135" s="4">
        <f>ROUND(Fact_Quality_Sampling!K135*0.62,0)</f>
        <v>1</v>
      </c>
      <c r="L135" s="19">
        <f>Fact_Quality_Sampling!K135-K135</f>
        <v>0</v>
      </c>
    </row>
    <row r="136" spans="1:12" x14ac:dyDescent="0.25">
      <c r="A136" s="18" t="str">
        <f>Fact_Quality_Sampling!A136</f>
        <v>QS-135</v>
      </c>
      <c r="B136" s="4">
        <f>Fact_Quality_Sampling!B136</f>
        <v>20260701</v>
      </c>
      <c r="C136" s="4">
        <f>Fact_Quality_Sampling!C136</f>
        <v>19</v>
      </c>
      <c r="D136" s="4" t="str">
        <f>Fact_Quality_Sampling!D136</f>
        <v>M2</v>
      </c>
      <c r="E136" s="4" t="str">
        <f>Fact_Quality_Sampling!E136</f>
        <v>B-PM</v>
      </c>
      <c r="F136" s="4" t="str">
        <f>Fact_Quality_Sampling!F136</f>
        <v>C</v>
      </c>
      <c r="G136" s="4">
        <f>ROUND(Fact_Quality_Sampling!I136*0.48,0)</f>
        <v>0</v>
      </c>
      <c r="H136" s="4">
        <f>Fact_Quality_Sampling!I136-G136</f>
        <v>0</v>
      </c>
      <c r="I136" s="4">
        <f>ROUND(Fact_Quality_Sampling!J136*0.45,0)</f>
        <v>0</v>
      </c>
      <c r="J136" s="4">
        <f>Fact_Quality_Sampling!J136-I136</f>
        <v>1</v>
      </c>
      <c r="K136" s="4">
        <f>ROUND(Fact_Quality_Sampling!K136*0.43,0)</f>
        <v>0</v>
      </c>
      <c r="L136" s="19">
        <f>Fact_Quality_Sampling!K136-K136</f>
        <v>1</v>
      </c>
    </row>
    <row r="137" spans="1:12" x14ac:dyDescent="0.25">
      <c r="A137" s="18" t="str">
        <f>Fact_Quality_Sampling!A137</f>
        <v>QS-136</v>
      </c>
      <c r="B137" s="4">
        <f>Fact_Quality_Sampling!B137</f>
        <v>20260701</v>
      </c>
      <c r="C137" s="4">
        <f>Fact_Quality_Sampling!C137</f>
        <v>19</v>
      </c>
      <c r="D137" s="4" t="str">
        <f>Fact_Quality_Sampling!D137</f>
        <v>M3</v>
      </c>
      <c r="E137" s="4" t="str">
        <f>Fact_Quality_Sampling!E137</f>
        <v>B-PM</v>
      </c>
      <c r="F137" s="4" t="str">
        <f>Fact_Quality_Sampling!F137</f>
        <v>A</v>
      </c>
      <c r="G137" s="4">
        <f>ROUND(Fact_Quality_Sampling!I137*0.65,0)</f>
        <v>0</v>
      </c>
      <c r="H137" s="4">
        <f>Fact_Quality_Sampling!I137-G137</f>
        <v>0</v>
      </c>
      <c r="I137" s="4">
        <f>ROUND(Fact_Quality_Sampling!J137*0.66,0)</f>
        <v>0</v>
      </c>
      <c r="J137" s="4">
        <f>Fact_Quality_Sampling!J137-I137</f>
        <v>0</v>
      </c>
      <c r="K137" s="4">
        <f>ROUND(Fact_Quality_Sampling!K137*0.6,0)</f>
        <v>1</v>
      </c>
      <c r="L137" s="19">
        <f>Fact_Quality_Sampling!K137-K137</f>
        <v>0</v>
      </c>
    </row>
    <row r="138" spans="1:12" x14ac:dyDescent="0.25">
      <c r="A138" s="18" t="str">
        <f>Fact_Quality_Sampling!A138</f>
        <v>QS-137</v>
      </c>
      <c r="B138" s="4">
        <f>Fact_Quality_Sampling!B138</f>
        <v>20260701</v>
      </c>
      <c r="C138" s="4">
        <f>Fact_Quality_Sampling!C138</f>
        <v>19</v>
      </c>
      <c r="D138" s="4" t="str">
        <f>Fact_Quality_Sampling!D138</f>
        <v>M4</v>
      </c>
      <c r="E138" s="4" t="str">
        <f>Fact_Quality_Sampling!E138</f>
        <v>B-PM</v>
      </c>
      <c r="F138" s="4" t="str">
        <f>Fact_Quality_Sampling!F138</f>
        <v>A</v>
      </c>
      <c r="G138" s="4">
        <f>ROUND(Fact_Quality_Sampling!I138*0.48,0)</f>
        <v>0</v>
      </c>
      <c r="H138" s="4">
        <f>Fact_Quality_Sampling!I138-G138</f>
        <v>0</v>
      </c>
      <c r="I138" s="4">
        <f>ROUND(Fact_Quality_Sampling!J138*0.47,0)</f>
        <v>0</v>
      </c>
      <c r="J138" s="4">
        <f>Fact_Quality_Sampling!J138-I138</f>
        <v>0</v>
      </c>
      <c r="K138" s="4">
        <f>ROUND(Fact_Quality_Sampling!K138*0.49,0)</f>
        <v>0</v>
      </c>
      <c r="L138" s="19">
        <f>Fact_Quality_Sampling!K138-K138</f>
        <v>1</v>
      </c>
    </row>
    <row r="139" spans="1:12" x14ac:dyDescent="0.25">
      <c r="A139" s="18" t="str">
        <f>Fact_Quality_Sampling!A139</f>
        <v>QS-138</v>
      </c>
      <c r="B139" s="4">
        <f>Fact_Quality_Sampling!B139</f>
        <v>20260701</v>
      </c>
      <c r="C139" s="4">
        <f>Fact_Quality_Sampling!C139</f>
        <v>19</v>
      </c>
      <c r="D139" s="4" t="str">
        <f>Fact_Quality_Sampling!D139</f>
        <v>M5</v>
      </c>
      <c r="E139" s="4" t="str">
        <f>Fact_Quality_Sampling!E139</f>
        <v>B-PM</v>
      </c>
      <c r="F139" s="4" t="str">
        <f>Fact_Quality_Sampling!F139</f>
        <v>A</v>
      </c>
      <c r="G139" s="4">
        <f>ROUND(Fact_Quality_Sampling!I139*0.54,0)</f>
        <v>0</v>
      </c>
      <c r="H139" s="4">
        <f>Fact_Quality_Sampling!I139-G139</f>
        <v>0</v>
      </c>
      <c r="I139" s="4">
        <f>ROUND(Fact_Quality_Sampling!J139*0.45,0)</f>
        <v>0</v>
      </c>
      <c r="J139" s="4">
        <f>Fact_Quality_Sampling!J139-I139</f>
        <v>0</v>
      </c>
      <c r="K139" s="4">
        <f>ROUND(Fact_Quality_Sampling!K139*0.53,0)</f>
        <v>1</v>
      </c>
      <c r="L139" s="19">
        <f>Fact_Quality_Sampling!K139-K139</f>
        <v>0</v>
      </c>
    </row>
    <row r="140" spans="1:12" x14ac:dyDescent="0.25">
      <c r="A140" s="18" t="str">
        <f>Fact_Quality_Sampling!A140</f>
        <v>QS-139</v>
      </c>
      <c r="B140" s="4">
        <f>Fact_Quality_Sampling!B140</f>
        <v>20260701</v>
      </c>
      <c r="C140" s="4">
        <f>Fact_Quality_Sampling!C140</f>
        <v>19</v>
      </c>
      <c r="D140" s="4" t="str">
        <f>Fact_Quality_Sampling!D140</f>
        <v>M6</v>
      </c>
      <c r="E140" s="4" t="str">
        <f>Fact_Quality_Sampling!E140</f>
        <v>B-PM</v>
      </c>
      <c r="F140" s="4" t="str">
        <f>Fact_Quality_Sampling!F140</f>
        <v>C</v>
      </c>
      <c r="G140" s="4">
        <f>ROUND(Fact_Quality_Sampling!I140*0.48,0)</f>
        <v>0</v>
      </c>
      <c r="H140" s="4">
        <f>Fact_Quality_Sampling!I140-G140</f>
        <v>0</v>
      </c>
      <c r="I140" s="4">
        <f>ROUND(Fact_Quality_Sampling!J140*0.69,0)</f>
        <v>1</v>
      </c>
      <c r="J140" s="4">
        <f>Fact_Quality_Sampling!J140-I140</f>
        <v>0</v>
      </c>
      <c r="K140" s="4">
        <f>ROUND(Fact_Quality_Sampling!K140*0.69,0)</f>
        <v>1</v>
      </c>
      <c r="L140" s="19">
        <f>Fact_Quality_Sampling!K140-K140</f>
        <v>0</v>
      </c>
    </row>
    <row r="141" spans="1:12" x14ac:dyDescent="0.25">
      <c r="A141" s="18" t="str">
        <f>Fact_Quality_Sampling!A141</f>
        <v>QS-140</v>
      </c>
      <c r="B141" s="4">
        <f>Fact_Quality_Sampling!B141</f>
        <v>20260701</v>
      </c>
      <c r="C141" s="4">
        <f>Fact_Quality_Sampling!C141</f>
        <v>19</v>
      </c>
      <c r="D141" s="4" t="str">
        <f>Fact_Quality_Sampling!D141</f>
        <v>M7</v>
      </c>
      <c r="E141" s="4" t="str">
        <f>Fact_Quality_Sampling!E141</f>
        <v>B-PM</v>
      </c>
      <c r="F141" s="4" t="str">
        <f>Fact_Quality_Sampling!F141</f>
        <v>A</v>
      </c>
      <c r="G141" s="4">
        <f>ROUND(Fact_Quality_Sampling!I141*0.56,0)</f>
        <v>0</v>
      </c>
      <c r="H141" s="4">
        <f>Fact_Quality_Sampling!I141-G141</f>
        <v>0</v>
      </c>
      <c r="I141" s="4">
        <f>ROUND(Fact_Quality_Sampling!J141*0.47,0)</f>
        <v>0</v>
      </c>
      <c r="J141" s="4">
        <f>Fact_Quality_Sampling!J141-I141</f>
        <v>1</v>
      </c>
      <c r="K141" s="4">
        <f>ROUND(Fact_Quality_Sampling!K141*0.69,0)</f>
        <v>1</v>
      </c>
      <c r="L141" s="19">
        <f>Fact_Quality_Sampling!K141-K141</f>
        <v>1</v>
      </c>
    </row>
    <row r="142" spans="1:12" x14ac:dyDescent="0.25">
      <c r="A142" s="18" t="str">
        <f>Fact_Quality_Sampling!A142</f>
        <v>QS-141</v>
      </c>
      <c r="B142" s="4">
        <f>Fact_Quality_Sampling!B142</f>
        <v>20260701</v>
      </c>
      <c r="C142" s="4">
        <f>Fact_Quality_Sampling!C142</f>
        <v>20</v>
      </c>
      <c r="D142" s="4" t="str">
        <f>Fact_Quality_Sampling!D142</f>
        <v>M1</v>
      </c>
      <c r="E142" s="4" t="str">
        <f>Fact_Quality_Sampling!E142</f>
        <v>B-PM</v>
      </c>
      <c r="F142" s="4" t="str">
        <f>Fact_Quality_Sampling!F142</f>
        <v>A</v>
      </c>
      <c r="G142" s="4">
        <f>ROUND(Fact_Quality_Sampling!I142*0.49,0)</f>
        <v>0</v>
      </c>
      <c r="H142" s="4">
        <f>Fact_Quality_Sampling!I142-G142</f>
        <v>0</v>
      </c>
      <c r="I142" s="4">
        <f>ROUND(Fact_Quality_Sampling!J142*0.51,0)</f>
        <v>0</v>
      </c>
      <c r="J142" s="4">
        <f>Fact_Quality_Sampling!J142-I142</f>
        <v>0</v>
      </c>
      <c r="K142" s="4">
        <f>ROUND(Fact_Quality_Sampling!K142*0.4,0)</f>
        <v>0</v>
      </c>
      <c r="L142" s="19">
        <f>Fact_Quality_Sampling!K142-K142</f>
        <v>1</v>
      </c>
    </row>
    <row r="143" spans="1:12" x14ac:dyDescent="0.25">
      <c r="A143" s="18" t="str">
        <f>Fact_Quality_Sampling!A143</f>
        <v>QS-142</v>
      </c>
      <c r="B143" s="4">
        <f>Fact_Quality_Sampling!B143</f>
        <v>20260701</v>
      </c>
      <c r="C143" s="4">
        <f>Fact_Quality_Sampling!C143</f>
        <v>20</v>
      </c>
      <c r="D143" s="4" t="str">
        <f>Fact_Quality_Sampling!D143</f>
        <v>M2</v>
      </c>
      <c r="E143" s="4" t="str">
        <f>Fact_Quality_Sampling!E143</f>
        <v>B-PM</v>
      </c>
      <c r="F143" s="4" t="str">
        <f>Fact_Quality_Sampling!F143</f>
        <v>C</v>
      </c>
      <c r="G143" s="4">
        <f>ROUND(Fact_Quality_Sampling!I143*0.51,0)</f>
        <v>0</v>
      </c>
      <c r="H143" s="4">
        <f>Fact_Quality_Sampling!I143-G143</f>
        <v>0</v>
      </c>
      <c r="I143" s="4">
        <f>ROUND(Fact_Quality_Sampling!J143*0.54,0)</f>
        <v>0</v>
      </c>
      <c r="J143" s="4">
        <f>Fact_Quality_Sampling!J143-I143</f>
        <v>0</v>
      </c>
      <c r="K143" s="4">
        <f>ROUND(Fact_Quality_Sampling!K143*0.55,0)</f>
        <v>1</v>
      </c>
      <c r="L143" s="19">
        <f>Fact_Quality_Sampling!K143-K143</f>
        <v>0</v>
      </c>
    </row>
    <row r="144" spans="1:12" x14ac:dyDescent="0.25">
      <c r="A144" s="18" t="str">
        <f>Fact_Quality_Sampling!A144</f>
        <v>QS-143</v>
      </c>
      <c r="B144" s="4">
        <f>Fact_Quality_Sampling!B144</f>
        <v>20260701</v>
      </c>
      <c r="C144" s="4">
        <f>Fact_Quality_Sampling!C144</f>
        <v>20</v>
      </c>
      <c r="D144" s="4" t="str">
        <f>Fact_Quality_Sampling!D144</f>
        <v>M3</v>
      </c>
      <c r="E144" s="4" t="str">
        <f>Fact_Quality_Sampling!E144</f>
        <v>B-PM</v>
      </c>
      <c r="F144" s="4" t="str">
        <f>Fact_Quality_Sampling!F144</f>
        <v>A</v>
      </c>
      <c r="G144" s="4">
        <f>ROUND(Fact_Quality_Sampling!I144*0.46,0)</f>
        <v>0</v>
      </c>
      <c r="H144" s="4">
        <f>Fact_Quality_Sampling!I144-G144</f>
        <v>0</v>
      </c>
      <c r="I144" s="4">
        <f>ROUND(Fact_Quality_Sampling!J144*0.55,0)</f>
        <v>0</v>
      </c>
      <c r="J144" s="4">
        <f>Fact_Quality_Sampling!J144-I144</f>
        <v>0</v>
      </c>
      <c r="K144" s="4">
        <f>ROUND(Fact_Quality_Sampling!K144*0.4,0)</f>
        <v>0</v>
      </c>
      <c r="L144" s="19">
        <f>Fact_Quality_Sampling!K144-K144</f>
        <v>1</v>
      </c>
    </row>
    <row r="145" spans="1:12" x14ac:dyDescent="0.25">
      <c r="A145" s="18" t="str">
        <f>Fact_Quality_Sampling!A145</f>
        <v>QS-144</v>
      </c>
      <c r="B145" s="4">
        <f>Fact_Quality_Sampling!B145</f>
        <v>20260701</v>
      </c>
      <c r="C145" s="4">
        <f>Fact_Quality_Sampling!C145</f>
        <v>20</v>
      </c>
      <c r="D145" s="4" t="str">
        <f>Fact_Quality_Sampling!D145</f>
        <v>M4</v>
      </c>
      <c r="E145" s="4" t="str">
        <f>Fact_Quality_Sampling!E145</f>
        <v>B-PM</v>
      </c>
      <c r="F145" s="4" t="str">
        <f>Fact_Quality_Sampling!F145</f>
        <v>A</v>
      </c>
      <c r="G145" s="4">
        <f>ROUND(Fact_Quality_Sampling!I145*0.48,0)</f>
        <v>0</v>
      </c>
      <c r="H145" s="4">
        <f>Fact_Quality_Sampling!I145-G145</f>
        <v>0</v>
      </c>
      <c r="I145" s="4">
        <f>ROUND(Fact_Quality_Sampling!J145*0.43,0)</f>
        <v>0</v>
      </c>
      <c r="J145" s="4">
        <f>Fact_Quality_Sampling!J145-I145</f>
        <v>1</v>
      </c>
      <c r="K145" s="4">
        <f>ROUND(Fact_Quality_Sampling!K145*0.52,0)</f>
        <v>1</v>
      </c>
      <c r="L145" s="19">
        <f>Fact_Quality_Sampling!K145-K145</f>
        <v>1</v>
      </c>
    </row>
    <row r="146" spans="1:12" x14ac:dyDescent="0.25">
      <c r="A146" s="18" t="str">
        <f>Fact_Quality_Sampling!A146</f>
        <v>QS-145</v>
      </c>
      <c r="B146" s="4">
        <f>Fact_Quality_Sampling!B146</f>
        <v>20260701</v>
      </c>
      <c r="C146" s="4">
        <f>Fact_Quality_Sampling!C146</f>
        <v>20</v>
      </c>
      <c r="D146" s="4" t="str">
        <f>Fact_Quality_Sampling!D146</f>
        <v>M5</v>
      </c>
      <c r="E146" s="4" t="str">
        <f>Fact_Quality_Sampling!E146</f>
        <v>B-PM</v>
      </c>
      <c r="F146" s="4" t="str">
        <f>Fact_Quality_Sampling!F146</f>
        <v>A</v>
      </c>
      <c r="G146" s="4">
        <f>ROUND(Fact_Quality_Sampling!I146*0.41,0)</f>
        <v>0</v>
      </c>
      <c r="H146" s="4">
        <f>Fact_Quality_Sampling!I146-G146</f>
        <v>0</v>
      </c>
      <c r="I146" s="4">
        <f>ROUND(Fact_Quality_Sampling!J146*0.41,0)</f>
        <v>0</v>
      </c>
      <c r="J146" s="4">
        <f>Fact_Quality_Sampling!J146-I146</f>
        <v>0</v>
      </c>
      <c r="K146" s="4">
        <f>ROUND(Fact_Quality_Sampling!K146*0.49,0)</f>
        <v>0</v>
      </c>
      <c r="L146" s="19">
        <f>Fact_Quality_Sampling!K146-K146</f>
        <v>1</v>
      </c>
    </row>
    <row r="147" spans="1:12" x14ac:dyDescent="0.25">
      <c r="A147" s="18" t="str">
        <f>Fact_Quality_Sampling!A147</f>
        <v>QS-146</v>
      </c>
      <c r="B147" s="4">
        <f>Fact_Quality_Sampling!B147</f>
        <v>20260701</v>
      </c>
      <c r="C147" s="4">
        <f>Fact_Quality_Sampling!C147</f>
        <v>20</v>
      </c>
      <c r="D147" s="4" t="str">
        <f>Fact_Quality_Sampling!D147</f>
        <v>M6</v>
      </c>
      <c r="E147" s="4" t="str">
        <f>Fact_Quality_Sampling!E147</f>
        <v>B-PM</v>
      </c>
      <c r="F147" s="4" t="str">
        <f>Fact_Quality_Sampling!F147</f>
        <v>C</v>
      </c>
      <c r="G147" s="4">
        <f>ROUND(Fact_Quality_Sampling!I147*0.47,0)</f>
        <v>0</v>
      </c>
      <c r="H147" s="4">
        <f>Fact_Quality_Sampling!I147-G147</f>
        <v>0</v>
      </c>
      <c r="I147" s="4">
        <f>ROUND(Fact_Quality_Sampling!J147*0.58,0)</f>
        <v>0</v>
      </c>
      <c r="J147" s="4">
        <f>Fact_Quality_Sampling!J147-I147</f>
        <v>0</v>
      </c>
      <c r="K147" s="4">
        <f>ROUND(Fact_Quality_Sampling!K147*0.56,0)</f>
        <v>1</v>
      </c>
      <c r="L147" s="19">
        <f>Fact_Quality_Sampling!K147-K147</f>
        <v>0</v>
      </c>
    </row>
    <row r="148" spans="1:12" x14ac:dyDescent="0.25">
      <c r="A148" s="18" t="str">
        <f>Fact_Quality_Sampling!A148</f>
        <v>QS-147</v>
      </c>
      <c r="B148" s="4">
        <f>Fact_Quality_Sampling!B148</f>
        <v>20260701</v>
      </c>
      <c r="C148" s="4">
        <f>Fact_Quality_Sampling!C148</f>
        <v>20</v>
      </c>
      <c r="D148" s="4" t="str">
        <f>Fact_Quality_Sampling!D148</f>
        <v>M7</v>
      </c>
      <c r="E148" s="4" t="str">
        <f>Fact_Quality_Sampling!E148</f>
        <v>B-PM</v>
      </c>
      <c r="F148" s="4" t="str">
        <f>Fact_Quality_Sampling!F148</f>
        <v>A</v>
      </c>
      <c r="G148" s="4">
        <f>ROUND(Fact_Quality_Sampling!I148*0.63,0)</f>
        <v>0</v>
      </c>
      <c r="H148" s="4">
        <f>Fact_Quality_Sampling!I148-G148</f>
        <v>0</v>
      </c>
      <c r="I148" s="4">
        <f>ROUND(Fact_Quality_Sampling!J148*0.6,0)</f>
        <v>0</v>
      </c>
      <c r="J148" s="4">
        <f>Fact_Quality_Sampling!J148-I148</f>
        <v>0</v>
      </c>
      <c r="K148" s="4">
        <f>ROUND(Fact_Quality_Sampling!K148*0.61,0)</f>
        <v>1</v>
      </c>
      <c r="L148" s="19">
        <f>Fact_Quality_Sampling!K148-K148</f>
        <v>0</v>
      </c>
    </row>
    <row r="149" spans="1:12" x14ac:dyDescent="0.25">
      <c r="A149" s="18" t="str">
        <f>Fact_Quality_Sampling!A149</f>
        <v>QS-148</v>
      </c>
      <c r="B149" s="4">
        <f>Fact_Quality_Sampling!B149</f>
        <v>20260701</v>
      </c>
      <c r="C149" s="4">
        <f>Fact_Quality_Sampling!C149</f>
        <v>21</v>
      </c>
      <c r="D149" s="4" t="str">
        <f>Fact_Quality_Sampling!D149</f>
        <v>M1</v>
      </c>
      <c r="E149" s="4" t="str">
        <f>Fact_Quality_Sampling!E149</f>
        <v>B-PM</v>
      </c>
      <c r="F149" s="4" t="str">
        <f>Fact_Quality_Sampling!F149</f>
        <v>A</v>
      </c>
      <c r="G149" s="4">
        <f>ROUND(Fact_Quality_Sampling!I149*0.66,0)</f>
        <v>0</v>
      </c>
      <c r="H149" s="4">
        <f>Fact_Quality_Sampling!I149-G149</f>
        <v>0</v>
      </c>
      <c r="I149" s="4">
        <f>ROUND(Fact_Quality_Sampling!J149*0.52,0)</f>
        <v>1</v>
      </c>
      <c r="J149" s="4">
        <f>Fact_Quality_Sampling!J149-I149</f>
        <v>0</v>
      </c>
      <c r="K149" s="4">
        <f>ROUND(Fact_Quality_Sampling!K149*0.5,0)</f>
        <v>1</v>
      </c>
      <c r="L149" s="19">
        <f>Fact_Quality_Sampling!K149-K149</f>
        <v>0</v>
      </c>
    </row>
    <row r="150" spans="1:12" x14ac:dyDescent="0.25">
      <c r="A150" s="18" t="str">
        <f>Fact_Quality_Sampling!A150</f>
        <v>QS-149</v>
      </c>
      <c r="B150" s="4">
        <f>Fact_Quality_Sampling!B150</f>
        <v>20260701</v>
      </c>
      <c r="C150" s="4">
        <f>Fact_Quality_Sampling!C150</f>
        <v>21</v>
      </c>
      <c r="D150" s="4" t="str">
        <f>Fact_Quality_Sampling!D150</f>
        <v>M2</v>
      </c>
      <c r="E150" s="4" t="str">
        <f>Fact_Quality_Sampling!E150</f>
        <v>B-PM</v>
      </c>
      <c r="F150" s="4" t="str">
        <f>Fact_Quality_Sampling!F150</f>
        <v>C</v>
      </c>
      <c r="G150" s="4">
        <f>ROUND(Fact_Quality_Sampling!I150*0.7,0)</f>
        <v>0</v>
      </c>
      <c r="H150" s="4">
        <f>Fact_Quality_Sampling!I150-G150</f>
        <v>0</v>
      </c>
      <c r="I150" s="4">
        <f>ROUND(Fact_Quality_Sampling!J150*0.44,0)</f>
        <v>0</v>
      </c>
      <c r="J150" s="4">
        <f>Fact_Quality_Sampling!J150-I150</f>
        <v>1</v>
      </c>
      <c r="K150" s="4">
        <f>ROUND(Fact_Quality_Sampling!K150*0.62,0)</f>
        <v>1</v>
      </c>
      <c r="L150" s="19">
        <f>Fact_Quality_Sampling!K150-K150</f>
        <v>1</v>
      </c>
    </row>
    <row r="151" spans="1:12" x14ac:dyDescent="0.25">
      <c r="A151" s="18" t="str">
        <f>Fact_Quality_Sampling!A151</f>
        <v>QS-150</v>
      </c>
      <c r="B151" s="4">
        <f>Fact_Quality_Sampling!B151</f>
        <v>20260701</v>
      </c>
      <c r="C151" s="4">
        <f>Fact_Quality_Sampling!C151</f>
        <v>21</v>
      </c>
      <c r="D151" s="4" t="str">
        <f>Fact_Quality_Sampling!D151</f>
        <v>M3</v>
      </c>
      <c r="E151" s="4" t="str">
        <f>Fact_Quality_Sampling!E151</f>
        <v>B-PM</v>
      </c>
      <c r="F151" s="4" t="str">
        <f>Fact_Quality_Sampling!F151</f>
        <v>A</v>
      </c>
      <c r="G151" s="4">
        <f>ROUND(Fact_Quality_Sampling!I151*0.59,0)</f>
        <v>0</v>
      </c>
      <c r="H151" s="4">
        <f>Fact_Quality_Sampling!I151-G151</f>
        <v>0</v>
      </c>
      <c r="I151" s="4">
        <f>ROUND(Fact_Quality_Sampling!J151*0.41,0)</f>
        <v>0</v>
      </c>
      <c r="J151" s="4">
        <f>Fact_Quality_Sampling!J151-I151</f>
        <v>0</v>
      </c>
      <c r="K151" s="4">
        <f>ROUND(Fact_Quality_Sampling!K151*0.65,0)</f>
        <v>1</v>
      </c>
      <c r="L151" s="19">
        <f>Fact_Quality_Sampling!K151-K151</f>
        <v>0</v>
      </c>
    </row>
    <row r="152" spans="1:12" x14ac:dyDescent="0.25">
      <c r="A152" s="18" t="str">
        <f>Fact_Quality_Sampling!A152</f>
        <v>QS-151</v>
      </c>
      <c r="B152" s="4">
        <f>Fact_Quality_Sampling!B152</f>
        <v>20260701</v>
      </c>
      <c r="C152" s="4">
        <f>Fact_Quality_Sampling!C152</f>
        <v>21</v>
      </c>
      <c r="D152" s="4" t="str">
        <f>Fact_Quality_Sampling!D152</f>
        <v>M4</v>
      </c>
      <c r="E152" s="4" t="str">
        <f>Fact_Quality_Sampling!E152</f>
        <v>B-PM</v>
      </c>
      <c r="F152" s="4" t="str">
        <f>Fact_Quality_Sampling!F152</f>
        <v>A</v>
      </c>
      <c r="G152" s="4">
        <f>ROUND(Fact_Quality_Sampling!I152*0.67,0)</f>
        <v>0</v>
      </c>
      <c r="H152" s="4">
        <f>Fact_Quality_Sampling!I152-G152</f>
        <v>0</v>
      </c>
      <c r="I152" s="4">
        <f>ROUND(Fact_Quality_Sampling!J152*0.59,0)</f>
        <v>0</v>
      </c>
      <c r="J152" s="4">
        <f>Fact_Quality_Sampling!J152-I152</f>
        <v>0</v>
      </c>
      <c r="K152" s="4">
        <f>ROUND(Fact_Quality_Sampling!K152*0.62,0)</f>
        <v>1</v>
      </c>
      <c r="L152" s="19">
        <f>Fact_Quality_Sampling!K152-K152</f>
        <v>0</v>
      </c>
    </row>
    <row r="153" spans="1:12" x14ac:dyDescent="0.25">
      <c r="A153" s="18" t="str">
        <f>Fact_Quality_Sampling!A153</f>
        <v>QS-152</v>
      </c>
      <c r="B153" s="4">
        <f>Fact_Quality_Sampling!B153</f>
        <v>20260701</v>
      </c>
      <c r="C153" s="4">
        <f>Fact_Quality_Sampling!C153</f>
        <v>21</v>
      </c>
      <c r="D153" s="4" t="str">
        <f>Fact_Quality_Sampling!D153</f>
        <v>M5</v>
      </c>
      <c r="E153" s="4" t="str">
        <f>Fact_Quality_Sampling!E153</f>
        <v>B-PM</v>
      </c>
      <c r="F153" s="4" t="str">
        <f>Fact_Quality_Sampling!F153</f>
        <v>A</v>
      </c>
      <c r="G153" s="4">
        <f>ROUND(Fact_Quality_Sampling!I153*0.64,0)</f>
        <v>0</v>
      </c>
      <c r="H153" s="4">
        <f>Fact_Quality_Sampling!I153-G153</f>
        <v>0</v>
      </c>
      <c r="I153" s="4">
        <f>ROUND(Fact_Quality_Sampling!J153*0.44,0)</f>
        <v>0</v>
      </c>
      <c r="J153" s="4">
        <f>Fact_Quality_Sampling!J153-I153</f>
        <v>0</v>
      </c>
      <c r="K153" s="4">
        <f>ROUND(Fact_Quality_Sampling!K153*0.56,0)</f>
        <v>1</v>
      </c>
      <c r="L153" s="19">
        <f>Fact_Quality_Sampling!K153-K153</f>
        <v>0</v>
      </c>
    </row>
    <row r="154" spans="1:12" x14ac:dyDescent="0.25">
      <c r="A154" s="18" t="str">
        <f>Fact_Quality_Sampling!A154</f>
        <v>QS-153</v>
      </c>
      <c r="B154" s="4">
        <f>Fact_Quality_Sampling!B154</f>
        <v>20260701</v>
      </c>
      <c r="C154" s="4">
        <f>Fact_Quality_Sampling!C154</f>
        <v>21</v>
      </c>
      <c r="D154" s="4" t="str">
        <f>Fact_Quality_Sampling!D154</f>
        <v>M6</v>
      </c>
      <c r="E154" s="4" t="str">
        <f>Fact_Quality_Sampling!E154</f>
        <v>B-PM</v>
      </c>
      <c r="F154" s="4" t="str">
        <f>Fact_Quality_Sampling!F154</f>
        <v>C</v>
      </c>
      <c r="G154" s="4">
        <f>ROUND(Fact_Quality_Sampling!I154*0.55,0)</f>
        <v>0</v>
      </c>
      <c r="H154" s="4">
        <f>Fact_Quality_Sampling!I154-G154</f>
        <v>0</v>
      </c>
      <c r="I154" s="4">
        <f>ROUND(Fact_Quality_Sampling!J154*0.65,0)</f>
        <v>0</v>
      </c>
      <c r="J154" s="4">
        <f>Fact_Quality_Sampling!J154-I154</f>
        <v>0</v>
      </c>
      <c r="K154" s="4">
        <f>ROUND(Fact_Quality_Sampling!K154*0.64,0)</f>
        <v>1</v>
      </c>
      <c r="L154" s="19">
        <f>Fact_Quality_Sampling!K154-K154</f>
        <v>0</v>
      </c>
    </row>
    <row r="155" spans="1:12" x14ac:dyDescent="0.25">
      <c r="A155" s="18" t="str">
        <f>Fact_Quality_Sampling!A155</f>
        <v>QS-154</v>
      </c>
      <c r="B155" s="4">
        <f>Fact_Quality_Sampling!B155</f>
        <v>20260701</v>
      </c>
      <c r="C155" s="4">
        <f>Fact_Quality_Sampling!C155</f>
        <v>21</v>
      </c>
      <c r="D155" s="4" t="str">
        <f>Fact_Quality_Sampling!D155</f>
        <v>M7</v>
      </c>
      <c r="E155" s="4" t="str">
        <f>Fact_Quality_Sampling!E155</f>
        <v>B-PM</v>
      </c>
      <c r="F155" s="4" t="str">
        <f>Fact_Quality_Sampling!F155</f>
        <v>A</v>
      </c>
      <c r="G155" s="4">
        <f>ROUND(Fact_Quality_Sampling!I155*0.65,0)</f>
        <v>0</v>
      </c>
      <c r="H155" s="4">
        <f>Fact_Quality_Sampling!I155-G155</f>
        <v>0</v>
      </c>
      <c r="I155" s="4">
        <f>ROUND(Fact_Quality_Sampling!J155*0.58,0)</f>
        <v>1</v>
      </c>
      <c r="J155" s="4">
        <f>Fact_Quality_Sampling!J155-I155</f>
        <v>0</v>
      </c>
      <c r="K155" s="4">
        <f>ROUND(Fact_Quality_Sampling!K155*0.67,0)</f>
        <v>1</v>
      </c>
      <c r="L155" s="19">
        <f>Fact_Quality_Sampling!K155-K155</f>
        <v>1</v>
      </c>
    </row>
    <row r="156" spans="1:12" x14ac:dyDescent="0.25">
      <c r="A156" s="18" t="str">
        <f>Fact_Quality_Sampling!A156</f>
        <v>QS-155</v>
      </c>
      <c r="B156" s="4">
        <f>Fact_Quality_Sampling!B156</f>
        <v>20260701</v>
      </c>
      <c r="C156" s="4">
        <f>Fact_Quality_Sampling!C156</f>
        <v>22</v>
      </c>
      <c r="D156" s="4" t="str">
        <f>Fact_Quality_Sampling!D156</f>
        <v>M1</v>
      </c>
      <c r="E156" s="4" t="str">
        <f>Fact_Quality_Sampling!E156</f>
        <v>B-PM</v>
      </c>
      <c r="F156" s="4" t="str">
        <f>Fact_Quality_Sampling!F156</f>
        <v>A</v>
      </c>
      <c r="G156" s="4">
        <f>ROUND(Fact_Quality_Sampling!I156*0.6,0)</f>
        <v>0</v>
      </c>
      <c r="H156" s="4">
        <f>Fact_Quality_Sampling!I156-G156</f>
        <v>0</v>
      </c>
      <c r="I156" s="4">
        <f>ROUND(Fact_Quality_Sampling!J156*0.61,0)</f>
        <v>0</v>
      </c>
      <c r="J156" s="4">
        <f>Fact_Quality_Sampling!J156-I156</f>
        <v>0</v>
      </c>
      <c r="K156" s="4">
        <f>ROUND(Fact_Quality_Sampling!K156*0.47,0)</f>
        <v>0</v>
      </c>
      <c r="L156" s="19">
        <f>Fact_Quality_Sampling!K156-K156</f>
        <v>1</v>
      </c>
    </row>
    <row r="157" spans="1:12" x14ac:dyDescent="0.25">
      <c r="A157" s="18" t="str">
        <f>Fact_Quality_Sampling!A157</f>
        <v>QS-156</v>
      </c>
      <c r="B157" s="4">
        <f>Fact_Quality_Sampling!B157</f>
        <v>20260701</v>
      </c>
      <c r="C157" s="4">
        <f>Fact_Quality_Sampling!C157</f>
        <v>22</v>
      </c>
      <c r="D157" s="4" t="str">
        <f>Fact_Quality_Sampling!D157</f>
        <v>M2</v>
      </c>
      <c r="E157" s="4" t="str">
        <f>Fact_Quality_Sampling!E157</f>
        <v>B-PM</v>
      </c>
      <c r="F157" s="4" t="str">
        <f>Fact_Quality_Sampling!F157</f>
        <v>C</v>
      </c>
      <c r="G157" s="4">
        <f>ROUND(Fact_Quality_Sampling!I157*0.41,0)</f>
        <v>0</v>
      </c>
      <c r="H157" s="4">
        <f>Fact_Quality_Sampling!I157-G157</f>
        <v>0</v>
      </c>
      <c r="I157" s="4">
        <f>ROUND(Fact_Quality_Sampling!J157*0.44,0)</f>
        <v>0</v>
      </c>
      <c r="J157" s="4">
        <f>Fact_Quality_Sampling!J157-I157</f>
        <v>1</v>
      </c>
      <c r="K157" s="4">
        <f>ROUND(Fact_Quality_Sampling!K157*0.51,0)</f>
        <v>1</v>
      </c>
      <c r="L157" s="19">
        <f>Fact_Quality_Sampling!K157-K157</f>
        <v>0</v>
      </c>
    </row>
    <row r="158" spans="1:12" x14ac:dyDescent="0.25">
      <c r="A158" s="18" t="str">
        <f>Fact_Quality_Sampling!A158</f>
        <v>QS-157</v>
      </c>
      <c r="B158" s="4">
        <f>Fact_Quality_Sampling!B158</f>
        <v>20260701</v>
      </c>
      <c r="C158" s="4">
        <f>Fact_Quality_Sampling!C158</f>
        <v>22</v>
      </c>
      <c r="D158" s="4" t="str">
        <f>Fact_Quality_Sampling!D158</f>
        <v>M3</v>
      </c>
      <c r="E158" s="4" t="str">
        <f>Fact_Quality_Sampling!E158</f>
        <v>B-PM</v>
      </c>
      <c r="F158" s="4" t="str">
        <f>Fact_Quality_Sampling!F158</f>
        <v>A</v>
      </c>
      <c r="G158" s="4">
        <f>ROUND(Fact_Quality_Sampling!I158*0.43,0)</f>
        <v>0</v>
      </c>
      <c r="H158" s="4">
        <f>Fact_Quality_Sampling!I158-G158</f>
        <v>0</v>
      </c>
      <c r="I158" s="4">
        <f>ROUND(Fact_Quality_Sampling!J158*0.65,0)</f>
        <v>0</v>
      </c>
      <c r="J158" s="4">
        <f>Fact_Quality_Sampling!J158-I158</f>
        <v>0</v>
      </c>
      <c r="K158" s="4">
        <f>ROUND(Fact_Quality_Sampling!K158*0.57,0)</f>
        <v>1</v>
      </c>
      <c r="L158" s="19">
        <f>Fact_Quality_Sampling!K158-K158</f>
        <v>0</v>
      </c>
    </row>
    <row r="159" spans="1:12" x14ac:dyDescent="0.25">
      <c r="A159" s="18" t="str">
        <f>Fact_Quality_Sampling!A159</f>
        <v>QS-158</v>
      </c>
      <c r="B159" s="4">
        <f>Fact_Quality_Sampling!B159</f>
        <v>20260701</v>
      </c>
      <c r="C159" s="4">
        <f>Fact_Quality_Sampling!C159</f>
        <v>22</v>
      </c>
      <c r="D159" s="4" t="str">
        <f>Fact_Quality_Sampling!D159</f>
        <v>M4</v>
      </c>
      <c r="E159" s="4" t="str">
        <f>Fact_Quality_Sampling!E159</f>
        <v>B-PM</v>
      </c>
      <c r="F159" s="4" t="str">
        <f>Fact_Quality_Sampling!F159</f>
        <v>A</v>
      </c>
      <c r="G159" s="4">
        <f>ROUND(Fact_Quality_Sampling!I159*0.59,0)</f>
        <v>0</v>
      </c>
      <c r="H159" s="4">
        <f>Fact_Quality_Sampling!I159-G159</f>
        <v>0</v>
      </c>
      <c r="I159" s="4">
        <f>ROUND(Fact_Quality_Sampling!J159*0.59,0)</f>
        <v>0</v>
      </c>
      <c r="J159" s="4">
        <f>Fact_Quality_Sampling!J159-I159</f>
        <v>0</v>
      </c>
      <c r="K159" s="4">
        <f>ROUND(Fact_Quality_Sampling!K159*0.6,0)</f>
        <v>1</v>
      </c>
      <c r="L159" s="19">
        <f>Fact_Quality_Sampling!K159-K159</f>
        <v>0</v>
      </c>
    </row>
    <row r="160" spans="1:12" x14ac:dyDescent="0.25">
      <c r="A160" s="18" t="str">
        <f>Fact_Quality_Sampling!A160</f>
        <v>QS-159</v>
      </c>
      <c r="B160" s="4">
        <f>Fact_Quality_Sampling!B160</f>
        <v>20260701</v>
      </c>
      <c r="C160" s="4">
        <f>Fact_Quality_Sampling!C160</f>
        <v>22</v>
      </c>
      <c r="D160" s="4" t="str">
        <f>Fact_Quality_Sampling!D160</f>
        <v>M5</v>
      </c>
      <c r="E160" s="4" t="str">
        <f>Fact_Quality_Sampling!E160</f>
        <v>B-PM</v>
      </c>
      <c r="F160" s="4" t="str">
        <f>Fact_Quality_Sampling!F160</f>
        <v>A</v>
      </c>
      <c r="G160" s="4">
        <f>ROUND(Fact_Quality_Sampling!I160*0.55,0)</f>
        <v>0</v>
      </c>
      <c r="H160" s="4">
        <f>Fact_Quality_Sampling!I160-G160</f>
        <v>0</v>
      </c>
      <c r="I160" s="4">
        <f>ROUND(Fact_Quality_Sampling!J160*0.4,0)</f>
        <v>0</v>
      </c>
      <c r="J160" s="4">
        <f>Fact_Quality_Sampling!J160-I160</f>
        <v>0</v>
      </c>
      <c r="K160" s="4">
        <f>ROUND(Fact_Quality_Sampling!K160*0.64,0)</f>
        <v>1</v>
      </c>
      <c r="L160" s="19">
        <f>Fact_Quality_Sampling!K160-K160</f>
        <v>0</v>
      </c>
    </row>
    <row r="161" spans="1:12" x14ac:dyDescent="0.25">
      <c r="A161" s="18" t="str">
        <f>Fact_Quality_Sampling!A161</f>
        <v>QS-160</v>
      </c>
      <c r="B161" s="4">
        <f>Fact_Quality_Sampling!B161</f>
        <v>20260701</v>
      </c>
      <c r="C161" s="4">
        <f>Fact_Quality_Sampling!C161</f>
        <v>22</v>
      </c>
      <c r="D161" s="4" t="str">
        <f>Fact_Quality_Sampling!D161</f>
        <v>M6</v>
      </c>
      <c r="E161" s="4" t="str">
        <f>Fact_Quality_Sampling!E161</f>
        <v>B-PM</v>
      </c>
      <c r="F161" s="4" t="str">
        <f>Fact_Quality_Sampling!F161</f>
        <v>C</v>
      </c>
      <c r="G161" s="4">
        <f>ROUND(Fact_Quality_Sampling!I161*0.62,0)</f>
        <v>0</v>
      </c>
      <c r="H161" s="4">
        <f>Fact_Quality_Sampling!I161-G161</f>
        <v>0</v>
      </c>
      <c r="I161" s="4">
        <f>ROUND(Fact_Quality_Sampling!J161*0.55,0)</f>
        <v>1</v>
      </c>
      <c r="J161" s="4">
        <f>Fact_Quality_Sampling!J161-I161</f>
        <v>0</v>
      </c>
      <c r="K161" s="4">
        <f>ROUND(Fact_Quality_Sampling!K161*0.56,0)</f>
        <v>1</v>
      </c>
      <c r="L161" s="19">
        <f>Fact_Quality_Sampling!K161-K161</f>
        <v>0</v>
      </c>
    </row>
    <row r="162" spans="1:12" x14ac:dyDescent="0.25">
      <c r="A162" s="18" t="str">
        <f>Fact_Quality_Sampling!A162</f>
        <v>QS-161</v>
      </c>
      <c r="B162" s="4">
        <f>Fact_Quality_Sampling!B162</f>
        <v>20260701</v>
      </c>
      <c r="C162" s="4">
        <f>Fact_Quality_Sampling!C162</f>
        <v>22</v>
      </c>
      <c r="D162" s="4" t="str">
        <f>Fact_Quality_Sampling!D162</f>
        <v>M7</v>
      </c>
      <c r="E162" s="4" t="str">
        <f>Fact_Quality_Sampling!E162</f>
        <v>B-PM</v>
      </c>
      <c r="F162" s="4" t="str">
        <f>Fact_Quality_Sampling!F162</f>
        <v>A</v>
      </c>
      <c r="G162" s="4">
        <f>ROUND(Fact_Quality_Sampling!I162*0.6,0)</f>
        <v>0</v>
      </c>
      <c r="H162" s="4">
        <f>Fact_Quality_Sampling!I162-G162</f>
        <v>0</v>
      </c>
      <c r="I162" s="4">
        <f>ROUND(Fact_Quality_Sampling!J162*0.42,0)</f>
        <v>0</v>
      </c>
      <c r="J162" s="4">
        <f>Fact_Quality_Sampling!J162-I162</f>
        <v>1</v>
      </c>
      <c r="K162" s="4">
        <f>ROUND(Fact_Quality_Sampling!K162*0.62,0)</f>
        <v>1</v>
      </c>
      <c r="L162" s="19">
        <f>Fact_Quality_Sampling!K162-K162</f>
        <v>1</v>
      </c>
    </row>
    <row r="163" spans="1:12" x14ac:dyDescent="0.25">
      <c r="A163" s="18" t="str">
        <f>Fact_Quality_Sampling!A163</f>
        <v>QS-162</v>
      </c>
      <c r="B163" s="4">
        <f>Fact_Quality_Sampling!B163</f>
        <v>20260701</v>
      </c>
      <c r="C163" s="4">
        <f>Fact_Quality_Sampling!C163</f>
        <v>23</v>
      </c>
      <c r="D163" s="4" t="str">
        <f>Fact_Quality_Sampling!D163</f>
        <v>M1</v>
      </c>
      <c r="E163" s="4" t="str">
        <f>Fact_Quality_Sampling!E163</f>
        <v>B-PM</v>
      </c>
      <c r="F163" s="4" t="str">
        <f>Fact_Quality_Sampling!F163</f>
        <v>A</v>
      </c>
      <c r="G163" s="4">
        <f>ROUND(Fact_Quality_Sampling!I163*0.48,0)</f>
        <v>0</v>
      </c>
      <c r="H163" s="4">
        <f>Fact_Quality_Sampling!I163-G163</f>
        <v>0</v>
      </c>
      <c r="I163" s="4">
        <f>ROUND(Fact_Quality_Sampling!J163*0.42,0)</f>
        <v>0</v>
      </c>
      <c r="J163" s="4">
        <f>Fact_Quality_Sampling!J163-I163</f>
        <v>0</v>
      </c>
      <c r="K163" s="4">
        <f>ROUND(Fact_Quality_Sampling!K163*0.48,0)</f>
        <v>0</v>
      </c>
      <c r="L163" s="19">
        <f>Fact_Quality_Sampling!K163-K163</f>
        <v>1</v>
      </c>
    </row>
    <row r="164" spans="1:12" x14ac:dyDescent="0.25">
      <c r="A164" s="18" t="str">
        <f>Fact_Quality_Sampling!A164</f>
        <v>QS-163</v>
      </c>
      <c r="B164" s="4">
        <f>Fact_Quality_Sampling!B164</f>
        <v>20260701</v>
      </c>
      <c r="C164" s="4">
        <f>Fact_Quality_Sampling!C164</f>
        <v>23</v>
      </c>
      <c r="D164" s="4" t="str">
        <f>Fact_Quality_Sampling!D164</f>
        <v>M2</v>
      </c>
      <c r="E164" s="4" t="str">
        <f>Fact_Quality_Sampling!E164</f>
        <v>B-PM</v>
      </c>
      <c r="F164" s="4" t="str">
        <f>Fact_Quality_Sampling!F164</f>
        <v>C</v>
      </c>
      <c r="G164" s="4">
        <f>ROUND(Fact_Quality_Sampling!I164*0.62,0)</f>
        <v>0</v>
      </c>
      <c r="H164" s="4">
        <f>Fact_Quality_Sampling!I164-G164</f>
        <v>0</v>
      </c>
      <c r="I164" s="4">
        <f>ROUND(Fact_Quality_Sampling!J164*0.46,0)</f>
        <v>0</v>
      </c>
      <c r="J164" s="4">
        <f>Fact_Quality_Sampling!J164-I164</f>
        <v>1</v>
      </c>
      <c r="K164" s="4">
        <f>ROUND(Fact_Quality_Sampling!K164*0.62,0)</f>
        <v>1</v>
      </c>
      <c r="L164" s="19">
        <f>Fact_Quality_Sampling!K164-K164</f>
        <v>0</v>
      </c>
    </row>
    <row r="165" spans="1:12" x14ac:dyDescent="0.25">
      <c r="A165" s="18" t="str">
        <f>Fact_Quality_Sampling!A165</f>
        <v>QS-164</v>
      </c>
      <c r="B165" s="4">
        <f>Fact_Quality_Sampling!B165</f>
        <v>20260701</v>
      </c>
      <c r="C165" s="4">
        <f>Fact_Quality_Sampling!C165</f>
        <v>23</v>
      </c>
      <c r="D165" s="4" t="str">
        <f>Fact_Quality_Sampling!D165</f>
        <v>M3</v>
      </c>
      <c r="E165" s="4" t="str">
        <f>Fact_Quality_Sampling!E165</f>
        <v>B-PM</v>
      </c>
      <c r="F165" s="4" t="str">
        <f>Fact_Quality_Sampling!F165</f>
        <v>A</v>
      </c>
      <c r="G165" s="4">
        <f>ROUND(Fact_Quality_Sampling!I165*0.69,0)</f>
        <v>0</v>
      </c>
      <c r="H165" s="4">
        <f>Fact_Quality_Sampling!I165-G165</f>
        <v>0</v>
      </c>
      <c r="I165" s="4">
        <f>ROUND(Fact_Quality_Sampling!J165*0.55,0)</f>
        <v>1</v>
      </c>
      <c r="J165" s="4">
        <f>Fact_Quality_Sampling!J165-I165</f>
        <v>0</v>
      </c>
      <c r="K165" s="4">
        <f>ROUND(Fact_Quality_Sampling!K165*0.51,0)</f>
        <v>1</v>
      </c>
      <c r="L165" s="19">
        <f>Fact_Quality_Sampling!K165-K165</f>
        <v>0</v>
      </c>
    </row>
    <row r="166" spans="1:12" x14ac:dyDescent="0.25">
      <c r="A166" s="18" t="str">
        <f>Fact_Quality_Sampling!A166</f>
        <v>QS-165</v>
      </c>
      <c r="B166" s="4">
        <f>Fact_Quality_Sampling!B166</f>
        <v>20260701</v>
      </c>
      <c r="C166" s="4">
        <f>Fact_Quality_Sampling!C166</f>
        <v>23</v>
      </c>
      <c r="D166" s="4" t="str">
        <f>Fact_Quality_Sampling!D166</f>
        <v>M4</v>
      </c>
      <c r="E166" s="4" t="str">
        <f>Fact_Quality_Sampling!E166</f>
        <v>B-PM</v>
      </c>
      <c r="F166" s="4" t="str">
        <f>Fact_Quality_Sampling!F166</f>
        <v>A</v>
      </c>
      <c r="G166" s="4">
        <f>ROUND(Fact_Quality_Sampling!I166*0.54,0)</f>
        <v>0</v>
      </c>
      <c r="H166" s="4">
        <f>Fact_Quality_Sampling!I166-G166</f>
        <v>0</v>
      </c>
      <c r="I166" s="4">
        <f>ROUND(Fact_Quality_Sampling!J166*0.61,0)</f>
        <v>0</v>
      </c>
      <c r="J166" s="4">
        <f>Fact_Quality_Sampling!J166-I166</f>
        <v>0</v>
      </c>
      <c r="K166" s="4">
        <f>ROUND(Fact_Quality_Sampling!K166*0.63,0)</f>
        <v>1</v>
      </c>
      <c r="L166" s="19">
        <f>Fact_Quality_Sampling!K166-K166</f>
        <v>0</v>
      </c>
    </row>
    <row r="167" spans="1:12" x14ac:dyDescent="0.25">
      <c r="A167" s="18" t="str">
        <f>Fact_Quality_Sampling!A167</f>
        <v>QS-166</v>
      </c>
      <c r="B167" s="4">
        <f>Fact_Quality_Sampling!B167</f>
        <v>20260701</v>
      </c>
      <c r="C167" s="4">
        <f>Fact_Quality_Sampling!C167</f>
        <v>23</v>
      </c>
      <c r="D167" s="4" t="str">
        <f>Fact_Quality_Sampling!D167</f>
        <v>M5</v>
      </c>
      <c r="E167" s="4" t="str">
        <f>Fact_Quality_Sampling!E167</f>
        <v>B-PM</v>
      </c>
      <c r="F167" s="4" t="str">
        <f>Fact_Quality_Sampling!F167</f>
        <v>A</v>
      </c>
      <c r="G167" s="4">
        <f>ROUND(Fact_Quality_Sampling!I167*0.59,0)</f>
        <v>0</v>
      </c>
      <c r="H167" s="4">
        <f>Fact_Quality_Sampling!I167-G167</f>
        <v>0</v>
      </c>
      <c r="I167" s="4">
        <f>ROUND(Fact_Quality_Sampling!J167*0.59,0)</f>
        <v>0</v>
      </c>
      <c r="J167" s="4">
        <f>Fact_Quality_Sampling!J167-I167</f>
        <v>0</v>
      </c>
      <c r="K167" s="4">
        <f>ROUND(Fact_Quality_Sampling!K167*0.42,0)</f>
        <v>0</v>
      </c>
      <c r="L167" s="19">
        <f>Fact_Quality_Sampling!K167-K167</f>
        <v>1</v>
      </c>
    </row>
    <row r="168" spans="1:12" x14ac:dyDescent="0.25">
      <c r="A168" s="18" t="str">
        <f>Fact_Quality_Sampling!A168</f>
        <v>QS-167</v>
      </c>
      <c r="B168" s="4">
        <f>Fact_Quality_Sampling!B168</f>
        <v>20260701</v>
      </c>
      <c r="C168" s="4">
        <f>Fact_Quality_Sampling!C168</f>
        <v>23</v>
      </c>
      <c r="D168" s="4" t="str">
        <f>Fact_Quality_Sampling!D168</f>
        <v>M6</v>
      </c>
      <c r="E168" s="4" t="str">
        <f>Fact_Quality_Sampling!E168</f>
        <v>B-PM</v>
      </c>
      <c r="F168" s="4" t="str">
        <f>Fact_Quality_Sampling!F168</f>
        <v>C</v>
      </c>
      <c r="G168" s="4">
        <f>ROUND(Fact_Quality_Sampling!I168*0.44,0)</f>
        <v>0</v>
      </c>
      <c r="H168" s="4">
        <f>Fact_Quality_Sampling!I168-G168</f>
        <v>0</v>
      </c>
      <c r="I168" s="4">
        <f>ROUND(Fact_Quality_Sampling!J168*0.48,0)</f>
        <v>0</v>
      </c>
      <c r="J168" s="4">
        <f>Fact_Quality_Sampling!J168-I168</f>
        <v>0</v>
      </c>
      <c r="K168" s="4">
        <f>ROUND(Fact_Quality_Sampling!K168*0.62,0)</f>
        <v>0</v>
      </c>
      <c r="L168" s="19">
        <f>Fact_Quality_Sampling!K168-K168</f>
        <v>0</v>
      </c>
    </row>
    <row r="169" spans="1:12" x14ac:dyDescent="0.25">
      <c r="A169" s="18" t="str">
        <f>Fact_Quality_Sampling!A169</f>
        <v>QS-168</v>
      </c>
      <c r="B169" s="4">
        <f>Fact_Quality_Sampling!B169</f>
        <v>20260701</v>
      </c>
      <c r="C169" s="4">
        <f>Fact_Quality_Sampling!C169</f>
        <v>23</v>
      </c>
      <c r="D169" s="4" t="str">
        <f>Fact_Quality_Sampling!D169</f>
        <v>M7</v>
      </c>
      <c r="E169" s="4" t="str">
        <f>Fact_Quality_Sampling!E169</f>
        <v>B-PM</v>
      </c>
      <c r="F169" s="4" t="str">
        <f>Fact_Quality_Sampling!F169</f>
        <v>A</v>
      </c>
      <c r="G169" s="4">
        <f>ROUND(Fact_Quality_Sampling!I169*0.49,0)</f>
        <v>0</v>
      </c>
      <c r="H169" s="4">
        <f>Fact_Quality_Sampling!I169-G169</f>
        <v>0</v>
      </c>
      <c r="I169" s="4">
        <f>ROUND(Fact_Quality_Sampling!J169*0.57,0)</f>
        <v>0</v>
      </c>
      <c r="J169" s="4">
        <f>Fact_Quality_Sampling!J169-I169</f>
        <v>0</v>
      </c>
      <c r="K169" s="4">
        <f>ROUND(Fact_Quality_Sampling!K169*0.4,0)</f>
        <v>0</v>
      </c>
      <c r="L169" s="19">
        <f>Fact_Quality_Sampling!K169-K169</f>
        <v>1</v>
      </c>
    </row>
    <row r="170" spans="1:12" x14ac:dyDescent="0.25">
      <c r="A170" s="18" t="str">
        <f>Fact_Quality_Sampling!A170</f>
        <v>QS-169</v>
      </c>
      <c r="B170" s="4">
        <f>Fact_Quality_Sampling!B170</f>
        <v>20260702</v>
      </c>
      <c r="C170" s="4">
        <f>Fact_Quality_Sampling!C170</f>
        <v>0</v>
      </c>
      <c r="D170" s="4" t="str">
        <f>Fact_Quality_Sampling!D170</f>
        <v>M1</v>
      </c>
      <c r="E170" s="4" t="str">
        <f>Fact_Quality_Sampling!E170</f>
        <v>B-PM</v>
      </c>
      <c r="F170" s="4" t="str">
        <f>Fact_Quality_Sampling!F170</f>
        <v>B</v>
      </c>
      <c r="G170" s="4">
        <f>ROUND(Fact_Quality_Sampling!I170*0.42,0)</f>
        <v>0</v>
      </c>
      <c r="H170" s="4">
        <f>Fact_Quality_Sampling!I170-G170</f>
        <v>0</v>
      </c>
      <c r="I170" s="4">
        <f>ROUND(Fact_Quality_Sampling!J170*0.48,0)</f>
        <v>0</v>
      </c>
      <c r="J170" s="4">
        <f>Fact_Quality_Sampling!J170-I170</f>
        <v>0</v>
      </c>
      <c r="K170" s="4">
        <f>ROUND(Fact_Quality_Sampling!K170*0.6,0)</f>
        <v>1</v>
      </c>
      <c r="L170" s="19">
        <f>Fact_Quality_Sampling!K170-K170</f>
        <v>0</v>
      </c>
    </row>
    <row r="171" spans="1:12" x14ac:dyDescent="0.25">
      <c r="A171" s="18" t="str">
        <f>Fact_Quality_Sampling!A171</f>
        <v>QS-170</v>
      </c>
      <c r="B171" s="4">
        <f>Fact_Quality_Sampling!B171</f>
        <v>20260702</v>
      </c>
      <c r="C171" s="4">
        <f>Fact_Quality_Sampling!C171</f>
        <v>0</v>
      </c>
      <c r="D171" s="4" t="str">
        <f>Fact_Quality_Sampling!D171</f>
        <v>M2</v>
      </c>
      <c r="E171" s="4" t="str">
        <f>Fact_Quality_Sampling!E171</f>
        <v>B-PM</v>
      </c>
      <c r="F171" s="4" t="str">
        <f>Fact_Quality_Sampling!F171</f>
        <v>A</v>
      </c>
      <c r="G171" s="4">
        <f>ROUND(Fact_Quality_Sampling!I171*0.61,0)</f>
        <v>0</v>
      </c>
      <c r="H171" s="4">
        <f>Fact_Quality_Sampling!I171-G171</f>
        <v>0</v>
      </c>
      <c r="I171" s="4">
        <f>ROUND(Fact_Quality_Sampling!J171*0.6,0)</f>
        <v>1</v>
      </c>
      <c r="J171" s="4">
        <f>Fact_Quality_Sampling!J171-I171</f>
        <v>0</v>
      </c>
      <c r="K171" s="4">
        <f>ROUND(Fact_Quality_Sampling!K171*0.49,0)</f>
        <v>1</v>
      </c>
      <c r="L171" s="19">
        <f>Fact_Quality_Sampling!K171-K171</f>
        <v>1</v>
      </c>
    </row>
    <row r="172" spans="1:12" x14ac:dyDescent="0.25">
      <c r="A172" s="18" t="str">
        <f>Fact_Quality_Sampling!A172</f>
        <v>QS-171</v>
      </c>
      <c r="B172" s="4">
        <f>Fact_Quality_Sampling!B172</f>
        <v>20260702</v>
      </c>
      <c r="C172" s="4">
        <f>Fact_Quality_Sampling!C172</f>
        <v>0</v>
      </c>
      <c r="D172" s="4" t="str">
        <f>Fact_Quality_Sampling!D172</f>
        <v>M3</v>
      </c>
      <c r="E172" s="4" t="str">
        <f>Fact_Quality_Sampling!E172</f>
        <v>B-PM</v>
      </c>
      <c r="F172" s="4" t="str">
        <f>Fact_Quality_Sampling!F172</f>
        <v>A</v>
      </c>
      <c r="G172" s="4">
        <f>ROUND(Fact_Quality_Sampling!I172*0.55,0)</f>
        <v>0</v>
      </c>
      <c r="H172" s="4">
        <f>Fact_Quality_Sampling!I172-G172</f>
        <v>0</v>
      </c>
      <c r="I172" s="4">
        <f>ROUND(Fact_Quality_Sampling!J172*0.54,0)</f>
        <v>0</v>
      </c>
      <c r="J172" s="4">
        <f>Fact_Quality_Sampling!J172-I172</f>
        <v>0</v>
      </c>
      <c r="K172" s="4">
        <f>ROUND(Fact_Quality_Sampling!K172*0.54,0)</f>
        <v>0</v>
      </c>
      <c r="L172" s="19">
        <f>Fact_Quality_Sampling!K172-K172</f>
        <v>0</v>
      </c>
    </row>
    <row r="173" spans="1:12" x14ac:dyDescent="0.25">
      <c r="A173" s="18" t="str">
        <f>Fact_Quality_Sampling!A173</f>
        <v>QS-172</v>
      </c>
      <c r="B173" s="4">
        <f>Fact_Quality_Sampling!B173</f>
        <v>20260702</v>
      </c>
      <c r="C173" s="4">
        <f>Fact_Quality_Sampling!C173</f>
        <v>0</v>
      </c>
      <c r="D173" s="4" t="str">
        <f>Fact_Quality_Sampling!D173</f>
        <v>M4</v>
      </c>
      <c r="E173" s="4" t="str">
        <f>Fact_Quality_Sampling!E173</f>
        <v>B-PM</v>
      </c>
      <c r="F173" s="4" t="str">
        <f>Fact_Quality_Sampling!F173</f>
        <v>C</v>
      </c>
      <c r="G173" s="4">
        <f>ROUND(Fact_Quality_Sampling!I173*0.44,0)</f>
        <v>0</v>
      </c>
      <c r="H173" s="4">
        <f>Fact_Quality_Sampling!I173-G173</f>
        <v>0</v>
      </c>
      <c r="I173" s="4">
        <f>ROUND(Fact_Quality_Sampling!J173*0.67,0)</f>
        <v>1</v>
      </c>
      <c r="J173" s="4">
        <f>Fact_Quality_Sampling!J173-I173</f>
        <v>0</v>
      </c>
      <c r="K173" s="4">
        <f>ROUND(Fact_Quality_Sampling!K173*0.46,0)</f>
        <v>1</v>
      </c>
      <c r="L173" s="19">
        <f>Fact_Quality_Sampling!K173-K173</f>
        <v>1</v>
      </c>
    </row>
    <row r="174" spans="1:12" x14ac:dyDescent="0.25">
      <c r="A174" s="18" t="str">
        <f>Fact_Quality_Sampling!A174</f>
        <v>QS-173</v>
      </c>
      <c r="B174" s="4">
        <f>Fact_Quality_Sampling!B174</f>
        <v>20260702</v>
      </c>
      <c r="C174" s="4">
        <f>Fact_Quality_Sampling!C174</f>
        <v>0</v>
      </c>
      <c r="D174" s="4" t="str">
        <f>Fact_Quality_Sampling!D174</f>
        <v>M5</v>
      </c>
      <c r="E174" s="4" t="str">
        <f>Fact_Quality_Sampling!E174</f>
        <v>B-PM</v>
      </c>
      <c r="F174" s="4" t="str">
        <f>Fact_Quality_Sampling!F174</f>
        <v>A</v>
      </c>
      <c r="G174" s="4">
        <f>ROUND(Fact_Quality_Sampling!I174*0.69,0)</f>
        <v>0</v>
      </c>
      <c r="H174" s="4">
        <f>Fact_Quality_Sampling!I174-G174</f>
        <v>0</v>
      </c>
      <c r="I174" s="4">
        <f>ROUND(Fact_Quality_Sampling!J174*0.68,0)</f>
        <v>0</v>
      </c>
      <c r="J174" s="4">
        <f>Fact_Quality_Sampling!J174-I174</f>
        <v>0</v>
      </c>
      <c r="K174" s="4">
        <f>ROUND(Fact_Quality_Sampling!K174*0.41,0)</f>
        <v>0</v>
      </c>
      <c r="L174" s="19">
        <f>Fact_Quality_Sampling!K174-K174</f>
        <v>1</v>
      </c>
    </row>
    <row r="175" spans="1:12" x14ac:dyDescent="0.25">
      <c r="A175" s="18" t="str">
        <f>Fact_Quality_Sampling!A175</f>
        <v>QS-174</v>
      </c>
      <c r="B175" s="4">
        <f>Fact_Quality_Sampling!B175</f>
        <v>20260702</v>
      </c>
      <c r="C175" s="4">
        <f>Fact_Quality_Sampling!C175</f>
        <v>0</v>
      </c>
      <c r="D175" s="4" t="str">
        <f>Fact_Quality_Sampling!D175</f>
        <v>M6</v>
      </c>
      <c r="E175" s="4" t="str">
        <f>Fact_Quality_Sampling!E175</f>
        <v>B-PM</v>
      </c>
      <c r="F175" s="4" t="str">
        <f>Fact_Quality_Sampling!F175</f>
        <v>A</v>
      </c>
      <c r="G175" s="4">
        <f>ROUND(Fact_Quality_Sampling!I175*0.54,0)</f>
        <v>0</v>
      </c>
      <c r="H175" s="4">
        <f>Fact_Quality_Sampling!I175-G175</f>
        <v>0</v>
      </c>
      <c r="I175" s="4">
        <f>ROUND(Fact_Quality_Sampling!J175*0.65,0)</f>
        <v>1</v>
      </c>
      <c r="J175" s="4">
        <f>Fact_Quality_Sampling!J175-I175</f>
        <v>0</v>
      </c>
      <c r="K175" s="4">
        <f>ROUND(Fact_Quality_Sampling!K175*0.69,0)</f>
        <v>1</v>
      </c>
      <c r="L175" s="19">
        <f>Fact_Quality_Sampling!K175-K175</f>
        <v>0</v>
      </c>
    </row>
    <row r="176" spans="1:12" x14ac:dyDescent="0.25">
      <c r="A176" s="18" t="str">
        <f>Fact_Quality_Sampling!A176</f>
        <v>QS-175</v>
      </c>
      <c r="B176" s="4">
        <f>Fact_Quality_Sampling!B176</f>
        <v>20260702</v>
      </c>
      <c r="C176" s="4">
        <f>Fact_Quality_Sampling!C176</f>
        <v>0</v>
      </c>
      <c r="D176" s="4" t="str">
        <f>Fact_Quality_Sampling!D176</f>
        <v>M7</v>
      </c>
      <c r="E176" s="4" t="str">
        <f>Fact_Quality_Sampling!E176</f>
        <v>B-PM</v>
      </c>
      <c r="F176" s="4" t="str">
        <f>Fact_Quality_Sampling!F176</f>
        <v>C</v>
      </c>
      <c r="G176" s="4">
        <f>ROUND(Fact_Quality_Sampling!I176*0.53,0)</f>
        <v>0</v>
      </c>
      <c r="H176" s="4">
        <f>Fact_Quality_Sampling!I176-G176</f>
        <v>0</v>
      </c>
      <c r="I176" s="4">
        <f>ROUND(Fact_Quality_Sampling!J176*0.48,0)</f>
        <v>0</v>
      </c>
      <c r="J176" s="4">
        <f>Fact_Quality_Sampling!J176-I176</f>
        <v>0</v>
      </c>
      <c r="K176" s="4">
        <f>ROUND(Fact_Quality_Sampling!K176*0.46,0)</f>
        <v>0</v>
      </c>
      <c r="L176" s="19">
        <f>Fact_Quality_Sampling!K176-K176</f>
        <v>1</v>
      </c>
    </row>
    <row r="177" spans="1:12" x14ac:dyDescent="0.25">
      <c r="A177" s="18" t="str">
        <f>Fact_Quality_Sampling!A177</f>
        <v>QS-176</v>
      </c>
      <c r="B177" s="4">
        <f>Fact_Quality_Sampling!B177</f>
        <v>20260702</v>
      </c>
      <c r="C177" s="4">
        <f>Fact_Quality_Sampling!C177</f>
        <v>1</v>
      </c>
      <c r="D177" s="4" t="str">
        <f>Fact_Quality_Sampling!D177</f>
        <v>M1</v>
      </c>
      <c r="E177" s="4" t="str">
        <f>Fact_Quality_Sampling!E177</f>
        <v>B-PM</v>
      </c>
      <c r="F177" s="4" t="str">
        <f>Fact_Quality_Sampling!F177</f>
        <v>B</v>
      </c>
      <c r="G177" s="4">
        <f>ROUND(Fact_Quality_Sampling!I177*0.68,0)</f>
        <v>0</v>
      </c>
      <c r="H177" s="4">
        <f>Fact_Quality_Sampling!I177-G177</f>
        <v>0</v>
      </c>
      <c r="I177" s="4">
        <f>ROUND(Fact_Quality_Sampling!J177*0.46,0)</f>
        <v>0</v>
      </c>
      <c r="J177" s="4">
        <f>Fact_Quality_Sampling!J177-I177</f>
        <v>1</v>
      </c>
      <c r="K177" s="4">
        <f>ROUND(Fact_Quality_Sampling!K177*0.57,0)</f>
        <v>1</v>
      </c>
      <c r="L177" s="19">
        <f>Fact_Quality_Sampling!K177-K177</f>
        <v>0</v>
      </c>
    </row>
    <row r="178" spans="1:12" x14ac:dyDescent="0.25">
      <c r="A178" s="18" t="str">
        <f>Fact_Quality_Sampling!A178</f>
        <v>QS-177</v>
      </c>
      <c r="B178" s="4">
        <f>Fact_Quality_Sampling!B178</f>
        <v>20260702</v>
      </c>
      <c r="C178" s="4">
        <f>Fact_Quality_Sampling!C178</f>
        <v>1</v>
      </c>
      <c r="D178" s="4" t="str">
        <f>Fact_Quality_Sampling!D178</f>
        <v>M2</v>
      </c>
      <c r="E178" s="4" t="str">
        <f>Fact_Quality_Sampling!E178</f>
        <v>B-PM</v>
      </c>
      <c r="F178" s="4" t="str">
        <f>Fact_Quality_Sampling!F178</f>
        <v>A</v>
      </c>
      <c r="G178" s="4">
        <f>ROUND(Fact_Quality_Sampling!I178*0.44,0)</f>
        <v>0</v>
      </c>
      <c r="H178" s="4">
        <f>Fact_Quality_Sampling!I178-G178</f>
        <v>0</v>
      </c>
      <c r="I178" s="4">
        <f>ROUND(Fact_Quality_Sampling!J178*0.56,0)</f>
        <v>1</v>
      </c>
      <c r="J178" s="4">
        <f>Fact_Quality_Sampling!J178-I178</f>
        <v>0</v>
      </c>
      <c r="K178" s="4">
        <f>ROUND(Fact_Quality_Sampling!K178*0.69,0)</f>
        <v>1</v>
      </c>
      <c r="L178" s="19">
        <f>Fact_Quality_Sampling!K178-K178</f>
        <v>1</v>
      </c>
    </row>
    <row r="179" spans="1:12" x14ac:dyDescent="0.25">
      <c r="A179" s="18" t="str">
        <f>Fact_Quality_Sampling!A179</f>
        <v>QS-178</v>
      </c>
      <c r="B179" s="4">
        <f>Fact_Quality_Sampling!B179</f>
        <v>20260702</v>
      </c>
      <c r="C179" s="4">
        <f>Fact_Quality_Sampling!C179</f>
        <v>1</v>
      </c>
      <c r="D179" s="4" t="str">
        <f>Fact_Quality_Sampling!D179</f>
        <v>M3</v>
      </c>
      <c r="E179" s="4" t="str">
        <f>Fact_Quality_Sampling!E179</f>
        <v>B-PM</v>
      </c>
      <c r="F179" s="4" t="str">
        <f>Fact_Quality_Sampling!F179</f>
        <v>A</v>
      </c>
      <c r="G179" s="4">
        <f>ROUND(Fact_Quality_Sampling!I179*0.44,0)</f>
        <v>0</v>
      </c>
      <c r="H179" s="4">
        <f>Fact_Quality_Sampling!I179-G179</f>
        <v>0</v>
      </c>
      <c r="I179" s="4">
        <f>ROUND(Fact_Quality_Sampling!J179*0.65,0)</f>
        <v>0</v>
      </c>
      <c r="J179" s="4">
        <f>Fact_Quality_Sampling!J179-I179</f>
        <v>0</v>
      </c>
      <c r="K179" s="4">
        <f>ROUND(Fact_Quality_Sampling!K179*0.55,0)</f>
        <v>1</v>
      </c>
      <c r="L179" s="19">
        <f>Fact_Quality_Sampling!K179-K179</f>
        <v>0</v>
      </c>
    </row>
    <row r="180" spans="1:12" x14ac:dyDescent="0.25">
      <c r="A180" s="18" t="str">
        <f>Fact_Quality_Sampling!A180</f>
        <v>QS-179</v>
      </c>
      <c r="B180" s="4">
        <f>Fact_Quality_Sampling!B180</f>
        <v>20260702</v>
      </c>
      <c r="C180" s="4">
        <f>Fact_Quality_Sampling!C180</f>
        <v>1</v>
      </c>
      <c r="D180" s="4" t="str">
        <f>Fact_Quality_Sampling!D180</f>
        <v>M4</v>
      </c>
      <c r="E180" s="4" t="str">
        <f>Fact_Quality_Sampling!E180</f>
        <v>B-PM</v>
      </c>
      <c r="F180" s="4" t="str">
        <f>Fact_Quality_Sampling!F180</f>
        <v>C</v>
      </c>
      <c r="G180" s="4">
        <f>ROUND(Fact_Quality_Sampling!I180*0.67,0)</f>
        <v>0</v>
      </c>
      <c r="H180" s="4">
        <f>Fact_Quality_Sampling!I180-G180</f>
        <v>0</v>
      </c>
      <c r="I180" s="4">
        <f>ROUND(Fact_Quality_Sampling!J180*0.61,0)</f>
        <v>1</v>
      </c>
      <c r="J180" s="4">
        <f>Fact_Quality_Sampling!J180-I180</f>
        <v>0</v>
      </c>
      <c r="K180" s="4">
        <f>ROUND(Fact_Quality_Sampling!K180*0.47,0)</f>
        <v>1</v>
      </c>
      <c r="L180" s="19">
        <f>Fact_Quality_Sampling!K180-K180</f>
        <v>1</v>
      </c>
    </row>
    <row r="181" spans="1:12" x14ac:dyDescent="0.25">
      <c r="A181" s="18" t="str">
        <f>Fact_Quality_Sampling!A181</f>
        <v>QS-180</v>
      </c>
      <c r="B181" s="4">
        <f>Fact_Quality_Sampling!B181</f>
        <v>20260702</v>
      </c>
      <c r="C181" s="4">
        <f>Fact_Quality_Sampling!C181</f>
        <v>1</v>
      </c>
      <c r="D181" s="4" t="str">
        <f>Fact_Quality_Sampling!D181</f>
        <v>M5</v>
      </c>
      <c r="E181" s="4" t="str">
        <f>Fact_Quality_Sampling!E181</f>
        <v>B-PM</v>
      </c>
      <c r="F181" s="4" t="str">
        <f>Fact_Quality_Sampling!F181</f>
        <v>A</v>
      </c>
      <c r="G181" s="4">
        <f>ROUND(Fact_Quality_Sampling!I181*0.67,0)</f>
        <v>0</v>
      </c>
      <c r="H181" s="4">
        <f>Fact_Quality_Sampling!I181-G181</f>
        <v>0</v>
      </c>
      <c r="I181" s="4">
        <f>ROUND(Fact_Quality_Sampling!J181*0.55,0)</f>
        <v>0</v>
      </c>
      <c r="J181" s="4">
        <f>Fact_Quality_Sampling!J181-I181</f>
        <v>0</v>
      </c>
      <c r="K181" s="4">
        <f>ROUND(Fact_Quality_Sampling!K181*0.41,0)</f>
        <v>0</v>
      </c>
      <c r="L181" s="19">
        <f>Fact_Quality_Sampling!K181-K181</f>
        <v>0</v>
      </c>
    </row>
    <row r="182" spans="1:12" x14ac:dyDescent="0.25">
      <c r="A182" s="18" t="str">
        <f>Fact_Quality_Sampling!A182</f>
        <v>QS-181</v>
      </c>
      <c r="B182" s="4">
        <f>Fact_Quality_Sampling!B182</f>
        <v>20260702</v>
      </c>
      <c r="C182" s="4">
        <f>Fact_Quality_Sampling!C182</f>
        <v>1</v>
      </c>
      <c r="D182" s="4" t="str">
        <f>Fact_Quality_Sampling!D182</f>
        <v>M6</v>
      </c>
      <c r="E182" s="4" t="str">
        <f>Fact_Quality_Sampling!E182</f>
        <v>B-PM</v>
      </c>
      <c r="F182" s="4" t="str">
        <f>Fact_Quality_Sampling!F182</f>
        <v>A</v>
      </c>
      <c r="G182" s="4">
        <f>ROUND(Fact_Quality_Sampling!I182*0.4,0)</f>
        <v>0</v>
      </c>
      <c r="H182" s="4">
        <f>Fact_Quality_Sampling!I182-G182</f>
        <v>0</v>
      </c>
      <c r="I182" s="4">
        <f>ROUND(Fact_Quality_Sampling!J182*0.55,0)</f>
        <v>0</v>
      </c>
      <c r="J182" s="4">
        <f>Fact_Quality_Sampling!J182-I182</f>
        <v>0</v>
      </c>
      <c r="K182" s="4">
        <f>ROUND(Fact_Quality_Sampling!K182*0.54,0)</f>
        <v>1</v>
      </c>
      <c r="L182" s="19">
        <f>Fact_Quality_Sampling!K182-K182</f>
        <v>0</v>
      </c>
    </row>
    <row r="183" spans="1:12" x14ac:dyDescent="0.25">
      <c r="A183" s="18" t="str">
        <f>Fact_Quality_Sampling!A183</f>
        <v>QS-182</v>
      </c>
      <c r="B183" s="4">
        <f>Fact_Quality_Sampling!B183</f>
        <v>20260702</v>
      </c>
      <c r="C183" s="4">
        <f>Fact_Quality_Sampling!C183</f>
        <v>1</v>
      </c>
      <c r="D183" s="4" t="str">
        <f>Fact_Quality_Sampling!D183</f>
        <v>M7</v>
      </c>
      <c r="E183" s="4" t="str">
        <f>Fact_Quality_Sampling!E183</f>
        <v>B-PM</v>
      </c>
      <c r="F183" s="4" t="str">
        <f>Fact_Quality_Sampling!F183</f>
        <v>C</v>
      </c>
      <c r="G183" s="4">
        <f>ROUND(Fact_Quality_Sampling!I183*0.49,0)</f>
        <v>0</v>
      </c>
      <c r="H183" s="4">
        <f>Fact_Quality_Sampling!I183-G183</f>
        <v>0</v>
      </c>
      <c r="I183" s="4">
        <f>ROUND(Fact_Quality_Sampling!J183*0.44,0)</f>
        <v>0</v>
      </c>
      <c r="J183" s="4">
        <f>Fact_Quality_Sampling!J183-I183</f>
        <v>0</v>
      </c>
      <c r="K183" s="4">
        <f>ROUND(Fact_Quality_Sampling!K183*0.5,0)</f>
        <v>1</v>
      </c>
      <c r="L183" s="19">
        <f>Fact_Quality_Sampling!K183-K183</f>
        <v>0</v>
      </c>
    </row>
    <row r="184" spans="1:12" x14ac:dyDescent="0.25">
      <c r="A184" s="18" t="str">
        <f>Fact_Quality_Sampling!A184</f>
        <v>QS-183</v>
      </c>
      <c r="B184" s="4">
        <f>Fact_Quality_Sampling!B184</f>
        <v>20260702</v>
      </c>
      <c r="C184" s="4">
        <f>Fact_Quality_Sampling!C184</f>
        <v>2</v>
      </c>
      <c r="D184" s="4" t="str">
        <f>Fact_Quality_Sampling!D184</f>
        <v>M1</v>
      </c>
      <c r="E184" s="4" t="str">
        <f>Fact_Quality_Sampling!E184</f>
        <v>B-PM</v>
      </c>
      <c r="F184" s="4" t="str">
        <f>Fact_Quality_Sampling!F184</f>
        <v>B</v>
      </c>
      <c r="G184" s="4">
        <f>ROUND(Fact_Quality_Sampling!I184*0.49,0)</f>
        <v>0</v>
      </c>
      <c r="H184" s="4">
        <f>Fact_Quality_Sampling!I184-G184</f>
        <v>0</v>
      </c>
      <c r="I184" s="4">
        <f>ROUND(Fact_Quality_Sampling!J184*0.65,0)</f>
        <v>0</v>
      </c>
      <c r="J184" s="4">
        <f>Fact_Quality_Sampling!J184-I184</f>
        <v>0</v>
      </c>
      <c r="K184" s="4">
        <f>ROUND(Fact_Quality_Sampling!K184*0.4,0)</f>
        <v>0</v>
      </c>
      <c r="L184" s="19">
        <f>Fact_Quality_Sampling!K184-K184</f>
        <v>1</v>
      </c>
    </row>
    <row r="185" spans="1:12" x14ac:dyDescent="0.25">
      <c r="A185" s="18" t="str">
        <f>Fact_Quality_Sampling!A185</f>
        <v>QS-184</v>
      </c>
      <c r="B185" s="4">
        <f>Fact_Quality_Sampling!B185</f>
        <v>20260702</v>
      </c>
      <c r="C185" s="4">
        <f>Fact_Quality_Sampling!C185</f>
        <v>2</v>
      </c>
      <c r="D185" s="4" t="str">
        <f>Fact_Quality_Sampling!D185</f>
        <v>M2</v>
      </c>
      <c r="E185" s="4" t="str">
        <f>Fact_Quality_Sampling!E185</f>
        <v>B-PM</v>
      </c>
      <c r="F185" s="4" t="str">
        <f>Fact_Quality_Sampling!F185</f>
        <v>A</v>
      </c>
      <c r="G185" s="4">
        <f>ROUND(Fact_Quality_Sampling!I185*0.63,0)</f>
        <v>0</v>
      </c>
      <c r="H185" s="4">
        <f>Fact_Quality_Sampling!I185-G185</f>
        <v>0</v>
      </c>
      <c r="I185" s="4">
        <f>ROUND(Fact_Quality_Sampling!J185*0.65,0)</f>
        <v>0</v>
      </c>
      <c r="J185" s="4">
        <f>Fact_Quality_Sampling!J185-I185</f>
        <v>0</v>
      </c>
      <c r="K185" s="4">
        <f>ROUND(Fact_Quality_Sampling!K185*0.44,0)</f>
        <v>0</v>
      </c>
      <c r="L185" s="19">
        <f>Fact_Quality_Sampling!K185-K185</f>
        <v>1</v>
      </c>
    </row>
    <row r="186" spans="1:12" x14ac:dyDescent="0.25">
      <c r="A186" s="18" t="str">
        <f>Fact_Quality_Sampling!A186</f>
        <v>QS-185</v>
      </c>
      <c r="B186" s="4">
        <f>Fact_Quality_Sampling!B186</f>
        <v>20260702</v>
      </c>
      <c r="C186" s="4">
        <f>Fact_Quality_Sampling!C186</f>
        <v>2</v>
      </c>
      <c r="D186" s="4" t="str">
        <f>Fact_Quality_Sampling!D186</f>
        <v>M3</v>
      </c>
      <c r="E186" s="4" t="str">
        <f>Fact_Quality_Sampling!E186</f>
        <v>B-PM</v>
      </c>
      <c r="F186" s="4" t="str">
        <f>Fact_Quality_Sampling!F186</f>
        <v>A</v>
      </c>
      <c r="G186" s="4">
        <f>ROUND(Fact_Quality_Sampling!I186*0.68,0)</f>
        <v>0</v>
      </c>
      <c r="H186" s="4">
        <f>Fact_Quality_Sampling!I186-G186</f>
        <v>0</v>
      </c>
      <c r="I186" s="4">
        <f>ROUND(Fact_Quality_Sampling!J186*0.61,0)</f>
        <v>0</v>
      </c>
      <c r="J186" s="4">
        <f>Fact_Quality_Sampling!J186-I186</f>
        <v>0</v>
      </c>
      <c r="K186" s="4">
        <f>ROUND(Fact_Quality_Sampling!K186*0.67,0)</f>
        <v>1</v>
      </c>
      <c r="L186" s="19">
        <f>Fact_Quality_Sampling!K186-K186</f>
        <v>0</v>
      </c>
    </row>
    <row r="187" spans="1:12" x14ac:dyDescent="0.25">
      <c r="A187" s="18" t="str">
        <f>Fact_Quality_Sampling!A187</f>
        <v>QS-186</v>
      </c>
      <c r="B187" s="4">
        <f>Fact_Quality_Sampling!B187</f>
        <v>20260702</v>
      </c>
      <c r="C187" s="4">
        <f>Fact_Quality_Sampling!C187</f>
        <v>2</v>
      </c>
      <c r="D187" s="4" t="str">
        <f>Fact_Quality_Sampling!D187</f>
        <v>M4</v>
      </c>
      <c r="E187" s="4" t="str">
        <f>Fact_Quality_Sampling!E187</f>
        <v>B-PM</v>
      </c>
      <c r="F187" s="4" t="str">
        <f>Fact_Quality_Sampling!F187</f>
        <v>C</v>
      </c>
      <c r="G187" s="4">
        <f>ROUND(Fact_Quality_Sampling!I187*0.49,0)</f>
        <v>0</v>
      </c>
      <c r="H187" s="4">
        <f>Fact_Quality_Sampling!I187-G187</f>
        <v>0</v>
      </c>
      <c r="I187" s="4">
        <f>ROUND(Fact_Quality_Sampling!J187*0.51,0)</f>
        <v>0</v>
      </c>
      <c r="J187" s="4">
        <f>Fact_Quality_Sampling!J187-I187</f>
        <v>0</v>
      </c>
      <c r="K187" s="4">
        <f>ROUND(Fact_Quality_Sampling!K187*0.52,0)</f>
        <v>1</v>
      </c>
      <c r="L187" s="19">
        <f>Fact_Quality_Sampling!K187-K187</f>
        <v>0</v>
      </c>
    </row>
    <row r="188" spans="1:12" x14ac:dyDescent="0.25">
      <c r="A188" s="18" t="str">
        <f>Fact_Quality_Sampling!A188</f>
        <v>QS-187</v>
      </c>
      <c r="B188" s="4">
        <f>Fact_Quality_Sampling!B188</f>
        <v>20260702</v>
      </c>
      <c r="C188" s="4">
        <f>Fact_Quality_Sampling!C188</f>
        <v>2</v>
      </c>
      <c r="D188" s="4" t="str">
        <f>Fact_Quality_Sampling!D188</f>
        <v>M5</v>
      </c>
      <c r="E188" s="4" t="str">
        <f>Fact_Quality_Sampling!E188</f>
        <v>B-PM</v>
      </c>
      <c r="F188" s="4" t="str">
        <f>Fact_Quality_Sampling!F188</f>
        <v>A</v>
      </c>
      <c r="G188" s="4">
        <f>ROUND(Fact_Quality_Sampling!I188*0.7,0)</f>
        <v>0</v>
      </c>
      <c r="H188" s="4">
        <f>Fact_Quality_Sampling!I188-G188</f>
        <v>0</v>
      </c>
      <c r="I188" s="4">
        <f>ROUND(Fact_Quality_Sampling!J188*0.58,0)</f>
        <v>0</v>
      </c>
      <c r="J188" s="4">
        <f>Fact_Quality_Sampling!J188-I188</f>
        <v>0</v>
      </c>
      <c r="K188" s="4">
        <f>ROUND(Fact_Quality_Sampling!K188*0.51,0)</f>
        <v>0</v>
      </c>
      <c r="L188" s="19">
        <f>Fact_Quality_Sampling!K188-K188</f>
        <v>0</v>
      </c>
    </row>
    <row r="189" spans="1:12" x14ac:dyDescent="0.25">
      <c r="A189" s="18" t="str">
        <f>Fact_Quality_Sampling!A189</f>
        <v>QS-188</v>
      </c>
      <c r="B189" s="4">
        <f>Fact_Quality_Sampling!B189</f>
        <v>20260702</v>
      </c>
      <c r="C189" s="4">
        <f>Fact_Quality_Sampling!C189</f>
        <v>2</v>
      </c>
      <c r="D189" s="4" t="str">
        <f>Fact_Quality_Sampling!D189</f>
        <v>M6</v>
      </c>
      <c r="E189" s="4" t="str">
        <f>Fact_Quality_Sampling!E189</f>
        <v>B-PM</v>
      </c>
      <c r="F189" s="4" t="str">
        <f>Fact_Quality_Sampling!F189</f>
        <v>A</v>
      </c>
      <c r="G189" s="4">
        <f>ROUND(Fact_Quality_Sampling!I189*0.53,0)</f>
        <v>0</v>
      </c>
      <c r="H189" s="4">
        <f>Fact_Quality_Sampling!I189-G189</f>
        <v>0</v>
      </c>
      <c r="I189" s="4">
        <f>ROUND(Fact_Quality_Sampling!J189*0.48,0)</f>
        <v>0</v>
      </c>
      <c r="J189" s="4">
        <f>Fact_Quality_Sampling!J189-I189</f>
        <v>0</v>
      </c>
      <c r="K189" s="4">
        <f>ROUND(Fact_Quality_Sampling!K189*0.41,0)</f>
        <v>0</v>
      </c>
      <c r="L189" s="19">
        <f>Fact_Quality_Sampling!K189-K189</f>
        <v>0</v>
      </c>
    </row>
    <row r="190" spans="1:12" x14ac:dyDescent="0.25">
      <c r="A190" s="18" t="str">
        <f>Fact_Quality_Sampling!A190</f>
        <v>QS-189</v>
      </c>
      <c r="B190" s="4">
        <f>Fact_Quality_Sampling!B190</f>
        <v>20260702</v>
      </c>
      <c r="C190" s="4">
        <f>Fact_Quality_Sampling!C190</f>
        <v>2</v>
      </c>
      <c r="D190" s="4" t="str">
        <f>Fact_Quality_Sampling!D190</f>
        <v>M7</v>
      </c>
      <c r="E190" s="4" t="str">
        <f>Fact_Quality_Sampling!E190</f>
        <v>B-PM</v>
      </c>
      <c r="F190" s="4" t="str">
        <f>Fact_Quality_Sampling!F190</f>
        <v>C</v>
      </c>
      <c r="G190" s="4">
        <f>ROUND(Fact_Quality_Sampling!I190*0.43,0)</f>
        <v>0</v>
      </c>
      <c r="H190" s="4">
        <f>Fact_Quality_Sampling!I190-G190</f>
        <v>0</v>
      </c>
      <c r="I190" s="4">
        <f>ROUND(Fact_Quality_Sampling!J190*0.65,0)</f>
        <v>1</v>
      </c>
      <c r="J190" s="4">
        <f>Fact_Quality_Sampling!J190-I190</f>
        <v>0</v>
      </c>
      <c r="K190" s="4">
        <f>ROUND(Fact_Quality_Sampling!K190*0.49,0)</f>
        <v>1</v>
      </c>
      <c r="L190" s="19">
        <f>Fact_Quality_Sampling!K190-K190</f>
        <v>1</v>
      </c>
    </row>
    <row r="191" spans="1:12" x14ac:dyDescent="0.25">
      <c r="A191" s="18" t="str">
        <f>Fact_Quality_Sampling!A191</f>
        <v>QS-190</v>
      </c>
      <c r="B191" s="4">
        <f>Fact_Quality_Sampling!B191</f>
        <v>20260702</v>
      </c>
      <c r="C191" s="4">
        <f>Fact_Quality_Sampling!C191</f>
        <v>3</v>
      </c>
      <c r="D191" s="4" t="str">
        <f>Fact_Quality_Sampling!D191</f>
        <v>M1</v>
      </c>
      <c r="E191" s="4" t="str">
        <f>Fact_Quality_Sampling!E191</f>
        <v>B-PM</v>
      </c>
      <c r="F191" s="4" t="str">
        <f>Fact_Quality_Sampling!F191</f>
        <v>B</v>
      </c>
      <c r="G191" s="4">
        <f>ROUND(Fact_Quality_Sampling!I191*0.68,0)</f>
        <v>0</v>
      </c>
      <c r="H191" s="4">
        <f>Fact_Quality_Sampling!I191-G191</f>
        <v>0</v>
      </c>
      <c r="I191" s="4">
        <f>ROUND(Fact_Quality_Sampling!J191*0.47,0)</f>
        <v>0</v>
      </c>
      <c r="J191" s="4">
        <f>Fact_Quality_Sampling!J191-I191</f>
        <v>1</v>
      </c>
      <c r="K191" s="4">
        <f>ROUND(Fact_Quality_Sampling!K191*0.48,0)</f>
        <v>0</v>
      </c>
      <c r="L191" s="19">
        <f>Fact_Quality_Sampling!K191-K191</f>
        <v>1</v>
      </c>
    </row>
    <row r="192" spans="1:12" x14ac:dyDescent="0.25">
      <c r="A192" s="18" t="str">
        <f>Fact_Quality_Sampling!A192</f>
        <v>QS-191</v>
      </c>
      <c r="B192" s="4">
        <f>Fact_Quality_Sampling!B192</f>
        <v>20260702</v>
      </c>
      <c r="C192" s="4">
        <f>Fact_Quality_Sampling!C192</f>
        <v>3</v>
      </c>
      <c r="D192" s="4" t="str">
        <f>Fact_Quality_Sampling!D192</f>
        <v>M2</v>
      </c>
      <c r="E192" s="4" t="str">
        <f>Fact_Quality_Sampling!E192</f>
        <v>B-PM</v>
      </c>
      <c r="F192" s="4" t="str">
        <f>Fact_Quality_Sampling!F192</f>
        <v>A</v>
      </c>
      <c r="G192" s="4">
        <f>ROUND(Fact_Quality_Sampling!I192*0.55,0)</f>
        <v>0</v>
      </c>
      <c r="H192" s="4">
        <f>Fact_Quality_Sampling!I192-G192</f>
        <v>0</v>
      </c>
      <c r="I192" s="4">
        <f>ROUND(Fact_Quality_Sampling!J192*0.46,0)</f>
        <v>0</v>
      </c>
      <c r="J192" s="4">
        <f>Fact_Quality_Sampling!J192-I192</f>
        <v>0</v>
      </c>
      <c r="K192" s="4">
        <f>ROUND(Fact_Quality_Sampling!K192*0.51,0)</f>
        <v>1</v>
      </c>
      <c r="L192" s="19">
        <f>Fact_Quality_Sampling!K192-K192</f>
        <v>0</v>
      </c>
    </row>
    <row r="193" spans="1:12" x14ac:dyDescent="0.25">
      <c r="A193" s="18" t="str">
        <f>Fact_Quality_Sampling!A193</f>
        <v>QS-192</v>
      </c>
      <c r="B193" s="4">
        <f>Fact_Quality_Sampling!B193</f>
        <v>20260702</v>
      </c>
      <c r="C193" s="4">
        <f>Fact_Quality_Sampling!C193</f>
        <v>3</v>
      </c>
      <c r="D193" s="4" t="str">
        <f>Fact_Quality_Sampling!D193</f>
        <v>M3</v>
      </c>
      <c r="E193" s="4" t="str">
        <f>Fact_Quality_Sampling!E193</f>
        <v>B-PM</v>
      </c>
      <c r="F193" s="4" t="str">
        <f>Fact_Quality_Sampling!F193</f>
        <v>A</v>
      </c>
      <c r="G193" s="4">
        <f>ROUND(Fact_Quality_Sampling!I193*0.69,0)</f>
        <v>0</v>
      </c>
      <c r="H193" s="4">
        <f>Fact_Quality_Sampling!I193-G193</f>
        <v>0</v>
      </c>
      <c r="I193" s="4">
        <f>ROUND(Fact_Quality_Sampling!J193*0.67,0)</f>
        <v>0</v>
      </c>
      <c r="J193" s="4">
        <f>Fact_Quality_Sampling!J193-I193</f>
        <v>0</v>
      </c>
      <c r="K193" s="4">
        <f>ROUND(Fact_Quality_Sampling!K193*0.64,0)</f>
        <v>1</v>
      </c>
      <c r="L193" s="19">
        <f>Fact_Quality_Sampling!K193-K193</f>
        <v>0</v>
      </c>
    </row>
    <row r="194" spans="1:12" x14ac:dyDescent="0.25">
      <c r="A194" s="18" t="str">
        <f>Fact_Quality_Sampling!A194</f>
        <v>QS-193</v>
      </c>
      <c r="B194" s="4">
        <f>Fact_Quality_Sampling!B194</f>
        <v>20260702</v>
      </c>
      <c r="C194" s="4">
        <f>Fact_Quality_Sampling!C194</f>
        <v>3</v>
      </c>
      <c r="D194" s="4" t="str">
        <f>Fact_Quality_Sampling!D194</f>
        <v>M4</v>
      </c>
      <c r="E194" s="4" t="str">
        <f>Fact_Quality_Sampling!E194</f>
        <v>B-PM</v>
      </c>
      <c r="F194" s="4" t="str">
        <f>Fact_Quality_Sampling!F194</f>
        <v>C</v>
      </c>
      <c r="G194" s="4">
        <f>ROUND(Fact_Quality_Sampling!I194*0.59,0)</f>
        <v>0</v>
      </c>
      <c r="H194" s="4">
        <f>Fact_Quality_Sampling!I194-G194</f>
        <v>0</v>
      </c>
      <c r="I194" s="4">
        <f>ROUND(Fact_Quality_Sampling!J194*0.67,0)</f>
        <v>0</v>
      </c>
      <c r="J194" s="4">
        <f>Fact_Quality_Sampling!J194-I194</f>
        <v>0</v>
      </c>
      <c r="K194" s="4">
        <f>ROUND(Fact_Quality_Sampling!K194*0.68,0)</f>
        <v>1</v>
      </c>
      <c r="L194" s="19">
        <f>Fact_Quality_Sampling!K194-K194</f>
        <v>0</v>
      </c>
    </row>
    <row r="195" spans="1:12" x14ac:dyDescent="0.25">
      <c r="A195" s="18" t="str">
        <f>Fact_Quality_Sampling!A195</f>
        <v>QS-194</v>
      </c>
      <c r="B195" s="4">
        <f>Fact_Quality_Sampling!B195</f>
        <v>20260702</v>
      </c>
      <c r="C195" s="4">
        <f>Fact_Quality_Sampling!C195</f>
        <v>3</v>
      </c>
      <c r="D195" s="4" t="str">
        <f>Fact_Quality_Sampling!D195</f>
        <v>M5</v>
      </c>
      <c r="E195" s="4" t="str">
        <f>Fact_Quality_Sampling!E195</f>
        <v>B-PM</v>
      </c>
      <c r="F195" s="4" t="str">
        <f>Fact_Quality_Sampling!F195</f>
        <v>A</v>
      </c>
      <c r="G195" s="4">
        <f>ROUND(Fact_Quality_Sampling!I195*0.56,0)</f>
        <v>0</v>
      </c>
      <c r="H195" s="4">
        <f>Fact_Quality_Sampling!I195-G195</f>
        <v>0</v>
      </c>
      <c r="I195" s="4">
        <f>ROUND(Fact_Quality_Sampling!J195*0.62,0)</f>
        <v>0</v>
      </c>
      <c r="J195" s="4">
        <f>Fact_Quality_Sampling!J195-I195</f>
        <v>0</v>
      </c>
      <c r="K195" s="4">
        <f>ROUND(Fact_Quality_Sampling!K195*0.41,0)</f>
        <v>0</v>
      </c>
      <c r="L195" s="19">
        <f>Fact_Quality_Sampling!K195-K195</f>
        <v>1</v>
      </c>
    </row>
    <row r="196" spans="1:12" x14ac:dyDescent="0.25">
      <c r="A196" s="18" t="str">
        <f>Fact_Quality_Sampling!A196</f>
        <v>QS-195</v>
      </c>
      <c r="B196" s="4">
        <f>Fact_Quality_Sampling!B196</f>
        <v>20260702</v>
      </c>
      <c r="C196" s="4">
        <f>Fact_Quality_Sampling!C196</f>
        <v>3</v>
      </c>
      <c r="D196" s="4" t="str">
        <f>Fact_Quality_Sampling!D196</f>
        <v>M6</v>
      </c>
      <c r="E196" s="4" t="str">
        <f>Fact_Quality_Sampling!E196</f>
        <v>B-PM</v>
      </c>
      <c r="F196" s="4" t="str">
        <f>Fact_Quality_Sampling!F196</f>
        <v>A</v>
      </c>
      <c r="G196" s="4">
        <f>ROUND(Fact_Quality_Sampling!I196*0.62,0)</f>
        <v>0</v>
      </c>
      <c r="H196" s="4">
        <f>Fact_Quality_Sampling!I196-G196</f>
        <v>0</v>
      </c>
      <c r="I196" s="4">
        <f>ROUND(Fact_Quality_Sampling!J196*0.54,0)</f>
        <v>0</v>
      </c>
      <c r="J196" s="4">
        <f>Fact_Quality_Sampling!J196-I196</f>
        <v>0</v>
      </c>
      <c r="K196" s="4">
        <f>ROUND(Fact_Quality_Sampling!K196*0.63,0)</f>
        <v>1</v>
      </c>
      <c r="L196" s="19">
        <f>Fact_Quality_Sampling!K196-K196</f>
        <v>0</v>
      </c>
    </row>
    <row r="197" spans="1:12" x14ac:dyDescent="0.25">
      <c r="A197" s="18" t="str">
        <f>Fact_Quality_Sampling!A197</f>
        <v>QS-196</v>
      </c>
      <c r="B197" s="4">
        <f>Fact_Quality_Sampling!B197</f>
        <v>20260702</v>
      </c>
      <c r="C197" s="4">
        <f>Fact_Quality_Sampling!C197</f>
        <v>3</v>
      </c>
      <c r="D197" s="4" t="str">
        <f>Fact_Quality_Sampling!D197</f>
        <v>M7</v>
      </c>
      <c r="E197" s="4" t="str">
        <f>Fact_Quality_Sampling!E197</f>
        <v>B-PM</v>
      </c>
      <c r="F197" s="4" t="str">
        <f>Fact_Quality_Sampling!F197</f>
        <v>C</v>
      </c>
      <c r="G197" s="4">
        <f>ROUND(Fact_Quality_Sampling!I197*0.59,0)</f>
        <v>0</v>
      </c>
      <c r="H197" s="4">
        <f>Fact_Quality_Sampling!I197-G197</f>
        <v>0</v>
      </c>
      <c r="I197" s="4">
        <f>ROUND(Fact_Quality_Sampling!J197*0.49,0)</f>
        <v>0</v>
      </c>
      <c r="J197" s="4">
        <f>Fact_Quality_Sampling!J197-I197</f>
        <v>1</v>
      </c>
      <c r="K197" s="4">
        <f>ROUND(Fact_Quality_Sampling!K197*0.41,0)</f>
        <v>0</v>
      </c>
      <c r="L197" s="19">
        <f>Fact_Quality_Sampling!K197-K197</f>
        <v>1</v>
      </c>
    </row>
    <row r="198" spans="1:12" x14ac:dyDescent="0.25">
      <c r="A198" s="18" t="str">
        <f>Fact_Quality_Sampling!A198</f>
        <v>QS-197</v>
      </c>
      <c r="B198" s="4">
        <f>Fact_Quality_Sampling!B198</f>
        <v>20260702</v>
      </c>
      <c r="C198" s="4">
        <f>Fact_Quality_Sampling!C198</f>
        <v>4</v>
      </c>
      <c r="D198" s="4" t="str">
        <f>Fact_Quality_Sampling!D198</f>
        <v>M1</v>
      </c>
      <c r="E198" s="4" t="str">
        <f>Fact_Quality_Sampling!E198</f>
        <v>B-PM</v>
      </c>
      <c r="F198" s="4" t="str">
        <f>Fact_Quality_Sampling!F198</f>
        <v>B</v>
      </c>
      <c r="G198" s="4">
        <f>ROUND(Fact_Quality_Sampling!I198*0.68,0)</f>
        <v>0</v>
      </c>
      <c r="H198" s="4">
        <f>Fact_Quality_Sampling!I198-G198</f>
        <v>0</v>
      </c>
      <c r="I198" s="4">
        <f>ROUND(Fact_Quality_Sampling!J198*0.44,0)</f>
        <v>0</v>
      </c>
      <c r="J198" s="4">
        <f>Fact_Quality_Sampling!J198-I198</f>
        <v>0</v>
      </c>
      <c r="K198" s="4">
        <f>ROUND(Fact_Quality_Sampling!K198*0.54,0)</f>
        <v>1</v>
      </c>
      <c r="L198" s="19">
        <f>Fact_Quality_Sampling!K198-K198</f>
        <v>0</v>
      </c>
    </row>
    <row r="199" spans="1:12" x14ac:dyDescent="0.25">
      <c r="A199" s="18" t="str">
        <f>Fact_Quality_Sampling!A199</f>
        <v>QS-198</v>
      </c>
      <c r="B199" s="4">
        <f>Fact_Quality_Sampling!B199</f>
        <v>20260702</v>
      </c>
      <c r="C199" s="4">
        <f>Fact_Quality_Sampling!C199</f>
        <v>4</v>
      </c>
      <c r="D199" s="4" t="str">
        <f>Fact_Quality_Sampling!D199</f>
        <v>M2</v>
      </c>
      <c r="E199" s="4" t="str">
        <f>Fact_Quality_Sampling!E199</f>
        <v>B-PM</v>
      </c>
      <c r="F199" s="4" t="str">
        <f>Fact_Quality_Sampling!F199</f>
        <v>A</v>
      </c>
      <c r="G199" s="4">
        <f>ROUND(Fact_Quality_Sampling!I199*0.5,0)</f>
        <v>0</v>
      </c>
      <c r="H199" s="4">
        <f>Fact_Quality_Sampling!I199-G199</f>
        <v>0</v>
      </c>
      <c r="I199" s="4">
        <f>ROUND(Fact_Quality_Sampling!J199*0.49,0)</f>
        <v>0</v>
      </c>
      <c r="J199" s="4">
        <f>Fact_Quality_Sampling!J199-I199</f>
        <v>1</v>
      </c>
      <c r="K199" s="4">
        <f>ROUND(Fact_Quality_Sampling!K199*0.62,0)</f>
        <v>1</v>
      </c>
      <c r="L199" s="19">
        <f>Fact_Quality_Sampling!K199-K199</f>
        <v>1</v>
      </c>
    </row>
    <row r="200" spans="1:12" x14ac:dyDescent="0.25">
      <c r="A200" s="18" t="str">
        <f>Fact_Quality_Sampling!A200</f>
        <v>QS-199</v>
      </c>
      <c r="B200" s="4">
        <f>Fact_Quality_Sampling!B200</f>
        <v>20260702</v>
      </c>
      <c r="C200" s="4">
        <f>Fact_Quality_Sampling!C200</f>
        <v>4</v>
      </c>
      <c r="D200" s="4" t="str">
        <f>Fact_Quality_Sampling!D200</f>
        <v>M3</v>
      </c>
      <c r="E200" s="4" t="str">
        <f>Fact_Quality_Sampling!E200</f>
        <v>B-PM</v>
      </c>
      <c r="F200" s="4" t="str">
        <f>Fact_Quality_Sampling!F200</f>
        <v>A</v>
      </c>
      <c r="G200" s="4">
        <f>ROUND(Fact_Quality_Sampling!I200*0.69,0)</f>
        <v>0</v>
      </c>
      <c r="H200" s="4">
        <f>Fact_Quality_Sampling!I200-G200</f>
        <v>0</v>
      </c>
      <c r="I200" s="4">
        <f>ROUND(Fact_Quality_Sampling!J200*0.48,0)</f>
        <v>0</v>
      </c>
      <c r="J200" s="4">
        <f>Fact_Quality_Sampling!J200-I200</f>
        <v>0</v>
      </c>
      <c r="K200" s="4">
        <f>ROUND(Fact_Quality_Sampling!K200*0.6,0)</f>
        <v>1</v>
      </c>
      <c r="L200" s="19">
        <f>Fact_Quality_Sampling!K200-K200</f>
        <v>0</v>
      </c>
    </row>
    <row r="201" spans="1:12" x14ac:dyDescent="0.25">
      <c r="A201" s="18" t="str">
        <f>Fact_Quality_Sampling!A201</f>
        <v>QS-200</v>
      </c>
      <c r="B201" s="4">
        <f>Fact_Quality_Sampling!B201</f>
        <v>20260702</v>
      </c>
      <c r="C201" s="4">
        <f>Fact_Quality_Sampling!C201</f>
        <v>4</v>
      </c>
      <c r="D201" s="4" t="str">
        <f>Fact_Quality_Sampling!D201</f>
        <v>M4</v>
      </c>
      <c r="E201" s="4" t="str">
        <f>Fact_Quality_Sampling!E201</f>
        <v>B-PM</v>
      </c>
      <c r="F201" s="4" t="str">
        <f>Fact_Quality_Sampling!F201</f>
        <v>C</v>
      </c>
      <c r="G201" s="4">
        <f>ROUND(Fact_Quality_Sampling!I201*0.49,0)</f>
        <v>0</v>
      </c>
      <c r="H201" s="4">
        <f>Fact_Quality_Sampling!I201-G201</f>
        <v>0</v>
      </c>
      <c r="I201" s="4">
        <f>ROUND(Fact_Quality_Sampling!J201*0.57,0)</f>
        <v>1</v>
      </c>
      <c r="J201" s="4">
        <f>Fact_Quality_Sampling!J201-I201</f>
        <v>0</v>
      </c>
      <c r="K201" s="4">
        <f>ROUND(Fact_Quality_Sampling!K201*0.52,0)</f>
        <v>1</v>
      </c>
      <c r="L201" s="19">
        <f>Fact_Quality_Sampling!K201-K201</f>
        <v>1</v>
      </c>
    </row>
    <row r="202" spans="1:12" x14ac:dyDescent="0.25">
      <c r="A202" s="18" t="str">
        <f>Fact_Quality_Sampling!A202</f>
        <v>QS-201</v>
      </c>
      <c r="B202" s="4">
        <f>Fact_Quality_Sampling!B202</f>
        <v>20260702</v>
      </c>
      <c r="C202" s="4">
        <f>Fact_Quality_Sampling!C202</f>
        <v>4</v>
      </c>
      <c r="D202" s="4" t="str">
        <f>Fact_Quality_Sampling!D202</f>
        <v>M5</v>
      </c>
      <c r="E202" s="4" t="str">
        <f>Fact_Quality_Sampling!E202</f>
        <v>B-PM</v>
      </c>
      <c r="F202" s="4" t="str">
        <f>Fact_Quality_Sampling!F202</f>
        <v>A</v>
      </c>
      <c r="G202" s="4">
        <f>ROUND(Fact_Quality_Sampling!I202*0.45,0)</f>
        <v>0</v>
      </c>
      <c r="H202" s="4">
        <f>Fact_Quality_Sampling!I202-G202</f>
        <v>0</v>
      </c>
      <c r="I202" s="4">
        <f>ROUND(Fact_Quality_Sampling!J202*0.45,0)</f>
        <v>0</v>
      </c>
      <c r="J202" s="4">
        <f>Fact_Quality_Sampling!J202-I202</f>
        <v>0</v>
      </c>
      <c r="K202" s="4">
        <f>ROUND(Fact_Quality_Sampling!K202*0.46,0)</f>
        <v>0</v>
      </c>
      <c r="L202" s="19">
        <f>Fact_Quality_Sampling!K202-K202</f>
        <v>1</v>
      </c>
    </row>
    <row r="203" spans="1:12" x14ac:dyDescent="0.25">
      <c r="A203" s="18" t="str">
        <f>Fact_Quality_Sampling!A203</f>
        <v>QS-202</v>
      </c>
      <c r="B203" s="4">
        <f>Fact_Quality_Sampling!B203</f>
        <v>20260702</v>
      </c>
      <c r="C203" s="4">
        <f>Fact_Quality_Sampling!C203</f>
        <v>4</v>
      </c>
      <c r="D203" s="4" t="str">
        <f>Fact_Quality_Sampling!D203</f>
        <v>M6</v>
      </c>
      <c r="E203" s="4" t="str">
        <f>Fact_Quality_Sampling!E203</f>
        <v>B-PM</v>
      </c>
      <c r="F203" s="4" t="str">
        <f>Fact_Quality_Sampling!F203</f>
        <v>A</v>
      </c>
      <c r="G203" s="4">
        <f>ROUND(Fact_Quality_Sampling!I203*0.67,0)</f>
        <v>0</v>
      </c>
      <c r="H203" s="4">
        <f>Fact_Quality_Sampling!I203-G203</f>
        <v>0</v>
      </c>
      <c r="I203" s="4">
        <f>ROUND(Fact_Quality_Sampling!J203*0.55,0)</f>
        <v>0</v>
      </c>
      <c r="J203" s="4">
        <f>Fact_Quality_Sampling!J203-I203</f>
        <v>0</v>
      </c>
      <c r="K203" s="4">
        <f>ROUND(Fact_Quality_Sampling!K203*0.47,0)</f>
        <v>0</v>
      </c>
      <c r="L203" s="19">
        <f>Fact_Quality_Sampling!K203-K203</f>
        <v>0</v>
      </c>
    </row>
    <row r="204" spans="1:12" x14ac:dyDescent="0.25">
      <c r="A204" s="18" t="str">
        <f>Fact_Quality_Sampling!A204</f>
        <v>QS-203</v>
      </c>
      <c r="B204" s="4">
        <f>Fact_Quality_Sampling!B204</f>
        <v>20260702</v>
      </c>
      <c r="C204" s="4">
        <f>Fact_Quality_Sampling!C204</f>
        <v>4</v>
      </c>
      <c r="D204" s="4" t="str">
        <f>Fact_Quality_Sampling!D204</f>
        <v>M7</v>
      </c>
      <c r="E204" s="4" t="str">
        <f>Fact_Quality_Sampling!E204</f>
        <v>B-PM</v>
      </c>
      <c r="F204" s="4" t="str">
        <f>Fact_Quality_Sampling!F204</f>
        <v>C</v>
      </c>
      <c r="G204" s="4">
        <f>ROUND(Fact_Quality_Sampling!I204*0.67,0)</f>
        <v>0</v>
      </c>
      <c r="H204" s="4">
        <f>Fact_Quality_Sampling!I204-G204</f>
        <v>0</v>
      </c>
      <c r="I204" s="4">
        <f>ROUND(Fact_Quality_Sampling!J204*0.7,0)</f>
        <v>0</v>
      </c>
      <c r="J204" s="4">
        <f>Fact_Quality_Sampling!J204-I204</f>
        <v>0</v>
      </c>
      <c r="K204" s="4">
        <f>ROUND(Fact_Quality_Sampling!K204*0.53,0)</f>
        <v>1</v>
      </c>
      <c r="L204" s="19">
        <f>Fact_Quality_Sampling!K204-K204</f>
        <v>0</v>
      </c>
    </row>
    <row r="205" spans="1:12" x14ac:dyDescent="0.25">
      <c r="A205" s="18" t="str">
        <f>Fact_Quality_Sampling!A205</f>
        <v>QS-204</v>
      </c>
      <c r="B205" s="4">
        <f>Fact_Quality_Sampling!B205</f>
        <v>20260702</v>
      </c>
      <c r="C205" s="4">
        <f>Fact_Quality_Sampling!C205</f>
        <v>5</v>
      </c>
      <c r="D205" s="4" t="str">
        <f>Fact_Quality_Sampling!D205</f>
        <v>M1</v>
      </c>
      <c r="E205" s="4" t="str">
        <f>Fact_Quality_Sampling!E205</f>
        <v>B-PM</v>
      </c>
      <c r="F205" s="4" t="str">
        <f>Fact_Quality_Sampling!F205</f>
        <v>B</v>
      </c>
      <c r="G205" s="4">
        <f>ROUND(Fact_Quality_Sampling!I205*0.44,0)</f>
        <v>0</v>
      </c>
      <c r="H205" s="4">
        <f>Fact_Quality_Sampling!I205-G205</f>
        <v>0</v>
      </c>
      <c r="I205" s="4">
        <f>ROUND(Fact_Quality_Sampling!J205*0.46,0)</f>
        <v>0</v>
      </c>
      <c r="J205" s="4">
        <f>Fact_Quality_Sampling!J205-I205</f>
        <v>1</v>
      </c>
      <c r="K205" s="4">
        <f>ROUND(Fact_Quality_Sampling!K205*0.43,0)</f>
        <v>0</v>
      </c>
      <c r="L205" s="19">
        <f>Fact_Quality_Sampling!K205-K205</f>
        <v>1</v>
      </c>
    </row>
    <row r="206" spans="1:12" x14ac:dyDescent="0.25">
      <c r="A206" s="18" t="str">
        <f>Fact_Quality_Sampling!A206</f>
        <v>QS-205</v>
      </c>
      <c r="B206" s="4">
        <f>Fact_Quality_Sampling!B206</f>
        <v>20260702</v>
      </c>
      <c r="C206" s="4">
        <f>Fact_Quality_Sampling!C206</f>
        <v>5</v>
      </c>
      <c r="D206" s="4" t="str">
        <f>Fact_Quality_Sampling!D206</f>
        <v>M2</v>
      </c>
      <c r="E206" s="4" t="str">
        <f>Fact_Quality_Sampling!E206</f>
        <v>B-PM</v>
      </c>
      <c r="F206" s="4" t="str">
        <f>Fact_Quality_Sampling!F206</f>
        <v>A</v>
      </c>
      <c r="G206" s="4">
        <f>ROUND(Fact_Quality_Sampling!I206*0.5,0)</f>
        <v>0</v>
      </c>
      <c r="H206" s="4">
        <f>Fact_Quality_Sampling!I206-G206</f>
        <v>0</v>
      </c>
      <c r="I206" s="4">
        <f>ROUND(Fact_Quality_Sampling!J206*0.43,0)</f>
        <v>0</v>
      </c>
      <c r="J206" s="4">
        <f>Fact_Quality_Sampling!J206-I206</f>
        <v>1</v>
      </c>
      <c r="K206" s="4">
        <f>ROUND(Fact_Quality_Sampling!K206*0.47,0)</f>
        <v>1</v>
      </c>
      <c r="L206" s="19">
        <f>Fact_Quality_Sampling!K206-K206</f>
        <v>1</v>
      </c>
    </row>
    <row r="207" spans="1:12" x14ac:dyDescent="0.25">
      <c r="A207" s="18" t="str">
        <f>Fact_Quality_Sampling!A207</f>
        <v>QS-206</v>
      </c>
      <c r="B207" s="4">
        <f>Fact_Quality_Sampling!B207</f>
        <v>20260702</v>
      </c>
      <c r="C207" s="4">
        <f>Fact_Quality_Sampling!C207</f>
        <v>5</v>
      </c>
      <c r="D207" s="4" t="str">
        <f>Fact_Quality_Sampling!D207</f>
        <v>M3</v>
      </c>
      <c r="E207" s="4" t="str">
        <f>Fact_Quality_Sampling!E207</f>
        <v>B-PM</v>
      </c>
      <c r="F207" s="4" t="str">
        <f>Fact_Quality_Sampling!F207</f>
        <v>A</v>
      </c>
      <c r="G207" s="4">
        <f>ROUND(Fact_Quality_Sampling!I207*0.48,0)</f>
        <v>0</v>
      </c>
      <c r="H207" s="4">
        <f>Fact_Quality_Sampling!I207-G207</f>
        <v>0</v>
      </c>
      <c r="I207" s="4">
        <f>ROUND(Fact_Quality_Sampling!J207*0.57,0)</f>
        <v>1</v>
      </c>
      <c r="J207" s="4">
        <f>Fact_Quality_Sampling!J207-I207</f>
        <v>0</v>
      </c>
      <c r="K207" s="4">
        <f>ROUND(Fact_Quality_Sampling!K207*0.67,0)</f>
        <v>1</v>
      </c>
      <c r="L207" s="19">
        <f>Fact_Quality_Sampling!K207-K207</f>
        <v>0</v>
      </c>
    </row>
    <row r="208" spans="1:12" x14ac:dyDescent="0.25">
      <c r="A208" s="18" t="str">
        <f>Fact_Quality_Sampling!A208</f>
        <v>QS-207</v>
      </c>
      <c r="B208" s="4">
        <f>Fact_Quality_Sampling!B208</f>
        <v>20260702</v>
      </c>
      <c r="C208" s="4">
        <f>Fact_Quality_Sampling!C208</f>
        <v>5</v>
      </c>
      <c r="D208" s="4" t="str">
        <f>Fact_Quality_Sampling!D208</f>
        <v>M4</v>
      </c>
      <c r="E208" s="4" t="str">
        <f>Fact_Quality_Sampling!E208</f>
        <v>B-PM</v>
      </c>
      <c r="F208" s="4" t="str">
        <f>Fact_Quality_Sampling!F208</f>
        <v>C</v>
      </c>
      <c r="G208" s="4">
        <f>ROUND(Fact_Quality_Sampling!I208*0.62,0)</f>
        <v>0</v>
      </c>
      <c r="H208" s="4">
        <f>Fact_Quality_Sampling!I208-G208</f>
        <v>0</v>
      </c>
      <c r="I208" s="4">
        <f>ROUND(Fact_Quality_Sampling!J208*0.52,0)</f>
        <v>0</v>
      </c>
      <c r="J208" s="4">
        <f>Fact_Quality_Sampling!J208-I208</f>
        <v>0</v>
      </c>
      <c r="K208" s="4">
        <f>ROUND(Fact_Quality_Sampling!K208*0.52,0)</f>
        <v>1</v>
      </c>
      <c r="L208" s="19">
        <f>Fact_Quality_Sampling!K208-K208</f>
        <v>0</v>
      </c>
    </row>
    <row r="209" spans="1:12" x14ac:dyDescent="0.25">
      <c r="A209" s="18" t="str">
        <f>Fact_Quality_Sampling!A209</f>
        <v>QS-208</v>
      </c>
      <c r="B209" s="4">
        <f>Fact_Quality_Sampling!B209</f>
        <v>20260702</v>
      </c>
      <c r="C209" s="4">
        <f>Fact_Quality_Sampling!C209</f>
        <v>5</v>
      </c>
      <c r="D209" s="4" t="str">
        <f>Fact_Quality_Sampling!D209</f>
        <v>M5</v>
      </c>
      <c r="E209" s="4" t="str">
        <f>Fact_Quality_Sampling!E209</f>
        <v>B-PM</v>
      </c>
      <c r="F209" s="4" t="str">
        <f>Fact_Quality_Sampling!F209</f>
        <v>A</v>
      </c>
      <c r="G209" s="4">
        <f>ROUND(Fact_Quality_Sampling!I209*0.56,0)</f>
        <v>0</v>
      </c>
      <c r="H209" s="4">
        <f>Fact_Quality_Sampling!I209-G209</f>
        <v>0</v>
      </c>
      <c r="I209" s="4">
        <f>ROUND(Fact_Quality_Sampling!J209*0.51,0)</f>
        <v>1</v>
      </c>
      <c r="J209" s="4">
        <f>Fact_Quality_Sampling!J209-I209</f>
        <v>0</v>
      </c>
      <c r="K209" s="4">
        <f>ROUND(Fact_Quality_Sampling!K209*0.5,0)</f>
        <v>1</v>
      </c>
      <c r="L209" s="19">
        <f>Fact_Quality_Sampling!K209-K209</f>
        <v>0</v>
      </c>
    </row>
    <row r="210" spans="1:12" x14ac:dyDescent="0.25">
      <c r="A210" s="18" t="str">
        <f>Fact_Quality_Sampling!A210</f>
        <v>QS-209</v>
      </c>
      <c r="B210" s="4">
        <f>Fact_Quality_Sampling!B210</f>
        <v>20260702</v>
      </c>
      <c r="C210" s="4">
        <f>Fact_Quality_Sampling!C210</f>
        <v>5</v>
      </c>
      <c r="D210" s="4" t="str">
        <f>Fact_Quality_Sampling!D210</f>
        <v>M6</v>
      </c>
      <c r="E210" s="4" t="str">
        <f>Fact_Quality_Sampling!E210</f>
        <v>B-PM</v>
      </c>
      <c r="F210" s="4" t="str">
        <f>Fact_Quality_Sampling!F210</f>
        <v>A</v>
      </c>
      <c r="G210" s="4">
        <f>ROUND(Fact_Quality_Sampling!I210*0.42,0)</f>
        <v>0</v>
      </c>
      <c r="H210" s="4">
        <f>Fact_Quality_Sampling!I210-G210</f>
        <v>0</v>
      </c>
      <c r="I210" s="4">
        <f>ROUND(Fact_Quality_Sampling!J210*0.48,0)</f>
        <v>0</v>
      </c>
      <c r="J210" s="4">
        <f>Fact_Quality_Sampling!J210-I210</f>
        <v>0</v>
      </c>
      <c r="K210" s="4">
        <f>ROUND(Fact_Quality_Sampling!K210*0.69,0)</f>
        <v>1</v>
      </c>
      <c r="L210" s="19">
        <f>Fact_Quality_Sampling!K210-K210</f>
        <v>0</v>
      </c>
    </row>
    <row r="211" spans="1:12" x14ac:dyDescent="0.25">
      <c r="A211" s="18" t="str">
        <f>Fact_Quality_Sampling!A211</f>
        <v>QS-210</v>
      </c>
      <c r="B211" s="4">
        <f>Fact_Quality_Sampling!B211</f>
        <v>20260702</v>
      </c>
      <c r="C211" s="4">
        <f>Fact_Quality_Sampling!C211</f>
        <v>5</v>
      </c>
      <c r="D211" s="4" t="str">
        <f>Fact_Quality_Sampling!D211</f>
        <v>M7</v>
      </c>
      <c r="E211" s="4" t="str">
        <f>Fact_Quality_Sampling!E211</f>
        <v>B-PM</v>
      </c>
      <c r="F211" s="4" t="str">
        <f>Fact_Quality_Sampling!F211</f>
        <v>C</v>
      </c>
      <c r="G211" s="4">
        <f>ROUND(Fact_Quality_Sampling!I211*0.44,0)</f>
        <v>0</v>
      </c>
      <c r="H211" s="4">
        <f>Fact_Quality_Sampling!I211-G211</f>
        <v>0</v>
      </c>
      <c r="I211" s="4">
        <f>ROUND(Fact_Quality_Sampling!J211*0.55,0)</f>
        <v>1</v>
      </c>
      <c r="J211" s="4">
        <f>Fact_Quality_Sampling!J211-I211</f>
        <v>0</v>
      </c>
      <c r="K211" s="4">
        <f>ROUND(Fact_Quality_Sampling!K211*0.59,0)</f>
        <v>1</v>
      </c>
      <c r="L211" s="19">
        <f>Fact_Quality_Sampling!K211-K211</f>
        <v>0</v>
      </c>
    </row>
    <row r="212" spans="1:12" x14ac:dyDescent="0.25">
      <c r="A212" s="18" t="str">
        <f>Fact_Quality_Sampling!A212</f>
        <v>QS-211</v>
      </c>
      <c r="B212" s="4">
        <f>Fact_Quality_Sampling!B212</f>
        <v>20260702</v>
      </c>
      <c r="C212" s="4">
        <f>Fact_Quality_Sampling!C212</f>
        <v>6</v>
      </c>
      <c r="D212" s="4" t="str">
        <f>Fact_Quality_Sampling!D212</f>
        <v>M1</v>
      </c>
      <c r="E212" s="4" t="str">
        <f>Fact_Quality_Sampling!E212</f>
        <v>A-AM</v>
      </c>
      <c r="F212" s="4" t="str">
        <f>Fact_Quality_Sampling!F212</f>
        <v>C</v>
      </c>
      <c r="G212" s="4">
        <f>ROUND(Fact_Quality_Sampling!I212*0.66,0)</f>
        <v>0</v>
      </c>
      <c r="H212" s="4">
        <f>Fact_Quality_Sampling!I212-G212</f>
        <v>0</v>
      </c>
      <c r="I212" s="4">
        <f>ROUND(Fact_Quality_Sampling!J212*0.46,0)</f>
        <v>0</v>
      </c>
      <c r="J212" s="4">
        <f>Fact_Quality_Sampling!J212-I212</f>
        <v>0</v>
      </c>
      <c r="K212" s="4">
        <f>ROUND(Fact_Quality_Sampling!K212*0.48,0)</f>
        <v>0</v>
      </c>
      <c r="L212" s="19">
        <f>Fact_Quality_Sampling!K212-K212</f>
        <v>1</v>
      </c>
    </row>
    <row r="213" spans="1:12" x14ac:dyDescent="0.25">
      <c r="A213" s="18" t="str">
        <f>Fact_Quality_Sampling!A213</f>
        <v>QS-212</v>
      </c>
      <c r="B213" s="4">
        <f>Fact_Quality_Sampling!B213</f>
        <v>20260702</v>
      </c>
      <c r="C213" s="4">
        <f>Fact_Quality_Sampling!C213</f>
        <v>6</v>
      </c>
      <c r="D213" s="4" t="str">
        <f>Fact_Quality_Sampling!D213</f>
        <v>M2</v>
      </c>
      <c r="E213" s="4" t="str">
        <f>Fact_Quality_Sampling!E213</f>
        <v>A-AM</v>
      </c>
      <c r="F213" s="4" t="str">
        <f>Fact_Quality_Sampling!F213</f>
        <v>A</v>
      </c>
      <c r="G213" s="4">
        <f>ROUND(Fact_Quality_Sampling!I213*0.47,0)</f>
        <v>0</v>
      </c>
      <c r="H213" s="4">
        <f>Fact_Quality_Sampling!I213-G213</f>
        <v>0</v>
      </c>
      <c r="I213" s="4">
        <f>ROUND(Fact_Quality_Sampling!J213*0.52,0)</f>
        <v>0</v>
      </c>
      <c r="J213" s="4">
        <f>Fact_Quality_Sampling!J213-I213</f>
        <v>0</v>
      </c>
      <c r="K213" s="4">
        <f>ROUND(Fact_Quality_Sampling!K213*0.53,0)</f>
        <v>1</v>
      </c>
      <c r="L213" s="19">
        <f>Fact_Quality_Sampling!K213-K213</f>
        <v>0</v>
      </c>
    </row>
    <row r="214" spans="1:12" x14ac:dyDescent="0.25">
      <c r="A214" s="18" t="str">
        <f>Fact_Quality_Sampling!A214</f>
        <v>QS-213</v>
      </c>
      <c r="B214" s="4">
        <f>Fact_Quality_Sampling!B214</f>
        <v>20260702</v>
      </c>
      <c r="C214" s="4">
        <f>Fact_Quality_Sampling!C214</f>
        <v>6</v>
      </c>
      <c r="D214" s="4" t="str">
        <f>Fact_Quality_Sampling!D214</f>
        <v>M3</v>
      </c>
      <c r="E214" s="4" t="str">
        <f>Fact_Quality_Sampling!E214</f>
        <v>A-AM</v>
      </c>
      <c r="F214" s="4" t="str">
        <f>Fact_Quality_Sampling!F214</f>
        <v>A</v>
      </c>
      <c r="G214" s="4">
        <f>ROUND(Fact_Quality_Sampling!I214*0.69,0)</f>
        <v>0</v>
      </c>
      <c r="H214" s="4">
        <f>Fact_Quality_Sampling!I214-G214</f>
        <v>0</v>
      </c>
      <c r="I214" s="4">
        <f>ROUND(Fact_Quality_Sampling!J214*0.65,0)</f>
        <v>0</v>
      </c>
      <c r="J214" s="4">
        <f>Fact_Quality_Sampling!J214-I214</f>
        <v>0</v>
      </c>
      <c r="K214" s="4">
        <f>ROUND(Fact_Quality_Sampling!K214*0.66,0)</f>
        <v>1</v>
      </c>
      <c r="L214" s="19">
        <f>Fact_Quality_Sampling!K214-K214</f>
        <v>0</v>
      </c>
    </row>
    <row r="215" spans="1:12" x14ac:dyDescent="0.25">
      <c r="A215" s="18" t="str">
        <f>Fact_Quality_Sampling!A215</f>
        <v>QS-214</v>
      </c>
      <c r="B215" s="4">
        <f>Fact_Quality_Sampling!B215</f>
        <v>20260702</v>
      </c>
      <c r="C215" s="4">
        <f>Fact_Quality_Sampling!C215</f>
        <v>6</v>
      </c>
      <c r="D215" s="4" t="str">
        <f>Fact_Quality_Sampling!D215</f>
        <v>M4</v>
      </c>
      <c r="E215" s="4" t="str">
        <f>Fact_Quality_Sampling!E215</f>
        <v>A-AM</v>
      </c>
      <c r="F215" s="4" t="str">
        <f>Fact_Quality_Sampling!F215</f>
        <v>A</v>
      </c>
      <c r="G215" s="4">
        <f>ROUND(Fact_Quality_Sampling!I215*0.41,0)</f>
        <v>0</v>
      </c>
      <c r="H215" s="4">
        <f>Fact_Quality_Sampling!I215-G215</f>
        <v>0</v>
      </c>
      <c r="I215" s="4">
        <f>ROUND(Fact_Quality_Sampling!J215*0.41,0)</f>
        <v>0</v>
      </c>
      <c r="J215" s="4">
        <f>Fact_Quality_Sampling!J215-I215</f>
        <v>0</v>
      </c>
      <c r="K215" s="4">
        <f>ROUND(Fact_Quality_Sampling!K215*0.61,0)</f>
        <v>1</v>
      </c>
      <c r="L215" s="19">
        <f>Fact_Quality_Sampling!K215-K215</f>
        <v>0</v>
      </c>
    </row>
    <row r="216" spans="1:12" x14ac:dyDescent="0.25">
      <c r="A216" s="18" t="str">
        <f>Fact_Quality_Sampling!A216</f>
        <v>QS-215</v>
      </c>
      <c r="B216" s="4">
        <f>Fact_Quality_Sampling!B216</f>
        <v>20260702</v>
      </c>
      <c r="C216" s="4">
        <f>Fact_Quality_Sampling!C216</f>
        <v>6</v>
      </c>
      <c r="D216" s="4" t="str">
        <f>Fact_Quality_Sampling!D216</f>
        <v>M5</v>
      </c>
      <c r="E216" s="4" t="str">
        <f>Fact_Quality_Sampling!E216</f>
        <v>A-AM</v>
      </c>
      <c r="F216" s="4" t="str">
        <f>Fact_Quality_Sampling!F216</f>
        <v>C</v>
      </c>
      <c r="G216" s="4">
        <f>ROUND(Fact_Quality_Sampling!I216*0.67,0)</f>
        <v>0</v>
      </c>
      <c r="H216" s="4">
        <f>Fact_Quality_Sampling!I216-G216</f>
        <v>0</v>
      </c>
      <c r="I216" s="4">
        <f>ROUND(Fact_Quality_Sampling!J216*0.54,0)</f>
        <v>0</v>
      </c>
      <c r="J216" s="4">
        <f>Fact_Quality_Sampling!J216-I216</f>
        <v>0</v>
      </c>
      <c r="K216" s="4">
        <f>ROUND(Fact_Quality_Sampling!K216*0.58,0)</f>
        <v>1</v>
      </c>
      <c r="L216" s="19">
        <f>Fact_Quality_Sampling!K216-K216</f>
        <v>0</v>
      </c>
    </row>
    <row r="217" spans="1:12" x14ac:dyDescent="0.25">
      <c r="A217" s="18" t="str">
        <f>Fact_Quality_Sampling!A217</f>
        <v>QS-216</v>
      </c>
      <c r="B217" s="4">
        <f>Fact_Quality_Sampling!B217</f>
        <v>20260702</v>
      </c>
      <c r="C217" s="4">
        <f>Fact_Quality_Sampling!C217</f>
        <v>6</v>
      </c>
      <c r="D217" s="4" t="str">
        <f>Fact_Quality_Sampling!D217</f>
        <v>M6</v>
      </c>
      <c r="E217" s="4" t="str">
        <f>Fact_Quality_Sampling!E217</f>
        <v>A-AM</v>
      </c>
      <c r="F217" s="4" t="str">
        <f>Fact_Quality_Sampling!F217</f>
        <v>C</v>
      </c>
      <c r="G217" s="4">
        <f>ROUND(Fact_Quality_Sampling!I217*0.4,0)</f>
        <v>0</v>
      </c>
      <c r="H217" s="4">
        <f>Fact_Quality_Sampling!I217-G217</f>
        <v>0</v>
      </c>
      <c r="I217" s="4">
        <f>ROUND(Fact_Quality_Sampling!J217*0.52,0)</f>
        <v>0</v>
      </c>
      <c r="J217" s="4">
        <f>Fact_Quality_Sampling!J217-I217</f>
        <v>0</v>
      </c>
      <c r="K217" s="4">
        <f>ROUND(Fact_Quality_Sampling!K217*0.68,0)</f>
        <v>1</v>
      </c>
      <c r="L217" s="19">
        <f>Fact_Quality_Sampling!K217-K217</f>
        <v>0</v>
      </c>
    </row>
    <row r="218" spans="1:12" x14ac:dyDescent="0.25">
      <c r="A218" s="18" t="str">
        <f>Fact_Quality_Sampling!A218</f>
        <v>QS-217</v>
      </c>
      <c r="B218" s="4">
        <f>Fact_Quality_Sampling!B218</f>
        <v>20260702</v>
      </c>
      <c r="C218" s="4">
        <f>Fact_Quality_Sampling!C218</f>
        <v>6</v>
      </c>
      <c r="D218" s="4" t="str">
        <f>Fact_Quality_Sampling!D218</f>
        <v>M7</v>
      </c>
      <c r="E218" s="4" t="str">
        <f>Fact_Quality_Sampling!E218</f>
        <v>A-AM</v>
      </c>
      <c r="F218" s="4" t="str">
        <f>Fact_Quality_Sampling!F218</f>
        <v>C</v>
      </c>
      <c r="G218" s="4">
        <f>ROUND(Fact_Quality_Sampling!I218*0.65,0)</f>
        <v>0</v>
      </c>
      <c r="H218" s="4">
        <f>Fact_Quality_Sampling!I218-G218</f>
        <v>0</v>
      </c>
      <c r="I218" s="4">
        <f>ROUND(Fact_Quality_Sampling!J218*0.66,0)</f>
        <v>1</v>
      </c>
      <c r="J218" s="4">
        <f>Fact_Quality_Sampling!J218-I218</f>
        <v>0</v>
      </c>
      <c r="K218" s="4">
        <f>ROUND(Fact_Quality_Sampling!K218*0.69,0)</f>
        <v>1</v>
      </c>
      <c r="L218" s="19">
        <f>Fact_Quality_Sampling!K218-K218</f>
        <v>1</v>
      </c>
    </row>
    <row r="219" spans="1:12" x14ac:dyDescent="0.25">
      <c r="A219" s="18" t="str">
        <f>Fact_Quality_Sampling!A219</f>
        <v>QS-218</v>
      </c>
      <c r="B219" s="4">
        <f>Fact_Quality_Sampling!B219</f>
        <v>20260702</v>
      </c>
      <c r="C219" s="4">
        <f>Fact_Quality_Sampling!C219</f>
        <v>7</v>
      </c>
      <c r="D219" s="4" t="str">
        <f>Fact_Quality_Sampling!D219</f>
        <v>M1</v>
      </c>
      <c r="E219" s="4" t="str">
        <f>Fact_Quality_Sampling!E219</f>
        <v>A-AM</v>
      </c>
      <c r="F219" s="4" t="str">
        <f>Fact_Quality_Sampling!F219</f>
        <v>C</v>
      </c>
      <c r="G219" s="4">
        <f>ROUND(Fact_Quality_Sampling!I219*0.47,0)</f>
        <v>0</v>
      </c>
      <c r="H219" s="4">
        <f>Fact_Quality_Sampling!I219-G219</f>
        <v>0</v>
      </c>
      <c r="I219" s="4">
        <f>ROUND(Fact_Quality_Sampling!J219*0.43,0)</f>
        <v>0</v>
      </c>
      <c r="J219" s="4">
        <f>Fact_Quality_Sampling!J219-I219</f>
        <v>1</v>
      </c>
      <c r="K219" s="4">
        <f>ROUND(Fact_Quality_Sampling!K219*0.45,0)</f>
        <v>0</v>
      </c>
      <c r="L219" s="19">
        <f>Fact_Quality_Sampling!K219-K219</f>
        <v>1</v>
      </c>
    </row>
    <row r="220" spans="1:12" x14ac:dyDescent="0.25">
      <c r="A220" s="18" t="str">
        <f>Fact_Quality_Sampling!A220</f>
        <v>QS-219</v>
      </c>
      <c r="B220" s="4">
        <f>Fact_Quality_Sampling!B220</f>
        <v>20260702</v>
      </c>
      <c r="C220" s="4">
        <f>Fact_Quality_Sampling!C220</f>
        <v>7</v>
      </c>
      <c r="D220" s="4" t="str">
        <f>Fact_Quality_Sampling!D220</f>
        <v>M2</v>
      </c>
      <c r="E220" s="4" t="str">
        <f>Fact_Quality_Sampling!E220</f>
        <v>A-AM</v>
      </c>
      <c r="F220" s="4" t="str">
        <f>Fact_Quality_Sampling!F220</f>
        <v>A</v>
      </c>
      <c r="G220" s="4">
        <f>ROUND(Fact_Quality_Sampling!I220*0.56,0)</f>
        <v>0</v>
      </c>
      <c r="H220" s="4">
        <f>Fact_Quality_Sampling!I220-G220</f>
        <v>0</v>
      </c>
      <c r="I220" s="4">
        <f>ROUND(Fact_Quality_Sampling!J220*0.6,0)</f>
        <v>1</v>
      </c>
      <c r="J220" s="4">
        <f>Fact_Quality_Sampling!J220-I220</f>
        <v>0</v>
      </c>
      <c r="K220" s="4">
        <f>ROUND(Fact_Quality_Sampling!K220*0.68,0)</f>
        <v>1</v>
      </c>
      <c r="L220" s="19">
        <f>Fact_Quality_Sampling!K220-K220</f>
        <v>0</v>
      </c>
    </row>
    <row r="221" spans="1:12" x14ac:dyDescent="0.25">
      <c r="A221" s="18" t="str">
        <f>Fact_Quality_Sampling!A221</f>
        <v>QS-220</v>
      </c>
      <c r="B221" s="4">
        <f>Fact_Quality_Sampling!B221</f>
        <v>20260702</v>
      </c>
      <c r="C221" s="4">
        <f>Fact_Quality_Sampling!C221</f>
        <v>7</v>
      </c>
      <c r="D221" s="4" t="str">
        <f>Fact_Quality_Sampling!D221</f>
        <v>M3</v>
      </c>
      <c r="E221" s="4" t="str">
        <f>Fact_Quality_Sampling!E221</f>
        <v>A-AM</v>
      </c>
      <c r="F221" s="4" t="str">
        <f>Fact_Quality_Sampling!F221</f>
        <v>A</v>
      </c>
      <c r="G221" s="4">
        <f>ROUND(Fact_Quality_Sampling!I221*0.62,0)</f>
        <v>0</v>
      </c>
      <c r="H221" s="4">
        <f>Fact_Quality_Sampling!I221-G221</f>
        <v>0</v>
      </c>
      <c r="I221" s="4">
        <f>ROUND(Fact_Quality_Sampling!J221*0.59,0)</f>
        <v>0</v>
      </c>
      <c r="J221" s="4">
        <f>Fact_Quality_Sampling!J221-I221</f>
        <v>0</v>
      </c>
      <c r="K221" s="4">
        <f>ROUND(Fact_Quality_Sampling!K221*0.63,0)</f>
        <v>1</v>
      </c>
      <c r="L221" s="19">
        <f>Fact_Quality_Sampling!K221-K221</f>
        <v>0</v>
      </c>
    </row>
    <row r="222" spans="1:12" x14ac:dyDescent="0.25">
      <c r="A222" s="18" t="str">
        <f>Fact_Quality_Sampling!A222</f>
        <v>QS-221</v>
      </c>
      <c r="B222" s="4">
        <f>Fact_Quality_Sampling!B222</f>
        <v>20260702</v>
      </c>
      <c r="C222" s="4">
        <f>Fact_Quality_Sampling!C222</f>
        <v>7</v>
      </c>
      <c r="D222" s="4" t="str">
        <f>Fact_Quality_Sampling!D222</f>
        <v>M4</v>
      </c>
      <c r="E222" s="4" t="str">
        <f>Fact_Quality_Sampling!E222</f>
        <v>A-AM</v>
      </c>
      <c r="F222" s="4" t="str">
        <f>Fact_Quality_Sampling!F222</f>
        <v>A</v>
      </c>
      <c r="G222" s="4">
        <f>ROUND(Fact_Quality_Sampling!I222*0.54,0)</f>
        <v>0</v>
      </c>
      <c r="H222" s="4">
        <f>Fact_Quality_Sampling!I222-G222</f>
        <v>0</v>
      </c>
      <c r="I222" s="4">
        <f>ROUND(Fact_Quality_Sampling!J222*0.57,0)</f>
        <v>1</v>
      </c>
      <c r="J222" s="4">
        <f>Fact_Quality_Sampling!J222-I222</f>
        <v>0</v>
      </c>
      <c r="K222" s="4">
        <f>ROUND(Fact_Quality_Sampling!K222*0.41,0)</f>
        <v>1</v>
      </c>
      <c r="L222" s="19">
        <f>Fact_Quality_Sampling!K222-K222</f>
        <v>1</v>
      </c>
    </row>
    <row r="223" spans="1:12" x14ac:dyDescent="0.25">
      <c r="A223" s="18" t="str">
        <f>Fact_Quality_Sampling!A223</f>
        <v>QS-222</v>
      </c>
      <c r="B223" s="4">
        <f>Fact_Quality_Sampling!B223</f>
        <v>20260702</v>
      </c>
      <c r="C223" s="4">
        <f>Fact_Quality_Sampling!C223</f>
        <v>7</v>
      </c>
      <c r="D223" s="4" t="str">
        <f>Fact_Quality_Sampling!D223</f>
        <v>M5</v>
      </c>
      <c r="E223" s="4" t="str">
        <f>Fact_Quality_Sampling!E223</f>
        <v>A-AM</v>
      </c>
      <c r="F223" s="4" t="str">
        <f>Fact_Quality_Sampling!F223</f>
        <v>C</v>
      </c>
      <c r="G223" s="4">
        <f>ROUND(Fact_Quality_Sampling!I223*0.63,0)</f>
        <v>0</v>
      </c>
      <c r="H223" s="4">
        <f>Fact_Quality_Sampling!I223-G223</f>
        <v>0</v>
      </c>
      <c r="I223" s="4">
        <f>ROUND(Fact_Quality_Sampling!J223*0.47,0)</f>
        <v>0</v>
      </c>
      <c r="J223" s="4">
        <f>Fact_Quality_Sampling!J223-I223</f>
        <v>0</v>
      </c>
      <c r="K223" s="4">
        <f>ROUND(Fact_Quality_Sampling!K223*0.68,0)</f>
        <v>1</v>
      </c>
      <c r="L223" s="19">
        <f>Fact_Quality_Sampling!K223-K223</f>
        <v>0</v>
      </c>
    </row>
    <row r="224" spans="1:12" x14ac:dyDescent="0.25">
      <c r="A224" s="18" t="str">
        <f>Fact_Quality_Sampling!A224</f>
        <v>QS-223</v>
      </c>
      <c r="B224" s="4">
        <f>Fact_Quality_Sampling!B224</f>
        <v>20260702</v>
      </c>
      <c r="C224" s="4">
        <f>Fact_Quality_Sampling!C224</f>
        <v>7</v>
      </c>
      <c r="D224" s="4" t="str">
        <f>Fact_Quality_Sampling!D224</f>
        <v>M6</v>
      </c>
      <c r="E224" s="4" t="str">
        <f>Fact_Quality_Sampling!E224</f>
        <v>A-AM</v>
      </c>
      <c r="F224" s="4" t="str">
        <f>Fact_Quality_Sampling!F224</f>
        <v>C</v>
      </c>
      <c r="G224" s="4">
        <f>ROUND(Fact_Quality_Sampling!I224*0.59,0)</f>
        <v>0</v>
      </c>
      <c r="H224" s="4">
        <f>Fact_Quality_Sampling!I224-G224</f>
        <v>0</v>
      </c>
      <c r="I224" s="4">
        <f>ROUND(Fact_Quality_Sampling!J224*0.49,0)</f>
        <v>0</v>
      </c>
      <c r="J224" s="4">
        <f>Fact_Quality_Sampling!J224-I224</f>
        <v>0</v>
      </c>
      <c r="K224" s="4">
        <f>ROUND(Fact_Quality_Sampling!K224*0.44,0)</f>
        <v>0</v>
      </c>
      <c r="L224" s="19">
        <f>Fact_Quality_Sampling!K224-K224</f>
        <v>1</v>
      </c>
    </row>
    <row r="225" spans="1:12" x14ac:dyDescent="0.25">
      <c r="A225" s="18" t="str">
        <f>Fact_Quality_Sampling!A225</f>
        <v>QS-224</v>
      </c>
      <c r="B225" s="4">
        <f>Fact_Quality_Sampling!B225</f>
        <v>20260702</v>
      </c>
      <c r="C225" s="4">
        <f>Fact_Quality_Sampling!C225</f>
        <v>7</v>
      </c>
      <c r="D225" s="4" t="str">
        <f>Fact_Quality_Sampling!D225</f>
        <v>M7</v>
      </c>
      <c r="E225" s="4" t="str">
        <f>Fact_Quality_Sampling!E225</f>
        <v>A-AM</v>
      </c>
      <c r="F225" s="4" t="str">
        <f>Fact_Quality_Sampling!F225</f>
        <v>C</v>
      </c>
      <c r="G225" s="4">
        <f>ROUND(Fact_Quality_Sampling!I225*0.48,0)</f>
        <v>0</v>
      </c>
      <c r="H225" s="4">
        <f>Fact_Quality_Sampling!I225-G225</f>
        <v>0</v>
      </c>
      <c r="I225" s="4">
        <f>ROUND(Fact_Quality_Sampling!J225*0.59,0)</f>
        <v>0</v>
      </c>
      <c r="J225" s="4">
        <f>Fact_Quality_Sampling!J225-I225</f>
        <v>0</v>
      </c>
      <c r="K225" s="4">
        <f>ROUND(Fact_Quality_Sampling!K225*0.61,0)</f>
        <v>1</v>
      </c>
      <c r="L225" s="19">
        <f>Fact_Quality_Sampling!K225-K225</f>
        <v>0</v>
      </c>
    </row>
    <row r="226" spans="1:12" x14ac:dyDescent="0.25">
      <c r="A226" s="18" t="str">
        <f>Fact_Quality_Sampling!A226</f>
        <v>QS-225</v>
      </c>
      <c r="B226" s="4">
        <f>Fact_Quality_Sampling!B226</f>
        <v>20260702</v>
      </c>
      <c r="C226" s="4">
        <f>Fact_Quality_Sampling!C226</f>
        <v>8</v>
      </c>
      <c r="D226" s="4" t="str">
        <f>Fact_Quality_Sampling!D226</f>
        <v>M1</v>
      </c>
      <c r="E226" s="4" t="str">
        <f>Fact_Quality_Sampling!E226</f>
        <v>A-AM</v>
      </c>
      <c r="F226" s="4" t="str">
        <f>Fact_Quality_Sampling!F226</f>
        <v>C</v>
      </c>
      <c r="G226" s="4">
        <f>ROUND(Fact_Quality_Sampling!I226*0.43,0)</f>
        <v>0</v>
      </c>
      <c r="H226" s="4">
        <f>Fact_Quality_Sampling!I226-G226</f>
        <v>0</v>
      </c>
      <c r="I226" s="4">
        <f>ROUND(Fact_Quality_Sampling!J226*0.42,0)</f>
        <v>0</v>
      </c>
      <c r="J226" s="4">
        <f>Fact_Quality_Sampling!J226-I226</f>
        <v>1</v>
      </c>
      <c r="K226" s="4">
        <f>ROUND(Fact_Quality_Sampling!K226*0.56,0)</f>
        <v>1</v>
      </c>
      <c r="L226" s="19">
        <f>Fact_Quality_Sampling!K226-K226</f>
        <v>0</v>
      </c>
    </row>
    <row r="227" spans="1:12" x14ac:dyDescent="0.25">
      <c r="A227" s="18" t="str">
        <f>Fact_Quality_Sampling!A227</f>
        <v>QS-226</v>
      </c>
      <c r="B227" s="4">
        <f>Fact_Quality_Sampling!B227</f>
        <v>20260702</v>
      </c>
      <c r="C227" s="4">
        <f>Fact_Quality_Sampling!C227</f>
        <v>8</v>
      </c>
      <c r="D227" s="4" t="str">
        <f>Fact_Quality_Sampling!D227</f>
        <v>M2</v>
      </c>
      <c r="E227" s="4" t="str">
        <f>Fact_Quality_Sampling!E227</f>
        <v>A-AM</v>
      </c>
      <c r="F227" s="4" t="str">
        <f>Fact_Quality_Sampling!F227</f>
        <v>A</v>
      </c>
      <c r="G227" s="4">
        <f>ROUND(Fact_Quality_Sampling!I227*0.57,0)</f>
        <v>0</v>
      </c>
      <c r="H227" s="4">
        <f>Fact_Quality_Sampling!I227-G227</f>
        <v>0</v>
      </c>
      <c r="I227" s="4">
        <f>ROUND(Fact_Quality_Sampling!J227*0.52,0)</f>
        <v>0</v>
      </c>
      <c r="J227" s="4">
        <f>Fact_Quality_Sampling!J227-I227</f>
        <v>0</v>
      </c>
      <c r="K227" s="4">
        <f>ROUND(Fact_Quality_Sampling!K227*0.47,0)</f>
        <v>0</v>
      </c>
      <c r="L227" s="19">
        <f>Fact_Quality_Sampling!K227-K227</f>
        <v>1</v>
      </c>
    </row>
    <row r="228" spans="1:12" x14ac:dyDescent="0.25">
      <c r="A228" s="18" t="str">
        <f>Fact_Quality_Sampling!A228</f>
        <v>QS-227</v>
      </c>
      <c r="B228" s="4">
        <f>Fact_Quality_Sampling!B228</f>
        <v>20260702</v>
      </c>
      <c r="C228" s="4">
        <f>Fact_Quality_Sampling!C228</f>
        <v>8</v>
      </c>
      <c r="D228" s="4" t="str">
        <f>Fact_Quality_Sampling!D228</f>
        <v>M3</v>
      </c>
      <c r="E228" s="4" t="str">
        <f>Fact_Quality_Sampling!E228</f>
        <v>A-AM</v>
      </c>
      <c r="F228" s="4" t="str">
        <f>Fact_Quality_Sampling!F228</f>
        <v>A</v>
      </c>
      <c r="G228" s="4">
        <f>ROUND(Fact_Quality_Sampling!I228*0.58,0)</f>
        <v>0</v>
      </c>
      <c r="H228" s="4">
        <f>Fact_Quality_Sampling!I228-G228</f>
        <v>0</v>
      </c>
      <c r="I228" s="4">
        <f>ROUND(Fact_Quality_Sampling!J228*0.4,0)</f>
        <v>0</v>
      </c>
      <c r="J228" s="4">
        <f>Fact_Quality_Sampling!J228-I228</f>
        <v>0</v>
      </c>
      <c r="K228" s="4">
        <f>ROUND(Fact_Quality_Sampling!K228*0.49,0)</f>
        <v>0</v>
      </c>
      <c r="L228" s="19">
        <f>Fact_Quality_Sampling!K228-K228</f>
        <v>1</v>
      </c>
    </row>
    <row r="229" spans="1:12" x14ac:dyDescent="0.25">
      <c r="A229" s="18" t="str">
        <f>Fact_Quality_Sampling!A229</f>
        <v>QS-228</v>
      </c>
      <c r="B229" s="4">
        <f>Fact_Quality_Sampling!B229</f>
        <v>20260702</v>
      </c>
      <c r="C229" s="4">
        <f>Fact_Quality_Sampling!C229</f>
        <v>8</v>
      </c>
      <c r="D229" s="4" t="str">
        <f>Fact_Quality_Sampling!D229</f>
        <v>M4</v>
      </c>
      <c r="E229" s="4" t="str">
        <f>Fact_Quality_Sampling!E229</f>
        <v>A-AM</v>
      </c>
      <c r="F229" s="4" t="str">
        <f>Fact_Quality_Sampling!F229</f>
        <v>A</v>
      </c>
      <c r="G229" s="4">
        <f>ROUND(Fact_Quality_Sampling!I229*0.54,0)</f>
        <v>0</v>
      </c>
      <c r="H229" s="4">
        <f>Fact_Quality_Sampling!I229-G229</f>
        <v>0</v>
      </c>
      <c r="I229" s="4">
        <f>ROUND(Fact_Quality_Sampling!J229*0.69,0)</f>
        <v>1</v>
      </c>
      <c r="J229" s="4">
        <f>Fact_Quality_Sampling!J229-I229</f>
        <v>0</v>
      </c>
      <c r="K229" s="4">
        <f>ROUND(Fact_Quality_Sampling!K229*0.59,0)</f>
        <v>1</v>
      </c>
      <c r="L229" s="19">
        <f>Fact_Quality_Sampling!K229-K229</f>
        <v>0</v>
      </c>
    </row>
    <row r="230" spans="1:12" x14ac:dyDescent="0.25">
      <c r="A230" s="18" t="str">
        <f>Fact_Quality_Sampling!A230</f>
        <v>QS-229</v>
      </c>
      <c r="B230" s="4">
        <f>Fact_Quality_Sampling!B230</f>
        <v>20260702</v>
      </c>
      <c r="C230" s="4">
        <f>Fact_Quality_Sampling!C230</f>
        <v>8</v>
      </c>
      <c r="D230" s="4" t="str">
        <f>Fact_Quality_Sampling!D230</f>
        <v>M5</v>
      </c>
      <c r="E230" s="4" t="str">
        <f>Fact_Quality_Sampling!E230</f>
        <v>A-AM</v>
      </c>
      <c r="F230" s="4" t="str">
        <f>Fact_Quality_Sampling!F230</f>
        <v>C</v>
      </c>
      <c r="G230" s="4">
        <f>ROUND(Fact_Quality_Sampling!I230*0.67,0)</f>
        <v>0</v>
      </c>
      <c r="H230" s="4">
        <f>Fact_Quality_Sampling!I230-G230</f>
        <v>0</v>
      </c>
      <c r="I230" s="4">
        <f>ROUND(Fact_Quality_Sampling!J230*0.54,0)</f>
        <v>0</v>
      </c>
      <c r="J230" s="4">
        <f>Fact_Quality_Sampling!J230-I230</f>
        <v>0</v>
      </c>
      <c r="K230" s="4">
        <f>ROUND(Fact_Quality_Sampling!K230*0.47,0)</f>
        <v>0</v>
      </c>
      <c r="L230" s="19">
        <f>Fact_Quality_Sampling!K230-K230</f>
        <v>1</v>
      </c>
    </row>
    <row r="231" spans="1:12" x14ac:dyDescent="0.25">
      <c r="A231" s="18" t="str">
        <f>Fact_Quality_Sampling!A231</f>
        <v>QS-230</v>
      </c>
      <c r="B231" s="4">
        <f>Fact_Quality_Sampling!B231</f>
        <v>20260702</v>
      </c>
      <c r="C231" s="4">
        <f>Fact_Quality_Sampling!C231</f>
        <v>8</v>
      </c>
      <c r="D231" s="4" t="str">
        <f>Fact_Quality_Sampling!D231</f>
        <v>M6</v>
      </c>
      <c r="E231" s="4" t="str">
        <f>Fact_Quality_Sampling!E231</f>
        <v>A-AM</v>
      </c>
      <c r="F231" s="4" t="str">
        <f>Fact_Quality_Sampling!F231</f>
        <v>C</v>
      </c>
      <c r="G231" s="4">
        <f>ROUND(Fact_Quality_Sampling!I231*0.47,0)</f>
        <v>0</v>
      </c>
      <c r="H231" s="4">
        <f>Fact_Quality_Sampling!I231-G231</f>
        <v>0</v>
      </c>
      <c r="I231" s="4">
        <f>ROUND(Fact_Quality_Sampling!J231*0.69,0)</f>
        <v>0</v>
      </c>
      <c r="J231" s="4">
        <f>Fact_Quality_Sampling!J231-I231</f>
        <v>0</v>
      </c>
      <c r="K231" s="4">
        <f>ROUND(Fact_Quality_Sampling!K231*0.61,0)</f>
        <v>1</v>
      </c>
      <c r="L231" s="19">
        <f>Fact_Quality_Sampling!K231-K231</f>
        <v>0</v>
      </c>
    </row>
    <row r="232" spans="1:12" x14ac:dyDescent="0.25">
      <c r="A232" s="18" t="str">
        <f>Fact_Quality_Sampling!A232</f>
        <v>QS-231</v>
      </c>
      <c r="B232" s="4">
        <f>Fact_Quality_Sampling!B232</f>
        <v>20260702</v>
      </c>
      <c r="C232" s="4">
        <f>Fact_Quality_Sampling!C232</f>
        <v>8</v>
      </c>
      <c r="D232" s="4" t="str">
        <f>Fact_Quality_Sampling!D232</f>
        <v>M7</v>
      </c>
      <c r="E232" s="4" t="str">
        <f>Fact_Quality_Sampling!E232</f>
        <v>A-AM</v>
      </c>
      <c r="F232" s="4" t="str">
        <f>Fact_Quality_Sampling!F232</f>
        <v>C</v>
      </c>
      <c r="G232" s="4">
        <f>ROUND(Fact_Quality_Sampling!I232*0.49,0)</f>
        <v>0</v>
      </c>
      <c r="H232" s="4">
        <f>Fact_Quality_Sampling!I232-G232</f>
        <v>0</v>
      </c>
      <c r="I232" s="4">
        <f>ROUND(Fact_Quality_Sampling!J232*0.41,0)</f>
        <v>0</v>
      </c>
      <c r="J232" s="4">
        <f>Fact_Quality_Sampling!J232-I232</f>
        <v>1</v>
      </c>
      <c r="K232" s="4">
        <f>ROUND(Fact_Quality_Sampling!K232*0.55,0)</f>
        <v>1</v>
      </c>
      <c r="L232" s="19">
        <f>Fact_Quality_Sampling!K232-K232</f>
        <v>0</v>
      </c>
    </row>
    <row r="233" spans="1:12" x14ac:dyDescent="0.25">
      <c r="A233" s="18" t="str">
        <f>Fact_Quality_Sampling!A233</f>
        <v>QS-232</v>
      </c>
      <c r="B233" s="4">
        <f>Fact_Quality_Sampling!B233</f>
        <v>20260702</v>
      </c>
      <c r="C233" s="4">
        <f>Fact_Quality_Sampling!C233</f>
        <v>9</v>
      </c>
      <c r="D233" s="4" t="str">
        <f>Fact_Quality_Sampling!D233</f>
        <v>M1</v>
      </c>
      <c r="E233" s="4" t="str">
        <f>Fact_Quality_Sampling!E233</f>
        <v>A-AM</v>
      </c>
      <c r="F233" s="4" t="str">
        <f>Fact_Quality_Sampling!F233</f>
        <v>C</v>
      </c>
      <c r="G233" s="4">
        <f>ROUND(Fact_Quality_Sampling!I233*0.6,0)</f>
        <v>0</v>
      </c>
      <c r="H233" s="4">
        <f>Fact_Quality_Sampling!I233-G233</f>
        <v>0</v>
      </c>
      <c r="I233" s="4">
        <f>ROUND(Fact_Quality_Sampling!J233*0.53,0)</f>
        <v>0</v>
      </c>
      <c r="J233" s="4">
        <f>Fact_Quality_Sampling!J233-I233</f>
        <v>0</v>
      </c>
      <c r="K233" s="4">
        <f>ROUND(Fact_Quality_Sampling!K233*0.48,0)</f>
        <v>0</v>
      </c>
      <c r="L233" s="19">
        <f>Fact_Quality_Sampling!K233-K233</f>
        <v>1</v>
      </c>
    </row>
    <row r="234" spans="1:12" x14ac:dyDescent="0.25">
      <c r="A234" s="18" t="str">
        <f>Fact_Quality_Sampling!A234</f>
        <v>QS-233</v>
      </c>
      <c r="B234" s="4">
        <f>Fact_Quality_Sampling!B234</f>
        <v>20260702</v>
      </c>
      <c r="C234" s="4">
        <f>Fact_Quality_Sampling!C234</f>
        <v>9</v>
      </c>
      <c r="D234" s="4" t="str">
        <f>Fact_Quality_Sampling!D234</f>
        <v>M2</v>
      </c>
      <c r="E234" s="4" t="str">
        <f>Fact_Quality_Sampling!E234</f>
        <v>A-AM</v>
      </c>
      <c r="F234" s="4" t="str">
        <f>Fact_Quality_Sampling!F234</f>
        <v>A</v>
      </c>
      <c r="G234" s="4">
        <f>ROUND(Fact_Quality_Sampling!I234*0.6,0)</f>
        <v>0</v>
      </c>
      <c r="H234" s="4">
        <f>Fact_Quality_Sampling!I234-G234</f>
        <v>0</v>
      </c>
      <c r="I234" s="4">
        <f>ROUND(Fact_Quality_Sampling!J234*0.68,0)</f>
        <v>1</v>
      </c>
      <c r="J234" s="4">
        <f>Fact_Quality_Sampling!J234-I234</f>
        <v>0</v>
      </c>
      <c r="K234" s="4">
        <f>ROUND(Fact_Quality_Sampling!K234*0.47,0)</f>
        <v>1</v>
      </c>
      <c r="L234" s="19">
        <f>Fact_Quality_Sampling!K234-K234</f>
        <v>1</v>
      </c>
    </row>
    <row r="235" spans="1:12" x14ac:dyDescent="0.25">
      <c r="A235" s="18" t="str">
        <f>Fact_Quality_Sampling!A235</f>
        <v>QS-234</v>
      </c>
      <c r="B235" s="4">
        <f>Fact_Quality_Sampling!B235</f>
        <v>20260702</v>
      </c>
      <c r="C235" s="4">
        <f>Fact_Quality_Sampling!C235</f>
        <v>9</v>
      </c>
      <c r="D235" s="4" t="str">
        <f>Fact_Quality_Sampling!D235</f>
        <v>M3</v>
      </c>
      <c r="E235" s="4" t="str">
        <f>Fact_Quality_Sampling!E235</f>
        <v>A-AM</v>
      </c>
      <c r="F235" s="4" t="str">
        <f>Fact_Quality_Sampling!F235</f>
        <v>A</v>
      </c>
      <c r="G235" s="4">
        <f>ROUND(Fact_Quality_Sampling!I235*0.41,0)</f>
        <v>0</v>
      </c>
      <c r="H235" s="4">
        <f>Fact_Quality_Sampling!I235-G235</f>
        <v>0</v>
      </c>
      <c r="I235" s="4">
        <f>ROUND(Fact_Quality_Sampling!J235*0.5,0)</f>
        <v>0</v>
      </c>
      <c r="J235" s="4">
        <f>Fact_Quality_Sampling!J235-I235</f>
        <v>0</v>
      </c>
      <c r="K235" s="4">
        <f>ROUND(Fact_Quality_Sampling!K235*0.53,0)</f>
        <v>1</v>
      </c>
      <c r="L235" s="19">
        <f>Fact_Quality_Sampling!K235-K235</f>
        <v>0</v>
      </c>
    </row>
    <row r="236" spans="1:12" x14ac:dyDescent="0.25">
      <c r="A236" s="18" t="str">
        <f>Fact_Quality_Sampling!A236</f>
        <v>QS-235</v>
      </c>
      <c r="B236" s="4">
        <f>Fact_Quality_Sampling!B236</f>
        <v>20260702</v>
      </c>
      <c r="C236" s="4">
        <f>Fact_Quality_Sampling!C236</f>
        <v>9</v>
      </c>
      <c r="D236" s="4" t="str">
        <f>Fact_Quality_Sampling!D236</f>
        <v>M4</v>
      </c>
      <c r="E236" s="4" t="str">
        <f>Fact_Quality_Sampling!E236</f>
        <v>A-AM</v>
      </c>
      <c r="F236" s="4" t="str">
        <f>Fact_Quality_Sampling!F236</f>
        <v>A</v>
      </c>
      <c r="G236" s="4">
        <f>ROUND(Fact_Quality_Sampling!I236*0.6,0)</f>
        <v>0</v>
      </c>
      <c r="H236" s="4">
        <f>Fact_Quality_Sampling!I236-G236</f>
        <v>0</v>
      </c>
      <c r="I236" s="4">
        <f>ROUND(Fact_Quality_Sampling!J236*0.46,0)</f>
        <v>0</v>
      </c>
      <c r="J236" s="4">
        <f>Fact_Quality_Sampling!J236-I236</f>
        <v>0</v>
      </c>
      <c r="K236" s="4">
        <f>ROUND(Fact_Quality_Sampling!K236*0.64,0)</f>
        <v>1</v>
      </c>
      <c r="L236" s="19">
        <f>Fact_Quality_Sampling!K236-K236</f>
        <v>0</v>
      </c>
    </row>
    <row r="237" spans="1:12" x14ac:dyDescent="0.25">
      <c r="A237" s="18" t="str">
        <f>Fact_Quality_Sampling!A237</f>
        <v>QS-236</v>
      </c>
      <c r="B237" s="4">
        <f>Fact_Quality_Sampling!B237</f>
        <v>20260702</v>
      </c>
      <c r="C237" s="4">
        <f>Fact_Quality_Sampling!C237</f>
        <v>9</v>
      </c>
      <c r="D237" s="4" t="str">
        <f>Fact_Quality_Sampling!D237</f>
        <v>M5</v>
      </c>
      <c r="E237" s="4" t="str">
        <f>Fact_Quality_Sampling!E237</f>
        <v>A-AM</v>
      </c>
      <c r="F237" s="4" t="str">
        <f>Fact_Quality_Sampling!F237</f>
        <v>C</v>
      </c>
      <c r="G237" s="4">
        <f>ROUND(Fact_Quality_Sampling!I237*0.62,0)</f>
        <v>0</v>
      </c>
      <c r="H237" s="4">
        <f>Fact_Quality_Sampling!I237-G237</f>
        <v>0</v>
      </c>
      <c r="I237" s="4">
        <f>ROUND(Fact_Quality_Sampling!J237*0.55,0)</f>
        <v>0</v>
      </c>
      <c r="J237" s="4">
        <f>Fact_Quality_Sampling!J237-I237</f>
        <v>0</v>
      </c>
      <c r="K237" s="4">
        <f>ROUND(Fact_Quality_Sampling!K237*0.46,0)</f>
        <v>0</v>
      </c>
      <c r="L237" s="19">
        <f>Fact_Quality_Sampling!K237-K237</f>
        <v>1</v>
      </c>
    </row>
    <row r="238" spans="1:12" x14ac:dyDescent="0.25">
      <c r="A238" s="18" t="str">
        <f>Fact_Quality_Sampling!A238</f>
        <v>QS-237</v>
      </c>
      <c r="B238" s="4">
        <f>Fact_Quality_Sampling!B238</f>
        <v>20260702</v>
      </c>
      <c r="C238" s="4">
        <f>Fact_Quality_Sampling!C238</f>
        <v>9</v>
      </c>
      <c r="D238" s="4" t="str">
        <f>Fact_Quality_Sampling!D238</f>
        <v>M6</v>
      </c>
      <c r="E238" s="4" t="str">
        <f>Fact_Quality_Sampling!E238</f>
        <v>A-AM</v>
      </c>
      <c r="F238" s="4" t="str">
        <f>Fact_Quality_Sampling!F238</f>
        <v>C</v>
      </c>
      <c r="G238" s="4">
        <f>ROUND(Fact_Quality_Sampling!I238*0.69,0)</f>
        <v>0</v>
      </c>
      <c r="H238" s="4">
        <f>Fact_Quality_Sampling!I238-G238</f>
        <v>0</v>
      </c>
      <c r="I238" s="4">
        <f>ROUND(Fact_Quality_Sampling!J238*0.49,0)</f>
        <v>0</v>
      </c>
      <c r="J238" s="4">
        <f>Fact_Quality_Sampling!J238-I238</f>
        <v>0</v>
      </c>
      <c r="K238" s="4">
        <f>ROUND(Fact_Quality_Sampling!K238*0.65,0)</f>
        <v>1</v>
      </c>
      <c r="L238" s="19">
        <f>Fact_Quality_Sampling!K238-K238</f>
        <v>0</v>
      </c>
    </row>
    <row r="239" spans="1:12" x14ac:dyDescent="0.25">
      <c r="A239" s="18" t="str">
        <f>Fact_Quality_Sampling!A239</f>
        <v>QS-238</v>
      </c>
      <c r="B239" s="4">
        <f>Fact_Quality_Sampling!B239</f>
        <v>20260702</v>
      </c>
      <c r="C239" s="4">
        <f>Fact_Quality_Sampling!C239</f>
        <v>9</v>
      </c>
      <c r="D239" s="4" t="str">
        <f>Fact_Quality_Sampling!D239</f>
        <v>M7</v>
      </c>
      <c r="E239" s="4" t="str">
        <f>Fact_Quality_Sampling!E239</f>
        <v>A-AM</v>
      </c>
      <c r="F239" s="4" t="str">
        <f>Fact_Quality_Sampling!F239</f>
        <v>C</v>
      </c>
      <c r="G239" s="4">
        <f>ROUND(Fact_Quality_Sampling!I239*0.47,0)</f>
        <v>0</v>
      </c>
      <c r="H239" s="4">
        <f>Fact_Quality_Sampling!I239-G239</f>
        <v>0</v>
      </c>
      <c r="I239" s="4">
        <f>ROUND(Fact_Quality_Sampling!J239*0.47,0)</f>
        <v>0</v>
      </c>
      <c r="J239" s="4">
        <f>Fact_Quality_Sampling!J239-I239</f>
        <v>1</v>
      </c>
      <c r="K239" s="4">
        <f>ROUND(Fact_Quality_Sampling!K239*0.63,0)</f>
        <v>1</v>
      </c>
      <c r="L239" s="19">
        <f>Fact_Quality_Sampling!K239-K239</f>
        <v>1</v>
      </c>
    </row>
    <row r="240" spans="1:12" x14ac:dyDescent="0.25">
      <c r="A240" s="18" t="str">
        <f>Fact_Quality_Sampling!A240</f>
        <v>QS-239</v>
      </c>
      <c r="B240" s="4">
        <f>Fact_Quality_Sampling!B240</f>
        <v>20260702</v>
      </c>
      <c r="C240" s="4">
        <f>Fact_Quality_Sampling!C240</f>
        <v>10</v>
      </c>
      <c r="D240" s="4" t="str">
        <f>Fact_Quality_Sampling!D240</f>
        <v>M1</v>
      </c>
      <c r="E240" s="4" t="str">
        <f>Fact_Quality_Sampling!E240</f>
        <v>A-AM</v>
      </c>
      <c r="F240" s="4" t="str">
        <f>Fact_Quality_Sampling!F240</f>
        <v>C</v>
      </c>
      <c r="G240" s="4">
        <f>ROUND(Fact_Quality_Sampling!I240*0.49,0)</f>
        <v>0</v>
      </c>
      <c r="H240" s="4">
        <f>Fact_Quality_Sampling!I240-G240</f>
        <v>0</v>
      </c>
      <c r="I240" s="4">
        <f>ROUND(Fact_Quality_Sampling!J240*0.69,0)</f>
        <v>1</v>
      </c>
      <c r="J240" s="4">
        <f>Fact_Quality_Sampling!J240-I240</f>
        <v>0</v>
      </c>
      <c r="K240" s="4">
        <f>ROUND(Fact_Quality_Sampling!K240*0.55,0)</f>
        <v>1</v>
      </c>
      <c r="L240" s="19">
        <f>Fact_Quality_Sampling!K240-K240</f>
        <v>0</v>
      </c>
    </row>
    <row r="241" spans="1:12" x14ac:dyDescent="0.25">
      <c r="A241" s="18" t="str">
        <f>Fact_Quality_Sampling!A241</f>
        <v>QS-240</v>
      </c>
      <c r="B241" s="4">
        <f>Fact_Quality_Sampling!B241</f>
        <v>20260702</v>
      </c>
      <c r="C241" s="4">
        <f>Fact_Quality_Sampling!C241</f>
        <v>10</v>
      </c>
      <c r="D241" s="4" t="str">
        <f>Fact_Quality_Sampling!D241</f>
        <v>M2</v>
      </c>
      <c r="E241" s="4" t="str">
        <f>Fact_Quality_Sampling!E241</f>
        <v>A-AM</v>
      </c>
      <c r="F241" s="4" t="str">
        <f>Fact_Quality_Sampling!F241</f>
        <v>A</v>
      </c>
      <c r="G241" s="4">
        <f>ROUND(Fact_Quality_Sampling!I241*0.46,0)</f>
        <v>0</v>
      </c>
      <c r="H241" s="4">
        <f>Fact_Quality_Sampling!I241-G241</f>
        <v>0</v>
      </c>
      <c r="I241" s="4">
        <f>ROUND(Fact_Quality_Sampling!J241*0.47,0)</f>
        <v>0</v>
      </c>
      <c r="J241" s="4">
        <f>Fact_Quality_Sampling!J241-I241</f>
        <v>1</v>
      </c>
      <c r="K241" s="4">
        <f>ROUND(Fact_Quality_Sampling!K241*0.53,0)</f>
        <v>1</v>
      </c>
      <c r="L241" s="19">
        <f>Fact_Quality_Sampling!K241-K241</f>
        <v>0</v>
      </c>
    </row>
    <row r="242" spans="1:12" x14ac:dyDescent="0.25">
      <c r="A242" s="18" t="str">
        <f>Fact_Quality_Sampling!A242</f>
        <v>QS-241</v>
      </c>
      <c r="B242" s="4">
        <f>Fact_Quality_Sampling!B242</f>
        <v>20260702</v>
      </c>
      <c r="C242" s="4">
        <f>Fact_Quality_Sampling!C242</f>
        <v>10</v>
      </c>
      <c r="D242" s="4" t="str">
        <f>Fact_Quality_Sampling!D242</f>
        <v>M3</v>
      </c>
      <c r="E242" s="4" t="str">
        <f>Fact_Quality_Sampling!E242</f>
        <v>A-AM</v>
      </c>
      <c r="F242" s="4" t="str">
        <f>Fact_Quality_Sampling!F242</f>
        <v>A</v>
      </c>
      <c r="G242" s="4">
        <f>ROUND(Fact_Quality_Sampling!I242*0.6,0)</f>
        <v>0</v>
      </c>
      <c r="H242" s="4">
        <f>Fact_Quality_Sampling!I242-G242</f>
        <v>0</v>
      </c>
      <c r="I242" s="4">
        <f>ROUND(Fact_Quality_Sampling!J242*0.68,0)</f>
        <v>0</v>
      </c>
      <c r="J242" s="4">
        <f>Fact_Quality_Sampling!J242-I242</f>
        <v>0</v>
      </c>
      <c r="K242" s="4">
        <f>ROUND(Fact_Quality_Sampling!K242*0.44,0)</f>
        <v>0</v>
      </c>
      <c r="L242" s="19">
        <f>Fact_Quality_Sampling!K242-K242</f>
        <v>1</v>
      </c>
    </row>
    <row r="243" spans="1:12" x14ac:dyDescent="0.25">
      <c r="A243" s="18" t="str">
        <f>Fact_Quality_Sampling!A243</f>
        <v>QS-242</v>
      </c>
      <c r="B243" s="4">
        <f>Fact_Quality_Sampling!B243</f>
        <v>20260702</v>
      </c>
      <c r="C243" s="4">
        <f>Fact_Quality_Sampling!C243</f>
        <v>10</v>
      </c>
      <c r="D243" s="4" t="str">
        <f>Fact_Quality_Sampling!D243</f>
        <v>M4</v>
      </c>
      <c r="E243" s="4" t="str">
        <f>Fact_Quality_Sampling!E243</f>
        <v>A-AM</v>
      </c>
      <c r="F243" s="4" t="str">
        <f>Fact_Quality_Sampling!F243</f>
        <v>A</v>
      </c>
      <c r="G243" s="4">
        <f>ROUND(Fact_Quality_Sampling!I243*0.52,0)</f>
        <v>0</v>
      </c>
      <c r="H243" s="4">
        <f>Fact_Quality_Sampling!I243-G243</f>
        <v>0</v>
      </c>
      <c r="I243" s="4">
        <f>ROUND(Fact_Quality_Sampling!J243*0.46,0)</f>
        <v>0</v>
      </c>
      <c r="J243" s="4">
        <f>Fact_Quality_Sampling!J243-I243</f>
        <v>1</v>
      </c>
      <c r="K243" s="4">
        <f>ROUND(Fact_Quality_Sampling!K243*0.69,0)</f>
        <v>1</v>
      </c>
      <c r="L243" s="19">
        <f>Fact_Quality_Sampling!K243-K243</f>
        <v>0</v>
      </c>
    </row>
    <row r="244" spans="1:12" x14ac:dyDescent="0.25">
      <c r="A244" s="18" t="str">
        <f>Fact_Quality_Sampling!A244</f>
        <v>QS-243</v>
      </c>
      <c r="B244" s="4">
        <f>Fact_Quality_Sampling!B244</f>
        <v>20260702</v>
      </c>
      <c r="C244" s="4">
        <f>Fact_Quality_Sampling!C244</f>
        <v>10</v>
      </c>
      <c r="D244" s="4" t="str">
        <f>Fact_Quality_Sampling!D244</f>
        <v>M5</v>
      </c>
      <c r="E244" s="4" t="str">
        <f>Fact_Quality_Sampling!E244</f>
        <v>A-AM</v>
      </c>
      <c r="F244" s="4" t="str">
        <f>Fact_Quality_Sampling!F244</f>
        <v>C</v>
      </c>
      <c r="G244" s="4">
        <f>ROUND(Fact_Quality_Sampling!I244*0.44,0)</f>
        <v>0</v>
      </c>
      <c r="H244" s="4">
        <f>Fact_Quality_Sampling!I244-G244</f>
        <v>0</v>
      </c>
      <c r="I244" s="4">
        <f>ROUND(Fact_Quality_Sampling!J244*0.42,0)</f>
        <v>0</v>
      </c>
      <c r="J244" s="4">
        <f>Fact_Quality_Sampling!J244-I244</f>
        <v>0</v>
      </c>
      <c r="K244" s="4">
        <f>ROUND(Fact_Quality_Sampling!K244*0.42,0)</f>
        <v>0</v>
      </c>
      <c r="L244" s="19">
        <f>Fact_Quality_Sampling!K244-K244</f>
        <v>1</v>
      </c>
    </row>
    <row r="245" spans="1:12" x14ac:dyDescent="0.25">
      <c r="A245" s="18" t="str">
        <f>Fact_Quality_Sampling!A245</f>
        <v>QS-244</v>
      </c>
      <c r="B245" s="4">
        <f>Fact_Quality_Sampling!B245</f>
        <v>20260702</v>
      </c>
      <c r="C245" s="4">
        <f>Fact_Quality_Sampling!C245</f>
        <v>10</v>
      </c>
      <c r="D245" s="4" t="str">
        <f>Fact_Quality_Sampling!D245</f>
        <v>M6</v>
      </c>
      <c r="E245" s="4" t="str">
        <f>Fact_Quality_Sampling!E245</f>
        <v>A-AM</v>
      </c>
      <c r="F245" s="4" t="str">
        <f>Fact_Quality_Sampling!F245</f>
        <v>C</v>
      </c>
      <c r="G245" s="4">
        <f>ROUND(Fact_Quality_Sampling!I245*0.52,0)</f>
        <v>0</v>
      </c>
      <c r="H245" s="4">
        <f>Fact_Quality_Sampling!I245-G245</f>
        <v>0</v>
      </c>
      <c r="I245" s="4">
        <f>ROUND(Fact_Quality_Sampling!J245*0.67,0)</f>
        <v>0</v>
      </c>
      <c r="J245" s="4">
        <f>Fact_Quality_Sampling!J245-I245</f>
        <v>0</v>
      </c>
      <c r="K245" s="4">
        <f>ROUND(Fact_Quality_Sampling!K245*0.67,0)</f>
        <v>1</v>
      </c>
      <c r="L245" s="19">
        <f>Fact_Quality_Sampling!K245-K245</f>
        <v>0</v>
      </c>
    </row>
    <row r="246" spans="1:12" x14ac:dyDescent="0.25">
      <c r="A246" s="18" t="str">
        <f>Fact_Quality_Sampling!A246</f>
        <v>QS-245</v>
      </c>
      <c r="B246" s="4">
        <f>Fact_Quality_Sampling!B246</f>
        <v>20260702</v>
      </c>
      <c r="C246" s="4">
        <f>Fact_Quality_Sampling!C246</f>
        <v>10</v>
      </c>
      <c r="D246" s="4" t="str">
        <f>Fact_Quality_Sampling!D246</f>
        <v>M7</v>
      </c>
      <c r="E246" s="4" t="str">
        <f>Fact_Quality_Sampling!E246</f>
        <v>A-AM</v>
      </c>
      <c r="F246" s="4" t="str">
        <f>Fact_Quality_Sampling!F246</f>
        <v>C</v>
      </c>
      <c r="G246" s="4">
        <f>ROUND(Fact_Quality_Sampling!I246*0.62,0)</f>
        <v>0</v>
      </c>
      <c r="H246" s="4">
        <f>Fact_Quality_Sampling!I246-G246</f>
        <v>0</v>
      </c>
      <c r="I246" s="4">
        <f>ROUND(Fact_Quality_Sampling!J246*0.7,0)</f>
        <v>1</v>
      </c>
      <c r="J246" s="4">
        <f>Fact_Quality_Sampling!J246-I246</f>
        <v>0</v>
      </c>
      <c r="K246" s="4">
        <f>ROUND(Fact_Quality_Sampling!K246*0.68,0)</f>
        <v>1</v>
      </c>
      <c r="L246" s="19">
        <f>Fact_Quality_Sampling!K246-K246</f>
        <v>1</v>
      </c>
    </row>
    <row r="247" spans="1:12" x14ac:dyDescent="0.25">
      <c r="A247" s="18" t="str">
        <f>Fact_Quality_Sampling!A247</f>
        <v>QS-246</v>
      </c>
      <c r="B247" s="4">
        <f>Fact_Quality_Sampling!B247</f>
        <v>20260702</v>
      </c>
      <c r="C247" s="4">
        <f>Fact_Quality_Sampling!C247</f>
        <v>11</v>
      </c>
      <c r="D247" s="4" t="str">
        <f>Fact_Quality_Sampling!D247</f>
        <v>M1</v>
      </c>
      <c r="E247" s="4" t="str">
        <f>Fact_Quality_Sampling!E247</f>
        <v>A-AM</v>
      </c>
      <c r="F247" s="4" t="str">
        <f>Fact_Quality_Sampling!F247</f>
        <v>C</v>
      </c>
      <c r="G247" s="4">
        <f>ROUND(Fact_Quality_Sampling!I247*0.5,0)</f>
        <v>0</v>
      </c>
      <c r="H247" s="4">
        <f>Fact_Quality_Sampling!I247-G247</f>
        <v>0</v>
      </c>
      <c r="I247" s="4">
        <f>ROUND(Fact_Quality_Sampling!J247*0.46,0)</f>
        <v>0</v>
      </c>
      <c r="J247" s="4">
        <f>Fact_Quality_Sampling!J247-I247</f>
        <v>1</v>
      </c>
      <c r="K247" s="4">
        <f>ROUND(Fact_Quality_Sampling!K247*0.68,0)</f>
        <v>1</v>
      </c>
      <c r="L247" s="19">
        <f>Fact_Quality_Sampling!K247-K247</f>
        <v>0</v>
      </c>
    </row>
    <row r="248" spans="1:12" x14ac:dyDescent="0.25">
      <c r="A248" s="18" t="str">
        <f>Fact_Quality_Sampling!A248</f>
        <v>QS-247</v>
      </c>
      <c r="B248" s="4">
        <f>Fact_Quality_Sampling!B248</f>
        <v>20260702</v>
      </c>
      <c r="C248" s="4">
        <f>Fact_Quality_Sampling!C248</f>
        <v>11</v>
      </c>
      <c r="D248" s="4" t="str">
        <f>Fact_Quality_Sampling!D248</f>
        <v>M2</v>
      </c>
      <c r="E248" s="4" t="str">
        <f>Fact_Quality_Sampling!E248</f>
        <v>A-AM</v>
      </c>
      <c r="F248" s="4" t="str">
        <f>Fact_Quality_Sampling!F248</f>
        <v>A</v>
      </c>
      <c r="G248" s="4">
        <f>ROUND(Fact_Quality_Sampling!I248*0.62,0)</f>
        <v>0</v>
      </c>
      <c r="H248" s="4">
        <f>Fact_Quality_Sampling!I248-G248</f>
        <v>0</v>
      </c>
      <c r="I248" s="4">
        <f>ROUND(Fact_Quality_Sampling!J248*0.41,0)</f>
        <v>0</v>
      </c>
      <c r="J248" s="4">
        <f>Fact_Quality_Sampling!J248-I248</f>
        <v>1</v>
      </c>
      <c r="K248" s="4">
        <f>ROUND(Fact_Quality_Sampling!K248*0.6,0)</f>
        <v>1</v>
      </c>
      <c r="L248" s="19">
        <f>Fact_Quality_Sampling!K248-K248</f>
        <v>0</v>
      </c>
    </row>
    <row r="249" spans="1:12" x14ac:dyDescent="0.25">
      <c r="A249" s="18" t="str">
        <f>Fact_Quality_Sampling!A249</f>
        <v>QS-248</v>
      </c>
      <c r="B249" s="4">
        <f>Fact_Quality_Sampling!B249</f>
        <v>20260702</v>
      </c>
      <c r="C249" s="4">
        <f>Fact_Quality_Sampling!C249</f>
        <v>11</v>
      </c>
      <c r="D249" s="4" t="str">
        <f>Fact_Quality_Sampling!D249</f>
        <v>M3</v>
      </c>
      <c r="E249" s="4" t="str">
        <f>Fact_Quality_Sampling!E249</f>
        <v>A-AM</v>
      </c>
      <c r="F249" s="4" t="str">
        <f>Fact_Quality_Sampling!F249</f>
        <v>A</v>
      </c>
      <c r="G249" s="4">
        <f>ROUND(Fact_Quality_Sampling!I249*0.51,0)</f>
        <v>0</v>
      </c>
      <c r="H249" s="4">
        <f>Fact_Quality_Sampling!I249-G249</f>
        <v>0</v>
      </c>
      <c r="I249" s="4">
        <f>ROUND(Fact_Quality_Sampling!J249*0.51,0)</f>
        <v>0</v>
      </c>
      <c r="J249" s="4">
        <f>Fact_Quality_Sampling!J249-I249</f>
        <v>0</v>
      </c>
      <c r="K249" s="4">
        <f>ROUND(Fact_Quality_Sampling!K249*0.5,0)</f>
        <v>1</v>
      </c>
      <c r="L249" s="19">
        <f>Fact_Quality_Sampling!K249-K249</f>
        <v>0</v>
      </c>
    </row>
    <row r="250" spans="1:12" x14ac:dyDescent="0.25">
      <c r="A250" s="18" t="str">
        <f>Fact_Quality_Sampling!A250</f>
        <v>QS-249</v>
      </c>
      <c r="B250" s="4">
        <f>Fact_Quality_Sampling!B250</f>
        <v>20260702</v>
      </c>
      <c r="C250" s="4">
        <f>Fact_Quality_Sampling!C250</f>
        <v>11</v>
      </c>
      <c r="D250" s="4" t="str">
        <f>Fact_Quality_Sampling!D250</f>
        <v>M4</v>
      </c>
      <c r="E250" s="4" t="str">
        <f>Fact_Quality_Sampling!E250</f>
        <v>A-AM</v>
      </c>
      <c r="F250" s="4" t="str">
        <f>Fact_Quality_Sampling!F250</f>
        <v>A</v>
      </c>
      <c r="G250" s="4">
        <f>ROUND(Fact_Quality_Sampling!I250*0.45,0)</f>
        <v>0</v>
      </c>
      <c r="H250" s="4">
        <f>Fact_Quality_Sampling!I250-G250</f>
        <v>0</v>
      </c>
      <c r="I250" s="4">
        <f>ROUND(Fact_Quality_Sampling!J250*0.4,0)</f>
        <v>0</v>
      </c>
      <c r="J250" s="4">
        <f>Fact_Quality_Sampling!J250-I250</f>
        <v>1</v>
      </c>
      <c r="K250" s="4">
        <f>ROUND(Fact_Quality_Sampling!K250*0.48,0)</f>
        <v>1</v>
      </c>
      <c r="L250" s="19">
        <f>Fact_Quality_Sampling!K250-K250</f>
        <v>1</v>
      </c>
    </row>
    <row r="251" spans="1:12" x14ac:dyDescent="0.25">
      <c r="A251" s="18" t="str">
        <f>Fact_Quality_Sampling!A251</f>
        <v>QS-250</v>
      </c>
      <c r="B251" s="4">
        <f>Fact_Quality_Sampling!B251</f>
        <v>20260702</v>
      </c>
      <c r="C251" s="4">
        <f>Fact_Quality_Sampling!C251</f>
        <v>11</v>
      </c>
      <c r="D251" s="4" t="str">
        <f>Fact_Quality_Sampling!D251</f>
        <v>M5</v>
      </c>
      <c r="E251" s="4" t="str">
        <f>Fact_Quality_Sampling!E251</f>
        <v>A-AM</v>
      </c>
      <c r="F251" s="4" t="str">
        <f>Fact_Quality_Sampling!F251</f>
        <v>C</v>
      </c>
      <c r="G251" s="4">
        <f>ROUND(Fact_Quality_Sampling!I251*0.51,0)</f>
        <v>0</v>
      </c>
      <c r="H251" s="4">
        <f>Fact_Quality_Sampling!I251-G251</f>
        <v>0</v>
      </c>
      <c r="I251" s="4">
        <f>ROUND(Fact_Quality_Sampling!J251*0.69,0)</f>
        <v>1</v>
      </c>
      <c r="J251" s="4">
        <f>Fact_Quality_Sampling!J251-I251</f>
        <v>0</v>
      </c>
      <c r="K251" s="4">
        <f>ROUND(Fact_Quality_Sampling!K251*0.44,0)</f>
        <v>0</v>
      </c>
      <c r="L251" s="19">
        <f>Fact_Quality_Sampling!K251-K251</f>
        <v>1</v>
      </c>
    </row>
    <row r="252" spans="1:12" x14ac:dyDescent="0.25">
      <c r="A252" s="18" t="str">
        <f>Fact_Quality_Sampling!A252</f>
        <v>QS-251</v>
      </c>
      <c r="B252" s="4">
        <f>Fact_Quality_Sampling!B252</f>
        <v>20260702</v>
      </c>
      <c r="C252" s="4">
        <f>Fact_Quality_Sampling!C252</f>
        <v>11</v>
      </c>
      <c r="D252" s="4" t="str">
        <f>Fact_Quality_Sampling!D252</f>
        <v>M6</v>
      </c>
      <c r="E252" s="4" t="str">
        <f>Fact_Quality_Sampling!E252</f>
        <v>A-AM</v>
      </c>
      <c r="F252" s="4" t="str">
        <f>Fact_Quality_Sampling!F252</f>
        <v>C</v>
      </c>
      <c r="G252" s="4">
        <f>ROUND(Fact_Quality_Sampling!I252*0.69,0)</f>
        <v>0</v>
      </c>
      <c r="H252" s="4">
        <f>Fact_Quality_Sampling!I252-G252</f>
        <v>0</v>
      </c>
      <c r="I252" s="4">
        <f>ROUND(Fact_Quality_Sampling!J252*0.46,0)</f>
        <v>0</v>
      </c>
      <c r="J252" s="4">
        <f>Fact_Quality_Sampling!J252-I252</f>
        <v>0</v>
      </c>
      <c r="K252" s="4">
        <f>ROUND(Fact_Quality_Sampling!K252*0.51,0)</f>
        <v>1</v>
      </c>
      <c r="L252" s="19">
        <f>Fact_Quality_Sampling!K252-K252</f>
        <v>0</v>
      </c>
    </row>
    <row r="253" spans="1:12" x14ac:dyDescent="0.25">
      <c r="A253" s="18" t="str">
        <f>Fact_Quality_Sampling!A253</f>
        <v>QS-252</v>
      </c>
      <c r="B253" s="4">
        <f>Fact_Quality_Sampling!B253</f>
        <v>20260702</v>
      </c>
      <c r="C253" s="4">
        <f>Fact_Quality_Sampling!C253</f>
        <v>11</v>
      </c>
      <c r="D253" s="4" t="str">
        <f>Fact_Quality_Sampling!D253</f>
        <v>M7</v>
      </c>
      <c r="E253" s="4" t="str">
        <f>Fact_Quality_Sampling!E253</f>
        <v>A-AM</v>
      </c>
      <c r="F253" s="4" t="str">
        <f>Fact_Quality_Sampling!F253</f>
        <v>C</v>
      </c>
      <c r="G253" s="4">
        <f>ROUND(Fact_Quality_Sampling!I253*0.65,0)</f>
        <v>0</v>
      </c>
      <c r="H253" s="4">
        <f>Fact_Quality_Sampling!I253-G253</f>
        <v>0</v>
      </c>
      <c r="I253" s="4">
        <f>ROUND(Fact_Quality_Sampling!J253*0.65,0)</f>
        <v>1</v>
      </c>
      <c r="J253" s="4">
        <f>Fact_Quality_Sampling!J253-I253</f>
        <v>0</v>
      </c>
      <c r="K253" s="4">
        <f>ROUND(Fact_Quality_Sampling!K253*0.53,0)</f>
        <v>1</v>
      </c>
      <c r="L253" s="19">
        <f>Fact_Quality_Sampling!K253-K253</f>
        <v>1</v>
      </c>
    </row>
    <row r="254" spans="1:12" x14ac:dyDescent="0.25">
      <c r="A254" s="18" t="str">
        <f>Fact_Quality_Sampling!A254</f>
        <v>QS-253</v>
      </c>
      <c r="B254" s="4">
        <f>Fact_Quality_Sampling!B254</f>
        <v>20260702</v>
      </c>
      <c r="C254" s="4">
        <f>Fact_Quality_Sampling!C254</f>
        <v>12</v>
      </c>
      <c r="D254" s="4" t="str">
        <f>Fact_Quality_Sampling!D254</f>
        <v>M1</v>
      </c>
      <c r="E254" s="4" t="str">
        <f>Fact_Quality_Sampling!E254</f>
        <v>A-AM</v>
      </c>
      <c r="F254" s="4" t="str">
        <f>Fact_Quality_Sampling!F254</f>
        <v>C</v>
      </c>
      <c r="G254" s="4">
        <f>ROUND(Fact_Quality_Sampling!I254*0.41,0)</f>
        <v>0</v>
      </c>
      <c r="H254" s="4">
        <f>Fact_Quality_Sampling!I254-G254</f>
        <v>0</v>
      </c>
      <c r="I254" s="4">
        <f>ROUND(Fact_Quality_Sampling!J254*0.54,0)</f>
        <v>0</v>
      </c>
      <c r="J254" s="4">
        <f>Fact_Quality_Sampling!J254-I254</f>
        <v>0</v>
      </c>
      <c r="K254" s="4">
        <f>ROUND(Fact_Quality_Sampling!K254*0.51,0)</f>
        <v>1</v>
      </c>
      <c r="L254" s="19">
        <f>Fact_Quality_Sampling!K254-K254</f>
        <v>0</v>
      </c>
    </row>
    <row r="255" spans="1:12" x14ac:dyDescent="0.25">
      <c r="A255" s="18" t="str">
        <f>Fact_Quality_Sampling!A255</f>
        <v>QS-254</v>
      </c>
      <c r="B255" s="4">
        <f>Fact_Quality_Sampling!B255</f>
        <v>20260702</v>
      </c>
      <c r="C255" s="4">
        <f>Fact_Quality_Sampling!C255</f>
        <v>12</v>
      </c>
      <c r="D255" s="4" t="str">
        <f>Fact_Quality_Sampling!D255</f>
        <v>M2</v>
      </c>
      <c r="E255" s="4" t="str">
        <f>Fact_Quality_Sampling!E255</f>
        <v>A-AM</v>
      </c>
      <c r="F255" s="4" t="str">
        <f>Fact_Quality_Sampling!F255</f>
        <v>A</v>
      </c>
      <c r="G255" s="4">
        <f>ROUND(Fact_Quality_Sampling!I255*0.68,0)</f>
        <v>0</v>
      </c>
      <c r="H255" s="4">
        <f>Fact_Quality_Sampling!I255-G255</f>
        <v>0</v>
      </c>
      <c r="I255" s="4">
        <f>ROUND(Fact_Quality_Sampling!J255*0.46,0)</f>
        <v>0</v>
      </c>
      <c r="J255" s="4">
        <f>Fact_Quality_Sampling!J255-I255</f>
        <v>1</v>
      </c>
      <c r="K255" s="4">
        <f>ROUND(Fact_Quality_Sampling!K255*0.51,0)</f>
        <v>1</v>
      </c>
      <c r="L255" s="19">
        <f>Fact_Quality_Sampling!K255-K255</f>
        <v>1</v>
      </c>
    </row>
    <row r="256" spans="1:12" x14ac:dyDescent="0.25">
      <c r="A256" s="18" t="str">
        <f>Fact_Quality_Sampling!A256</f>
        <v>QS-255</v>
      </c>
      <c r="B256" s="4">
        <f>Fact_Quality_Sampling!B256</f>
        <v>20260702</v>
      </c>
      <c r="C256" s="4">
        <f>Fact_Quality_Sampling!C256</f>
        <v>12</v>
      </c>
      <c r="D256" s="4" t="str">
        <f>Fact_Quality_Sampling!D256</f>
        <v>M3</v>
      </c>
      <c r="E256" s="4" t="str">
        <f>Fact_Quality_Sampling!E256</f>
        <v>A-AM</v>
      </c>
      <c r="F256" s="4" t="str">
        <f>Fact_Quality_Sampling!F256</f>
        <v>A</v>
      </c>
      <c r="G256" s="4">
        <f>ROUND(Fact_Quality_Sampling!I256*0.67,0)</f>
        <v>0</v>
      </c>
      <c r="H256" s="4">
        <f>Fact_Quality_Sampling!I256-G256</f>
        <v>0</v>
      </c>
      <c r="I256" s="4">
        <f>ROUND(Fact_Quality_Sampling!J256*0.41,0)</f>
        <v>0</v>
      </c>
      <c r="J256" s="4">
        <f>Fact_Quality_Sampling!J256-I256</f>
        <v>0</v>
      </c>
      <c r="K256" s="4">
        <f>ROUND(Fact_Quality_Sampling!K256*0.52,0)</f>
        <v>0</v>
      </c>
      <c r="L256" s="19">
        <f>Fact_Quality_Sampling!K256-K256</f>
        <v>0</v>
      </c>
    </row>
    <row r="257" spans="1:12" x14ac:dyDescent="0.25">
      <c r="A257" s="18" t="str">
        <f>Fact_Quality_Sampling!A257</f>
        <v>QS-256</v>
      </c>
      <c r="B257" s="4">
        <f>Fact_Quality_Sampling!B257</f>
        <v>20260702</v>
      </c>
      <c r="C257" s="4">
        <f>Fact_Quality_Sampling!C257</f>
        <v>12</v>
      </c>
      <c r="D257" s="4" t="str">
        <f>Fact_Quality_Sampling!D257</f>
        <v>M4</v>
      </c>
      <c r="E257" s="4" t="str">
        <f>Fact_Quality_Sampling!E257</f>
        <v>A-AM</v>
      </c>
      <c r="F257" s="4" t="str">
        <f>Fact_Quality_Sampling!F257</f>
        <v>A</v>
      </c>
      <c r="G257" s="4">
        <f>ROUND(Fact_Quality_Sampling!I257*0.64,0)</f>
        <v>0</v>
      </c>
      <c r="H257" s="4">
        <f>Fact_Quality_Sampling!I257-G257</f>
        <v>0</v>
      </c>
      <c r="I257" s="4">
        <f>ROUND(Fact_Quality_Sampling!J257*0.63,0)</f>
        <v>0</v>
      </c>
      <c r="J257" s="4">
        <f>Fact_Quality_Sampling!J257-I257</f>
        <v>0</v>
      </c>
      <c r="K257" s="4">
        <f>ROUND(Fact_Quality_Sampling!K257*0.41,0)</f>
        <v>0</v>
      </c>
      <c r="L257" s="19">
        <f>Fact_Quality_Sampling!K257-K257</f>
        <v>1</v>
      </c>
    </row>
    <row r="258" spans="1:12" x14ac:dyDescent="0.25">
      <c r="A258" s="18" t="str">
        <f>Fact_Quality_Sampling!A258</f>
        <v>QS-257</v>
      </c>
      <c r="B258" s="4">
        <f>Fact_Quality_Sampling!B258</f>
        <v>20260702</v>
      </c>
      <c r="C258" s="4">
        <f>Fact_Quality_Sampling!C258</f>
        <v>12</v>
      </c>
      <c r="D258" s="4" t="str">
        <f>Fact_Quality_Sampling!D258</f>
        <v>M5</v>
      </c>
      <c r="E258" s="4" t="str">
        <f>Fact_Quality_Sampling!E258</f>
        <v>A-AM</v>
      </c>
      <c r="F258" s="4" t="str">
        <f>Fact_Quality_Sampling!F258</f>
        <v>C</v>
      </c>
      <c r="G258" s="4">
        <f>ROUND(Fact_Quality_Sampling!I258*0.41,0)</f>
        <v>0</v>
      </c>
      <c r="H258" s="4">
        <f>Fact_Quality_Sampling!I258-G258</f>
        <v>0</v>
      </c>
      <c r="I258" s="4">
        <f>ROUND(Fact_Quality_Sampling!J258*0.42,0)</f>
        <v>0</v>
      </c>
      <c r="J258" s="4">
        <f>Fact_Quality_Sampling!J258-I258</f>
        <v>1</v>
      </c>
      <c r="K258" s="4">
        <f>ROUND(Fact_Quality_Sampling!K258*0.68,0)</f>
        <v>1</v>
      </c>
      <c r="L258" s="19">
        <f>Fact_Quality_Sampling!K258-K258</f>
        <v>0</v>
      </c>
    </row>
    <row r="259" spans="1:12" x14ac:dyDescent="0.25">
      <c r="A259" s="18" t="str">
        <f>Fact_Quality_Sampling!A259</f>
        <v>QS-258</v>
      </c>
      <c r="B259" s="4">
        <f>Fact_Quality_Sampling!B259</f>
        <v>20260702</v>
      </c>
      <c r="C259" s="4">
        <f>Fact_Quality_Sampling!C259</f>
        <v>12</v>
      </c>
      <c r="D259" s="4" t="str">
        <f>Fact_Quality_Sampling!D259</f>
        <v>M6</v>
      </c>
      <c r="E259" s="4" t="str">
        <f>Fact_Quality_Sampling!E259</f>
        <v>A-AM</v>
      </c>
      <c r="F259" s="4" t="str">
        <f>Fact_Quality_Sampling!F259</f>
        <v>C</v>
      </c>
      <c r="G259" s="4">
        <f>ROUND(Fact_Quality_Sampling!I259*0.48,0)</f>
        <v>0</v>
      </c>
      <c r="H259" s="4">
        <f>Fact_Quality_Sampling!I259-G259</f>
        <v>0</v>
      </c>
      <c r="I259" s="4">
        <f>ROUND(Fact_Quality_Sampling!J259*0.62,0)</f>
        <v>0</v>
      </c>
      <c r="J259" s="4">
        <f>Fact_Quality_Sampling!J259-I259</f>
        <v>0</v>
      </c>
      <c r="K259" s="4">
        <f>ROUND(Fact_Quality_Sampling!K259*0.67,0)</f>
        <v>1</v>
      </c>
      <c r="L259" s="19">
        <f>Fact_Quality_Sampling!K259-K259</f>
        <v>0</v>
      </c>
    </row>
    <row r="260" spans="1:12" x14ac:dyDescent="0.25">
      <c r="A260" s="18" t="str">
        <f>Fact_Quality_Sampling!A260</f>
        <v>QS-259</v>
      </c>
      <c r="B260" s="4">
        <f>Fact_Quality_Sampling!B260</f>
        <v>20260702</v>
      </c>
      <c r="C260" s="4">
        <f>Fact_Quality_Sampling!C260</f>
        <v>12</v>
      </c>
      <c r="D260" s="4" t="str">
        <f>Fact_Quality_Sampling!D260</f>
        <v>M7</v>
      </c>
      <c r="E260" s="4" t="str">
        <f>Fact_Quality_Sampling!E260</f>
        <v>A-AM</v>
      </c>
      <c r="F260" s="4" t="str">
        <f>Fact_Quality_Sampling!F260</f>
        <v>C</v>
      </c>
      <c r="G260" s="4">
        <f>ROUND(Fact_Quality_Sampling!I260*0.5,0)</f>
        <v>0</v>
      </c>
      <c r="H260" s="4">
        <f>Fact_Quality_Sampling!I260-G260</f>
        <v>0</v>
      </c>
      <c r="I260" s="4">
        <f>ROUND(Fact_Quality_Sampling!J260*0.48,0)</f>
        <v>0</v>
      </c>
      <c r="J260" s="4">
        <f>Fact_Quality_Sampling!J260-I260</f>
        <v>1</v>
      </c>
      <c r="K260" s="4">
        <f>ROUND(Fact_Quality_Sampling!K260*0.69,0)</f>
        <v>1</v>
      </c>
      <c r="L260" s="19">
        <f>Fact_Quality_Sampling!K260-K260</f>
        <v>0</v>
      </c>
    </row>
    <row r="261" spans="1:12" x14ac:dyDescent="0.25">
      <c r="A261" s="18" t="str">
        <f>Fact_Quality_Sampling!A261</f>
        <v>QS-260</v>
      </c>
      <c r="B261" s="4">
        <f>Fact_Quality_Sampling!B261</f>
        <v>20260702</v>
      </c>
      <c r="C261" s="4">
        <f>Fact_Quality_Sampling!C261</f>
        <v>13</v>
      </c>
      <c r="D261" s="4" t="str">
        <f>Fact_Quality_Sampling!D261</f>
        <v>M1</v>
      </c>
      <c r="E261" s="4" t="str">
        <f>Fact_Quality_Sampling!E261</f>
        <v>A-AM</v>
      </c>
      <c r="F261" s="4" t="str">
        <f>Fact_Quality_Sampling!F261</f>
        <v>C</v>
      </c>
      <c r="G261" s="4">
        <f>ROUND(Fact_Quality_Sampling!I261*0.59,0)</f>
        <v>0</v>
      </c>
      <c r="H261" s="4">
        <f>Fact_Quality_Sampling!I261-G261</f>
        <v>0</v>
      </c>
      <c r="I261" s="4">
        <f>ROUND(Fact_Quality_Sampling!J261*0.48,0)</f>
        <v>0</v>
      </c>
      <c r="J261" s="4">
        <f>Fact_Quality_Sampling!J261-I261</f>
        <v>0</v>
      </c>
      <c r="K261" s="4">
        <f>ROUND(Fact_Quality_Sampling!K261*0.61,0)</f>
        <v>1</v>
      </c>
      <c r="L261" s="19">
        <f>Fact_Quality_Sampling!K261-K261</f>
        <v>0</v>
      </c>
    </row>
    <row r="262" spans="1:12" x14ac:dyDescent="0.25">
      <c r="A262" s="18" t="str">
        <f>Fact_Quality_Sampling!A262</f>
        <v>QS-261</v>
      </c>
      <c r="B262" s="4">
        <f>Fact_Quality_Sampling!B262</f>
        <v>20260702</v>
      </c>
      <c r="C262" s="4">
        <f>Fact_Quality_Sampling!C262</f>
        <v>13</v>
      </c>
      <c r="D262" s="4" t="str">
        <f>Fact_Quality_Sampling!D262</f>
        <v>M2</v>
      </c>
      <c r="E262" s="4" t="str">
        <f>Fact_Quality_Sampling!E262</f>
        <v>A-AM</v>
      </c>
      <c r="F262" s="4" t="str">
        <f>Fact_Quality_Sampling!F262</f>
        <v>A</v>
      </c>
      <c r="G262" s="4">
        <f>ROUND(Fact_Quality_Sampling!I262*0.49,0)</f>
        <v>0</v>
      </c>
      <c r="H262" s="4">
        <f>Fact_Quality_Sampling!I262-G262</f>
        <v>0</v>
      </c>
      <c r="I262" s="4">
        <f>ROUND(Fact_Quality_Sampling!J262*0.48,0)</f>
        <v>0</v>
      </c>
      <c r="J262" s="4">
        <f>Fact_Quality_Sampling!J262-I262</f>
        <v>0</v>
      </c>
      <c r="K262" s="4">
        <f>ROUND(Fact_Quality_Sampling!K262*0.4,0)</f>
        <v>0</v>
      </c>
      <c r="L262" s="19">
        <f>Fact_Quality_Sampling!K262-K262</f>
        <v>1</v>
      </c>
    </row>
    <row r="263" spans="1:12" x14ac:dyDescent="0.25">
      <c r="A263" s="18" t="str">
        <f>Fact_Quality_Sampling!A263</f>
        <v>QS-262</v>
      </c>
      <c r="B263" s="4">
        <f>Fact_Quality_Sampling!B263</f>
        <v>20260702</v>
      </c>
      <c r="C263" s="4">
        <f>Fact_Quality_Sampling!C263</f>
        <v>13</v>
      </c>
      <c r="D263" s="4" t="str">
        <f>Fact_Quality_Sampling!D263</f>
        <v>M3</v>
      </c>
      <c r="E263" s="4" t="str">
        <f>Fact_Quality_Sampling!E263</f>
        <v>A-AM</v>
      </c>
      <c r="F263" s="4" t="str">
        <f>Fact_Quality_Sampling!F263</f>
        <v>A</v>
      </c>
      <c r="G263" s="4">
        <f>ROUND(Fact_Quality_Sampling!I263*0.63,0)</f>
        <v>0</v>
      </c>
      <c r="H263" s="4">
        <f>Fact_Quality_Sampling!I263-G263</f>
        <v>0</v>
      </c>
      <c r="I263" s="4">
        <f>ROUND(Fact_Quality_Sampling!J263*0.67,0)</f>
        <v>0</v>
      </c>
      <c r="J263" s="4">
        <f>Fact_Quality_Sampling!J263-I263</f>
        <v>0</v>
      </c>
      <c r="K263" s="4">
        <f>ROUND(Fact_Quality_Sampling!K263*0.59,0)</f>
        <v>1</v>
      </c>
      <c r="L263" s="19">
        <f>Fact_Quality_Sampling!K263-K263</f>
        <v>0</v>
      </c>
    </row>
    <row r="264" spans="1:12" x14ac:dyDescent="0.25">
      <c r="A264" s="18" t="str">
        <f>Fact_Quality_Sampling!A264</f>
        <v>QS-263</v>
      </c>
      <c r="B264" s="4">
        <f>Fact_Quality_Sampling!B264</f>
        <v>20260702</v>
      </c>
      <c r="C264" s="4">
        <f>Fact_Quality_Sampling!C264</f>
        <v>13</v>
      </c>
      <c r="D264" s="4" t="str">
        <f>Fact_Quality_Sampling!D264</f>
        <v>M4</v>
      </c>
      <c r="E264" s="4" t="str">
        <f>Fact_Quality_Sampling!E264</f>
        <v>A-AM</v>
      </c>
      <c r="F264" s="4" t="str">
        <f>Fact_Quality_Sampling!F264</f>
        <v>A</v>
      </c>
      <c r="G264" s="4">
        <f>ROUND(Fact_Quality_Sampling!I264*0.68,0)</f>
        <v>0</v>
      </c>
      <c r="H264" s="4">
        <f>Fact_Quality_Sampling!I264-G264</f>
        <v>0</v>
      </c>
      <c r="I264" s="4">
        <f>ROUND(Fact_Quality_Sampling!J264*0.41,0)</f>
        <v>0</v>
      </c>
      <c r="J264" s="4">
        <f>Fact_Quality_Sampling!J264-I264</f>
        <v>0</v>
      </c>
      <c r="K264" s="4">
        <f>ROUND(Fact_Quality_Sampling!K264*0.47,0)</f>
        <v>0</v>
      </c>
      <c r="L264" s="19">
        <f>Fact_Quality_Sampling!K264-K264</f>
        <v>1</v>
      </c>
    </row>
    <row r="265" spans="1:12" x14ac:dyDescent="0.25">
      <c r="A265" s="18" t="str">
        <f>Fact_Quality_Sampling!A265</f>
        <v>QS-264</v>
      </c>
      <c r="B265" s="4">
        <f>Fact_Quality_Sampling!B265</f>
        <v>20260702</v>
      </c>
      <c r="C265" s="4">
        <f>Fact_Quality_Sampling!C265</f>
        <v>13</v>
      </c>
      <c r="D265" s="4" t="str">
        <f>Fact_Quality_Sampling!D265</f>
        <v>M5</v>
      </c>
      <c r="E265" s="4" t="str">
        <f>Fact_Quality_Sampling!E265</f>
        <v>A-AM</v>
      </c>
      <c r="F265" s="4" t="str">
        <f>Fact_Quality_Sampling!F265</f>
        <v>C</v>
      </c>
      <c r="G265" s="4">
        <f>ROUND(Fact_Quality_Sampling!I265*0.54,0)</f>
        <v>0</v>
      </c>
      <c r="H265" s="4">
        <f>Fact_Quality_Sampling!I265-G265</f>
        <v>0</v>
      </c>
      <c r="I265" s="4">
        <f>ROUND(Fact_Quality_Sampling!J265*0.69,0)</f>
        <v>1</v>
      </c>
      <c r="J265" s="4">
        <f>Fact_Quality_Sampling!J265-I265</f>
        <v>0</v>
      </c>
      <c r="K265" s="4">
        <f>ROUND(Fact_Quality_Sampling!K265*0.69,0)</f>
        <v>1</v>
      </c>
      <c r="L265" s="19">
        <f>Fact_Quality_Sampling!K265-K265</f>
        <v>0</v>
      </c>
    </row>
    <row r="266" spans="1:12" x14ac:dyDescent="0.25">
      <c r="A266" s="18" t="str">
        <f>Fact_Quality_Sampling!A266</f>
        <v>QS-265</v>
      </c>
      <c r="B266" s="4">
        <f>Fact_Quality_Sampling!B266</f>
        <v>20260702</v>
      </c>
      <c r="C266" s="4">
        <f>Fact_Quality_Sampling!C266</f>
        <v>13</v>
      </c>
      <c r="D266" s="4" t="str">
        <f>Fact_Quality_Sampling!D266</f>
        <v>M6</v>
      </c>
      <c r="E266" s="4" t="str">
        <f>Fact_Quality_Sampling!E266</f>
        <v>A-AM</v>
      </c>
      <c r="F266" s="4" t="str">
        <f>Fact_Quality_Sampling!F266</f>
        <v>C</v>
      </c>
      <c r="G266" s="4">
        <f>ROUND(Fact_Quality_Sampling!I266*0.52,0)</f>
        <v>0</v>
      </c>
      <c r="H266" s="4">
        <f>Fact_Quality_Sampling!I266-G266</f>
        <v>0</v>
      </c>
      <c r="I266" s="4">
        <f>ROUND(Fact_Quality_Sampling!J266*0.48,0)</f>
        <v>0</v>
      </c>
      <c r="J266" s="4">
        <f>Fact_Quality_Sampling!J266-I266</f>
        <v>0</v>
      </c>
      <c r="K266" s="4">
        <f>ROUND(Fact_Quality_Sampling!K266*0.53,0)</f>
        <v>1</v>
      </c>
      <c r="L266" s="19">
        <f>Fact_Quality_Sampling!K266-K266</f>
        <v>0</v>
      </c>
    </row>
    <row r="267" spans="1:12" x14ac:dyDescent="0.25">
      <c r="A267" s="18" t="str">
        <f>Fact_Quality_Sampling!A267</f>
        <v>QS-266</v>
      </c>
      <c r="B267" s="4">
        <f>Fact_Quality_Sampling!B267</f>
        <v>20260702</v>
      </c>
      <c r="C267" s="4">
        <f>Fact_Quality_Sampling!C267</f>
        <v>13</v>
      </c>
      <c r="D267" s="4" t="str">
        <f>Fact_Quality_Sampling!D267</f>
        <v>M7</v>
      </c>
      <c r="E267" s="4" t="str">
        <f>Fact_Quality_Sampling!E267</f>
        <v>A-AM</v>
      </c>
      <c r="F267" s="4" t="str">
        <f>Fact_Quality_Sampling!F267</f>
        <v>C</v>
      </c>
      <c r="G267" s="4">
        <f>ROUND(Fact_Quality_Sampling!I267*0.55,0)</f>
        <v>0</v>
      </c>
      <c r="H267" s="4">
        <f>Fact_Quality_Sampling!I267-G267</f>
        <v>0</v>
      </c>
      <c r="I267" s="4">
        <f>ROUND(Fact_Quality_Sampling!J267*0.68,0)</f>
        <v>1</v>
      </c>
      <c r="J267" s="4">
        <f>Fact_Quality_Sampling!J267-I267</f>
        <v>0</v>
      </c>
      <c r="K267" s="4">
        <f>ROUND(Fact_Quality_Sampling!K267*0.45,0)</f>
        <v>0</v>
      </c>
      <c r="L267" s="19">
        <f>Fact_Quality_Sampling!K267-K267</f>
        <v>1</v>
      </c>
    </row>
    <row r="268" spans="1:12" x14ac:dyDescent="0.25">
      <c r="A268" s="18" t="str">
        <f>Fact_Quality_Sampling!A268</f>
        <v>QS-267</v>
      </c>
      <c r="B268" s="4">
        <f>Fact_Quality_Sampling!B268</f>
        <v>20260702</v>
      </c>
      <c r="C268" s="4">
        <f>Fact_Quality_Sampling!C268</f>
        <v>14</v>
      </c>
      <c r="D268" s="4" t="str">
        <f>Fact_Quality_Sampling!D268</f>
        <v>M1</v>
      </c>
      <c r="E268" s="4" t="str">
        <f>Fact_Quality_Sampling!E268</f>
        <v>A-AM</v>
      </c>
      <c r="F268" s="4" t="str">
        <f>Fact_Quality_Sampling!F268</f>
        <v>C</v>
      </c>
      <c r="G268" s="4">
        <f>ROUND(Fact_Quality_Sampling!I268*0.64,0)</f>
        <v>0</v>
      </c>
      <c r="H268" s="4">
        <f>Fact_Quality_Sampling!I268-G268</f>
        <v>0</v>
      </c>
      <c r="I268" s="4">
        <f>ROUND(Fact_Quality_Sampling!J268*0.62,0)</f>
        <v>0</v>
      </c>
      <c r="J268" s="4">
        <f>Fact_Quality_Sampling!J268-I268</f>
        <v>0</v>
      </c>
      <c r="K268" s="4">
        <f>ROUND(Fact_Quality_Sampling!K268*0.65,0)</f>
        <v>1</v>
      </c>
      <c r="L268" s="19">
        <f>Fact_Quality_Sampling!K268-K268</f>
        <v>0</v>
      </c>
    </row>
    <row r="269" spans="1:12" x14ac:dyDescent="0.25">
      <c r="A269" s="18" t="str">
        <f>Fact_Quality_Sampling!A269</f>
        <v>QS-268</v>
      </c>
      <c r="B269" s="4">
        <f>Fact_Quality_Sampling!B269</f>
        <v>20260702</v>
      </c>
      <c r="C269" s="4">
        <f>Fact_Quality_Sampling!C269</f>
        <v>14</v>
      </c>
      <c r="D269" s="4" t="str">
        <f>Fact_Quality_Sampling!D269</f>
        <v>M2</v>
      </c>
      <c r="E269" s="4" t="str">
        <f>Fact_Quality_Sampling!E269</f>
        <v>A-AM</v>
      </c>
      <c r="F269" s="4" t="str">
        <f>Fact_Quality_Sampling!F269</f>
        <v>A</v>
      </c>
      <c r="G269" s="4">
        <f>ROUND(Fact_Quality_Sampling!I269*0.63,0)</f>
        <v>0</v>
      </c>
      <c r="H269" s="4">
        <f>Fact_Quality_Sampling!I269-G269</f>
        <v>0</v>
      </c>
      <c r="I269" s="4">
        <f>ROUND(Fact_Quality_Sampling!J269*0.58,0)</f>
        <v>0</v>
      </c>
      <c r="J269" s="4">
        <f>Fact_Quality_Sampling!J269-I269</f>
        <v>0</v>
      </c>
      <c r="K269" s="4">
        <f>ROUND(Fact_Quality_Sampling!K269*0.5,0)</f>
        <v>1</v>
      </c>
      <c r="L269" s="19">
        <f>Fact_Quality_Sampling!K269-K269</f>
        <v>0</v>
      </c>
    </row>
    <row r="270" spans="1:12" x14ac:dyDescent="0.25">
      <c r="A270" s="18" t="str">
        <f>Fact_Quality_Sampling!A270</f>
        <v>QS-269</v>
      </c>
      <c r="B270" s="4">
        <f>Fact_Quality_Sampling!B270</f>
        <v>20260702</v>
      </c>
      <c r="C270" s="4">
        <f>Fact_Quality_Sampling!C270</f>
        <v>14</v>
      </c>
      <c r="D270" s="4" t="str">
        <f>Fact_Quality_Sampling!D270</f>
        <v>M3</v>
      </c>
      <c r="E270" s="4" t="str">
        <f>Fact_Quality_Sampling!E270</f>
        <v>A-AM</v>
      </c>
      <c r="F270" s="4" t="str">
        <f>Fact_Quality_Sampling!F270</f>
        <v>A</v>
      </c>
      <c r="G270" s="4">
        <f>ROUND(Fact_Quality_Sampling!I270*0.5,0)</f>
        <v>0</v>
      </c>
      <c r="H270" s="4">
        <f>Fact_Quality_Sampling!I270-G270</f>
        <v>0</v>
      </c>
      <c r="I270" s="4">
        <f>ROUND(Fact_Quality_Sampling!J270*0.51,0)</f>
        <v>0</v>
      </c>
      <c r="J270" s="4">
        <f>Fact_Quality_Sampling!J270-I270</f>
        <v>0</v>
      </c>
      <c r="K270" s="4">
        <f>ROUND(Fact_Quality_Sampling!K270*0.63,0)</f>
        <v>0</v>
      </c>
      <c r="L270" s="19">
        <f>Fact_Quality_Sampling!K270-K270</f>
        <v>0</v>
      </c>
    </row>
    <row r="271" spans="1:12" x14ac:dyDescent="0.25">
      <c r="A271" s="18" t="str">
        <f>Fact_Quality_Sampling!A271</f>
        <v>QS-270</v>
      </c>
      <c r="B271" s="4">
        <f>Fact_Quality_Sampling!B271</f>
        <v>20260702</v>
      </c>
      <c r="C271" s="4">
        <f>Fact_Quality_Sampling!C271</f>
        <v>14</v>
      </c>
      <c r="D271" s="4" t="str">
        <f>Fact_Quality_Sampling!D271</f>
        <v>M4</v>
      </c>
      <c r="E271" s="4" t="str">
        <f>Fact_Quality_Sampling!E271</f>
        <v>A-AM</v>
      </c>
      <c r="F271" s="4" t="str">
        <f>Fact_Quality_Sampling!F271</f>
        <v>A</v>
      </c>
      <c r="G271" s="4">
        <f>ROUND(Fact_Quality_Sampling!I271*0.42,0)</f>
        <v>0</v>
      </c>
      <c r="H271" s="4">
        <f>Fact_Quality_Sampling!I271-G271</f>
        <v>0</v>
      </c>
      <c r="I271" s="4">
        <f>ROUND(Fact_Quality_Sampling!J271*0.46,0)</f>
        <v>0</v>
      </c>
      <c r="J271" s="4">
        <f>Fact_Quality_Sampling!J271-I271</f>
        <v>1</v>
      </c>
      <c r="K271" s="4">
        <f>ROUND(Fact_Quality_Sampling!K271*0.63,0)</f>
        <v>1</v>
      </c>
      <c r="L271" s="19">
        <f>Fact_Quality_Sampling!K271-K271</f>
        <v>1</v>
      </c>
    </row>
    <row r="272" spans="1:12" x14ac:dyDescent="0.25">
      <c r="A272" s="18" t="str">
        <f>Fact_Quality_Sampling!A272</f>
        <v>QS-271</v>
      </c>
      <c r="B272" s="4">
        <f>Fact_Quality_Sampling!B272</f>
        <v>20260702</v>
      </c>
      <c r="C272" s="4">
        <f>Fact_Quality_Sampling!C272</f>
        <v>14</v>
      </c>
      <c r="D272" s="4" t="str">
        <f>Fact_Quality_Sampling!D272</f>
        <v>M5</v>
      </c>
      <c r="E272" s="4" t="str">
        <f>Fact_Quality_Sampling!E272</f>
        <v>A-AM</v>
      </c>
      <c r="F272" s="4" t="str">
        <f>Fact_Quality_Sampling!F272</f>
        <v>C</v>
      </c>
      <c r="G272" s="4">
        <f>ROUND(Fact_Quality_Sampling!I272*0.47,0)</f>
        <v>0</v>
      </c>
      <c r="H272" s="4">
        <f>Fact_Quality_Sampling!I272-G272</f>
        <v>0</v>
      </c>
      <c r="I272" s="4">
        <f>ROUND(Fact_Quality_Sampling!J272*0.42,0)</f>
        <v>0</v>
      </c>
      <c r="J272" s="4">
        <f>Fact_Quality_Sampling!J272-I272</f>
        <v>0</v>
      </c>
      <c r="K272" s="4">
        <f>ROUND(Fact_Quality_Sampling!K272*0.41,0)</f>
        <v>0</v>
      </c>
      <c r="L272" s="19">
        <f>Fact_Quality_Sampling!K272-K272</f>
        <v>1</v>
      </c>
    </row>
    <row r="273" spans="1:12" x14ac:dyDescent="0.25">
      <c r="A273" s="18" t="str">
        <f>Fact_Quality_Sampling!A273</f>
        <v>QS-272</v>
      </c>
      <c r="B273" s="4">
        <f>Fact_Quality_Sampling!B273</f>
        <v>20260702</v>
      </c>
      <c r="C273" s="4">
        <f>Fact_Quality_Sampling!C273</f>
        <v>14</v>
      </c>
      <c r="D273" s="4" t="str">
        <f>Fact_Quality_Sampling!D273</f>
        <v>M6</v>
      </c>
      <c r="E273" s="4" t="str">
        <f>Fact_Quality_Sampling!E273</f>
        <v>A-AM</v>
      </c>
      <c r="F273" s="4" t="str">
        <f>Fact_Quality_Sampling!F273</f>
        <v>C</v>
      </c>
      <c r="G273" s="4">
        <f>ROUND(Fact_Quality_Sampling!I273*0.57,0)</f>
        <v>0</v>
      </c>
      <c r="H273" s="4">
        <f>Fact_Quality_Sampling!I273-G273</f>
        <v>0</v>
      </c>
      <c r="I273" s="4">
        <f>ROUND(Fact_Quality_Sampling!J273*0.5,0)</f>
        <v>0</v>
      </c>
      <c r="J273" s="4">
        <f>Fact_Quality_Sampling!J273-I273</f>
        <v>0</v>
      </c>
      <c r="K273" s="4">
        <f>ROUND(Fact_Quality_Sampling!K273*0.69,0)</f>
        <v>1</v>
      </c>
      <c r="L273" s="19">
        <f>Fact_Quality_Sampling!K273-K273</f>
        <v>0</v>
      </c>
    </row>
    <row r="274" spans="1:12" x14ac:dyDescent="0.25">
      <c r="A274" s="18" t="str">
        <f>Fact_Quality_Sampling!A274</f>
        <v>QS-273</v>
      </c>
      <c r="B274" s="4">
        <f>Fact_Quality_Sampling!B274</f>
        <v>20260702</v>
      </c>
      <c r="C274" s="4">
        <f>Fact_Quality_Sampling!C274</f>
        <v>14</v>
      </c>
      <c r="D274" s="4" t="str">
        <f>Fact_Quality_Sampling!D274</f>
        <v>M7</v>
      </c>
      <c r="E274" s="4" t="str">
        <f>Fact_Quality_Sampling!E274</f>
        <v>A-AM</v>
      </c>
      <c r="F274" s="4" t="str">
        <f>Fact_Quality_Sampling!F274</f>
        <v>C</v>
      </c>
      <c r="G274" s="4">
        <f>ROUND(Fact_Quality_Sampling!I274*0.67,0)</f>
        <v>0</v>
      </c>
      <c r="H274" s="4">
        <f>Fact_Quality_Sampling!I274-G274</f>
        <v>0</v>
      </c>
      <c r="I274" s="4">
        <f>ROUND(Fact_Quality_Sampling!J274*0.7,0)</f>
        <v>1</v>
      </c>
      <c r="J274" s="4">
        <f>Fact_Quality_Sampling!J274-I274</f>
        <v>0</v>
      </c>
      <c r="K274" s="4">
        <f>ROUND(Fact_Quality_Sampling!K274*0.48,0)</f>
        <v>0</v>
      </c>
      <c r="L274" s="19">
        <f>Fact_Quality_Sampling!K274-K274</f>
        <v>1</v>
      </c>
    </row>
    <row r="275" spans="1:12" x14ac:dyDescent="0.25">
      <c r="A275" s="18" t="str">
        <f>Fact_Quality_Sampling!A275</f>
        <v>QS-274</v>
      </c>
      <c r="B275" s="4">
        <f>Fact_Quality_Sampling!B275</f>
        <v>20260702</v>
      </c>
      <c r="C275" s="4">
        <f>Fact_Quality_Sampling!C275</f>
        <v>15</v>
      </c>
      <c r="D275" s="4" t="str">
        <f>Fact_Quality_Sampling!D275</f>
        <v>M1</v>
      </c>
      <c r="E275" s="4" t="str">
        <f>Fact_Quality_Sampling!E275</f>
        <v>A-AM</v>
      </c>
      <c r="F275" s="4" t="str">
        <f>Fact_Quality_Sampling!F275</f>
        <v>C</v>
      </c>
      <c r="G275" s="4">
        <f>ROUND(Fact_Quality_Sampling!I275*0.43,0)</f>
        <v>0</v>
      </c>
      <c r="H275" s="4">
        <f>Fact_Quality_Sampling!I275-G275</f>
        <v>0</v>
      </c>
      <c r="I275" s="4">
        <f>ROUND(Fact_Quality_Sampling!J275*0.43,0)</f>
        <v>0</v>
      </c>
      <c r="J275" s="4">
        <f>Fact_Quality_Sampling!J275-I275</f>
        <v>0</v>
      </c>
      <c r="K275" s="4">
        <f>ROUND(Fact_Quality_Sampling!K275*0.55,0)</f>
        <v>1</v>
      </c>
      <c r="L275" s="19">
        <f>Fact_Quality_Sampling!K275-K275</f>
        <v>0</v>
      </c>
    </row>
    <row r="276" spans="1:12" x14ac:dyDescent="0.25">
      <c r="A276" s="18" t="str">
        <f>Fact_Quality_Sampling!A276</f>
        <v>QS-275</v>
      </c>
      <c r="B276" s="4">
        <f>Fact_Quality_Sampling!B276</f>
        <v>20260702</v>
      </c>
      <c r="C276" s="4">
        <f>Fact_Quality_Sampling!C276</f>
        <v>15</v>
      </c>
      <c r="D276" s="4" t="str">
        <f>Fact_Quality_Sampling!D276</f>
        <v>M2</v>
      </c>
      <c r="E276" s="4" t="str">
        <f>Fact_Quality_Sampling!E276</f>
        <v>A-AM</v>
      </c>
      <c r="F276" s="4" t="str">
        <f>Fact_Quality_Sampling!F276</f>
        <v>A</v>
      </c>
      <c r="G276" s="4">
        <f>ROUND(Fact_Quality_Sampling!I276*0.61,0)</f>
        <v>0</v>
      </c>
      <c r="H276" s="4">
        <f>Fact_Quality_Sampling!I276-G276</f>
        <v>0</v>
      </c>
      <c r="I276" s="4">
        <f>ROUND(Fact_Quality_Sampling!J276*0.53,0)</f>
        <v>1</v>
      </c>
      <c r="J276" s="4">
        <f>Fact_Quality_Sampling!J276-I276</f>
        <v>0</v>
      </c>
      <c r="K276" s="4">
        <f>ROUND(Fact_Quality_Sampling!K276*0.47,0)</f>
        <v>0</v>
      </c>
      <c r="L276" s="19">
        <f>Fact_Quality_Sampling!K276-K276</f>
        <v>1</v>
      </c>
    </row>
    <row r="277" spans="1:12" x14ac:dyDescent="0.25">
      <c r="A277" s="18" t="str">
        <f>Fact_Quality_Sampling!A277</f>
        <v>QS-276</v>
      </c>
      <c r="B277" s="4">
        <f>Fact_Quality_Sampling!B277</f>
        <v>20260702</v>
      </c>
      <c r="C277" s="4">
        <f>Fact_Quality_Sampling!C277</f>
        <v>15</v>
      </c>
      <c r="D277" s="4" t="str">
        <f>Fact_Quality_Sampling!D277</f>
        <v>M3</v>
      </c>
      <c r="E277" s="4" t="str">
        <f>Fact_Quality_Sampling!E277</f>
        <v>A-AM</v>
      </c>
      <c r="F277" s="4" t="str">
        <f>Fact_Quality_Sampling!F277</f>
        <v>A</v>
      </c>
      <c r="G277" s="4">
        <f>ROUND(Fact_Quality_Sampling!I277*0.53,0)</f>
        <v>0</v>
      </c>
      <c r="H277" s="4">
        <f>Fact_Quality_Sampling!I277-G277</f>
        <v>0</v>
      </c>
      <c r="I277" s="4">
        <f>ROUND(Fact_Quality_Sampling!J277*0.59,0)</f>
        <v>0</v>
      </c>
      <c r="J277" s="4">
        <f>Fact_Quality_Sampling!J277-I277</f>
        <v>0</v>
      </c>
      <c r="K277" s="4">
        <f>ROUND(Fact_Quality_Sampling!K277*0.6,0)</f>
        <v>0</v>
      </c>
      <c r="L277" s="19">
        <f>Fact_Quality_Sampling!K277-K277</f>
        <v>0</v>
      </c>
    </row>
    <row r="278" spans="1:12" x14ac:dyDescent="0.25">
      <c r="A278" s="18" t="str">
        <f>Fact_Quality_Sampling!A278</f>
        <v>QS-277</v>
      </c>
      <c r="B278" s="4">
        <f>Fact_Quality_Sampling!B278</f>
        <v>20260702</v>
      </c>
      <c r="C278" s="4">
        <f>Fact_Quality_Sampling!C278</f>
        <v>15</v>
      </c>
      <c r="D278" s="4" t="str">
        <f>Fact_Quality_Sampling!D278</f>
        <v>M4</v>
      </c>
      <c r="E278" s="4" t="str">
        <f>Fact_Quality_Sampling!E278</f>
        <v>A-AM</v>
      </c>
      <c r="F278" s="4" t="str">
        <f>Fact_Quality_Sampling!F278</f>
        <v>A</v>
      </c>
      <c r="G278" s="4">
        <f>ROUND(Fact_Quality_Sampling!I278*0.62,0)</f>
        <v>0</v>
      </c>
      <c r="H278" s="4">
        <f>Fact_Quality_Sampling!I278-G278</f>
        <v>0</v>
      </c>
      <c r="I278" s="4">
        <f>ROUND(Fact_Quality_Sampling!J278*0.65,0)</f>
        <v>1</v>
      </c>
      <c r="J278" s="4">
        <f>Fact_Quality_Sampling!J278-I278</f>
        <v>0</v>
      </c>
      <c r="K278" s="4">
        <f>ROUND(Fact_Quality_Sampling!K278*0.6,0)</f>
        <v>1</v>
      </c>
      <c r="L278" s="19">
        <f>Fact_Quality_Sampling!K278-K278</f>
        <v>0</v>
      </c>
    </row>
    <row r="279" spans="1:12" x14ac:dyDescent="0.25">
      <c r="A279" s="18" t="str">
        <f>Fact_Quality_Sampling!A279</f>
        <v>QS-278</v>
      </c>
      <c r="B279" s="4">
        <f>Fact_Quality_Sampling!B279</f>
        <v>20260702</v>
      </c>
      <c r="C279" s="4">
        <f>Fact_Quality_Sampling!C279</f>
        <v>15</v>
      </c>
      <c r="D279" s="4" t="str">
        <f>Fact_Quality_Sampling!D279</f>
        <v>M5</v>
      </c>
      <c r="E279" s="4" t="str">
        <f>Fact_Quality_Sampling!E279</f>
        <v>A-AM</v>
      </c>
      <c r="F279" s="4" t="str">
        <f>Fact_Quality_Sampling!F279</f>
        <v>C</v>
      </c>
      <c r="G279" s="4">
        <f>ROUND(Fact_Quality_Sampling!I279*0.44,0)</f>
        <v>0</v>
      </c>
      <c r="H279" s="4">
        <f>Fact_Quality_Sampling!I279-G279</f>
        <v>0</v>
      </c>
      <c r="I279" s="4">
        <f>ROUND(Fact_Quality_Sampling!J279*0.65,0)</f>
        <v>1</v>
      </c>
      <c r="J279" s="4">
        <f>Fact_Quality_Sampling!J279-I279</f>
        <v>0</v>
      </c>
      <c r="K279" s="4">
        <f>ROUND(Fact_Quality_Sampling!K279*0.49,0)</f>
        <v>0</v>
      </c>
      <c r="L279" s="19">
        <f>Fact_Quality_Sampling!K279-K279</f>
        <v>1</v>
      </c>
    </row>
    <row r="280" spans="1:12" x14ac:dyDescent="0.25">
      <c r="A280" s="18" t="str">
        <f>Fact_Quality_Sampling!A280</f>
        <v>QS-279</v>
      </c>
      <c r="B280" s="4">
        <f>Fact_Quality_Sampling!B280</f>
        <v>20260702</v>
      </c>
      <c r="C280" s="4">
        <f>Fact_Quality_Sampling!C280</f>
        <v>15</v>
      </c>
      <c r="D280" s="4" t="str">
        <f>Fact_Quality_Sampling!D280</f>
        <v>M6</v>
      </c>
      <c r="E280" s="4" t="str">
        <f>Fact_Quality_Sampling!E280</f>
        <v>A-AM</v>
      </c>
      <c r="F280" s="4" t="str">
        <f>Fact_Quality_Sampling!F280</f>
        <v>C</v>
      </c>
      <c r="G280" s="4">
        <f>ROUND(Fact_Quality_Sampling!I280*0.57,0)</f>
        <v>0</v>
      </c>
      <c r="H280" s="4">
        <f>Fact_Quality_Sampling!I280-G280</f>
        <v>0</v>
      </c>
      <c r="I280" s="4">
        <f>ROUND(Fact_Quality_Sampling!J280*0.51,0)</f>
        <v>0</v>
      </c>
      <c r="J280" s="4">
        <f>Fact_Quality_Sampling!J280-I280</f>
        <v>0</v>
      </c>
      <c r="K280" s="4">
        <f>ROUND(Fact_Quality_Sampling!K280*0.62,0)</f>
        <v>0</v>
      </c>
      <c r="L280" s="19">
        <f>Fact_Quality_Sampling!K280-K280</f>
        <v>0</v>
      </c>
    </row>
    <row r="281" spans="1:12" x14ac:dyDescent="0.25">
      <c r="A281" s="18" t="str">
        <f>Fact_Quality_Sampling!A281</f>
        <v>QS-280</v>
      </c>
      <c r="B281" s="4">
        <f>Fact_Quality_Sampling!B281</f>
        <v>20260702</v>
      </c>
      <c r="C281" s="4">
        <f>Fact_Quality_Sampling!C281</f>
        <v>15</v>
      </c>
      <c r="D281" s="4" t="str">
        <f>Fact_Quality_Sampling!D281</f>
        <v>M7</v>
      </c>
      <c r="E281" s="4" t="str">
        <f>Fact_Quality_Sampling!E281</f>
        <v>A-AM</v>
      </c>
      <c r="F281" s="4" t="str">
        <f>Fact_Quality_Sampling!F281</f>
        <v>C</v>
      </c>
      <c r="G281" s="4">
        <f>ROUND(Fact_Quality_Sampling!I281*0.46,0)</f>
        <v>0</v>
      </c>
      <c r="H281" s="4">
        <f>Fact_Quality_Sampling!I281-G281</f>
        <v>0</v>
      </c>
      <c r="I281" s="4">
        <f>ROUND(Fact_Quality_Sampling!J281*0.47,0)</f>
        <v>0</v>
      </c>
      <c r="J281" s="4">
        <f>Fact_Quality_Sampling!J281-I281</f>
        <v>1</v>
      </c>
      <c r="K281" s="4">
        <f>ROUND(Fact_Quality_Sampling!K281*0.47,0)</f>
        <v>0</v>
      </c>
      <c r="L281" s="19">
        <f>Fact_Quality_Sampling!K281-K281</f>
        <v>1</v>
      </c>
    </row>
    <row r="282" spans="1:12" x14ac:dyDescent="0.25">
      <c r="A282" s="18" t="str">
        <f>Fact_Quality_Sampling!A282</f>
        <v>QS-281</v>
      </c>
      <c r="B282" s="4">
        <f>Fact_Quality_Sampling!B282</f>
        <v>20260702</v>
      </c>
      <c r="C282" s="4">
        <f>Fact_Quality_Sampling!C282</f>
        <v>16</v>
      </c>
      <c r="D282" s="4" t="str">
        <f>Fact_Quality_Sampling!D282</f>
        <v>M1</v>
      </c>
      <c r="E282" s="4" t="str">
        <f>Fact_Quality_Sampling!E282</f>
        <v>A-AM</v>
      </c>
      <c r="F282" s="4" t="str">
        <f>Fact_Quality_Sampling!F282</f>
        <v>C</v>
      </c>
      <c r="G282" s="4">
        <f>ROUND(Fact_Quality_Sampling!I282*0.45,0)</f>
        <v>0</v>
      </c>
      <c r="H282" s="4">
        <f>Fact_Quality_Sampling!I282-G282</f>
        <v>0</v>
      </c>
      <c r="I282" s="4">
        <f>ROUND(Fact_Quality_Sampling!J282*0.67,0)</f>
        <v>1</v>
      </c>
      <c r="J282" s="4">
        <f>Fact_Quality_Sampling!J282-I282</f>
        <v>0</v>
      </c>
      <c r="K282" s="4">
        <f>ROUND(Fact_Quality_Sampling!K282*0.57,0)</f>
        <v>1</v>
      </c>
      <c r="L282" s="19">
        <f>Fact_Quality_Sampling!K282-K282</f>
        <v>0</v>
      </c>
    </row>
    <row r="283" spans="1:12" x14ac:dyDescent="0.25">
      <c r="A283" s="18" t="str">
        <f>Fact_Quality_Sampling!A283</f>
        <v>QS-282</v>
      </c>
      <c r="B283" s="4">
        <f>Fact_Quality_Sampling!B283</f>
        <v>20260702</v>
      </c>
      <c r="C283" s="4">
        <f>Fact_Quality_Sampling!C283</f>
        <v>16</v>
      </c>
      <c r="D283" s="4" t="str">
        <f>Fact_Quality_Sampling!D283</f>
        <v>M2</v>
      </c>
      <c r="E283" s="4" t="str">
        <f>Fact_Quality_Sampling!E283</f>
        <v>A-AM</v>
      </c>
      <c r="F283" s="4" t="str">
        <f>Fact_Quality_Sampling!F283</f>
        <v>A</v>
      </c>
      <c r="G283" s="4">
        <f>ROUND(Fact_Quality_Sampling!I283*0.5,0)</f>
        <v>0</v>
      </c>
      <c r="H283" s="4">
        <f>Fact_Quality_Sampling!I283-G283</f>
        <v>0</v>
      </c>
      <c r="I283" s="4">
        <f>ROUND(Fact_Quality_Sampling!J283*0.52,0)</f>
        <v>0</v>
      </c>
      <c r="J283" s="4">
        <f>Fact_Quality_Sampling!J283-I283</f>
        <v>0</v>
      </c>
      <c r="K283" s="4">
        <f>ROUND(Fact_Quality_Sampling!K283*0.7,0)</f>
        <v>1</v>
      </c>
      <c r="L283" s="19">
        <f>Fact_Quality_Sampling!K283-K283</f>
        <v>0</v>
      </c>
    </row>
    <row r="284" spans="1:12" x14ac:dyDescent="0.25">
      <c r="A284" s="18" t="str">
        <f>Fact_Quality_Sampling!A284</f>
        <v>QS-283</v>
      </c>
      <c r="B284" s="4">
        <f>Fact_Quality_Sampling!B284</f>
        <v>20260702</v>
      </c>
      <c r="C284" s="4">
        <f>Fact_Quality_Sampling!C284</f>
        <v>16</v>
      </c>
      <c r="D284" s="4" t="str">
        <f>Fact_Quality_Sampling!D284</f>
        <v>M3</v>
      </c>
      <c r="E284" s="4" t="str">
        <f>Fact_Quality_Sampling!E284</f>
        <v>A-AM</v>
      </c>
      <c r="F284" s="4" t="str">
        <f>Fact_Quality_Sampling!F284</f>
        <v>A</v>
      </c>
      <c r="G284" s="4">
        <f>ROUND(Fact_Quality_Sampling!I284*0.55,0)</f>
        <v>0</v>
      </c>
      <c r="H284" s="4">
        <f>Fact_Quality_Sampling!I284-G284</f>
        <v>0</v>
      </c>
      <c r="I284" s="4">
        <f>ROUND(Fact_Quality_Sampling!J284*0.47,0)</f>
        <v>0</v>
      </c>
      <c r="J284" s="4">
        <f>Fact_Quality_Sampling!J284-I284</f>
        <v>0</v>
      </c>
      <c r="K284" s="4">
        <f>ROUND(Fact_Quality_Sampling!K284*0.64,0)</f>
        <v>0</v>
      </c>
      <c r="L284" s="19">
        <f>Fact_Quality_Sampling!K284-K284</f>
        <v>0</v>
      </c>
    </row>
    <row r="285" spans="1:12" x14ac:dyDescent="0.25">
      <c r="A285" s="18" t="str">
        <f>Fact_Quality_Sampling!A285</f>
        <v>QS-284</v>
      </c>
      <c r="B285" s="4">
        <f>Fact_Quality_Sampling!B285</f>
        <v>20260702</v>
      </c>
      <c r="C285" s="4">
        <f>Fact_Quality_Sampling!C285</f>
        <v>16</v>
      </c>
      <c r="D285" s="4" t="str">
        <f>Fact_Quality_Sampling!D285</f>
        <v>M4</v>
      </c>
      <c r="E285" s="4" t="str">
        <f>Fact_Quality_Sampling!E285</f>
        <v>A-AM</v>
      </c>
      <c r="F285" s="4" t="str">
        <f>Fact_Quality_Sampling!F285</f>
        <v>A</v>
      </c>
      <c r="G285" s="4">
        <f>ROUND(Fact_Quality_Sampling!I285*0.6,0)</f>
        <v>0</v>
      </c>
      <c r="H285" s="4">
        <f>Fact_Quality_Sampling!I285-G285</f>
        <v>0</v>
      </c>
      <c r="I285" s="4">
        <f>ROUND(Fact_Quality_Sampling!J285*0.7,0)</f>
        <v>1</v>
      </c>
      <c r="J285" s="4">
        <f>Fact_Quality_Sampling!J285-I285</f>
        <v>0</v>
      </c>
      <c r="K285" s="4">
        <f>ROUND(Fact_Quality_Sampling!K285*0.43,0)</f>
        <v>1</v>
      </c>
      <c r="L285" s="19">
        <f>Fact_Quality_Sampling!K285-K285</f>
        <v>1</v>
      </c>
    </row>
    <row r="286" spans="1:12" x14ac:dyDescent="0.25">
      <c r="A286" s="18" t="str">
        <f>Fact_Quality_Sampling!A286</f>
        <v>QS-285</v>
      </c>
      <c r="B286" s="4">
        <f>Fact_Quality_Sampling!B286</f>
        <v>20260702</v>
      </c>
      <c r="C286" s="4">
        <f>Fact_Quality_Sampling!C286</f>
        <v>16</v>
      </c>
      <c r="D286" s="4" t="str">
        <f>Fact_Quality_Sampling!D286</f>
        <v>M5</v>
      </c>
      <c r="E286" s="4" t="str">
        <f>Fact_Quality_Sampling!E286</f>
        <v>A-AM</v>
      </c>
      <c r="F286" s="4" t="str">
        <f>Fact_Quality_Sampling!F286</f>
        <v>C</v>
      </c>
      <c r="G286" s="4">
        <f>ROUND(Fact_Quality_Sampling!I286*0.54,0)</f>
        <v>0</v>
      </c>
      <c r="H286" s="4">
        <f>Fact_Quality_Sampling!I286-G286</f>
        <v>0</v>
      </c>
      <c r="I286" s="4">
        <f>ROUND(Fact_Quality_Sampling!J286*0.65,0)</f>
        <v>0</v>
      </c>
      <c r="J286" s="4">
        <f>Fact_Quality_Sampling!J286-I286</f>
        <v>0</v>
      </c>
      <c r="K286" s="4">
        <f>ROUND(Fact_Quality_Sampling!K286*0.65,0)</f>
        <v>1</v>
      </c>
      <c r="L286" s="19">
        <f>Fact_Quality_Sampling!K286-K286</f>
        <v>0</v>
      </c>
    </row>
    <row r="287" spans="1:12" x14ac:dyDescent="0.25">
      <c r="A287" s="18" t="str">
        <f>Fact_Quality_Sampling!A287</f>
        <v>QS-286</v>
      </c>
      <c r="B287" s="4">
        <f>Fact_Quality_Sampling!B287</f>
        <v>20260702</v>
      </c>
      <c r="C287" s="4">
        <f>Fact_Quality_Sampling!C287</f>
        <v>16</v>
      </c>
      <c r="D287" s="4" t="str">
        <f>Fact_Quality_Sampling!D287</f>
        <v>M6</v>
      </c>
      <c r="E287" s="4" t="str">
        <f>Fact_Quality_Sampling!E287</f>
        <v>A-AM</v>
      </c>
      <c r="F287" s="4" t="str">
        <f>Fact_Quality_Sampling!F287</f>
        <v>C</v>
      </c>
      <c r="G287" s="4">
        <f>ROUND(Fact_Quality_Sampling!I287*0.67,0)</f>
        <v>0</v>
      </c>
      <c r="H287" s="4">
        <f>Fact_Quality_Sampling!I287-G287</f>
        <v>0</v>
      </c>
      <c r="I287" s="4">
        <f>ROUND(Fact_Quality_Sampling!J287*0.41,0)</f>
        <v>0</v>
      </c>
      <c r="J287" s="4">
        <f>Fact_Quality_Sampling!J287-I287</f>
        <v>0</v>
      </c>
      <c r="K287" s="4">
        <f>ROUND(Fact_Quality_Sampling!K287*0.49,0)</f>
        <v>0</v>
      </c>
      <c r="L287" s="19">
        <f>Fact_Quality_Sampling!K287-K287</f>
        <v>1</v>
      </c>
    </row>
    <row r="288" spans="1:12" x14ac:dyDescent="0.25">
      <c r="A288" s="18" t="str">
        <f>Fact_Quality_Sampling!A288</f>
        <v>QS-287</v>
      </c>
      <c r="B288" s="4">
        <f>Fact_Quality_Sampling!B288</f>
        <v>20260702</v>
      </c>
      <c r="C288" s="4">
        <f>Fact_Quality_Sampling!C288</f>
        <v>16</v>
      </c>
      <c r="D288" s="4" t="str">
        <f>Fact_Quality_Sampling!D288</f>
        <v>M7</v>
      </c>
      <c r="E288" s="4" t="str">
        <f>Fact_Quality_Sampling!E288</f>
        <v>A-AM</v>
      </c>
      <c r="F288" s="4" t="str">
        <f>Fact_Quality_Sampling!F288</f>
        <v>C</v>
      </c>
      <c r="G288" s="4">
        <f>ROUND(Fact_Quality_Sampling!I288*0.44,0)</f>
        <v>0</v>
      </c>
      <c r="H288" s="4">
        <f>Fact_Quality_Sampling!I288-G288</f>
        <v>0</v>
      </c>
      <c r="I288" s="4">
        <f>ROUND(Fact_Quality_Sampling!J288*0.46,0)</f>
        <v>0</v>
      </c>
      <c r="J288" s="4">
        <f>Fact_Quality_Sampling!J288-I288</f>
        <v>1</v>
      </c>
      <c r="K288" s="4">
        <f>ROUND(Fact_Quality_Sampling!K288*0.69,0)</f>
        <v>1</v>
      </c>
      <c r="L288" s="19">
        <f>Fact_Quality_Sampling!K288-K288</f>
        <v>1</v>
      </c>
    </row>
    <row r="289" spans="1:12" x14ac:dyDescent="0.25">
      <c r="A289" s="18" t="str">
        <f>Fact_Quality_Sampling!A289</f>
        <v>QS-288</v>
      </c>
      <c r="B289" s="4">
        <f>Fact_Quality_Sampling!B289</f>
        <v>20260702</v>
      </c>
      <c r="C289" s="4">
        <f>Fact_Quality_Sampling!C289</f>
        <v>17</v>
      </c>
      <c r="D289" s="4" t="str">
        <f>Fact_Quality_Sampling!D289</f>
        <v>M1</v>
      </c>
      <c r="E289" s="4" t="str">
        <f>Fact_Quality_Sampling!E289</f>
        <v>A-AM</v>
      </c>
      <c r="F289" s="4" t="str">
        <f>Fact_Quality_Sampling!F289</f>
        <v>C</v>
      </c>
      <c r="G289" s="4">
        <f>ROUND(Fact_Quality_Sampling!I289*0.57,0)</f>
        <v>0</v>
      </c>
      <c r="H289" s="4">
        <f>Fact_Quality_Sampling!I289-G289</f>
        <v>0</v>
      </c>
      <c r="I289" s="4">
        <f>ROUND(Fact_Quality_Sampling!J289*0.68,0)</f>
        <v>1</v>
      </c>
      <c r="J289" s="4">
        <f>Fact_Quality_Sampling!J289-I289</f>
        <v>0</v>
      </c>
      <c r="K289" s="4">
        <f>ROUND(Fact_Quality_Sampling!K289*0.51,0)</f>
        <v>1</v>
      </c>
      <c r="L289" s="19">
        <f>Fact_Quality_Sampling!K289-K289</f>
        <v>0</v>
      </c>
    </row>
    <row r="290" spans="1:12" x14ac:dyDescent="0.25">
      <c r="A290" s="18" t="str">
        <f>Fact_Quality_Sampling!A290</f>
        <v>QS-289</v>
      </c>
      <c r="B290" s="4">
        <f>Fact_Quality_Sampling!B290</f>
        <v>20260702</v>
      </c>
      <c r="C290" s="4">
        <f>Fact_Quality_Sampling!C290</f>
        <v>17</v>
      </c>
      <c r="D290" s="4" t="str">
        <f>Fact_Quality_Sampling!D290</f>
        <v>M2</v>
      </c>
      <c r="E290" s="4" t="str">
        <f>Fact_Quality_Sampling!E290</f>
        <v>A-AM</v>
      </c>
      <c r="F290" s="4" t="str">
        <f>Fact_Quality_Sampling!F290</f>
        <v>A</v>
      </c>
      <c r="G290" s="4">
        <f>ROUND(Fact_Quality_Sampling!I290*0.66,0)</f>
        <v>0</v>
      </c>
      <c r="H290" s="4">
        <f>Fact_Quality_Sampling!I290-G290</f>
        <v>0</v>
      </c>
      <c r="I290" s="4">
        <f>ROUND(Fact_Quality_Sampling!J290*0.53,0)</f>
        <v>1</v>
      </c>
      <c r="J290" s="4">
        <f>Fact_Quality_Sampling!J290-I290</f>
        <v>0</v>
      </c>
      <c r="K290" s="4">
        <f>ROUND(Fact_Quality_Sampling!K290*0.48,0)</f>
        <v>0</v>
      </c>
      <c r="L290" s="19">
        <f>Fact_Quality_Sampling!K290-K290</f>
        <v>1</v>
      </c>
    </row>
    <row r="291" spans="1:12" x14ac:dyDescent="0.25">
      <c r="A291" s="18" t="str">
        <f>Fact_Quality_Sampling!A291</f>
        <v>QS-290</v>
      </c>
      <c r="B291" s="4">
        <f>Fact_Quality_Sampling!B291</f>
        <v>20260702</v>
      </c>
      <c r="C291" s="4">
        <f>Fact_Quality_Sampling!C291</f>
        <v>17</v>
      </c>
      <c r="D291" s="4" t="str">
        <f>Fact_Quality_Sampling!D291</f>
        <v>M3</v>
      </c>
      <c r="E291" s="4" t="str">
        <f>Fact_Quality_Sampling!E291</f>
        <v>A-AM</v>
      </c>
      <c r="F291" s="4" t="str">
        <f>Fact_Quality_Sampling!F291</f>
        <v>A</v>
      </c>
      <c r="G291" s="4">
        <f>ROUND(Fact_Quality_Sampling!I291*0.63,0)</f>
        <v>0</v>
      </c>
      <c r="H291" s="4">
        <f>Fact_Quality_Sampling!I291-G291</f>
        <v>0</v>
      </c>
      <c r="I291" s="4">
        <f>ROUND(Fact_Quality_Sampling!J291*0.68,0)</f>
        <v>0</v>
      </c>
      <c r="J291" s="4">
        <f>Fact_Quality_Sampling!J291-I291</f>
        <v>0</v>
      </c>
      <c r="K291" s="4">
        <f>ROUND(Fact_Quality_Sampling!K291*0.43,0)</f>
        <v>0</v>
      </c>
      <c r="L291" s="19">
        <f>Fact_Quality_Sampling!K291-K291</f>
        <v>1</v>
      </c>
    </row>
    <row r="292" spans="1:12" x14ac:dyDescent="0.25">
      <c r="A292" s="18" t="str">
        <f>Fact_Quality_Sampling!A292</f>
        <v>QS-291</v>
      </c>
      <c r="B292" s="4">
        <f>Fact_Quality_Sampling!B292</f>
        <v>20260702</v>
      </c>
      <c r="C292" s="4">
        <f>Fact_Quality_Sampling!C292</f>
        <v>17</v>
      </c>
      <c r="D292" s="4" t="str">
        <f>Fact_Quality_Sampling!D292</f>
        <v>M4</v>
      </c>
      <c r="E292" s="4" t="str">
        <f>Fact_Quality_Sampling!E292</f>
        <v>A-AM</v>
      </c>
      <c r="F292" s="4" t="str">
        <f>Fact_Quality_Sampling!F292</f>
        <v>A</v>
      </c>
      <c r="G292" s="4">
        <f>ROUND(Fact_Quality_Sampling!I292*0.58,0)</f>
        <v>0</v>
      </c>
      <c r="H292" s="4">
        <f>Fact_Quality_Sampling!I292-G292</f>
        <v>0</v>
      </c>
      <c r="I292" s="4">
        <f>ROUND(Fact_Quality_Sampling!J292*0.59,0)</f>
        <v>1</v>
      </c>
      <c r="J292" s="4">
        <f>Fact_Quality_Sampling!J292-I292</f>
        <v>0</v>
      </c>
      <c r="K292" s="4">
        <f>ROUND(Fact_Quality_Sampling!K292*0.47,0)</f>
        <v>1</v>
      </c>
      <c r="L292" s="19">
        <f>Fact_Quality_Sampling!K292-K292</f>
        <v>1</v>
      </c>
    </row>
    <row r="293" spans="1:12" x14ac:dyDescent="0.25">
      <c r="A293" s="18" t="str">
        <f>Fact_Quality_Sampling!A293</f>
        <v>QS-292</v>
      </c>
      <c r="B293" s="4">
        <f>Fact_Quality_Sampling!B293</f>
        <v>20260702</v>
      </c>
      <c r="C293" s="4">
        <f>Fact_Quality_Sampling!C293</f>
        <v>17</v>
      </c>
      <c r="D293" s="4" t="str">
        <f>Fact_Quality_Sampling!D293</f>
        <v>M5</v>
      </c>
      <c r="E293" s="4" t="str">
        <f>Fact_Quality_Sampling!E293</f>
        <v>A-AM</v>
      </c>
      <c r="F293" s="4" t="str">
        <f>Fact_Quality_Sampling!F293</f>
        <v>C</v>
      </c>
      <c r="G293" s="4">
        <f>ROUND(Fact_Quality_Sampling!I293*0.51,0)</f>
        <v>0</v>
      </c>
      <c r="H293" s="4">
        <f>Fact_Quality_Sampling!I293-G293</f>
        <v>0</v>
      </c>
      <c r="I293" s="4">
        <f>ROUND(Fact_Quality_Sampling!J293*0.44,0)</f>
        <v>0</v>
      </c>
      <c r="J293" s="4">
        <f>Fact_Quality_Sampling!J293-I293</f>
        <v>0</v>
      </c>
      <c r="K293" s="4">
        <f>ROUND(Fact_Quality_Sampling!K293*0.46,0)</f>
        <v>0</v>
      </c>
      <c r="L293" s="19">
        <f>Fact_Quality_Sampling!K293-K293</f>
        <v>1</v>
      </c>
    </row>
    <row r="294" spans="1:12" x14ac:dyDescent="0.25">
      <c r="A294" s="18" t="str">
        <f>Fact_Quality_Sampling!A294</f>
        <v>QS-293</v>
      </c>
      <c r="B294" s="4">
        <f>Fact_Quality_Sampling!B294</f>
        <v>20260702</v>
      </c>
      <c r="C294" s="4">
        <f>Fact_Quality_Sampling!C294</f>
        <v>17</v>
      </c>
      <c r="D294" s="4" t="str">
        <f>Fact_Quality_Sampling!D294</f>
        <v>M6</v>
      </c>
      <c r="E294" s="4" t="str">
        <f>Fact_Quality_Sampling!E294</f>
        <v>A-AM</v>
      </c>
      <c r="F294" s="4" t="str">
        <f>Fact_Quality_Sampling!F294</f>
        <v>C</v>
      </c>
      <c r="G294" s="4">
        <f>ROUND(Fact_Quality_Sampling!I294*0.48,0)</f>
        <v>0</v>
      </c>
      <c r="H294" s="4">
        <f>Fact_Quality_Sampling!I294-G294</f>
        <v>0</v>
      </c>
      <c r="I294" s="4">
        <f>ROUND(Fact_Quality_Sampling!J294*0.58,0)</f>
        <v>0</v>
      </c>
      <c r="J294" s="4">
        <f>Fact_Quality_Sampling!J294-I294</f>
        <v>0</v>
      </c>
      <c r="K294" s="4">
        <f>ROUND(Fact_Quality_Sampling!K294*0.6,0)</f>
        <v>1</v>
      </c>
      <c r="L294" s="19">
        <f>Fact_Quality_Sampling!K294-K294</f>
        <v>0</v>
      </c>
    </row>
    <row r="295" spans="1:12" x14ac:dyDescent="0.25">
      <c r="A295" s="18" t="str">
        <f>Fact_Quality_Sampling!A295</f>
        <v>QS-294</v>
      </c>
      <c r="B295" s="4">
        <f>Fact_Quality_Sampling!B295</f>
        <v>20260702</v>
      </c>
      <c r="C295" s="4">
        <f>Fact_Quality_Sampling!C295</f>
        <v>17</v>
      </c>
      <c r="D295" s="4" t="str">
        <f>Fact_Quality_Sampling!D295</f>
        <v>M7</v>
      </c>
      <c r="E295" s="4" t="str">
        <f>Fact_Quality_Sampling!E295</f>
        <v>A-AM</v>
      </c>
      <c r="F295" s="4" t="str">
        <f>Fact_Quality_Sampling!F295</f>
        <v>C</v>
      </c>
      <c r="G295" s="4">
        <f>ROUND(Fact_Quality_Sampling!I295*0.46,0)</f>
        <v>0</v>
      </c>
      <c r="H295" s="4">
        <f>Fact_Quality_Sampling!I295-G295</f>
        <v>0</v>
      </c>
      <c r="I295" s="4">
        <f>ROUND(Fact_Quality_Sampling!J295*0.4,0)</f>
        <v>0</v>
      </c>
      <c r="J295" s="4">
        <f>Fact_Quality_Sampling!J295-I295</f>
        <v>1</v>
      </c>
      <c r="K295" s="4">
        <f>ROUND(Fact_Quality_Sampling!K295*0.5,0)</f>
        <v>1</v>
      </c>
      <c r="L295" s="19">
        <f>Fact_Quality_Sampling!K295-K295</f>
        <v>1</v>
      </c>
    </row>
    <row r="296" spans="1:12" x14ac:dyDescent="0.25">
      <c r="A296" s="18" t="str">
        <f>Fact_Quality_Sampling!A296</f>
        <v>QS-295</v>
      </c>
      <c r="B296" s="4">
        <f>Fact_Quality_Sampling!B296</f>
        <v>20260702</v>
      </c>
      <c r="C296" s="4">
        <f>Fact_Quality_Sampling!C296</f>
        <v>18</v>
      </c>
      <c r="D296" s="4" t="str">
        <f>Fact_Quality_Sampling!D296</f>
        <v>M1</v>
      </c>
      <c r="E296" s="4" t="str">
        <f>Fact_Quality_Sampling!E296</f>
        <v>B-PM</v>
      </c>
      <c r="F296" s="4" t="str">
        <f>Fact_Quality_Sampling!F296</f>
        <v>B</v>
      </c>
      <c r="G296" s="4">
        <f>ROUND(Fact_Quality_Sampling!I296*0.6,0)</f>
        <v>0</v>
      </c>
      <c r="H296" s="4">
        <f>Fact_Quality_Sampling!I296-G296</f>
        <v>0</v>
      </c>
      <c r="I296" s="4">
        <f>ROUND(Fact_Quality_Sampling!J296*0.46,0)</f>
        <v>0</v>
      </c>
      <c r="J296" s="4">
        <f>Fact_Quality_Sampling!J296-I296</f>
        <v>0</v>
      </c>
      <c r="K296" s="4">
        <f>ROUND(Fact_Quality_Sampling!K296*0.49,0)</f>
        <v>0</v>
      </c>
      <c r="L296" s="19">
        <f>Fact_Quality_Sampling!K296-K296</f>
        <v>1</v>
      </c>
    </row>
    <row r="297" spans="1:12" x14ac:dyDescent="0.25">
      <c r="A297" s="18" t="str">
        <f>Fact_Quality_Sampling!A297</f>
        <v>QS-296</v>
      </c>
      <c r="B297" s="4">
        <f>Fact_Quality_Sampling!B297</f>
        <v>20260702</v>
      </c>
      <c r="C297" s="4">
        <f>Fact_Quality_Sampling!C297</f>
        <v>18</v>
      </c>
      <c r="D297" s="4" t="str">
        <f>Fact_Quality_Sampling!D297</f>
        <v>M2</v>
      </c>
      <c r="E297" s="4" t="str">
        <f>Fact_Quality_Sampling!E297</f>
        <v>B-PM</v>
      </c>
      <c r="F297" s="4" t="str">
        <f>Fact_Quality_Sampling!F297</f>
        <v>A</v>
      </c>
      <c r="G297" s="4">
        <f>ROUND(Fact_Quality_Sampling!I297*0.46,0)</f>
        <v>0</v>
      </c>
      <c r="H297" s="4">
        <f>Fact_Quality_Sampling!I297-G297</f>
        <v>0</v>
      </c>
      <c r="I297" s="4">
        <f>ROUND(Fact_Quality_Sampling!J297*0.64,0)</f>
        <v>1</v>
      </c>
      <c r="J297" s="4">
        <f>Fact_Quality_Sampling!J297-I297</f>
        <v>0</v>
      </c>
      <c r="K297" s="4">
        <f>ROUND(Fact_Quality_Sampling!K297*0.56,0)</f>
        <v>1</v>
      </c>
      <c r="L297" s="19">
        <f>Fact_Quality_Sampling!K297-K297</f>
        <v>0</v>
      </c>
    </row>
    <row r="298" spans="1:12" x14ac:dyDescent="0.25">
      <c r="A298" s="18" t="str">
        <f>Fact_Quality_Sampling!A298</f>
        <v>QS-297</v>
      </c>
      <c r="B298" s="4">
        <f>Fact_Quality_Sampling!B298</f>
        <v>20260702</v>
      </c>
      <c r="C298" s="4">
        <f>Fact_Quality_Sampling!C298</f>
        <v>18</v>
      </c>
      <c r="D298" s="4" t="str">
        <f>Fact_Quality_Sampling!D298</f>
        <v>M3</v>
      </c>
      <c r="E298" s="4" t="str">
        <f>Fact_Quality_Sampling!E298</f>
        <v>B-PM</v>
      </c>
      <c r="F298" s="4" t="str">
        <f>Fact_Quality_Sampling!F298</f>
        <v>A</v>
      </c>
      <c r="G298" s="4">
        <f>ROUND(Fact_Quality_Sampling!I298*0.42,0)</f>
        <v>0</v>
      </c>
      <c r="H298" s="4">
        <f>Fact_Quality_Sampling!I298-G298</f>
        <v>0</v>
      </c>
      <c r="I298" s="4">
        <f>ROUND(Fact_Quality_Sampling!J298*0.43,0)</f>
        <v>0</v>
      </c>
      <c r="J298" s="4">
        <f>Fact_Quality_Sampling!J298-I298</f>
        <v>0</v>
      </c>
      <c r="K298" s="4">
        <f>ROUND(Fact_Quality_Sampling!K298*0.52,0)</f>
        <v>1</v>
      </c>
      <c r="L298" s="19">
        <f>Fact_Quality_Sampling!K298-K298</f>
        <v>0</v>
      </c>
    </row>
    <row r="299" spans="1:12" x14ac:dyDescent="0.25">
      <c r="A299" s="18" t="str">
        <f>Fact_Quality_Sampling!A299</f>
        <v>QS-298</v>
      </c>
      <c r="B299" s="4">
        <f>Fact_Quality_Sampling!B299</f>
        <v>20260702</v>
      </c>
      <c r="C299" s="4">
        <f>Fact_Quality_Sampling!C299</f>
        <v>18</v>
      </c>
      <c r="D299" s="4" t="str">
        <f>Fact_Quality_Sampling!D299</f>
        <v>M4</v>
      </c>
      <c r="E299" s="4" t="str">
        <f>Fact_Quality_Sampling!E299</f>
        <v>B-PM</v>
      </c>
      <c r="F299" s="4" t="str">
        <f>Fact_Quality_Sampling!F299</f>
        <v>C</v>
      </c>
      <c r="G299" s="4">
        <f>ROUND(Fact_Quality_Sampling!I299*0.57,0)</f>
        <v>0</v>
      </c>
      <c r="H299" s="4">
        <f>Fact_Quality_Sampling!I299-G299</f>
        <v>0</v>
      </c>
      <c r="I299" s="4">
        <f>ROUND(Fact_Quality_Sampling!J299*0.59,0)</f>
        <v>1</v>
      </c>
      <c r="J299" s="4">
        <f>Fact_Quality_Sampling!J299-I299</f>
        <v>0</v>
      </c>
      <c r="K299" s="4">
        <f>ROUND(Fact_Quality_Sampling!K299*0.43,0)</f>
        <v>0</v>
      </c>
      <c r="L299" s="19">
        <f>Fact_Quality_Sampling!K299-K299</f>
        <v>1</v>
      </c>
    </row>
    <row r="300" spans="1:12" x14ac:dyDescent="0.25">
      <c r="A300" s="18" t="str">
        <f>Fact_Quality_Sampling!A300</f>
        <v>QS-299</v>
      </c>
      <c r="B300" s="4">
        <f>Fact_Quality_Sampling!B300</f>
        <v>20260702</v>
      </c>
      <c r="C300" s="4">
        <f>Fact_Quality_Sampling!C300</f>
        <v>18</v>
      </c>
      <c r="D300" s="4" t="str">
        <f>Fact_Quality_Sampling!D300</f>
        <v>M5</v>
      </c>
      <c r="E300" s="4" t="str">
        <f>Fact_Quality_Sampling!E300</f>
        <v>B-PM</v>
      </c>
      <c r="F300" s="4" t="str">
        <f>Fact_Quality_Sampling!F300</f>
        <v>A</v>
      </c>
      <c r="G300" s="4">
        <f>ROUND(Fact_Quality_Sampling!I300*0.45,0)</f>
        <v>0</v>
      </c>
      <c r="H300" s="4">
        <f>Fact_Quality_Sampling!I300-G300</f>
        <v>0</v>
      </c>
      <c r="I300" s="4">
        <f>ROUND(Fact_Quality_Sampling!J300*0.61,0)</f>
        <v>1</v>
      </c>
      <c r="J300" s="4">
        <f>Fact_Quality_Sampling!J300-I300</f>
        <v>0</v>
      </c>
      <c r="K300" s="4">
        <f>ROUND(Fact_Quality_Sampling!K300*0.52,0)</f>
        <v>1</v>
      </c>
      <c r="L300" s="19">
        <f>Fact_Quality_Sampling!K300-K300</f>
        <v>0</v>
      </c>
    </row>
    <row r="301" spans="1:12" x14ac:dyDescent="0.25">
      <c r="A301" s="18" t="str">
        <f>Fact_Quality_Sampling!A301</f>
        <v>QS-300</v>
      </c>
      <c r="B301" s="4">
        <f>Fact_Quality_Sampling!B301</f>
        <v>20260702</v>
      </c>
      <c r="C301" s="4">
        <f>Fact_Quality_Sampling!C301</f>
        <v>18</v>
      </c>
      <c r="D301" s="4" t="str">
        <f>Fact_Quality_Sampling!D301</f>
        <v>M6</v>
      </c>
      <c r="E301" s="4" t="str">
        <f>Fact_Quality_Sampling!E301</f>
        <v>B-PM</v>
      </c>
      <c r="F301" s="4" t="str">
        <f>Fact_Quality_Sampling!F301</f>
        <v>A</v>
      </c>
      <c r="G301" s="4">
        <f>ROUND(Fact_Quality_Sampling!I301*0.48,0)</f>
        <v>0</v>
      </c>
      <c r="H301" s="4">
        <f>Fact_Quality_Sampling!I301-G301</f>
        <v>0</v>
      </c>
      <c r="I301" s="4">
        <f>ROUND(Fact_Quality_Sampling!J301*0.49,0)</f>
        <v>0</v>
      </c>
      <c r="J301" s="4">
        <f>Fact_Quality_Sampling!J301-I301</f>
        <v>0</v>
      </c>
      <c r="K301" s="4">
        <f>ROUND(Fact_Quality_Sampling!K301*0.69,0)</f>
        <v>0</v>
      </c>
      <c r="L301" s="19">
        <f>Fact_Quality_Sampling!K301-K301</f>
        <v>0</v>
      </c>
    </row>
    <row r="302" spans="1:12" x14ac:dyDescent="0.25">
      <c r="A302" s="18" t="str">
        <f>Fact_Quality_Sampling!A302</f>
        <v>QS-301</v>
      </c>
      <c r="B302" s="4">
        <f>Fact_Quality_Sampling!B302</f>
        <v>20260702</v>
      </c>
      <c r="C302" s="4">
        <f>Fact_Quality_Sampling!C302</f>
        <v>18</v>
      </c>
      <c r="D302" s="4" t="str">
        <f>Fact_Quality_Sampling!D302</f>
        <v>M7</v>
      </c>
      <c r="E302" s="4" t="str">
        <f>Fact_Quality_Sampling!E302</f>
        <v>B-PM</v>
      </c>
      <c r="F302" s="4" t="str">
        <f>Fact_Quality_Sampling!F302</f>
        <v>C</v>
      </c>
      <c r="G302" s="4">
        <f>ROUND(Fact_Quality_Sampling!I302*0.49,0)</f>
        <v>0</v>
      </c>
      <c r="H302" s="4">
        <f>Fact_Quality_Sampling!I302-G302</f>
        <v>0</v>
      </c>
      <c r="I302" s="4">
        <f>ROUND(Fact_Quality_Sampling!J302*0.57,0)</f>
        <v>1</v>
      </c>
      <c r="J302" s="4">
        <f>Fact_Quality_Sampling!J302-I302</f>
        <v>0</v>
      </c>
      <c r="K302" s="4">
        <f>ROUND(Fact_Quality_Sampling!K302*0.51,0)</f>
        <v>1</v>
      </c>
      <c r="L302" s="19">
        <f>Fact_Quality_Sampling!K302-K302</f>
        <v>0</v>
      </c>
    </row>
    <row r="303" spans="1:12" x14ac:dyDescent="0.25">
      <c r="A303" s="18" t="str">
        <f>Fact_Quality_Sampling!A303</f>
        <v>QS-302</v>
      </c>
      <c r="B303" s="4">
        <f>Fact_Quality_Sampling!B303</f>
        <v>20260702</v>
      </c>
      <c r="C303" s="4">
        <f>Fact_Quality_Sampling!C303</f>
        <v>19</v>
      </c>
      <c r="D303" s="4" t="str">
        <f>Fact_Quality_Sampling!D303</f>
        <v>M1</v>
      </c>
      <c r="E303" s="4" t="str">
        <f>Fact_Quality_Sampling!E303</f>
        <v>B-PM</v>
      </c>
      <c r="F303" s="4" t="str">
        <f>Fact_Quality_Sampling!F303</f>
        <v>B</v>
      </c>
      <c r="G303" s="4">
        <f>ROUND(Fact_Quality_Sampling!I303*0.52,0)</f>
        <v>0</v>
      </c>
      <c r="H303" s="4">
        <f>Fact_Quality_Sampling!I303-G303</f>
        <v>0</v>
      </c>
      <c r="I303" s="4">
        <f>ROUND(Fact_Quality_Sampling!J303*0.66,0)</f>
        <v>1</v>
      </c>
      <c r="J303" s="4">
        <f>Fact_Quality_Sampling!J303-I303</f>
        <v>0</v>
      </c>
      <c r="K303" s="4">
        <f>ROUND(Fact_Quality_Sampling!K303*0.7,0)</f>
        <v>1</v>
      </c>
      <c r="L303" s="19">
        <f>Fact_Quality_Sampling!K303-K303</f>
        <v>0</v>
      </c>
    </row>
    <row r="304" spans="1:12" x14ac:dyDescent="0.25">
      <c r="A304" s="18" t="str">
        <f>Fact_Quality_Sampling!A304</f>
        <v>QS-303</v>
      </c>
      <c r="B304" s="4">
        <f>Fact_Quality_Sampling!B304</f>
        <v>20260702</v>
      </c>
      <c r="C304" s="4">
        <f>Fact_Quality_Sampling!C304</f>
        <v>19</v>
      </c>
      <c r="D304" s="4" t="str">
        <f>Fact_Quality_Sampling!D304</f>
        <v>M2</v>
      </c>
      <c r="E304" s="4" t="str">
        <f>Fact_Quality_Sampling!E304</f>
        <v>B-PM</v>
      </c>
      <c r="F304" s="4" t="str">
        <f>Fact_Quality_Sampling!F304</f>
        <v>A</v>
      </c>
      <c r="G304" s="4">
        <f>ROUND(Fact_Quality_Sampling!I304*0.51,0)</f>
        <v>0</v>
      </c>
      <c r="H304" s="4">
        <f>Fact_Quality_Sampling!I304-G304</f>
        <v>0</v>
      </c>
      <c r="I304" s="4">
        <f>ROUND(Fact_Quality_Sampling!J304*0.46,0)</f>
        <v>0</v>
      </c>
      <c r="J304" s="4">
        <f>Fact_Quality_Sampling!J304-I304</f>
        <v>1</v>
      </c>
      <c r="K304" s="4">
        <f>ROUND(Fact_Quality_Sampling!K304*0.62,0)</f>
        <v>1</v>
      </c>
      <c r="L304" s="19">
        <f>Fact_Quality_Sampling!K304-K304</f>
        <v>0</v>
      </c>
    </row>
    <row r="305" spans="1:12" x14ac:dyDescent="0.25">
      <c r="A305" s="18" t="str">
        <f>Fact_Quality_Sampling!A305</f>
        <v>QS-304</v>
      </c>
      <c r="B305" s="4">
        <f>Fact_Quality_Sampling!B305</f>
        <v>20260702</v>
      </c>
      <c r="C305" s="4">
        <f>Fact_Quality_Sampling!C305</f>
        <v>19</v>
      </c>
      <c r="D305" s="4" t="str">
        <f>Fact_Quality_Sampling!D305</f>
        <v>M3</v>
      </c>
      <c r="E305" s="4" t="str">
        <f>Fact_Quality_Sampling!E305</f>
        <v>B-PM</v>
      </c>
      <c r="F305" s="4" t="str">
        <f>Fact_Quality_Sampling!F305</f>
        <v>A</v>
      </c>
      <c r="G305" s="4">
        <f>ROUND(Fact_Quality_Sampling!I305*0.46,0)</f>
        <v>0</v>
      </c>
      <c r="H305" s="4">
        <f>Fact_Quality_Sampling!I305-G305</f>
        <v>0</v>
      </c>
      <c r="I305" s="4">
        <f>ROUND(Fact_Quality_Sampling!J305*0.4,0)</f>
        <v>0</v>
      </c>
      <c r="J305" s="4">
        <f>Fact_Quality_Sampling!J305-I305</f>
        <v>0</v>
      </c>
      <c r="K305" s="4">
        <f>ROUND(Fact_Quality_Sampling!K305*0.67,0)</f>
        <v>0</v>
      </c>
      <c r="L305" s="19">
        <f>Fact_Quality_Sampling!K305-K305</f>
        <v>0</v>
      </c>
    </row>
    <row r="306" spans="1:12" x14ac:dyDescent="0.25">
      <c r="A306" s="18" t="str">
        <f>Fact_Quality_Sampling!A306</f>
        <v>QS-305</v>
      </c>
      <c r="B306" s="4">
        <f>Fact_Quality_Sampling!B306</f>
        <v>20260702</v>
      </c>
      <c r="C306" s="4">
        <f>Fact_Quality_Sampling!C306</f>
        <v>19</v>
      </c>
      <c r="D306" s="4" t="str">
        <f>Fact_Quality_Sampling!D306</f>
        <v>M4</v>
      </c>
      <c r="E306" s="4" t="str">
        <f>Fact_Quality_Sampling!E306</f>
        <v>B-PM</v>
      </c>
      <c r="F306" s="4" t="str">
        <f>Fact_Quality_Sampling!F306</f>
        <v>C</v>
      </c>
      <c r="G306" s="4">
        <f>ROUND(Fact_Quality_Sampling!I306*0.53,0)</f>
        <v>0</v>
      </c>
      <c r="H306" s="4">
        <f>Fact_Quality_Sampling!I306-G306</f>
        <v>0</v>
      </c>
      <c r="I306" s="4">
        <f>ROUND(Fact_Quality_Sampling!J306*0.65,0)</f>
        <v>1</v>
      </c>
      <c r="J306" s="4">
        <f>Fact_Quality_Sampling!J306-I306</f>
        <v>0</v>
      </c>
      <c r="K306" s="4">
        <f>ROUND(Fact_Quality_Sampling!K306*0.52,0)</f>
        <v>1</v>
      </c>
      <c r="L306" s="19">
        <f>Fact_Quality_Sampling!K306-K306</f>
        <v>0</v>
      </c>
    </row>
    <row r="307" spans="1:12" x14ac:dyDescent="0.25">
      <c r="A307" s="18" t="str">
        <f>Fact_Quality_Sampling!A307</f>
        <v>QS-306</v>
      </c>
      <c r="B307" s="4">
        <f>Fact_Quality_Sampling!B307</f>
        <v>20260702</v>
      </c>
      <c r="C307" s="4">
        <f>Fact_Quality_Sampling!C307</f>
        <v>19</v>
      </c>
      <c r="D307" s="4" t="str">
        <f>Fact_Quality_Sampling!D307</f>
        <v>M5</v>
      </c>
      <c r="E307" s="4" t="str">
        <f>Fact_Quality_Sampling!E307</f>
        <v>B-PM</v>
      </c>
      <c r="F307" s="4" t="str">
        <f>Fact_Quality_Sampling!F307</f>
        <v>A</v>
      </c>
      <c r="G307" s="4">
        <f>ROUND(Fact_Quality_Sampling!I307*0.66,0)</f>
        <v>0</v>
      </c>
      <c r="H307" s="4">
        <f>Fact_Quality_Sampling!I307-G307</f>
        <v>0</v>
      </c>
      <c r="I307" s="4">
        <f>ROUND(Fact_Quality_Sampling!J307*0.54,0)</f>
        <v>1</v>
      </c>
      <c r="J307" s="4">
        <f>Fact_Quality_Sampling!J307-I307</f>
        <v>0</v>
      </c>
      <c r="K307" s="4">
        <f>ROUND(Fact_Quality_Sampling!K307*0.45,0)</f>
        <v>0</v>
      </c>
      <c r="L307" s="19">
        <f>Fact_Quality_Sampling!K307-K307</f>
        <v>1</v>
      </c>
    </row>
    <row r="308" spans="1:12" x14ac:dyDescent="0.25">
      <c r="A308" s="18" t="str">
        <f>Fact_Quality_Sampling!A308</f>
        <v>QS-307</v>
      </c>
      <c r="B308" s="4">
        <f>Fact_Quality_Sampling!B308</f>
        <v>20260702</v>
      </c>
      <c r="C308" s="4">
        <f>Fact_Quality_Sampling!C308</f>
        <v>19</v>
      </c>
      <c r="D308" s="4" t="str">
        <f>Fact_Quality_Sampling!D308</f>
        <v>M6</v>
      </c>
      <c r="E308" s="4" t="str">
        <f>Fact_Quality_Sampling!E308</f>
        <v>B-PM</v>
      </c>
      <c r="F308" s="4" t="str">
        <f>Fact_Quality_Sampling!F308</f>
        <v>A</v>
      </c>
      <c r="G308" s="4">
        <f>ROUND(Fact_Quality_Sampling!I308*0.4,0)</f>
        <v>0</v>
      </c>
      <c r="H308" s="4">
        <f>Fact_Quality_Sampling!I308-G308</f>
        <v>0</v>
      </c>
      <c r="I308" s="4">
        <f>ROUND(Fact_Quality_Sampling!J308*0.57,0)</f>
        <v>0</v>
      </c>
      <c r="J308" s="4">
        <f>Fact_Quality_Sampling!J308-I308</f>
        <v>0</v>
      </c>
      <c r="K308" s="4">
        <f>ROUND(Fact_Quality_Sampling!K308*0.59,0)</f>
        <v>0</v>
      </c>
      <c r="L308" s="19">
        <f>Fact_Quality_Sampling!K308-K308</f>
        <v>0</v>
      </c>
    </row>
    <row r="309" spans="1:12" x14ac:dyDescent="0.25">
      <c r="A309" s="18" t="str">
        <f>Fact_Quality_Sampling!A309</f>
        <v>QS-308</v>
      </c>
      <c r="B309" s="4">
        <f>Fact_Quality_Sampling!B309</f>
        <v>20260702</v>
      </c>
      <c r="C309" s="4">
        <f>Fact_Quality_Sampling!C309</f>
        <v>19</v>
      </c>
      <c r="D309" s="4" t="str">
        <f>Fact_Quality_Sampling!D309</f>
        <v>M7</v>
      </c>
      <c r="E309" s="4" t="str">
        <f>Fact_Quality_Sampling!E309</f>
        <v>B-PM</v>
      </c>
      <c r="F309" s="4" t="str">
        <f>Fact_Quality_Sampling!F309</f>
        <v>C</v>
      </c>
      <c r="G309" s="4">
        <f>ROUND(Fact_Quality_Sampling!I309*0.67,0)</f>
        <v>0</v>
      </c>
      <c r="H309" s="4">
        <f>Fact_Quality_Sampling!I309-G309</f>
        <v>0</v>
      </c>
      <c r="I309" s="4">
        <f>ROUND(Fact_Quality_Sampling!J309*0.43,0)</f>
        <v>0</v>
      </c>
      <c r="J309" s="4">
        <f>Fact_Quality_Sampling!J309-I309</f>
        <v>1</v>
      </c>
      <c r="K309" s="4">
        <f>ROUND(Fact_Quality_Sampling!K309*0.59,0)</f>
        <v>1</v>
      </c>
      <c r="L309" s="19">
        <f>Fact_Quality_Sampling!K309-K309</f>
        <v>0</v>
      </c>
    </row>
    <row r="310" spans="1:12" x14ac:dyDescent="0.25">
      <c r="A310" s="18" t="str">
        <f>Fact_Quality_Sampling!A310</f>
        <v>QS-309</v>
      </c>
      <c r="B310" s="4">
        <f>Fact_Quality_Sampling!B310</f>
        <v>20260702</v>
      </c>
      <c r="C310" s="4">
        <f>Fact_Quality_Sampling!C310</f>
        <v>20</v>
      </c>
      <c r="D310" s="4" t="str">
        <f>Fact_Quality_Sampling!D310</f>
        <v>M1</v>
      </c>
      <c r="E310" s="4" t="str">
        <f>Fact_Quality_Sampling!E310</f>
        <v>B-PM</v>
      </c>
      <c r="F310" s="4" t="str">
        <f>Fact_Quality_Sampling!F310</f>
        <v>B</v>
      </c>
      <c r="G310" s="4">
        <f>ROUND(Fact_Quality_Sampling!I310*0.51,0)</f>
        <v>0</v>
      </c>
      <c r="H310" s="4">
        <f>Fact_Quality_Sampling!I310-G310</f>
        <v>0</v>
      </c>
      <c r="I310" s="4">
        <f>ROUND(Fact_Quality_Sampling!J310*0.55,0)</f>
        <v>1</v>
      </c>
      <c r="J310" s="4">
        <f>Fact_Quality_Sampling!J310-I310</f>
        <v>0</v>
      </c>
      <c r="K310" s="4">
        <f>ROUND(Fact_Quality_Sampling!K310*0.44,0)</f>
        <v>0</v>
      </c>
      <c r="L310" s="19">
        <f>Fact_Quality_Sampling!K310-K310</f>
        <v>1</v>
      </c>
    </row>
    <row r="311" spans="1:12" x14ac:dyDescent="0.25">
      <c r="A311" s="18" t="str">
        <f>Fact_Quality_Sampling!A311</f>
        <v>QS-310</v>
      </c>
      <c r="B311" s="4">
        <f>Fact_Quality_Sampling!B311</f>
        <v>20260702</v>
      </c>
      <c r="C311" s="4">
        <f>Fact_Quality_Sampling!C311</f>
        <v>20</v>
      </c>
      <c r="D311" s="4" t="str">
        <f>Fact_Quality_Sampling!D311</f>
        <v>M2</v>
      </c>
      <c r="E311" s="4" t="str">
        <f>Fact_Quality_Sampling!E311</f>
        <v>B-PM</v>
      </c>
      <c r="F311" s="4" t="str">
        <f>Fact_Quality_Sampling!F311</f>
        <v>A</v>
      </c>
      <c r="G311" s="4">
        <f>ROUND(Fact_Quality_Sampling!I311*0.48,0)</f>
        <v>0</v>
      </c>
      <c r="H311" s="4">
        <f>Fact_Quality_Sampling!I311-G311</f>
        <v>0</v>
      </c>
      <c r="I311" s="4">
        <f>ROUND(Fact_Quality_Sampling!J311*0.56,0)</f>
        <v>0</v>
      </c>
      <c r="J311" s="4">
        <f>Fact_Quality_Sampling!J311-I311</f>
        <v>0</v>
      </c>
      <c r="K311" s="4">
        <f>ROUND(Fact_Quality_Sampling!K311*0.68,0)</f>
        <v>1</v>
      </c>
      <c r="L311" s="19">
        <f>Fact_Quality_Sampling!K311-K311</f>
        <v>0</v>
      </c>
    </row>
    <row r="312" spans="1:12" x14ac:dyDescent="0.25">
      <c r="A312" s="18" t="str">
        <f>Fact_Quality_Sampling!A312</f>
        <v>QS-311</v>
      </c>
      <c r="B312" s="4">
        <f>Fact_Quality_Sampling!B312</f>
        <v>20260702</v>
      </c>
      <c r="C312" s="4">
        <f>Fact_Quality_Sampling!C312</f>
        <v>20</v>
      </c>
      <c r="D312" s="4" t="str">
        <f>Fact_Quality_Sampling!D312</f>
        <v>M3</v>
      </c>
      <c r="E312" s="4" t="str">
        <f>Fact_Quality_Sampling!E312</f>
        <v>B-PM</v>
      </c>
      <c r="F312" s="4" t="str">
        <f>Fact_Quality_Sampling!F312</f>
        <v>A</v>
      </c>
      <c r="G312" s="4">
        <f>ROUND(Fact_Quality_Sampling!I312*0.43,0)</f>
        <v>0</v>
      </c>
      <c r="H312" s="4">
        <f>Fact_Quality_Sampling!I312-G312</f>
        <v>0</v>
      </c>
      <c r="I312" s="4">
        <f>ROUND(Fact_Quality_Sampling!J312*0.55,0)</f>
        <v>0</v>
      </c>
      <c r="J312" s="4">
        <f>Fact_Quality_Sampling!J312-I312</f>
        <v>0</v>
      </c>
      <c r="K312" s="4">
        <f>ROUND(Fact_Quality_Sampling!K312*0.64,0)</f>
        <v>1</v>
      </c>
      <c r="L312" s="19">
        <f>Fact_Quality_Sampling!K312-K312</f>
        <v>0</v>
      </c>
    </row>
    <row r="313" spans="1:12" x14ac:dyDescent="0.25">
      <c r="A313" s="18" t="str">
        <f>Fact_Quality_Sampling!A313</f>
        <v>QS-312</v>
      </c>
      <c r="B313" s="4">
        <f>Fact_Quality_Sampling!B313</f>
        <v>20260702</v>
      </c>
      <c r="C313" s="4">
        <f>Fact_Quality_Sampling!C313</f>
        <v>20</v>
      </c>
      <c r="D313" s="4" t="str">
        <f>Fact_Quality_Sampling!D313</f>
        <v>M4</v>
      </c>
      <c r="E313" s="4" t="str">
        <f>Fact_Quality_Sampling!E313</f>
        <v>B-PM</v>
      </c>
      <c r="F313" s="4" t="str">
        <f>Fact_Quality_Sampling!F313</f>
        <v>C</v>
      </c>
      <c r="G313" s="4">
        <f>ROUND(Fact_Quality_Sampling!I313*0.69,0)</f>
        <v>0</v>
      </c>
      <c r="H313" s="4">
        <f>Fact_Quality_Sampling!I313-G313</f>
        <v>0</v>
      </c>
      <c r="I313" s="4">
        <f>ROUND(Fact_Quality_Sampling!J313*0.46,0)</f>
        <v>0</v>
      </c>
      <c r="J313" s="4">
        <f>Fact_Quality_Sampling!J313-I313</f>
        <v>0</v>
      </c>
      <c r="K313" s="4">
        <f>ROUND(Fact_Quality_Sampling!K313*0.44,0)</f>
        <v>0</v>
      </c>
      <c r="L313" s="19">
        <f>Fact_Quality_Sampling!K313-K313</f>
        <v>1</v>
      </c>
    </row>
    <row r="314" spans="1:12" x14ac:dyDescent="0.25">
      <c r="A314" s="18" t="str">
        <f>Fact_Quality_Sampling!A314</f>
        <v>QS-313</v>
      </c>
      <c r="B314" s="4">
        <f>Fact_Quality_Sampling!B314</f>
        <v>20260702</v>
      </c>
      <c r="C314" s="4">
        <f>Fact_Quality_Sampling!C314</f>
        <v>20</v>
      </c>
      <c r="D314" s="4" t="str">
        <f>Fact_Quality_Sampling!D314</f>
        <v>M5</v>
      </c>
      <c r="E314" s="4" t="str">
        <f>Fact_Quality_Sampling!E314</f>
        <v>B-PM</v>
      </c>
      <c r="F314" s="4" t="str">
        <f>Fact_Quality_Sampling!F314</f>
        <v>A</v>
      </c>
      <c r="G314" s="4">
        <f>ROUND(Fact_Quality_Sampling!I314*0.68,0)</f>
        <v>0</v>
      </c>
      <c r="H314" s="4">
        <f>Fact_Quality_Sampling!I314-G314</f>
        <v>0</v>
      </c>
      <c r="I314" s="4">
        <f>ROUND(Fact_Quality_Sampling!J314*0.69,0)</f>
        <v>0</v>
      </c>
      <c r="J314" s="4">
        <f>Fact_Quality_Sampling!J314-I314</f>
        <v>0</v>
      </c>
      <c r="K314" s="4">
        <f>ROUND(Fact_Quality_Sampling!K314*0.54,0)</f>
        <v>1</v>
      </c>
      <c r="L314" s="19">
        <f>Fact_Quality_Sampling!K314-K314</f>
        <v>0</v>
      </c>
    </row>
    <row r="315" spans="1:12" x14ac:dyDescent="0.25">
      <c r="A315" s="18" t="str">
        <f>Fact_Quality_Sampling!A315</f>
        <v>QS-314</v>
      </c>
      <c r="B315" s="4">
        <f>Fact_Quality_Sampling!B315</f>
        <v>20260702</v>
      </c>
      <c r="C315" s="4">
        <f>Fact_Quality_Sampling!C315</f>
        <v>20</v>
      </c>
      <c r="D315" s="4" t="str">
        <f>Fact_Quality_Sampling!D315</f>
        <v>M6</v>
      </c>
      <c r="E315" s="4" t="str">
        <f>Fact_Quality_Sampling!E315</f>
        <v>B-PM</v>
      </c>
      <c r="F315" s="4" t="str">
        <f>Fact_Quality_Sampling!F315</f>
        <v>A</v>
      </c>
      <c r="G315" s="4">
        <f>ROUND(Fact_Quality_Sampling!I315*0.42,0)</f>
        <v>0</v>
      </c>
      <c r="H315" s="4">
        <f>Fact_Quality_Sampling!I315-G315</f>
        <v>0</v>
      </c>
      <c r="I315" s="4">
        <f>ROUND(Fact_Quality_Sampling!J315*0.68,0)</f>
        <v>0</v>
      </c>
      <c r="J315" s="4">
        <f>Fact_Quality_Sampling!J315-I315</f>
        <v>0</v>
      </c>
      <c r="K315" s="4">
        <f>ROUND(Fact_Quality_Sampling!K315*0.52,0)</f>
        <v>1</v>
      </c>
      <c r="L315" s="19">
        <f>Fact_Quality_Sampling!K315-K315</f>
        <v>0</v>
      </c>
    </row>
    <row r="316" spans="1:12" x14ac:dyDescent="0.25">
      <c r="A316" s="18" t="str">
        <f>Fact_Quality_Sampling!A316</f>
        <v>QS-315</v>
      </c>
      <c r="B316" s="4">
        <f>Fact_Quality_Sampling!B316</f>
        <v>20260702</v>
      </c>
      <c r="C316" s="4">
        <f>Fact_Quality_Sampling!C316</f>
        <v>20</v>
      </c>
      <c r="D316" s="4" t="str">
        <f>Fact_Quality_Sampling!D316</f>
        <v>M7</v>
      </c>
      <c r="E316" s="4" t="str">
        <f>Fact_Quality_Sampling!E316</f>
        <v>B-PM</v>
      </c>
      <c r="F316" s="4" t="str">
        <f>Fact_Quality_Sampling!F316</f>
        <v>C</v>
      </c>
      <c r="G316" s="4">
        <f>ROUND(Fact_Quality_Sampling!I316*0.67,0)</f>
        <v>0</v>
      </c>
      <c r="H316" s="4">
        <f>Fact_Quality_Sampling!I316-G316</f>
        <v>0</v>
      </c>
      <c r="I316" s="4">
        <f>ROUND(Fact_Quality_Sampling!J316*0.59,0)</f>
        <v>0</v>
      </c>
      <c r="J316" s="4">
        <f>Fact_Quality_Sampling!J316-I316</f>
        <v>0</v>
      </c>
      <c r="K316" s="4">
        <f>ROUND(Fact_Quality_Sampling!K316*0.65,0)</f>
        <v>1</v>
      </c>
      <c r="L316" s="19">
        <f>Fact_Quality_Sampling!K316-K316</f>
        <v>0</v>
      </c>
    </row>
    <row r="317" spans="1:12" x14ac:dyDescent="0.25">
      <c r="A317" s="18" t="str">
        <f>Fact_Quality_Sampling!A317</f>
        <v>QS-316</v>
      </c>
      <c r="B317" s="4">
        <f>Fact_Quality_Sampling!B317</f>
        <v>20260702</v>
      </c>
      <c r="C317" s="4">
        <f>Fact_Quality_Sampling!C317</f>
        <v>21</v>
      </c>
      <c r="D317" s="4" t="str">
        <f>Fact_Quality_Sampling!D317</f>
        <v>M1</v>
      </c>
      <c r="E317" s="4" t="str">
        <f>Fact_Quality_Sampling!E317</f>
        <v>B-PM</v>
      </c>
      <c r="F317" s="4" t="str">
        <f>Fact_Quality_Sampling!F317</f>
        <v>B</v>
      </c>
      <c r="G317" s="4">
        <f>ROUND(Fact_Quality_Sampling!I317*0.45,0)</f>
        <v>0</v>
      </c>
      <c r="H317" s="4">
        <f>Fact_Quality_Sampling!I317-G317</f>
        <v>0</v>
      </c>
      <c r="I317" s="4">
        <f>ROUND(Fact_Quality_Sampling!J317*0.64,0)</f>
        <v>0</v>
      </c>
      <c r="J317" s="4">
        <f>Fact_Quality_Sampling!J317-I317</f>
        <v>0</v>
      </c>
      <c r="K317" s="4">
        <f>ROUND(Fact_Quality_Sampling!K317*0.47,0)</f>
        <v>0</v>
      </c>
      <c r="L317" s="19">
        <f>Fact_Quality_Sampling!K317-K317</f>
        <v>1</v>
      </c>
    </row>
    <row r="318" spans="1:12" x14ac:dyDescent="0.25">
      <c r="A318" s="18" t="str">
        <f>Fact_Quality_Sampling!A318</f>
        <v>QS-317</v>
      </c>
      <c r="B318" s="4">
        <f>Fact_Quality_Sampling!B318</f>
        <v>20260702</v>
      </c>
      <c r="C318" s="4">
        <f>Fact_Quality_Sampling!C318</f>
        <v>21</v>
      </c>
      <c r="D318" s="4" t="str">
        <f>Fact_Quality_Sampling!D318</f>
        <v>M2</v>
      </c>
      <c r="E318" s="4" t="str">
        <f>Fact_Quality_Sampling!E318</f>
        <v>B-PM</v>
      </c>
      <c r="F318" s="4" t="str">
        <f>Fact_Quality_Sampling!F318</f>
        <v>A</v>
      </c>
      <c r="G318" s="4">
        <f>ROUND(Fact_Quality_Sampling!I318*0.52,0)</f>
        <v>0</v>
      </c>
      <c r="H318" s="4">
        <f>Fact_Quality_Sampling!I318-G318</f>
        <v>0</v>
      </c>
      <c r="I318" s="4">
        <f>ROUND(Fact_Quality_Sampling!J318*0.65,0)</f>
        <v>1</v>
      </c>
      <c r="J318" s="4">
        <f>Fact_Quality_Sampling!J318-I318</f>
        <v>0</v>
      </c>
      <c r="K318" s="4">
        <f>ROUND(Fact_Quality_Sampling!K318*0.65,0)</f>
        <v>1</v>
      </c>
      <c r="L318" s="19">
        <f>Fact_Quality_Sampling!K318-K318</f>
        <v>1</v>
      </c>
    </row>
    <row r="319" spans="1:12" x14ac:dyDescent="0.25">
      <c r="A319" s="18" t="str">
        <f>Fact_Quality_Sampling!A319</f>
        <v>QS-318</v>
      </c>
      <c r="B319" s="4">
        <f>Fact_Quality_Sampling!B319</f>
        <v>20260702</v>
      </c>
      <c r="C319" s="4">
        <f>Fact_Quality_Sampling!C319</f>
        <v>21</v>
      </c>
      <c r="D319" s="4" t="str">
        <f>Fact_Quality_Sampling!D319</f>
        <v>M3</v>
      </c>
      <c r="E319" s="4" t="str">
        <f>Fact_Quality_Sampling!E319</f>
        <v>B-PM</v>
      </c>
      <c r="F319" s="4" t="str">
        <f>Fact_Quality_Sampling!F319</f>
        <v>A</v>
      </c>
      <c r="G319" s="4">
        <f>ROUND(Fact_Quality_Sampling!I319*0.45,0)</f>
        <v>0</v>
      </c>
      <c r="H319" s="4">
        <f>Fact_Quality_Sampling!I319-G319</f>
        <v>0</v>
      </c>
      <c r="I319" s="4">
        <f>ROUND(Fact_Quality_Sampling!J319*0.47,0)</f>
        <v>0</v>
      </c>
      <c r="J319" s="4">
        <f>Fact_Quality_Sampling!J319-I319</f>
        <v>0</v>
      </c>
      <c r="K319" s="4">
        <f>ROUND(Fact_Quality_Sampling!K319*0.52,0)</f>
        <v>1</v>
      </c>
      <c r="L319" s="19">
        <f>Fact_Quality_Sampling!K319-K319</f>
        <v>0</v>
      </c>
    </row>
    <row r="320" spans="1:12" x14ac:dyDescent="0.25">
      <c r="A320" s="18" t="str">
        <f>Fact_Quality_Sampling!A320</f>
        <v>QS-319</v>
      </c>
      <c r="B320" s="4">
        <f>Fact_Quality_Sampling!B320</f>
        <v>20260702</v>
      </c>
      <c r="C320" s="4">
        <f>Fact_Quality_Sampling!C320</f>
        <v>21</v>
      </c>
      <c r="D320" s="4" t="str">
        <f>Fact_Quality_Sampling!D320</f>
        <v>M4</v>
      </c>
      <c r="E320" s="4" t="str">
        <f>Fact_Quality_Sampling!E320</f>
        <v>B-PM</v>
      </c>
      <c r="F320" s="4" t="str">
        <f>Fact_Quality_Sampling!F320</f>
        <v>C</v>
      </c>
      <c r="G320" s="4">
        <f>ROUND(Fact_Quality_Sampling!I320*0.56,0)</f>
        <v>0</v>
      </c>
      <c r="H320" s="4">
        <f>Fact_Quality_Sampling!I320-G320</f>
        <v>0</v>
      </c>
      <c r="I320" s="4">
        <f>ROUND(Fact_Quality_Sampling!J320*0.52,0)</f>
        <v>0</v>
      </c>
      <c r="J320" s="4">
        <f>Fact_Quality_Sampling!J320-I320</f>
        <v>0</v>
      </c>
      <c r="K320" s="4">
        <f>ROUND(Fact_Quality_Sampling!K320*0.44,0)</f>
        <v>0</v>
      </c>
      <c r="L320" s="19">
        <f>Fact_Quality_Sampling!K320-K320</f>
        <v>1</v>
      </c>
    </row>
    <row r="321" spans="1:12" x14ac:dyDescent="0.25">
      <c r="A321" s="18" t="str">
        <f>Fact_Quality_Sampling!A321</f>
        <v>QS-320</v>
      </c>
      <c r="B321" s="4">
        <f>Fact_Quality_Sampling!B321</f>
        <v>20260702</v>
      </c>
      <c r="C321" s="4">
        <f>Fact_Quality_Sampling!C321</f>
        <v>21</v>
      </c>
      <c r="D321" s="4" t="str">
        <f>Fact_Quality_Sampling!D321</f>
        <v>M5</v>
      </c>
      <c r="E321" s="4" t="str">
        <f>Fact_Quality_Sampling!E321</f>
        <v>B-PM</v>
      </c>
      <c r="F321" s="4" t="str">
        <f>Fact_Quality_Sampling!F321</f>
        <v>A</v>
      </c>
      <c r="G321" s="4">
        <f>ROUND(Fact_Quality_Sampling!I321*0.47,0)</f>
        <v>0</v>
      </c>
      <c r="H321" s="4">
        <f>Fact_Quality_Sampling!I321-G321</f>
        <v>0</v>
      </c>
      <c r="I321" s="4">
        <f>ROUND(Fact_Quality_Sampling!J321*0.62,0)</f>
        <v>0</v>
      </c>
      <c r="J321" s="4">
        <f>Fact_Quality_Sampling!J321-I321</f>
        <v>0</v>
      </c>
      <c r="K321" s="4">
        <f>ROUND(Fact_Quality_Sampling!K321*0.67,0)</f>
        <v>0</v>
      </c>
      <c r="L321" s="19">
        <f>Fact_Quality_Sampling!K321-K321</f>
        <v>0</v>
      </c>
    </row>
    <row r="322" spans="1:12" x14ac:dyDescent="0.25">
      <c r="A322" s="18" t="str">
        <f>Fact_Quality_Sampling!A322</f>
        <v>QS-321</v>
      </c>
      <c r="B322" s="4">
        <f>Fact_Quality_Sampling!B322</f>
        <v>20260702</v>
      </c>
      <c r="C322" s="4">
        <f>Fact_Quality_Sampling!C322</f>
        <v>21</v>
      </c>
      <c r="D322" s="4" t="str">
        <f>Fact_Quality_Sampling!D322</f>
        <v>M6</v>
      </c>
      <c r="E322" s="4" t="str">
        <f>Fact_Quality_Sampling!E322</f>
        <v>B-PM</v>
      </c>
      <c r="F322" s="4" t="str">
        <f>Fact_Quality_Sampling!F322</f>
        <v>A</v>
      </c>
      <c r="G322" s="4">
        <f>ROUND(Fact_Quality_Sampling!I322*0.41,0)</f>
        <v>0</v>
      </c>
      <c r="H322" s="4">
        <f>Fact_Quality_Sampling!I322-G322</f>
        <v>0</v>
      </c>
      <c r="I322" s="4">
        <f>ROUND(Fact_Quality_Sampling!J322*0.57,0)</f>
        <v>1</v>
      </c>
      <c r="J322" s="4">
        <f>Fact_Quality_Sampling!J322-I322</f>
        <v>0</v>
      </c>
      <c r="K322" s="4">
        <f>ROUND(Fact_Quality_Sampling!K322*0.63,0)</f>
        <v>1</v>
      </c>
      <c r="L322" s="19">
        <f>Fact_Quality_Sampling!K322-K322</f>
        <v>0</v>
      </c>
    </row>
    <row r="323" spans="1:12" x14ac:dyDescent="0.25">
      <c r="A323" s="18" t="str">
        <f>Fact_Quality_Sampling!A323</f>
        <v>QS-322</v>
      </c>
      <c r="B323" s="4">
        <f>Fact_Quality_Sampling!B323</f>
        <v>20260702</v>
      </c>
      <c r="C323" s="4">
        <f>Fact_Quality_Sampling!C323</f>
        <v>21</v>
      </c>
      <c r="D323" s="4" t="str">
        <f>Fact_Quality_Sampling!D323</f>
        <v>M7</v>
      </c>
      <c r="E323" s="4" t="str">
        <f>Fact_Quality_Sampling!E323</f>
        <v>B-PM</v>
      </c>
      <c r="F323" s="4" t="str">
        <f>Fact_Quality_Sampling!F323</f>
        <v>C</v>
      </c>
      <c r="G323" s="4">
        <f>ROUND(Fact_Quality_Sampling!I323*0.41,0)</f>
        <v>0</v>
      </c>
      <c r="H323" s="4">
        <f>Fact_Quality_Sampling!I323-G323</f>
        <v>0</v>
      </c>
      <c r="I323" s="4">
        <f>ROUND(Fact_Quality_Sampling!J323*0.65,0)</f>
        <v>1</v>
      </c>
      <c r="J323" s="4">
        <f>Fact_Quality_Sampling!J323-I323</f>
        <v>0</v>
      </c>
      <c r="K323" s="4">
        <f>ROUND(Fact_Quality_Sampling!K323*0.44,0)</f>
        <v>0</v>
      </c>
      <c r="L323" s="19">
        <f>Fact_Quality_Sampling!K323-K323</f>
        <v>1</v>
      </c>
    </row>
    <row r="324" spans="1:12" x14ac:dyDescent="0.25">
      <c r="A324" s="18" t="str">
        <f>Fact_Quality_Sampling!A324</f>
        <v>QS-323</v>
      </c>
      <c r="B324" s="4">
        <f>Fact_Quality_Sampling!B324</f>
        <v>20260702</v>
      </c>
      <c r="C324" s="4">
        <f>Fact_Quality_Sampling!C324</f>
        <v>22</v>
      </c>
      <c r="D324" s="4" t="str">
        <f>Fact_Quality_Sampling!D324</f>
        <v>M1</v>
      </c>
      <c r="E324" s="4" t="str">
        <f>Fact_Quality_Sampling!E324</f>
        <v>B-PM</v>
      </c>
      <c r="F324" s="4" t="str">
        <f>Fact_Quality_Sampling!F324</f>
        <v>B</v>
      </c>
      <c r="G324" s="4">
        <f>ROUND(Fact_Quality_Sampling!I324*0.58,0)</f>
        <v>0</v>
      </c>
      <c r="H324" s="4">
        <f>Fact_Quality_Sampling!I324-G324</f>
        <v>0</v>
      </c>
      <c r="I324" s="4">
        <f>ROUND(Fact_Quality_Sampling!J324*0.57,0)</f>
        <v>0</v>
      </c>
      <c r="J324" s="4">
        <f>Fact_Quality_Sampling!J324-I324</f>
        <v>0</v>
      </c>
      <c r="K324" s="4">
        <f>ROUND(Fact_Quality_Sampling!K324*0.59,0)</f>
        <v>1</v>
      </c>
      <c r="L324" s="19">
        <f>Fact_Quality_Sampling!K324-K324</f>
        <v>0</v>
      </c>
    </row>
    <row r="325" spans="1:12" x14ac:dyDescent="0.25">
      <c r="A325" s="18" t="str">
        <f>Fact_Quality_Sampling!A325</f>
        <v>QS-324</v>
      </c>
      <c r="B325" s="4">
        <f>Fact_Quality_Sampling!B325</f>
        <v>20260702</v>
      </c>
      <c r="C325" s="4">
        <f>Fact_Quality_Sampling!C325</f>
        <v>22</v>
      </c>
      <c r="D325" s="4" t="str">
        <f>Fact_Quality_Sampling!D325</f>
        <v>M2</v>
      </c>
      <c r="E325" s="4" t="str">
        <f>Fact_Quality_Sampling!E325</f>
        <v>B-PM</v>
      </c>
      <c r="F325" s="4" t="str">
        <f>Fact_Quality_Sampling!F325</f>
        <v>A</v>
      </c>
      <c r="G325" s="4">
        <f>ROUND(Fact_Quality_Sampling!I325*0.49,0)</f>
        <v>0</v>
      </c>
      <c r="H325" s="4">
        <f>Fact_Quality_Sampling!I325-G325</f>
        <v>0</v>
      </c>
      <c r="I325" s="4">
        <f>ROUND(Fact_Quality_Sampling!J325*0.53,0)</f>
        <v>0</v>
      </c>
      <c r="J325" s="4">
        <f>Fact_Quality_Sampling!J325-I325</f>
        <v>0</v>
      </c>
      <c r="K325" s="4">
        <f>ROUND(Fact_Quality_Sampling!K325*0.57,0)</f>
        <v>1</v>
      </c>
      <c r="L325" s="19">
        <f>Fact_Quality_Sampling!K325-K325</f>
        <v>0</v>
      </c>
    </row>
    <row r="326" spans="1:12" x14ac:dyDescent="0.25">
      <c r="A326" s="18" t="str">
        <f>Fact_Quality_Sampling!A326</f>
        <v>QS-325</v>
      </c>
      <c r="B326" s="4">
        <f>Fact_Quality_Sampling!B326</f>
        <v>20260702</v>
      </c>
      <c r="C326" s="4">
        <f>Fact_Quality_Sampling!C326</f>
        <v>22</v>
      </c>
      <c r="D326" s="4" t="str">
        <f>Fact_Quality_Sampling!D326</f>
        <v>M3</v>
      </c>
      <c r="E326" s="4" t="str">
        <f>Fact_Quality_Sampling!E326</f>
        <v>B-PM</v>
      </c>
      <c r="F326" s="4" t="str">
        <f>Fact_Quality_Sampling!F326</f>
        <v>A</v>
      </c>
      <c r="G326" s="4">
        <f>ROUND(Fact_Quality_Sampling!I326*0.53,0)</f>
        <v>0</v>
      </c>
      <c r="H326" s="4">
        <f>Fact_Quality_Sampling!I326-G326</f>
        <v>0</v>
      </c>
      <c r="I326" s="4">
        <f>ROUND(Fact_Quality_Sampling!J326*0.6,0)</f>
        <v>0</v>
      </c>
      <c r="J326" s="4">
        <f>Fact_Quality_Sampling!J326-I326</f>
        <v>0</v>
      </c>
      <c r="K326" s="4">
        <f>ROUND(Fact_Quality_Sampling!K326*0.53,0)</f>
        <v>1</v>
      </c>
      <c r="L326" s="19">
        <f>Fact_Quality_Sampling!K326-K326</f>
        <v>0</v>
      </c>
    </row>
    <row r="327" spans="1:12" x14ac:dyDescent="0.25">
      <c r="A327" s="18" t="str">
        <f>Fact_Quality_Sampling!A327</f>
        <v>QS-326</v>
      </c>
      <c r="B327" s="4">
        <f>Fact_Quality_Sampling!B327</f>
        <v>20260702</v>
      </c>
      <c r="C327" s="4">
        <f>Fact_Quality_Sampling!C327</f>
        <v>22</v>
      </c>
      <c r="D327" s="4" t="str">
        <f>Fact_Quality_Sampling!D327</f>
        <v>M4</v>
      </c>
      <c r="E327" s="4" t="str">
        <f>Fact_Quality_Sampling!E327</f>
        <v>B-PM</v>
      </c>
      <c r="F327" s="4" t="str">
        <f>Fact_Quality_Sampling!F327</f>
        <v>C</v>
      </c>
      <c r="G327" s="4">
        <f>ROUND(Fact_Quality_Sampling!I327*0.53,0)</f>
        <v>0</v>
      </c>
      <c r="H327" s="4">
        <f>Fact_Quality_Sampling!I327-G327</f>
        <v>0</v>
      </c>
      <c r="I327" s="4">
        <f>ROUND(Fact_Quality_Sampling!J327*0.41,0)</f>
        <v>0</v>
      </c>
      <c r="J327" s="4">
        <f>Fact_Quality_Sampling!J327-I327</f>
        <v>1</v>
      </c>
      <c r="K327" s="4">
        <f>ROUND(Fact_Quality_Sampling!K327*0.59,0)</f>
        <v>1</v>
      </c>
      <c r="L327" s="19">
        <f>Fact_Quality_Sampling!K327-K327</f>
        <v>0</v>
      </c>
    </row>
    <row r="328" spans="1:12" x14ac:dyDescent="0.25">
      <c r="A328" s="18" t="str">
        <f>Fact_Quality_Sampling!A328</f>
        <v>QS-327</v>
      </c>
      <c r="B328" s="4">
        <f>Fact_Quality_Sampling!B328</f>
        <v>20260702</v>
      </c>
      <c r="C328" s="4">
        <f>Fact_Quality_Sampling!C328</f>
        <v>22</v>
      </c>
      <c r="D328" s="4" t="str">
        <f>Fact_Quality_Sampling!D328</f>
        <v>M5</v>
      </c>
      <c r="E328" s="4" t="str">
        <f>Fact_Quality_Sampling!E328</f>
        <v>B-PM</v>
      </c>
      <c r="F328" s="4" t="str">
        <f>Fact_Quality_Sampling!F328</f>
        <v>A</v>
      </c>
      <c r="G328" s="4">
        <f>ROUND(Fact_Quality_Sampling!I328*0.55,0)</f>
        <v>0</v>
      </c>
      <c r="H328" s="4">
        <f>Fact_Quality_Sampling!I328-G328</f>
        <v>0</v>
      </c>
      <c r="I328" s="4">
        <f>ROUND(Fact_Quality_Sampling!J328*0.47,0)</f>
        <v>0</v>
      </c>
      <c r="J328" s="4">
        <f>Fact_Quality_Sampling!J328-I328</f>
        <v>0</v>
      </c>
      <c r="K328" s="4">
        <f>ROUND(Fact_Quality_Sampling!K328*0.63,0)</f>
        <v>1</v>
      </c>
      <c r="L328" s="19">
        <f>Fact_Quality_Sampling!K328-K328</f>
        <v>0</v>
      </c>
    </row>
    <row r="329" spans="1:12" x14ac:dyDescent="0.25">
      <c r="A329" s="18" t="str">
        <f>Fact_Quality_Sampling!A329</f>
        <v>QS-328</v>
      </c>
      <c r="B329" s="4">
        <f>Fact_Quality_Sampling!B329</f>
        <v>20260702</v>
      </c>
      <c r="C329" s="4">
        <f>Fact_Quality_Sampling!C329</f>
        <v>22</v>
      </c>
      <c r="D329" s="4" t="str">
        <f>Fact_Quality_Sampling!D329</f>
        <v>M6</v>
      </c>
      <c r="E329" s="4" t="str">
        <f>Fact_Quality_Sampling!E329</f>
        <v>B-PM</v>
      </c>
      <c r="F329" s="4" t="str">
        <f>Fact_Quality_Sampling!F329</f>
        <v>A</v>
      </c>
      <c r="G329" s="4">
        <f>ROUND(Fact_Quality_Sampling!I329*0.63,0)</f>
        <v>0</v>
      </c>
      <c r="H329" s="4">
        <f>Fact_Quality_Sampling!I329-G329</f>
        <v>0</v>
      </c>
      <c r="I329" s="4">
        <f>ROUND(Fact_Quality_Sampling!J329*0.54,0)</f>
        <v>0</v>
      </c>
      <c r="J329" s="4">
        <f>Fact_Quality_Sampling!J329-I329</f>
        <v>0</v>
      </c>
      <c r="K329" s="4">
        <f>ROUND(Fact_Quality_Sampling!K329*0.45,0)</f>
        <v>0</v>
      </c>
      <c r="L329" s="19">
        <f>Fact_Quality_Sampling!K329-K329</f>
        <v>1</v>
      </c>
    </row>
    <row r="330" spans="1:12" x14ac:dyDescent="0.25">
      <c r="A330" s="18" t="str">
        <f>Fact_Quality_Sampling!A330</f>
        <v>QS-329</v>
      </c>
      <c r="B330" s="4">
        <f>Fact_Quality_Sampling!B330</f>
        <v>20260702</v>
      </c>
      <c r="C330" s="4">
        <f>Fact_Quality_Sampling!C330</f>
        <v>22</v>
      </c>
      <c r="D330" s="4" t="str">
        <f>Fact_Quality_Sampling!D330</f>
        <v>M7</v>
      </c>
      <c r="E330" s="4" t="str">
        <f>Fact_Quality_Sampling!E330</f>
        <v>B-PM</v>
      </c>
      <c r="F330" s="4" t="str">
        <f>Fact_Quality_Sampling!F330</f>
        <v>C</v>
      </c>
      <c r="G330" s="4">
        <f>ROUND(Fact_Quality_Sampling!I330*0.54,0)</f>
        <v>0</v>
      </c>
      <c r="H330" s="4">
        <f>Fact_Quality_Sampling!I330-G330</f>
        <v>0</v>
      </c>
      <c r="I330" s="4">
        <f>ROUND(Fact_Quality_Sampling!J330*0.43,0)</f>
        <v>0</v>
      </c>
      <c r="J330" s="4">
        <f>Fact_Quality_Sampling!J330-I330</f>
        <v>1</v>
      </c>
      <c r="K330" s="4">
        <f>ROUND(Fact_Quality_Sampling!K330*0.44,0)</f>
        <v>1</v>
      </c>
      <c r="L330" s="19">
        <f>Fact_Quality_Sampling!K330-K330</f>
        <v>1</v>
      </c>
    </row>
    <row r="331" spans="1:12" x14ac:dyDescent="0.25">
      <c r="A331" s="18" t="str">
        <f>Fact_Quality_Sampling!A331</f>
        <v>QS-330</v>
      </c>
      <c r="B331" s="4">
        <f>Fact_Quality_Sampling!B331</f>
        <v>20260702</v>
      </c>
      <c r="C331" s="4">
        <f>Fact_Quality_Sampling!C331</f>
        <v>23</v>
      </c>
      <c r="D331" s="4" t="str">
        <f>Fact_Quality_Sampling!D331</f>
        <v>M1</v>
      </c>
      <c r="E331" s="4" t="str">
        <f>Fact_Quality_Sampling!E331</f>
        <v>B-PM</v>
      </c>
      <c r="F331" s="4" t="str">
        <f>Fact_Quality_Sampling!F331</f>
        <v>B</v>
      </c>
      <c r="G331" s="4">
        <f>ROUND(Fact_Quality_Sampling!I331*0.53,0)</f>
        <v>0</v>
      </c>
      <c r="H331" s="4">
        <f>Fact_Quality_Sampling!I331-G331</f>
        <v>0</v>
      </c>
      <c r="I331" s="4">
        <f>ROUND(Fact_Quality_Sampling!J331*0.43,0)</f>
        <v>0</v>
      </c>
      <c r="J331" s="4">
        <f>Fact_Quality_Sampling!J331-I331</f>
        <v>1</v>
      </c>
      <c r="K331" s="4">
        <f>ROUND(Fact_Quality_Sampling!K331*0.53,0)</f>
        <v>1</v>
      </c>
      <c r="L331" s="19">
        <f>Fact_Quality_Sampling!K331-K331</f>
        <v>0</v>
      </c>
    </row>
    <row r="332" spans="1:12" x14ac:dyDescent="0.25">
      <c r="A332" s="18" t="str">
        <f>Fact_Quality_Sampling!A332</f>
        <v>QS-331</v>
      </c>
      <c r="B332" s="4">
        <f>Fact_Quality_Sampling!B332</f>
        <v>20260702</v>
      </c>
      <c r="C332" s="4">
        <f>Fact_Quality_Sampling!C332</f>
        <v>23</v>
      </c>
      <c r="D332" s="4" t="str">
        <f>Fact_Quality_Sampling!D332</f>
        <v>M2</v>
      </c>
      <c r="E332" s="4" t="str">
        <f>Fact_Quality_Sampling!E332</f>
        <v>B-PM</v>
      </c>
      <c r="F332" s="4" t="str">
        <f>Fact_Quality_Sampling!F332</f>
        <v>A</v>
      </c>
      <c r="G332" s="4">
        <f>ROUND(Fact_Quality_Sampling!I332*0.55,0)</f>
        <v>0</v>
      </c>
      <c r="H332" s="4">
        <f>Fact_Quality_Sampling!I332-G332</f>
        <v>0</v>
      </c>
      <c r="I332" s="4">
        <f>ROUND(Fact_Quality_Sampling!J332*0.41,0)</f>
        <v>0</v>
      </c>
      <c r="J332" s="4">
        <f>Fact_Quality_Sampling!J332-I332</f>
        <v>0</v>
      </c>
      <c r="K332" s="4">
        <f>ROUND(Fact_Quality_Sampling!K332*0.59,0)</f>
        <v>1</v>
      </c>
      <c r="L332" s="19">
        <f>Fact_Quality_Sampling!K332-K332</f>
        <v>0</v>
      </c>
    </row>
    <row r="333" spans="1:12" x14ac:dyDescent="0.25">
      <c r="A333" s="18" t="str">
        <f>Fact_Quality_Sampling!A333</f>
        <v>QS-332</v>
      </c>
      <c r="B333" s="4">
        <f>Fact_Quality_Sampling!B333</f>
        <v>20260702</v>
      </c>
      <c r="C333" s="4">
        <f>Fact_Quality_Sampling!C333</f>
        <v>23</v>
      </c>
      <c r="D333" s="4" t="str">
        <f>Fact_Quality_Sampling!D333</f>
        <v>M3</v>
      </c>
      <c r="E333" s="4" t="str">
        <f>Fact_Quality_Sampling!E333</f>
        <v>B-PM</v>
      </c>
      <c r="F333" s="4" t="str">
        <f>Fact_Quality_Sampling!F333</f>
        <v>A</v>
      </c>
      <c r="G333" s="4">
        <f>ROUND(Fact_Quality_Sampling!I333*0.42,0)</f>
        <v>0</v>
      </c>
      <c r="H333" s="4">
        <f>Fact_Quality_Sampling!I333-G333</f>
        <v>0</v>
      </c>
      <c r="I333" s="4">
        <f>ROUND(Fact_Quality_Sampling!J333*0.62,0)</f>
        <v>0</v>
      </c>
      <c r="J333" s="4">
        <f>Fact_Quality_Sampling!J333-I333</f>
        <v>0</v>
      </c>
      <c r="K333" s="4">
        <f>ROUND(Fact_Quality_Sampling!K333*0.63,0)</f>
        <v>1</v>
      </c>
      <c r="L333" s="19">
        <f>Fact_Quality_Sampling!K333-K333</f>
        <v>0</v>
      </c>
    </row>
    <row r="334" spans="1:12" x14ac:dyDescent="0.25">
      <c r="A334" s="18" t="str">
        <f>Fact_Quality_Sampling!A334</f>
        <v>QS-333</v>
      </c>
      <c r="B334" s="4">
        <f>Fact_Quality_Sampling!B334</f>
        <v>20260702</v>
      </c>
      <c r="C334" s="4">
        <f>Fact_Quality_Sampling!C334</f>
        <v>23</v>
      </c>
      <c r="D334" s="4" t="str">
        <f>Fact_Quality_Sampling!D334</f>
        <v>M4</v>
      </c>
      <c r="E334" s="4" t="str">
        <f>Fact_Quality_Sampling!E334</f>
        <v>B-PM</v>
      </c>
      <c r="F334" s="4" t="str">
        <f>Fact_Quality_Sampling!F334</f>
        <v>C</v>
      </c>
      <c r="G334" s="4">
        <f>ROUND(Fact_Quality_Sampling!I334*0.55,0)</f>
        <v>0</v>
      </c>
      <c r="H334" s="4">
        <f>Fact_Quality_Sampling!I334-G334</f>
        <v>0</v>
      </c>
      <c r="I334" s="4">
        <f>ROUND(Fact_Quality_Sampling!J334*0.42,0)</f>
        <v>0</v>
      </c>
      <c r="J334" s="4">
        <f>Fact_Quality_Sampling!J334-I334</f>
        <v>0</v>
      </c>
      <c r="K334" s="4">
        <f>ROUND(Fact_Quality_Sampling!K334*0.55,0)</f>
        <v>1</v>
      </c>
      <c r="L334" s="19">
        <f>Fact_Quality_Sampling!K334-K334</f>
        <v>0</v>
      </c>
    </row>
    <row r="335" spans="1:12" x14ac:dyDescent="0.25">
      <c r="A335" s="18" t="str">
        <f>Fact_Quality_Sampling!A335</f>
        <v>QS-334</v>
      </c>
      <c r="B335" s="4">
        <f>Fact_Quality_Sampling!B335</f>
        <v>20260702</v>
      </c>
      <c r="C335" s="4">
        <f>Fact_Quality_Sampling!C335</f>
        <v>23</v>
      </c>
      <c r="D335" s="4" t="str">
        <f>Fact_Quality_Sampling!D335</f>
        <v>M5</v>
      </c>
      <c r="E335" s="4" t="str">
        <f>Fact_Quality_Sampling!E335</f>
        <v>B-PM</v>
      </c>
      <c r="F335" s="4" t="str">
        <f>Fact_Quality_Sampling!F335</f>
        <v>A</v>
      </c>
      <c r="G335" s="4">
        <f>ROUND(Fact_Quality_Sampling!I335*0.51,0)</f>
        <v>0</v>
      </c>
      <c r="H335" s="4">
        <f>Fact_Quality_Sampling!I335-G335</f>
        <v>0</v>
      </c>
      <c r="I335" s="4">
        <f>ROUND(Fact_Quality_Sampling!J335*0.69,0)</f>
        <v>0</v>
      </c>
      <c r="J335" s="4">
        <f>Fact_Quality_Sampling!J335-I335</f>
        <v>0</v>
      </c>
      <c r="K335" s="4">
        <f>ROUND(Fact_Quality_Sampling!K335*0.44,0)</f>
        <v>0</v>
      </c>
      <c r="L335" s="19">
        <f>Fact_Quality_Sampling!K335-K335</f>
        <v>1</v>
      </c>
    </row>
    <row r="336" spans="1:12" x14ac:dyDescent="0.25">
      <c r="A336" s="18" t="str">
        <f>Fact_Quality_Sampling!A336</f>
        <v>QS-335</v>
      </c>
      <c r="B336" s="4">
        <f>Fact_Quality_Sampling!B336</f>
        <v>20260702</v>
      </c>
      <c r="C336" s="4">
        <f>Fact_Quality_Sampling!C336</f>
        <v>23</v>
      </c>
      <c r="D336" s="4" t="str">
        <f>Fact_Quality_Sampling!D336</f>
        <v>M6</v>
      </c>
      <c r="E336" s="4" t="str">
        <f>Fact_Quality_Sampling!E336</f>
        <v>B-PM</v>
      </c>
      <c r="F336" s="4" t="str">
        <f>Fact_Quality_Sampling!F336</f>
        <v>A</v>
      </c>
      <c r="G336" s="4">
        <f>ROUND(Fact_Quality_Sampling!I336*0.66,0)</f>
        <v>0</v>
      </c>
      <c r="H336" s="4">
        <f>Fact_Quality_Sampling!I336-G336</f>
        <v>0</v>
      </c>
      <c r="I336" s="4">
        <f>ROUND(Fact_Quality_Sampling!J336*0.7,0)</f>
        <v>0</v>
      </c>
      <c r="J336" s="4">
        <f>Fact_Quality_Sampling!J336-I336</f>
        <v>0</v>
      </c>
      <c r="K336" s="4">
        <f>ROUND(Fact_Quality_Sampling!K336*0.62,0)</f>
        <v>1</v>
      </c>
      <c r="L336" s="19">
        <f>Fact_Quality_Sampling!K336-K336</f>
        <v>0</v>
      </c>
    </row>
    <row r="337" spans="1:12" x14ac:dyDescent="0.25">
      <c r="A337" s="20" t="str">
        <f>Fact_Quality_Sampling!A337</f>
        <v>QS-336</v>
      </c>
      <c r="B337" s="21">
        <f>Fact_Quality_Sampling!B337</f>
        <v>20260702</v>
      </c>
      <c r="C337" s="21">
        <f>Fact_Quality_Sampling!C337</f>
        <v>23</v>
      </c>
      <c r="D337" s="21" t="str">
        <f>Fact_Quality_Sampling!D337</f>
        <v>M7</v>
      </c>
      <c r="E337" s="21" t="str">
        <f>Fact_Quality_Sampling!E337</f>
        <v>B-PM</v>
      </c>
      <c r="F337" s="21" t="str">
        <f>Fact_Quality_Sampling!F337</f>
        <v>C</v>
      </c>
      <c r="G337" s="21">
        <f>ROUND(Fact_Quality_Sampling!I337*0.64,0)</f>
        <v>0</v>
      </c>
      <c r="H337" s="21">
        <f>Fact_Quality_Sampling!I337-G337</f>
        <v>0</v>
      </c>
      <c r="I337" s="21">
        <f>ROUND(Fact_Quality_Sampling!J337*0.46,0)</f>
        <v>0</v>
      </c>
      <c r="J337" s="21">
        <f>Fact_Quality_Sampling!J337-I337</f>
        <v>1</v>
      </c>
      <c r="K337" s="21">
        <f>ROUND(Fact_Quality_Sampling!K337*0.69,0)</f>
        <v>1</v>
      </c>
      <c r="L337" s="22">
        <f>Fact_Quality_Sampling!K337-K337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defaultColWidth="8.7109375" defaultRowHeight="15" x14ac:dyDescent="0.25"/>
  <cols>
    <col min="1" max="1" width="20.140625" customWidth="1"/>
    <col min="2" max="2" width="15.42578125" customWidth="1"/>
    <col min="3" max="3" width="19.28515625" customWidth="1"/>
    <col min="4" max="4" width="19" customWidth="1"/>
    <col min="5" max="5" width="15.5703125" customWidth="1"/>
    <col min="6" max="6" width="15" customWidth="1"/>
    <col min="7" max="7" width="14.85546875" customWidth="1"/>
    <col min="8" max="8" width="17.7109375" customWidth="1"/>
    <col min="9" max="9" width="20.42578125" customWidth="1"/>
    <col min="10" max="10" width="19.42578125" customWidth="1"/>
    <col min="11" max="11" width="18.7109375" customWidth="1"/>
    <col min="12" max="12" width="19.140625" customWidth="1"/>
    <col min="13" max="13" width="24" customWidth="1"/>
    <col min="14" max="14" width="21" customWidth="1"/>
    <col min="15" max="15" width="18" customWidth="1"/>
  </cols>
  <sheetData>
    <row r="1" spans="1:15" ht="30" customHeight="1" x14ac:dyDescent="0.25">
      <c r="A1" s="15" t="s">
        <v>839</v>
      </c>
      <c r="B1" s="16" t="s">
        <v>840</v>
      </c>
      <c r="C1" s="16" t="s">
        <v>841</v>
      </c>
      <c r="D1" s="16" t="s">
        <v>842</v>
      </c>
      <c r="E1" s="16" t="s">
        <v>843</v>
      </c>
      <c r="F1" s="16" t="s">
        <v>125</v>
      </c>
      <c r="G1" s="16" t="s">
        <v>122</v>
      </c>
      <c r="H1" s="16" t="s">
        <v>126</v>
      </c>
      <c r="I1" s="16" t="s">
        <v>844</v>
      </c>
      <c r="J1" s="16" t="s">
        <v>845</v>
      </c>
      <c r="K1" s="16" t="s">
        <v>846</v>
      </c>
      <c r="L1" s="16" t="s">
        <v>847</v>
      </c>
      <c r="M1" s="16" t="s">
        <v>848</v>
      </c>
      <c r="N1" s="16" t="s">
        <v>849</v>
      </c>
      <c r="O1" s="17" t="s">
        <v>850</v>
      </c>
    </row>
    <row r="2" spans="1:15" x14ac:dyDescent="0.25">
      <c r="A2" s="18" t="s">
        <v>851</v>
      </c>
      <c r="B2" s="4" t="s">
        <v>852</v>
      </c>
      <c r="C2" s="4" t="s">
        <v>853</v>
      </c>
      <c r="D2" s="4" t="s">
        <v>854</v>
      </c>
      <c r="E2" s="4" t="s">
        <v>855</v>
      </c>
      <c r="F2" s="4" t="s">
        <v>16</v>
      </c>
      <c r="G2" s="4">
        <v>20260701</v>
      </c>
      <c r="H2" s="4" t="s">
        <v>141</v>
      </c>
      <c r="I2" s="4">
        <v>12000</v>
      </c>
      <c r="J2" s="4">
        <v>600</v>
      </c>
      <c r="K2" s="4">
        <v>10</v>
      </c>
      <c r="L2" s="4">
        <f t="shared" ref="L2:L7" si="0">J2-K2</f>
        <v>590</v>
      </c>
      <c r="M2" s="4">
        <f t="shared" ref="M2:N7" si="1">IFERROR(J2/I2,0)</f>
        <v>0.05</v>
      </c>
      <c r="N2" s="4">
        <f t="shared" si="1"/>
        <v>1.6666666666666666E-2</v>
      </c>
      <c r="O2" s="19" t="str">
        <f t="shared" ref="O2:O7" si="2">IF(N2&lt;=0.03,"Pass",IF(N2&lt;=0.06,"Pass-Warning","Fail"))</f>
        <v>Pass</v>
      </c>
    </row>
    <row r="3" spans="1:15" x14ac:dyDescent="0.25">
      <c r="A3" s="18" t="s">
        <v>856</v>
      </c>
      <c r="B3" s="4" t="s">
        <v>857</v>
      </c>
      <c r="C3" s="4" t="s">
        <v>858</v>
      </c>
      <c r="D3" s="4" t="s">
        <v>859</v>
      </c>
      <c r="E3" s="4" t="s">
        <v>860</v>
      </c>
      <c r="F3" s="4" t="s">
        <v>20</v>
      </c>
      <c r="G3" s="4">
        <v>20260701</v>
      </c>
      <c r="H3" s="4" t="s">
        <v>187</v>
      </c>
      <c r="I3" s="4">
        <v>9000</v>
      </c>
      <c r="J3" s="4">
        <v>450</v>
      </c>
      <c r="K3" s="4">
        <v>3</v>
      </c>
      <c r="L3" s="4">
        <f t="shared" si="0"/>
        <v>447</v>
      </c>
      <c r="M3" s="4">
        <f t="shared" si="1"/>
        <v>0.05</v>
      </c>
      <c r="N3" s="4">
        <f t="shared" si="1"/>
        <v>6.6666666666666671E-3</v>
      </c>
      <c r="O3" s="19" t="str">
        <f t="shared" si="2"/>
        <v>Pass</v>
      </c>
    </row>
    <row r="4" spans="1:15" x14ac:dyDescent="0.25">
      <c r="A4" s="18" t="s">
        <v>861</v>
      </c>
      <c r="B4" s="4" t="s">
        <v>862</v>
      </c>
      <c r="C4" s="4" t="s">
        <v>863</v>
      </c>
      <c r="D4" s="4" t="s">
        <v>864</v>
      </c>
      <c r="E4" s="4" t="s">
        <v>865</v>
      </c>
      <c r="F4" s="4" t="s">
        <v>16</v>
      </c>
      <c r="G4" s="4">
        <v>20260702</v>
      </c>
      <c r="H4" s="4" t="s">
        <v>143</v>
      </c>
      <c r="I4" s="4">
        <v>15000</v>
      </c>
      <c r="J4" s="4">
        <v>750</v>
      </c>
      <c r="K4" s="4">
        <v>19</v>
      </c>
      <c r="L4" s="4">
        <f t="shared" si="0"/>
        <v>731</v>
      </c>
      <c r="M4" s="4">
        <f t="shared" si="1"/>
        <v>0.05</v>
      </c>
      <c r="N4" s="4">
        <f t="shared" si="1"/>
        <v>2.5333333333333333E-2</v>
      </c>
      <c r="O4" s="19" t="str">
        <f t="shared" si="2"/>
        <v>Pass</v>
      </c>
    </row>
    <row r="5" spans="1:15" x14ac:dyDescent="0.25">
      <c r="A5" s="18" t="s">
        <v>866</v>
      </c>
      <c r="B5" s="4" t="s">
        <v>867</v>
      </c>
      <c r="C5" s="4" t="s">
        <v>868</v>
      </c>
      <c r="D5" s="4" t="s">
        <v>854</v>
      </c>
      <c r="E5" s="4" t="s">
        <v>869</v>
      </c>
      <c r="F5" s="4" t="s">
        <v>20</v>
      </c>
      <c r="G5" s="4">
        <v>20260702</v>
      </c>
      <c r="H5" s="4" t="s">
        <v>141</v>
      </c>
      <c r="I5" s="4">
        <v>8000</v>
      </c>
      <c r="J5" s="4">
        <v>400</v>
      </c>
      <c r="K5" s="4">
        <v>18</v>
      </c>
      <c r="L5" s="4">
        <f t="shared" si="0"/>
        <v>382</v>
      </c>
      <c r="M5" s="4">
        <f t="shared" si="1"/>
        <v>0.05</v>
      </c>
      <c r="N5" s="4">
        <f t="shared" si="1"/>
        <v>4.4999999999999998E-2</v>
      </c>
      <c r="O5" s="19" t="str">
        <f t="shared" si="2"/>
        <v>Pass-Warning</v>
      </c>
    </row>
    <row r="6" spans="1:15" x14ac:dyDescent="0.25">
      <c r="A6" s="18" t="s">
        <v>870</v>
      </c>
      <c r="B6" s="4" t="s">
        <v>871</v>
      </c>
      <c r="C6" s="4" t="s">
        <v>872</v>
      </c>
      <c r="D6" s="4" t="s">
        <v>859</v>
      </c>
      <c r="E6" s="4" t="s">
        <v>873</v>
      </c>
      <c r="F6" s="4" t="s">
        <v>16</v>
      </c>
      <c r="G6" s="4">
        <v>20260701</v>
      </c>
      <c r="H6" s="4" t="s">
        <v>187</v>
      </c>
      <c r="I6" s="4">
        <v>10000</v>
      </c>
      <c r="J6" s="4">
        <v>500</v>
      </c>
      <c r="K6" s="4">
        <v>3</v>
      </c>
      <c r="L6" s="4">
        <f t="shared" si="0"/>
        <v>497</v>
      </c>
      <c r="M6" s="4">
        <f t="shared" si="1"/>
        <v>0.05</v>
      </c>
      <c r="N6" s="4">
        <f t="shared" si="1"/>
        <v>6.0000000000000001E-3</v>
      </c>
      <c r="O6" s="19" t="str">
        <f t="shared" si="2"/>
        <v>Pass</v>
      </c>
    </row>
    <row r="7" spans="1:15" x14ac:dyDescent="0.25">
      <c r="A7" s="20" t="s">
        <v>874</v>
      </c>
      <c r="B7" s="21" t="s">
        <v>875</v>
      </c>
      <c r="C7" s="21" t="s">
        <v>853</v>
      </c>
      <c r="D7" s="21" t="s">
        <v>864</v>
      </c>
      <c r="E7" s="21" t="s">
        <v>876</v>
      </c>
      <c r="F7" s="21" t="s">
        <v>20</v>
      </c>
      <c r="G7" s="21">
        <v>20260702</v>
      </c>
      <c r="H7" s="21" t="s">
        <v>143</v>
      </c>
      <c r="I7" s="21">
        <v>11000</v>
      </c>
      <c r="J7" s="21">
        <v>550</v>
      </c>
      <c r="K7" s="21">
        <v>13</v>
      </c>
      <c r="L7" s="21">
        <f t="shared" si="0"/>
        <v>537</v>
      </c>
      <c r="M7" s="21">
        <f t="shared" si="1"/>
        <v>0.05</v>
      </c>
      <c r="N7" s="21">
        <f t="shared" si="1"/>
        <v>2.3636363636363636E-2</v>
      </c>
      <c r="O7" s="22" t="str">
        <f t="shared" si="2"/>
        <v>Pass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6"/>
  <sheetViews>
    <sheetView zoomScaleNormal="100" workbookViewId="0">
      <pane ySplit="1" topLeftCell="A2" activePane="bottomLeft" state="frozen"/>
      <selection pane="bottomLeft" activeCell="J188" sqref="J188"/>
    </sheetView>
  </sheetViews>
  <sheetFormatPr defaultColWidth="8.7109375" defaultRowHeight="15" x14ac:dyDescent="0.25"/>
  <cols>
    <col min="1" max="1" width="15" customWidth="1"/>
    <col min="2" max="2" width="14.140625" bestFit="1" customWidth="1"/>
    <col min="3" max="3" width="12" customWidth="1"/>
    <col min="4" max="4" width="15.42578125" customWidth="1"/>
    <col min="5" max="5" width="14" customWidth="1"/>
    <col min="6" max="6" width="12" customWidth="1"/>
  </cols>
  <sheetData>
    <row r="1" spans="1:6" ht="30" customHeight="1" x14ac:dyDescent="0.25">
      <c r="A1" s="15" t="s">
        <v>877</v>
      </c>
      <c r="B1" s="16" t="s">
        <v>878</v>
      </c>
      <c r="C1" s="16" t="s">
        <v>879</v>
      </c>
      <c r="D1" s="16" t="s">
        <v>880</v>
      </c>
      <c r="E1" s="16" t="s">
        <v>881</v>
      </c>
      <c r="F1" s="17" t="s">
        <v>882</v>
      </c>
    </row>
    <row r="2" spans="1:6" x14ac:dyDescent="0.25">
      <c r="A2" s="18">
        <f>YEAR(B2)*10000 + MONTH(B2)*100 + DAY(B2)</f>
        <v>20260701</v>
      </c>
      <c r="B2" s="24">
        <v>46204</v>
      </c>
      <c r="C2" s="4" t="str">
        <f>TEXT(B2,"dddd")</f>
        <v>Wednesday</v>
      </c>
      <c r="D2" s="4">
        <f t="shared" ref="D2:D22" si="0">WEEKNUM(B2 - MOD(WEEKDAY(B2,1),7),1)</f>
        <v>26</v>
      </c>
      <c r="E2" s="4" t="str">
        <f>TEXT(B2,"mmmm")</f>
        <v>July</v>
      </c>
      <c r="F2" s="19">
        <f>YEAR(B2)</f>
        <v>2026</v>
      </c>
    </row>
    <row r="3" spans="1:6" x14ac:dyDescent="0.25">
      <c r="A3" s="18">
        <f t="shared" ref="A3:A66" si="1">YEAR(B3)*10000 + MONTH(B3)*100 + DAY(B3)</f>
        <v>20260702</v>
      </c>
      <c r="B3" s="24">
        <v>46205</v>
      </c>
      <c r="C3" s="4" t="str">
        <f t="shared" ref="C3:C66" si="2">TEXT(B3,"dddd")</f>
        <v>Thursday</v>
      </c>
      <c r="D3" s="4">
        <f t="shared" si="0"/>
        <v>26</v>
      </c>
      <c r="E3" s="4" t="str">
        <f t="shared" ref="E3:E32" si="3">TEXT(B3,"mmmm")</f>
        <v>July</v>
      </c>
      <c r="F3" s="19">
        <f t="shared" ref="F3:F32" si="4">YEAR(B3)</f>
        <v>2026</v>
      </c>
    </row>
    <row r="4" spans="1:6" x14ac:dyDescent="0.25">
      <c r="A4" s="18">
        <f t="shared" si="1"/>
        <v>20260703</v>
      </c>
      <c r="B4" s="24">
        <v>46206</v>
      </c>
      <c r="C4" s="4" t="str">
        <f t="shared" si="2"/>
        <v>Friday</v>
      </c>
      <c r="D4" s="4">
        <f t="shared" si="0"/>
        <v>26</v>
      </c>
      <c r="E4" s="4" t="str">
        <f t="shared" si="3"/>
        <v>July</v>
      </c>
      <c r="F4" s="19">
        <f t="shared" si="4"/>
        <v>2026</v>
      </c>
    </row>
    <row r="5" spans="1:6" x14ac:dyDescent="0.25">
      <c r="A5" s="18">
        <f t="shared" si="1"/>
        <v>20260704</v>
      </c>
      <c r="B5" s="24">
        <v>46207</v>
      </c>
      <c r="C5" s="4" t="str">
        <f t="shared" si="2"/>
        <v>Saturday</v>
      </c>
      <c r="D5" s="4">
        <f t="shared" si="0"/>
        <v>27</v>
      </c>
      <c r="E5" s="4" t="str">
        <f t="shared" si="3"/>
        <v>July</v>
      </c>
      <c r="F5" s="19">
        <f t="shared" si="4"/>
        <v>2026</v>
      </c>
    </row>
    <row r="6" spans="1:6" x14ac:dyDescent="0.25">
      <c r="A6" s="18">
        <f t="shared" si="1"/>
        <v>20260705</v>
      </c>
      <c r="B6" s="24">
        <v>46208</v>
      </c>
      <c r="C6" s="4" t="str">
        <f t="shared" si="2"/>
        <v>Sunday</v>
      </c>
      <c r="D6" s="4">
        <f t="shared" si="0"/>
        <v>27</v>
      </c>
      <c r="E6" s="4" t="str">
        <f t="shared" si="3"/>
        <v>July</v>
      </c>
      <c r="F6" s="19">
        <f t="shared" si="4"/>
        <v>2026</v>
      </c>
    </row>
    <row r="7" spans="1:6" x14ac:dyDescent="0.25">
      <c r="A7" s="18">
        <f t="shared" si="1"/>
        <v>20260706</v>
      </c>
      <c r="B7" s="24">
        <v>46209</v>
      </c>
      <c r="C7" s="4" t="str">
        <f t="shared" si="2"/>
        <v>Monday</v>
      </c>
      <c r="D7" s="4">
        <f t="shared" si="0"/>
        <v>27</v>
      </c>
      <c r="E7" s="4" t="str">
        <f t="shared" si="3"/>
        <v>July</v>
      </c>
      <c r="F7" s="19">
        <f t="shared" si="4"/>
        <v>2026</v>
      </c>
    </row>
    <row r="8" spans="1:6" x14ac:dyDescent="0.25">
      <c r="A8" s="18">
        <f t="shared" si="1"/>
        <v>20260707</v>
      </c>
      <c r="B8" s="24">
        <v>46210</v>
      </c>
      <c r="C8" s="4" t="str">
        <f t="shared" si="2"/>
        <v>Tuesday</v>
      </c>
      <c r="D8" s="4">
        <f t="shared" si="0"/>
        <v>27</v>
      </c>
      <c r="E8" s="4" t="str">
        <f t="shared" si="3"/>
        <v>July</v>
      </c>
      <c r="F8" s="19">
        <f t="shared" si="4"/>
        <v>2026</v>
      </c>
    </row>
    <row r="9" spans="1:6" x14ac:dyDescent="0.25">
      <c r="A9" s="18">
        <f t="shared" si="1"/>
        <v>20260708</v>
      </c>
      <c r="B9" s="24">
        <v>46211</v>
      </c>
      <c r="C9" s="4" t="str">
        <f t="shared" si="2"/>
        <v>Wednesday</v>
      </c>
      <c r="D9" s="4">
        <f t="shared" si="0"/>
        <v>27</v>
      </c>
      <c r="E9" s="4" t="str">
        <f t="shared" si="3"/>
        <v>July</v>
      </c>
      <c r="F9" s="19">
        <f t="shared" si="4"/>
        <v>2026</v>
      </c>
    </row>
    <row r="10" spans="1:6" x14ac:dyDescent="0.25">
      <c r="A10" s="18">
        <f t="shared" si="1"/>
        <v>20260709</v>
      </c>
      <c r="B10" s="24">
        <v>46212</v>
      </c>
      <c r="C10" s="4" t="str">
        <f t="shared" si="2"/>
        <v>Thursday</v>
      </c>
      <c r="D10" s="4">
        <f t="shared" si="0"/>
        <v>27</v>
      </c>
      <c r="E10" s="4" t="str">
        <f t="shared" si="3"/>
        <v>July</v>
      </c>
      <c r="F10" s="19">
        <f t="shared" si="4"/>
        <v>2026</v>
      </c>
    </row>
    <row r="11" spans="1:6" x14ac:dyDescent="0.25">
      <c r="A11" s="18">
        <f t="shared" si="1"/>
        <v>20260710</v>
      </c>
      <c r="B11" s="24">
        <v>46213</v>
      </c>
      <c r="C11" s="4" t="str">
        <f t="shared" si="2"/>
        <v>Friday</v>
      </c>
      <c r="D11" s="4">
        <f t="shared" si="0"/>
        <v>27</v>
      </c>
      <c r="E11" s="4" t="str">
        <f t="shared" si="3"/>
        <v>July</v>
      </c>
      <c r="F11" s="19">
        <f t="shared" si="4"/>
        <v>2026</v>
      </c>
    </row>
    <row r="12" spans="1:6" x14ac:dyDescent="0.25">
      <c r="A12" s="18">
        <f t="shared" si="1"/>
        <v>20260711</v>
      </c>
      <c r="B12" s="24">
        <v>46214</v>
      </c>
      <c r="C12" s="4" t="str">
        <f t="shared" si="2"/>
        <v>Saturday</v>
      </c>
      <c r="D12" s="4">
        <f t="shared" si="0"/>
        <v>28</v>
      </c>
      <c r="E12" s="4" t="str">
        <f t="shared" si="3"/>
        <v>July</v>
      </c>
      <c r="F12" s="19">
        <f t="shared" si="4"/>
        <v>2026</v>
      </c>
    </row>
    <row r="13" spans="1:6" x14ac:dyDescent="0.25">
      <c r="A13" s="18">
        <f t="shared" si="1"/>
        <v>20260712</v>
      </c>
      <c r="B13" s="24">
        <v>46215</v>
      </c>
      <c r="C13" s="4" t="str">
        <f t="shared" si="2"/>
        <v>Sunday</v>
      </c>
      <c r="D13" s="4">
        <f t="shared" si="0"/>
        <v>28</v>
      </c>
      <c r="E13" s="4" t="str">
        <f t="shared" si="3"/>
        <v>July</v>
      </c>
      <c r="F13" s="19">
        <f t="shared" si="4"/>
        <v>2026</v>
      </c>
    </row>
    <row r="14" spans="1:6" x14ac:dyDescent="0.25">
      <c r="A14" s="18">
        <f t="shared" si="1"/>
        <v>20260713</v>
      </c>
      <c r="B14" s="24">
        <v>46216</v>
      </c>
      <c r="C14" s="4" t="str">
        <f t="shared" si="2"/>
        <v>Monday</v>
      </c>
      <c r="D14" s="4">
        <f t="shared" si="0"/>
        <v>28</v>
      </c>
      <c r="E14" s="4" t="str">
        <f t="shared" si="3"/>
        <v>July</v>
      </c>
      <c r="F14" s="19">
        <f t="shared" si="4"/>
        <v>2026</v>
      </c>
    </row>
    <row r="15" spans="1:6" x14ac:dyDescent="0.25">
      <c r="A15" s="18">
        <f t="shared" si="1"/>
        <v>20260714</v>
      </c>
      <c r="B15" s="24">
        <v>46217</v>
      </c>
      <c r="C15" s="4" t="str">
        <f t="shared" si="2"/>
        <v>Tuesday</v>
      </c>
      <c r="D15" s="4">
        <f t="shared" si="0"/>
        <v>28</v>
      </c>
      <c r="E15" s="4" t="str">
        <f t="shared" si="3"/>
        <v>July</v>
      </c>
      <c r="F15" s="19">
        <f t="shared" si="4"/>
        <v>2026</v>
      </c>
    </row>
    <row r="16" spans="1:6" x14ac:dyDescent="0.25">
      <c r="A16" s="18">
        <f t="shared" si="1"/>
        <v>20260715</v>
      </c>
      <c r="B16" s="24">
        <v>46218</v>
      </c>
      <c r="C16" s="4" t="str">
        <f t="shared" si="2"/>
        <v>Wednesday</v>
      </c>
      <c r="D16" s="4">
        <f t="shared" si="0"/>
        <v>28</v>
      </c>
      <c r="E16" s="4" t="str">
        <f t="shared" si="3"/>
        <v>July</v>
      </c>
      <c r="F16" s="19">
        <f t="shared" si="4"/>
        <v>2026</v>
      </c>
    </row>
    <row r="17" spans="1:6" x14ac:dyDescent="0.25">
      <c r="A17" s="18">
        <f t="shared" si="1"/>
        <v>20260716</v>
      </c>
      <c r="B17" s="24">
        <v>46219</v>
      </c>
      <c r="C17" s="4" t="str">
        <f t="shared" si="2"/>
        <v>Thursday</v>
      </c>
      <c r="D17" s="4">
        <f t="shared" si="0"/>
        <v>28</v>
      </c>
      <c r="E17" s="4" t="str">
        <f t="shared" si="3"/>
        <v>July</v>
      </c>
      <c r="F17" s="19">
        <f t="shared" si="4"/>
        <v>2026</v>
      </c>
    </row>
    <row r="18" spans="1:6" x14ac:dyDescent="0.25">
      <c r="A18" s="18">
        <f t="shared" si="1"/>
        <v>20260717</v>
      </c>
      <c r="B18" s="24">
        <v>46220</v>
      </c>
      <c r="C18" s="4" t="str">
        <f t="shared" si="2"/>
        <v>Friday</v>
      </c>
      <c r="D18" s="4">
        <f t="shared" si="0"/>
        <v>28</v>
      </c>
      <c r="E18" s="4" t="str">
        <f t="shared" si="3"/>
        <v>July</v>
      </c>
      <c r="F18" s="19">
        <f t="shared" si="4"/>
        <v>2026</v>
      </c>
    </row>
    <row r="19" spans="1:6" x14ac:dyDescent="0.25">
      <c r="A19" s="18">
        <f t="shared" si="1"/>
        <v>20260718</v>
      </c>
      <c r="B19" s="24">
        <v>46221</v>
      </c>
      <c r="C19" s="4" t="str">
        <f t="shared" si="2"/>
        <v>Saturday</v>
      </c>
      <c r="D19" s="4">
        <f t="shared" si="0"/>
        <v>29</v>
      </c>
      <c r="E19" s="4" t="str">
        <f t="shared" si="3"/>
        <v>July</v>
      </c>
      <c r="F19" s="19">
        <f t="shared" si="4"/>
        <v>2026</v>
      </c>
    </row>
    <row r="20" spans="1:6" x14ac:dyDescent="0.25">
      <c r="A20" s="18">
        <f t="shared" si="1"/>
        <v>20260719</v>
      </c>
      <c r="B20" s="24">
        <v>46222</v>
      </c>
      <c r="C20" s="4" t="str">
        <f t="shared" si="2"/>
        <v>Sunday</v>
      </c>
      <c r="D20" s="4">
        <f t="shared" si="0"/>
        <v>29</v>
      </c>
      <c r="E20" s="4" t="str">
        <f t="shared" si="3"/>
        <v>July</v>
      </c>
      <c r="F20" s="19">
        <f t="shared" si="4"/>
        <v>2026</v>
      </c>
    </row>
    <row r="21" spans="1:6" x14ac:dyDescent="0.25">
      <c r="A21" s="18">
        <f t="shared" si="1"/>
        <v>20260720</v>
      </c>
      <c r="B21" s="24">
        <v>46223</v>
      </c>
      <c r="C21" s="4" t="str">
        <f t="shared" si="2"/>
        <v>Monday</v>
      </c>
      <c r="D21" s="4">
        <f t="shared" si="0"/>
        <v>29</v>
      </c>
      <c r="E21" s="4" t="str">
        <f t="shared" si="3"/>
        <v>July</v>
      </c>
      <c r="F21" s="19">
        <f t="shared" si="4"/>
        <v>2026</v>
      </c>
    </row>
    <row r="22" spans="1:6" x14ac:dyDescent="0.25">
      <c r="A22" s="18">
        <f t="shared" si="1"/>
        <v>20260721</v>
      </c>
      <c r="B22" s="24">
        <v>46224</v>
      </c>
      <c r="C22" s="4" t="str">
        <f t="shared" si="2"/>
        <v>Tuesday</v>
      </c>
      <c r="D22" s="4">
        <f t="shared" si="0"/>
        <v>29</v>
      </c>
      <c r="E22" s="4" t="str">
        <f t="shared" si="3"/>
        <v>July</v>
      </c>
      <c r="F22" s="19">
        <f t="shared" si="4"/>
        <v>2026</v>
      </c>
    </row>
    <row r="23" spans="1:6" x14ac:dyDescent="0.25">
      <c r="A23" s="18">
        <f t="shared" si="1"/>
        <v>20260722</v>
      </c>
      <c r="B23" s="24">
        <v>46225</v>
      </c>
      <c r="C23" s="4" t="str">
        <f t="shared" si="2"/>
        <v>Wednesday</v>
      </c>
      <c r="D23" s="4">
        <f t="shared" ref="D23:D63" si="5">WEEKNUM(B23 - MOD(WEEKDAY(B23,1),7),1)</f>
        <v>29</v>
      </c>
      <c r="E23" s="4" t="str">
        <f t="shared" si="3"/>
        <v>July</v>
      </c>
      <c r="F23" s="19">
        <f t="shared" si="4"/>
        <v>2026</v>
      </c>
    </row>
    <row r="24" spans="1:6" x14ac:dyDescent="0.25">
      <c r="A24" s="18">
        <f t="shared" si="1"/>
        <v>20260723</v>
      </c>
      <c r="B24" s="24">
        <v>46226</v>
      </c>
      <c r="C24" s="4" t="str">
        <f t="shared" si="2"/>
        <v>Thursday</v>
      </c>
      <c r="D24" s="4">
        <f t="shared" si="5"/>
        <v>29</v>
      </c>
      <c r="E24" s="4" t="str">
        <f t="shared" si="3"/>
        <v>July</v>
      </c>
      <c r="F24" s="19">
        <f t="shared" si="4"/>
        <v>2026</v>
      </c>
    </row>
    <row r="25" spans="1:6" x14ac:dyDescent="0.25">
      <c r="A25" s="18">
        <f t="shared" si="1"/>
        <v>20260724</v>
      </c>
      <c r="B25" s="24">
        <v>46227</v>
      </c>
      <c r="C25" s="4" t="str">
        <f t="shared" si="2"/>
        <v>Friday</v>
      </c>
      <c r="D25" s="4">
        <f t="shared" si="5"/>
        <v>29</v>
      </c>
      <c r="E25" s="4" t="str">
        <f t="shared" si="3"/>
        <v>July</v>
      </c>
      <c r="F25" s="19">
        <f t="shared" si="4"/>
        <v>2026</v>
      </c>
    </row>
    <row r="26" spans="1:6" x14ac:dyDescent="0.25">
      <c r="A26" s="18">
        <f t="shared" si="1"/>
        <v>20260725</v>
      </c>
      <c r="B26" s="24">
        <v>46228</v>
      </c>
      <c r="C26" s="4" t="str">
        <f t="shared" si="2"/>
        <v>Saturday</v>
      </c>
      <c r="D26" s="4">
        <f t="shared" si="5"/>
        <v>30</v>
      </c>
      <c r="E26" s="4" t="str">
        <f t="shared" si="3"/>
        <v>July</v>
      </c>
      <c r="F26" s="19">
        <f t="shared" si="4"/>
        <v>2026</v>
      </c>
    </row>
    <row r="27" spans="1:6" x14ac:dyDescent="0.25">
      <c r="A27" s="18">
        <f t="shared" si="1"/>
        <v>20260726</v>
      </c>
      <c r="B27" s="24">
        <v>46229</v>
      </c>
      <c r="C27" s="4" t="str">
        <f t="shared" si="2"/>
        <v>Sunday</v>
      </c>
      <c r="D27" s="4">
        <f t="shared" si="5"/>
        <v>30</v>
      </c>
      <c r="E27" s="4" t="str">
        <f t="shared" si="3"/>
        <v>July</v>
      </c>
      <c r="F27" s="19">
        <f t="shared" si="4"/>
        <v>2026</v>
      </c>
    </row>
    <row r="28" spans="1:6" x14ac:dyDescent="0.25">
      <c r="A28" s="18">
        <f t="shared" si="1"/>
        <v>20260727</v>
      </c>
      <c r="B28" s="24">
        <v>46230</v>
      </c>
      <c r="C28" s="4" t="str">
        <f t="shared" si="2"/>
        <v>Monday</v>
      </c>
      <c r="D28" s="4">
        <f t="shared" si="5"/>
        <v>30</v>
      </c>
      <c r="E28" s="4" t="str">
        <f t="shared" si="3"/>
        <v>July</v>
      </c>
      <c r="F28" s="19">
        <f t="shared" si="4"/>
        <v>2026</v>
      </c>
    </row>
    <row r="29" spans="1:6" x14ac:dyDescent="0.25">
      <c r="A29" s="18">
        <f t="shared" si="1"/>
        <v>20260728</v>
      </c>
      <c r="B29" s="24">
        <v>46231</v>
      </c>
      <c r="C29" s="4" t="str">
        <f t="shared" si="2"/>
        <v>Tuesday</v>
      </c>
      <c r="D29" s="4">
        <f t="shared" si="5"/>
        <v>30</v>
      </c>
      <c r="E29" s="4" t="str">
        <f t="shared" si="3"/>
        <v>July</v>
      </c>
      <c r="F29" s="19">
        <f t="shared" si="4"/>
        <v>2026</v>
      </c>
    </row>
    <row r="30" spans="1:6" x14ac:dyDescent="0.25">
      <c r="A30" s="18">
        <f t="shared" si="1"/>
        <v>20260729</v>
      </c>
      <c r="B30" s="24">
        <v>46232</v>
      </c>
      <c r="C30" s="4" t="str">
        <f t="shared" si="2"/>
        <v>Wednesday</v>
      </c>
      <c r="D30" s="4">
        <f t="shared" si="5"/>
        <v>30</v>
      </c>
      <c r="E30" s="4" t="str">
        <f t="shared" si="3"/>
        <v>July</v>
      </c>
      <c r="F30" s="19">
        <f t="shared" si="4"/>
        <v>2026</v>
      </c>
    </row>
    <row r="31" spans="1:6" x14ac:dyDescent="0.25">
      <c r="A31" s="18">
        <f t="shared" si="1"/>
        <v>20260730</v>
      </c>
      <c r="B31" s="24">
        <v>46233</v>
      </c>
      <c r="C31" s="4" t="str">
        <f t="shared" si="2"/>
        <v>Thursday</v>
      </c>
      <c r="D31" s="4">
        <f t="shared" si="5"/>
        <v>30</v>
      </c>
      <c r="E31" s="4" t="str">
        <f t="shared" si="3"/>
        <v>July</v>
      </c>
      <c r="F31" s="19">
        <f t="shared" si="4"/>
        <v>2026</v>
      </c>
    </row>
    <row r="32" spans="1:6" x14ac:dyDescent="0.25">
      <c r="A32" s="18">
        <f t="shared" si="1"/>
        <v>20260731</v>
      </c>
      <c r="B32" s="24">
        <v>46234</v>
      </c>
      <c r="C32" s="4" t="str">
        <f t="shared" si="2"/>
        <v>Friday</v>
      </c>
      <c r="D32" s="4">
        <f t="shared" si="5"/>
        <v>30</v>
      </c>
      <c r="E32" s="4" t="str">
        <f t="shared" si="3"/>
        <v>July</v>
      </c>
      <c r="F32" s="19">
        <f t="shared" si="4"/>
        <v>2026</v>
      </c>
    </row>
    <row r="33" spans="1:6" x14ac:dyDescent="0.25">
      <c r="A33" s="18">
        <f>YEAR(B33)*10000 + MONTH(B33)*100 + DAY(B33)</f>
        <v>20260801</v>
      </c>
      <c r="B33" s="24">
        <v>46235</v>
      </c>
      <c r="C33" s="4" t="str">
        <f>TEXT(B33,"dddd")</f>
        <v>Saturday</v>
      </c>
      <c r="D33" s="4">
        <f t="shared" si="5"/>
        <v>31</v>
      </c>
      <c r="E33" s="4" t="str">
        <f>TEXT(B33,"mmmm")</f>
        <v>August</v>
      </c>
      <c r="F33" s="19">
        <f>YEAR(B33)</f>
        <v>2026</v>
      </c>
    </row>
    <row r="34" spans="1:6" x14ac:dyDescent="0.25">
      <c r="A34" s="18">
        <f>YEAR(B34)*10000 + MONTH(B34)*100 + DAY(B34)</f>
        <v>20260802</v>
      </c>
      <c r="B34" s="24">
        <v>46236</v>
      </c>
      <c r="C34" s="4" t="str">
        <f>TEXT(B34,"dddd")</f>
        <v>Sunday</v>
      </c>
      <c r="D34" s="4">
        <f t="shared" si="5"/>
        <v>31</v>
      </c>
      <c r="E34" s="4" t="str">
        <f>TEXT(B34,"mmmm")</f>
        <v>August</v>
      </c>
      <c r="F34" s="19">
        <f>YEAR(B34)</f>
        <v>2026</v>
      </c>
    </row>
    <row r="35" spans="1:6" x14ac:dyDescent="0.25">
      <c r="A35" s="18">
        <f t="shared" si="1"/>
        <v>20260803</v>
      </c>
      <c r="B35" s="24">
        <v>46237</v>
      </c>
      <c r="C35" s="4" t="str">
        <f t="shared" si="2"/>
        <v>Monday</v>
      </c>
      <c r="D35" s="4">
        <f t="shared" si="5"/>
        <v>31</v>
      </c>
      <c r="E35" s="4" t="str">
        <f t="shared" ref="E35:E75" si="6">TEXT(B35,"mmmm")</f>
        <v>August</v>
      </c>
      <c r="F35" s="19">
        <f t="shared" ref="F35:F75" si="7">YEAR(B35)</f>
        <v>2026</v>
      </c>
    </row>
    <row r="36" spans="1:6" x14ac:dyDescent="0.25">
      <c r="A36" s="18">
        <f t="shared" si="1"/>
        <v>20260804</v>
      </c>
      <c r="B36" s="24">
        <v>46238</v>
      </c>
      <c r="C36" s="4" t="str">
        <f t="shared" si="2"/>
        <v>Tuesday</v>
      </c>
      <c r="D36" s="4">
        <f t="shared" si="5"/>
        <v>31</v>
      </c>
      <c r="E36" s="4" t="str">
        <f t="shared" si="6"/>
        <v>August</v>
      </c>
      <c r="F36" s="19">
        <f t="shared" si="7"/>
        <v>2026</v>
      </c>
    </row>
    <row r="37" spans="1:6" x14ac:dyDescent="0.25">
      <c r="A37" s="18">
        <f t="shared" si="1"/>
        <v>20260805</v>
      </c>
      <c r="B37" s="24">
        <v>46239</v>
      </c>
      <c r="C37" s="4" t="str">
        <f t="shared" si="2"/>
        <v>Wednesday</v>
      </c>
      <c r="D37" s="4">
        <f t="shared" si="5"/>
        <v>31</v>
      </c>
      <c r="E37" s="4" t="str">
        <f t="shared" si="6"/>
        <v>August</v>
      </c>
      <c r="F37" s="19">
        <f t="shared" si="7"/>
        <v>2026</v>
      </c>
    </row>
    <row r="38" spans="1:6" x14ac:dyDescent="0.25">
      <c r="A38" s="18">
        <f t="shared" si="1"/>
        <v>20260806</v>
      </c>
      <c r="B38" s="24">
        <v>46240</v>
      </c>
      <c r="C38" s="4" t="str">
        <f t="shared" si="2"/>
        <v>Thursday</v>
      </c>
      <c r="D38" s="4">
        <f t="shared" si="5"/>
        <v>31</v>
      </c>
      <c r="E38" s="4" t="str">
        <f t="shared" si="6"/>
        <v>August</v>
      </c>
      <c r="F38" s="19">
        <f t="shared" si="7"/>
        <v>2026</v>
      </c>
    </row>
    <row r="39" spans="1:6" x14ac:dyDescent="0.25">
      <c r="A39" s="18">
        <f t="shared" si="1"/>
        <v>20260807</v>
      </c>
      <c r="B39" s="24">
        <v>46241</v>
      </c>
      <c r="C39" s="4" t="str">
        <f t="shared" si="2"/>
        <v>Friday</v>
      </c>
      <c r="D39" s="4">
        <f t="shared" si="5"/>
        <v>31</v>
      </c>
      <c r="E39" s="4" t="str">
        <f t="shared" si="6"/>
        <v>August</v>
      </c>
      <c r="F39" s="19">
        <f t="shared" si="7"/>
        <v>2026</v>
      </c>
    </row>
    <row r="40" spans="1:6" x14ac:dyDescent="0.25">
      <c r="A40" s="18">
        <f t="shared" si="1"/>
        <v>20260808</v>
      </c>
      <c r="B40" s="24">
        <v>46242</v>
      </c>
      <c r="C40" s="4" t="str">
        <f t="shared" si="2"/>
        <v>Saturday</v>
      </c>
      <c r="D40" s="4">
        <f t="shared" si="5"/>
        <v>32</v>
      </c>
      <c r="E40" s="4" t="str">
        <f t="shared" si="6"/>
        <v>August</v>
      </c>
      <c r="F40" s="19">
        <f t="shared" si="7"/>
        <v>2026</v>
      </c>
    </row>
    <row r="41" spans="1:6" x14ac:dyDescent="0.25">
      <c r="A41" s="18">
        <f t="shared" si="1"/>
        <v>20260809</v>
      </c>
      <c r="B41" s="24">
        <v>46243</v>
      </c>
      <c r="C41" s="4" t="str">
        <f t="shared" si="2"/>
        <v>Sunday</v>
      </c>
      <c r="D41" s="4">
        <f t="shared" si="5"/>
        <v>32</v>
      </c>
      <c r="E41" s="4" t="str">
        <f t="shared" si="6"/>
        <v>August</v>
      </c>
      <c r="F41" s="19">
        <f t="shared" si="7"/>
        <v>2026</v>
      </c>
    </row>
    <row r="42" spans="1:6" x14ac:dyDescent="0.25">
      <c r="A42" s="18">
        <f t="shared" si="1"/>
        <v>20260810</v>
      </c>
      <c r="B42" s="24">
        <v>46244</v>
      </c>
      <c r="C42" s="4" t="str">
        <f t="shared" si="2"/>
        <v>Monday</v>
      </c>
      <c r="D42" s="4">
        <f t="shared" si="5"/>
        <v>32</v>
      </c>
      <c r="E42" s="4" t="str">
        <f t="shared" si="6"/>
        <v>August</v>
      </c>
      <c r="F42" s="19">
        <f t="shared" si="7"/>
        <v>2026</v>
      </c>
    </row>
    <row r="43" spans="1:6" x14ac:dyDescent="0.25">
      <c r="A43" s="18">
        <f t="shared" si="1"/>
        <v>20260811</v>
      </c>
      <c r="B43" s="24">
        <v>46245</v>
      </c>
      <c r="C43" s="4" t="str">
        <f t="shared" si="2"/>
        <v>Tuesday</v>
      </c>
      <c r="D43" s="4">
        <f t="shared" si="5"/>
        <v>32</v>
      </c>
      <c r="E43" s="4" t="str">
        <f t="shared" si="6"/>
        <v>August</v>
      </c>
      <c r="F43" s="19">
        <f t="shared" si="7"/>
        <v>2026</v>
      </c>
    </row>
    <row r="44" spans="1:6" x14ac:dyDescent="0.25">
      <c r="A44" s="18">
        <f t="shared" si="1"/>
        <v>20260812</v>
      </c>
      <c r="B44" s="24">
        <v>46246</v>
      </c>
      <c r="C44" s="4" t="str">
        <f t="shared" si="2"/>
        <v>Wednesday</v>
      </c>
      <c r="D44" s="4">
        <f t="shared" si="5"/>
        <v>32</v>
      </c>
      <c r="E44" s="4" t="str">
        <f t="shared" si="6"/>
        <v>August</v>
      </c>
      <c r="F44" s="19">
        <f t="shared" si="7"/>
        <v>2026</v>
      </c>
    </row>
    <row r="45" spans="1:6" x14ac:dyDescent="0.25">
      <c r="A45" s="18">
        <f t="shared" si="1"/>
        <v>20260813</v>
      </c>
      <c r="B45" s="24">
        <v>46247</v>
      </c>
      <c r="C45" s="4" t="str">
        <f t="shared" si="2"/>
        <v>Thursday</v>
      </c>
      <c r="D45" s="4">
        <f t="shared" si="5"/>
        <v>32</v>
      </c>
      <c r="E45" s="4" t="str">
        <f t="shared" si="6"/>
        <v>August</v>
      </c>
      <c r="F45" s="19">
        <f t="shared" si="7"/>
        <v>2026</v>
      </c>
    </row>
    <row r="46" spans="1:6" x14ac:dyDescent="0.25">
      <c r="A46" s="18">
        <f t="shared" si="1"/>
        <v>20260814</v>
      </c>
      <c r="B46" s="24">
        <v>46248</v>
      </c>
      <c r="C46" s="4" t="str">
        <f t="shared" si="2"/>
        <v>Friday</v>
      </c>
      <c r="D46" s="4">
        <f t="shared" si="5"/>
        <v>32</v>
      </c>
      <c r="E46" s="4" t="str">
        <f t="shared" si="6"/>
        <v>August</v>
      </c>
      <c r="F46" s="19">
        <f t="shared" si="7"/>
        <v>2026</v>
      </c>
    </row>
    <row r="47" spans="1:6" x14ac:dyDescent="0.25">
      <c r="A47" s="18">
        <f t="shared" si="1"/>
        <v>20260815</v>
      </c>
      <c r="B47" s="24">
        <v>46249</v>
      </c>
      <c r="C47" s="4" t="str">
        <f t="shared" si="2"/>
        <v>Saturday</v>
      </c>
      <c r="D47" s="4">
        <f t="shared" si="5"/>
        <v>33</v>
      </c>
      <c r="E47" s="4" t="str">
        <f t="shared" si="6"/>
        <v>August</v>
      </c>
      <c r="F47" s="19">
        <f t="shared" si="7"/>
        <v>2026</v>
      </c>
    </row>
    <row r="48" spans="1:6" x14ac:dyDescent="0.25">
      <c r="A48" s="18">
        <f t="shared" si="1"/>
        <v>20260816</v>
      </c>
      <c r="B48" s="24">
        <v>46250</v>
      </c>
      <c r="C48" s="4" t="str">
        <f t="shared" si="2"/>
        <v>Sunday</v>
      </c>
      <c r="D48" s="4">
        <f t="shared" si="5"/>
        <v>33</v>
      </c>
      <c r="E48" s="4" t="str">
        <f t="shared" si="6"/>
        <v>August</v>
      </c>
      <c r="F48" s="19">
        <f t="shared" si="7"/>
        <v>2026</v>
      </c>
    </row>
    <row r="49" spans="1:6" x14ac:dyDescent="0.25">
      <c r="A49" s="18">
        <f t="shared" si="1"/>
        <v>20260817</v>
      </c>
      <c r="B49" s="24">
        <v>46251</v>
      </c>
      <c r="C49" s="4" t="str">
        <f t="shared" si="2"/>
        <v>Monday</v>
      </c>
      <c r="D49" s="4">
        <f t="shared" si="5"/>
        <v>33</v>
      </c>
      <c r="E49" s="4" t="str">
        <f t="shared" si="6"/>
        <v>August</v>
      </c>
      <c r="F49" s="19">
        <f t="shared" si="7"/>
        <v>2026</v>
      </c>
    </row>
    <row r="50" spans="1:6" x14ac:dyDescent="0.25">
      <c r="A50" s="18">
        <f t="shared" si="1"/>
        <v>20260818</v>
      </c>
      <c r="B50" s="24">
        <v>46252</v>
      </c>
      <c r="C50" s="4" t="str">
        <f t="shared" si="2"/>
        <v>Tuesday</v>
      </c>
      <c r="D50" s="4">
        <f t="shared" si="5"/>
        <v>33</v>
      </c>
      <c r="E50" s="4" t="str">
        <f t="shared" si="6"/>
        <v>August</v>
      </c>
      <c r="F50" s="19">
        <f t="shared" si="7"/>
        <v>2026</v>
      </c>
    </row>
    <row r="51" spans="1:6" x14ac:dyDescent="0.25">
      <c r="A51" s="18">
        <f t="shared" si="1"/>
        <v>20260819</v>
      </c>
      <c r="B51" s="24">
        <v>46253</v>
      </c>
      <c r="C51" s="4" t="str">
        <f t="shared" si="2"/>
        <v>Wednesday</v>
      </c>
      <c r="D51" s="4">
        <f t="shared" si="5"/>
        <v>33</v>
      </c>
      <c r="E51" s="4" t="str">
        <f t="shared" si="6"/>
        <v>August</v>
      </c>
      <c r="F51" s="19">
        <f t="shared" si="7"/>
        <v>2026</v>
      </c>
    </row>
    <row r="52" spans="1:6" x14ac:dyDescent="0.25">
      <c r="A52" s="18">
        <f t="shared" si="1"/>
        <v>20260820</v>
      </c>
      <c r="B52" s="24">
        <v>46254</v>
      </c>
      <c r="C52" s="4" t="str">
        <f t="shared" si="2"/>
        <v>Thursday</v>
      </c>
      <c r="D52" s="4">
        <f t="shared" si="5"/>
        <v>33</v>
      </c>
      <c r="E52" s="4" t="str">
        <f t="shared" si="6"/>
        <v>August</v>
      </c>
      <c r="F52" s="19">
        <f t="shared" si="7"/>
        <v>2026</v>
      </c>
    </row>
    <row r="53" spans="1:6" x14ac:dyDescent="0.25">
      <c r="A53" s="18">
        <f t="shared" si="1"/>
        <v>20260821</v>
      </c>
      <c r="B53" s="24">
        <v>46255</v>
      </c>
      <c r="C53" s="4" t="str">
        <f t="shared" si="2"/>
        <v>Friday</v>
      </c>
      <c r="D53" s="4">
        <f t="shared" si="5"/>
        <v>33</v>
      </c>
      <c r="E53" s="4" t="str">
        <f t="shared" si="6"/>
        <v>August</v>
      </c>
      <c r="F53" s="19">
        <f t="shared" si="7"/>
        <v>2026</v>
      </c>
    </row>
    <row r="54" spans="1:6" x14ac:dyDescent="0.25">
      <c r="A54" s="18">
        <f t="shared" si="1"/>
        <v>20260822</v>
      </c>
      <c r="B54" s="24">
        <v>46256</v>
      </c>
      <c r="C54" s="4" t="str">
        <f t="shared" si="2"/>
        <v>Saturday</v>
      </c>
      <c r="D54" s="4">
        <f t="shared" si="5"/>
        <v>34</v>
      </c>
      <c r="E54" s="4" t="str">
        <f t="shared" si="6"/>
        <v>August</v>
      </c>
      <c r="F54" s="19">
        <f t="shared" si="7"/>
        <v>2026</v>
      </c>
    </row>
    <row r="55" spans="1:6" x14ac:dyDescent="0.25">
      <c r="A55" s="18">
        <f t="shared" si="1"/>
        <v>20260823</v>
      </c>
      <c r="B55" s="24">
        <v>46257</v>
      </c>
      <c r="C55" s="4" t="str">
        <f t="shared" si="2"/>
        <v>Sunday</v>
      </c>
      <c r="D55" s="4">
        <f t="shared" si="5"/>
        <v>34</v>
      </c>
      <c r="E55" s="4" t="str">
        <f t="shared" si="6"/>
        <v>August</v>
      </c>
      <c r="F55" s="19">
        <f t="shared" si="7"/>
        <v>2026</v>
      </c>
    </row>
    <row r="56" spans="1:6" x14ac:dyDescent="0.25">
      <c r="A56" s="18">
        <f t="shared" si="1"/>
        <v>20260824</v>
      </c>
      <c r="B56" s="24">
        <v>46258</v>
      </c>
      <c r="C56" s="4" t="str">
        <f t="shared" si="2"/>
        <v>Monday</v>
      </c>
      <c r="D56" s="4">
        <f t="shared" si="5"/>
        <v>34</v>
      </c>
      <c r="E56" s="4" t="str">
        <f t="shared" si="6"/>
        <v>August</v>
      </c>
      <c r="F56" s="19">
        <f t="shared" si="7"/>
        <v>2026</v>
      </c>
    </row>
    <row r="57" spans="1:6" x14ac:dyDescent="0.25">
      <c r="A57" s="18">
        <f t="shared" si="1"/>
        <v>20260825</v>
      </c>
      <c r="B57" s="24">
        <v>46259</v>
      </c>
      <c r="C57" s="4" t="str">
        <f t="shared" si="2"/>
        <v>Tuesday</v>
      </c>
      <c r="D57" s="4">
        <f t="shared" si="5"/>
        <v>34</v>
      </c>
      <c r="E57" s="4" t="str">
        <f t="shared" si="6"/>
        <v>August</v>
      </c>
      <c r="F57" s="19">
        <f t="shared" si="7"/>
        <v>2026</v>
      </c>
    </row>
    <row r="58" spans="1:6" x14ac:dyDescent="0.25">
      <c r="A58" s="18">
        <f t="shared" si="1"/>
        <v>20260826</v>
      </c>
      <c r="B58" s="24">
        <v>46260</v>
      </c>
      <c r="C58" s="4" t="str">
        <f t="shared" si="2"/>
        <v>Wednesday</v>
      </c>
      <c r="D58" s="4">
        <f t="shared" si="5"/>
        <v>34</v>
      </c>
      <c r="E58" s="4" t="str">
        <f t="shared" si="6"/>
        <v>August</v>
      </c>
      <c r="F58" s="19">
        <f t="shared" si="7"/>
        <v>2026</v>
      </c>
    </row>
    <row r="59" spans="1:6" x14ac:dyDescent="0.25">
      <c r="A59" s="18">
        <f t="shared" si="1"/>
        <v>20260827</v>
      </c>
      <c r="B59" s="24">
        <v>46261</v>
      </c>
      <c r="C59" s="4" t="str">
        <f t="shared" si="2"/>
        <v>Thursday</v>
      </c>
      <c r="D59" s="4">
        <f t="shared" si="5"/>
        <v>34</v>
      </c>
      <c r="E59" s="4" t="str">
        <f t="shared" si="6"/>
        <v>August</v>
      </c>
      <c r="F59" s="19">
        <f t="shared" si="7"/>
        <v>2026</v>
      </c>
    </row>
    <row r="60" spans="1:6" x14ac:dyDescent="0.25">
      <c r="A60" s="18">
        <f t="shared" si="1"/>
        <v>20260828</v>
      </c>
      <c r="B60" s="24">
        <v>46262</v>
      </c>
      <c r="C60" s="4" t="str">
        <f t="shared" si="2"/>
        <v>Friday</v>
      </c>
      <c r="D60" s="4">
        <f t="shared" si="5"/>
        <v>34</v>
      </c>
      <c r="E60" s="4" t="str">
        <f t="shared" si="6"/>
        <v>August</v>
      </c>
      <c r="F60" s="19">
        <f t="shared" si="7"/>
        <v>2026</v>
      </c>
    </row>
    <row r="61" spans="1:6" x14ac:dyDescent="0.25">
      <c r="A61" s="18">
        <f t="shared" si="1"/>
        <v>20260829</v>
      </c>
      <c r="B61" s="24">
        <v>46263</v>
      </c>
      <c r="C61" s="4" t="str">
        <f t="shared" si="2"/>
        <v>Saturday</v>
      </c>
      <c r="D61" s="4">
        <f t="shared" si="5"/>
        <v>35</v>
      </c>
      <c r="E61" s="4" t="str">
        <f t="shared" si="6"/>
        <v>August</v>
      </c>
      <c r="F61" s="19">
        <f t="shared" si="7"/>
        <v>2026</v>
      </c>
    </row>
    <row r="62" spans="1:6" x14ac:dyDescent="0.25">
      <c r="A62" s="18">
        <f t="shared" si="1"/>
        <v>20260830</v>
      </c>
      <c r="B62" s="24">
        <v>46264</v>
      </c>
      <c r="C62" s="4" t="str">
        <f t="shared" si="2"/>
        <v>Sunday</v>
      </c>
      <c r="D62" s="4">
        <f t="shared" si="5"/>
        <v>35</v>
      </c>
      <c r="E62" s="4" t="str">
        <f t="shared" si="6"/>
        <v>August</v>
      </c>
      <c r="F62" s="19">
        <f t="shared" si="7"/>
        <v>2026</v>
      </c>
    </row>
    <row r="63" spans="1:6" x14ac:dyDescent="0.25">
      <c r="A63" s="18">
        <f t="shared" si="1"/>
        <v>20260831</v>
      </c>
      <c r="B63" s="24">
        <v>46265</v>
      </c>
      <c r="C63" s="4" t="str">
        <f t="shared" si="2"/>
        <v>Monday</v>
      </c>
      <c r="D63" s="4">
        <f t="shared" si="5"/>
        <v>35</v>
      </c>
      <c r="E63" s="4" t="str">
        <f t="shared" si="6"/>
        <v>August</v>
      </c>
      <c r="F63" s="19">
        <f t="shared" si="7"/>
        <v>2026</v>
      </c>
    </row>
    <row r="64" spans="1:6" x14ac:dyDescent="0.25">
      <c r="A64" s="18">
        <f t="shared" si="1"/>
        <v>20260901</v>
      </c>
      <c r="B64" s="24">
        <v>46266</v>
      </c>
      <c r="C64" s="4" t="str">
        <f t="shared" si="2"/>
        <v>Tuesday</v>
      </c>
      <c r="D64" s="4">
        <f t="shared" ref="D64:D127" si="8">WEEKNUM(B64 - MOD(WEEKDAY(B64,1),7),1)</f>
        <v>35</v>
      </c>
      <c r="E64" s="4" t="str">
        <f t="shared" si="6"/>
        <v>September</v>
      </c>
      <c r="F64" s="19">
        <f t="shared" si="7"/>
        <v>2026</v>
      </c>
    </row>
    <row r="65" spans="1:6" x14ac:dyDescent="0.25">
      <c r="A65" s="18">
        <f t="shared" si="1"/>
        <v>20260902</v>
      </c>
      <c r="B65" s="24">
        <v>46267</v>
      </c>
      <c r="C65" s="4" t="str">
        <f t="shared" si="2"/>
        <v>Wednesday</v>
      </c>
      <c r="D65" s="4">
        <f t="shared" si="8"/>
        <v>35</v>
      </c>
      <c r="E65" s="4" t="str">
        <f t="shared" si="6"/>
        <v>September</v>
      </c>
      <c r="F65" s="19">
        <f t="shared" si="7"/>
        <v>2026</v>
      </c>
    </row>
    <row r="66" spans="1:6" x14ac:dyDescent="0.25">
      <c r="A66" s="18">
        <f t="shared" si="1"/>
        <v>20260903</v>
      </c>
      <c r="B66" s="24">
        <v>46268</v>
      </c>
      <c r="C66" s="4" t="str">
        <f t="shared" si="2"/>
        <v>Thursday</v>
      </c>
      <c r="D66" s="4">
        <f t="shared" si="8"/>
        <v>35</v>
      </c>
      <c r="E66" s="4" t="str">
        <f t="shared" si="6"/>
        <v>September</v>
      </c>
      <c r="F66" s="19">
        <f t="shared" si="7"/>
        <v>2026</v>
      </c>
    </row>
    <row r="67" spans="1:6" x14ac:dyDescent="0.25">
      <c r="A67" s="18">
        <f t="shared" ref="A67:A130" si="9">YEAR(B67)*10000 + MONTH(B67)*100 + DAY(B67)</f>
        <v>20260904</v>
      </c>
      <c r="B67" s="24">
        <v>46269</v>
      </c>
      <c r="C67" s="4" t="str">
        <f t="shared" ref="C67:C130" si="10">TEXT(B67,"dddd")</f>
        <v>Friday</v>
      </c>
      <c r="D67" s="4">
        <f t="shared" si="8"/>
        <v>35</v>
      </c>
      <c r="E67" s="4" t="str">
        <f t="shared" si="6"/>
        <v>September</v>
      </c>
      <c r="F67" s="19">
        <f t="shared" si="7"/>
        <v>2026</v>
      </c>
    </row>
    <row r="68" spans="1:6" x14ac:dyDescent="0.25">
      <c r="A68" s="18">
        <f t="shared" si="9"/>
        <v>20260905</v>
      </c>
      <c r="B68" s="24">
        <v>46270</v>
      </c>
      <c r="C68" s="4" t="str">
        <f t="shared" si="10"/>
        <v>Saturday</v>
      </c>
      <c r="D68" s="4">
        <f t="shared" si="8"/>
        <v>36</v>
      </c>
      <c r="E68" s="4" t="str">
        <f t="shared" si="6"/>
        <v>September</v>
      </c>
      <c r="F68" s="19">
        <f t="shared" si="7"/>
        <v>2026</v>
      </c>
    </row>
    <row r="69" spans="1:6" x14ac:dyDescent="0.25">
      <c r="A69" s="18">
        <f t="shared" si="9"/>
        <v>20260906</v>
      </c>
      <c r="B69" s="24">
        <v>46271</v>
      </c>
      <c r="C69" s="4" t="str">
        <f t="shared" si="10"/>
        <v>Sunday</v>
      </c>
      <c r="D69" s="4">
        <f t="shared" si="8"/>
        <v>36</v>
      </c>
      <c r="E69" s="4" t="str">
        <f t="shared" si="6"/>
        <v>September</v>
      </c>
      <c r="F69" s="19">
        <f t="shared" si="7"/>
        <v>2026</v>
      </c>
    </row>
    <row r="70" spans="1:6" x14ac:dyDescent="0.25">
      <c r="A70" s="18">
        <f t="shared" si="9"/>
        <v>20260907</v>
      </c>
      <c r="B70" s="24">
        <v>46272</v>
      </c>
      <c r="C70" s="4" t="str">
        <f t="shared" si="10"/>
        <v>Monday</v>
      </c>
      <c r="D70" s="4">
        <f t="shared" si="8"/>
        <v>36</v>
      </c>
      <c r="E70" s="4" t="str">
        <f t="shared" si="6"/>
        <v>September</v>
      </c>
      <c r="F70" s="19">
        <f t="shared" si="7"/>
        <v>2026</v>
      </c>
    </row>
    <row r="71" spans="1:6" x14ac:dyDescent="0.25">
      <c r="A71" s="18">
        <f t="shared" si="9"/>
        <v>20260908</v>
      </c>
      <c r="B71" s="24">
        <v>46273</v>
      </c>
      <c r="C71" s="4" t="str">
        <f t="shared" si="10"/>
        <v>Tuesday</v>
      </c>
      <c r="D71" s="4">
        <f t="shared" si="8"/>
        <v>36</v>
      </c>
      <c r="E71" s="4" t="str">
        <f t="shared" si="6"/>
        <v>September</v>
      </c>
      <c r="F71" s="19">
        <f t="shared" si="7"/>
        <v>2026</v>
      </c>
    </row>
    <row r="72" spans="1:6" x14ac:dyDescent="0.25">
      <c r="A72" s="18">
        <f t="shared" si="9"/>
        <v>20260909</v>
      </c>
      <c r="B72" s="24">
        <v>46274</v>
      </c>
      <c r="C72" s="4" t="str">
        <f t="shared" si="10"/>
        <v>Wednesday</v>
      </c>
      <c r="D72" s="4">
        <f t="shared" si="8"/>
        <v>36</v>
      </c>
      <c r="E72" s="4" t="str">
        <f t="shared" si="6"/>
        <v>September</v>
      </c>
      <c r="F72" s="19">
        <f t="shared" si="7"/>
        <v>2026</v>
      </c>
    </row>
    <row r="73" spans="1:6" x14ac:dyDescent="0.25">
      <c r="A73" s="18">
        <f t="shared" si="9"/>
        <v>20260910</v>
      </c>
      <c r="B73" s="24">
        <v>46275</v>
      </c>
      <c r="C73" s="4" t="str">
        <f t="shared" si="10"/>
        <v>Thursday</v>
      </c>
      <c r="D73" s="4">
        <f t="shared" si="8"/>
        <v>36</v>
      </c>
      <c r="E73" s="4" t="str">
        <f t="shared" si="6"/>
        <v>September</v>
      </c>
      <c r="F73" s="19">
        <f t="shared" si="7"/>
        <v>2026</v>
      </c>
    </row>
    <row r="74" spans="1:6" x14ac:dyDescent="0.25">
      <c r="A74" s="18">
        <f t="shared" si="9"/>
        <v>20260911</v>
      </c>
      <c r="B74" s="24">
        <v>46276</v>
      </c>
      <c r="C74" s="4" t="str">
        <f t="shared" si="10"/>
        <v>Friday</v>
      </c>
      <c r="D74" s="4">
        <f t="shared" si="8"/>
        <v>36</v>
      </c>
      <c r="E74" s="4" t="str">
        <f t="shared" si="6"/>
        <v>September</v>
      </c>
      <c r="F74" s="19">
        <f t="shared" si="7"/>
        <v>2026</v>
      </c>
    </row>
    <row r="75" spans="1:6" x14ac:dyDescent="0.25">
      <c r="A75" s="18">
        <f t="shared" si="9"/>
        <v>20260912</v>
      </c>
      <c r="B75" s="24">
        <v>46277</v>
      </c>
      <c r="C75" s="4" t="str">
        <f t="shared" si="10"/>
        <v>Saturday</v>
      </c>
      <c r="D75" s="4">
        <f t="shared" si="8"/>
        <v>37</v>
      </c>
      <c r="E75" s="4" t="str">
        <f t="shared" si="6"/>
        <v>September</v>
      </c>
      <c r="F75" s="19">
        <f t="shared" si="7"/>
        <v>2026</v>
      </c>
    </row>
    <row r="76" spans="1:6" x14ac:dyDescent="0.25">
      <c r="A76" s="18">
        <f t="shared" si="9"/>
        <v>20260913</v>
      </c>
      <c r="B76" s="24">
        <v>46278</v>
      </c>
      <c r="C76" s="4" t="str">
        <f t="shared" si="10"/>
        <v>Sunday</v>
      </c>
      <c r="D76" s="4">
        <f t="shared" si="8"/>
        <v>37</v>
      </c>
      <c r="E76" s="4" t="str">
        <f t="shared" ref="E76:E139" si="11">TEXT(B76,"mmmm")</f>
        <v>September</v>
      </c>
      <c r="F76" s="19">
        <f t="shared" ref="F76:F139" si="12">YEAR(B76)</f>
        <v>2026</v>
      </c>
    </row>
    <row r="77" spans="1:6" x14ac:dyDescent="0.25">
      <c r="A77" s="18">
        <f t="shared" si="9"/>
        <v>20260914</v>
      </c>
      <c r="B77" s="24">
        <v>46279</v>
      </c>
      <c r="C77" s="4" t="str">
        <f t="shared" si="10"/>
        <v>Monday</v>
      </c>
      <c r="D77" s="4">
        <f t="shared" si="8"/>
        <v>37</v>
      </c>
      <c r="E77" s="4" t="str">
        <f t="shared" si="11"/>
        <v>September</v>
      </c>
      <c r="F77" s="19">
        <f t="shared" si="12"/>
        <v>2026</v>
      </c>
    </row>
    <row r="78" spans="1:6" x14ac:dyDescent="0.25">
      <c r="A78" s="18">
        <f t="shared" si="9"/>
        <v>20260915</v>
      </c>
      <c r="B78" s="24">
        <v>46280</v>
      </c>
      <c r="C78" s="4" t="str">
        <f t="shared" si="10"/>
        <v>Tuesday</v>
      </c>
      <c r="D78" s="4">
        <f t="shared" si="8"/>
        <v>37</v>
      </c>
      <c r="E78" s="4" t="str">
        <f t="shared" si="11"/>
        <v>September</v>
      </c>
      <c r="F78" s="19">
        <f t="shared" si="12"/>
        <v>2026</v>
      </c>
    </row>
    <row r="79" spans="1:6" x14ac:dyDescent="0.25">
      <c r="A79" s="18">
        <f t="shared" si="9"/>
        <v>20260916</v>
      </c>
      <c r="B79" s="24">
        <v>46281</v>
      </c>
      <c r="C79" s="4" t="str">
        <f t="shared" si="10"/>
        <v>Wednesday</v>
      </c>
      <c r="D79" s="4">
        <f t="shared" si="8"/>
        <v>37</v>
      </c>
      <c r="E79" s="4" t="str">
        <f t="shared" si="11"/>
        <v>September</v>
      </c>
      <c r="F79" s="19">
        <f t="shared" si="12"/>
        <v>2026</v>
      </c>
    </row>
    <row r="80" spans="1:6" x14ac:dyDescent="0.25">
      <c r="A80" s="18">
        <f t="shared" si="9"/>
        <v>20260917</v>
      </c>
      <c r="B80" s="24">
        <v>46282</v>
      </c>
      <c r="C80" s="4" t="str">
        <f t="shared" si="10"/>
        <v>Thursday</v>
      </c>
      <c r="D80" s="4">
        <f t="shared" si="8"/>
        <v>37</v>
      </c>
      <c r="E80" s="4" t="str">
        <f t="shared" si="11"/>
        <v>September</v>
      </c>
      <c r="F80" s="19">
        <f t="shared" si="12"/>
        <v>2026</v>
      </c>
    </row>
    <row r="81" spans="1:6" x14ac:dyDescent="0.25">
      <c r="A81" s="18">
        <f t="shared" si="9"/>
        <v>20260918</v>
      </c>
      <c r="B81" s="24">
        <v>46283</v>
      </c>
      <c r="C81" s="4" t="str">
        <f t="shared" si="10"/>
        <v>Friday</v>
      </c>
      <c r="D81" s="4">
        <f t="shared" si="8"/>
        <v>37</v>
      </c>
      <c r="E81" s="4" t="str">
        <f t="shared" si="11"/>
        <v>September</v>
      </c>
      <c r="F81" s="19">
        <f t="shared" si="12"/>
        <v>2026</v>
      </c>
    </row>
    <row r="82" spans="1:6" x14ac:dyDescent="0.25">
      <c r="A82" s="18">
        <f t="shared" si="9"/>
        <v>20260919</v>
      </c>
      <c r="B82" s="24">
        <v>46284</v>
      </c>
      <c r="C82" s="4" t="str">
        <f t="shared" si="10"/>
        <v>Saturday</v>
      </c>
      <c r="D82" s="4">
        <f t="shared" si="8"/>
        <v>38</v>
      </c>
      <c r="E82" s="4" t="str">
        <f t="shared" si="11"/>
        <v>September</v>
      </c>
      <c r="F82" s="19">
        <f t="shared" si="12"/>
        <v>2026</v>
      </c>
    </row>
    <row r="83" spans="1:6" x14ac:dyDescent="0.25">
      <c r="A83" s="18">
        <f t="shared" si="9"/>
        <v>20260920</v>
      </c>
      <c r="B83" s="24">
        <v>46285</v>
      </c>
      <c r="C83" s="4" t="str">
        <f t="shared" si="10"/>
        <v>Sunday</v>
      </c>
      <c r="D83" s="4">
        <f t="shared" si="8"/>
        <v>38</v>
      </c>
      <c r="E83" s="4" t="str">
        <f t="shared" si="11"/>
        <v>September</v>
      </c>
      <c r="F83" s="19">
        <f t="shared" si="12"/>
        <v>2026</v>
      </c>
    </row>
    <row r="84" spans="1:6" x14ac:dyDescent="0.25">
      <c r="A84" s="18">
        <f t="shared" si="9"/>
        <v>20260921</v>
      </c>
      <c r="B84" s="24">
        <v>46286</v>
      </c>
      <c r="C84" s="4" t="str">
        <f t="shared" si="10"/>
        <v>Monday</v>
      </c>
      <c r="D84" s="4">
        <f t="shared" si="8"/>
        <v>38</v>
      </c>
      <c r="E84" s="4" t="str">
        <f t="shared" si="11"/>
        <v>September</v>
      </c>
      <c r="F84" s="19">
        <f t="shared" si="12"/>
        <v>2026</v>
      </c>
    </row>
    <row r="85" spans="1:6" x14ac:dyDescent="0.25">
      <c r="A85" s="18">
        <f t="shared" si="9"/>
        <v>20260922</v>
      </c>
      <c r="B85" s="24">
        <v>46287</v>
      </c>
      <c r="C85" s="4" t="str">
        <f t="shared" si="10"/>
        <v>Tuesday</v>
      </c>
      <c r="D85" s="4">
        <f t="shared" si="8"/>
        <v>38</v>
      </c>
      <c r="E85" s="4" t="str">
        <f t="shared" si="11"/>
        <v>September</v>
      </c>
      <c r="F85" s="19">
        <f t="shared" si="12"/>
        <v>2026</v>
      </c>
    </row>
    <row r="86" spans="1:6" x14ac:dyDescent="0.25">
      <c r="A86" s="18">
        <f t="shared" si="9"/>
        <v>20260923</v>
      </c>
      <c r="B86" s="24">
        <v>46288</v>
      </c>
      <c r="C86" s="4" t="str">
        <f t="shared" si="10"/>
        <v>Wednesday</v>
      </c>
      <c r="D86" s="4">
        <f t="shared" si="8"/>
        <v>38</v>
      </c>
      <c r="E86" s="4" t="str">
        <f t="shared" si="11"/>
        <v>September</v>
      </c>
      <c r="F86" s="19">
        <f t="shared" si="12"/>
        <v>2026</v>
      </c>
    </row>
    <row r="87" spans="1:6" x14ac:dyDescent="0.25">
      <c r="A87" s="18">
        <f t="shared" si="9"/>
        <v>20260924</v>
      </c>
      <c r="B87" s="24">
        <v>46289</v>
      </c>
      <c r="C87" s="4" t="str">
        <f t="shared" si="10"/>
        <v>Thursday</v>
      </c>
      <c r="D87" s="4">
        <f t="shared" si="8"/>
        <v>38</v>
      </c>
      <c r="E87" s="4" t="str">
        <f t="shared" si="11"/>
        <v>September</v>
      </c>
      <c r="F87" s="19">
        <f t="shared" si="12"/>
        <v>2026</v>
      </c>
    </row>
    <row r="88" spans="1:6" x14ac:dyDescent="0.25">
      <c r="A88" s="18">
        <f t="shared" si="9"/>
        <v>20260925</v>
      </c>
      <c r="B88" s="24">
        <v>46290</v>
      </c>
      <c r="C88" s="4" t="str">
        <f t="shared" si="10"/>
        <v>Friday</v>
      </c>
      <c r="D88" s="4">
        <f t="shared" si="8"/>
        <v>38</v>
      </c>
      <c r="E88" s="4" t="str">
        <f t="shared" si="11"/>
        <v>September</v>
      </c>
      <c r="F88" s="19">
        <f t="shared" si="12"/>
        <v>2026</v>
      </c>
    </row>
    <row r="89" spans="1:6" x14ac:dyDescent="0.25">
      <c r="A89" s="18">
        <f t="shared" si="9"/>
        <v>20260926</v>
      </c>
      <c r="B89" s="24">
        <v>46291</v>
      </c>
      <c r="C89" s="4" t="str">
        <f t="shared" si="10"/>
        <v>Saturday</v>
      </c>
      <c r="D89" s="4">
        <f t="shared" si="8"/>
        <v>39</v>
      </c>
      <c r="E89" s="4" t="str">
        <f t="shared" si="11"/>
        <v>September</v>
      </c>
      <c r="F89" s="19">
        <f t="shared" si="12"/>
        <v>2026</v>
      </c>
    </row>
    <row r="90" spans="1:6" x14ac:dyDescent="0.25">
      <c r="A90" s="18">
        <f t="shared" si="9"/>
        <v>20260927</v>
      </c>
      <c r="B90" s="24">
        <v>46292</v>
      </c>
      <c r="C90" s="4" t="str">
        <f t="shared" si="10"/>
        <v>Sunday</v>
      </c>
      <c r="D90" s="4">
        <f t="shared" si="8"/>
        <v>39</v>
      </c>
      <c r="E90" s="4" t="str">
        <f t="shared" si="11"/>
        <v>September</v>
      </c>
      <c r="F90" s="19">
        <f t="shared" si="12"/>
        <v>2026</v>
      </c>
    </row>
    <row r="91" spans="1:6" x14ac:dyDescent="0.25">
      <c r="A91" s="18">
        <f t="shared" si="9"/>
        <v>20260928</v>
      </c>
      <c r="B91" s="24">
        <v>46293</v>
      </c>
      <c r="C91" s="4" t="str">
        <f t="shared" si="10"/>
        <v>Monday</v>
      </c>
      <c r="D91" s="4">
        <f t="shared" si="8"/>
        <v>39</v>
      </c>
      <c r="E91" s="4" t="str">
        <f t="shared" si="11"/>
        <v>September</v>
      </c>
      <c r="F91" s="19">
        <f t="shared" si="12"/>
        <v>2026</v>
      </c>
    </row>
    <row r="92" spans="1:6" x14ac:dyDescent="0.25">
      <c r="A92" s="18">
        <f t="shared" si="9"/>
        <v>20260929</v>
      </c>
      <c r="B92" s="24">
        <v>46294</v>
      </c>
      <c r="C92" s="4" t="str">
        <f t="shared" si="10"/>
        <v>Tuesday</v>
      </c>
      <c r="D92" s="4">
        <f t="shared" si="8"/>
        <v>39</v>
      </c>
      <c r="E92" s="4" t="str">
        <f t="shared" si="11"/>
        <v>September</v>
      </c>
      <c r="F92" s="19">
        <f t="shared" si="12"/>
        <v>2026</v>
      </c>
    </row>
    <row r="93" spans="1:6" x14ac:dyDescent="0.25">
      <c r="A93" s="18">
        <f t="shared" si="9"/>
        <v>20260930</v>
      </c>
      <c r="B93" s="24">
        <v>46295</v>
      </c>
      <c r="C93" s="4" t="str">
        <f t="shared" si="10"/>
        <v>Wednesday</v>
      </c>
      <c r="D93" s="4">
        <f t="shared" si="8"/>
        <v>39</v>
      </c>
      <c r="E93" s="4" t="str">
        <f t="shared" si="11"/>
        <v>September</v>
      </c>
      <c r="F93" s="19">
        <f t="shared" si="12"/>
        <v>2026</v>
      </c>
    </row>
    <row r="94" spans="1:6" x14ac:dyDescent="0.25">
      <c r="A94" s="18">
        <f t="shared" si="9"/>
        <v>20261001</v>
      </c>
      <c r="B94" s="24">
        <v>46296</v>
      </c>
      <c r="C94" s="4" t="str">
        <f t="shared" si="10"/>
        <v>Thursday</v>
      </c>
      <c r="D94" s="4">
        <f t="shared" si="8"/>
        <v>39</v>
      </c>
      <c r="E94" s="4" t="str">
        <f t="shared" si="11"/>
        <v>October</v>
      </c>
      <c r="F94" s="19">
        <f t="shared" si="12"/>
        <v>2026</v>
      </c>
    </row>
    <row r="95" spans="1:6" x14ac:dyDescent="0.25">
      <c r="A95" s="18">
        <f t="shared" si="9"/>
        <v>20261002</v>
      </c>
      <c r="B95" s="24">
        <v>46297</v>
      </c>
      <c r="C95" s="4" t="str">
        <f t="shared" si="10"/>
        <v>Friday</v>
      </c>
      <c r="D95" s="4">
        <f t="shared" si="8"/>
        <v>39</v>
      </c>
      <c r="E95" s="4" t="str">
        <f t="shared" si="11"/>
        <v>October</v>
      </c>
      <c r="F95" s="19">
        <f t="shared" si="12"/>
        <v>2026</v>
      </c>
    </row>
    <row r="96" spans="1:6" x14ac:dyDescent="0.25">
      <c r="A96" s="18">
        <f t="shared" si="9"/>
        <v>20261003</v>
      </c>
      <c r="B96" s="24">
        <v>46298</v>
      </c>
      <c r="C96" s="4" t="str">
        <f t="shared" si="10"/>
        <v>Saturday</v>
      </c>
      <c r="D96" s="4">
        <f t="shared" si="8"/>
        <v>40</v>
      </c>
      <c r="E96" s="4" t="str">
        <f t="shared" si="11"/>
        <v>October</v>
      </c>
      <c r="F96" s="19">
        <f t="shared" si="12"/>
        <v>2026</v>
      </c>
    </row>
    <row r="97" spans="1:6" x14ac:dyDescent="0.25">
      <c r="A97" s="18">
        <f t="shared" si="9"/>
        <v>20261004</v>
      </c>
      <c r="B97" s="24">
        <v>46299</v>
      </c>
      <c r="C97" s="4" t="str">
        <f t="shared" si="10"/>
        <v>Sunday</v>
      </c>
      <c r="D97" s="4">
        <f t="shared" si="8"/>
        <v>40</v>
      </c>
      <c r="E97" s="4" t="str">
        <f t="shared" si="11"/>
        <v>October</v>
      </c>
      <c r="F97" s="19">
        <f t="shared" si="12"/>
        <v>2026</v>
      </c>
    </row>
    <row r="98" spans="1:6" x14ac:dyDescent="0.25">
      <c r="A98" s="18">
        <f t="shared" si="9"/>
        <v>20261005</v>
      </c>
      <c r="B98" s="24">
        <v>46300</v>
      </c>
      <c r="C98" s="4" t="str">
        <f t="shared" si="10"/>
        <v>Monday</v>
      </c>
      <c r="D98" s="4">
        <f t="shared" si="8"/>
        <v>40</v>
      </c>
      <c r="E98" s="4" t="str">
        <f t="shared" si="11"/>
        <v>October</v>
      </c>
      <c r="F98" s="19">
        <f t="shared" si="12"/>
        <v>2026</v>
      </c>
    </row>
    <row r="99" spans="1:6" x14ac:dyDescent="0.25">
      <c r="A99" s="18">
        <f t="shared" si="9"/>
        <v>20261006</v>
      </c>
      <c r="B99" s="24">
        <v>46301</v>
      </c>
      <c r="C99" s="4" t="str">
        <f t="shared" si="10"/>
        <v>Tuesday</v>
      </c>
      <c r="D99" s="4">
        <f t="shared" si="8"/>
        <v>40</v>
      </c>
      <c r="E99" s="4" t="str">
        <f t="shared" si="11"/>
        <v>October</v>
      </c>
      <c r="F99" s="19">
        <f t="shared" si="12"/>
        <v>2026</v>
      </c>
    </row>
    <row r="100" spans="1:6" x14ac:dyDescent="0.25">
      <c r="A100" s="18">
        <f t="shared" si="9"/>
        <v>20261007</v>
      </c>
      <c r="B100" s="24">
        <v>46302</v>
      </c>
      <c r="C100" s="4" t="str">
        <f t="shared" si="10"/>
        <v>Wednesday</v>
      </c>
      <c r="D100" s="4">
        <f t="shared" si="8"/>
        <v>40</v>
      </c>
      <c r="E100" s="4" t="str">
        <f t="shared" si="11"/>
        <v>October</v>
      </c>
      <c r="F100" s="19">
        <f t="shared" si="12"/>
        <v>2026</v>
      </c>
    </row>
    <row r="101" spans="1:6" x14ac:dyDescent="0.25">
      <c r="A101" s="18">
        <f t="shared" si="9"/>
        <v>20261008</v>
      </c>
      <c r="B101" s="24">
        <v>46303</v>
      </c>
      <c r="C101" s="4" t="str">
        <f t="shared" si="10"/>
        <v>Thursday</v>
      </c>
      <c r="D101" s="4">
        <f t="shared" si="8"/>
        <v>40</v>
      </c>
      <c r="E101" s="4" t="str">
        <f t="shared" si="11"/>
        <v>October</v>
      </c>
      <c r="F101" s="19">
        <f t="shared" si="12"/>
        <v>2026</v>
      </c>
    </row>
    <row r="102" spans="1:6" x14ac:dyDescent="0.25">
      <c r="A102" s="18">
        <f t="shared" si="9"/>
        <v>20261009</v>
      </c>
      <c r="B102" s="24">
        <v>46304</v>
      </c>
      <c r="C102" s="4" t="str">
        <f t="shared" si="10"/>
        <v>Friday</v>
      </c>
      <c r="D102" s="4">
        <f t="shared" si="8"/>
        <v>40</v>
      </c>
      <c r="E102" s="4" t="str">
        <f t="shared" si="11"/>
        <v>October</v>
      </c>
      <c r="F102" s="19">
        <f t="shared" si="12"/>
        <v>2026</v>
      </c>
    </row>
    <row r="103" spans="1:6" x14ac:dyDescent="0.25">
      <c r="A103" s="18">
        <f t="shared" si="9"/>
        <v>20261010</v>
      </c>
      <c r="B103" s="24">
        <v>46305</v>
      </c>
      <c r="C103" s="4" t="str">
        <f t="shared" si="10"/>
        <v>Saturday</v>
      </c>
      <c r="D103" s="4">
        <f t="shared" si="8"/>
        <v>41</v>
      </c>
      <c r="E103" s="4" t="str">
        <f t="shared" si="11"/>
        <v>October</v>
      </c>
      <c r="F103" s="19">
        <f t="shared" si="12"/>
        <v>2026</v>
      </c>
    </row>
    <row r="104" spans="1:6" x14ac:dyDescent="0.25">
      <c r="A104" s="18">
        <f t="shared" si="9"/>
        <v>20261011</v>
      </c>
      <c r="B104" s="24">
        <v>46306</v>
      </c>
      <c r="C104" s="4" t="str">
        <f t="shared" si="10"/>
        <v>Sunday</v>
      </c>
      <c r="D104" s="4">
        <f t="shared" si="8"/>
        <v>41</v>
      </c>
      <c r="E104" s="4" t="str">
        <f t="shared" si="11"/>
        <v>October</v>
      </c>
      <c r="F104" s="19">
        <f t="shared" si="12"/>
        <v>2026</v>
      </c>
    </row>
    <row r="105" spans="1:6" x14ac:dyDescent="0.25">
      <c r="A105" s="18">
        <f t="shared" si="9"/>
        <v>20261012</v>
      </c>
      <c r="B105" s="24">
        <v>46307</v>
      </c>
      <c r="C105" s="4" t="str">
        <f t="shared" si="10"/>
        <v>Monday</v>
      </c>
      <c r="D105" s="4">
        <f t="shared" si="8"/>
        <v>41</v>
      </c>
      <c r="E105" s="4" t="str">
        <f t="shared" si="11"/>
        <v>October</v>
      </c>
      <c r="F105" s="19">
        <f t="shared" si="12"/>
        <v>2026</v>
      </c>
    </row>
    <row r="106" spans="1:6" x14ac:dyDescent="0.25">
      <c r="A106" s="18">
        <f t="shared" si="9"/>
        <v>20261013</v>
      </c>
      <c r="B106" s="24">
        <v>46308</v>
      </c>
      <c r="C106" s="4" t="str">
        <f t="shared" si="10"/>
        <v>Tuesday</v>
      </c>
      <c r="D106" s="4">
        <f t="shared" si="8"/>
        <v>41</v>
      </c>
      <c r="E106" s="4" t="str">
        <f t="shared" si="11"/>
        <v>October</v>
      </c>
      <c r="F106" s="19">
        <f t="shared" si="12"/>
        <v>2026</v>
      </c>
    </row>
    <row r="107" spans="1:6" x14ac:dyDescent="0.25">
      <c r="A107" s="18">
        <f t="shared" si="9"/>
        <v>20261014</v>
      </c>
      <c r="B107" s="24">
        <v>46309</v>
      </c>
      <c r="C107" s="4" t="str">
        <f t="shared" si="10"/>
        <v>Wednesday</v>
      </c>
      <c r="D107" s="4">
        <f t="shared" si="8"/>
        <v>41</v>
      </c>
      <c r="E107" s="4" t="str">
        <f t="shared" si="11"/>
        <v>October</v>
      </c>
      <c r="F107" s="19">
        <f t="shared" si="12"/>
        <v>2026</v>
      </c>
    </row>
    <row r="108" spans="1:6" x14ac:dyDescent="0.25">
      <c r="A108" s="18">
        <f t="shared" si="9"/>
        <v>20261015</v>
      </c>
      <c r="B108" s="24">
        <v>46310</v>
      </c>
      <c r="C108" s="4" t="str">
        <f t="shared" si="10"/>
        <v>Thursday</v>
      </c>
      <c r="D108" s="4">
        <f t="shared" si="8"/>
        <v>41</v>
      </c>
      <c r="E108" s="4" t="str">
        <f t="shared" si="11"/>
        <v>October</v>
      </c>
      <c r="F108" s="19">
        <f t="shared" si="12"/>
        <v>2026</v>
      </c>
    </row>
    <row r="109" spans="1:6" x14ac:dyDescent="0.25">
      <c r="A109" s="18">
        <f t="shared" si="9"/>
        <v>20261016</v>
      </c>
      <c r="B109" s="24">
        <v>46311</v>
      </c>
      <c r="C109" s="4" t="str">
        <f t="shared" si="10"/>
        <v>Friday</v>
      </c>
      <c r="D109" s="4">
        <f t="shared" si="8"/>
        <v>41</v>
      </c>
      <c r="E109" s="4" t="str">
        <f t="shared" si="11"/>
        <v>October</v>
      </c>
      <c r="F109" s="19">
        <f t="shared" si="12"/>
        <v>2026</v>
      </c>
    </row>
    <row r="110" spans="1:6" x14ac:dyDescent="0.25">
      <c r="A110" s="18">
        <f t="shared" si="9"/>
        <v>20261017</v>
      </c>
      <c r="B110" s="24">
        <v>46312</v>
      </c>
      <c r="C110" s="4" t="str">
        <f t="shared" si="10"/>
        <v>Saturday</v>
      </c>
      <c r="D110" s="4">
        <f t="shared" si="8"/>
        <v>42</v>
      </c>
      <c r="E110" s="4" t="str">
        <f t="shared" si="11"/>
        <v>October</v>
      </c>
      <c r="F110" s="19">
        <f t="shared" si="12"/>
        <v>2026</v>
      </c>
    </row>
    <row r="111" spans="1:6" x14ac:dyDescent="0.25">
      <c r="A111" s="18">
        <f t="shared" si="9"/>
        <v>20261018</v>
      </c>
      <c r="B111" s="24">
        <v>46313</v>
      </c>
      <c r="C111" s="4" t="str">
        <f t="shared" si="10"/>
        <v>Sunday</v>
      </c>
      <c r="D111" s="4">
        <f t="shared" si="8"/>
        <v>42</v>
      </c>
      <c r="E111" s="4" t="str">
        <f t="shared" si="11"/>
        <v>October</v>
      </c>
      <c r="F111" s="19">
        <f t="shared" si="12"/>
        <v>2026</v>
      </c>
    </row>
    <row r="112" spans="1:6" x14ac:dyDescent="0.25">
      <c r="A112" s="18">
        <f t="shared" si="9"/>
        <v>20261019</v>
      </c>
      <c r="B112" s="24">
        <v>46314</v>
      </c>
      <c r="C112" s="4" t="str">
        <f t="shared" si="10"/>
        <v>Monday</v>
      </c>
      <c r="D112" s="4">
        <f t="shared" si="8"/>
        <v>42</v>
      </c>
      <c r="E112" s="4" t="str">
        <f t="shared" si="11"/>
        <v>October</v>
      </c>
      <c r="F112" s="19">
        <f t="shared" si="12"/>
        <v>2026</v>
      </c>
    </row>
    <row r="113" spans="1:6" x14ac:dyDescent="0.25">
      <c r="A113" s="18">
        <f t="shared" si="9"/>
        <v>20261020</v>
      </c>
      <c r="B113" s="24">
        <v>46315</v>
      </c>
      <c r="C113" s="4" t="str">
        <f t="shared" si="10"/>
        <v>Tuesday</v>
      </c>
      <c r="D113" s="4">
        <f t="shared" si="8"/>
        <v>42</v>
      </c>
      <c r="E113" s="4" t="str">
        <f t="shared" si="11"/>
        <v>October</v>
      </c>
      <c r="F113" s="19">
        <f t="shared" si="12"/>
        <v>2026</v>
      </c>
    </row>
    <row r="114" spans="1:6" x14ac:dyDescent="0.25">
      <c r="A114" s="18">
        <f t="shared" si="9"/>
        <v>20261021</v>
      </c>
      <c r="B114" s="24">
        <v>46316</v>
      </c>
      <c r="C114" s="4" t="str">
        <f t="shared" si="10"/>
        <v>Wednesday</v>
      </c>
      <c r="D114" s="4">
        <f t="shared" si="8"/>
        <v>42</v>
      </c>
      <c r="E114" s="4" t="str">
        <f t="shared" si="11"/>
        <v>October</v>
      </c>
      <c r="F114" s="19">
        <f t="shared" si="12"/>
        <v>2026</v>
      </c>
    </row>
    <row r="115" spans="1:6" x14ac:dyDescent="0.25">
      <c r="A115" s="18">
        <f t="shared" si="9"/>
        <v>20261022</v>
      </c>
      <c r="B115" s="24">
        <v>46317</v>
      </c>
      <c r="C115" s="4" t="str">
        <f t="shared" si="10"/>
        <v>Thursday</v>
      </c>
      <c r="D115" s="4">
        <f t="shared" si="8"/>
        <v>42</v>
      </c>
      <c r="E115" s="4" t="str">
        <f t="shared" si="11"/>
        <v>October</v>
      </c>
      <c r="F115" s="19">
        <f t="shared" si="12"/>
        <v>2026</v>
      </c>
    </row>
    <row r="116" spans="1:6" x14ac:dyDescent="0.25">
      <c r="A116" s="18">
        <f t="shared" si="9"/>
        <v>20261023</v>
      </c>
      <c r="B116" s="24">
        <v>46318</v>
      </c>
      <c r="C116" s="4" t="str">
        <f t="shared" si="10"/>
        <v>Friday</v>
      </c>
      <c r="D116" s="4">
        <f t="shared" si="8"/>
        <v>42</v>
      </c>
      <c r="E116" s="4" t="str">
        <f t="shared" si="11"/>
        <v>October</v>
      </c>
      <c r="F116" s="19">
        <f t="shared" si="12"/>
        <v>2026</v>
      </c>
    </row>
    <row r="117" spans="1:6" x14ac:dyDescent="0.25">
      <c r="A117" s="18">
        <f t="shared" si="9"/>
        <v>20261024</v>
      </c>
      <c r="B117" s="24">
        <v>46319</v>
      </c>
      <c r="C117" s="4" t="str">
        <f t="shared" si="10"/>
        <v>Saturday</v>
      </c>
      <c r="D117" s="4">
        <f t="shared" si="8"/>
        <v>43</v>
      </c>
      <c r="E117" s="4" t="str">
        <f t="shared" si="11"/>
        <v>October</v>
      </c>
      <c r="F117" s="19">
        <f t="shared" si="12"/>
        <v>2026</v>
      </c>
    </row>
    <row r="118" spans="1:6" x14ac:dyDescent="0.25">
      <c r="A118" s="18">
        <f t="shared" si="9"/>
        <v>20261025</v>
      </c>
      <c r="B118" s="24">
        <v>46320</v>
      </c>
      <c r="C118" s="4" t="str">
        <f t="shared" si="10"/>
        <v>Sunday</v>
      </c>
      <c r="D118" s="4">
        <f t="shared" si="8"/>
        <v>43</v>
      </c>
      <c r="E118" s="4" t="str">
        <f t="shared" si="11"/>
        <v>October</v>
      </c>
      <c r="F118" s="19">
        <f t="shared" si="12"/>
        <v>2026</v>
      </c>
    </row>
    <row r="119" spans="1:6" x14ac:dyDescent="0.25">
      <c r="A119" s="18">
        <f t="shared" si="9"/>
        <v>20261026</v>
      </c>
      <c r="B119" s="24">
        <v>46321</v>
      </c>
      <c r="C119" s="4" t="str">
        <f t="shared" si="10"/>
        <v>Monday</v>
      </c>
      <c r="D119" s="4">
        <f t="shared" si="8"/>
        <v>43</v>
      </c>
      <c r="E119" s="4" t="str">
        <f t="shared" si="11"/>
        <v>October</v>
      </c>
      <c r="F119" s="19">
        <f t="shared" si="12"/>
        <v>2026</v>
      </c>
    </row>
    <row r="120" spans="1:6" x14ac:dyDescent="0.25">
      <c r="A120" s="18">
        <f t="shared" si="9"/>
        <v>20261027</v>
      </c>
      <c r="B120" s="24">
        <v>46322</v>
      </c>
      <c r="C120" s="4" t="str">
        <f t="shared" si="10"/>
        <v>Tuesday</v>
      </c>
      <c r="D120" s="4">
        <f t="shared" si="8"/>
        <v>43</v>
      </c>
      <c r="E120" s="4" t="str">
        <f t="shared" si="11"/>
        <v>October</v>
      </c>
      <c r="F120" s="19">
        <f t="shared" si="12"/>
        <v>2026</v>
      </c>
    </row>
    <row r="121" spans="1:6" x14ac:dyDescent="0.25">
      <c r="A121" s="18">
        <f t="shared" si="9"/>
        <v>20261028</v>
      </c>
      <c r="B121" s="24">
        <v>46323</v>
      </c>
      <c r="C121" s="4" t="str">
        <f t="shared" si="10"/>
        <v>Wednesday</v>
      </c>
      <c r="D121" s="4">
        <f t="shared" si="8"/>
        <v>43</v>
      </c>
      <c r="E121" s="4" t="str">
        <f t="shared" si="11"/>
        <v>October</v>
      </c>
      <c r="F121" s="19">
        <f t="shared" si="12"/>
        <v>2026</v>
      </c>
    </row>
    <row r="122" spans="1:6" x14ac:dyDescent="0.25">
      <c r="A122" s="18">
        <f t="shared" si="9"/>
        <v>20261029</v>
      </c>
      <c r="B122" s="24">
        <v>46324</v>
      </c>
      <c r="C122" s="4" t="str">
        <f t="shared" si="10"/>
        <v>Thursday</v>
      </c>
      <c r="D122" s="4">
        <f t="shared" si="8"/>
        <v>43</v>
      </c>
      <c r="E122" s="4" t="str">
        <f t="shared" si="11"/>
        <v>October</v>
      </c>
      <c r="F122" s="19">
        <f t="shared" si="12"/>
        <v>2026</v>
      </c>
    </row>
    <row r="123" spans="1:6" x14ac:dyDescent="0.25">
      <c r="A123" s="18">
        <f t="shared" si="9"/>
        <v>20261030</v>
      </c>
      <c r="B123" s="24">
        <v>46325</v>
      </c>
      <c r="C123" s="4" t="str">
        <f t="shared" si="10"/>
        <v>Friday</v>
      </c>
      <c r="D123" s="4">
        <f t="shared" si="8"/>
        <v>43</v>
      </c>
      <c r="E123" s="4" t="str">
        <f t="shared" si="11"/>
        <v>October</v>
      </c>
      <c r="F123" s="19">
        <f t="shared" si="12"/>
        <v>2026</v>
      </c>
    </row>
    <row r="124" spans="1:6" x14ac:dyDescent="0.25">
      <c r="A124" s="18">
        <f t="shared" si="9"/>
        <v>20261031</v>
      </c>
      <c r="B124" s="24">
        <v>46326</v>
      </c>
      <c r="C124" s="4" t="str">
        <f t="shared" si="10"/>
        <v>Saturday</v>
      </c>
      <c r="D124" s="4">
        <f t="shared" si="8"/>
        <v>44</v>
      </c>
      <c r="E124" s="4" t="str">
        <f t="shared" si="11"/>
        <v>October</v>
      </c>
      <c r="F124" s="19">
        <f t="shared" si="12"/>
        <v>2026</v>
      </c>
    </row>
    <row r="125" spans="1:6" x14ac:dyDescent="0.25">
      <c r="A125" s="18">
        <f t="shared" si="9"/>
        <v>20261101</v>
      </c>
      <c r="B125" s="24">
        <v>46327</v>
      </c>
      <c r="C125" s="4" t="str">
        <f t="shared" si="10"/>
        <v>Sunday</v>
      </c>
      <c r="D125" s="4">
        <f t="shared" si="8"/>
        <v>44</v>
      </c>
      <c r="E125" s="4" t="str">
        <f t="shared" si="11"/>
        <v>November</v>
      </c>
      <c r="F125" s="19">
        <f t="shared" si="12"/>
        <v>2026</v>
      </c>
    </row>
    <row r="126" spans="1:6" x14ac:dyDescent="0.25">
      <c r="A126" s="18">
        <f t="shared" si="9"/>
        <v>20261102</v>
      </c>
      <c r="B126" s="24">
        <v>46328</v>
      </c>
      <c r="C126" s="4" t="str">
        <f t="shared" si="10"/>
        <v>Monday</v>
      </c>
      <c r="D126" s="4">
        <f t="shared" si="8"/>
        <v>44</v>
      </c>
      <c r="E126" s="4" t="str">
        <f t="shared" si="11"/>
        <v>November</v>
      </c>
      <c r="F126" s="19">
        <f t="shared" si="12"/>
        <v>2026</v>
      </c>
    </row>
    <row r="127" spans="1:6" x14ac:dyDescent="0.25">
      <c r="A127" s="18">
        <f t="shared" si="9"/>
        <v>20261103</v>
      </c>
      <c r="B127" s="24">
        <v>46329</v>
      </c>
      <c r="C127" s="4" t="str">
        <f t="shared" si="10"/>
        <v>Tuesday</v>
      </c>
      <c r="D127" s="4">
        <f t="shared" si="8"/>
        <v>44</v>
      </c>
      <c r="E127" s="4" t="str">
        <f t="shared" si="11"/>
        <v>November</v>
      </c>
      <c r="F127" s="19">
        <f t="shared" si="12"/>
        <v>2026</v>
      </c>
    </row>
    <row r="128" spans="1:6" x14ac:dyDescent="0.25">
      <c r="A128" s="18">
        <f t="shared" si="9"/>
        <v>20261104</v>
      </c>
      <c r="B128" s="24">
        <v>46330</v>
      </c>
      <c r="C128" s="4" t="str">
        <f t="shared" si="10"/>
        <v>Wednesday</v>
      </c>
      <c r="D128" s="4">
        <f t="shared" ref="D128:D191" si="13">WEEKNUM(B128 - MOD(WEEKDAY(B128,1),7),1)</f>
        <v>44</v>
      </c>
      <c r="E128" s="4" t="str">
        <f t="shared" si="11"/>
        <v>November</v>
      </c>
      <c r="F128" s="19">
        <f t="shared" si="12"/>
        <v>2026</v>
      </c>
    </row>
    <row r="129" spans="1:6" x14ac:dyDescent="0.25">
      <c r="A129" s="18">
        <f t="shared" si="9"/>
        <v>20261105</v>
      </c>
      <c r="B129" s="24">
        <v>46331</v>
      </c>
      <c r="C129" s="4" t="str">
        <f t="shared" si="10"/>
        <v>Thursday</v>
      </c>
      <c r="D129" s="4">
        <f t="shared" si="13"/>
        <v>44</v>
      </c>
      <c r="E129" s="4" t="str">
        <f t="shared" si="11"/>
        <v>November</v>
      </c>
      <c r="F129" s="19">
        <f t="shared" si="12"/>
        <v>2026</v>
      </c>
    </row>
    <row r="130" spans="1:6" x14ac:dyDescent="0.25">
      <c r="A130" s="18">
        <f t="shared" si="9"/>
        <v>20261106</v>
      </c>
      <c r="B130" s="24">
        <v>46332</v>
      </c>
      <c r="C130" s="4" t="str">
        <f t="shared" si="10"/>
        <v>Friday</v>
      </c>
      <c r="D130" s="4">
        <f t="shared" si="13"/>
        <v>44</v>
      </c>
      <c r="E130" s="4" t="str">
        <f t="shared" si="11"/>
        <v>November</v>
      </c>
      <c r="F130" s="19">
        <f t="shared" si="12"/>
        <v>2026</v>
      </c>
    </row>
    <row r="131" spans="1:6" x14ac:dyDescent="0.25">
      <c r="A131" s="18">
        <f t="shared" ref="A131:A194" si="14">YEAR(B131)*10000 + MONTH(B131)*100 + DAY(B131)</f>
        <v>20261107</v>
      </c>
      <c r="B131" s="24">
        <v>46333</v>
      </c>
      <c r="C131" s="4" t="str">
        <f t="shared" ref="C131:C194" si="15">TEXT(B131,"dddd")</f>
        <v>Saturday</v>
      </c>
      <c r="D131" s="4">
        <f t="shared" si="13"/>
        <v>45</v>
      </c>
      <c r="E131" s="4" t="str">
        <f t="shared" si="11"/>
        <v>November</v>
      </c>
      <c r="F131" s="19">
        <f t="shared" si="12"/>
        <v>2026</v>
      </c>
    </row>
    <row r="132" spans="1:6" x14ac:dyDescent="0.25">
      <c r="A132" s="18">
        <f t="shared" si="14"/>
        <v>20261108</v>
      </c>
      <c r="B132" s="24">
        <v>46334</v>
      </c>
      <c r="C132" s="4" t="str">
        <f t="shared" si="15"/>
        <v>Sunday</v>
      </c>
      <c r="D132" s="4">
        <f t="shared" si="13"/>
        <v>45</v>
      </c>
      <c r="E132" s="4" t="str">
        <f t="shared" si="11"/>
        <v>November</v>
      </c>
      <c r="F132" s="19">
        <f t="shared" si="12"/>
        <v>2026</v>
      </c>
    </row>
    <row r="133" spans="1:6" x14ac:dyDescent="0.25">
      <c r="A133" s="18">
        <f t="shared" si="14"/>
        <v>20261109</v>
      </c>
      <c r="B133" s="24">
        <v>46335</v>
      </c>
      <c r="C133" s="4" t="str">
        <f t="shared" si="15"/>
        <v>Monday</v>
      </c>
      <c r="D133" s="4">
        <f t="shared" si="13"/>
        <v>45</v>
      </c>
      <c r="E133" s="4" t="str">
        <f t="shared" si="11"/>
        <v>November</v>
      </c>
      <c r="F133" s="19">
        <f t="shared" si="12"/>
        <v>2026</v>
      </c>
    </row>
    <row r="134" spans="1:6" x14ac:dyDescent="0.25">
      <c r="A134" s="18">
        <f t="shared" si="14"/>
        <v>20261110</v>
      </c>
      <c r="B134" s="24">
        <v>46336</v>
      </c>
      <c r="C134" s="4" t="str">
        <f t="shared" si="15"/>
        <v>Tuesday</v>
      </c>
      <c r="D134" s="4">
        <f t="shared" si="13"/>
        <v>45</v>
      </c>
      <c r="E134" s="4" t="str">
        <f t="shared" si="11"/>
        <v>November</v>
      </c>
      <c r="F134" s="19">
        <f t="shared" si="12"/>
        <v>2026</v>
      </c>
    </row>
    <row r="135" spans="1:6" x14ac:dyDescent="0.25">
      <c r="A135" s="18">
        <f t="shared" si="14"/>
        <v>20261111</v>
      </c>
      <c r="B135" s="24">
        <v>46337</v>
      </c>
      <c r="C135" s="4" t="str">
        <f t="shared" si="15"/>
        <v>Wednesday</v>
      </c>
      <c r="D135" s="4">
        <f t="shared" si="13"/>
        <v>45</v>
      </c>
      <c r="E135" s="4" t="str">
        <f t="shared" si="11"/>
        <v>November</v>
      </c>
      <c r="F135" s="19">
        <f t="shared" si="12"/>
        <v>2026</v>
      </c>
    </row>
    <row r="136" spans="1:6" x14ac:dyDescent="0.25">
      <c r="A136" s="18">
        <f t="shared" si="14"/>
        <v>20261112</v>
      </c>
      <c r="B136" s="24">
        <v>46338</v>
      </c>
      <c r="C136" s="4" t="str">
        <f t="shared" si="15"/>
        <v>Thursday</v>
      </c>
      <c r="D136" s="4">
        <f t="shared" si="13"/>
        <v>45</v>
      </c>
      <c r="E136" s="4" t="str">
        <f t="shared" si="11"/>
        <v>November</v>
      </c>
      <c r="F136" s="19">
        <f t="shared" si="12"/>
        <v>2026</v>
      </c>
    </row>
    <row r="137" spans="1:6" x14ac:dyDescent="0.25">
      <c r="A137" s="18">
        <f t="shared" si="14"/>
        <v>20261113</v>
      </c>
      <c r="B137" s="24">
        <v>46339</v>
      </c>
      <c r="C137" s="4" t="str">
        <f t="shared" si="15"/>
        <v>Friday</v>
      </c>
      <c r="D137" s="4">
        <f t="shared" si="13"/>
        <v>45</v>
      </c>
      <c r="E137" s="4" t="str">
        <f t="shared" si="11"/>
        <v>November</v>
      </c>
      <c r="F137" s="19">
        <f t="shared" si="12"/>
        <v>2026</v>
      </c>
    </row>
    <row r="138" spans="1:6" x14ac:dyDescent="0.25">
      <c r="A138" s="18">
        <f t="shared" si="14"/>
        <v>20261114</v>
      </c>
      <c r="B138" s="24">
        <v>46340</v>
      </c>
      <c r="C138" s="4" t="str">
        <f t="shared" si="15"/>
        <v>Saturday</v>
      </c>
      <c r="D138" s="4">
        <f t="shared" si="13"/>
        <v>46</v>
      </c>
      <c r="E138" s="4" t="str">
        <f t="shared" si="11"/>
        <v>November</v>
      </c>
      <c r="F138" s="19">
        <f t="shared" si="12"/>
        <v>2026</v>
      </c>
    </row>
    <row r="139" spans="1:6" x14ac:dyDescent="0.25">
      <c r="A139" s="18">
        <f t="shared" si="14"/>
        <v>20261115</v>
      </c>
      <c r="B139" s="24">
        <v>46341</v>
      </c>
      <c r="C139" s="4" t="str">
        <f t="shared" si="15"/>
        <v>Sunday</v>
      </c>
      <c r="D139" s="4">
        <f t="shared" si="13"/>
        <v>46</v>
      </c>
      <c r="E139" s="4" t="str">
        <f t="shared" si="11"/>
        <v>November</v>
      </c>
      <c r="F139" s="19">
        <f t="shared" si="12"/>
        <v>2026</v>
      </c>
    </row>
    <row r="140" spans="1:6" x14ac:dyDescent="0.25">
      <c r="A140" s="18">
        <f t="shared" si="14"/>
        <v>20261116</v>
      </c>
      <c r="B140" s="24">
        <v>46342</v>
      </c>
      <c r="C140" s="4" t="str">
        <f t="shared" si="15"/>
        <v>Monday</v>
      </c>
      <c r="D140" s="4">
        <f t="shared" si="13"/>
        <v>46</v>
      </c>
      <c r="E140" s="4" t="str">
        <f t="shared" ref="E140:E203" si="16">TEXT(B140,"mmmm")</f>
        <v>November</v>
      </c>
      <c r="F140" s="19">
        <f t="shared" ref="F140:F203" si="17">YEAR(B140)</f>
        <v>2026</v>
      </c>
    </row>
    <row r="141" spans="1:6" x14ac:dyDescent="0.25">
      <c r="A141" s="18">
        <f t="shared" si="14"/>
        <v>20261117</v>
      </c>
      <c r="B141" s="24">
        <v>46343</v>
      </c>
      <c r="C141" s="4" t="str">
        <f t="shared" si="15"/>
        <v>Tuesday</v>
      </c>
      <c r="D141" s="4">
        <f t="shared" si="13"/>
        <v>46</v>
      </c>
      <c r="E141" s="4" t="str">
        <f t="shared" si="16"/>
        <v>November</v>
      </c>
      <c r="F141" s="19">
        <f t="shared" si="17"/>
        <v>2026</v>
      </c>
    </row>
    <row r="142" spans="1:6" x14ac:dyDescent="0.25">
      <c r="A142" s="18">
        <f t="shared" si="14"/>
        <v>20261118</v>
      </c>
      <c r="B142" s="24">
        <v>46344</v>
      </c>
      <c r="C142" s="4" t="str">
        <f t="shared" si="15"/>
        <v>Wednesday</v>
      </c>
      <c r="D142" s="4">
        <f t="shared" si="13"/>
        <v>46</v>
      </c>
      <c r="E142" s="4" t="str">
        <f t="shared" si="16"/>
        <v>November</v>
      </c>
      <c r="F142" s="19">
        <f t="shared" si="17"/>
        <v>2026</v>
      </c>
    </row>
    <row r="143" spans="1:6" x14ac:dyDescent="0.25">
      <c r="A143" s="18">
        <f t="shared" si="14"/>
        <v>20261119</v>
      </c>
      <c r="B143" s="24">
        <v>46345</v>
      </c>
      <c r="C143" s="4" t="str">
        <f t="shared" si="15"/>
        <v>Thursday</v>
      </c>
      <c r="D143" s="4">
        <f t="shared" si="13"/>
        <v>46</v>
      </c>
      <c r="E143" s="4" t="str">
        <f t="shared" si="16"/>
        <v>November</v>
      </c>
      <c r="F143" s="19">
        <f t="shared" si="17"/>
        <v>2026</v>
      </c>
    </row>
    <row r="144" spans="1:6" x14ac:dyDescent="0.25">
      <c r="A144" s="18">
        <f t="shared" si="14"/>
        <v>20261120</v>
      </c>
      <c r="B144" s="24">
        <v>46346</v>
      </c>
      <c r="C144" s="4" t="str">
        <f t="shared" si="15"/>
        <v>Friday</v>
      </c>
      <c r="D144" s="4">
        <f t="shared" si="13"/>
        <v>46</v>
      </c>
      <c r="E144" s="4" t="str">
        <f t="shared" si="16"/>
        <v>November</v>
      </c>
      <c r="F144" s="19">
        <f t="shared" si="17"/>
        <v>2026</v>
      </c>
    </row>
    <row r="145" spans="1:6" x14ac:dyDescent="0.25">
      <c r="A145" s="18">
        <f t="shared" si="14"/>
        <v>20261121</v>
      </c>
      <c r="B145" s="24">
        <v>46347</v>
      </c>
      <c r="C145" s="4" t="str">
        <f t="shared" si="15"/>
        <v>Saturday</v>
      </c>
      <c r="D145" s="4">
        <f t="shared" si="13"/>
        <v>47</v>
      </c>
      <c r="E145" s="4" t="str">
        <f t="shared" si="16"/>
        <v>November</v>
      </c>
      <c r="F145" s="19">
        <f t="shared" si="17"/>
        <v>2026</v>
      </c>
    </row>
    <row r="146" spans="1:6" x14ac:dyDescent="0.25">
      <c r="A146" s="18">
        <f t="shared" si="14"/>
        <v>20261122</v>
      </c>
      <c r="B146" s="24">
        <v>46348</v>
      </c>
      <c r="C146" s="4" t="str">
        <f t="shared" si="15"/>
        <v>Sunday</v>
      </c>
      <c r="D146" s="4">
        <f t="shared" si="13"/>
        <v>47</v>
      </c>
      <c r="E146" s="4" t="str">
        <f t="shared" si="16"/>
        <v>November</v>
      </c>
      <c r="F146" s="19">
        <f t="shared" si="17"/>
        <v>2026</v>
      </c>
    </row>
    <row r="147" spans="1:6" x14ac:dyDescent="0.25">
      <c r="A147" s="18">
        <f t="shared" si="14"/>
        <v>20261123</v>
      </c>
      <c r="B147" s="24">
        <v>46349</v>
      </c>
      <c r="C147" s="4" t="str">
        <f t="shared" si="15"/>
        <v>Monday</v>
      </c>
      <c r="D147" s="4">
        <f t="shared" si="13"/>
        <v>47</v>
      </c>
      <c r="E147" s="4" t="str">
        <f t="shared" si="16"/>
        <v>November</v>
      </c>
      <c r="F147" s="19">
        <f t="shared" si="17"/>
        <v>2026</v>
      </c>
    </row>
    <row r="148" spans="1:6" x14ac:dyDescent="0.25">
      <c r="A148" s="18">
        <f t="shared" si="14"/>
        <v>20261124</v>
      </c>
      <c r="B148" s="24">
        <v>46350</v>
      </c>
      <c r="C148" s="4" t="str">
        <f t="shared" si="15"/>
        <v>Tuesday</v>
      </c>
      <c r="D148" s="4">
        <f t="shared" si="13"/>
        <v>47</v>
      </c>
      <c r="E148" s="4" t="str">
        <f t="shared" si="16"/>
        <v>November</v>
      </c>
      <c r="F148" s="19">
        <f t="shared" si="17"/>
        <v>2026</v>
      </c>
    </row>
    <row r="149" spans="1:6" x14ac:dyDescent="0.25">
      <c r="A149" s="18">
        <f t="shared" si="14"/>
        <v>20261125</v>
      </c>
      <c r="B149" s="24">
        <v>46351</v>
      </c>
      <c r="C149" s="4" t="str">
        <f t="shared" si="15"/>
        <v>Wednesday</v>
      </c>
      <c r="D149" s="4">
        <f t="shared" si="13"/>
        <v>47</v>
      </c>
      <c r="E149" s="4" t="str">
        <f t="shared" si="16"/>
        <v>November</v>
      </c>
      <c r="F149" s="19">
        <f t="shared" si="17"/>
        <v>2026</v>
      </c>
    </row>
    <row r="150" spans="1:6" x14ac:dyDescent="0.25">
      <c r="A150" s="18">
        <f t="shared" si="14"/>
        <v>20261126</v>
      </c>
      <c r="B150" s="24">
        <v>46352</v>
      </c>
      <c r="C150" s="4" t="str">
        <f t="shared" si="15"/>
        <v>Thursday</v>
      </c>
      <c r="D150" s="4">
        <f t="shared" si="13"/>
        <v>47</v>
      </c>
      <c r="E150" s="4" t="str">
        <f t="shared" si="16"/>
        <v>November</v>
      </c>
      <c r="F150" s="19">
        <f t="shared" si="17"/>
        <v>2026</v>
      </c>
    </row>
    <row r="151" spans="1:6" x14ac:dyDescent="0.25">
      <c r="A151" s="18">
        <f t="shared" si="14"/>
        <v>20261127</v>
      </c>
      <c r="B151" s="24">
        <v>46353</v>
      </c>
      <c r="C151" s="4" t="str">
        <f t="shared" si="15"/>
        <v>Friday</v>
      </c>
      <c r="D151" s="4">
        <f t="shared" si="13"/>
        <v>47</v>
      </c>
      <c r="E151" s="4" t="str">
        <f t="shared" si="16"/>
        <v>November</v>
      </c>
      <c r="F151" s="19">
        <f t="shared" si="17"/>
        <v>2026</v>
      </c>
    </row>
    <row r="152" spans="1:6" x14ac:dyDescent="0.25">
      <c r="A152" s="18">
        <f t="shared" si="14"/>
        <v>20261128</v>
      </c>
      <c r="B152" s="24">
        <v>46354</v>
      </c>
      <c r="C152" s="4" t="str">
        <f t="shared" si="15"/>
        <v>Saturday</v>
      </c>
      <c r="D152" s="4">
        <f t="shared" si="13"/>
        <v>48</v>
      </c>
      <c r="E152" s="4" t="str">
        <f t="shared" si="16"/>
        <v>November</v>
      </c>
      <c r="F152" s="19">
        <f t="shared" si="17"/>
        <v>2026</v>
      </c>
    </row>
    <row r="153" spans="1:6" x14ac:dyDescent="0.25">
      <c r="A153" s="18">
        <f t="shared" si="14"/>
        <v>20261129</v>
      </c>
      <c r="B153" s="24">
        <v>46355</v>
      </c>
      <c r="C153" s="4" t="str">
        <f t="shared" si="15"/>
        <v>Sunday</v>
      </c>
      <c r="D153" s="4">
        <f t="shared" si="13"/>
        <v>48</v>
      </c>
      <c r="E153" s="4" t="str">
        <f t="shared" si="16"/>
        <v>November</v>
      </c>
      <c r="F153" s="19">
        <f t="shared" si="17"/>
        <v>2026</v>
      </c>
    </row>
    <row r="154" spans="1:6" x14ac:dyDescent="0.25">
      <c r="A154" s="18">
        <f t="shared" si="14"/>
        <v>20261130</v>
      </c>
      <c r="B154" s="24">
        <v>46356</v>
      </c>
      <c r="C154" s="4" t="str">
        <f t="shared" si="15"/>
        <v>Monday</v>
      </c>
      <c r="D154" s="4">
        <f t="shared" si="13"/>
        <v>48</v>
      </c>
      <c r="E154" s="4" t="str">
        <f t="shared" si="16"/>
        <v>November</v>
      </c>
      <c r="F154" s="19">
        <f t="shared" si="17"/>
        <v>2026</v>
      </c>
    </row>
    <row r="155" spans="1:6" x14ac:dyDescent="0.25">
      <c r="A155" s="18">
        <f t="shared" si="14"/>
        <v>20261201</v>
      </c>
      <c r="B155" s="24">
        <v>46357</v>
      </c>
      <c r="C155" s="4" t="str">
        <f t="shared" si="15"/>
        <v>Tuesday</v>
      </c>
      <c r="D155" s="4">
        <f t="shared" si="13"/>
        <v>48</v>
      </c>
      <c r="E155" s="4" t="str">
        <f t="shared" si="16"/>
        <v>December</v>
      </c>
      <c r="F155" s="19">
        <f t="shared" si="17"/>
        <v>2026</v>
      </c>
    </row>
    <row r="156" spans="1:6" x14ac:dyDescent="0.25">
      <c r="A156" s="18">
        <f t="shared" si="14"/>
        <v>20261202</v>
      </c>
      <c r="B156" s="24">
        <v>46358</v>
      </c>
      <c r="C156" s="4" t="str">
        <f t="shared" si="15"/>
        <v>Wednesday</v>
      </c>
      <c r="D156" s="4">
        <f t="shared" si="13"/>
        <v>48</v>
      </c>
      <c r="E156" s="4" t="str">
        <f t="shared" si="16"/>
        <v>December</v>
      </c>
      <c r="F156" s="19">
        <f t="shared" si="17"/>
        <v>2026</v>
      </c>
    </row>
    <row r="157" spans="1:6" x14ac:dyDescent="0.25">
      <c r="A157" s="18">
        <f t="shared" si="14"/>
        <v>20261203</v>
      </c>
      <c r="B157" s="24">
        <v>46359</v>
      </c>
      <c r="C157" s="4" t="str">
        <f t="shared" si="15"/>
        <v>Thursday</v>
      </c>
      <c r="D157" s="4">
        <f t="shared" si="13"/>
        <v>48</v>
      </c>
      <c r="E157" s="4" t="str">
        <f t="shared" si="16"/>
        <v>December</v>
      </c>
      <c r="F157" s="19">
        <f t="shared" si="17"/>
        <v>2026</v>
      </c>
    </row>
    <row r="158" spans="1:6" x14ac:dyDescent="0.25">
      <c r="A158" s="18">
        <f t="shared" si="14"/>
        <v>20261204</v>
      </c>
      <c r="B158" s="24">
        <v>46360</v>
      </c>
      <c r="C158" s="4" t="str">
        <f t="shared" si="15"/>
        <v>Friday</v>
      </c>
      <c r="D158" s="4">
        <f t="shared" si="13"/>
        <v>48</v>
      </c>
      <c r="E158" s="4" t="str">
        <f t="shared" si="16"/>
        <v>December</v>
      </c>
      <c r="F158" s="19">
        <f t="shared" si="17"/>
        <v>2026</v>
      </c>
    </row>
    <row r="159" spans="1:6" x14ac:dyDescent="0.25">
      <c r="A159" s="18">
        <f t="shared" si="14"/>
        <v>20261205</v>
      </c>
      <c r="B159" s="24">
        <v>46361</v>
      </c>
      <c r="C159" s="4" t="str">
        <f t="shared" si="15"/>
        <v>Saturday</v>
      </c>
      <c r="D159" s="4">
        <f t="shared" si="13"/>
        <v>49</v>
      </c>
      <c r="E159" s="4" t="str">
        <f t="shared" si="16"/>
        <v>December</v>
      </c>
      <c r="F159" s="19">
        <f t="shared" si="17"/>
        <v>2026</v>
      </c>
    </row>
    <row r="160" spans="1:6" x14ac:dyDescent="0.25">
      <c r="A160" s="18">
        <f t="shared" si="14"/>
        <v>20261206</v>
      </c>
      <c r="B160" s="24">
        <v>46362</v>
      </c>
      <c r="C160" s="4" t="str">
        <f t="shared" si="15"/>
        <v>Sunday</v>
      </c>
      <c r="D160" s="4">
        <f t="shared" si="13"/>
        <v>49</v>
      </c>
      <c r="E160" s="4" t="str">
        <f t="shared" si="16"/>
        <v>December</v>
      </c>
      <c r="F160" s="19">
        <f t="shared" si="17"/>
        <v>2026</v>
      </c>
    </row>
    <row r="161" spans="1:6" x14ac:dyDescent="0.25">
      <c r="A161" s="18">
        <f t="shared" si="14"/>
        <v>20261207</v>
      </c>
      <c r="B161" s="24">
        <v>46363</v>
      </c>
      <c r="C161" s="4" t="str">
        <f t="shared" si="15"/>
        <v>Monday</v>
      </c>
      <c r="D161" s="4">
        <f t="shared" si="13"/>
        <v>49</v>
      </c>
      <c r="E161" s="4" t="str">
        <f t="shared" si="16"/>
        <v>December</v>
      </c>
      <c r="F161" s="19">
        <f t="shared" si="17"/>
        <v>2026</v>
      </c>
    </row>
    <row r="162" spans="1:6" x14ac:dyDescent="0.25">
      <c r="A162" s="18">
        <f t="shared" si="14"/>
        <v>20261208</v>
      </c>
      <c r="B162" s="24">
        <v>46364</v>
      </c>
      <c r="C162" s="4" t="str">
        <f t="shared" si="15"/>
        <v>Tuesday</v>
      </c>
      <c r="D162" s="4">
        <f t="shared" si="13"/>
        <v>49</v>
      </c>
      <c r="E162" s="4" t="str">
        <f t="shared" si="16"/>
        <v>December</v>
      </c>
      <c r="F162" s="19">
        <f t="shared" si="17"/>
        <v>2026</v>
      </c>
    </row>
    <row r="163" spans="1:6" x14ac:dyDescent="0.25">
      <c r="A163" s="18">
        <f t="shared" si="14"/>
        <v>20261209</v>
      </c>
      <c r="B163" s="24">
        <v>46365</v>
      </c>
      <c r="C163" s="4" t="str">
        <f t="shared" si="15"/>
        <v>Wednesday</v>
      </c>
      <c r="D163" s="4">
        <f t="shared" si="13"/>
        <v>49</v>
      </c>
      <c r="E163" s="4" t="str">
        <f t="shared" si="16"/>
        <v>December</v>
      </c>
      <c r="F163" s="19">
        <f t="shared" si="17"/>
        <v>2026</v>
      </c>
    </row>
    <row r="164" spans="1:6" x14ac:dyDescent="0.25">
      <c r="A164" s="18">
        <f t="shared" si="14"/>
        <v>20261210</v>
      </c>
      <c r="B164" s="24">
        <v>46366</v>
      </c>
      <c r="C164" s="4" t="str">
        <f t="shared" si="15"/>
        <v>Thursday</v>
      </c>
      <c r="D164" s="4">
        <f t="shared" si="13"/>
        <v>49</v>
      </c>
      <c r="E164" s="4" t="str">
        <f t="shared" si="16"/>
        <v>December</v>
      </c>
      <c r="F164" s="19">
        <f t="shared" si="17"/>
        <v>2026</v>
      </c>
    </row>
    <row r="165" spans="1:6" x14ac:dyDescent="0.25">
      <c r="A165" s="18">
        <f t="shared" si="14"/>
        <v>20261211</v>
      </c>
      <c r="B165" s="24">
        <v>46367</v>
      </c>
      <c r="C165" s="4" t="str">
        <f t="shared" si="15"/>
        <v>Friday</v>
      </c>
      <c r="D165" s="4">
        <f t="shared" si="13"/>
        <v>49</v>
      </c>
      <c r="E165" s="4" t="str">
        <f t="shared" si="16"/>
        <v>December</v>
      </c>
      <c r="F165" s="19">
        <f t="shared" si="17"/>
        <v>2026</v>
      </c>
    </row>
    <row r="166" spans="1:6" x14ac:dyDescent="0.25">
      <c r="A166" s="18">
        <f t="shared" si="14"/>
        <v>20261212</v>
      </c>
      <c r="B166" s="24">
        <v>46368</v>
      </c>
      <c r="C166" s="4" t="str">
        <f t="shared" si="15"/>
        <v>Saturday</v>
      </c>
      <c r="D166" s="4">
        <f t="shared" si="13"/>
        <v>50</v>
      </c>
      <c r="E166" s="4" t="str">
        <f t="shared" si="16"/>
        <v>December</v>
      </c>
      <c r="F166" s="19">
        <f t="shared" si="17"/>
        <v>2026</v>
      </c>
    </row>
    <row r="167" spans="1:6" x14ac:dyDescent="0.25">
      <c r="A167" s="18">
        <f t="shared" si="14"/>
        <v>20261213</v>
      </c>
      <c r="B167" s="24">
        <v>46369</v>
      </c>
      <c r="C167" s="4" t="str">
        <f t="shared" si="15"/>
        <v>Sunday</v>
      </c>
      <c r="D167" s="4">
        <f t="shared" si="13"/>
        <v>50</v>
      </c>
      <c r="E167" s="4" t="str">
        <f t="shared" si="16"/>
        <v>December</v>
      </c>
      <c r="F167" s="19">
        <f t="shared" si="17"/>
        <v>2026</v>
      </c>
    </row>
    <row r="168" spans="1:6" x14ac:dyDescent="0.25">
      <c r="A168" s="18">
        <f t="shared" si="14"/>
        <v>20261214</v>
      </c>
      <c r="B168" s="24">
        <v>46370</v>
      </c>
      <c r="C168" s="4" t="str">
        <f t="shared" si="15"/>
        <v>Monday</v>
      </c>
      <c r="D168" s="4">
        <f t="shared" si="13"/>
        <v>50</v>
      </c>
      <c r="E168" s="4" t="str">
        <f t="shared" si="16"/>
        <v>December</v>
      </c>
      <c r="F168" s="19">
        <f t="shared" si="17"/>
        <v>2026</v>
      </c>
    </row>
    <row r="169" spans="1:6" x14ac:dyDescent="0.25">
      <c r="A169" s="18">
        <f t="shared" si="14"/>
        <v>20261215</v>
      </c>
      <c r="B169" s="24">
        <v>46371</v>
      </c>
      <c r="C169" s="4" t="str">
        <f t="shared" si="15"/>
        <v>Tuesday</v>
      </c>
      <c r="D169" s="4">
        <f t="shared" si="13"/>
        <v>50</v>
      </c>
      <c r="E169" s="4" t="str">
        <f t="shared" si="16"/>
        <v>December</v>
      </c>
      <c r="F169" s="19">
        <f t="shared" si="17"/>
        <v>2026</v>
      </c>
    </row>
    <row r="170" spans="1:6" x14ac:dyDescent="0.25">
      <c r="A170" s="18">
        <f t="shared" si="14"/>
        <v>20261216</v>
      </c>
      <c r="B170" s="24">
        <v>46372</v>
      </c>
      <c r="C170" s="4" t="str">
        <f t="shared" si="15"/>
        <v>Wednesday</v>
      </c>
      <c r="D170" s="4">
        <f t="shared" si="13"/>
        <v>50</v>
      </c>
      <c r="E170" s="4" t="str">
        <f t="shared" si="16"/>
        <v>December</v>
      </c>
      <c r="F170" s="19">
        <f t="shared" si="17"/>
        <v>2026</v>
      </c>
    </row>
    <row r="171" spans="1:6" x14ac:dyDescent="0.25">
      <c r="A171" s="18">
        <f t="shared" si="14"/>
        <v>20261217</v>
      </c>
      <c r="B171" s="24">
        <v>46373</v>
      </c>
      <c r="C171" s="4" t="str">
        <f t="shared" si="15"/>
        <v>Thursday</v>
      </c>
      <c r="D171" s="4">
        <f t="shared" si="13"/>
        <v>50</v>
      </c>
      <c r="E171" s="4" t="str">
        <f t="shared" si="16"/>
        <v>December</v>
      </c>
      <c r="F171" s="19">
        <f t="shared" si="17"/>
        <v>2026</v>
      </c>
    </row>
    <row r="172" spans="1:6" x14ac:dyDescent="0.25">
      <c r="A172" s="18">
        <f t="shared" si="14"/>
        <v>20261218</v>
      </c>
      <c r="B172" s="24">
        <v>46374</v>
      </c>
      <c r="C172" s="4" t="str">
        <f t="shared" si="15"/>
        <v>Friday</v>
      </c>
      <c r="D172" s="4">
        <f t="shared" si="13"/>
        <v>50</v>
      </c>
      <c r="E172" s="4" t="str">
        <f t="shared" si="16"/>
        <v>December</v>
      </c>
      <c r="F172" s="19">
        <f t="shared" si="17"/>
        <v>2026</v>
      </c>
    </row>
    <row r="173" spans="1:6" x14ac:dyDescent="0.25">
      <c r="A173" s="18">
        <f t="shared" si="14"/>
        <v>20261219</v>
      </c>
      <c r="B173" s="24">
        <v>46375</v>
      </c>
      <c r="C173" s="4" t="str">
        <f t="shared" si="15"/>
        <v>Saturday</v>
      </c>
      <c r="D173" s="4">
        <f t="shared" si="13"/>
        <v>51</v>
      </c>
      <c r="E173" s="4" t="str">
        <f t="shared" si="16"/>
        <v>December</v>
      </c>
      <c r="F173" s="19">
        <f t="shared" si="17"/>
        <v>2026</v>
      </c>
    </row>
    <row r="174" spans="1:6" x14ac:dyDescent="0.25">
      <c r="A174" s="18">
        <f t="shared" si="14"/>
        <v>20261220</v>
      </c>
      <c r="B174" s="24">
        <v>46376</v>
      </c>
      <c r="C174" s="4" t="str">
        <f t="shared" si="15"/>
        <v>Sunday</v>
      </c>
      <c r="D174" s="4">
        <f t="shared" si="13"/>
        <v>51</v>
      </c>
      <c r="E174" s="4" t="str">
        <f t="shared" si="16"/>
        <v>December</v>
      </c>
      <c r="F174" s="19">
        <f t="shared" si="17"/>
        <v>2026</v>
      </c>
    </row>
    <row r="175" spans="1:6" x14ac:dyDescent="0.25">
      <c r="A175" s="18">
        <f t="shared" si="14"/>
        <v>20261221</v>
      </c>
      <c r="B175" s="24">
        <v>46377</v>
      </c>
      <c r="C175" s="4" t="str">
        <f t="shared" si="15"/>
        <v>Monday</v>
      </c>
      <c r="D175" s="4">
        <f t="shared" si="13"/>
        <v>51</v>
      </c>
      <c r="E175" s="4" t="str">
        <f t="shared" si="16"/>
        <v>December</v>
      </c>
      <c r="F175" s="19">
        <f t="shared" si="17"/>
        <v>2026</v>
      </c>
    </row>
    <row r="176" spans="1:6" x14ac:dyDescent="0.25">
      <c r="A176" s="18">
        <f t="shared" si="14"/>
        <v>20261222</v>
      </c>
      <c r="B176" s="24">
        <v>46378</v>
      </c>
      <c r="C176" s="4" t="str">
        <f t="shared" si="15"/>
        <v>Tuesday</v>
      </c>
      <c r="D176" s="4">
        <f t="shared" si="13"/>
        <v>51</v>
      </c>
      <c r="E176" s="4" t="str">
        <f t="shared" si="16"/>
        <v>December</v>
      </c>
      <c r="F176" s="19">
        <f t="shared" si="17"/>
        <v>2026</v>
      </c>
    </row>
    <row r="177" spans="1:6" x14ac:dyDescent="0.25">
      <c r="A177" s="18">
        <f t="shared" si="14"/>
        <v>20261223</v>
      </c>
      <c r="B177" s="24">
        <v>46379</v>
      </c>
      <c r="C177" s="4" t="str">
        <f t="shared" si="15"/>
        <v>Wednesday</v>
      </c>
      <c r="D177" s="4">
        <f t="shared" si="13"/>
        <v>51</v>
      </c>
      <c r="E177" s="4" t="str">
        <f t="shared" si="16"/>
        <v>December</v>
      </c>
      <c r="F177" s="19">
        <f t="shared" si="17"/>
        <v>2026</v>
      </c>
    </row>
    <row r="178" spans="1:6" x14ac:dyDescent="0.25">
      <c r="A178" s="18">
        <f t="shared" si="14"/>
        <v>20261224</v>
      </c>
      <c r="B178" s="24">
        <v>46380</v>
      </c>
      <c r="C178" s="4" t="str">
        <f t="shared" si="15"/>
        <v>Thursday</v>
      </c>
      <c r="D178" s="4">
        <f t="shared" si="13"/>
        <v>51</v>
      </c>
      <c r="E178" s="4" t="str">
        <f t="shared" si="16"/>
        <v>December</v>
      </c>
      <c r="F178" s="19">
        <f t="shared" si="17"/>
        <v>2026</v>
      </c>
    </row>
    <row r="179" spans="1:6" x14ac:dyDescent="0.25">
      <c r="A179" s="18">
        <f t="shared" si="14"/>
        <v>20261225</v>
      </c>
      <c r="B179" s="24">
        <v>46381</v>
      </c>
      <c r="C179" s="4" t="str">
        <f t="shared" si="15"/>
        <v>Friday</v>
      </c>
      <c r="D179" s="4">
        <f t="shared" si="13"/>
        <v>51</v>
      </c>
      <c r="E179" s="4" t="str">
        <f t="shared" si="16"/>
        <v>December</v>
      </c>
      <c r="F179" s="19">
        <f t="shared" si="17"/>
        <v>2026</v>
      </c>
    </row>
    <row r="180" spans="1:6" x14ac:dyDescent="0.25">
      <c r="A180" s="18">
        <f t="shared" si="14"/>
        <v>20261226</v>
      </c>
      <c r="B180" s="24">
        <v>46382</v>
      </c>
      <c r="C180" s="4" t="str">
        <f t="shared" si="15"/>
        <v>Saturday</v>
      </c>
      <c r="D180" s="4">
        <f t="shared" si="13"/>
        <v>52</v>
      </c>
      <c r="E180" s="4" t="str">
        <f t="shared" si="16"/>
        <v>December</v>
      </c>
      <c r="F180" s="19">
        <f t="shared" si="17"/>
        <v>2026</v>
      </c>
    </row>
    <row r="181" spans="1:6" x14ac:dyDescent="0.25">
      <c r="A181" s="18">
        <f t="shared" si="14"/>
        <v>20261227</v>
      </c>
      <c r="B181" s="24">
        <v>46383</v>
      </c>
      <c r="C181" s="4" t="str">
        <f t="shared" si="15"/>
        <v>Sunday</v>
      </c>
      <c r="D181" s="4">
        <f t="shared" si="13"/>
        <v>52</v>
      </c>
      <c r="E181" s="4" t="str">
        <f t="shared" si="16"/>
        <v>December</v>
      </c>
      <c r="F181" s="19">
        <f t="shared" si="17"/>
        <v>2026</v>
      </c>
    </row>
    <row r="182" spans="1:6" x14ac:dyDescent="0.25">
      <c r="A182" s="18">
        <f t="shared" si="14"/>
        <v>20261228</v>
      </c>
      <c r="B182" s="24">
        <v>46384</v>
      </c>
      <c r="C182" s="4" t="str">
        <f t="shared" si="15"/>
        <v>Monday</v>
      </c>
      <c r="D182" s="4">
        <f t="shared" si="13"/>
        <v>52</v>
      </c>
      <c r="E182" s="4" t="str">
        <f t="shared" si="16"/>
        <v>December</v>
      </c>
      <c r="F182" s="19">
        <f t="shared" si="17"/>
        <v>2026</v>
      </c>
    </row>
    <row r="183" spans="1:6" x14ac:dyDescent="0.25">
      <c r="A183" s="18">
        <f t="shared" si="14"/>
        <v>20261229</v>
      </c>
      <c r="B183" s="24">
        <v>46385</v>
      </c>
      <c r="C183" s="4" t="str">
        <f t="shared" si="15"/>
        <v>Tuesday</v>
      </c>
      <c r="D183" s="4">
        <f t="shared" si="13"/>
        <v>52</v>
      </c>
      <c r="E183" s="4" t="str">
        <f t="shared" si="16"/>
        <v>December</v>
      </c>
      <c r="F183" s="19">
        <f t="shared" si="17"/>
        <v>2026</v>
      </c>
    </row>
    <row r="184" spans="1:6" x14ac:dyDescent="0.25">
      <c r="A184" s="18">
        <f t="shared" si="14"/>
        <v>20261230</v>
      </c>
      <c r="B184" s="24">
        <v>46386</v>
      </c>
      <c r="C184" s="4" t="str">
        <f t="shared" si="15"/>
        <v>Wednesday</v>
      </c>
      <c r="D184" s="4">
        <f t="shared" si="13"/>
        <v>52</v>
      </c>
      <c r="E184" s="4" t="str">
        <f t="shared" si="16"/>
        <v>December</v>
      </c>
      <c r="F184" s="19">
        <f t="shared" si="17"/>
        <v>2026</v>
      </c>
    </row>
    <row r="185" spans="1:6" x14ac:dyDescent="0.25">
      <c r="A185" s="18">
        <f t="shared" si="14"/>
        <v>20261231</v>
      </c>
      <c r="B185" s="24">
        <v>46387</v>
      </c>
      <c r="C185" s="4" t="str">
        <f t="shared" si="15"/>
        <v>Thursday</v>
      </c>
      <c r="D185" s="4">
        <f t="shared" si="13"/>
        <v>52</v>
      </c>
      <c r="E185" s="4" t="str">
        <f t="shared" si="16"/>
        <v>December</v>
      </c>
      <c r="F185" s="19">
        <f t="shared" si="17"/>
        <v>2026</v>
      </c>
    </row>
    <row r="186" spans="1:6" x14ac:dyDescent="0.25">
      <c r="A186" s="18">
        <f t="shared" si="14"/>
        <v>20270101</v>
      </c>
      <c r="B186" s="24">
        <v>46388</v>
      </c>
      <c r="C186" s="4" t="str">
        <f t="shared" si="15"/>
        <v>Friday</v>
      </c>
      <c r="D186" s="4">
        <f t="shared" si="13"/>
        <v>52</v>
      </c>
      <c r="E186" s="4" t="str">
        <f t="shared" si="16"/>
        <v>January</v>
      </c>
      <c r="F186" s="19">
        <f t="shared" si="17"/>
        <v>2027</v>
      </c>
    </row>
    <row r="187" spans="1:6" x14ac:dyDescent="0.25">
      <c r="A187" s="18">
        <f t="shared" si="14"/>
        <v>20270102</v>
      </c>
      <c r="B187" s="24">
        <v>46389</v>
      </c>
      <c r="C187" s="4" t="str">
        <f t="shared" si="15"/>
        <v>Saturday</v>
      </c>
      <c r="D187" s="4">
        <f t="shared" si="13"/>
        <v>1</v>
      </c>
      <c r="E187" s="4" t="str">
        <f t="shared" si="16"/>
        <v>January</v>
      </c>
      <c r="F187" s="19">
        <f t="shared" si="17"/>
        <v>2027</v>
      </c>
    </row>
    <row r="188" spans="1:6" x14ac:dyDescent="0.25">
      <c r="A188" s="18">
        <f t="shared" si="14"/>
        <v>20270103</v>
      </c>
      <c r="B188" s="24">
        <v>46390</v>
      </c>
      <c r="C188" s="4" t="str">
        <f t="shared" si="15"/>
        <v>Sunday</v>
      </c>
      <c r="D188" s="4">
        <f t="shared" si="13"/>
        <v>1</v>
      </c>
      <c r="E188" s="4" t="str">
        <f t="shared" si="16"/>
        <v>January</v>
      </c>
      <c r="F188" s="19">
        <f t="shared" si="17"/>
        <v>2027</v>
      </c>
    </row>
    <row r="189" spans="1:6" x14ac:dyDescent="0.25">
      <c r="A189" s="18">
        <f t="shared" si="14"/>
        <v>20270104</v>
      </c>
      <c r="B189" s="24">
        <v>46391</v>
      </c>
      <c r="C189" s="4" t="str">
        <f t="shared" si="15"/>
        <v>Monday</v>
      </c>
      <c r="D189" s="4">
        <f t="shared" si="13"/>
        <v>1</v>
      </c>
      <c r="E189" s="4" t="str">
        <f t="shared" si="16"/>
        <v>January</v>
      </c>
      <c r="F189" s="19">
        <f t="shared" si="17"/>
        <v>2027</v>
      </c>
    </row>
    <row r="190" spans="1:6" x14ac:dyDescent="0.25">
      <c r="A190" s="18">
        <f t="shared" si="14"/>
        <v>20270105</v>
      </c>
      <c r="B190" s="24">
        <v>46392</v>
      </c>
      <c r="C190" s="4" t="str">
        <f t="shared" si="15"/>
        <v>Tuesday</v>
      </c>
      <c r="D190" s="4">
        <f t="shared" si="13"/>
        <v>1</v>
      </c>
      <c r="E190" s="4" t="str">
        <f t="shared" si="16"/>
        <v>January</v>
      </c>
      <c r="F190" s="19">
        <f t="shared" si="17"/>
        <v>2027</v>
      </c>
    </row>
    <row r="191" spans="1:6" x14ac:dyDescent="0.25">
      <c r="A191" s="18">
        <f t="shared" si="14"/>
        <v>20270106</v>
      </c>
      <c r="B191" s="24">
        <v>46393</v>
      </c>
      <c r="C191" s="4" t="str">
        <f t="shared" si="15"/>
        <v>Wednesday</v>
      </c>
      <c r="D191" s="4">
        <f t="shared" si="13"/>
        <v>1</v>
      </c>
      <c r="E191" s="4" t="str">
        <f t="shared" si="16"/>
        <v>January</v>
      </c>
      <c r="F191" s="19">
        <f t="shared" si="17"/>
        <v>2027</v>
      </c>
    </row>
    <row r="192" spans="1:6" x14ac:dyDescent="0.25">
      <c r="A192" s="18">
        <f t="shared" si="14"/>
        <v>20270107</v>
      </c>
      <c r="B192" s="24">
        <v>46394</v>
      </c>
      <c r="C192" s="4" t="str">
        <f t="shared" si="15"/>
        <v>Thursday</v>
      </c>
      <c r="D192" s="4">
        <f t="shared" ref="D192:D206" si="18">WEEKNUM(B192 - MOD(WEEKDAY(B192,1),7),1)</f>
        <v>1</v>
      </c>
      <c r="E192" s="4" t="str">
        <f t="shared" si="16"/>
        <v>January</v>
      </c>
      <c r="F192" s="19">
        <f t="shared" si="17"/>
        <v>2027</v>
      </c>
    </row>
    <row r="193" spans="1:6" x14ac:dyDescent="0.25">
      <c r="A193" s="18">
        <f t="shared" si="14"/>
        <v>20270108</v>
      </c>
      <c r="B193" s="24">
        <v>46395</v>
      </c>
      <c r="C193" s="4" t="str">
        <f t="shared" si="15"/>
        <v>Friday</v>
      </c>
      <c r="D193" s="4">
        <f t="shared" si="18"/>
        <v>1</v>
      </c>
      <c r="E193" s="4" t="str">
        <f t="shared" si="16"/>
        <v>January</v>
      </c>
      <c r="F193" s="19">
        <f t="shared" si="17"/>
        <v>2027</v>
      </c>
    </row>
    <row r="194" spans="1:6" x14ac:dyDescent="0.25">
      <c r="A194" s="18">
        <f t="shared" si="14"/>
        <v>20270109</v>
      </c>
      <c r="B194" s="24">
        <v>46396</v>
      </c>
      <c r="C194" s="4" t="str">
        <f t="shared" si="15"/>
        <v>Saturday</v>
      </c>
      <c r="D194" s="4">
        <f t="shared" si="18"/>
        <v>2</v>
      </c>
      <c r="E194" s="4" t="str">
        <f t="shared" si="16"/>
        <v>January</v>
      </c>
      <c r="F194" s="19">
        <f t="shared" si="17"/>
        <v>2027</v>
      </c>
    </row>
    <row r="195" spans="1:6" x14ac:dyDescent="0.25">
      <c r="A195" s="18">
        <f t="shared" ref="A195:A206" si="19">YEAR(B195)*10000 + MONTH(B195)*100 + DAY(B195)</f>
        <v>20270110</v>
      </c>
      <c r="B195" s="24">
        <v>46397</v>
      </c>
      <c r="C195" s="4" t="str">
        <f t="shared" ref="C195:C206" si="20">TEXT(B195,"dddd")</f>
        <v>Sunday</v>
      </c>
      <c r="D195" s="4">
        <f t="shared" si="18"/>
        <v>2</v>
      </c>
      <c r="E195" s="4" t="str">
        <f t="shared" si="16"/>
        <v>January</v>
      </c>
      <c r="F195" s="19">
        <f t="shared" si="17"/>
        <v>2027</v>
      </c>
    </row>
    <row r="196" spans="1:6" x14ac:dyDescent="0.25">
      <c r="A196" s="18">
        <f t="shared" si="19"/>
        <v>20270111</v>
      </c>
      <c r="B196" s="24">
        <v>46398</v>
      </c>
      <c r="C196" s="4" t="str">
        <f t="shared" si="20"/>
        <v>Monday</v>
      </c>
      <c r="D196" s="4">
        <f t="shared" si="18"/>
        <v>2</v>
      </c>
      <c r="E196" s="4" t="str">
        <f t="shared" si="16"/>
        <v>January</v>
      </c>
      <c r="F196" s="19">
        <f t="shared" si="17"/>
        <v>2027</v>
      </c>
    </row>
    <row r="197" spans="1:6" x14ac:dyDescent="0.25">
      <c r="A197" s="18">
        <f t="shared" si="19"/>
        <v>20270112</v>
      </c>
      <c r="B197" s="24">
        <v>46399</v>
      </c>
      <c r="C197" s="4" t="str">
        <f t="shared" si="20"/>
        <v>Tuesday</v>
      </c>
      <c r="D197" s="4">
        <f t="shared" si="18"/>
        <v>2</v>
      </c>
      <c r="E197" s="4" t="str">
        <f t="shared" si="16"/>
        <v>January</v>
      </c>
      <c r="F197" s="19">
        <f t="shared" si="17"/>
        <v>2027</v>
      </c>
    </row>
    <row r="198" spans="1:6" x14ac:dyDescent="0.25">
      <c r="A198" s="18">
        <f t="shared" si="19"/>
        <v>20270113</v>
      </c>
      <c r="B198" s="24">
        <v>46400</v>
      </c>
      <c r="C198" s="4" t="str">
        <f t="shared" si="20"/>
        <v>Wednesday</v>
      </c>
      <c r="D198" s="4">
        <f t="shared" si="18"/>
        <v>2</v>
      </c>
      <c r="E198" s="4" t="str">
        <f t="shared" si="16"/>
        <v>January</v>
      </c>
      <c r="F198" s="19">
        <f t="shared" si="17"/>
        <v>2027</v>
      </c>
    </row>
    <row r="199" spans="1:6" x14ac:dyDescent="0.25">
      <c r="A199" s="18">
        <f t="shared" si="19"/>
        <v>20270114</v>
      </c>
      <c r="B199" s="24">
        <v>46401</v>
      </c>
      <c r="C199" s="4" t="str">
        <f t="shared" si="20"/>
        <v>Thursday</v>
      </c>
      <c r="D199" s="4">
        <f t="shared" si="18"/>
        <v>2</v>
      </c>
      <c r="E199" s="4" t="str">
        <f t="shared" si="16"/>
        <v>January</v>
      </c>
      <c r="F199" s="19">
        <f t="shared" si="17"/>
        <v>2027</v>
      </c>
    </row>
    <row r="200" spans="1:6" x14ac:dyDescent="0.25">
      <c r="A200" s="18">
        <f t="shared" si="19"/>
        <v>20270115</v>
      </c>
      <c r="B200" s="24">
        <v>46402</v>
      </c>
      <c r="C200" s="4" t="str">
        <f t="shared" si="20"/>
        <v>Friday</v>
      </c>
      <c r="D200" s="4">
        <f t="shared" si="18"/>
        <v>2</v>
      </c>
      <c r="E200" s="4" t="str">
        <f t="shared" si="16"/>
        <v>January</v>
      </c>
      <c r="F200" s="19">
        <f t="shared" si="17"/>
        <v>2027</v>
      </c>
    </row>
    <row r="201" spans="1:6" x14ac:dyDescent="0.25">
      <c r="A201" s="18">
        <f t="shared" si="19"/>
        <v>20270116</v>
      </c>
      <c r="B201" s="24">
        <v>46403</v>
      </c>
      <c r="C201" s="4" t="str">
        <f t="shared" si="20"/>
        <v>Saturday</v>
      </c>
      <c r="D201" s="4">
        <f t="shared" si="18"/>
        <v>3</v>
      </c>
      <c r="E201" s="4" t="str">
        <f t="shared" si="16"/>
        <v>January</v>
      </c>
      <c r="F201" s="19">
        <f t="shared" si="17"/>
        <v>2027</v>
      </c>
    </row>
    <row r="202" spans="1:6" x14ac:dyDescent="0.25">
      <c r="A202" s="18">
        <f t="shared" si="19"/>
        <v>20270117</v>
      </c>
      <c r="B202" s="24">
        <v>46404</v>
      </c>
      <c r="C202" s="4" t="str">
        <f t="shared" si="20"/>
        <v>Sunday</v>
      </c>
      <c r="D202" s="4">
        <f t="shared" si="18"/>
        <v>3</v>
      </c>
      <c r="E202" s="4" t="str">
        <f t="shared" si="16"/>
        <v>January</v>
      </c>
      <c r="F202" s="19">
        <f t="shared" si="17"/>
        <v>2027</v>
      </c>
    </row>
    <row r="203" spans="1:6" x14ac:dyDescent="0.25">
      <c r="A203" s="18">
        <f t="shared" si="19"/>
        <v>20270118</v>
      </c>
      <c r="B203" s="24">
        <v>46405</v>
      </c>
      <c r="C203" s="4" t="str">
        <f t="shared" si="20"/>
        <v>Monday</v>
      </c>
      <c r="D203" s="4">
        <f t="shared" si="18"/>
        <v>3</v>
      </c>
      <c r="E203" s="4" t="str">
        <f t="shared" si="16"/>
        <v>January</v>
      </c>
      <c r="F203" s="19">
        <f t="shared" si="17"/>
        <v>2027</v>
      </c>
    </row>
    <row r="204" spans="1:6" x14ac:dyDescent="0.25">
      <c r="A204" s="18">
        <f t="shared" si="19"/>
        <v>20270119</v>
      </c>
      <c r="B204" s="24">
        <v>46406</v>
      </c>
      <c r="C204" s="4" t="str">
        <f t="shared" si="20"/>
        <v>Tuesday</v>
      </c>
      <c r="D204" s="4">
        <f t="shared" si="18"/>
        <v>3</v>
      </c>
      <c r="E204" s="4" t="str">
        <f t="shared" ref="E204:E206" si="21">TEXT(B204,"mmmm")</f>
        <v>January</v>
      </c>
      <c r="F204" s="19">
        <f t="shared" ref="F204:F206" si="22">YEAR(B204)</f>
        <v>2027</v>
      </c>
    </row>
    <row r="205" spans="1:6" x14ac:dyDescent="0.25">
      <c r="A205" s="18">
        <f t="shared" si="19"/>
        <v>20270120</v>
      </c>
      <c r="B205" s="24">
        <v>46407</v>
      </c>
      <c r="C205" s="4" t="str">
        <f t="shared" si="20"/>
        <v>Wednesday</v>
      </c>
      <c r="D205" s="4">
        <f t="shared" si="18"/>
        <v>3</v>
      </c>
      <c r="E205" s="4" t="str">
        <f t="shared" si="21"/>
        <v>January</v>
      </c>
      <c r="F205" s="19">
        <f t="shared" si="22"/>
        <v>2027</v>
      </c>
    </row>
    <row r="206" spans="1:6" x14ac:dyDescent="0.25">
      <c r="A206" s="18">
        <f t="shared" si="19"/>
        <v>20270121</v>
      </c>
      <c r="B206" s="24">
        <v>46408</v>
      </c>
      <c r="C206" s="4" t="str">
        <f t="shared" si="20"/>
        <v>Thursday</v>
      </c>
      <c r="D206" s="4">
        <f t="shared" si="18"/>
        <v>3</v>
      </c>
      <c r="E206" s="4" t="str">
        <f t="shared" si="21"/>
        <v>January</v>
      </c>
      <c r="F206" s="19">
        <f t="shared" si="22"/>
        <v>2027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zoomScaleNormal="100" workbookViewId="0">
      <pane ySplit="1" topLeftCell="A2" activePane="bottomLeft" state="frozen"/>
      <selection pane="bottomLeft" activeCell="K25" sqref="K25"/>
    </sheetView>
  </sheetViews>
  <sheetFormatPr defaultColWidth="8.7109375" defaultRowHeight="15" x14ac:dyDescent="0.25"/>
  <cols>
    <col min="1" max="1" width="16" customWidth="1"/>
    <col min="2" max="3" width="12" customWidth="1"/>
    <col min="4" max="4" width="15.85546875" customWidth="1"/>
  </cols>
  <sheetData>
    <row r="1" spans="1:4" ht="30" customHeight="1" x14ac:dyDescent="0.25">
      <c r="A1" s="15" t="s">
        <v>943</v>
      </c>
      <c r="B1" s="16" t="s">
        <v>944</v>
      </c>
      <c r="C1" s="16" t="s">
        <v>885</v>
      </c>
      <c r="D1" s="17" t="s">
        <v>945</v>
      </c>
    </row>
    <row r="2" spans="1:4" x14ac:dyDescent="0.25">
      <c r="A2" s="18" t="s">
        <v>16</v>
      </c>
      <c r="B2" s="4" t="s">
        <v>141</v>
      </c>
      <c r="C2" s="4" t="s">
        <v>894</v>
      </c>
      <c r="D2" s="19" t="s">
        <v>946</v>
      </c>
    </row>
    <row r="3" spans="1:4" x14ac:dyDescent="0.25">
      <c r="A3" s="18" t="s">
        <v>20</v>
      </c>
      <c r="B3" s="4" t="s">
        <v>187</v>
      </c>
      <c r="C3" s="4" t="s">
        <v>887</v>
      </c>
      <c r="D3" s="19" t="s">
        <v>946</v>
      </c>
    </row>
    <row r="4" spans="1:4" x14ac:dyDescent="0.25">
      <c r="A4" s="18" t="s">
        <v>947</v>
      </c>
      <c r="B4" s="4" t="s">
        <v>187</v>
      </c>
      <c r="C4" s="4" t="s">
        <v>894</v>
      </c>
      <c r="D4" s="19" t="s">
        <v>948</v>
      </c>
    </row>
    <row r="5" spans="1:4" x14ac:dyDescent="0.25">
      <c r="A5" s="18" t="s">
        <v>949</v>
      </c>
      <c r="B5" s="4" t="s">
        <v>143</v>
      </c>
      <c r="C5" s="4" t="s">
        <v>887</v>
      </c>
      <c r="D5" s="19" t="s">
        <v>948</v>
      </c>
    </row>
    <row r="6" spans="1:4" x14ac:dyDescent="0.25">
      <c r="A6" s="18" t="s">
        <v>950</v>
      </c>
      <c r="B6" s="4" t="s">
        <v>143</v>
      </c>
      <c r="C6" s="4" t="s">
        <v>894</v>
      </c>
      <c r="D6" s="19" t="s">
        <v>951</v>
      </c>
    </row>
    <row r="7" spans="1:4" x14ac:dyDescent="0.25">
      <c r="A7" s="20" t="s">
        <v>952</v>
      </c>
      <c r="B7" s="21" t="s">
        <v>141</v>
      </c>
      <c r="C7" s="21" t="s">
        <v>887</v>
      </c>
      <c r="D7" s="22" t="s">
        <v>951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zoomScaleNormal="100" workbookViewId="0">
      <pane ySplit="1" topLeftCell="A2" activePane="bottomLeft" state="frozen"/>
      <selection pane="bottomLeft" activeCell="F37" sqref="F37"/>
    </sheetView>
  </sheetViews>
  <sheetFormatPr defaultColWidth="8.7109375" defaultRowHeight="15" x14ac:dyDescent="0.25"/>
  <cols>
    <col min="1" max="1" width="20" customWidth="1"/>
    <col min="2" max="2" width="14" customWidth="1"/>
    <col min="3" max="3" width="12" customWidth="1"/>
  </cols>
  <sheetData>
    <row r="1" spans="1:3" ht="30" customHeight="1" x14ac:dyDescent="0.25">
      <c r="A1" s="15" t="s">
        <v>883</v>
      </c>
      <c r="B1" s="16" t="s">
        <v>884</v>
      </c>
      <c r="C1" s="17" t="s">
        <v>885</v>
      </c>
    </row>
    <row r="2" spans="1:3" x14ac:dyDescent="0.25">
      <c r="A2" s="18">
        <v>0</v>
      </c>
      <c r="B2" s="4" t="s">
        <v>886</v>
      </c>
      <c r="C2" s="19" t="s">
        <v>894</v>
      </c>
    </row>
    <row r="3" spans="1:3" x14ac:dyDescent="0.25">
      <c r="A3" s="18">
        <v>1</v>
      </c>
      <c r="B3" s="4" t="s">
        <v>888</v>
      </c>
      <c r="C3" s="19" t="s">
        <v>894</v>
      </c>
    </row>
    <row r="4" spans="1:3" x14ac:dyDescent="0.25">
      <c r="A4" s="18">
        <v>2</v>
      </c>
      <c r="B4" s="4" t="s">
        <v>889</v>
      </c>
      <c r="C4" s="19" t="s">
        <v>894</v>
      </c>
    </row>
    <row r="5" spans="1:3" x14ac:dyDescent="0.25">
      <c r="A5" s="18">
        <v>3</v>
      </c>
      <c r="B5" s="4" t="s">
        <v>890</v>
      </c>
      <c r="C5" s="19" t="s">
        <v>894</v>
      </c>
    </row>
    <row r="6" spans="1:3" x14ac:dyDescent="0.25">
      <c r="A6" s="18">
        <v>4</v>
      </c>
      <c r="B6" s="4" t="s">
        <v>891</v>
      </c>
      <c r="C6" s="19" t="s">
        <v>894</v>
      </c>
    </row>
    <row r="7" spans="1:3" x14ac:dyDescent="0.25">
      <c r="A7" s="18">
        <v>5</v>
      </c>
      <c r="B7" s="4" t="s">
        <v>892</v>
      </c>
      <c r="C7" s="19" t="s">
        <v>894</v>
      </c>
    </row>
    <row r="8" spans="1:3" x14ac:dyDescent="0.25">
      <c r="A8" s="18">
        <v>6</v>
      </c>
      <c r="B8" s="4" t="s">
        <v>893</v>
      </c>
      <c r="C8" s="19" t="s">
        <v>894</v>
      </c>
    </row>
    <row r="9" spans="1:3" x14ac:dyDescent="0.25">
      <c r="A9" s="18">
        <v>7</v>
      </c>
      <c r="B9" s="4" t="s">
        <v>895</v>
      </c>
      <c r="C9" s="19" t="s">
        <v>894</v>
      </c>
    </row>
    <row r="10" spans="1:3" x14ac:dyDescent="0.25">
      <c r="A10" s="18">
        <v>8</v>
      </c>
      <c r="B10" s="4" t="s">
        <v>896</v>
      </c>
      <c r="C10" s="19" t="s">
        <v>894</v>
      </c>
    </row>
    <row r="11" spans="1:3" x14ac:dyDescent="0.25">
      <c r="A11" s="18">
        <v>9</v>
      </c>
      <c r="B11" s="4" t="s">
        <v>897</v>
      </c>
      <c r="C11" s="19" t="s">
        <v>894</v>
      </c>
    </row>
    <row r="12" spans="1:3" x14ac:dyDescent="0.25">
      <c r="A12" s="18">
        <v>10</v>
      </c>
      <c r="B12" s="4" t="s">
        <v>898</v>
      </c>
      <c r="C12" s="19" t="s">
        <v>894</v>
      </c>
    </row>
    <row r="13" spans="1:3" x14ac:dyDescent="0.25">
      <c r="A13" s="18">
        <v>11</v>
      </c>
      <c r="B13" s="4" t="s">
        <v>899</v>
      </c>
      <c r="C13" s="19" t="s">
        <v>894</v>
      </c>
    </row>
    <row r="14" spans="1:3" x14ac:dyDescent="0.25">
      <c r="A14" s="18">
        <v>12</v>
      </c>
      <c r="B14" s="4" t="s">
        <v>900</v>
      </c>
      <c r="C14" s="19" t="s">
        <v>887</v>
      </c>
    </row>
    <row r="15" spans="1:3" x14ac:dyDescent="0.25">
      <c r="A15" s="18">
        <v>13</v>
      </c>
      <c r="B15" s="4" t="s">
        <v>901</v>
      </c>
      <c r="C15" s="19" t="s">
        <v>887</v>
      </c>
    </row>
    <row r="16" spans="1:3" x14ac:dyDescent="0.25">
      <c r="A16" s="18">
        <v>14</v>
      </c>
      <c r="B16" s="4" t="s">
        <v>902</v>
      </c>
      <c r="C16" s="19" t="s">
        <v>887</v>
      </c>
    </row>
    <row r="17" spans="1:3" x14ac:dyDescent="0.25">
      <c r="A17" s="18">
        <v>15</v>
      </c>
      <c r="B17" s="4" t="s">
        <v>903</v>
      </c>
      <c r="C17" s="19" t="s">
        <v>887</v>
      </c>
    </row>
    <row r="18" spans="1:3" x14ac:dyDescent="0.25">
      <c r="A18" s="18">
        <v>16</v>
      </c>
      <c r="B18" s="4" t="s">
        <v>904</v>
      </c>
      <c r="C18" s="19" t="s">
        <v>887</v>
      </c>
    </row>
    <row r="19" spans="1:3" x14ac:dyDescent="0.25">
      <c r="A19" s="18">
        <v>17</v>
      </c>
      <c r="B19" s="4" t="s">
        <v>905</v>
      </c>
      <c r="C19" s="19" t="s">
        <v>887</v>
      </c>
    </row>
    <row r="20" spans="1:3" x14ac:dyDescent="0.25">
      <c r="A20" s="18">
        <v>18</v>
      </c>
      <c r="B20" s="4" t="s">
        <v>906</v>
      </c>
      <c r="C20" s="19" t="s">
        <v>887</v>
      </c>
    </row>
    <row r="21" spans="1:3" x14ac:dyDescent="0.25">
      <c r="A21" s="18">
        <v>19</v>
      </c>
      <c r="B21" s="4" t="s">
        <v>907</v>
      </c>
      <c r="C21" s="19" t="s">
        <v>887</v>
      </c>
    </row>
    <row r="22" spans="1:3" x14ac:dyDescent="0.25">
      <c r="A22" s="18">
        <v>20</v>
      </c>
      <c r="B22" s="4" t="s">
        <v>908</v>
      </c>
      <c r="C22" s="19" t="s">
        <v>887</v>
      </c>
    </row>
    <row r="23" spans="1:3" x14ac:dyDescent="0.25">
      <c r="A23" s="18">
        <v>21</v>
      </c>
      <c r="B23" s="4" t="s">
        <v>909</v>
      </c>
      <c r="C23" s="19" t="s">
        <v>887</v>
      </c>
    </row>
    <row r="24" spans="1:3" x14ac:dyDescent="0.25">
      <c r="A24" s="18">
        <v>22</v>
      </c>
      <c r="B24" s="4" t="s">
        <v>910</v>
      </c>
      <c r="C24" s="19" t="s">
        <v>887</v>
      </c>
    </row>
    <row r="25" spans="1:3" x14ac:dyDescent="0.25">
      <c r="A25" s="20">
        <v>23</v>
      </c>
      <c r="B25" s="21" t="s">
        <v>911</v>
      </c>
      <c r="C25" s="22" t="s">
        <v>887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tabSelected="1" zoomScaleNormal="100" workbookViewId="0">
      <pane ySplit="1" topLeftCell="A2" activePane="bottomLeft" state="frozen"/>
      <selection pane="bottomLeft" activeCell="E30" sqref="E30"/>
    </sheetView>
  </sheetViews>
  <sheetFormatPr defaultColWidth="8.7109375" defaultRowHeight="15" x14ac:dyDescent="0.25"/>
  <cols>
    <col min="1" max="1" width="18.5703125" customWidth="1"/>
    <col min="2" max="2" width="18" customWidth="1"/>
    <col min="3" max="3" width="15.28515625" customWidth="1"/>
    <col min="4" max="4" width="12" customWidth="1"/>
    <col min="5" max="5" width="22.28515625" customWidth="1"/>
  </cols>
  <sheetData>
    <row r="1" spans="1:5" ht="30" customHeight="1" x14ac:dyDescent="0.25">
      <c r="A1" s="15" t="s">
        <v>912</v>
      </c>
      <c r="B1" s="16" t="s">
        <v>913</v>
      </c>
      <c r="C1" s="16" t="s">
        <v>914</v>
      </c>
      <c r="D1" s="16" t="s">
        <v>915</v>
      </c>
      <c r="E1" s="17" t="s">
        <v>916</v>
      </c>
    </row>
    <row r="2" spans="1:5" x14ac:dyDescent="0.25">
      <c r="A2" s="18" t="s">
        <v>15</v>
      </c>
      <c r="B2" s="4" t="s">
        <v>917</v>
      </c>
      <c r="C2" s="4" t="s">
        <v>918</v>
      </c>
      <c r="D2" s="4">
        <v>16</v>
      </c>
      <c r="E2" s="19">
        <v>25</v>
      </c>
    </row>
    <row r="3" spans="1:5" x14ac:dyDescent="0.25">
      <c r="A3" s="18" t="s">
        <v>19</v>
      </c>
      <c r="B3" s="4" t="s">
        <v>919</v>
      </c>
      <c r="C3" s="4" t="s">
        <v>920</v>
      </c>
      <c r="D3" s="4">
        <v>24</v>
      </c>
      <c r="E3" s="19">
        <v>28</v>
      </c>
    </row>
    <row r="4" spans="1:5" x14ac:dyDescent="0.25">
      <c r="A4" s="18" t="s">
        <v>23</v>
      </c>
      <c r="B4" s="4" t="s">
        <v>921</v>
      </c>
      <c r="C4" s="4" t="s">
        <v>918</v>
      </c>
      <c r="D4" s="4">
        <v>12</v>
      </c>
      <c r="E4" s="19">
        <v>22</v>
      </c>
    </row>
    <row r="5" spans="1:5" x14ac:dyDescent="0.25">
      <c r="A5" s="18" t="s">
        <v>25</v>
      </c>
      <c r="B5" s="4" t="s">
        <v>922</v>
      </c>
      <c r="C5" s="4" t="s">
        <v>920</v>
      </c>
      <c r="D5" s="4">
        <v>24</v>
      </c>
      <c r="E5" s="19">
        <v>30</v>
      </c>
    </row>
    <row r="6" spans="1:5" x14ac:dyDescent="0.25">
      <c r="A6" s="18" t="s">
        <v>27</v>
      </c>
      <c r="B6" s="4" t="s">
        <v>923</v>
      </c>
      <c r="C6" s="4" t="s">
        <v>918</v>
      </c>
      <c r="D6" s="4">
        <v>16</v>
      </c>
      <c r="E6" s="19">
        <v>26</v>
      </c>
    </row>
    <row r="7" spans="1:5" x14ac:dyDescent="0.25">
      <c r="A7" s="18" t="s">
        <v>29</v>
      </c>
      <c r="B7" s="4" t="s">
        <v>924</v>
      </c>
      <c r="C7" s="4" t="s">
        <v>918</v>
      </c>
      <c r="D7" s="4">
        <v>12</v>
      </c>
      <c r="E7" s="19">
        <v>24</v>
      </c>
    </row>
    <row r="8" spans="1:5" x14ac:dyDescent="0.25">
      <c r="A8" s="20" t="s">
        <v>31</v>
      </c>
      <c r="B8" s="21" t="s">
        <v>925</v>
      </c>
      <c r="C8" s="21" t="s">
        <v>920</v>
      </c>
      <c r="D8" s="21">
        <v>24</v>
      </c>
      <c r="E8" s="22">
        <v>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zoomScaleNormal="100" workbookViewId="0">
      <pane ySplit="1" topLeftCell="A2" activePane="bottomLeft" state="frozen"/>
      <selection pane="bottomLeft" activeCell="H16" sqref="H16"/>
    </sheetView>
  </sheetViews>
  <sheetFormatPr defaultColWidth="8.7109375" defaultRowHeight="15" x14ac:dyDescent="0.25"/>
  <cols>
    <col min="1" max="1" width="19.42578125" customWidth="1"/>
    <col min="2" max="2" width="22" customWidth="1"/>
  </cols>
  <sheetData>
    <row r="1" spans="1:2" ht="30" customHeight="1" x14ac:dyDescent="0.25">
      <c r="A1" s="15" t="s">
        <v>966</v>
      </c>
      <c r="B1" s="17" t="s">
        <v>967</v>
      </c>
    </row>
    <row r="2" spans="1:2" x14ac:dyDescent="0.25">
      <c r="A2" s="18" t="s">
        <v>853</v>
      </c>
      <c r="B2" s="19" t="s">
        <v>968</v>
      </c>
    </row>
    <row r="3" spans="1:2" x14ac:dyDescent="0.25">
      <c r="A3" s="18" t="s">
        <v>858</v>
      </c>
      <c r="B3" s="19" t="s">
        <v>969</v>
      </c>
    </row>
    <row r="4" spans="1:2" x14ac:dyDescent="0.25">
      <c r="A4" s="18" t="s">
        <v>863</v>
      </c>
      <c r="B4" s="19" t="s">
        <v>970</v>
      </c>
    </row>
    <row r="5" spans="1:2" x14ac:dyDescent="0.25">
      <c r="A5" s="18" t="s">
        <v>868</v>
      </c>
      <c r="B5" s="19" t="s">
        <v>971</v>
      </c>
    </row>
    <row r="6" spans="1:2" x14ac:dyDescent="0.25">
      <c r="A6" s="20" t="s">
        <v>872</v>
      </c>
      <c r="B6" s="22" t="s">
        <v>972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"/>
  <sheetViews>
    <sheetView zoomScaleNormal="100" workbookViewId="0">
      <pane ySplit="1" topLeftCell="A2" activePane="bottomLeft" state="frozen"/>
      <selection pane="bottomLeft" activeCell="G12" sqref="G12"/>
    </sheetView>
  </sheetViews>
  <sheetFormatPr defaultColWidth="8.7109375" defaultRowHeight="15" x14ac:dyDescent="0.25"/>
  <cols>
    <col min="1" max="1" width="17.85546875" customWidth="1"/>
    <col min="2" max="2" width="18.28515625" bestFit="1" customWidth="1"/>
    <col min="3" max="3" width="17.85546875" customWidth="1"/>
    <col min="4" max="4" width="20.85546875" customWidth="1"/>
    <col min="5" max="5" width="15" customWidth="1"/>
    <col min="6" max="6" width="15.5703125" customWidth="1"/>
    <col min="7" max="7" width="22" customWidth="1"/>
    <col min="8" max="8" width="25" customWidth="1"/>
    <col min="9" max="9" width="19.140625" customWidth="1"/>
    <col min="10" max="10" width="19.7109375" customWidth="1"/>
    <col min="11" max="11" width="19.5703125" customWidth="1"/>
    <col min="12" max="12" width="22.5703125" customWidth="1"/>
    <col min="13" max="13" width="16.7109375" customWidth="1"/>
    <col min="14" max="14" width="17.28515625" customWidth="1"/>
  </cols>
  <sheetData>
    <row r="1" spans="1:14" ht="30" customHeight="1" x14ac:dyDescent="0.25">
      <c r="A1" s="15" t="s">
        <v>926</v>
      </c>
      <c r="B1" s="16" t="s">
        <v>927</v>
      </c>
      <c r="C1" s="16" t="s">
        <v>928</v>
      </c>
      <c r="D1" s="16" t="s">
        <v>929</v>
      </c>
      <c r="E1" s="16" t="s">
        <v>930</v>
      </c>
      <c r="F1" s="16" t="s">
        <v>931</v>
      </c>
      <c r="G1" s="16" t="s">
        <v>932</v>
      </c>
      <c r="H1" s="16" t="s">
        <v>933</v>
      </c>
      <c r="I1" s="16" t="s">
        <v>934</v>
      </c>
      <c r="J1" s="16" t="s">
        <v>935</v>
      </c>
      <c r="K1" s="16" t="s">
        <v>936</v>
      </c>
      <c r="L1" s="16" t="s">
        <v>937</v>
      </c>
      <c r="M1" s="16" t="s">
        <v>938</v>
      </c>
      <c r="N1" s="17" t="s">
        <v>939</v>
      </c>
    </row>
    <row r="2" spans="1:14" x14ac:dyDescent="0.25">
      <c r="A2" s="18" t="s">
        <v>141</v>
      </c>
      <c r="B2" s="4" t="s">
        <v>940</v>
      </c>
      <c r="C2" s="4">
        <v>250</v>
      </c>
      <c r="D2" s="4">
        <v>5</v>
      </c>
      <c r="E2" s="4">
        <f>C2-D2</f>
        <v>245</v>
      </c>
      <c r="F2" s="4">
        <f>C2+D2</f>
        <v>255</v>
      </c>
      <c r="G2" s="4">
        <v>70</v>
      </c>
      <c r="H2" s="4">
        <v>1</v>
      </c>
      <c r="I2" s="4">
        <f>G2-H2</f>
        <v>69</v>
      </c>
      <c r="J2" s="4">
        <f>G2+H2</f>
        <v>71</v>
      </c>
      <c r="K2" s="4">
        <v>120</v>
      </c>
      <c r="L2" s="4">
        <v>2</v>
      </c>
      <c r="M2" s="4">
        <f>K2-L2</f>
        <v>118</v>
      </c>
      <c r="N2" s="19">
        <f>K2+L2</f>
        <v>122</v>
      </c>
    </row>
    <row r="3" spans="1:14" x14ac:dyDescent="0.25">
      <c r="A3" s="18" t="s">
        <v>187</v>
      </c>
      <c r="B3" s="4" t="s">
        <v>941</v>
      </c>
      <c r="C3" s="4">
        <v>300</v>
      </c>
      <c r="D3" s="4">
        <v>6</v>
      </c>
      <c r="E3" s="4">
        <f>C3-D3</f>
        <v>294</v>
      </c>
      <c r="F3" s="4">
        <f>C3+D3</f>
        <v>306</v>
      </c>
      <c r="G3" s="4">
        <v>75</v>
      </c>
      <c r="H3" s="4">
        <v>1</v>
      </c>
      <c r="I3" s="4">
        <f>G3-H3</f>
        <v>74</v>
      </c>
      <c r="J3" s="4">
        <f>G3+H3</f>
        <v>76</v>
      </c>
      <c r="K3" s="4">
        <v>130</v>
      </c>
      <c r="L3" s="4">
        <v>2</v>
      </c>
      <c r="M3" s="4">
        <f>K3-L3</f>
        <v>128</v>
      </c>
      <c r="N3" s="19">
        <f>K3+L3</f>
        <v>132</v>
      </c>
    </row>
    <row r="4" spans="1:14" x14ac:dyDescent="0.25">
      <c r="A4" s="20" t="s">
        <v>143</v>
      </c>
      <c r="B4" s="21" t="s">
        <v>942</v>
      </c>
      <c r="C4" s="21">
        <v>200</v>
      </c>
      <c r="D4" s="21">
        <v>4</v>
      </c>
      <c r="E4" s="21">
        <f>C4-D4</f>
        <v>196</v>
      </c>
      <c r="F4" s="21">
        <f>C4+D4</f>
        <v>204</v>
      </c>
      <c r="G4" s="21">
        <v>65</v>
      </c>
      <c r="H4" s="21">
        <v>1</v>
      </c>
      <c r="I4" s="21">
        <f>G4-H4</f>
        <v>64</v>
      </c>
      <c r="J4" s="21">
        <f>G4+H4</f>
        <v>66</v>
      </c>
      <c r="K4" s="21">
        <v>110</v>
      </c>
      <c r="L4" s="21">
        <v>2</v>
      </c>
      <c r="M4" s="21">
        <f>K4-L4</f>
        <v>108</v>
      </c>
      <c r="N4" s="22">
        <f>K4+L4</f>
        <v>112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zoomScaleNormal="100" workbookViewId="0">
      <pane ySplit="1" topLeftCell="A5" activePane="bottomLeft" state="frozen"/>
      <selection pane="bottomLeft" activeCell="K13" sqref="K13"/>
    </sheetView>
  </sheetViews>
  <sheetFormatPr defaultColWidth="8.7109375" defaultRowHeight="15" x14ac:dyDescent="0.25"/>
  <cols>
    <col min="1" max="2" width="18" customWidth="1"/>
    <col min="3" max="3" width="17" customWidth="1"/>
  </cols>
  <sheetData>
    <row r="1" spans="1:3" ht="30" customHeight="1" x14ac:dyDescent="0.25">
      <c r="A1" s="15" t="s">
        <v>953</v>
      </c>
      <c r="B1" s="16" t="s">
        <v>954</v>
      </c>
      <c r="C1" s="17" t="s">
        <v>7</v>
      </c>
    </row>
    <row r="2" spans="1:3" x14ac:dyDescent="0.25">
      <c r="A2" s="18" t="s">
        <v>498</v>
      </c>
      <c r="B2" s="4" t="s">
        <v>955</v>
      </c>
      <c r="C2" s="19" t="s">
        <v>14</v>
      </c>
    </row>
    <row r="3" spans="1:3" x14ac:dyDescent="0.25">
      <c r="A3" s="18" t="s">
        <v>500</v>
      </c>
      <c r="B3" s="4" t="s">
        <v>956</v>
      </c>
      <c r="C3" s="19" t="s">
        <v>14</v>
      </c>
    </row>
    <row r="4" spans="1:3" x14ac:dyDescent="0.25">
      <c r="A4" s="18" t="s">
        <v>517</v>
      </c>
      <c r="B4" s="4" t="s">
        <v>957</v>
      </c>
      <c r="C4" s="19" t="s">
        <v>18</v>
      </c>
    </row>
    <row r="5" spans="1:3" x14ac:dyDescent="0.25">
      <c r="A5" s="18" t="s">
        <v>503</v>
      </c>
      <c r="B5" s="4" t="s">
        <v>958</v>
      </c>
      <c r="C5" s="19" t="s">
        <v>18</v>
      </c>
    </row>
    <row r="6" spans="1:3" x14ac:dyDescent="0.25">
      <c r="A6" s="18" t="s">
        <v>509</v>
      </c>
      <c r="B6" s="4" t="s">
        <v>959</v>
      </c>
      <c r="C6" s="19" t="s">
        <v>22</v>
      </c>
    </row>
    <row r="7" spans="1:3" x14ac:dyDescent="0.25">
      <c r="A7" s="20" t="s">
        <v>520</v>
      </c>
      <c r="B7" s="21" t="s">
        <v>960</v>
      </c>
      <c r="C7" s="22" t="s">
        <v>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7109375" defaultRowHeight="15" x14ac:dyDescent="0.25"/>
  <cols>
    <col min="1" max="1" width="20" customWidth="1"/>
    <col min="2" max="2" width="16.7109375" customWidth="1"/>
  </cols>
  <sheetData>
    <row r="1" spans="1:2" ht="30" customHeight="1" x14ac:dyDescent="0.25">
      <c r="A1" s="15" t="s">
        <v>961</v>
      </c>
      <c r="B1" s="17" t="s">
        <v>962</v>
      </c>
    </row>
    <row r="2" spans="1:2" x14ac:dyDescent="0.25">
      <c r="A2" s="18" t="s">
        <v>854</v>
      </c>
      <c r="B2" s="19" t="s">
        <v>963</v>
      </c>
    </row>
    <row r="3" spans="1:2" x14ac:dyDescent="0.25">
      <c r="A3" s="18" t="s">
        <v>859</v>
      </c>
      <c r="B3" s="19" t="s">
        <v>964</v>
      </c>
    </row>
    <row r="4" spans="1:2" x14ac:dyDescent="0.25">
      <c r="A4" s="20" t="s">
        <v>864</v>
      </c>
      <c r="B4" s="22" t="s">
        <v>965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Dashboard_View</vt:lpstr>
      <vt:lpstr>Decision_Layer</vt:lpstr>
      <vt:lpstr>Data_Dictionary</vt:lpstr>
      <vt:lpstr>Fact_Production_Hourly</vt:lpstr>
      <vt:lpstr>Fact_Quality_Sampling</vt:lpstr>
      <vt:lpstr>Fact_Defect_Detail</vt:lpstr>
      <vt:lpstr>Fact_Defect_Split</vt:lpstr>
      <vt:lpstr>Fact_Inspection</vt:lpstr>
      <vt:lpstr>Dim_Date</vt:lpstr>
      <vt:lpstr>Dim_Shift</vt:lpstr>
      <vt:lpstr>Dim_Time</vt:lpstr>
      <vt:lpstr>Dim_Machine</vt:lpstr>
      <vt:lpstr>Dim_Customer</vt:lpstr>
      <vt:lpstr>Dim_Product</vt:lpstr>
      <vt:lpstr>Dim_Defect</vt:lpstr>
      <vt:lpstr>Dim_Inspector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Fergany</cp:lastModifiedBy>
  <cp:revision>2</cp:revision>
  <dcterms:created xsi:type="dcterms:W3CDTF">2026-07-12T07:29:36Z</dcterms:created>
  <dcterms:modified xsi:type="dcterms:W3CDTF">2026-07-21T05:51:08Z</dcterms:modified>
  <dc:language>en-US</dc:language>
</cp:coreProperties>
</file>