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Factory/"/>
    </mc:Choice>
  </mc:AlternateContent>
  <xr:revisionPtr revIDLastSave="14" documentId="11_E2AC40FE1DEAA6FA9DDC472B428FFE297108A243" xr6:coauthVersionLast="47" xr6:coauthVersionMax="47" xr10:uidLastSave="{8C7A209C-B0ED-416A-A71B-8863FD1EA1EA}"/>
  <bookViews>
    <workbookView xWindow="-120" yWindow="-120" windowWidth="29040" windowHeight="15720" tabRatio="500" firstSheet="2" activeTab="4" xr2:uid="{00000000-000D-0000-FFFF-FFFF00000000}"/>
  </bookViews>
  <sheets>
    <sheet name="Dashboard_View" sheetId="1" r:id="rId1"/>
    <sheet name="Decision_Layer" sheetId="2" r:id="rId2"/>
    <sheet name="Data_Dictionary" sheetId="3" r:id="rId3"/>
    <sheet name="Fact_Production_Hourly" sheetId="4" r:id="rId4"/>
    <sheet name="Fact_Quality_Sampling" sheetId="5" r:id="rId5"/>
    <sheet name="Fact_Inspection" sheetId="6" r:id="rId6"/>
    <sheet name="Dim_Date" sheetId="7" r:id="rId7"/>
    <sheet name="Dim_Time" sheetId="8" r:id="rId8"/>
    <sheet name="Dim_Machine" sheetId="10" r:id="rId9"/>
    <sheet name="Dim_Product" sheetId="11" r:id="rId10"/>
    <sheet name="Dim_Shift" sheetId="9" r:id="rId11"/>
    <sheet name="Dim_Defect" sheetId="12" r:id="rId12"/>
    <sheet name="Dim_Inspector" sheetId="13" r:id="rId13"/>
    <sheet name="Dim_Customer" sheetId="14" r:id="rId1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2" i="4" l="1"/>
  <c r="W23" i="4" s="1"/>
  <c r="W19" i="4"/>
  <c r="N4" i="11"/>
  <c r="M4" i="11"/>
  <c r="J4" i="11"/>
  <c r="I4" i="11"/>
  <c r="F4" i="11"/>
  <c r="E4" i="11"/>
  <c r="N3" i="11"/>
  <c r="M3" i="11"/>
  <c r="J3" i="11"/>
  <c r="I3" i="11"/>
  <c r="F3" i="11"/>
  <c r="E3" i="11"/>
  <c r="N2" i="11"/>
  <c r="M2" i="11"/>
  <c r="J2" i="11"/>
  <c r="I2" i="11"/>
  <c r="F2" i="11"/>
  <c r="E2" i="11"/>
  <c r="N7" i="6"/>
  <c r="O7" i="6" s="1"/>
  <c r="M7" i="6"/>
  <c r="L7" i="6"/>
  <c r="N6" i="6"/>
  <c r="O6" i="6" s="1"/>
  <c r="M6" i="6"/>
  <c r="L6" i="6"/>
  <c r="N5" i="6"/>
  <c r="O5" i="6" s="1"/>
  <c r="M5" i="6"/>
  <c r="L5" i="6"/>
  <c r="N4" i="6"/>
  <c r="O4" i="6" s="1"/>
  <c r="M4" i="6"/>
  <c r="L4" i="6"/>
  <c r="O3" i="6"/>
  <c r="N3" i="6"/>
  <c r="M3" i="6"/>
  <c r="L3" i="6"/>
  <c r="N2" i="6"/>
  <c r="O2" i="6" s="1"/>
  <c r="M2" i="6"/>
  <c r="L2" i="6"/>
  <c r="S337" i="5"/>
  <c r="F337" i="5"/>
  <c r="E337" i="5"/>
  <c r="D337" i="5"/>
  <c r="G337" i="5" s="1"/>
  <c r="C337" i="5"/>
  <c r="B337" i="5"/>
  <c r="P336" i="5"/>
  <c r="M336" i="5"/>
  <c r="G336" i="5"/>
  <c r="F336" i="5"/>
  <c r="S336" i="5" s="1"/>
  <c r="E336" i="5"/>
  <c r="D336" i="5"/>
  <c r="C336" i="5"/>
  <c r="B336" i="5"/>
  <c r="S335" i="5"/>
  <c r="T335" i="5" s="1"/>
  <c r="U335" i="5" s="1"/>
  <c r="P335" i="5"/>
  <c r="Q335" i="5" s="1"/>
  <c r="R335" i="5" s="1"/>
  <c r="M335" i="5"/>
  <c r="N335" i="5" s="1"/>
  <c r="O335" i="5" s="1"/>
  <c r="F335" i="5"/>
  <c r="E335" i="5"/>
  <c r="D335" i="5"/>
  <c r="G335" i="5" s="1"/>
  <c r="H335" i="5" s="1"/>
  <c r="C335" i="5"/>
  <c r="B335" i="5"/>
  <c r="S334" i="5"/>
  <c r="F334" i="5"/>
  <c r="E334" i="5"/>
  <c r="D334" i="5"/>
  <c r="G334" i="5" s="1"/>
  <c r="C334" i="5"/>
  <c r="B334" i="5"/>
  <c r="H333" i="5"/>
  <c r="G333" i="5"/>
  <c r="F333" i="5"/>
  <c r="E333" i="5"/>
  <c r="D333" i="5"/>
  <c r="C333" i="5"/>
  <c r="B333" i="5"/>
  <c r="S332" i="5"/>
  <c r="P332" i="5"/>
  <c r="M332" i="5"/>
  <c r="G332" i="5"/>
  <c r="H332" i="5" s="1"/>
  <c r="F332" i="5"/>
  <c r="E332" i="5"/>
  <c r="D332" i="5"/>
  <c r="C332" i="5"/>
  <c r="B332" i="5"/>
  <c r="G331" i="5"/>
  <c r="F331" i="5"/>
  <c r="S331" i="5" s="1"/>
  <c r="E331" i="5"/>
  <c r="D331" i="5"/>
  <c r="C331" i="5"/>
  <c r="B331" i="5"/>
  <c r="V330" i="5"/>
  <c r="W330" i="5" s="1"/>
  <c r="H330" i="5"/>
  <c r="G330" i="5"/>
  <c r="F330" i="5"/>
  <c r="E330" i="5"/>
  <c r="D330" i="5"/>
  <c r="C330" i="5"/>
  <c r="B330" i="5"/>
  <c r="S329" i="5"/>
  <c r="M329" i="5"/>
  <c r="F329" i="5"/>
  <c r="P329" i="5" s="1"/>
  <c r="E329" i="5"/>
  <c r="D329" i="5"/>
  <c r="G329" i="5" s="1"/>
  <c r="C329" i="5"/>
  <c r="B329" i="5"/>
  <c r="P328" i="5"/>
  <c r="G328" i="5"/>
  <c r="F328" i="5"/>
  <c r="E328" i="5"/>
  <c r="D328" i="5"/>
  <c r="C328" i="5"/>
  <c r="B328" i="5"/>
  <c r="H327" i="5"/>
  <c r="G327" i="5"/>
  <c r="F327" i="5"/>
  <c r="E327" i="5"/>
  <c r="D327" i="5"/>
  <c r="C327" i="5"/>
  <c r="B327" i="5"/>
  <c r="P326" i="5"/>
  <c r="M326" i="5"/>
  <c r="H326" i="5"/>
  <c r="F326" i="5"/>
  <c r="S326" i="5" s="1"/>
  <c r="T326" i="5" s="1"/>
  <c r="E326" i="5"/>
  <c r="D326" i="5"/>
  <c r="G326" i="5" s="1"/>
  <c r="C326" i="5"/>
  <c r="B326" i="5"/>
  <c r="V325" i="5"/>
  <c r="W325" i="5" s="1"/>
  <c r="P325" i="5"/>
  <c r="Q325" i="5" s="1"/>
  <c r="R325" i="5" s="1"/>
  <c r="J325" i="5"/>
  <c r="F325" i="5"/>
  <c r="E325" i="5"/>
  <c r="D325" i="5"/>
  <c r="G325" i="5" s="1"/>
  <c r="H325" i="5" s="1"/>
  <c r="C325" i="5"/>
  <c r="B325" i="5"/>
  <c r="P324" i="5"/>
  <c r="G324" i="5"/>
  <c r="F324" i="5"/>
  <c r="E324" i="5"/>
  <c r="D324" i="5"/>
  <c r="C324" i="5"/>
  <c r="B324" i="5"/>
  <c r="S323" i="5"/>
  <c r="P323" i="5"/>
  <c r="M323" i="5"/>
  <c r="F323" i="5"/>
  <c r="E323" i="5"/>
  <c r="D323" i="5"/>
  <c r="G323" i="5" s="1"/>
  <c r="C323" i="5"/>
  <c r="B323" i="5"/>
  <c r="V322" i="5"/>
  <c r="W322" i="5" s="1"/>
  <c r="S322" i="5"/>
  <c r="T322" i="5" s="1"/>
  <c r="U322" i="5" s="1"/>
  <c r="P322" i="5"/>
  <c r="Q322" i="5" s="1"/>
  <c r="R322" i="5" s="1"/>
  <c r="M322" i="5"/>
  <c r="N322" i="5" s="1"/>
  <c r="O322" i="5" s="1"/>
  <c r="F322" i="5"/>
  <c r="E322" i="5"/>
  <c r="D322" i="5"/>
  <c r="G322" i="5" s="1"/>
  <c r="H322" i="5" s="1"/>
  <c r="C322" i="5"/>
  <c r="B322" i="5"/>
  <c r="S321" i="5"/>
  <c r="T321" i="5" s="1"/>
  <c r="U321" i="5" s="1"/>
  <c r="R321" i="5"/>
  <c r="M321" i="5"/>
  <c r="N321" i="5" s="1"/>
  <c r="O321" i="5" s="1"/>
  <c r="J321" i="5"/>
  <c r="I321" i="5"/>
  <c r="G321" i="5"/>
  <c r="H321" i="5" s="1"/>
  <c r="F321" i="5"/>
  <c r="P321" i="5" s="1"/>
  <c r="Q321" i="5" s="1"/>
  <c r="E321" i="5"/>
  <c r="D321" i="5"/>
  <c r="C321" i="5"/>
  <c r="B321" i="5"/>
  <c r="P320" i="5"/>
  <c r="M320" i="5"/>
  <c r="G320" i="5"/>
  <c r="F320" i="5"/>
  <c r="S320" i="5" s="1"/>
  <c r="E320" i="5"/>
  <c r="D320" i="5"/>
  <c r="C320" i="5"/>
  <c r="B320" i="5"/>
  <c r="S319" i="5"/>
  <c r="P319" i="5"/>
  <c r="M319" i="5"/>
  <c r="F319" i="5"/>
  <c r="E319" i="5"/>
  <c r="D319" i="5"/>
  <c r="G319" i="5" s="1"/>
  <c r="C319" i="5"/>
  <c r="B319" i="5"/>
  <c r="F318" i="5"/>
  <c r="E318" i="5"/>
  <c r="D318" i="5"/>
  <c r="G318" i="5" s="1"/>
  <c r="C318" i="5"/>
  <c r="B318" i="5"/>
  <c r="G317" i="5"/>
  <c r="F317" i="5"/>
  <c r="E317" i="5"/>
  <c r="D317" i="5"/>
  <c r="C317" i="5"/>
  <c r="B317" i="5"/>
  <c r="S316" i="5"/>
  <c r="P316" i="5"/>
  <c r="M316" i="5"/>
  <c r="G316" i="5"/>
  <c r="F316" i="5"/>
  <c r="E316" i="5"/>
  <c r="D316" i="5"/>
  <c r="C316" i="5"/>
  <c r="B316" i="5"/>
  <c r="F315" i="5"/>
  <c r="E315" i="5"/>
  <c r="D315" i="5"/>
  <c r="G315" i="5" s="1"/>
  <c r="C315" i="5"/>
  <c r="B315" i="5"/>
  <c r="G314" i="5"/>
  <c r="F314" i="5"/>
  <c r="E314" i="5"/>
  <c r="D314" i="5"/>
  <c r="C314" i="5"/>
  <c r="B314" i="5"/>
  <c r="F313" i="5"/>
  <c r="E313" i="5"/>
  <c r="D313" i="5"/>
  <c r="G313" i="5" s="1"/>
  <c r="C313" i="5"/>
  <c r="B313" i="5"/>
  <c r="F312" i="5"/>
  <c r="E312" i="5"/>
  <c r="D312" i="5"/>
  <c r="G312" i="5" s="1"/>
  <c r="C312" i="5"/>
  <c r="B312" i="5"/>
  <c r="M311" i="5"/>
  <c r="F311" i="5"/>
  <c r="E311" i="5"/>
  <c r="D311" i="5"/>
  <c r="G311" i="5" s="1"/>
  <c r="C311" i="5"/>
  <c r="B311" i="5"/>
  <c r="P310" i="5"/>
  <c r="M310" i="5"/>
  <c r="H310" i="5"/>
  <c r="F310" i="5"/>
  <c r="S310" i="5" s="1"/>
  <c r="E310" i="5"/>
  <c r="D310" i="5"/>
  <c r="G310" i="5" s="1"/>
  <c r="C310" i="5"/>
  <c r="B310" i="5"/>
  <c r="J309" i="5"/>
  <c r="H309" i="5"/>
  <c r="F309" i="5"/>
  <c r="E309" i="5"/>
  <c r="D309" i="5"/>
  <c r="G309" i="5" s="1"/>
  <c r="C309" i="5"/>
  <c r="B309" i="5"/>
  <c r="G308" i="5"/>
  <c r="F308" i="5"/>
  <c r="E308" i="5"/>
  <c r="D308" i="5"/>
  <c r="C308" i="5"/>
  <c r="B308" i="5"/>
  <c r="S307" i="5"/>
  <c r="P307" i="5"/>
  <c r="M307" i="5"/>
  <c r="F307" i="5"/>
  <c r="E307" i="5"/>
  <c r="D307" i="5"/>
  <c r="G307" i="5" s="1"/>
  <c r="C307" i="5"/>
  <c r="B307" i="5"/>
  <c r="S306" i="5"/>
  <c r="P306" i="5"/>
  <c r="M306" i="5"/>
  <c r="F306" i="5"/>
  <c r="E306" i="5"/>
  <c r="D306" i="5"/>
  <c r="G306" i="5" s="1"/>
  <c r="C306" i="5"/>
  <c r="B306" i="5"/>
  <c r="G305" i="5"/>
  <c r="H305" i="5" s="1"/>
  <c r="F305" i="5"/>
  <c r="E305" i="5"/>
  <c r="D305" i="5"/>
  <c r="C305" i="5"/>
  <c r="B305" i="5"/>
  <c r="P304" i="5"/>
  <c r="M304" i="5"/>
  <c r="G304" i="5"/>
  <c r="F304" i="5"/>
  <c r="S304" i="5" s="1"/>
  <c r="E304" i="5"/>
  <c r="D304" i="5"/>
  <c r="C304" i="5"/>
  <c r="B304" i="5"/>
  <c r="S303" i="5"/>
  <c r="P303" i="5"/>
  <c r="M303" i="5"/>
  <c r="F303" i="5"/>
  <c r="E303" i="5"/>
  <c r="D303" i="5"/>
  <c r="G303" i="5" s="1"/>
  <c r="C303" i="5"/>
  <c r="B303" i="5"/>
  <c r="F302" i="5"/>
  <c r="E302" i="5"/>
  <c r="D302" i="5"/>
  <c r="G302" i="5" s="1"/>
  <c r="C302" i="5"/>
  <c r="B302" i="5"/>
  <c r="S301" i="5"/>
  <c r="G301" i="5"/>
  <c r="F301" i="5"/>
  <c r="E301" i="5"/>
  <c r="D301" i="5"/>
  <c r="C301" i="5"/>
  <c r="B301" i="5"/>
  <c r="S300" i="5"/>
  <c r="P300" i="5"/>
  <c r="M300" i="5"/>
  <c r="G300" i="5"/>
  <c r="F300" i="5"/>
  <c r="E300" i="5"/>
  <c r="D300" i="5"/>
  <c r="C300" i="5"/>
  <c r="B300" i="5"/>
  <c r="H299" i="5"/>
  <c r="G299" i="5"/>
  <c r="F299" i="5"/>
  <c r="E299" i="5"/>
  <c r="D299" i="5"/>
  <c r="C299" i="5"/>
  <c r="B299" i="5"/>
  <c r="F298" i="5"/>
  <c r="E298" i="5"/>
  <c r="D298" i="5"/>
  <c r="G298" i="5" s="1"/>
  <c r="C298" i="5"/>
  <c r="B298" i="5"/>
  <c r="F297" i="5"/>
  <c r="E297" i="5"/>
  <c r="D297" i="5"/>
  <c r="G297" i="5" s="1"/>
  <c r="C297" i="5"/>
  <c r="B297" i="5"/>
  <c r="F296" i="5"/>
  <c r="E296" i="5"/>
  <c r="D296" i="5"/>
  <c r="G296" i="5" s="1"/>
  <c r="C296" i="5"/>
  <c r="B296" i="5"/>
  <c r="M295" i="5"/>
  <c r="F295" i="5"/>
  <c r="E295" i="5"/>
  <c r="D295" i="5"/>
  <c r="G295" i="5" s="1"/>
  <c r="C295" i="5"/>
  <c r="B295" i="5"/>
  <c r="P294" i="5"/>
  <c r="M294" i="5"/>
  <c r="F294" i="5"/>
  <c r="S294" i="5" s="1"/>
  <c r="E294" i="5"/>
  <c r="D294" i="5"/>
  <c r="G294" i="5" s="1"/>
  <c r="C294" i="5"/>
  <c r="B294" i="5"/>
  <c r="S293" i="5"/>
  <c r="T293" i="5" s="1"/>
  <c r="U293" i="5" s="1"/>
  <c r="Q293" i="5"/>
  <c r="R293" i="5" s="1"/>
  <c r="P293" i="5"/>
  <c r="N293" i="5"/>
  <c r="O293" i="5" s="1"/>
  <c r="H293" i="5"/>
  <c r="F293" i="5"/>
  <c r="M293" i="5" s="1"/>
  <c r="E293" i="5"/>
  <c r="D293" i="5"/>
  <c r="G293" i="5" s="1"/>
  <c r="C293" i="5"/>
  <c r="B293" i="5"/>
  <c r="P292" i="5"/>
  <c r="G292" i="5"/>
  <c r="F292" i="5"/>
  <c r="E292" i="5"/>
  <c r="D292" i="5"/>
  <c r="C292" i="5"/>
  <c r="B292" i="5"/>
  <c r="S291" i="5"/>
  <c r="P291" i="5"/>
  <c r="M291" i="5"/>
  <c r="H291" i="5"/>
  <c r="G291" i="5"/>
  <c r="F291" i="5"/>
  <c r="E291" i="5"/>
  <c r="D291" i="5"/>
  <c r="C291" i="5"/>
  <c r="B291" i="5"/>
  <c r="V290" i="5"/>
  <c r="W290" i="5" s="1"/>
  <c r="T290" i="5"/>
  <c r="U290" i="5" s="1"/>
  <c r="S290" i="5"/>
  <c r="P290" i="5"/>
  <c r="Q290" i="5" s="1"/>
  <c r="R290" i="5" s="1"/>
  <c r="N290" i="5"/>
  <c r="O290" i="5" s="1"/>
  <c r="M290" i="5"/>
  <c r="I290" i="5"/>
  <c r="F290" i="5"/>
  <c r="E290" i="5"/>
  <c r="D290" i="5"/>
  <c r="G290" i="5" s="1"/>
  <c r="H290" i="5" s="1"/>
  <c r="C290" i="5"/>
  <c r="B290" i="5"/>
  <c r="G289" i="5"/>
  <c r="H289" i="5" s="1"/>
  <c r="F289" i="5"/>
  <c r="P289" i="5" s="1"/>
  <c r="E289" i="5"/>
  <c r="D289" i="5"/>
  <c r="C289" i="5"/>
  <c r="B289" i="5"/>
  <c r="P288" i="5"/>
  <c r="M288" i="5"/>
  <c r="G288" i="5"/>
  <c r="F288" i="5"/>
  <c r="S288" i="5" s="1"/>
  <c r="E288" i="5"/>
  <c r="D288" i="5"/>
  <c r="C288" i="5"/>
  <c r="B288" i="5"/>
  <c r="S287" i="5"/>
  <c r="P287" i="5"/>
  <c r="M287" i="5"/>
  <c r="F287" i="5"/>
  <c r="E287" i="5"/>
  <c r="D287" i="5"/>
  <c r="G287" i="5" s="1"/>
  <c r="C287" i="5"/>
  <c r="B287" i="5"/>
  <c r="S286" i="5"/>
  <c r="F286" i="5"/>
  <c r="E286" i="5"/>
  <c r="D286" i="5"/>
  <c r="G286" i="5" s="1"/>
  <c r="C286" i="5"/>
  <c r="B286" i="5"/>
  <c r="G285" i="5"/>
  <c r="F285" i="5"/>
  <c r="E285" i="5"/>
  <c r="D285" i="5"/>
  <c r="C285" i="5"/>
  <c r="B285" i="5"/>
  <c r="S284" i="5"/>
  <c r="P284" i="5"/>
  <c r="M284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P282" i="5"/>
  <c r="G282" i="5"/>
  <c r="F282" i="5"/>
  <c r="E282" i="5"/>
  <c r="D282" i="5"/>
  <c r="C282" i="5"/>
  <c r="B282" i="5"/>
  <c r="M281" i="5"/>
  <c r="F281" i="5"/>
  <c r="E281" i="5"/>
  <c r="D281" i="5"/>
  <c r="G281" i="5" s="1"/>
  <c r="C281" i="5"/>
  <c r="B281" i="5"/>
  <c r="P280" i="5"/>
  <c r="F280" i="5"/>
  <c r="E280" i="5"/>
  <c r="D280" i="5"/>
  <c r="G280" i="5" s="1"/>
  <c r="C280" i="5"/>
  <c r="B280" i="5"/>
  <c r="G279" i="5"/>
  <c r="F279" i="5"/>
  <c r="E279" i="5"/>
  <c r="D279" i="5"/>
  <c r="C279" i="5"/>
  <c r="B279" i="5"/>
  <c r="P278" i="5"/>
  <c r="M278" i="5"/>
  <c r="N278" i="5" s="1"/>
  <c r="O278" i="5" s="1"/>
  <c r="I278" i="5"/>
  <c r="H278" i="5"/>
  <c r="V278" i="5" s="1"/>
  <c r="W278" i="5" s="1"/>
  <c r="F278" i="5"/>
  <c r="S278" i="5" s="1"/>
  <c r="T278" i="5" s="1"/>
  <c r="E278" i="5"/>
  <c r="D278" i="5"/>
  <c r="G278" i="5" s="1"/>
  <c r="C278" i="5"/>
  <c r="B278" i="5"/>
  <c r="H277" i="5"/>
  <c r="F277" i="5"/>
  <c r="E277" i="5"/>
  <c r="D277" i="5"/>
  <c r="G277" i="5" s="1"/>
  <c r="C277" i="5"/>
  <c r="B277" i="5"/>
  <c r="S276" i="5"/>
  <c r="F276" i="5"/>
  <c r="E276" i="5"/>
  <c r="D276" i="5"/>
  <c r="G276" i="5" s="1"/>
  <c r="C276" i="5"/>
  <c r="B276" i="5"/>
  <c r="S275" i="5"/>
  <c r="P275" i="5"/>
  <c r="M275" i="5"/>
  <c r="G275" i="5"/>
  <c r="F275" i="5"/>
  <c r="E275" i="5"/>
  <c r="D275" i="5"/>
  <c r="C275" i="5"/>
  <c r="B275" i="5"/>
  <c r="S274" i="5"/>
  <c r="P274" i="5"/>
  <c r="M274" i="5"/>
  <c r="F274" i="5"/>
  <c r="E274" i="5"/>
  <c r="D274" i="5"/>
  <c r="G274" i="5" s="1"/>
  <c r="C274" i="5"/>
  <c r="B274" i="5"/>
  <c r="G273" i="5"/>
  <c r="F273" i="5"/>
  <c r="E273" i="5"/>
  <c r="D273" i="5"/>
  <c r="C273" i="5"/>
  <c r="B273" i="5"/>
  <c r="P272" i="5"/>
  <c r="M272" i="5"/>
  <c r="G272" i="5"/>
  <c r="F272" i="5"/>
  <c r="S272" i="5" s="1"/>
  <c r="E272" i="5"/>
  <c r="D272" i="5"/>
  <c r="C272" i="5"/>
  <c r="B272" i="5"/>
  <c r="S271" i="5"/>
  <c r="P271" i="5"/>
  <c r="M271" i="5"/>
  <c r="F271" i="5"/>
  <c r="E271" i="5"/>
  <c r="D271" i="5"/>
  <c r="G271" i="5" s="1"/>
  <c r="C271" i="5"/>
  <c r="B271" i="5"/>
  <c r="F270" i="5"/>
  <c r="E270" i="5"/>
  <c r="D270" i="5"/>
  <c r="G270" i="5" s="1"/>
  <c r="C270" i="5"/>
  <c r="B270" i="5"/>
  <c r="G269" i="5"/>
  <c r="F269" i="5"/>
  <c r="E269" i="5"/>
  <c r="D269" i="5"/>
  <c r="C269" i="5"/>
  <c r="B269" i="5"/>
  <c r="S268" i="5"/>
  <c r="P268" i="5"/>
  <c r="M268" i="5"/>
  <c r="G268" i="5"/>
  <c r="F268" i="5"/>
  <c r="E268" i="5"/>
  <c r="D268" i="5"/>
  <c r="C268" i="5"/>
  <c r="B268" i="5"/>
  <c r="F267" i="5"/>
  <c r="E267" i="5"/>
  <c r="D267" i="5"/>
  <c r="G267" i="5" s="1"/>
  <c r="C267" i="5"/>
  <c r="B267" i="5"/>
  <c r="P266" i="5"/>
  <c r="F266" i="5"/>
  <c r="E266" i="5"/>
  <c r="D266" i="5"/>
  <c r="G266" i="5" s="1"/>
  <c r="C266" i="5"/>
  <c r="B266" i="5"/>
  <c r="M265" i="5"/>
  <c r="F265" i="5"/>
  <c r="E265" i="5"/>
  <c r="D265" i="5"/>
  <c r="G265" i="5" s="1"/>
  <c r="C265" i="5"/>
  <c r="B265" i="5"/>
  <c r="P264" i="5"/>
  <c r="G264" i="5"/>
  <c r="F264" i="5"/>
  <c r="E264" i="5"/>
  <c r="D264" i="5"/>
  <c r="C264" i="5"/>
  <c r="B264" i="5"/>
  <c r="P263" i="5"/>
  <c r="M263" i="5"/>
  <c r="G263" i="5"/>
  <c r="F263" i="5"/>
  <c r="S263" i="5" s="1"/>
  <c r="E263" i="5"/>
  <c r="D263" i="5"/>
  <c r="C263" i="5"/>
  <c r="B263" i="5"/>
  <c r="P262" i="5"/>
  <c r="M262" i="5"/>
  <c r="H262" i="5"/>
  <c r="F262" i="5"/>
  <c r="S262" i="5" s="1"/>
  <c r="E262" i="5"/>
  <c r="D262" i="5"/>
  <c r="G262" i="5" s="1"/>
  <c r="C262" i="5"/>
  <c r="B262" i="5"/>
  <c r="V261" i="5"/>
  <c r="W261" i="5" s="1"/>
  <c r="S261" i="5"/>
  <c r="T261" i="5" s="1"/>
  <c r="U261" i="5" s="1"/>
  <c r="Q261" i="5"/>
  <c r="R261" i="5" s="1"/>
  <c r="P261" i="5"/>
  <c r="O261" i="5"/>
  <c r="N261" i="5"/>
  <c r="J261" i="5"/>
  <c r="H261" i="5"/>
  <c r="F261" i="5"/>
  <c r="M261" i="5" s="1"/>
  <c r="E261" i="5"/>
  <c r="D261" i="5"/>
  <c r="G261" i="5" s="1"/>
  <c r="C261" i="5"/>
  <c r="B261" i="5"/>
  <c r="S260" i="5"/>
  <c r="P260" i="5"/>
  <c r="F260" i="5"/>
  <c r="M260" i="5" s="1"/>
  <c r="E260" i="5"/>
  <c r="D260" i="5"/>
  <c r="G260" i="5" s="1"/>
  <c r="C260" i="5"/>
  <c r="B260" i="5"/>
  <c r="S259" i="5"/>
  <c r="P259" i="5"/>
  <c r="M259" i="5"/>
  <c r="F259" i="5"/>
  <c r="E259" i="5"/>
  <c r="D259" i="5"/>
  <c r="G259" i="5" s="1"/>
  <c r="C259" i="5"/>
  <c r="B259" i="5"/>
  <c r="S258" i="5"/>
  <c r="P258" i="5"/>
  <c r="M258" i="5"/>
  <c r="F258" i="5"/>
  <c r="E258" i="5"/>
  <c r="D258" i="5"/>
  <c r="G258" i="5" s="1"/>
  <c r="C258" i="5"/>
  <c r="B258" i="5"/>
  <c r="W257" i="5"/>
  <c r="V257" i="5"/>
  <c r="S257" i="5"/>
  <c r="M257" i="5"/>
  <c r="H257" i="5"/>
  <c r="G257" i="5"/>
  <c r="F257" i="5"/>
  <c r="P257" i="5" s="1"/>
  <c r="E257" i="5"/>
  <c r="D257" i="5"/>
  <c r="C257" i="5"/>
  <c r="B257" i="5"/>
  <c r="S256" i="5"/>
  <c r="G256" i="5"/>
  <c r="F256" i="5"/>
  <c r="P256" i="5" s="1"/>
  <c r="E256" i="5"/>
  <c r="D256" i="5"/>
  <c r="C256" i="5"/>
  <c r="B256" i="5"/>
  <c r="G255" i="5"/>
  <c r="F255" i="5"/>
  <c r="S255" i="5" s="1"/>
  <c r="E255" i="5"/>
  <c r="D255" i="5"/>
  <c r="C255" i="5"/>
  <c r="B255" i="5"/>
  <c r="S254" i="5"/>
  <c r="T254" i="5" s="1"/>
  <c r="U254" i="5" s="1"/>
  <c r="M254" i="5"/>
  <c r="H254" i="5"/>
  <c r="G254" i="5"/>
  <c r="F254" i="5"/>
  <c r="P254" i="5" s="1"/>
  <c r="E254" i="5"/>
  <c r="D254" i="5"/>
  <c r="C254" i="5"/>
  <c r="B254" i="5"/>
  <c r="S253" i="5"/>
  <c r="M253" i="5"/>
  <c r="F253" i="5"/>
  <c r="P253" i="5" s="1"/>
  <c r="E253" i="5"/>
  <c r="D253" i="5"/>
  <c r="G253" i="5" s="1"/>
  <c r="C253" i="5"/>
  <c r="B253" i="5"/>
  <c r="M252" i="5"/>
  <c r="F252" i="5"/>
  <c r="S252" i="5" s="1"/>
  <c r="E252" i="5"/>
  <c r="D252" i="5"/>
  <c r="G252" i="5" s="1"/>
  <c r="C252" i="5"/>
  <c r="B252" i="5"/>
  <c r="H251" i="5"/>
  <c r="F251" i="5"/>
  <c r="E251" i="5"/>
  <c r="D251" i="5"/>
  <c r="G251" i="5" s="1"/>
  <c r="C251" i="5"/>
  <c r="B251" i="5"/>
  <c r="F250" i="5"/>
  <c r="P250" i="5" s="1"/>
  <c r="E250" i="5"/>
  <c r="D250" i="5"/>
  <c r="G250" i="5" s="1"/>
  <c r="C250" i="5"/>
  <c r="B250" i="5"/>
  <c r="S249" i="5"/>
  <c r="H249" i="5"/>
  <c r="F249" i="5"/>
  <c r="M249" i="5" s="1"/>
  <c r="E249" i="5"/>
  <c r="D249" i="5"/>
  <c r="G249" i="5" s="1"/>
  <c r="C249" i="5"/>
  <c r="B249" i="5"/>
  <c r="V248" i="5"/>
  <c r="W248" i="5" s="1"/>
  <c r="T248" i="5"/>
  <c r="U248" i="5" s="1"/>
  <c r="S248" i="5"/>
  <c r="P248" i="5"/>
  <c r="Q248" i="5" s="1"/>
  <c r="M248" i="5"/>
  <c r="N248" i="5" s="1"/>
  <c r="J248" i="5"/>
  <c r="H248" i="5"/>
  <c r="G248" i="5"/>
  <c r="F248" i="5"/>
  <c r="E248" i="5"/>
  <c r="D248" i="5"/>
  <c r="C248" i="5"/>
  <c r="B248" i="5"/>
  <c r="S247" i="5"/>
  <c r="P247" i="5"/>
  <c r="M247" i="5"/>
  <c r="F247" i="5"/>
  <c r="E247" i="5"/>
  <c r="D247" i="5"/>
  <c r="G247" i="5" s="1"/>
  <c r="C247" i="5"/>
  <c r="B247" i="5"/>
  <c r="P246" i="5"/>
  <c r="F246" i="5"/>
  <c r="E246" i="5"/>
  <c r="D246" i="5"/>
  <c r="G246" i="5" s="1"/>
  <c r="C246" i="5"/>
  <c r="B246" i="5"/>
  <c r="F245" i="5"/>
  <c r="E245" i="5"/>
  <c r="D245" i="5"/>
  <c r="G245" i="5" s="1"/>
  <c r="C245" i="5"/>
  <c r="B245" i="5"/>
  <c r="F244" i="5"/>
  <c r="E244" i="5"/>
  <c r="D244" i="5"/>
  <c r="G244" i="5" s="1"/>
  <c r="C244" i="5"/>
  <c r="B244" i="5"/>
  <c r="H243" i="5"/>
  <c r="F243" i="5"/>
  <c r="E243" i="5"/>
  <c r="D243" i="5"/>
  <c r="G243" i="5" s="1"/>
  <c r="C243" i="5"/>
  <c r="B243" i="5"/>
  <c r="F242" i="5"/>
  <c r="E242" i="5"/>
  <c r="D242" i="5"/>
  <c r="G242" i="5" s="1"/>
  <c r="C242" i="5"/>
  <c r="B242" i="5"/>
  <c r="H241" i="5"/>
  <c r="G241" i="5"/>
  <c r="F241" i="5"/>
  <c r="E241" i="5"/>
  <c r="D241" i="5"/>
  <c r="C241" i="5"/>
  <c r="B241" i="5"/>
  <c r="S240" i="5"/>
  <c r="P240" i="5"/>
  <c r="M240" i="5"/>
  <c r="N240" i="5" s="1"/>
  <c r="H240" i="5"/>
  <c r="G240" i="5"/>
  <c r="F240" i="5"/>
  <c r="E240" i="5"/>
  <c r="D240" i="5"/>
  <c r="C240" i="5"/>
  <c r="B240" i="5"/>
  <c r="P239" i="5"/>
  <c r="M239" i="5"/>
  <c r="H239" i="5"/>
  <c r="G239" i="5"/>
  <c r="F239" i="5"/>
  <c r="S239" i="5" s="1"/>
  <c r="E239" i="5"/>
  <c r="D239" i="5"/>
  <c r="C239" i="5"/>
  <c r="B239" i="5"/>
  <c r="S238" i="5"/>
  <c r="P238" i="5"/>
  <c r="M238" i="5"/>
  <c r="N238" i="5" s="1"/>
  <c r="O238" i="5" s="1"/>
  <c r="H238" i="5"/>
  <c r="G238" i="5"/>
  <c r="F238" i="5"/>
  <c r="E238" i="5"/>
  <c r="D238" i="5"/>
  <c r="C238" i="5"/>
  <c r="B238" i="5"/>
  <c r="W237" i="5"/>
  <c r="T237" i="5"/>
  <c r="U237" i="5" s="1"/>
  <c r="S237" i="5"/>
  <c r="P237" i="5"/>
  <c r="Q237" i="5" s="1"/>
  <c r="R237" i="5" s="1"/>
  <c r="M237" i="5"/>
  <c r="N237" i="5" s="1"/>
  <c r="O237" i="5" s="1"/>
  <c r="F237" i="5"/>
  <c r="E237" i="5"/>
  <c r="D237" i="5"/>
  <c r="G237" i="5" s="1"/>
  <c r="H237" i="5" s="1"/>
  <c r="V237" i="5" s="1"/>
  <c r="C237" i="5"/>
  <c r="B237" i="5"/>
  <c r="S236" i="5"/>
  <c r="P236" i="5"/>
  <c r="M236" i="5"/>
  <c r="F236" i="5"/>
  <c r="E236" i="5"/>
  <c r="D236" i="5"/>
  <c r="G236" i="5" s="1"/>
  <c r="C236" i="5"/>
  <c r="B236" i="5"/>
  <c r="V235" i="5"/>
  <c r="W235" i="5" s="1"/>
  <c r="F235" i="5"/>
  <c r="E235" i="5"/>
  <c r="D235" i="5"/>
  <c r="G235" i="5" s="1"/>
  <c r="H235" i="5" s="1"/>
  <c r="C235" i="5"/>
  <c r="B235" i="5"/>
  <c r="F234" i="5"/>
  <c r="E234" i="5"/>
  <c r="D234" i="5"/>
  <c r="G234" i="5" s="1"/>
  <c r="C234" i="5"/>
  <c r="B234" i="5"/>
  <c r="G233" i="5"/>
  <c r="F233" i="5"/>
  <c r="E233" i="5"/>
  <c r="D233" i="5"/>
  <c r="C233" i="5"/>
  <c r="B233" i="5"/>
  <c r="S232" i="5"/>
  <c r="P232" i="5"/>
  <c r="M232" i="5"/>
  <c r="F232" i="5"/>
  <c r="E232" i="5"/>
  <c r="D232" i="5"/>
  <c r="G232" i="5" s="1"/>
  <c r="C232" i="5"/>
  <c r="B232" i="5"/>
  <c r="S231" i="5"/>
  <c r="P231" i="5"/>
  <c r="M231" i="5"/>
  <c r="F231" i="5"/>
  <c r="E231" i="5"/>
  <c r="D231" i="5"/>
  <c r="G231" i="5" s="1"/>
  <c r="C231" i="5"/>
  <c r="B231" i="5"/>
  <c r="P230" i="5"/>
  <c r="F230" i="5"/>
  <c r="S230" i="5" s="1"/>
  <c r="E230" i="5"/>
  <c r="D230" i="5"/>
  <c r="G230" i="5" s="1"/>
  <c r="C230" i="5"/>
  <c r="B230" i="5"/>
  <c r="F229" i="5"/>
  <c r="E229" i="5"/>
  <c r="D229" i="5"/>
  <c r="G229" i="5" s="1"/>
  <c r="C229" i="5"/>
  <c r="B229" i="5"/>
  <c r="M228" i="5"/>
  <c r="G228" i="5"/>
  <c r="F228" i="5"/>
  <c r="E228" i="5"/>
  <c r="D228" i="5"/>
  <c r="C228" i="5"/>
  <c r="B228" i="5"/>
  <c r="S227" i="5"/>
  <c r="T227" i="5" s="1"/>
  <c r="U227" i="5" s="1"/>
  <c r="Q227" i="5"/>
  <c r="R227" i="5" s="1"/>
  <c r="P227" i="5"/>
  <c r="N227" i="5"/>
  <c r="O227" i="5" s="1"/>
  <c r="M227" i="5"/>
  <c r="H227" i="5"/>
  <c r="F227" i="5"/>
  <c r="E227" i="5"/>
  <c r="D227" i="5"/>
  <c r="G227" i="5" s="1"/>
  <c r="C227" i="5"/>
  <c r="B227" i="5"/>
  <c r="V226" i="5"/>
  <c r="W226" i="5" s="1"/>
  <c r="U226" i="5"/>
  <c r="T226" i="5"/>
  <c r="K226" i="5"/>
  <c r="J226" i="5"/>
  <c r="F226" i="5"/>
  <c r="S226" i="5" s="1"/>
  <c r="E226" i="5"/>
  <c r="D226" i="5"/>
  <c r="G226" i="5" s="1"/>
  <c r="H226" i="5" s="1"/>
  <c r="I226" i="5" s="1"/>
  <c r="C226" i="5"/>
  <c r="B226" i="5"/>
  <c r="P225" i="5"/>
  <c r="M225" i="5"/>
  <c r="G225" i="5"/>
  <c r="F225" i="5"/>
  <c r="S225" i="5" s="1"/>
  <c r="E225" i="5"/>
  <c r="D225" i="5"/>
  <c r="C225" i="5"/>
  <c r="B225" i="5"/>
  <c r="S224" i="5"/>
  <c r="P224" i="5"/>
  <c r="M224" i="5"/>
  <c r="F224" i="5"/>
  <c r="E224" i="5"/>
  <c r="D224" i="5"/>
  <c r="G224" i="5" s="1"/>
  <c r="C224" i="5"/>
  <c r="B224" i="5"/>
  <c r="P223" i="5"/>
  <c r="F223" i="5"/>
  <c r="S223" i="5" s="1"/>
  <c r="E223" i="5"/>
  <c r="D223" i="5"/>
  <c r="G223" i="5" s="1"/>
  <c r="C223" i="5"/>
  <c r="B223" i="5"/>
  <c r="S222" i="5"/>
  <c r="T222" i="5" s="1"/>
  <c r="U222" i="5" s="1"/>
  <c r="G222" i="5"/>
  <c r="H222" i="5" s="1"/>
  <c r="F222" i="5"/>
  <c r="M222" i="5" s="1"/>
  <c r="N222" i="5" s="1"/>
  <c r="O222" i="5" s="1"/>
  <c r="E222" i="5"/>
  <c r="D222" i="5"/>
  <c r="C222" i="5"/>
  <c r="B222" i="5"/>
  <c r="S221" i="5"/>
  <c r="P221" i="5"/>
  <c r="M221" i="5"/>
  <c r="F221" i="5"/>
  <c r="E221" i="5"/>
  <c r="D221" i="5"/>
  <c r="G221" i="5" s="1"/>
  <c r="C221" i="5"/>
  <c r="B221" i="5"/>
  <c r="S220" i="5"/>
  <c r="M220" i="5"/>
  <c r="G220" i="5"/>
  <c r="F220" i="5"/>
  <c r="P220" i="5" s="1"/>
  <c r="E220" i="5"/>
  <c r="D220" i="5"/>
  <c r="C220" i="5"/>
  <c r="B220" i="5"/>
  <c r="F219" i="5"/>
  <c r="E219" i="5"/>
  <c r="D219" i="5"/>
  <c r="G219" i="5" s="1"/>
  <c r="C219" i="5"/>
  <c r="B219" i="5"/>
  <c r="F218" i="5"/>
  <c r="E218" i="5"/>
  <c r="D218" i="5"/>
  <c r="G218" i="5" s="1"/>
  <c r="C218" i="5"/>
  <c r="B218" i="5"/>
  <c r="P217" i="5"/>
  <c r="G217" i="5"/>
  <c r="F217" i="5"/>
  <c r="E217" i="5"/>
  <c r="D217" i="5"/>
  <c r="C217" i="5"/>
  <c r="B217" i="5"/>
  <c r="S216" i="5"/>
  <c r="M216" i="5"/>
  <c r="F216" i="5"/>
  <c r="P216" i="5" s="1"/>
  <c r="E216" i="5"/>
  <c r="D216" i="5"/>
  <c r="G216" i="5" s="1"/>
  <c r="C216" i="5"/>
  <c r="B216" i="5"/>
  <c r="S215" i="5"/>
  <c r="P215" i="5"/>
  <c r="M215" i="5"/>
  <c r="J215" i="5"/>
  <c r="I215" i="5"/>
  <c r="G215" i="5"/>
  <c r="H215" i="5" s="1"/>
  <c r="F215" i="5"/>
  <c r="E215" i="5"/>
  <c r="D215" i="5"/>
  <c r="C215" i="5"/>
  <c r="B215" i="5"/>
  <c r="S214" i="5"/>
  <c r="P214" i="5"/>
  <c r="M214" i="5"/>
  <c r="F214" i="5"/>
  <c r="E214" i="5"/>
  <c r="D214" i="5"/>
  <c r="G214" i="5" s="1"/>
  <c r="C214" i="5"/>
  <c r="B214" i="5"/>
  <c r="G213" i="5"/>
  <c r="F213" i="5"/>
  <c r="E213" i="5"/>
  <c r="D213" i="5"/>
  <c r="C213" i="5"/>
  <c r="B213" i="5"/>
  <c r="S212" i="5"/>
  <c r="F212" i="5"/>
  <c r="E212" i="5"/>
  <c r="D212" i="5"/>
  <c r="G212" i="5" s="1"/>
  <c r="C212" i="5"/>
  <c r="B212" i="5"/>
  <c r="S211" i="5"/>
  <c r="F211" i="5"/>
  <c r="E211" i="5"/>
  <c r="D211" i="5"/>
  <c r="G211" i="5" s="1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S208" i="5"/>
  <c r="T208" i="5" s="1"/>
  <c r="U208" i="5" s="1"/>
  <c r="P208" i="5"/>
  <c r="Q208" i="5" s="1"/>
  <c r="R208" i="5" s="1"/>
  <c r="M208" i="5"/>
  <c r="N208" i="5" s="1"/>
  <c r="O208" i="5" s="1"/>
  <c r="J208" i="5"/>
  <c r="F208" i="5"/>
  <c r="E208" i="5"/>
  <c r="D208" i="5"/>
  <c r="G208" i="5" s="1"/>
  <c r="H208" i="5" s="1"/>
  <c r="I208" i="5" s="1"/>
  <c r="K208" i="5" s="1"/>
  <c r="C208" i="5"/>
  <c r="B208" i="5"/>
  <c r="G207" i="5"/>
  <c r="F207" i="5"/>
  <c r="E207" i="5"/>
  <c r="D207" i="5"/>
  <c r="C207" i="5"/>
  <c r="B207" i="5"/>
  <c r="S206" i="5"/>
  <c r="M206" i="5"/>
  <c r="F206" i="5"/>
  <c r="P206" i="5" s="1"/>
  <c r="E206" i="5"/>
  <c r="D206" i="5"/>
  <c r="G206" i="5" s="1"/>
  <c r="C206" i="5"/>
  <c r="B206" i="5"/>
  <c r="G205" i="5"/>
  <c r="F205" i="5"/>
  <c r="E205" i="5"/>
  <c r="D205" i="5"/>
  <c r="C205" i="5"/>
  <c r="B205" i="5"/>
  <c r="F204" i="5"/>
  <c r="E204" i="5"/>
  <c r="D204" i="5"/>
  <c r="G204" i="5" s="1"/>
  <c r="C204" i="5"/>
  <c r="B204" i="5"/>
  <c r="F203" i="5"/>
  <c r="E203" i="5"/>
  <c r="D203" i="5"/>
  <c r="G203" i="5" s="1"/>
  <c r="C203" i="5"/>
  <c r="B203" i="5"/>
  <c r="M202" i="5"/>
  <c r="F202" i="5"/>
  <c r="E202" i="5"/>
  <c r="D202" i="5"/>
  <c r="G202" i="5" s="1"/>
  <c r="C202" i="5"/>
  <c r="B202" i="5"/>
  <c r="P201" i="5"/>
  <c r="Q201" i="5" s="1"/>
  <c r="J201" i="5"/>
  <c r="I201" i="5"/>
  <c r="H201" i="5"/>
  <c r="G201" i="5"/>
  <c r="F201" i="5"/>
  <c r="E201" i="5"/>
  <c r="D201" i="5"/>
  <c r="C201" i="5"/>
  <c r="B201" i="5"/>
  <c r="S200" i="5"/>
  <c r="M200" i="5"/>
  <c r="F200" i="5"/>
  <c r="P200" i="5" s="1"/>
  <c r="E200" i="5"/>
  <c r="D200" i="5"/>
  <c r="G200" i="5" s="1"/>
  <c r="C200" i="5"/>
  <c r="B200" i="5"/>
  <c r="V199" i="5"/>
  <c r="W199" i="5" s="1"/>
  <c r="T199" i="5"/>
  <c r="U199" i="5" s="1"/>
  <c r="S199" i="5"/>
  <c r="P199" i="5"/>
  <c r="Q199" i="5" s="1"/>
  <c r="R199" i="5" s="1"/>
  <c r="N199" i="5"/>
  <c r="O199" i="5" s="1"/>
  <c r="M199" i="5"/>
  <c r="F199" i="5"/>
  <c r="E199" i="5"/>
  <c r="D199" i="5"/>
  <c r="G199" i="5" s="1"/>
  <c r="H199" i="5" s="1"/>
  <c r="C199" i="5"/>
  <c r="B199" i="5"/>
  <c r="V198" i="5"/>
  <c r="W198" i="5" s="1"/>
  <c r="S198" i="5"/>
  <c r="T198" i="5" s="1"/>
  <c r="P198" i="5"/>
  <c r="F198" i="5"/>
  <c r="M198" i="5" s="1"/>
  <c r="E198" i="5"/>
  <c r="D198" i="5"/>
  <c r="G198" i="5" s="1"/>
  <c r="H198" i="5" s="1"/>
  <c r="C198" i="5"/>
  <c r="B198" i="5"/>
  <c r="S197" i="5"/>
  <c r="M197" i="5"/>
  <c r="F197" i="5"/>
  <c r="P197" i="5" s="1"/>
  <c r="E197" i="5"/>
  <c r="D197" i="5"/>
  <c r="G197" i="5" s="1"/>
  <c r="C197" i="5"/>
  <c r="B197" i="5"/>
  <c r="S196" i="5"/>
  <c r="P196" i="5"/>
  <c r="M196" i="5"/>
  <c r="F196" i="5"/>
  <c r="E196" i="5"/>
  <c r="D196" i="5"/>
  <c r="G196" i="5" s="1"/>
  <c r="C196" i="5"/>
  <c r="B196" i="5"/>
  <c r="V195" i="5"/>
  <c r="W195" i="5" s="1"/>
  <c r="S195" i="5"/>
  <c r="T195" i="5" s="1"/>
  <c r="U195" i="5" s="1"/>
  <c r="P195" i="5"/>
  <c r="Q195" i="5" s="1"/>
  <c r="R195" i="5" s="1"/>
  <c r="O195" i="5"/>
  <c r="F195" i="5"/>
  <c r="M195" i="5" s="1"/>
  <c r="N195" i="5" s="1"/>
  <c r="E195" i="5"/>
  <c r="D195" i="5"/>
  <c r="G195" i="5" s="1"/>
  <c r="H195" i="5" s="1"/>
  <c r="J195" i="5" s="1"/>
  <c r="C195" i="5"/>
  <c r="B195" i="5"/>
  <c r="S194" i="5"/>
  <c r="F194" i="5"/>
  <c r="P194" i="5" s="1"/>
  <c r="E194" i="5"/>
  <c r="D194" i="5"/>
  <c r="G194" i="5" s="1"/>
  <c r="C194" i="5"/>
  <c r="B194" i="5"/>
  <c r="S193" i="5"/>
  <c r="M193" i="5"/>
  <c r="G193" i="5"/>
  <c r="F193" i="5"/>
  <c r="P193" i="5" s="1"/>
  <c r="E193" i="5"/>
  <c r="D193" i="5"/>
  <c r="C193" i="5"/>
  <c r="B193" i="5"/>
  <c r="S192" i="5"/>
  <c r="F192" i="5"/>
  <c r="M192" i="5" s="1"/>
  <c r="E192" i="5"/>
  <c r="D192" i="5"/>
  <c r="G192" i="5" s="1"/>
  <c r="C192" i="5"/>
  <c r="B192" i="5"/>
  <c r="S191" i="5"/>
  <c r="F191" i="5"/>
  <c r="E191" i="5"/>
  <c r="D191" i="5"/>
  <c r="G191" i="5" s="1"/>
  <c r="C191" i="5"/>
  <c r="B191" i="5"/>
  <c r="I190" i="5"/>
  <c r="H190" i="5"/>
  <c r="F190" i="5"/>
  <c r="E190" i="5"/>
  <c r="D190" i="5"/>
  <c r="G190" i="5" s="1"/>
  <c r="C190" i="5"/>
  <c r="B190" i="5"/>
  <c r="F189" i="5"/>
  <c r="E189" i="5"/>
  <c r="D189" i="5"/>
  <c r="G189" i="5" s="1"/>
  <c r="C189" i="5"/>
  <c r="B189" i="5"/>
  <c r="M188" i="5"/>
  <c r="F188" i="5"/>
  <c r="E188" i="5"/>
  <c r="D188" i="5"/>
  <c r="G188" i="5" s="1"/>
  <c r="C188" i="5"/>
  <c r="B188" i="5"/>
  <c r="P187" i="5"/>
  <c r="M187" i="5"/>
  <c r="F187" i="5"/>
  <c r="S187" i="5" s="1"/>
  <c r="E187" i="5"/>
  <c r="D187" i="5"/>
  <c r="G187" i="5" s="1"/>
  <c r="C187" i="5"/>
  <c r="B187" i="5"/>
  <c r="F186" i="5"/>
  <c r="E186" i="5"/>
  <c r="D186" i="5"/>
  <c r="G186" i="5" s="1"/>
  <c r="C186" i="5"/>
  <c r="B186" i="5"/>
  <c r="G185" i="5"/>
  <c r="F185" i="5"/>
  <c r="E185" i="5"/>
  <c r="D185" i="5"/>
  <c r="C185" i="5"/>
  <c r="B185" i="5"/>
  <c r="S184" i="5"/>
  <c r="P184" i="5"/>
  <c r="M184" i="5"/>
  <c r="H184" i="5"/>
  <c r="F184" i="5"/>
  <c r="E184" i="5"/>
  <c r="D184" i="5"/>
  <c r="G184" i="5" s="1"/>
  <c r="C184" i="5"/>
  <c r="B184" i="5"/>
  <c r="S183" i="5"/>
  <c r="P183" i="5"/>
  <c r="M183" i="5"/>
  <c r="F183" i="5"/>
  <c r="E183" i="5"/>
  <c r="D183" i="5"/>
  <c r="G183" i="5" s="1"/>
  <c r="C183" i="5"/>
  <c r="B183" i="5"/>
  <c r="S182" i="5"/>
  <c r="P182" i="5"/>
  <c r="M182" i="5"/>
  <c r="F182" i="5"/>
  <c r="E182" i="5"/>
  <c r="D182" i="5"/>
  <c r="G182" i="5" s="1"/>
  <c r="C182" i="5"/>
  <c r="B182" i="5"/>
  <c r="G181" i="5"/>
  <c r="F181" i="5"/>
  <c r="E181" i="5"/>
  <c r="D181" i="5"/>
  <c r="C181" i="5"/>
  <c r="B181" i="5"/>
  <c r="S180" i="5"/>
  <c r="F180" i="5"/>
  <c r="E180" i="5"/>
  <c r="D180" i="5"/>
  <c r="G180" i="5" s="1"/>
  <c r="C180" i="5"/>
  <c r="B180" i="5"/>
  <c r="P179" i="5"/>
  <c r="M179" i="5"/>
  <c r="I179" i="5"/>
  <c r="K179" i="5" s="1"/>
  <c r="H179" i="5"/>
  <c r="J179" i="5" s="1"/>
  <c r="F179" i="5"/>
  <c r="S179" i="5" s="1"/>
  <c r="E179" i="5"/>
  <c r="D179" i="5"/>
  <c r="G179" i="5" s="1"/>
  <c r="C179" i="5"/>
  <c r="B179" i="5"/>
  <c r="M178" i="5"/>
  <c r="G178" i="5"/>
  <c r="F178" i="5"/>
  <c r="E178" i="5"/>
  <c r="D178" i="5"/>
  <c r="C178" i="5"/>
  <c r="B178" i="5"/>
  <c r="S177" i="5"/>
  <c r="P177" i="5"/>
  <c r="M177" i="5"/>
  <c r="F177" i="5"/>
  <c r="E177" i="5"/>
  <c r="D177" i="5"/>
  <c r="G177" i="5" s="1"/>
  <c r="C177" i="5"/>
  <c r="B177" i="5"/>
  <c r="P176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S174" i="5"/>
  <c r="P174" i="5"/>
  <c r="M174" i="5"/>
  <c r="H174" i="5"/>
  <c r="G174" i="5"/>
  <c r="F174" i="5"/>
  <c r="E174" i="5"/>
  <c r="D174" i="5"/>
  <c r="C174" i="5"/>
  <c r="B174" i="5"/>
  <c r="M173" i="5"/>
  <c r="G173" i="5"/>
  <c r="F173" i="5"/>
  <c r="E173" i="5"/>
  <c r="D173" i="5"/>
  <c r="C173" i="5"/>
  <c r="B173" i="5"/>
  <c r="S172" i="5"/>
  <c r="P172" i="5"/>
  <c r="M172" i="5"/>
  <c r="I172" i="5"/>
  <c r="H172" i="5"/>
  <c r="F172" i="5"/>
  <c r="E172" i="5"/>
  <c r="D172" i="5"/>
  <c r="G172" i="5" s="1"/>
  <c r="C172" i="5"/>
  <c r="B172" i="5"/>
  <c r="F171" i="5"/>
  <c r="E171" i="5"/>
  <c r="D171" i="5"/>
  <c r="G171" i="5" s="1"/>
  <c r="C171" i="5"/>
  <c r="B171" i="5"/>
  <c r="H170" i="5"/>
  <c r="F170" i="5"/>
  <c r="E170" i="5"/>
  <c r="D170" i="5"/>
  <c r="G170" i="5" s="1"/>
  <c r="C170" i="5"/>
  <c r="B170" i="5"/>
  <c r="F169" i="5"/>
  <c r="E169" i="5"/>
  <c r="D169" i="5"/>
  <c r="G169" i="5" s="1"/>
  <c r="C169" i="5"/>
  <c r="B169" i="5"/>
  <c r="M168" i="5"/>
  <c r="G168" i="5"/>
  <c r="F168" i="5"/>
  <c r="E168" i="5"/>
  <c r="D168" i="5"/>
  <c r="C168" i="5"/>
  <c r="B168" i="5"/>
  <c r="T167" i="5"/>
  <c r="S167" i="5"/>
  <c r="P167" i="5"/>
  <c r="M167" i="5"/>
  <c r="H167" i="5"/>
  <c r="G167" i="5"/>
  <c r="F167" i="5"/>
  <c r="E167" i="5"/>
  <c r="D167" i="5"/>
  <c r="C167" i="5"/>
  <c r="B167" i="5"/>
  <c r="S166" i="5"/>
  <c r="P166" i="5"/>
  <c r="M166" i="5"/>
  <c r="F166" i="5"/>
  <c r="E166" i="5"/>
  <c r="D166" i="5"/>
  <c r="G166" i="5" s="1"/>
  <c r="C166" i="5"/>
  <c r="B166" i="5"/>
  <c r="F165" i="5"/>
  <c r="E165" i="5"/>
  <c r="D165" i="5"/>
  <c r="G165" i="5" s="1"/>
  <c r="C165" i="5"/>
  <c r="B165" i="5"/>
  <c r="F164" i="5"/>
  <c r="E164" i="5"/>
  <c r="D164" i="5"/>
  <c r="G164" i="5" s="1"/>
  <c r="C164" i="5"/>
  <c r="B164" i="5"/>
  <c r="G163" i="5"/>
  <c r="F163" i="5"/>
  <c r="S163" i="5" s="1"/>
  <c r="E163" i="5"/>
  <c r="D163" i="5"/>
  <c r="C163" i="5"/>
  <c r="B163" i="5"/>
  <c r="G162" i="5"/>
  <c r="F162" i="5"/>
  <c r="E162" i="5"/>
  <c r="D162" i="5"/>
  <c r="C162" i="5"/>
  <c r="B162" i="5"/>
  <c r="S161" i="5"/>
  <c r="P161" i="5"/>
  <c r="M161" i="5"/>
  <c r="F161" i="5"/>
  <c r="E161" i="5"/>
  <c r="D161" i="5"/>
  <c r="G161" i="5" s="1"/>
  <c r="C161" i="5"/>
  <c r="B161" i="5"/>
  <c r="P160" i="5"/>
  <c r="F160" i="5"/>
  <c r="E160" i="5"/>
  <c r="D160" i="5"/>
  <c r="G160" i="5" s="1"/>
  <c r="C160" i="5"/>
  <c r="B160" i="5"/>
  <c r="F159" i="5"/>
  <c r="E159" i="5"/>
  <c r="D159" i="5"/>
  <c r="G159" i="5" s="1"/>
  <c r="C159" i="5"/>
  <c r="B159" i="5"/>
  <c r="S158" i="5"/>
  <c r="P158" i="5"/>
  <c r="M158" i="5"/>
  <c r="F158" i="5"/>
  <c r="E158" i="5"/>
  <c r="D158" i="5"/>
  <c r="G158" i="5" s="1"/>
  <c r="C158" i="5"/>
  <c r="B158" i="5"/>
  <c r="G157" i="5"/>
  <c r="F157" i="5"/>
  <c r="E157" i="5"/>
  <c r="D157" i="5"/>
  <c r="C157" i="5"/>
  <c r="B157" i="5"/>
  <c r="M156" i="5"/>
  <c r="F156" i="5"/>
  <c r="E156" i="5"/>
  <c r="D156" i="5"/>
  <c r="G156" i="5" s="1"/>
  <c r="C156" i="5"/>
  <c r="B156" i="5"/>
  <c r="P155" i="5"/>
  <c r="F155" i="5"/>
  <c r="M155" i="5" s="1"/>
  <c r="E155" i="5"/>
  <c r="D155" i="5"/>
  <c r="G155" i="5" s="1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S152" i="5"/>
  <c r="P152" i="5"/>
  <c r="M152" i="5"/>
  <c r="G152" i="5"/>
  <c r="F152" i="5"/>
  <c r="E152" i="5"/>
  <c r="D152" i="5"/>
  <c r="C152" i="5"/>
  <c r="B152" i="5"/>
  <c r="S151" i="5"/>
  <c r="P151" i="5"/>
  <c r="F151" i="5"/>
  <c r="M151" i="5" s="1"/>
  <c r="E151" i="5"/>
  <c r="D151" i="5"/>
  <c r="G151" i="5" s="1"/>
  <c r="C151" i="5"/>
  <c r="B151" i="5"/>
  <c r="P150" i="5"/>
  <c r="M150" i="5"/>
  <c r="F150" i="5"/>
  <c r="S150" i="5" s="1"/>
  <c r="E150" i="5"/>
  <c r="D150" i="5"/>
  <c r="G150" i="5" s="1"/>
  <c r="C150" i="5"/>
  <c r="B150" i="5"/>
  <c r="G149" i="5"/>
  <c r="F149" i="5"/>
  <c r="E149" i="5"/>
  <c r="D149" i="5"/>
  <c r="C149" i="5"/>
  <c r="B149" i="5"/>
  <c r="S148" i="5"/>
  <c r="F148" i="5"/>
  <c r="E148" i="5"/>
  <c r="D148" i="5"/>
  <c r="G148" i="5" s="1"/>
  <c r="C148" i="5"/>
  <c r="B148" i="5"/>
  <c r="S147" i="5"/>
  <c r="G147" i="5"/>
  <c r="F147" i="5"/>
  <c r="M147" i="5" s="1"/>
  <c r="E147" i="5"/>
  <c r="D147" i="5"/>
  <c r="C147" i="5"/>
  <c r="B147" i="5"/>
  <c r="F146" i="5"/>
  <c r="E146" i="5"/>
  <c r="D146" i="5"/>
  <c r="G146" i="5" s="1"/>
  <c r="C146" i="5"/>
  <c r="B146" i="5"/>
  <c r="S145" i="5"/>
  <c r="J145" i="5"/>
  <c r="H145" i="5"/>
  <c r="F145" i="5"/>
  <c r="P145" i="5" s="1"/>
  <c r="Q145" i="5" s="1"/>
  <c r="R145" i="5" s="1"/>
  <c r="E145" i="5"/>
  <c r="D145" i="5"/>
  <c r="G145" i="5" s="1"/>
  <c r="C145" i="5"/>
  <c r="B145" i="5"/>
  <c r="P144" i="5"/>
  <c r="F144" i="5"/>
  <c r="E144" i="5"/>
  <c r="D144" i="5"/>
  <c r="G144" i="5" s="1"/>
  <c r="C144" i="5"/>
  <c r="B144" i="5"/>
  <c r="F143" i="5"/>
  <c r="E143" i="5"/>
  <c r="D143" i="5"/>
  <c r="G143" i="5" s="1"/>
  <c r="C143" i="5"/>
  <c r="B143" i="5"/>
  <c r="S142" i="5"/>
  <c r="P142" i="5"/>
  <c r="M142" i="5"/>
  <c r="F142" i="5"/>
  <c r="E142" i="5"/>
  <c r="D142" i="5"/>
  <c r="G142" i="5" s="1"/>
  <c r="C142" i="5"/>
  <c r="B142" i="5"/>
  <c r="J141" i="5"/>
  <c r="I141" i="5"/>
  <c r="H141" i="5"/>
  <c r="G141" i="5"/>
  <c r="F141" i="5"/>
  <c r="E141" i="5"/>
  <c r="D141" i="5"/>
  <c r="C141" i="5"/>
  <c r="B141" i="5"/>
  <c r="V140" i="5"/>
  <c r="W140" i="5" s="1"/>
  <c r="J140" i="5"/>
  <c r="K140" i="5" s="1"/>
  <c r="F140" i="5"/>
  <c r="E140" i="5"/>
  <c r="D140" i="5"/>
  <c r="G140" i="5" s="1"/>
  <c r="H140" i="5" s="1"/>
  <c r="I140" i="5" s="1"/>
  <c r="C140" i="5"/>
  <c r="B140" i="5"/>
  <c r="G139" i="5"/>
  <c r="F139" i="5"/>
  <c r="E139" i="5"/>
  <c r="D139" i="5"/>
  <c r="C139" i="5"/>
  <c r="B139" i="5"/>
  <c r="P138" i="5"/>
  <c r="M138" i="5"/>
  <c r="F138" i="5"/>
  <c r="S138" i="5" s="1"/>
  <c r="E138" i="5"/>
  <c r="D138" i="5"/>
  <c r="G138" i="5" s="1"/>
  <c r="C138" i="5"/>
  <c r="B138" i="5"/>
  <c r="T137" i="5"/>
  <c r="U137" i="5" s="1"/>
  <c r="S137" i="5"/>
  <c r="M137" i="5"/>
  <c r="N137" i="5" s="1"/>
  <c r="O137" i="5" s="1"/>
  <c r="J137" i="5"/>
  <c r="G137" i="5"/>
  <c r="H137" i="5" s="1"/>
  <c r="F137" i="5"/>
  <c r="P137" i="5" s="1"/>
  <c r="E137" i="5"/>
  <c r="D137" i="5"/>
  <c r="C137" i="5"/>
  <c r="B137" i="5"/>
  <c r="G136" i="5"/>
  <c r="F136" i="5"/>
  <c r="E136" i="5"/>
  <c r="D136" i="5"/>
  <c r="C136" i="5"/>
  <c r="B136" i="5"/>
  <c r="S135" i="5"/>
  <c r="F135" i="5"/>
  <c r="E135" i="5"/>
  <c r="D135" i="5"/>
  <c r="G135" i="5" s="1"/>
  <c r="C135" i="5"/>
  <c r="B135" i="5"/>
  <c r="J134" i="5"/>
  <c r="H134" i="5"/>
  <c r="F134" i="5"/>
  <c r="E134" i="5"/>
  <c r="D134" i="5"/>
  <c r="G134" i="5" s="1"/>
  <c r="C134" i="5"/>
  <c r="B134" i="5"/>
  <c r="G133" i="5"/>
  <c r="F133" i="5"/>
  <c r="E133" i="5"/>
  <c r="D133" i="5"/>
  <c r="C133" i="5"/>
  <c r="B133" i="5"/>
  <c r="G132" i="5"/>
  <c r="F132" i="5"/>
  <c r="S132" i="5" s="1"/>
  <c r="E132" i="5"/>
  <c r="D132" i="5"/>
  <c r="C132" i="5"/>
  <c r="B132" i="5"/>
  <c r="G131" i="5"/>
  <c r="F131" i="5"/>
  <c r="E131" i="5"/>
  <c r="D131" i="5"/>
  <c r="C131" i="5"/>
  <c r="B131" i="5"/>
  <c r="W130" i="5"/>
  <c r="V130" i="5"/>
  <c r="T130" i="5"/>
  <c r="U130" i="5" s="1"/>
  <c r="P130" i="5"/>
  <c r="M130" i="5"/>
  <c r="N130" i="5" s="1"/>
  <c r="I130" i="5"/>
  <c r="H130" i="5"/>
  <c r="F130" i="5"/>
  <c r="S130" i="5" s="1"/>
  <c r="E130" i="5"/>
  <c r="D130" i="5"/>
  <c r="G130" i="5" s="1"/>
  <c r="C130" i="5"/>
  <c r="B130" i="5"/>
  <c r="T129" i="5"/>
  <c r="U129" i="5" s="1"/>
  <c r="S129" i="5"/>
  <c r="R129" i="5"/>
  <c r="P129" i="5"/>
  <c r="Q129" i="5" s="1"/>
  <c r="M129" i="5"/>
  <c r="N129" i="5" s="1"/>
  <c r="O129" i="5" s="1"/>
  <c r="H129" i="5"/>
  <c r="V129" i="5" s="1"/>
  <c r="W129" i="5" s="1"/>
  <c r="F129" i="5"/>
  <c r="E129" i="5"/>
  <c r="D129" i="5"/>
  <c r="G129" i="5" s="1"/>
  <c r="C129" i="5"/>
  <c r="B129" i="5"/>
  <c r="S128" i="5"/>
  <c r="F128" i="5"/>
  <c r="M128" i="5" s="1"/>
  <c r="E128" i="5"/>
  <c r="D128" i="5"/>
  <c r="G128" i="5" s="1"/>
  <c r="C128" i="5"/>
  <c r="B128" i="5"/>
  <c r="S127" i="5"/>
  <c r="F127" i="5"/>
  <c r="E127" i="5"/>
  <c r="D127" i="5"/>
  <c r="G127" i="5" s="1"/>
  <c r="C127" i="5"/>
  <c r="B127" i="5"/>
  <c r="S126" i="5"/>
  <c r="P126" i="5"/>
  <c r="M126" i="5"/>
  <c r="F126" i="5"/>
  <c r="E126" i="5"/>
  <c r="D126" i="5"/>
  <c r="G126" i="5" s="1"/>
  <c r="C126" i="5"/>
  <c r="B126" i="5"/>
  <c r="H125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P122" i="5"/>
  <c r="M122" i="5"/>
  <c r="F122" i="5"/>
  <c r="S122" i="5" s="1"/>
  <c r="E122" i="5"/>
  <c r="D122" i="5"/>
  <c r="G122" i="5" s="1"/>
  <c r="C122" i="5"/>
  <c r="B122" i="5"/>
  <c r="F121" i="5"/>
  <c r="P121" i="5" s="1"/>
  <c r="E121" i="5"/>
  <c r="D121" i="5"/>
  <c r="G121" i="5" s="1"/>
  <c r="C121" i="5"/>
  <c r="B121" i="5"/>
  <c r="W120" i="5"/>
  <c r="V120" i="5"/>
  <c r="J120" i="5"/>
  <c r="I120" i="5"/>
  <c r="H120" i="5"/>
  <c r="G120" i="5"/>
  <c r="F120" i="5"/>
  <c r="E120" i="5"/>
  <c r="D120" i="5"/>
  <c r="C120" i="5"/>
  <c r="B120" i="5"/>
  <c r="V119" i="5"/>
  <c r="W119" i="5" s="1"/>
  <c r="H119" i="5"/>
  <c r="F119" i="5"/>
  <c r="E119" i="5"/>
  <c r="D119" i="5"/>
  <c r="G119" i="5" s="1"/>
  <c r="C119" i="5"/>
  <c r="B119" i="5"/>
  <c r="S118" i="5"/>
  <c r="P118" i="5"/>
  <c r="M118" i="5"/>
  <c r="F118" i="5"/>
  <c r="E118" i="5"/>
  <c r="D118" i="5"/>
  <c r="G118" i="5" s="1"/>
  <c r="C118" i="5"/>
  <c r="B118" i="5"/>
  <c r="S117" i="5"/>
  <c r="M117" i="5"/>
  <c r="F117" i="5"/>
  <c r="P117" i="5" s="1"/>
  <c r="E117" i="5"/>
  <c r="D117" i="5"/>
  <c r="G117" i="5" s="1"/>
  <c r="C117" i="5"/>
  <c r="B117" i="5"/>
  <c r="F116" i="5"/>
  <c r="E116" i="5"/>
  <c r="D116" i="5"/>
  <c r="G116" i="5" s="1"/>
  <c r="C116" i="5"/>
  <c r="B116" i="5"/>
  <c r="F115" i="5"/>
  <c r="E115" i="5"/>
  <c r="D115" i="5"/>
  <c r="G115" i="5" s="1"/>
  <c r="C115" i="5"/>
  <c r="B115" i="5"/>
  <c r="T114" i="5"/>
  <c r="U114" i="5" s="1"/>
  <c r="Q114" i="5"/>
  <c r="R114" i="5" s="1"/>
  <c r="P114" i="5"/>
  <c r="M114" i="5"/>
  <c r="H114" i="5"/>
  <c r="F114" i="5"/>
  <c r="S114" i="5" s="1"/>
  <c r="E114" i="5"/>
  <c r="D114" i="5"/>
  <c r="G114" i="5" s="1"/>
  <c r="C114" i="5"/>
  <c r="B114" i="5"/>
  <c r="S113" i="5"/>
  <c r="F113" i="5"/>
  <c r="E113" i="5"/>
  <c r="D113" i="5"/>
  <c r="G113" i="5" s="1"/>
  <c r="C113" i="5"/>
  <c r="B113" i="5"/>
  <c r="S112" i="5"/>
  <c r="F112" i="5"/>
  <c r="E112" i="5"/>
  <c r="D112" i="5"/>
  <c r="G112" i="5" s="1"/>
  <c r="C112" i="5"/>
  <c r="B112" i="5"/>
  <c r="P111" i="5"/>
  <c r="M111" i="5"/>
  <c r="F111" i="5"/>
  <c r="S111" i="5" s="1"/>
  <c r="E111" i="5"/>
  <c r="D111" i="5"/>
  <c r="G111" i="5" s="1"/>
  <c r="C111" i="5"/>
  <c r="B111" i="5"/>
  <c r="S110" i="5"/>
  <c r="P110" i="5"/>
  <c r="M110" i="5"/>
  <c r="F110" i="5"/>
  <c r="E110" i="5"/>
  <c r="D110" i="5"/>
  <c r="G110" i="5" s="1"/>
  <c r="C110" i="5"/>
  <c r="B110" i="5"/>
  <c r="S109" i="5"/>
  <c r="F109" i="5"/>
  <c r="E109" i="5"/>
  <c r="D109" i="5"/>
  <c r="G109" i="5" s="1"/>
  <c r="C109" i="5"/>
  <c r="B109" i="5"/>
  <c r="S108" i="5"/>
  <c r="G108" i="5"/>
  <c r="F108" i="5"/>
  <c r="E108" i="5"/>
  <c r="D108" i="5"/>
  <c r="C108" i="5"/>
  <c r="B108" i="5"/>
  <c r="S107" i="5"/>
  <c r="P107" i="5"/>
  <c r="M107" i="5"/>
  <c r="G107" i="5"/>
  <c r="F107" i="5"/>
  <c r="E107" i="5"/>
  <c r="D107" i="5"/>
  <c r="C107" i="5"/>
  <c r="B107" i="5"/>
  <c r="M106" i="5"/>
  <c r="F106" i="5"/>
  <c r="S106" i="5" s="1"/>
  <c r="E106" i="5"/>
  <c r="D106" i="5"/>
  <c r="G106" i="5" s="1"/>
  <c r="C106" i="5"/>
  <c r="B106" i="5"/>
  <c r="V105" i="5"/>
  <c r="W105" i="5" s="1"/>
  <c r="J105" i="5"/>
  <c r="H105" i="5"/>
  <c r="F105" i="5"/>
  <c r="E105" i="5"/>
  <c r="D105" i="5"/>
  <c r="G105" i="5" s="1"/>
  <c r="C105" i="5"/>
  <c r="B105" i="5"/>
  <c r="G104" i="5"/>
  <c r="F104" i="5"/>
  <c r="E104" i="5"/>
  <c r="D104" i="5"/>
  <c r="C104" i="5"/>
  <c r="B104" i="5"/>
  <c r="P103" i="5"/>
  <c r="F103" i="5"/>
  <c r="S103" i="5" s="1"/>
  <c r="E103" i="5"/>
  <c r="D103" i="5"/>
  <c r="G103" i="5" s="1"/>
  <c r="C103" i="5"/>
  <c r="B103" i="5"/>
  <c r="F102" i="5"/>
  <c r="E102" i="5"/>
  <c r="D102" i="5"/>
  <c r="G102" i="5" s="1"/>
  <c r="C102" i="5"/>
  <c r="B102" i="5"/>
  <c r="H101" i="5"/>
  <c r="G101" i="5"/>
  <c r="F101" i="5"/>
  <c r="E101" i="5"/>
  <c r="D101" i="5"/>
  <c r="C101" i="5"/>
  <c r="B101" i="5"/>
  <c r="V100" i="5"/>
  <c r="W100" i="5" s="1"/>
  <c r="S100" i="5"/>
  <c r="T100" i="5" s="1"/>
  <c r="U100" i="5" s="1"/>
  <c r="Q100" i="5"/>
  <c r="R100" i="5" s="1"/>
  <c r="P100" i="5"/>
  <c r="M100" i="5"/>
  <c r="N100" i="5" s="1"/>
  <c r="O100" i="5" s="1"/>
  <c r="J100" i="5"/>
  <c r="K100" i="5" s="1"/>
  <c r="F100" i="5"/>
  <c r="E100" i="5"/>
  <c r="D100" i="5"/>
  <c r="G100" i="5" s="1"/>
  <c r="H100" i="5" s="1"/>
  <c r="I100" i="5" s="1"/>
  <c r="C100" i="5"/>
  <c r="B100" i="5"/>
  <c r="S99" i="5"/>
  <c r="T99" i="5" s="1"/>
  <c r="U99" i="5" s="1"/>
  <c r="P99" i="5"/>
  <c r="Q99" i="5" s="1"/>
  <c r="H99" i="5"/>
  <c r="V99" i="5" s="1"/>
  <c r="W99" i="5" s="1"/>
  <c r="G99" i="5"/>
  <c r="F99" i="5"/>
  <c r="M99" i="5" s="1"/>
  <c r="E99" i="5"/>
  <c r="D99" i="5"/>
  <c r="C99" i="5"/>
  <c r="B99" i="5"/>
  <c r="P98" i="5"/>
  <c r="M98" i="5"/>
  <c r="F98" i="5"/>
  <c r="S98" i="5" s="1"/>
  <c r="E98" i="5"/>
  <c r="D98" i="5"/>
  <c r="G98" i="5" s="1"/>
  <c r="C98" i="5"/>
  <c r="B98" i="5"/>
  <c r="S97" i="5"/>
  <c r="P97" i="5"/>
  <c r="M97" i="5"/>
  <c r="F97" i="5"/>
  <c r="E97" i="5"/>
  <c r="D97" i="5"/>
  <c r="G97" i="5" s="1"/>
  <c r="C97" i="5"/>
  <c r="B97" i="5"/>
  <c r="S96" i="5"/>
  <c r="G96" i="5"/>
  <c r="F96" i="5"/>
  <c r="E96" i="5"/>
  <c r="D96" i="5"/>
  <c r="C96" i="5"/>
  <c r="B96" i="5"/>
  <c r="V95" i="5"/>
  <c r="W95" i="5" s="1"/>
  <c r="T95" i="5"/>
  <c r="P95" i="5"/>
  <c r="M95" i="5"/>
  <c r="N95" i="5" s="1"/>
  <c r="I95" i="5"/>
  <c r="H95" i="5"/>
  <c r="G95" i="5"/>
  <c r="F95" i="5"/>
  <c r="S95" i="5" s="1"/>
  <c r="E95" i="5"/>
  <c r="D95" i="5"/>
  <c r="C95" i="5"/>
  <c r="B95" i="5"/>
  <c r="S94" i="5"/>
  <c r="P94" i="5"/>
  <c r="M94" i="5"/>
  <c r="H94" i="5"/>
  <c r="F94" i="5"/>
  <c r="E94" i="5"/>
  <c r="D94" i="5"/>
  <c r="G94" i="5" s="1"/>
  <c r="C94" i="5"/>
  <c r="B94" i="5"/>
  <c r="G93" i="5"/>
  <c r="F93" i="5"/>
  <c r="E93" i="5"/>
  <c r="D93" i="5"/>
  <c r="C93" i="5"/>
  <c r="B93" i="5"/>
  <c r="G92" i="5"/>
  <c r="F92" i="5"/>
  <c r="S92" i="5" s="1"/>
  <c r="E92" i="5"/>
  <c r="D92" i="5"/>
  <c r="C92" i="5"/>
  <c r="B92" i="5"/>
  <c r="S91" i="5"/>
  <c r="P91" i="5"/>
  <c r="M91" i="5"/>
  <c r="G91" i="5"/>
  <c r="F91" i="5"/>
  <c r="E91" i="5"/>
  <c r="D91" i="5"/>
  <c r="C91" i="5"/>
  <c r="B91" i="5"/>
  <c r="V90" i="5"/>
  <c r="W90" i="5" s="1"/>
  <c r="U90" i="5"/>
  <c r="S90" i="5"/>
  <c r="T90" i="5" s="1"/>
  <c r="Q90" i="5"/>
  <c r="R90" i="5" s="1"/>
  <c r="P90" i="5"/>
  <c r="M90" i="5"/>
  <c r="F90" i="5"/>
  <c r="E90" i="5"/>
  <c r="D90" i="5"/>
  <c r="G90" i="5" s="1"/>
  <c r="H90" i="5" s="1"/>
  <c r="C90" i="5"/>
  <c r="B90" i="5"/>
  <c r="S89" i="5"/>
  <c r="M89" i="5"/>
  <c r="F89" i="5"/>
  <c r="P89" i="5" s="1"/>
  <c r="E89" i="5"/>
  <c r="D89" i="5"/>
  <c r="G89" i="5" s="1"/>
  <c r="C89" i="5"/>
  <c r="B89" i="5"/>
  <c r="S88" i="5"/>
  <c r="P88" i="5"/>
  <c r="G88" i="5"/>
  <c r="F88" i="5"/>
  <c r="M88" i="5" s="1"/>
  <c r="E88" i="5"/>
  <c r="D88" i="5"/>
  <c r="C88" i="5"/>
  <c r="B88" i="5"/>
  <c r="S87" i="5"/>
  <c r="P87" i="5"/>
  <c r="M87" i="5"/>
  <c r="G87" i="5"/>
  <c r="F87" i="5"/>
  <c r="E87" i="5"/>
  <c r="D87" i="5"/>
  <c r="C87" i="5"/>
  <c r="B87" i="5"/>
  <c r="G86" i="5"/>
  <c r="F86" i="5"/>
  <c r="E86" i="5"/>
  <c r="D86" i="5"/>
  <c r="C86" i="5"/>
  <c r="B86" i="5"/>
  <c r="M85" i="5"/>
  <c r="N85" i="5" s="1"/>
  <c r="H85" i="5"/>
  <c r="G85" i="5"/>
  <c r="F85" i="5"/>
  <c r="E85" i="5"/>
  <c r="D85" i="5"/>
  <c r="C85" i="5"/>
  <c r="B85" i="5"/>
  <c r="V84" i="5"/>
  <c r="W84" i="5" s="1"/>
  <c r="S84" i="5"/>
  <c r="T84" i="5" s="1"/>
  <c r="U84" i="5" s="1"/>
  <c r="Q84" i="5"/>
  <c r="R84" i="5" s="1"/>
  <c r="M84" i="5"/>
  <c r="N84" i="5" s="1"/>
  <c r="O84" i="5" s="1"/>
  <c r="J84" i="5"/>
  <c r="K84" i="5" s="1"/>
  <c r="F84" i="5"/>
  <c r="P84" i="5" s="1"/>
  <c r="E84" i="5"/>
  <c r="D84" i="5"/>
  <c r="G84" i="5" s="1"/>
  <c r="H84" i="5" s="1"/>
  <c r="I84" i="5" s="1"/>
  <c r="C84" i="5"/>
  <c r="B84" i="5"/>
  <c r="S83" i="5"/>
  <c r="P83" i="5"/>
  <c r="Q83" i="5" s="1"/>
  <c r="H83" i="5"/>
  <c r="G83" i="5"/>
  <c r="F83" i="5"/>
  <c r="M83" i="5" s="1"/>
  <c r="E83" i="5"/>
  <c r="D83" i="5"/>
  <c r="C83" i="5"/>
  <c r="B83" i="5"/>
  <c r="P82" i="5"/>
  <c r="M82" i="5"/>
  <c r="F82" i="5"/>
  <c r="S82" i="5" s="1"/>
  <c r="E82" i="5"/>
  <c r="D82" i="5"/>
  <c r="G82" i="5" s="1"/>
  <c r="C82" i="5"/>
  <c r="B82" i="5"/>
  <c r="S81" i="5"/>
  <c r="P81" i="5"/>
  <c r="M81" i="5"/>
  <c r="F81" i="5"/>
  <c r="E81" i="5"/>
  <c r="D81" i="5"/>
  <c r="G81" i="5" s="1"/>
  <c r="C81" i="5"/>
  <c r="B81" i="5"/>
  <c r="G80" i="5"/>
  <c r="F80" i="5"/>
  <c r="E80" i="5"/>
  <c r="D80" i="5"/>
  <c r="C80" i="5"/>
  <c r="B80" i="5"/>
  <c r="P79" i="5"/>
  <c r="M79" i="5"/>
  <c r="F79" i="5"/>
  <c r="S79" i="5" s="1"/>
  <c r="E79" i="5"/>
  <c r="D79" i="5"/>
  <c r="G79" i="5" s="1"/>
  <c r="C79" i="5"/>
  <c r="B79" i="5"/>
  <c r="S78" i="5"/>
  <c r="P78" i="5"/>
  <c r="M78" i="5"/>
  <c r="H78" i="5"/>
  <c r="F78" i="5"/>
  <c r="E78" i="5"/>
  <c r="D78" i="5"/>
  <c r="G78" i="5" s="1"/>
  <c r="C78" i="5"/>
  <c r="B78" i="5"/>
  <c r="P77" i="5"/>
  <c r="F77" i="5"/>
  <c r="E77" i="5"/>
  <c r="D77" i="5"/>
  <c r="G77" i="5" s="1"/>
  <c r="C77" i="5"/>
  <c r="B77" i="5"/>
  <c r="S76" i="5"/>
  <c r="T76" i="5" s="1"/>
  <c r="J76" i="5"/>
  <c r="I76" i="5"/>
  <c r="H76" i="5"/>
  <c r="V76" i="5" s="1"/>
  <c r="W76" i="5" s="1"/>
  <c r="G76" i="5"/>
  <c r="F76" i="5"/>
  <c r="E76" i="5"/>
  <c r="D76" i="5"/>
  <c r="C76" i="5"/>
  <c r="B76" i="5"/>
  <c r="S75" i="5"/>
  <c r="P75" i="5"/>
  <c r="Q75" i="5" s="1"/>
  <c r="R75" i="5" s="1"/>
  <c r="M75" i="5"/>
  <c r="N75" i="5" s="1"/>
  <c r="J75" i="5"/>
  <c r="I75" i="5"/>
  <c r="H75" i="5"/>
  <c r="V75" i="5" s="1"/>
  <c r="W75" i="5" s="1"/>
  <c r="G75" i="5"/>
  <c r="F75" i="5"/>
  <c r="E75" i="5"/>
  <c r="D75" i="5"/>
  <c r="C75" i="5"/>
  <c r="B75" i="5"/>
  <c r="V74" i="5"/>
  <c r="W74" i="5" s="1"/>
  <c r="S74" i="5"/>
  <c r="T74" i="5" s="1"/>
  <c r="U74" i="5" s="1"/>
  <c r="Q74" i="5"/>
  <c r="R74" i="5" s="1"/>
  <c r="P74" i="5"/>
  <c r="N74" i="5"/>
  <c r="O74" i="5" s="1"/>
  <c r="M74" i="5"/>
  <c r="F74" i="5"/>
  <c r="E74" i="5"/>
  <c r="D74" i="5"/>
  <c r="G74" i="5" s="1"/>
  <c r="H74" i="5" s="1"/>
  <c r="C74" i="5"/>
  <c r="B74" i="5"/>
  <c r="F73" i="5"/>
  <c r="E73" i="5"/>
  <c r="D73" i="5"/>
  <c r="G73" i="5" s="1"/>
  <c r="C73" i="5"/>
  <c r="B73" i="5"/>
  <c r="H72" i="5"/>
  <c r="G72" i="5"/>
  <c r="F72" i="5"/>
  <c r="E72" i="5"/>
  <c r="D72" i="5"/>
  <c r="C72" i="5"/>
  <c r="B72" i="5"/>
  <c r="S71" i="5"/>
  <c r="P71" i="5"/>
  <c r="M71" i="5"/>
  <c r="G71" i="5"/>
  <c r="F71" i="5"/>
  <c r="E71" i="5"/>
  <c r="D71" i="5"/>
  <c r="C71" i="5"/>
  <c r="B71" i="5"/>
  <c r="F70" i="5"/>
  <c r="E70" i="5"/>
  <c r="D70" i="5"/>
  <c r="G70" i="5" s="1"/>
  <c r="C70" i="5"/>
  <c r="B70" i="5"/>
  <c r="M69" i="5"/>
  <c r="G69" i="5"/>
  <c r="F69" i="5"/>
  <c r="E69" i="5"/>
  <c r="D69" i="5"/>
  <c r="C69" i="5"/>
  <c r="B69" i="5"/>
  <c r="V68" i="5"/>
  <c r="W68" i="5" s="1"/>
  <c r="S68" i="5"/>
  <c r="T68" i="5" s="1"/>
  <c r="U68" i="5" s="1"/>
  <c r="Q68" i="5"/>
  <c r="R68" i="5" s="1"/>
  <c r="O68" i="5"/>
  <c r="N68" i="5"/>
  <c r="M68" i="5"/>
  <c r="K68" i="5"/>
  <c r="J68" i="5"/>
  <c r="F68" i="5"/>
  <c r="P68" i="5" s="1"/>
  <c r="E68" i="5"/>
  <c r="D68" i="5"/>
  <c r="G68" i="5" s="1"/>
  <c r="H68" i="5" s="1"/>
  <c r="I68" i="5" s="1"/>
  <c r="C68" i="5"/>
  <c r="B68" i="5"/>
  <c r="S67" i="5"/>
  <c r="P67" i="5"/>
  <c r="H67" i="5"/>
  <c r="G67" i="5"/>
  <c r="F67" i="5"/>
  <c r="M67" i="5" s="1"/>
  <c r="E67" i="5"/>
  <c r="D67" i="5"/>
  <c r="C67" i="5"/>
  <c r="B67" i="5"/>
  <c r="P66" i="5"/>
  <c r="M66" i="5"/>
  <c r="F66" i="5"/>
  <c r="S66" i="5" s="1"/>
  <c r="E66" i="5"/>
  <c r="D66" i="5"/>
  <c r="G66" i="5" s="1"/>
  <c r="C66" i="5"/>
  <c r="B66" i="5"/>
  <c r="S65" i="5"/>
  <c r="P65" i="5"/>
  <c r="F65" i="5"/>
  <c r="M65" i="5" s="1"/>
  <c r="E65" i="5"/>
  <c r="D65" i="5"/>
  <c r="G65" i="5" s="1"/>
  <c r="C65" i="5"/>
  <c r="B65" i="5"/>
  <c r="S64" i="5"/>
  <c r="G64" i="5"/>
  <c r="F64" i="5"/>
  <c r="E64" i="5"/>
  <c r="D64" i="5"/>
  <c r="C64" i="5"/>
  <c r="B64" i="5"/>
  <c r="F63" i="5"/>
  <c r="E63" i="5"/>
  <c r="D63" i="5"/>
  <c r="G63" i="5" s="1"/>
  <c r="C63" i="5"/>
  <c r="B63" i="5"/>
  <c r="S62" i="5"/>
  <c r="P62" i="5"/>
  <c r="M62" i="5"/>
  <c r="F62" i="5"/>
  <c r="E62" i="5"/>
  <c r="D62" i="5"/>
  <c r="G62" i="5" s="1"/>
  <c r="C62" i="5"/>
  <c r="B62" i="5"/>
  <c r="S61" i="5"/>
  <c r="P61" i="5"/>
  <c r="G61" i="5"/>
  <c r="F61" i="5"/>
  <c r="M61" i="5" s="1"/>
  <c r="E61" i="5"/>
  <c r="D61" i="5"/>
  <c r="C61" i="5"/>
  <c r="B61" i="5"/>
  <c r="S60" i="5"/>
  <c r="P60" i="5"/>
  <c r="M60" i="5"/>
  <c r="G60" i="5"/>
  <c r="F60" i="5"/>
  <c r="E60" i="5"/>
  <c r="D60" i="5"/>
  <c r="C60" i="5"/>
  <c r="B60" i="5"/>
  <c r="S59" i="5"/>
  <c r="P59" i="5"/>
  <c r="M59" i="5"/>
  <c r="H59" i="5"/>
  <c r="G59" i="5"/>
  <c r="F59" i="5"/>
  <c r="E59" i="5"/>
  <c r="D59" i="5"/>
  <c r="C59" i="5"/>
  <c r="B59" i="5"/>
  <c r="F58" i="5"/>
  <c r="E58" i="5"/>
  <c r="D58" i="5"/>
  <c r="G58" i="5" s="1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F55" i="5"/>
  <c r="E55" i="5"/>
  <c r="D55" i="5"/>
  <c r="G55" i="5" s="1"/>
  <c r="H55" i="5" s="1"/>
  <c r="C55" i="5"/>
  <c r="B55" i="5"/>
  <c r="F54" i="5"/>
  <c r="E54" i="5"/>
  <c r="D54" i="5"/>
  <c r="G54" i="5" s="1"/>
  <c r="C54" i="5"/>
  <c r="B54" i="5"/>
  <c r="S53" i="5"/>
  <c r="P53" i="5"/>
  <c r="Q53" i="5" s="1"/>
  <c r="M53" i="5"/>
  <c r="J53" i="5"/>
  <c r="H53" i="5"/>
  <c r="G53" i="5"/>
  <c r="F53" i="5"/>
  <c r="E53" i="5"/>
  <c r="D53" i="5"/>
  <c r="C53" i="5"/>
  <c r="B53" i="5"/>
  <c r="M52" i="5"/>
  <c r="F52" i="5"/>
  <c r="S52" i="5" s="1"/>
  <c r="E52" i="5"/>
  <c r="D52" i="5"/>
  <c r="G52" i="5" s="1"/>
  <c r="C52" i="5"/>
  <c r="B52" i="5"/>
  <c r="H51" i="5"/>
  <c r="G51" i="5"/>
  <c r="F51" i="5"/>
  <c r="E51" i="5"/>
  <c r="D51" i="5"/>
  <c r="C51" i="5"/>
  <c r="B51" i="5"/>
  <c r="P50" i="5"/>
  <c r="M50" i="5"/>
  <c r="F50" i="5"/>
  <c r="S50" i="5" s="1"/>
  <c r="E50" i="5"/>
  <c r="D50" i="5"/>
  <c r="G50" i="5" s="1"/>
  <c r="C50" i="5"/>
  <c r="B50" i="5"/>
  <c r="F49" i="5"/>
  <c r="E49" i="5"/>
  <c r="D49" i="5"/>
  <c r="G49" i="5" s="1"/>
  <c r="C49" i="5"/>
  <c r="B49" i="5"/>
  <c r="H48" i="5"/>
  <c r="F48" i="5"/>
  <c r="E48" i="5"/>
  <c r="D48" i="5"/>
  <c r="G48" i="5" s="1"/>
  <c r="C48" i="5"/>
  <c r="B48" i="5"/>
  <c r="F47" i="5"/>
  <c r="E47" i="5"/>
  <c r="D47" i="5"/>
  <c r="G47" i="5" s="1"/>
  <c r="C47" i="5"/>
  <c r="B47" i="5"/>
  <c r="S46" i="5"/>
  <c r="P46" i="5"/>
  <c r="M46" i="5"/>
  <c r="F46" i="5"/>
  <c r="E46" i="5"/>
  <c r="D46" i="5"/>
  <c r="G46" i="5" s="1"/>
  <c r="C46" i="5"/>
  <c r="B46" i="5"/>
  <c r="S45" i="5"/>
  <c r="P45" i="5"/>
  <c r="F45" i="5"/>
  <c r="M45" i="5" s="1"/>
  <c r="E45" i="5"/>
  <c r="D45" i="5"/>
  <c r="G45" i="5" s="1"/>
  <c r="C45" i="5"/>
  <c r="B45" i="5"/>
  <c r="S44" i="5"/>
  <c r="P44" i="5"/>
  <c r="M44" i="5"/>
  <c r="F44" i="5"/>
  <c r="E44" i="5"/>
  <c r="D44" i="5"/>
  <c r="G44" i="5" s="1"/>
  <c r="C44" i="5"/>
  <c r="B44" i="5"/>
  <c r="S43" i="5"/>
  <c r="T43" i="5" s="1"/>
  <c r="P43" i="5"/>
  <c r="Q43" i="5" s="1"/>
  <c r="M43" i="5"/>
  <c r="H43" i="5"/>
  <c r="G43" i="5"/>
  <c r="F43" i="5"/>
  <c r="E43" i="5"/>
  <c r="D43" i="5"/>
  <c r="C43" i="5"/>
  <c r="B43" i="5"/>
  <c r="S42" i="5"/>
  <c r="M42" i="5"/>
  <c r="F42" i="5"/>
  <c r="P42" i="5" s="1"/>
  <c r="E42" i="5"/>
  <c r="D42" i="5"/>
  <c r="G42" i="5" s="1"/>
  <c r="C42" i="5"/>
  <c r="B42" i="5"/>
  <c r="F41" i="5"/>
  <c r="E41" i="5"/>
  <c r="D41" i="5"/>
  <c r="G41" i="5" s="1"/>
  <c r="C41" i="5"/>
  <c r="B41" i="5"/>
  <c r="R40" i="5"/>
  <c r="P40" i="5"/>
  <c r="Q40" i="5" s="1"/>
  <c r="H40" i="5"/>
  <c r="G40" i="5"/>
  <c r="F40" i="5"/>
  <c r="E40" i="5"/>
  <c r="D40" i="5"/>
  <c r="C40" i="5"/>
  <c r="B40" i="5"/>
  <c r="M39" i="5"/>
  <c r="F39" i="5"/>
  <c r="S39" i="5" s="1"/>
  <c r="E39" i="5"/>
  <c r="D39" i="5"/>
  <c r="G39" i="5" s="1"/>
  <c r="C39" i="5"/>
  <c r="B39" i="5"/>
  <c r="M38" i="5"/>
  <c r="G38" i="5"/>
  <c r="F38" i="5"/>
  <c r="P38" i="5" s="1"/>
  <c r="E38" i="5"/>
  <c r="D38" i="5"/>
  <c r="C38" i="5"/>
  <c r="B38" i="5"/>
  <c r="S37" i="5"/>
  <c r="P37" i="5"/>
  <c r="G37" i="5"/>
  <c r="F37" i="5"/>
  <c r="M37" i="5" s="1"/>
  <c r="E37" i="5"/>
  <c r="D37" i="5"/>
  <c r="C37" i="5"/>
  <c r="B37" i="5"/>
  <c r="F36" i="5"/>
  <c r="E36" i="5"/>
  <c r="D36" i="5"/>
  <c r="G36" i="5" s="1"/>
  <c r="C36" i="5"/>
  <c r="B36" i="5"/>
  <c r="G35" i="5"/>
  <c r="F35" i="5"/>
  <c r="E35" i="5"/>
  <c r="D35" i="5"/>
  <c r="C35" i="5"/>
  <c r="B35" i="5"/>
  <c r="P34" i="5"/>
  <c r="M34" i="5"/>
  <c r="F34" i="5"/>
  <c r="S34" i="5" s="1"/>
  <c r="E34" i="5"/>
  <c r="D34" i="5"/>
  <c r="G34" i="5" s="1"/>
  <c r="C34" i="5"/>
  <c r="B34" i="5"/>
  <c r="F33" i="5"/>
  <c r="E33" i="5"/>
  <c r="D33" i="5"/>
  <c r="G33" i="5" s="1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S30" i="5"/>
  <c r="T30" i="5" s="1"/>
  <c r="Q30" i="5"/>
  <c r="R30" i="5" s="1"/>
  <c r="P30" i="5"/>
  <c r="N30" i="5"/>
  <c r="O30" i="5" s="1"/>
  <c r="M30" i="5"/>
  <c r="H30" i="5"/>
  <c r="V30" i="5" s="1"/>
  <c r="W30" i="5" s="1"/>
  <c r="F30" i="5"/>
  <c r="E30" i="5"/>
  <c r="D30" i="5"/>
  <c r="G30" i="5" s="1"/>
  <c r="C30" i="5"/>
  <c r="B30" i="5"/>
  <c r="S29" i="5"/>
  <c r="T29" i="5" s="1"/>
  <c r="U29" i="5" s="1"/>
  <c r="P29" i="5"/>
  <c r="Q29" i="5" s="1"/>
  <c r="R29" i="5" s="1"/>
  <c r="F29" i="5"/>
  <c r="M29" i="5" s="1"/>
  <c r="E29" i="5"/>
  <c r="D29" i="5"/>
  <c r="G29" i="5" s="1"/>
  <c r="H29" i="5" s="1"/>
  <c r="C29" i="5"/>
  <c r="B29" i="5"/>
  <c r="S28" i="5"/>
  <c r="P28" i="5"/>
  <c r="F28" i="5"/>
  <c r="M28" i="5" s="1"/>
  <c r="E28" i="5"/>
  <c r="D28" i="5"/>
  <c r="G28" i="5" s="1"/>
  <c r="C28" i="5"/>
  <c r="B28" i="5"/>
  <c r="S27" i="5"/>
  <c r="P27" i="5"/>
  <c r="M27" i="5"/>
  <c r="G27" i="5"/>
  <c r="F27" i="5"/>
  <c r="E27" i="5"/>
  <c r="D27" i="5"/>
  <c r="C27" i="5"/>
  <c r="B27" i="5"/>
  <c r="F26" i="5"/>
  <c r="E26" i="5"/>
  <c r="D26" i="5"/>
  <c r="G26" i="5" s="1"/>
  <c r="C26" i="5"/>
  <c r="B26" i="5"/>
  <c r="S25" i="5"/>
  <c r="M25" i="5"/>
  <c r="F25" i="5"/>
  <c r="P25" i="5" s="1"/>
  <c r="E25" i="5"/>
  <c r="D25" i="5"/>
  <c r="G25" i="5" s="1"/>
  <c r="C25" i="5"/>
  <c r="B25" i="5"/>
  <c r="G24" i="5"/>
  <c r="F24" i="5"/>
  <c r="E24" i="5"/>
  <c r="D24" i="5"/>
  <c r="C24" i="5"/>
  <c r="B24" i="5"/>
  <c r="F23" i="5"/>
  <c r="E23" i="5"/>
  <c r="D23" i="5"/>
  <c r="G23" i="5" s="1"/>
  <c r="C23" i="5"/>
  <c r="B23" i="5"/>
  <c r="F22" i="5"/>
  <c r="E22" i="5"/>
  <c r="D22" i="5"/>
  <c r="G22" i="5" s="1"/>
  <c r="C22" i="5"/>
  <c r="B22" i="5"/>
  <c r="H21" i="5"/>
  <c r="G21" i="5"/>
  <c r="F21" i="5"/>
  <c r="E21" i="5"/>
  <c r="D21" i="5"/>
  <c r="C21" i="5"/>
  <c r="B21" i="5"/>
  <c r="M20" i="5"/>
  <c r="G20" i="5"/>
  <c r="F20" i="5"/>
  <c r="S20" i="5" s="1"/>
  <c r="E20" i="5"/>
  <c r="D20" i="5"/>
  <c r="C20" i="5"/>
  <c r="B20" i="5"/>
  <c r="S19" i="5"/>
  <c r="G19" i="5"/>
  <c r="F19" i="5"/>
  <c r="P19" i="5" s="1"/>
  <c r="E19" i="5"/>
  <c r="D19" i="5"/>
  <c r="C19" i="5"/>
  <c r="B19" i="5"/>
  <c r="V18" i="5"/>
  <c r="W18" i="5" s="1"/>
  <c r="P18" i="5"/>
  <c r="Q18" i="5" s="1"/>
  <c r="R18" i="5" s="1"/>
  <c r="M18" i="5"/>
  <c r="N18" i="5" s="1"/>
  <c r="O18" i="5" s="1"/>
  <c r="F18" i="5"/>
  <c r="S18" i="5" s="1"/>
  <c r="E18" i="5"/>
  <c r="D18" i="5"/>
  <c r="G18" i="5" s="1"/>
  <c r="H18" i="5" s="1"/>
  <c r="C18" i="5"/>
  <c r="B18" i="5"/>
  <c r="V17" i="5"/>
  <c r="W17" i="5" s="1"/>
  <c r="S17" i="5"/>
  <c r="T17" i="5" s="1"/>
  <c r="Q17" i="5"/>
  <c r="R17" i="5" s="1"/>
  <c r="P17" i="5"/>
  <c r="N17" i="5"/>
  <c r="O17" i="5" s="1"/>
  <c r="F17" i="5"/>
  <c r="M17" i="5" s="1"/>
  <c r="E17" i="5"/>
  <c r="D17" i="5"/>
  <c r="G17" i="5" s="1"/>
  <c r="H17" i="5" s="1"/>
  <c r="C17" i="5"/>
  <c r="B17" i="5"/>
  <c r="S16" i="5"/>
  <c r="F16" i="5"/>
  <c r="E16" i="5"/>
  <c r="D16" i="5"/>
  <c r="G16" i="5" s="1"/>
  <c r="C16" i="5"/>
  <c r="B16" i="5"/>
  <c r="M15" i="5"/>
  <c r="F15" i="5"/>
  <c r="E15" i="5"/>
  <c r="D15" i="5"/>
  <c r="G15" i="5" s="1"/>
  <c r="C15" i="5"/>
  <c r="B15" i="5"/>
  <c r="S14" i="5"/>
  <c r="P14" i="5"/>
  <c r="M14" i="5"/>
  <c r="F14" i="5"/>
  <c r="E14" i="5"/>
  <c r="D14" i="5"/>
  <c r="G14" i="5" s="1"/>
  <c r="C14" i="5"/>
  <c r="B14" i="5"/>
  <c r="S13" i="5"/>
  <c r="M13" i="5"/>
  <c r="F13" i="5"/>
  <c r="P13" i="5" s="1"/>
  <c r="E13" i="5"/>
  <c r="D13" i="5"/>
  <c r="G13" i="5" s="1"/>
  <c r="C13" i="5"/>
  <c r="B13" i="5"/>
  <c r="P12" i="5"/>
  <c r="F12" i="5"/>
  <c r="E12" i="5"/>
  <c r="D12" i="5"/>
  <c r="G12" i="5" s="1"/>
  <c r="C12" i="5"/>
  <c r="B12" i="5"/>
  <c r="P11" i="5"/>
  <c r="G11" i="5"/>
  <c r="F11" i="5"/>
  <c r="E11" i="5"/>
  <c r="D11" i="5"/>
  <c r="C11" i="5"/>
  <c r="B11" i="5"/>
  <c r="T10" i="5"/>
  <c r="U10" i="5" s="1"/>
  <c r="S10" i="5"/>
  <c r="R10" i="5"/>
  <c r="P10" i="5"/>
  <c r="Q10" i="5" s="1"/>
  <c r="M10" i="5"/>
  <c r="N10" i="5" s="1"/>
  <c r="O10" i="5" s="1"/>
  <c r="J10" i="5"/>
  <c r="I10" i="5"/>
  <c r="K10" i="5" s="1"/>
  <c r="F10" i="5"/>
  <c r="E10" i="5"/>
  <c r="D10" i="5"/>
  <c r="G10" i="5" s="1"/>
  <c r="H10" i="5" s="1"/>
  <c r="V10" i="5" s="1"/>
  <c r="W10" i="5" s="1"/>
  <c r="C10" i="5"/>
  <c r="B10" i="5"/>
  <c r="H9" i="5"/>
  <c r="F9" i="5"/>
  <c r="E9" i="5"/>
  <c r="D9" i="5"/>
  <c r="G9" i="5" s="1"/>
  <c r="C9" i="5"/>
  <c r="B9" i="5"/>
  <c r="G8" i="5"/>
  <c r="F8" i="5"/>
  <c r="E8" i="5"/>
  <c r="D8" i="5"/>
  <c r="C8" i="5"/>
  <c r="B8" i="5"/>
  <c r="S7" i="5"/>
  <c r="P7" i="5"/>
  <c r="M7" i="5"/>
  <c r="G7" i="5"/>
  <c r="F7" i="5"/>
  <c r="E7" i="5"/>
  <c r="D7" i="5"/>
  <c r="C7" i="5"/>
  <c r="B7" i="5"/>
  <c r="P6" i="5"/>
  <c r="M6" i="5"/>
  <c r="G6" i="5"/>
  <c r="F6" i="5"/>
  <c r="S6" i="5" s="1"/>
  <c r="E6" i="5"/>
  <c r="D6" i="5"/>
  <c r="C6" i="5"/>
  <c r="B6" i="5"/>
  <c r="S5" i="5"/>
  <c r="M5" i="5"/>
  <c r="G5" i="5"/>
  <c r="F5" i="5"/>
  <c r="P5" i="5" s="1"/>
  <c r="E5" i="5"/>
  <c r="D5" i="5"/>
  <c r="C5" i="5"/>
  <c r="B5" i="5"/>
  <c r="S4" i="5"/>
  <c r="P4" i="5"/>
  <c r="M4" i="5"/>
  <c r="G4" i="5"/>
  <c r="F4" i="5"/>
  <c r="E4" i="5"/>
  <c r="D4" i="5"/>
  <c r="C4" i="5"/>
  <c r="B4" i="5"/>
  <c r="P3" i="5"/>
  <c r="M3" i="5"/>
  <c r="G3" i="5"/>
  <c r="F3" i="5"/>
  <c r="S3" i="5" s="1"/>
  <c r="E3" i="5"/>
  <c r="D3" i="5"/>
  <c r="C3" i="5"/>
  <c r="B3" i="5"/>
  <c r="H2" i="5"/>
  <c r="F2" i="5"/>
  <c r="E2" i="5"/>
  <c r="D2" i="5"/>
  <c r="G2" i="5" s="1"/>
  <c r="C2" i="5"/>
  <c r="B2" i="5"/>
  <c r="O337" i="4"/>
  <c r="J337" i="4"/>
  <c r="K337" i="4" s="1"/>
  <c r="I337" i="4"/>
  <c r="N336" i="4"/>
  <c r="J336" i="4"/>
  <c r="K336" i="4" s="1"/>
  <c r="I336" i="4"/>
  <c r="O336" i="4" s="1"/>
  <c r="I335" i="4"/>
  <c r="O335" i="4" s="1"/>
  <c r="O334" i="4"/>
  <c r="I334" i="4"/>
  <c r="J334" i="4" s="1"/>
  <c r="K334" i="4" s="1"/>
  <c r="I333" i="4"/>
  <c r="O333" i="4" s="1"/>
  <c r="I332" i="4"/>
  <c r="I331" i="4"/>
  <c r="O330" i="4"/>
  <c r="J330" i="4"/>
  <c r="K330" i="4" s="1"/>
  <c r="I330" i="4"/>
  <c r="P329" i="4"/>
  <c r="O329" i="4"/>
  <c r="L329" i="4"/>
  <c r="I329" i="4"/>
  <c r="J329" i="4" s="1"/>
  <c r="K329" i="4" s="1"/>
  <c r="N329" i="4" s="1"/>
  <c r="O328" i="4"/>
  <c r="J328" i="4"/>
  <c r="K328" i="4" s="1"/>
  <c r="I328" i="4"/>
  <c r="O327" i="4"/>
  <c r="I327" i="4"/>
  <c r="J327" i="4" s="1"/>
  <c r="K327" i="4" s="1"/>
  <c r="I326" i="4"/>
  <c r="I325" i="4"/>
  <c r="O325" i="4" s="1"/>
  <c r="I324" i="4"/>
  <c r="O324" i="4" s="1"/>
  <c r="O323" i="4"/>
  <c r="L323" i="4"/>
  <c r="M323" i="4" s="1"/>
  <c r="K323" i="4"/>
  <c r="P323" i="4" s="1"/>
  <c r="J323" i="4"/>
  <c r="I323" i="4"/>
  <c r="P322" i="4"/>
  <c r="O322" i="4"/>
  <c r="J322" i="4"/>
  <c r="K322" i="4" s="1"/>
  <c r="I322" i="4"/>
  <c r="O321" i="4"/>
  <c r="K321" i="4"/>
  <c r="J321" i="4"/>
  <c r="I321" i="4"/>
  <c r="I320" i="4"/>
  <c r="O320" i="4" s="1"/>
  <c r="I319" i="4"/>
  <c r="O319" i="4" s="1"/>
  <c r="O318" i="4"/>
  <c r="I318" i="4"/>
  <c r="J318" i="4" s="1"/>
  <c r="K318" i="4" s="1"/>
  <c r="L318" i="4" s="1"/>
  <c r="O317" i="4"/>
  <c r="N317" i="4"/>
  <c r="J317" i="4"/>
  <c r="K317" i="4" s="1"/>
  <c r="I317" i="4"/>
  <c r="J316" i="4"/>
  <c r="K316" i="4" s="1"/>
  <c r="I316" i="4"/>
  <c r="O316" i="4" s="1"/>
  <c r="O315" i="4"/>
  <c r="L315" i="4"/>
  <c r="I315" i="4"/>
  <c r="J315" i="4" s="1"/>
  <c r="K315" i="4" s="1"/>
  <c r="O314" i="4"/>
  <c r="L314" i="4"/>
  <c r="J314" i="4"/>
  <c r="K314" i="4" s="1"/>
  <c r="I314" i="4"/>
  <c r="P313" i="4"/>
  <c r="O313" i="4"/>
  <c r="I313" i="4"/>
  <c r="J313" i="4" s="1"/>
  <c r="K313" i="4" s="1"/>
  <c r="N313" i="4" s="1"/>
  <c r="O312" i="4"/>
  <c r="J312" i="4"/>
  <c r="K312" i="4" s="1"/>
  <c r="I312" i="4"/>
  <c r="O311" i="4"/>
  <c r="I311" i="4"/>
  <c r="J311" i="4" s="1"/>
  <c r="K311" i="4" s="1"/>
  <c r="O310" i="4"/>
  <c r="K310" i="4"/>
  <c r="J310" i="4"/>
  <c r="I310" i="4"/>
  <c r="I309" i="4"/>
  <c r="N308" i="4"/>
  <c r="K308" i="4"/>
  <c r="L308" i="4" s="1"/>
  <c r="J308" i="4"/>
  <c r="I308" i="4"/>
  <c r="O308" i="4" s="1"/>
  <c r="O307" i="4"/>
  <c r="J307" i="4"/>
  <c r="K307" i="4" s="1"/>
  <c r="I307" i="4"/>
  <c r="I306" i="4"/>
  <c r="J306" i="4" s="1"/>
  <c r="K306" i="4" s="1"/>
  <c r="P306" i="4" s="1"/>
  <c r="J305" i="4"/>
  <c r="K305" i="4" s="1"/>
  <c r="I305" i="4"/>
  <c r="O305" i="4" s="1"/>
  <c r="J304" i="4"/>
  <c r="K304" i="4" s="1"/>
  <c r="I304" i="4"/>
  <c r="O304" i="4" s="1"/>
  <c r="K303" i="4"/>
  <c r="J303" i="4"/>
  <c r="I303" i="4"/>
  <c r="O303" i="4" s="1"/>
  <c r="O302" i="4"/>
  <c r="I302" i="4"/>
  <c r="J302" i="4" s="1"/>
  <c r="K302" i="4" s="1"/>
  <c r="O301" i="4"/>
  <c r="N301" i="4"/>
  <c r="I301" i="4"/>
  <c r="J301" i="4" s="1"/>
  <c r="K301" i="4" s="1"/>
  <c r="I300" i="4"/>
  <c r="O300" i="4" s="1"/>
  <c r="I299" i="4"/>
  <c r="P298" i="4"/>
  <c r="O298" i="4"/>
  <c r="J298" i="4"/>
  <c r="K298" i="4" s="1"/>
  <c r="I298" i="4"/>
  <c r="J297" i="4"/>
  <c r="K297" i="4" s="1"/>
  <c r="I297" i="4"/>
  <c r="O297" i="4" s="1"/>
  <c r="P296" i="4"/>
  <c r="O296" i="4"/>
  <c r="J296" i="4"/>
  <c r="K296" i="4" s="1"/>
  <c r="I296" i="4"/>
  <c r="O295" i="4"/>
  <c r="L295" i="4"/>
  <c r="J295" i="4"/>
  <c r="K295" i="4" s="1"/>
  <c r="I295" i="4"/>
  <c r="O294" i="4"/>
  <c r="I294" i="4"/>
  <c r="J294" i="4" s="1"/>
  <c r="K294" i="4" s="1"/>
  <c r="L293" i="4"/>
  <c r="J293" i="4"/>
  <c r="K293" i="4" s="1"/>
  <c r="I293" i="4"/>
  <c r="O293" i="4" s="1"/>
  <c r="I292" i="4"/>
  <c r="T291" i="4"/>
  <c r="U291" i="4" s="1"/>
  <c r="S291" i="4"/>
  <c r="P291" i="4"/>
  <c r="O291" i="4"/>
  <c r="N291" i="4"/>
  <c r="M291" i="4"/>
  <c r="Q291" i="4" s="1"/>
  <c r="K291" i="4"/>
  <c r="L291" i="4" s="1"/>
  <c r="J291" i="4"/>
  <c r="I291" i="4"/>
  <c r="J290" i="4"/>
  <c r="K290" i="4" s="1"/>
  <c r="I290" i="4"/>
  <c r="O290" i="4" s="1"/>
  <c r="M289" i="4"/>
  <c r="Q289" i="4" s="1"/>
  <c r="L289" i="4"/>
  <c r="I289" i="4"/>
  <c r="J289" i="4" s="1"/>
  <c r="K289" i="4" s="1"/>
  <c r="P289" i="4" s="1"/>
  <c r="O288" i="4"/>
  <c r="J288" i="4"/>
  <c r="K288" i="4" s="1"/>
  <c r="I288" i="4"/>
  <c r="O287" i="4"/>
  <c r="K287" i="4"/>
  <c r="P287" i="4" s="1"/>
  <c r="J287" i="4"/>
  <c r="I287" i="4"/>
  <c r="I286" i="4"/>
  <c r="O285" i="4"/>
  <c r="N285" i="4"/>
  <c r="M285" i="4"/>
  <c r="T285" i="4" s="1"/>
  <c r="J285" i="4"/>
  <c r="K285" i="4" s="1"/>
  <c r="L285" i="4" s="1"/>
  <c r="I285" i="4"/>
  <c r="I284" i="4"/>
  <c r="O284" i="4" s="1"/>
  <c r="O283" i="4"/>
  <c r="I283" i="4"/>
  <c r="J283" i="4" s="1"/>
  <c r="K283" i="4" s="1"/>
  <c r="O282" i="4"/>
  <c r="I282" i="4"/>
  <c r="J282" i="4" s="1"/>
  <c r="K282" i="4" s="1"/>
  <c r="O281" i="4"/>
  <c r="J281" i="4"/>
  <c r="K281" i="4" s="1"/>
  <c r="I281" i="4"/>
  <c r="P280" i="4"/>
  <c r="O280" i="4"/>
  <c r="N280" i="4"/>
  <c r="J280" i="4"/>
  <c r="K280" i="4" s="1"/>
  <c r="I280" i="4"/>
  <c r="I279" i="4"/>
  <c r="O279" i="4" s="1"/>
  <c r="K278" i="4"/>
  <c r="J278" i="4"/>
  <c r="I278" i="4"/>
  <c r="O278" i="4" s="1"/>
  <c r="I277" i="4"/>
  <c r="Q276" i="4"/>
  <c r="O276" i="4"/>
  <c r="N276" i="4"/>
  <c r="M276" i="4"/>
  <c r="T276" i="4" s="1"/>
  <c r="J276" i="4"/>
  <c r="K276" i="4" s="1"/>
  <c r="L276" i="4" s="1"/>
  <c r="I276" i="4"/>
  <c r="O275" i="4"/>
  <c r="K275" i="4"/>
  <c r="J275" i="4"/>
  <c r="I275" i="4"/>
  <c r="O274" i="4"/>
  <c r="K274" i="4"/>
  <c r="I274" i="4"/>
  <c r="J274" i="4" s="1"/>
  <c r="I273" i="4"/>
  <c r="O273" i="4" s="1"/>
  <c r="N272" i="4"/>
  <c r="I272" i="4"/>
  <c r="J272" i="4" s="1"/>
  <c r="K272" i="4" s="1"/>
  <c r="P272" i="4" s="1"/>
  <c r="L271" i="4"/>
  <c r="J271" i="4"/>
  <c r="K271" i="4" s="1"/>
  <c r="I271" i="4"/>
  <c r="O271" i="4" s="1"/>
  <c r="I270" i="4"/>
  <c r="N269" i="4"/>
  <c r="L269" i="4"/>
  <c r="J269" i="4"/>
  <c r="K269" i="4" s="1"/>
  <c r="I269" i="4"/>
  <c r="O269" i="4" s="1"/>
  <c r="O268" i="4"/>
  <c r="J268" i="4"/>
  <c r="K268" i="4" s="1"/>
  <c r="I268" i="4"/>
  <c r="I267" i="4"/>
  <c r="O266" i="4"/>
  <c r="I266" i="4"/>
  <c r="J266" i="4" s="1"/>
  <c r="K266" i="4" s="1"/>
  <c r="I265" i="4"/>
  <c r="O265" i="4" s="1"/>
  <c r="I264" i="4"/>
  <c r="J264" i="4" s="1"/>
  <c r="K264" i="4" s="1"/>
  <c r="O263" i="4"/>
  <c r="L263" i="4"/>
  <c r="K263" i="4"/>
  <c r="J263" i="4"/>
  <c r="I263" i="4"/>
  <c r="I262" i="4"/>
  <c r="O262" i="4" s="1"/>
  <c r="I261" i="4"/>
  <c r="O261" i="4" s="1"/>
  <c r="I260" i="4"/>
  <c r="O259" i="4"/>
  <c r="N259" i="4"/>
  <c r="M259" i="4"/>
  <c r="L259" i="4"/>
  <c r="K259" i="4"/>
  <c r="P259" i="4" s="1"/>
  <c r="J259" i="4"/>
  <c r="I259" i="4"/>
  <c r="P258" i="4"/>
  <c r="O258" i="4"/>
  <c r="I258" i="4"/>
  <c r="J258" i="4" s="1"/>
  <c r="K258" i="4" s="1"/>
  <c r="O257" i="4"/>
  <c r="I257" i="4"/>
  <c r="J257" i="4" s="1"/>
  <c r="K257" i="4" s="1"/>
  <c r="J256" i="4"/>
  <c r="K256" i="4" s="1"/>
  <c r="I256" i="4"/>
  <c r="O256" i="4" s="1"/>
  <c r="P255" i="4"/>
  <c r="N255" i="4"/>
  <c r="I255" i="4"/>
  <c r="J255" i="4" s="1"/>
  <c r="K255" i="4" s="1"/>
  <c r="U254" i="4"/>
  <c r="S254" i="4"/>
  <c r="Q254" i="4"/>
  <c r="P254" i="4"/>
  <c r="O254" i="4"/>
  <c r="N254" i="4"/>
  <c r="M254" i="4"/>
  <c r="T254" i="4" s="1"/>
  <c r="L254" i="4"/>
  <c r="K254" i="4"/>
  <c r="I254" i="4"/>
  <c r="J254" i="4" s="1"/>
  <c r="I253" i="4"/>
  <c r="I252" i="4"/>
  <c r="O251" i="4"/>
  <c r="J251" i="4"/>
  <c r="K251" i="4" s="1"/>
  <c r="I251" i="4"/>
  <c r="I250" i="4"/>
  <c r="I249" i="4"/>
  <c r="O248" i="4"/>
  <c r="J248" i="4"/>
  <c r="K248" i="4" s="1"/>
  <c r="I248" i="4"/>
  <c r="P247" i="4"/>
  <c r="O247" i="4"/>
  <c r="I247" i="4"/>
  <c r="J247" i="4" s="1"/>
  <c r="K247" i="4" s="1"/>
  <c r="O246" i="4"/>
  <c r="J246" i="4"/>
  <c r="K246" i="4" s="1"/>
  <c r="I246" i="4"/>
  <c r="K245" i="4"/>
  <c r="J245" i="4"/>
  <c r="I245" i="4"/>
  <c r="O245" i="4" s="1"/>
  <c r="J244" i="4"/>
  <c r="K244" i="4" s="1"/>
  <c r="I244" i="4"/>
  <c r="O244" i="4" s="1"/>
  <c r="O243" i="4"/>
  <c r="J243" i="4"/>
  <c r="K243" i="4" s="1"/>
  <c r="I243" i="4"/>
  <c r="T242" i="4"/>
  <c r="Q242" i="4"/>
  <c r="P242" i="4"/>
  <c r="O242" i="4"/>
  <c r="R242" i="4" s="1"/>
  <c r="N242" i="4"/>
  <c r="M242" i="4"/>
  <c r="L242" i="4"/>
  <c r="I242" i="4"/>
  <c r="J242" i="4" s="1"/>
  <c r="K242" i="4" s="1"/>
  <c r="I241" i="4"/>
  <c r="O241" i="4" s="1"/>
  <c r="I240" i="4"/>
  <c r="J239" i="4"/>
  <c r="K239" i="4" s="1"/>
  <c r="I239" i="4"/>
  <c r="O239" i="4" s="1"/>
  <c r="I238" i="4"/>
  <c r="J237" i="4"/>
  <c r="K237" i="4" s="1"/>
  <c r="I237" i="4"/>
  <c r="O237" i="4" s="1"/>
  <c r="O236" i="4"/>
  <c r="K236" i="4"/>
  <c r="I236" i="4"/>
  <c r="J236" i="4" s="1"/>
  <c r="L235" i="4"/>
  <c r="M235" i="4" s="1"/>
  <c r="J235" i="4"/>
  <c r="K235" i="4" s="1"/>
  <c r="I235" i="4"/>
  <c r="O235" i="4" s="1"/>
  <c r="I234" i="4"/>
  <c r="P233" i="4"/>
  <c r="O233" i="4"/>
  <c r="N233" i="4"/>
  <c r="I233" i="4"/>
  <c r="J233" i="4" s="1"/>
  <c r="K233" i="4" s="1"/>
  <c r="O232" i="4"/>
  <c r="J232" i="4"/>
  <c r="K232" i="4" s="1"/>
  <c r="I232" i="4"/>
  <c r="I231" i="4"/>
  <c r="O231" i="4" s="1"/>
  <c r="O230" i="4"/>
  <c r="K230" i="4"/>
  <c r="J230" i="4"/>
  <c r="I230" i="4"/>
  <c r="J229" i="4"/>
  <c r="K229" i="4" s="1"/>
  <c r="I229" i="4"/>
  <c r="O229" i="4" s="1"/>
  <c r="P228" i="4"/>
  <c r="K228" i="4"/>
  <c r="J228" i="4"/>
  <c r="I228" i="4"/>
  <c r="O228" i="4" s="1"/>
  <c r="O227" i="4"/>
  <c r="J227" i="4"/>
  <c r="K227" i="4" s="1"/>
  <c r="I227" i="4"/>
  <c r="I226" i="4"/>
  <c r="O226" i="4" s="1"/>
  <c r="I225" i="4"/>
  <c r="O224" i="4"/>
  <c r="I224" i="4"/>
  <c r="J224" i="4" s="1"/>
  <c r="K224" i="4" s="1"/>
  <c r="J223" i="4"/>
  <c r="K223" i="4" s="1"/>
  <c r="I223" i="4"/>
  <c r="O223" i="4" s="1"/>
  <c r="I222" i="4"/>
  <c r="P221" i="4"/>
  <c r="O221" i="4"/>
  <c r="N221" i="4"/>
  <c r="J221" i="4"/>
  <c r="K221" i="4" s="1"/>
  <c r="I221" i="4"/>
  <c r="O220" i="4"/>
  <c r="K220" i="4"/>
  <c r="I220" i="4"/>
  <c r="J220" i="4" s="1"/>
  <c r="P219" i="4"/>
  <c r="K219" i="4"/>
  <c r="N219" i="4" s="1"/>
  <c r="J219" i="4"/>
  <c r="I219" i="4"/>
  <c r="O219" i="4" s="1"/>
  <c r="O218" i="4"/>
  <c r="I218" i="4"/>
  <c r="J218" i="4" s="1"/>
  <c r="K218" i="4" s="1"/>
  <c r="I217" i="4"/>
  <c r="O216" i="4"/>
  <c r="N216" i="4"/>
  <c r="J216" i="4"/>
  <c r="K216" i="4" s="1"/>
  <c r="I216" i="4"/>
  <c r="I215" i="4"/>
  <c r="J214" i="4"/>
  <c r="K214" i="4" s="1"/>
  <c r="I214" i="4"/>
  <c r="O214" i="4" s="1"/>
  <c r="N213" i="4"/>
  <c r="J213" i="4"/>
  <c r="K213" i="4" s="1"/>
  <c r="I213" i="4"/>
  <c r="O213" i="4" s="1"/>
  <c r="J212" i="4"/>
  <c r="K212" i="4" s="1"/>
  <c r="I212" i="4"/>
  <c r="O212" i="4" s="1"/>
  <c r="O211" i="4"/>
  <c r="L211" i="4"/>
  <c r="J211" i="4"/>
  <c r="K211" i="4" s="1"/>
  <c r="I211" i="4"/>
  <c r="N210" i="4"/>
  <c r="L210" i="4"/>
  <c r="K210" i="4"/>
  <c r="J210" i="4"/>
  <c r="I210" i="4"/>
  <c r="O210" i="4" s="1"/>
  <c r="I209" i="4"/>
  <c r="O208" i="4"/>
  <c r="K208" i="4"/>
  <c r="J208" i="4"/>
  <c r="I208" i="4"/>
  <c r="P207" i="4"/>
  <c r="O207" i="4"/>
  <c r="K207" i="4"/>
  <c r="I207" i="4"/>
  <c r="J207" i="4" s="1"/>
  <c r="O206" i="4"/>
  <c r="J206" i="4"/>
  <c r="K206" i="4" s="1"/>
  <c r="I206" i="4"/>
  <c r="J205" i="4"/>
  <c r="K205" i="4" s="1"/>
  <c r="I205" i="4"/>
  <c r="O205" i="4" s="1"/>
  <c r="O204" i="4"/>
  <c r="N204" i="4"/>
  <c r="J204" i="4"/>
  <c r="K204" i="4" s="1"/>
  <c r="I204" i="4"/>
  <c r="P203" i="4"/>
  <c r="O203" i="4"/>
  <c r="N203" i="4"/>
  <c r="I203" i="4"/>
  <c r="J203" i="4" s="1"/>
  <c r="K203" i="4" s="1"/>
  <c r="L203" i="4" s="1"/>
  <c r="I202" i="4"/>
  <c r="P201" i="4"/>
  <c r="O201" i="4"/>
  <c r="K201" i="4"/>
  <c r="I201" i="4"/>
  <c r="J201" i="4" s="1"/>
  <c r="J200" i="4"/>
  <c r="K200" i="4" s="1"/>
  <c r="I200" i="4"/>
  <c r="O200" i="4" s="1"/>
  <c r="O199" i="4"/>
  <c r="I199" i="4"/>
  <c r="J199" i="4" s="1"/>
  <c r="K199" i="4" s="1"/>
  <c r="P198" i="4"/>
  <c r="O198" i="4"/>
  <c r="J198" i="4"/>
  <c r="K198" i="4" s="1"/>
  <c r="I198" i="4"/>
  <c r="O197" i="4"/>
  <c r="J197" i="4"/>
  <c r="K197" i="4" s="1"/>
  <c r="I197" i="4"/>
  <c r="I196" i="4"/>
  <c r="I195" i="4"/>
  <c r="O195" i="4" s="1"/>
  <c r="I194" i="4"/>
  <c r="K193" i="4"/>
  <c r="I193" i="4"/>
  <c r="J193" i="4" s="1"/>
  <c r="O192" i="4"/>
  <c r="K192" i="4"/>
  <c r="J192" i="4"/>
  <c r="I192" i="4"/>
  <c r="I191" i="4"/>
  <c r="O191" i="4" s="1"/>
  <c r="O190" i="4"/>
  <c r="J190" i="4"/>
  <c r="K190" i="4" s="1"/>
  <c r="I190" i="4"/>
  <c r="O189" i="4"/>
  <c r="I189" i="4"/>
  <c r="J189" i="4" s="1"/>
  <c r="K189" i="4" s="1"/>
  <c r="P188" i="4"/>
  <c r="O188" i="4"/>
  <c r="N188" i="4"/>
  <c r="L188" i="4"/>
  <c r="I188" i="4"/>
  <c r="J188" i="4" s="1"/>
  <c r="K188" i="4" s="1"/>
  <c r="O187" i="4"/>
  <c r="I187" i="4"/>
  <c r="J187" i="4" s="1"/>
  <c r="K187" i="4" s="1"/>
  <c r="P186" i="4"/>
  <c r="J186" i="4"/>
  <c r="K186" i="4" s="1"/>
  <c r="N186" i="4" s="1"/>
  <c r="I186" i="4"/>
  <c r="O186" i="4" s="1"/>
  <c r="O185" i="4"/>
  <c r="K185" i="4"/>
  <c r="J185" i="4"/>
  <c r="I185" i="4"/>
  <c r="J184" i="4"/>
  <c r="K184" i="4" s="1"/>
  <c r="I184" i="4"/>
  <c r="O184" i="4" s="1"/>
  <c r="O183" i="4"/>
  <c r="K183" i="4"/>
  <c r="I183" i="4"/>
  <c r="J183" i="4" s="1"/>
  <c r="O182" i="4"/>
  <c r="N182" i="4"/>
  <c r="J182" i="4"/>
  <c r="K182" i="4" s="1"/>
  <c r="I182" i="4"/>
  <c r="O181" i="4"/>
  <c r="L181" i="4"/>
  <c r="J181" i="4"/>
  <c r="K181" i="4" s="1"/>
  <c r="N181" i="4" s="1"/>
  <c r="I181" i="4"/>
  <c r="O180" i="4"/>
  <c r="J180" i="4"/>
  <c r="K180" i="4" s="1"/>
  <c r="I180" i="4"/>
  <c r="J179" i="4"/>
  <c r="K179" i="4" s="1"/>
  <c r="I179" i="4"/>
  <c r="O179" i="4" s="1"/>
  <c r="N178" i="4"/>
  <c r="L178" i="4"/>
  <c r="K178" i="4"/>
  <c r="J178" i="4"/>
  <c r="I178" i="4"/>
  <c r="O178" i="4" s="1"/>
  <c r="O177" i="4"/>
  <c r="K177" i="4"/>
  <c r="I177" i="4"/>
  <c r="J177" i="4" s="1"/>
  <c r="P176" i="4"/>
  <c r="O176" i="4"/>
  <c r="J176" i="4"/>
  <c r="K176" i="4" s="1"/>
  <c r="I176" i="4"/>
  <c r="O175" i="4"/>
  <c r="I175" i="4"/>
  <c r="J175" i="4" s="1"/>
  <c r="K175" i="4" s="1"/>
  <c r="O174" i="4"/>
  <c r="L174" i="4"/>
  <c r="M174" i="4" s="1"/>
  <c r="J174" i="4"/>
  <c r="K174" i="4" s="1"/>
  <c r="N174" i="4" s="1"/>
  <c r="I174" i="4"/>
  <c r="I173" i="4"/>
  <c r="O172" i="4"/>
  <c r="J172" i="4"/>
  <c r="K172" i="4" s="1"/>
  <c r="I172" i="4"/>
  <c r="I171" i="4"/>
  <c r="P170" i="4"/>
  <c r="J170" i="4"/>
  <c r="K170" i="4" s="1"/>
  <c r="I170" i="4"/>
  <c r="O170" i="4" s="1"/>
  <c r="O169" i="4"/>
  <c r="J169" i="4"/>
  <c r="K169" i="4" s="1"/>
  <c r="I169" i="4"/>
  <c r="J168" i="4"/>
  <c r="K168" i="4" s="1"/>
  <c r="I168" i="4"/>
  <c r="O168" i="4" s="1"/>
  <c r="O167" i="4"/>
  <c r="K167" i="4"/>
  <c r="J167" i="4"/>
  <c r="I167" i="4"/>
  <c r="O166" i="4"/>
  <c r="N166" i="4"/>
  <c r="J166" i="4"/>
  <c r="K166" i="4" s="1"/>
  <c r="P166" i="4" s="1"/>
  <c r="I166" i="4"/>
  <c r="O165" i="4"/>
  <c r="I165" i="4"/>
  <c r="J165" i="4" s="1"/>
  <c r="K165" i="4" s="1"/>
  <c r="J164" i="4"/>
  <c r="K164" i="4" s="1"/>
  <c r="I164" i="4"/>
  <c r="O164" i="4" s="1"/>
  <c r="O163" i="4"/>
  <c r="N163" i="4"/>
  <c r="I163" i="4"/>
  <c r="J163" i="4" s="1"/>
  <c r="K163" i="4" s="1"/>
  <c r="J162" i="4"/>
  <c r="K162" i="4" s="1"/>
  <c r="I162" i="4"/>
  <c r="O162" i="4" s="1"/>
  <c r="O161" i="4"/>
  <c r="K161" i="4"/>
  <c r="I161" i="4"/>
  <c r="J161" i="4" s="1"/>
  <c r="P160" i="4"/>
  <c r="O160" i="4"/>
  <c r="N160" i="4"/>
  <c r="L160" i="4"/>
  <c r="M160" i="4" s="1"/>
  <c r="T160" i="4" s="1"/>
  <c r="K160" i="4"/>
  <c r="J160" i="4"/>
  <c r="I160" i="4"/>
  <c r="J159" i="4"/>
  <c r="K159" i="4" s="1"/>
  <c r="I159" i="4"/>
  <c r="O159" i="4" s="1"/>
  <c r="O158" i="4"/>
  <c r="N158" i="4"/>
  <c r="I158" i="4"/>
  <c r="J158" i="4" s="1"/>
  <c r="K158" i="4" s="1"/>
  <c r="I157" i="4"/>
  <c r="O157" i="4" s="1"/>
  <c r="I156" i="4"/>
  <c r="O156" i="4" s="1"/>
  <c r="I155" i="4"/>
  <c r="J154" i="4"/>
  <c r="K154" i="4" s="1"/>
  <c r="N154" i="4" s="1"/>
  <c r="I154" i="4"/>
  <c r="O154" i="4" s="1"/>
  <c r="O153" i="4"/>
  <c r="K153" i="4"/>
  <c r="P153" i="4" s="1"/>
  <c r="J153" i="4"/>
  <c r="I153" i="4"/>
  <c r="N152" i="4"/>
  <c r="J152" i="4"/>
  <c r="K152" i="4" s="1"/>
  <c r="I152" i="4"/>
  <c r="O152" i="4" s="1"/>
  <c r="I151" i="4"/>
  <c r="O151" i="4" s="1"/>
  <c r="I150" i="4"/>
  <c r="I149" i="4"/>
  <c r="O148" i="4"/>
  <c r="I148" i="4"/>
  <c r="J148" i="4" s="1"/>
  <c r="K148" i="4" s="1"/>
  <c r="N148" i="4" s="1"/>
  <c r="K147" i="4"/>
  <c r="J147" i="4"/>
  <c r="I147" i="4"/>
  <c r="O147" i="4" s="1"/>
  <c r="M146" i="4"/>
  <c r="L146" i="4"/>
  <c r="J146" i="4"/>
  <c r="K146" i="4" s="1"/>
  <c r="I146" i="4"/>
  <c r="O146" i="4" s="1"/>
  <c r="I145" i="4"/>
  <c r="O144" i="4"/>
  <c r="J144" i="4"/>
  <c r="K144" i="4" s="1"/>
  <c r="I144" i="4"/>
  <c r="J143" i="4"/>
  <c r="K143" i="4" s="1"/>
  <c r="I143" i="4"/>
  <c r="O143" i="4" s="1"/>
  <c r="L142" i="4"/>
  <c r="J142" i="4"/>
  <c r="K142" i="4" s="1"/>
  <c r="I142" i="4"/>
  <c r="O142" i="4" s="1"/>
  <c r="O141" i="4"/>
  <c r="K141" i="4"/>
  <c r="J141" i="4"/>
  <c r="I141" i="4"/>
  <c r="O140" i="4"/>
  <c r="K140" i="4"/>
  <c r="J140" i="4"/>
  <c r="I140" i="4"/>
  <c r="O139" i="4"/>
  <c r="I139" i="4"/>
  <c r="J139" i="4" s="1"/>
  <c r="K139" i="4" s="1"/>
  <c r="J138" i="4"/>
  <c r="K138" i="4" s="1"/>
  <c r="I138" i="4"/>
  <c r="O138" i="4" s="1"/>
  <c r="L137" i="4"/>
  <c r="K137" i="4"/>
  <c r="I137" i="4"/>
  <c r="J137" i="4" s="1"/>
  <c r="O136" i="4"/>
  <c r="K136" i="4"/>
  <c r="P136" i="4" s="1"/>
  <c r="J136" i="4"/>
  <c r="I136" i="4"/>
  <c r="I135" i="4"/>
  <c r="O135" i="4" s="1"/>
  <c r="P134" i="4"/>
  <c r="J134" i="4"/>
  <c r="K134" i="4" s="1"/>
  <c r="I134" i="4"/>
  <c r="O134" i="4" s="1"/>
  <c r="J133" i="4"/>
  <c r="K133" i="4" s="1"/>
  <c r="I133" i="4"/>
  <c r="O133" i="4" s="1"/>
  <c r="T132" i="4"/>
  <c r="S132" i="4" s="1"/>
  <c r="P132" i="4"/>
  <c r="N132" i="4"/>
  <c r="M132" i="4"/>
  <c r="Q132" i="4" s="1"/>
  <c r="L132" i="4"/>
  <c r="I132" i="4"/>
  <c r="J132" i="4" s="1"/>
  <c r="K132" i="4" s="1"/>
  <c r="O131" i="4"/>
  <c r="I131" i="4"/>
  <c r="J131" i="4" s="1"/>
  <c r="K131" i="4" s="1"/>
  <c r="L131" i="4" s="1"/>
  <c r="I130" i="4"/>
  <c r="I129" i="4"/>
  <c r="O129" i="4" s="1"/>
  <c r="O128" i="4"/>
  <c r="N128" i="4"/>
  <c r="J128" i="4"/>
  <c r="K128" i="4" s="1"/>
  <c r="I128" i="4"/>
  <c r="O127" i="4"/>
  <c r="J127" i="4"/>
  <c r="K127" i="4" s="1"/>
  <c r="I127" i="4"/>
  <c r="O126" i="4"/>
  <c r="N126" i="4"/>
  <c r="M126" i="4"/>
  <c r="J126" i="4"/>
  <c r="K126" i="4" s="1"/>
  <c r="L126" i="4" s="1"/>
  <c r="I126" i="4"/>
  <c r="I125" i="4"/>
  <c r="O125" i="4" s="1"/>
  <c r="O124" i="4"/>
  <c r="K124" i="4"/>
  <c r="J124" i="4"/>
  <c r="I124" i="4"/>
  <c r="S123" i="4"/>
  <c r="Q123" i="4"/>
  <c r="P123" i="4"/>
  <c r="O123" i="4"/>
  <c r="R123" i="4" s="1"/>
  <c r="N123" i="4"/>
  <c r="M123" i="4"/>
  <c r="T123" i="4" s="1"/>
  <c r="K123" i="4"/>
  <c r="L123" i="4" s="1"/>
  <c r="I123" i="4"/>
  <c r="J123" i="4" s="1"/>
  <c r="I122" i="4"/>
  <c r="O122" i="4" s="1"/>
  <c r="O121" i="4"/>
  <c r="K121" i="4"/>
  <c r="J121" i="4"/>
  <c r="I121" i="4"/>
  <c r="P120" i="4"/>
  <c r="O120" i="4"/>
  <c r="N120" i="4"/>
  <c r="L120" i="4"/>
  <c r="I120" i="4"/>
  <c r="J120" i="4" s="1"/>
  <c r="K120" i="4" s="1"/>
  <c r="O119" i="4"/>
  <c r="K119" i="4"/>
  <c r="J119" i="4"/>
  <c r="I119" i="4"/>
  <c r="I118" i="4"/>
  <c r="O118" i="4" s="1"/>
  <c r="J117" i="4"/>
  <c r="K117" i="4" s="1"/>
  <c r="I117" i="4"/>
  <c r="O117" i="4" s="1"/>
  <c r="J116" i="4"/>
  <c r="K116" i="4" s="1"/>
  <c r="I116" i="4"/>
  <c r="O116" i="4" s="1"/>
  <c r="I115" i="4"/>
  <c r="J115" i="4" s="1"/>
  <c r="K115" i="4" s="1"/>
  <c r="P114" i="4"/>
  <c r="N114" i="4"/>
  <c r="J114" i="4"/>
  <c r="K114" i="4" s="1"/>
  <c r="I114" i="4"/>
  <c r="O114" i="4" s="1"/>
  <c r="I113" i="4"/>
  <c r="O112" i="4"/>
  <c r="J112" i="4"/>
  <c r="K112" i="4" s="1"/>
  <c r="N112" i="4" s="1"/>
  <c r="I112" i="4"/>
  <c r="P111" i="4"/>
  <c r="O111" i="4"/>
  <c r="J111" i="4"/>
  <c r="K111" i="4" s="1"/>
  <c r="I111" i="4"/>
  <c r="O110" i="4"/>
  <c r="N110" i="4"/>
  <c r="L110" i="4"/>
  <c r="M110" i="4" s="1"/>
  <c r="K110" i="4"/>
  <c r="P110" i="4" s="1"/>
  <c r="I110" i="4"/>
  <c r="J110" i="4" s="1"/>
  <c r="I109" i="4"/>
  <c r="O109" i="4" s="1"/>
  <c r="I108" i="4"/>
  <c r="P107" i="4"/>
  <c r="O107" i="4"/>
  <c r="L107" i="4"/>
  <c r="K107" i="4"/>
  <c r="I107" i="4"/>
  <c r="J107" i="4" s="1"/>
  <c r="O106" i="4"/>
  <c r="K106" i="4"/>
  <c r="J106" i="4"/>
  <c r="I106" i="4"/>
  <c r="I105" i="4"/>
  <c r="O104" i="4"/>
  <c r="N104" i="4"/>
  <c r="I104" i="4"/>
  <c r="J104" i="4" s="1"/>
  <c r="K104" i="4" s="1"/>
  <c r="I103" i="4"/>
  <c r="O103" i="4" s="1"/>
  <c r="P102" i="4"/>
  <c r="O102" i="4"/>
  <c r="L102" i="4"/>
  <c r="J102" i="4"/>
  <c r="K102" i="4" s="1"/>
  <c r="I102" i="4"/>
  <c r="I101" i="4"/>
  <c r="O101" i="4" s="1"/>
  <c r="T100" i="4"/>
  <c r="S100" i="4"/>
  <c r="Q100" i="4"/>
  <c r="O100" i="4"/>
  <c r="N100" i="4"/>
  <c r="M100" i="4"/>
  <c r="J100" i="4"/>
  <c r="K100" i="4" s="1"/>
  <c r="L100" i="4" s="1"/>
  <c r="I100" i="4"/>
  <c r="I99" i="4"/>
  <c r="O99" i="4" s="1"/>
  <c r="I98" i="4"/>
  <c r="I97" i="4"/>
  <c r="P96" i="4"/>
  <c r="O96" i="4"/>
  <c r="N96" i="4"/>
  <c r="M96" i="4"/>
  <c r="L96" i="4"/>
  <c r="K96" i="4"/>
  <c r="J96" i="4"/>
  <c r="I96" i="4"/>
  <c r="I95" i="4"/>
  <c r="I94" i="4"/>
  <c r="O94" i="4" s="1"/>
  <c r="N93" i="4"/>
  <c r="I93" i="4"/>
  <c r="J93" i="4" s="1"/>
  <c r="K93" i="4" s="1"/>
  <c r="O92" i="4"/>
  <c r="K92" i="4"/>
  <c r="L92" i="4" s="1"/>
  <c r="J92" i="4"/>
  <c r="I92" i="4"/>
  <c r="P91" i="4"/>
  <c r="K91" i="4"/>
  <c r="I91" i="4"/>
  <c r="J91" i="4" s="1"/>
  <c r="J90" i="4"/>
  <c r="K90" i="4" s="1"/>
  <c r="I90" i="4"/>
  <c r="O90" i="4" s="1"/>
  <c r="P89" i="4"/>
  <c r="O89" i="4"/>
  <c r="N89" i="4"/>
  <c r="L89" i="4"/>
  <c r="J89" i="4"/>
  <c r="K89" i="4" s="1"/>
  <c r="M89" i="4" s="1"/>
  <c r="T89" i="4" s="1"/>
  <c r="I89" i="4"/>
  <c r="I88" i="4"/>
  <c r="I87" i="4"/>
  <c r="J87" i="4" s="1"/>
  <c r="K87" i="4" s="1"/>
  <c r="I86" i="4"/>
  <c r="O85" i="4"/>
  <c r="K85" i="4"/>
  <c r="P85" i="4" s="1"/>
  <c r="I85" i="4"/>
  <c r="J85" i="4" s="1"/>
  <c r="J84" i="4"/>
  <c r="K84" i="4" s="1"/>
  <c r="I84" i="4"/>
  <c r="O84" i="4" s="1"/>
  <c r="K83" i="4"/>
  <c r="J83" i="4"/>
  <c r="I83" i="4"/>
  <c r="O83" i="4" s="1"/>
  <c r="I82" i="4"/>
  <c r="O82" i="4" s="1"/>
  <c r="I81" i="4"/>
  <c r="O80" i="4"/>
  <c r="N80" i="4"/>
  <c r="J80" i="4"/>
  <c r="K80" i="4" s="1"/>
  <c r="I80" i="4"/>
  <c r="J79" i="4"/>
  <c r="K79" i="4" s="1"/>
  <c r="I79" i="4"/>
  <c r="O79" i="4" s="1"/>
  <c r="O78" i="4"/>
  <c r="K78" i="4"/>
  <c r="P78" i="4" s="1"/>
  <c r="I78" i="4"/>
  <c r="J78" i="4" s="1"/>
  <c r="I77" i="4"/>
  <c r="O77" i="4" s="1"/>
  <c r="I76" i="4"/>
  <c r="O75" i="4"/>
  <c r="K75" i="4"/>
  <c r="I75" i="4"/>
  <c r="J75" i="4" s="1"/>
  <c r="P74" i="4"/>
  <c r="J74" i="4"/>
  <c r="K74" i="4" s="1"/>
  <c r="I74" i="4"/>
  <c r="O74" i="4" s="1"/>
  <c r="O73" i="4"/>
  <c r="J73" i="4"/>
  <c r="K73" i="4" s="1"/>
  <c r="I73" i="4"/>
  <c r="O72" i="4"/>
  <c r="J72" i="4"/>
  <c r="K72" i="4" s="1"/>
  <c r="I72" i="4"/>
  <c r="L71" i="4"/>
  <c r="I71" i="4"/>
  <c r="J71" i="4" s="1"/>
  <c r="K71" i="4" s="1"/>
  <c r="N71" i="4" s="1"/>
  <c r="O70" i="4"/>
  <c r="N70" i="4"/>
  <c r="L70" i="4"/>
  <c r="J70" i="4"/>
  <c r="K70" i="4" s="1"/>
  <c r="P70" i="4" s="1"/>
  <c r="I70" i="4"/>
  <c r="I69" i="4"/>
  <c r="O69" i="4" s="1"/>
  <c r="P68" i="4"/>
  <c r="L68" i="4"/>
  <c r="I68" i="4"/>
  <c r="J68" i="4" s="1"/>
  <c r="K68" i="4" s="1"/>
  <c r="O67" i="4"/>
  <c r="J67" i="4"/>
  <c r="K67" i="4" s="1"/>
  <c r="I67" i="4"/>
  <c r="P66" i="4"/>
  <c r="K66" i="4"/>
  <c r="J66" i="4"/>
  <c r="I66" i="4"/>
  <c r="O66" i="4" s="1"/>
  <c r="J65" i="4"/>
  <c r="K65" i="4" s="1"/>
  <c r="I65" i="4"/>
  <c r="O65" i="4" s="1"/>
  <c r="P64" i="4"/>
  <c r="O64" i="4"/>
  <c r="N64" i="4"/>
  <c r="J64" i="4"/>
  <c r="K64" i="4" s="1"/>
  <c r="L64" i="4" s="1"/>
  <c r="M64" i="4" s="1"/>
  <c r="I64" i="4"/>
  <c r="P63" i="4"/>
  <c r="O63" i="4"/>
  <c r="N63" i="4"/>
  <c r="M63" i="4"/>
  <c r="I63" i="4"/>
  <c r="J63" i="4" s="1"/>
  <c r="K63" i="4" s="1"/>
  <c r="L63" i="4" s="1"/>
  <c r="I62" i="4"/>
  <c r="O61" i="4"/>
  <c r="L61" i="4"/>
  <c r="I61" i="4"/>
  <c r="J61" i="4" s="1"/>
  <c r="K61" i="4" s="1"/>
  <c r="O60" i="4"/>
  <c r="J60" i="4"/>
  <c r="K60" i="4" s="1"/>
  <c r="I60" i="4"/>
  <c r="I59" i="4"/>
  <c r="I58" i="4"/>
  <c r="P57" i="4"/>
  <c r="O57" i="4"/>
  <c r="N57" i="4"/>
  <c r="J57" i="4"/>
  <c r="K57" i="4" s="1"/>
  <c r="L57" i="4" s="1"/>
  <c r="I57" i="4"/>
  <c r="I56" i="4"/>
  <c r="O55" i="4"/>
  <c r="J55" i="4"/>
  <c r="K55" i="4" s="1"/>
  <c r="P55" i="4" s="1"/>
  <c r="I55" i="4"/>
  <c r="I54" i="4"/>
  <c r="Q53" i="4"/>
  <c r="P53" i="4"/>
  <c r="N53" i="4"/>
  <c r="L53" i="4"/>
  <c r="M53" i="4" s="1"/>
  <c r="T53" i="4" s="1"/>
  <c r="I53" i="4"/>
  <c r="J53" i="4" s="1"/>
  <c r="K53" i="4" s="1"/>
  <c r="J52" i="4"/>
  <c r="K52" i="4" s="1"/>
  <c r="I52" i="4"/>
  <c r="O52" i="4" s="1"/>
  <c r="I51" i="4"/>
  <c r="I50" i="4"/>
  <c r="O49" i="4"/>
  <c r="N49" i="4"/>
  <c r="K49" i="4"/>
  <c r="L49" i="4" s="1"/>
  <c r="J49" i="4"/>
  <c r="I49" i="4"/>
  <c r="O48" i="4"/>
  <c r="L48" i="4"/>
  <c r="M48" i="4" s="1"/>
  <c r="K48" i="4"/>
  <c r="J48" i="4"/>
  <c r="I48" i="4"/>
  <c r="I47" i="4"/>
  <c r="O46" i="4"/>
  <c r="I46" i="4"/>
  <c r="J46" i="4" s="1"/>
  <c r="K46" i="4" s="1"/>
  <c r="I45" i="4"/>
  <c r="P44" i="4"/>
  <c r="O44" i="4"/>
  <c r="N44" i="4"/>
  <c r="J44" i="4"/>
  <c r="K44" i="4" s="1"/>
  <c r="I44" i="4"/>
  <c r="I43" i="4"/>
  <c r="O42" i="4"/>
  <c r="M42" i="4"/>
  <c r="T42" i="4" s="1"/>
  <c r="J42" i="4"/>
  <c r="K42" i="4" s="1"/>
  <c r="L42" i="4" s="1"/>
  <c r="I42" i="4"/>
  <c r="P41" i="4"/>
  <c r="O41" i="4"/>
  <c r="N41" i="4"/>
  <c r="K41" i="4"/>
  <c r="J41" i="4"/>
  <c r="I41" i="4"/>
  <c r="I40" i="4"/>
  <c r="O40" i="4" s="1"/>
  <c r="O39" i="4"/>
  <c r="K39" i="4"/>
  <c r="J39" i="4"/>
  <c r="I39" i="4"/>
  <c r="O38" i="4"/>
  <c r="N38" i="4"/>
  <c r="J38" i="4"/>
  <c r="K38" i="4" s="1"/>
  <c r="I38" i="4"/>
  <c r="O37" i="4"/>
  <c r="K37" i="4"/>
  <c r="P37" i="4" s="1"/>
  <c r="J37" i="4"/>
  <c r="I37" i="4"/>
  <c r="O36" i="4"/>
  <c r="J36" i="4"/>
  <c r="K36" i="4" s="1"/>
  <c r="I36" i="4"/>
  <c r="I35" i="4"/>
  <c r="I34" i="4"/>
  <c r="O33" i="4"/>
  <c r="J33" i="4"/>
  <c r="K33" i="4" s="1"/>
  <c r="I33" i="4"/>
  <c r="O32" i="4"/>
  <c r="J32" i="4"/>
  <c r="K32" i="4" s="1"/>
  <c r="I32" i="4"/>
  <c r="O31" i="4"/>
  <c r="N31" i="4"/>
  <c r="K31" i="4"/>
  <c r="J31" i="4"/>
  <c r="I31" i="4"/>
  <c r="I30" i="4"/>
  <c r="O30" i="4" s="1"/>
  <c r="O29" i="4"/>
  <c r="N29" i="4"/>
  <c r="L29" i="4"/>
  <c r="I29" i="4"/>
  <c r="J29" i="4" s="1"/>
  <c r="K29" i="4" s="1"/>
  <c r="P29" i="4" s="1"/>
  <c r="J28" i="4"/>
  <c r="K28" i="4" s="1"/>
  <c r="I28" i="4"/>
  <c r="O28" i="4" s="1"/>
  <c r="P27" i="4"/>
  <c r="K27" i="4"/>
  <c r="I27" i="4"/>
  <c r="J27" i="4" s="1"/>
  <c r="J26" i="4"/>
  <c r="K26" i="4" s="1"/>
  <c r="I26" i="4"/>
  <c r="O26" i="4" s="1"/>
  <c r="I25" i="4"/>
  <c r="O24" i="4"/>
  <c r="I24" i="4"/>
  <c r="J24" i="4" s="1"/>
  <c r="K24" i="4" s="1"/>
  <c r="O23" i="4"/>
  <c r="I23" i="4"/>
  <c r="J23" i="4" s="1"/>
  <c r="K23" i="4" s="1"/>
  <c r="O22" i="4"/>
  <c r="N22" i="4"/>
  <c r="J22" i="4"/>
  <c r="K22" i="4" s="1"/>
  <c r="I22" i="4"/>
  <c r="O21" i="4"/>
  <c r="L21" i="4"/>
  <c r="M21" i="4" s="1"/>
  <c r="K21" i="4"/>
  <c r="I21" i="4"/>
  <c r="J21" i="4" s="1"/>
  <c r="J20" i="4"/>
  <c r="K20" i="4" s="1"/>
  <c r="I20" i="4"/>
  <c r="O20" i="4" s="1"/>
  <c r="P19" i="4"/>
  <c r="N19" i="4"/>
  <c r="L19" i="4"/>
  <c r="I19" i="4"/>
  <c r="J19" i="4" s="1"/>
  <c r="K19" i="4" s="1"/>
  <c r="M19" i="4" s="1"/>
  <c r="T19" i="4" s="1"/>
  <c r="O18" i="4"/>
  <c r="I18" i="4"/>
  <c r="J18" i="4" s="1"/>
  <c r="K18" i="4" s="1"/>
  <c r="O17" i="4"/>
  <c r="I17" i="4"/>
  <c r="J17" i="4" s="1"/>
  <c r="K17" i="4" s="1"/>
  <c r="I16" i="4"/>
  <c r="O16" i="4" s="1"/>
  <c r="I15" i="4"/>
  <c r="T14" i="4"/>
  <c r="O14" i="4"/>
  <c r="M14" i="4"/>
  <c r="Q14" i="4" s="1"/>
  <c r="J14" i="4"/>
  <c r="K14" i="4" s="1"/>
  <c r="L14" i="4" s="1"/>
  <c r="I14" i="4"/>
  <c r="O13" i="4"/>
  <c r="L13" i="4"/>
  <c r="M13" i="4" s="1"/>
  <c r="K13" i="4"/>
  <c r="P13" i="4" s="1"/>
  <c r="J13" i="4"/>
  <c r="I13" i="4"/>
  <c r="I12" i="4"/>
  <c r="O11" i="4"/>
  <c r="J11" i="4"/>
  <c r="K11" i="4" s="1"/>
  <c r="I11" i="4"/>
  <c r="J10" i="4"/>
  <c r="K10" i="4" s="1"/>
  <c r="I10" i="4"/>
  <c r="O10" i="4" s="1"/>
  <c r="I9" i="4"/>
  <c r="O8" i="4"/>
  <c r="I8" i="4"/>
  <c r="J8" i="4" s="1"/>
  <c r="K8" i="4" s="1"/>
  <c r="P8" i="4" s="1"/>
  <c r="O7" i="4"/>
  <c r="I7" i="4"/>
  <c r="J7" i="4" s="1"/>
  <c r="K7" i="4" s="1"/>
  <c r="O6" i="4"/>
  <c r="N6" i="4"/>
  <c r="J6" i="4"/>
  <c r="K6" i="4" s="1"/>
  <c r="I6" i="4"/>
  <c r="O5" i="4"/>
  <c r="K5" i="4"/>
  <c r="L5" i="4" s="1"/>
  <c r="I5" i="4"/>
  <c r="J5" i="4" s="1"/>
  <c r="J4" i="4"/>
  <c r="K4" i="4" s="1"/>
  <c r="I4" i="4"/>
  <c r="O4" i="4" s="1"/>
  <c r="P3" i="4"/>
  <c r="L3" i="4"/>
  <c r="I3" i="4"/>
  <c r="J3" i="4" s="1"/>
  <c r="K3" i="4" s="1"/>
  <c r="N3" i="4" s="1"/>
  <c r="O2" i="4"/>
  <c r="I2" i="4"/>
  <c r="J2" i="4" s="1"/>
  <c r="K2" i="4" s="1"/>
  <c r="Q21" i="4" l="1"/>
  <c r="T21" i="4"/>
  <c r="N36" i="4"/>
  <c r="P36" i="4"/>
  <c r="L36" i="4"/>
  <c r="M36" i="4" s="1"/>
  <c r="N18" i="4"/>
  <c r="P18" i="4"/>
  <c r="L18" i="4"/>
  <c r="M18" i="4"/>
  <c r="P23" i="4"/>
  <c r="L23" i="4"/>
  <c r="M23" i="4" s="1"/>
  <c r="N23" i="4"/>
  <c r="S53" i="4"/>
  <c r="U53" i="4" s="1"/>
  <c r="P67" i="4"/>
  <c r="N67" i="4"/>
  <c r="L67" i="4"/>
  <c r="M67" i="4" s="1"/>
  <c r="P10" i="4"/>
  <c r="N10" i="4"/>
  <c r="L10" i="4"/>
  <c r="M10" i="4" s="1"/>
  <c r="L2" i="4"/>
  <c r="M2" i="4" s="1"/>
  <c r="P2" i="4"/>
  <c r="N2" i="4"/>
  <c r="L65" i="4"/>
  <c r="P65" i="4"/>
  <c r="M65" i="4"/>
  <c r="N65" i="4"/>
  <c r="T13" i="4"/>
  <c r="Q13" i="4"/>
  <c r="P26" i="4"/>
  <c r="N26" i="4"/>
  <c r="L26" i="4"/>
  <c r="M26" i="4" s="1"/>
  <c r="S42" i="4"/>
  <c r="U42" i="4" s="1"/>
  <c r="T48" i="4"/>
  <c r="Q48" i="4"/>
  <c r="N52" i="4"/>
  <c r="P52" i="4"/>
  <c r="L52" i="4"/>
  <c r="M52" i="4" s="1"/>
  <c r="P7" i="4"/>
  <c r="L7" i="4"/>
  <c r="M7" i="4" s="1"/>
  <c r="N7" i="4"/>
  <c r="T110" i="4"/>
  <c r="Q110" i="4"/>
  <c r="R110" i="4" s="1"/>
  <c r="J69" i="4"/>
  <c r="K69" i="4" s="1"/>
  <c r="L143" i="4"/>
  <c r="M143" i="4" s="1"/>
  <c r="N167" i="4"/>
  <c r="L167" i="4"/>
  <c r="P185" i="4"/>
  <c r="N185" i="4"/>
  <c r="L185" i="4"/>
  <c r="L287" i="4"/>
  <c r="P21" i="4"/>
  <c r="R21" i="4" s="1"/>
  <c r="N21" i="4"/>
  <c r="R63" i="4"/>
  <c r="N84" i="4"/>
  <c r="M84" i="4"/>
  <c r="P84" i="4"/>
  <c r="L84" i="4"/>
  <c r="U89" i="4"/>
  <c r="S89" i="4"/>
  <c r="U100" i="4"/>
  <c r="P159" i="4"/>
  <c r="N159" i="4"/>
  <c r="L159" i="4"/>
  <c r="M159" i="4" s="1"/>
  <c r="M167" i="4"/>
  <c r="M185" i="4"/>
  <c r="P205" i="4"/>
  <c r="N205" i="4"/>
  <c r="L205" i="4"/>
  <c r="M205" i="4" s="1"/>
  <c r="L230" i="4"/>
  <c r="M230" i="4" s="1"/>
  <c r="N230" i="4"/>
  <c r="P230" i="4"/>
  <c r="O15" i="4"/>
  <c r="J15" i="4"/>
  <c r="K15" i="4" s="1"/>
  <c r="Q63" i="4"/>
  <c r="T63" i="4"/>
  <c r="O196" i="4"/>
  <c r="J196" i="4"/>
  <c r="K196" i="4" s="1"/>
  <c r="L24" i="4"/>
  <c r="M24" i="4" s="1"/>
  <c r="M46" i="4"/>
  <c r="L46" i="4"/>
  <c r="O56" i="4"/>
  <c r="J56" i="4"/>
  <c r="K56" i="4" s="1"/>
  <c r="L85" i="4"/>
  <c r="L117" i="4"/>
  <c r="N117" i="4"/>
  <c r="N140" i="4"/>
  <c r="L140" i="4"/>
  <c r="M140" i="4" s="1"/>
  <c r="P140" i="4"/>
  <c r="O215" i="4"/>
  <c r="J215" i="4"/>
  <c r="K215" i="4" s="1"/>
  <c r="H144" i="5"/>
  <c r="P148" i="4"/>
  <c r="L148" i="4"/>
  <c r="P5" i="4"/>
  <c r="N5" i="4"/>
  <c r="O108" i="4"/>
  <c r="J108" i="4"/>
  <c r="K108" i="4" s="1"/>
  <c r="P167" i="4"/>
  <c r="N8" i="4"/>
  <c r="R13" i="4"/>
  <c r="N46" i="4"/>
  <c r="L60" i="4"/>
  <c r="M60" i="4" s="1"/>
  <c r="P60" i="4"/>
  <c r="N60" i="4"/>
  <c r="T64" i="4"/>
  <c r="Q64" i="4"/>
  <c r="R64" i="4" s="1"/>
  <c r="J77" i="4"/>
  <c r="K77" i="4" s="1"/>
  <c r="M85" i="4"/>
  <c r="M117" i="4"/>
  <c r="U160" i="4"/>
  <c r="S160" i="4"/>
  <c r="J238" i="4"/>
  <c r="K238" i="4" s="1"/>
  <c r="O238" i="4"/>
  <c r="P131" i="4"/>
  <c r="N131" i="4"/>
  <c r="M131" i="4"/>
  <c r="P223" i="4"/>
  <c r="N223" i="4"/>
  <c r="L223" i="4"/>
  <c r="M223" i="4" s="1"/>
  <c r="O45" i="4"/>
  <c r="J45" i="4"/>
  <c r="K45" i="4" s="1"/>
  <c r="O97" i="4"/>
  <c r="J97" i="4"/>
  <c r="K97" i="4" s="1"/>
  <c r="J225" i="4"/>
  <c r="K225" i="4" s="1"/>
  <c r="O225" i="4"/>
  <c r="N39" i="4"/>
  <c r="P39" i="4"/>
  <c r="P11" i="4"/>
  <c r="L11" i="4"/>
  <c r="M11" i="4" s="1"/>
  <c r="N11" i="4"/>
  <c r="P24" i="4"/>
  <c r="P31" i="4"/>
  <c r="L31" i="4"/>
  <c r="Q42" i="4"/>
  <c r="N73" i="4"/>
  <c r="L73" i="4"/>
  <c r="M73" i="4" s="1"/>
  <c r="P73" i="4"/>
  <c r="J81" i="4"/>
  <c r="K81" i="4" s="1"/>
  <c r="O81" i="4"/>
  <c r="N85" i="4"/>
  <c r="Q89" i="4"/>
  <c r="R89" i="4" s="1"/>
  <c r="O113" i="4"/>
  <c r="J113" i="4"/>
  <c r="K113" i="4" s="1"/>
  <c r="P117" i="4"/>
  <c r="N121" i="4"/>
  <c r="P121" i="4"/>
  <c r="M121" i="4"/>
  <c r="L164" i="4"/>
  <c r="P164" i="4"/>
  <c r="N164" i="4"/>
  <c r="Q174" i="4"/>
  <c r="T174" i="4"/>
  <c r="O202" i="4"/>
  <c r="J202" i="4"/>
  <c r="K202" i="4" s="1"/>
  <c r="P274" i="4"/>
  <c r="L274" i="4"/>
  <c r="M274" i="4"/>
  <c r="P316" i="4"/>
  <c r="N316" i="4"/>
  <c r="M316" i="4"/>
  <c r="L316" i="4"/>
  <c r="M31" i="4"/>
  <c r="P46" i="4"/>
  <c r="P61" i="4"/>
  <c r="N61" i="4"/>
  <c r="M61" i="4"/>
  <c r="J99" i="4"/>
  <c r="K99" i="4" s="1"/>
  <c r="L121" i="4"/>
  <c r="L128" i="4"/>
  <c r="P128" i="4"/>
  <c r="M128" i="4"/>
  <c r="M164" i="4"/>
  <c r="N169" i="4"/>
  <c r="L169" i="4"/>
  <c r="M169" i="4" s="1"/>
  <c r="P169" i="4"/>
  <c r="N274" i="4"/>
  <c r="P305" i="4"/>
  <c r="N305" i="4"/>
  <c r="L305" i="4"/>
  <c r="M305" i="4" s="1"/>
  <c r="M92" i="4"/>
  <c r="P92" i="4"/>
  <c r="N92" i="4"/>
  <c r="Q235" i="4"/>
  <c r="T235" i="4"/>
  <c r="O173" i="4"/>
  <c r="J173" i="4"/>
  <c r="K173" i="4" s="1"/>
  <c r="M28" i="4"/>
  <c r="P28" i="4"/>
  <c r="U132" i="4"/>
  <c r="P165" i="4"/>
  <c r="M165" i="4"/>
  <c r="L165" i="4"/>
  <c r="N165" i="4"/>
  <c r="M239" i="4"/>
  <c r="P239" i="4"/>
  <c r="N239" i="4"/>
  <c r="L239" i="4"/>
  <c r="M6" i="4"/>
  <c r="P6" i="4"/>
  <c r="L6" i="4"/>
  <c r="P22" i="4"/>
  <c r="L22" i="4"/>
  <c r="M22" i="4" s="1"/>
  <c r="L28" i="4"/>
  <c r="N74" i="4"/>
  <c r="M74" i="4"/>
  <c r="L74" i="4"/>
  <c r="M90" i="4"/>
  <c r="P90" i="4"/>
  <c r="N90" i="4"/>
  <c r="L90" i="4"/>
  <c r="O95" i="4"/>
  <c r="J95" i="4"/>
  <c r="K95" i="4" s="1"/>
  <c r="P141" i="4"/>
  <c r="M141" i="4"/>
  <c r="L141" i="4"/>
  <c r="N141" i="4"/>
  <c r="Q160" i="4"/>
  <c r="P192" i="4"/>
  <c r="N192" i="4"/>
  <c r="L192" i="4"/>
  <c r="M192" i="4" s="1"/>
  <c r="O50" i="4"/>
  <c r="J50" i="4"/>
  <c r="K50" i="4" s="1"/>
  <c r="N87" i="4"/>
  <c r="P87" i="4"/>
  <c r="L87" i="4"/>
  <c r="P106" i="4"/>
  <c r="N106" i="4"/>
  <c r="M106" i="4"/>
  <c r="L106" i="4"/>
  <c r="N119" i="4"/>
  <c r="P119" i="4"/>
  <c r="N133" i="4"/>
  <c r="P133" i="4"/>
  <c r="L133" i="4"/>
  <c r="T146" i="4"/>
  <c r="Q146" i="4"/>
  <c r="P143" i="4"/>
  <c r="N143" i="4"/>
  <c r="N72" i="4"/>
  <c r="L72" i="4"/>
  <c r="P72" i="4"/>
  <c r="M72" i="4"/>
  <c r="J135" i="4"/>
  <c r="K135" i="4" s="1"/>
  <c r="M5" i="4"/>
  <c r="S19" i="4"/>
  <c r="U19" i="4" s="1"/>
  <c r="J25" i="4"/>
  <c r="K25" i="4" s="1"/>
  <c r="O25" i="4"/>
  <c r="N28" i="4"/>
  <c r="J43" i="4"/>
  <c r="K43" i="4" s="1"/>
  <c r="O43" i="4"/>
  <c r="O12" i="4"/>
  <c r="J12" i="4"/>
  <c r="K12" i="4" s="1"/>
  <c r="N17" i="4"/>
  <c r="P17" i="4"/>
  <c r="M17" i="4"/>
  <c r="L17" i="4"/>
  <c r="M71" i="4"/>
  <c r="M87" i="4"/>
  <c r="J103" i="4"/>
  <c r="K103" i="4" s="1"/>
  <c r="L119" i="4"/>
  <c r="M119" i="4" s="1"/>
  <c r="M133" i="4"/>
  <c r="P152" i="4"/>
  <c r="L152" i="4"/>
  <c r="M152" i="4" s="1"/>
  <c r="P158" i="4"/>
  <c r="M158" i="4"/>
  <c r="L158" i="4"/>
  <c r="N170" i="4"/>
  <c r="M170" i="4"/>
  <c r="L170" i="4"/>
  <c r="N24" i="4"/>
  <c r="L39" i="4"/>
  <c r="M39" i="4" s="1"/>
  <c r="O71" i="4"/>
  <c r="O87" i="4"/>
  <c r="O130" i="4"/>
  <c r="J130" i="4"/>
  <c r="K130" i="4" s="1"/>
  <c r="O234" i="4"/>
  <c r="J234" i="4"/>
  <c r="K234" i="4" s="1"/>
  <c r="N246" i="4"/>
  <c r="L246" i="4"/>
  <c r="P246" i="4"/>
  <c r="M246" i="4"/>
  <c r="R96" i="4"/>
  <c r="L112" i="4"/>
  <c r="M112" i="4" s="1"/>
  <c r="P112" i="4"/>
  <c r="U242" i="4"/>
  <c r="S242" i="4"/>
  <c r="L33" i="4"/>
  <c r="M33" i="4" s="1"/>
  <c r="P33" i="4"/>
  <c r="N33" i="4"/>
  <c r="M283" i="4"/>
  <c r="L283" i="4"/>
  <c r="P283" i="4"/>
  <c r="N283" i="4"/>
  <c r="H231" i="5"/>
  <c r="O231" i="5"/>
  <c r="N231" i="5"/>
  <c r="L8" i="4"/>
  <c r="M8" i="4" s="1"/>
  <c r="Q19" i="4"/>
  <c r="N4" i="4"/>
  <c r="P4" i="4"/>
  <c r="O54" i="4"/>
  <c r="J54" i="4"/>
  <c r="K54" i="4" s="1"/>
  <c r="L4" i="4"/>
  <c r="M4" i="4" s="1"/>
  <c r="N20" i="4"/>
  <c r="M20" i="4"/>
  <c r="P20" i="4"/>
  <c r="P32" i="4"/>
  <c r="N32" i="4"/>
  <c r="M32" i="4"/>
  <c r="L32" i="4"/>
  <c r="J35" i="4"/>
  <c r="K35" i="4" s="1"/>
  <c r="M9" i="1" s="1"/>
  <c r="O35" i="4"/>
  <c r="L41" i="4"/>
  <c r="M41" i="4" s="1"/>
  <c r="L44" i="4"/>
  <c r="M44" i="4" s="1"/>
  <c r="J58" i="4"/>
  <c r="K58" i="4" s="1"/>
  <c r="O58" i="4"/>
  <c r="O62" i="4"/>
  <c r="J62" i="4"/>
  <c r="K62" i="4" s="1"/>
  <c r="P71" i="4"/>
  <c r="N79" i="4"/>
  <c r="L79" i="4"/>
  <c r="M79" i="4" s="1"/>
  <c r="P79" i="4"/>
  <c r="U123" i="4"/>
  <c r="J171" i="4"/>
  <c r="K171" i="4" s="1"/>
  <c r="G4" i="1" s="1"/>
  <c r="O171" i="4"/>
  <c r="N218" i="4"/>
  <c r="L218" i="4"/>
  <c r="P218" i="4"/>
  <c r="M218" i="4"/>
  <c r="V2" i="5"/>
  <c r="W2" i="5" s="1"/>
  <c r="J2" i="5"/>
  <c r="I2" i="5"/>
  <c r="N55" i="4"/>
  <c r="M55" i="4"/>
  <c r="L55" i="4"/>
  <c r="M162" i="4"/>
  <c r="P162" i="4"/>
  <c r="L162" i="4"/>
  <c r="N162" i="4"/>
  <c r="M287" i="4"/>
  <c r="N287" i="4"/>
  <c r="M148" i="4"/>
  <c r="J30" i="4"/>
  <c r="K30" i="4" s="1"/>
  <c r="J149" i="4"/>
  <c r="K149" i="4" s="1"/>
  <c r="O149" i="4"/>
  <c r="N13" i="4"/>
  <c r="J9" i="4"/>
  <c r="K9" i="4" s="1"/>
  <c r="O9" i="4"/>
  <c r="S14" i="4"/>
  <c r="U14" i="4" s="1"/>
  <c r="L20" i="4"/>
  <c r="N48" i="4"/>
  <c r="P48" i="4"/>
  <c r="R48" i="4" s="1"/>
  <c r="L75" i="4"/>
  <c r="M75" i="4" s="1"/>
  <c r="P75" i="4"/>
  <c r="N75" i="4"/>
  <c r="P83" i="4"/>
  <c r="N83" i="4"/>
  <c r="M83" i="4"/>
  <c r="L83" i="4"/>
  <c r="O88" i="4"/>
  <c r="J88" i="4"/>
  <c r="K88" i="4" s="1"/>
  <c r="T96" i="4"/>
  <c r="Q96" i="4"/>
  <c r="P115" i="4"/>
  <c r="L115" i="4"/>
  <c r="M115" i="4" s="1"/>
  <c r="N115" i="4"/>
  <c r="Q126" i="4"/>
  <c r="T126" i="4"/>
  <c r="N138" i="4"/>
  <c r="L138" i="4"/>
  <c r="M138" i="4" s="1"/>
  <c r="P138" i="4"/>
  <c r="P180" i="4"/>
  <c r="N180" i="4"/>
  <c r="L180" i="4"/>
  <c r="M180" i="4" s="1"/>
  <c r="O194" i="4"/>
  <c r="J194" i="4"/>
  <c r="K194" i="4" s="1"/>
  <c r="L213" i="4"/>
  <c r="M213" i="4" s="1"/>
  <c r="P213" i="4"/>
  <c r="P229" i="4"/>
  <c r="N229" i="4"/>
  <c r="L229" i="4"/>
  <c r="M229" i="4" s="1"/>
  <c r="P146" i="4"/>
  <c r="N146" i="4"/>
  <c r="J155" i="4"/>
  <c r="K155" i="4" s="1"/>
  <c r="O155" i="4"/>
  <c r="N198" i="4"/>
  <c r="L198" i="4"/>
  <c r="M198" i="4" s="1"/>
  <c r="P263" i="4"/>
  <c r="N263" i="4"/>
  <c r="M263" i="4"/>
  <c r="L38" i="4"/>
  <c r="M38" i="4" s="1"/>
  <c r="L177" i="4"/>
  <c r="M177" i="4" s="1"/>
  <c r="P177" i="4"/>
  <c r="N177" i="4"/>
  <c r="N199" i="4"/>
  <c r="L199" i="4"/>
  <c r="M199" i="4" s="1"/>
  <c r="P199" i="4"/>
  <c r="M214" i="4"/>
  <c r="N214" i="4"/>
  <c r="L214" i="4"/>
  <c r="P214" i="4"/>
  <c r="P235" i="4"/>
  <c r="R235" i="4" s="1"/>
  <c r="N235" i="4"/>
  <c r="O47" i="4"/>
  <c r="J47" i="4"/>
  <c r="K47" i="4" s="1"/>
  <c r="N144" i="4"/>
  <c r="M144" i="4"/>
  <c r="L144" i="4"/>
  <c r="N183" i="4"/>
  <c r="L183" i="4"/>
  <c r="M183" i="4"/>
  <c r="P189" i="4"/>
  <c r="N189" i="4"/>
  <c r="L189" i="4"/>
  <c r="M189" i="4" s="1"/>
  <c r="P208" i="4"/>
  <c r="N208" i="4"/>
  <c r="L208" i="4"/>
  <c r="M208" i="4" s="1"/>
  <c r="P38" i="4"/>
  <c r="J40" i="4"/>
  <c r="K40" i="4" s="1"/>
  <c r="M7" i="1" s="1"/>
  <c r="M104" i="4"/>
  <c r="L104" i="4"/>
  <c r="L111" i="4"/>
  <c r="M111" i="4" s="1"/>
  <c r="N111" i="4"/>
  <c r="M120" i="4"/>
  <c r="J122" i="4"/>
  <c r="K122" i="4" s="1"/>
  <c r="L136" i="4"/>
  <c r="M136" i="4" s="1"/>
  <c r="O150" i="4"/>
  <c r="J150" i="4"/>
  <c r="K150" i="4" s="1"/>
  <c r="L153" i="4"/>
  <c r="M153" i="4" s="1"/>
  <c r="J241" i="4"/>
  <c r="K241" i="4" s="1"/>
  <c r="P248" i="4"/>
  <c r="N248" i="4"/>
  <c r="L248" i="4"/>
  <c r="M248" i="4" s="1"/>
  <c r="J260" i="4"/>
  <c r="K260" i="4" s="1"/>
  <c r="O260" i="4"/>
  <c r="N68" i="4"/>
  <c r="M68" i="4"/>
  <c r="O86" i="4"/>
  <c r="J86" i="4"/>
  <c r="K86" i="4" s="1"/>
  <c r="P93" i="4"/>
  <c r="M93" i="4"/>
  <c r="L93" i="4"/>
  <c r="N124" i="4"/>
  <c r="L124" i="4"/>
  <c r="M124" i="4" s="1"/>
  <c r="P124" i="4"/>
  <c r="P126" i="4"/>
  <c r="R126" i="4" s="1"/>
  <c r="P139" i="4"/>
  <c r="N139" i="4"/>
  <c r="L139" i="4"/>
  <c r="M139" i="4" s="1"/>
  <c r="P144" i="4"/>
  <c r="P174" i="4"/>
  <c r="P183" i="4"/>
  <c r="J209" i="4"/>
  <c r="K209" i="4" s="1"/>
  <c r="O209" i="4"/>
  <c r="P257" i="4"/>
  <c r="N257" i="4"/>
  <c r="L257" i="4"/>
  <c r="M257" i="4" s="1"/>
  <c r="J270" i="4"/>
  <c r="K270" i="4" s="1"/>
  <c r="O270" i="4"/>
  <c r="M9" i="5"/>
  <c r="N9" i="5" s="1"/>
  <c r="O9" i="5" s="1"/>
  <c r="S9" i="5"/>
  <c r="T9" i="5" s="1"/>
  <c r="S55" i="5"/>
  <c r="T55" i="5" s="1"/>
  <c r="M55" i="5"/>
  <c r="N55" i="5" s="1"/>
  <c r="P55" i="5"/>
  <c r="Q55" i="5" s="1"/>
  <c r="R55" i="5" s="1"/>
  <c r="N66" i="4"/>
  <c r="N136" i="4"/>
  <c r="N153" i="4"/>
  <c r="L168" i="4"/>
  <c r="M168" i="4" s="1"/>
  <c r="P168" i="4"/>
  <c r="N168" i="4"/>
  <c r="P190" i="4"/>
  <c r="M190" i="4"/>
  <c r="L190" i="4"/>
  <c r="P206" i="4"/>
  <c r="N206" i="4"/>
  <c r="L206" i="4"/>
  <c r="L244" i="4"/>
  <c r="P244" i="4"/>
  <c r="N244" i="4"/>
  <c r="M244" i="4"/>
  <c r="N330" i="4"/>
  <c r="P330" i="4"/>
  <c r="L330" i="4"/>
  <c r="M330" i="4" s="1"/>
  <c r="J9" i="5"/>
  <c r="I9" i="5"/>
  <c r="K9" i="5" s="1"/>
  <c r="V9" i="5"/>
  <c r="W9" i="5" s="1"/>
  <c r="J48" i="5"/>
  <c r="I48" i="5"/>
  <c r="V48" i="5"/>
  <c r="W48" i="5" s="1"/>
  <c r="L37" i="4"/>
  <c r="M37" i="4" s="1"/>
  <c r="M49" i="4"/>
  <c r="J51" i="4"/>
  <c r="K51" i="4" s="1"/>
  <c r="O51" i="4"/>
  <c r="L66" i="4"/>
  <c r="M66" i="4" s="1"/>
  <c r="O68" i="4"/>
  <c r="M70" i="4"/>
  <c r="O93" i="4"/>
  <c r="N102" i="4"/>
  <c r="M102" i="4"/>
  <c r="P104" i="4"/>
  <c r="J109" i="4"/>
  <c r="K109" i="4" s="1"/>
  <c r="P147" i="4"/>
  <c r="N147" i="4"/>
  <c r="L147" i="4"/>
  <c r="M147" i="4" s="1"/>
  <c r="M178" i="4"/>
  <c r="P178" i="4"/>
  <c r="M181" i="4"/>
  <c r="N190" i="4"/>
  <c r="M206" i="4"/>
  <c r="P216" i="4"/>
  <c r="L216" i="4"/>
  <c r="M216" i="4" s="1"/>
  <c r="P232" i="4"/>
  <c r="N232" i="4"/>
  <c r="L232" i="4"/>
  <c r="M232" i="4" s="1"/>
  <c r="P236" i="4"/>
  <c r="N236" i="4"/>
  <c r="L236" i="4"/>
  <c r="M236" i="4"/>
  <c r="J249" i="4"/>
  <c r="K249" i="4" s="1"/>
  <c r="O249" i="4"/>
  <c r="O267" i="4"/>
  <c r="J267" i="4"/>
  <c r="K267" i="4" s="1"/>
  <c r="M271" i="4"/>
  <c r="P271" i="4"/>
  <c r="N271" i="4"/>
  <c r="K48" i="5"/>
  <c r="O76" i="4"/>
  <c r="J76" i="4"/>
  <c r="K76" i="4" s="1"/>
  <c r="N116" i="4"/>
  <c r="P116" i="4"/>
  <c r="N175" i="4"/>
  <c r="P175" i="4"/>
  <c r="L175" i="4"/>
  <c r="M175" i="4" s="1"/>
  <c r="P184" i="4"/>
  <c r="N184" i="4"/>
  <c r="M184" i="4"/>
  <c r="L184" i="4"/>
  <c r="M200" i="4"/>
  <c r="L200" i="4"/>
  <c r="N200" i="4"/>
  <c r="L212" i="4"/>
  <c r="M212" i="4"/>
  <c r="P212" i="4"/>
  <c r="N212" i="4"/>
  <c r="L228" i="4"/>
  <c r="M228" i="4" s="1"/>
  <c r="N228" i="4"/>
  <c r="S276" i="4"/>
  <c r="U276" i="4" s="1"/>
  <c r="P321" i="4"/>
  <c r="N321" i="4"/>
  <c r="L321" i="4"/>
  <c r="O326" i="4"/>
  <c r="J326" i="4"/>
  <c r="K326" i="4" s="1"/>
  <c r="O331" i="4"/>
  <c r="J331" i="4"/>
  <c r="K331" i="4" s="1"/>
  <c r="P9" i="5"/>
  <c r="Q9" i="5" s="1"/>
  <c r="R9" i="5" s="1"/>
  <c r="M3" i="4"/>
  <c r="N14" i="4"/>
  <c r="L27" i="4"/>
  <c r="M27" i="4" s="1"/>
  <c r="N37" i="4"/>
  <c r="N42" i="4"/>
  <c r="J59" i="4"/>
  <c r="K59" i="4" s="1"/>
  <c r="O59" i="4"/>
  <c r="L78" i="4"/>
  <c r="P80" i="4"/>
  <c r="M80" i="4"/>
  <c r="L80" i="4"/>
  <c r="M107" i="4"/>
  <c r="L116" i="4"/>
  <c r="P127" i="4"/>
  <c r="L127" i="4"/>
  <c r="M127" i="4" s="1"/>
  <c r="P142" i="4"/>
  <c r="M142" i="4"/>
  <c r="N142" i="4"/>
  <c r="J145" i="4"/>
  <c r="K145" i="4" s="1"/>
  <c r="O145" i="4"/>
  <c r="J157" i="4"/>
  <c r="K157" i="4" s="1"/>
  <c r="P163" i="4"/>
  <c r="M163" i="4"/>
  <c r="L163" i="4"/>
  <c r="P181" i="4"/>
  <c r="P187" i="4"/>
  <c r="N187" i="4"/>
  <c r="L187" i="4"/>
  <c r="M187" i="4" s="1"/>
  <c r="P200" i="4"/>
  <c r="P220" i="4"/>
  <c r="N220" i="4"/>
  <c r="L220" i="4"/>
  <c r="M220" i="4" s="1"/>
  <c r="P224" i="4"/>
  <c r="L224" i="4"/>
  <c r="N224" i="4"/>
  <c r="M224" i="4"/>
  <c r="M321" i="4"/>
  <c r="J332" i="4"/>
  <c r="K332" i="4" s="1"/>
  <c r="O332" i="4"/>
  <c r="H33" i="5"/>
  <c r="U33" i="5"/>
  <c r="O33" i="5"/>
  <c r="N27" i="4"/>
  <c r="O34" i="4"/>
  <c r="J34" i="4"/>
  <c r="K34" i="4" s="1"/>
  <c r="P49" i="4"/>
  <c r="M78" i="4"/>
  <c r="N91" i="4"/>
  <c r="M91" i="4"/>
  <c r="L91" i="4"/>
  <c r="O98" i="4"/>
  <c r="J98" i="4"/>
  <c r="K98" i="4" s="1"/>
  <c r="L114" i="4"/>
  <c r="M114" i="4" s="1"/>
  <c r="M116" i="4"/>
  <c r="N207" i="4"/>
  <c r="M207" i="4"/>
  <c r="P237" i="4"/>
  <c r="N237" i="4"/>
  <c r="M237" i="4"/>
  <c r="L237" i="4"/>
  <c r="O250" i="4"/>
  <c r="J250" i="4"/>
  <c r="K250" i="4" s="1"/>
  <c r="N290" i="4"/>
  <c r="L290" i="4"/>
  <c r="P290" i="4"/>
  <c r="M290" i="4"/>
  <c r="M294" i="4"/>
  <c r="L294" i="4"/>
  <c r="P294" i="4"/>
  <c r="N294" i="4"/>
  <c r="P304" i="4"/>
  <c r="N304" i="4"/>
  <c r="L304" i="4"/>
  <c r="M304" i="4" s="1"/>
  <c r="P310" i="4"/>
  <c r="N310" i="4"/>
  <c r="M310" i="4"/>
  <c r="L327" i="4"/>
  <c r="N327" i="4"/>
  <c r="M327" i="4"/>
  <c r="P327" i="4"/>
  <c r="V67" i="5"/>
  <c r="W67" i="5" s="1"/>
  <c r="I67" i="5"/>
  <c r="K67" i="5" s="1"/>
  <c r="J67" i="5"/>
  <c r="O3" i="4"/>
  <c r="P14" i="4"/>
  <c r="R14" i="4" s="1"/>
  <c r="J16" i="4"/>
  <c r="K16" i="4" s="1"/>
  <c r="O19" i="4"/>
  <c r="R19" i="4" s="1"/>
  <c r="O27" i="4"/>
  <c r="M29" i="4"/>
  <c r="P42" i="4"/>
  <c r="R42" i="4" s="1"/>
  <c r="O53" i="4"/>
  <c r="R53" i="4" s="1"/>
  <c r="M57" i="4"/>
  <c r="N78" i="4"/>
  <c r="O91" i="4"/>
  <c r="P100" i="4"/>
  <c r="R100" i="4" s="1"/>
  <c r="O105" i="4"/>
  <c r="J105" i="4"/>
  <c r="K105" i="4" s="1"/>
  <c r="N107" i="4"/>
  <c r="J125" i="4"/>
  <c r="K125" i="4" s="1"/>
  <c r="N127" i="4"/>
  <c r="N137" i="4"/>
  <c r="M137" i="4"/>
  <c r="P137" i="4"/>
  <c r="R160" i="4"/>
  <c r="N176" i="4"/>
  <c r="L176" i="4"/>
  <c r="M176" i="4" s="1"/>
  <c r="M188" i="4"/>
  <c r="N201" i="4"/>
  <c r="L201" i="4"/>
  <c r="M201" i="4" s="1"/>
  <c r="L207" i="4"/>
  <c r="P276" i="4"/>
  <c r="L310" i="4"/>
  <c r="H22" i="5"/>
  <c r="P211" i="4"/>
  <c r="N211" i="4"/>
  <c r="M211" i="4"/>
  <c r="M233" i="4"/>
  <c r="O252" i="4"/>
  <c r="J252" i="4"/>
  <c r="K252" i="4" s="1"/>
  <c r="R276" i="4"/>
  <c r="P317" i="4"/>
  <c r="M317" i="4"/>
  <c r="L317" i="4"/>
  <c r="H4" i="5"/>
  <c r="M33" i="5"/>
  <c r="N33" i="5" s="1"/>
  <c r="P33" i="5"/>
  <c r="Q33" i="5" s="1"/>
  <c r="R33" i="5" s="1"/>
  <c r="S33" i="5"/>
  <c r="T33" i="5" s="1"/>
  <c r="M80" i="5"/>
  <c r="N80" i="5" s="1"/>
  <c r="O80" i="5" s="1"/>
  <c r="P80" i="5"/>
  <c r="Q80" i="5" s="1"/>
  <c r="R80" i="5" s="1"/>
  <c r="S80" i="5"/>
  <c r="O253" i="4"/>
  <c r="J253" i="4"/>
  <c r="K253" i="4" s="1"/>
  <c r="H13" i="5"/>
  <c r="R13" i="5"/>
  <c r="H15" i="5"/>
  <c r="N15" i="5"/>
  <c r="O15" i="5" s="1"/>
  <c r="Q144" i="5"/>
  <c r="R144" i="5" s="1"/>
  <c r="J94" i="4"/>
  <c r="K94" i="4" s="1"/>
  <c r="J101" i="4"/>
  <c r="K101" i="4" s="1"/>
  <c r="J118" i="4"/>
  <c r="K118" i="4" s="1"/>
  <c r="L166" i="4"/>
  <c r="M166" i="4" s="1"/>
  <c r="J191" i="4"/>
  <c r="K191" i="4" s="1"/>
  <c r="P204" i="4"/>
  <c r="L204" i="4"/>
  <c r="M204" i="4" s="1"/>
  <c r="L221" i="4"/>
  <c r="M221" i="4" s="1"/>
  <c r="P288" i="4"/>
  <c r="N288" i="4"/>
  <c r="M288" i="4"/>
  <c r="L288" i="4"/>
  <c r="R291" i="4"/>
  <c r="H39" i="5"/>
  <c r="N39" i="5" s="1"/>
  <c r="O39" i="5" s="1"/>
  <c r="H63" i="5"/>
  <c r="M182" i="4"/>
  <c r="L182" i="4"/>
  <c r="M210" i="4"/>
  <c r="M247" i="4"/>
  <c r="L247" i="4"/>
  <c r="N247" i="4"/>
  <c r="P278" i="4"/>
  <c r="N278" i="4"/>
  <c r="L278" i="4"/>
  <c r="M278" i="4" s="1"/>
  <c r="P295" i="4"/>
  <c r="N295" i="4"/>
  <c r="M295" i="4"/>
  <c r="L302" i="4"/>
  <c r="N302" i="4"/>
  <c r="P302" i="4"/>
  <c r="M302" i="4"/>
  <c r="P315" i="4"/>
  <c r="N315" i="4"/>
  <c r="M315" i="4"/>
  <c r="N6" i="5"/>
  <c r="O6" i="5" s="1"/>
  <c r="H11" i="5"/>
  <c r="Q13" i="5"/>
  <c r="H102" i="5"/>
  <c r="P256" i="4"/>
  <c r="N256" i="4"/>
  <c r="S285" i="4"/>
  <c r="U285" i="4" s="1"/>
  <c r="N307" i="4"/>
  <c r="M307" i="4"/>
  <c r="P307" i="4"/>
  <c r="L307" i="4"/>
  <c r="P328" i="4"/>
  <c r="N328" i="4"/>
  <c r="L328" i="4"/>
  <c r="M328" i="4"/>
  <c r="M8" i="5"/>
  <c r="N8" i="5" s="1"/>
  <c r="O8" i="5" s="1"/>
  <c r="P8" i="5"/>
  <c r="Q8" i="5" s="1"/>
  <c r="R8" i="5" s="1"/>
  <c r="S8" i="5"/>
  <c r="T8" i="5" s="1"/>
  <c r="U8" i="5" s="1"/>
  <c r="Q34" i="5"/>
  <c r="R34" i="5" s="1"/>
  <c r="L161" i="4"/>
  <c r="M161" i="4" s="1"/>
  <c r="N161" i="4"/>
  <c r="L256" i="4"/>
  <c r="J265" i="4"/>
  <c r="K265" i="4" s="1"/>
  <c r="J319" i="4"/>
  <c r="K319" i="4" s="1"/>
  <c r="U5" i="5"/>
  <c r="R5" i="5"/>
  <c r="N5" i="5"/>
  <c r="O5" i="5" s="1"/>
  <c r="H8" i="5"/>
  <c r="T13" i="5"/>
  <c r="U13" i="5" s="1"/>
  <c r="V21" i="5"/>
  <c r="W21" i="5" s="1"/>
  <c r="J21" i="5"/>
  <c r="N61" i="5"/>
  <c r="O61" i="5" s="1"/>
  <c r="H61" i="5"/>
  <c r="O115" i="4"/>
  <c r="O132" i="4"/>
  <c r="R132" i="4" s="1"/>
  <c r="O137" i="4"/>
  <c r="L154" i="4"/>
  <c r="J156" i="4"/>
  <c r="K156" i="4" s="1"/>
  <c r="P182" i="4"/>
  <c r="J195" i="4"/>
  <c r="K195" i="4" s="1"/>
  <c r="P210" i="4"/>
  <c r="O240" i="4"/>
  <c r="J240" i="4"/>
  <c r="K240" i="4" s="1"/>
  <c r="M256" i="4"/>
  <c r="J279" i="4"/>
  <c r="K279" i="4" s="1"/>
  <c r="R285" i="4"/>
  <c r="H5" i="5"/>
  <c r="U19" i="5"/>
  <c r="H19" i="5"/>
  <c r="I21" i="5"/>
  <c r="K21" i="5" s="1"/>
  <c r="H57" i="5"/>
  <c r="M134" i="4"/>
  <c r="M154" i="4"/>
  <c r="L193" i="4"/>
  <c r="N193" i="4"/>
  <c r="P197" i="4"/>
  <c r="L251" i="4"/>
  <c r="M251" i="4" s="1"/>
  <c r="P251" i="4"/>
  <c r="Q259" i="4"/>
  <c r="R259" i="4" s="1"/>
  <c r="T259" i="4"/>
  <c r="N282" i="4"/>
  <c r="P282" i="4"/>
  <c r="P285" i="4"/>
  <c r="O292" i="4"/>
  <c r="J292" i="4"/>
  <c r="K292" i="4" s="1"/>
  <c r="M296" i="4"/>
  <c r="O299" i="4"/>
  <c r="J299" i="4"/>
  <c r="K299" i="4" s="1"/>
  <c r="M303" i="4"/>
  <c r="P303" i="4"/>
  <c r="L303" i="4"/>
  <c r="N303" i="4"/>
  <c r="L334" i="4"/>
  <c r="M334" i="4" s="1"/>
  <c r="N334" i="4"/>
  <c r="P334" i="4"/>
  <c r="T19" i="5"/>
  <c r="P24" i="5"/>
  <c r="Q24" i="5" s="1"/>
  <c r="R24" i="5" s="1"/>
  <c r="M24" i="5"/>
  <c r="N24" i="5" s="1"/>
  <c r="O24" i="5" s="1"/>
  <c r="S24" i="5"/>
  <c r="T24" i="5" s="1"/>
  <c r="U24" i="5" s="1"/>
  <c r="H32" i="5"/>
  <c r="H93" i="5"/>
  <c r="J82" i="4"/>
  <c r="K82" i="4" s="1"/>
  <c r="J129" i="4"/>
  <c r="K129" i="4" s="1"/>
  <c r="L134" i="4"/>
  <c r="J151" i="4"/>
  <c r="K151" i="4" s="1"/>
  <c r="P154" i="4"/>
  <c r="P161" i="4"/>
  <c r="P172" i="4"/>
  <c r="L172" i="4"/>
  <c r="M172" i="4" s="1"/>
  <c r="P179" i="4"/>
  <c r="N179" i="4"/>
  <c r="M193" i="4"/>
  <c r="L197" i="4"/>
  <c r="M197" i="4" s="1"/>
  <c r="O217" i="4"/>
  <c r="J217" i="4"/>
  <c r="K217" i="4" s="1"/>
  <c r="L219" i="4"/>
  <c r="P227" i="4"/>
  <c r="N227" i="4"/>
  <c r="L227" i="4"/>
  <c r="M227" i="4" s="1"/>
  <c r="P245" i="4"/>
  <c r="N245" i="4"/>
  <c r="L245" i="4"/>
  <c r="M245" i="4" s="1"/>
  <c r="N251" i="4"/>
  <c r="N266" i="4"/>
  <c r="P266" i="4"/>
  <c r="M266" i="4"/>
  <c r="L266" i="4"/>
  <c r="L282" i="4"/>
  <c r="M282" i="4" s="1"/>
  <c r="Q285" i="4"/>
  <c r="T289" i="4"/>
  <c r="L296" i="4"/>
  <c r="P312" i="4"/>
  <c r="N312" i="4"/>
  <c r="J324" i="4"/>
  <c r="K324" i="4" s="1"/>
  <c r="N134" i="4"/>
  <c r="N172" i="4"/>
  <c r="L179" i="4"/>
  <c r="M179" i="4" s="1"/>
  <c r="L186" i="4"/>
  <c r="M186" i="4" s="1"/>
  <c r="P193" i="4"/>
  <c r="N197" i="4"/>
  <c r="M203" i="4"/>
  <c r="M219" i="4"/>
  <c r="R254" i="4"/>
  <c r="P293" i="4"/>
  <c r="N293" i="4"/>
  <c r="M293" i="4"/>
  <c r="N296" i="4"/>
  <c r="L312" i="4"/>
  <c r="M312" i="4" s="1"/>
  <c r="H12" i="5"/>
  <c r="Q12" i="5" s="1"/>
  <c r="R12" i="5" s="1"/>
  <c r="H24" i="5"/>
  <c r="H41" i="5"/>
  <c r="O45" i="5"/>
  <c r="N45" i="5"/>
  <c r="U45" i="5"/>
  <c r="V78" i="5"/>
  <c r="W78" i="5" s="1"/>
  <c r="I78" i="5"/>
  <c r="K78" i="5" s="1"/>
  <c r="J78" i="5"/>
  <c r="T78" i="5"/>
  <c r="U78" i="5" s="1"/>
  <c r="L268" i="4"/>
  <c r="M268" i="4" s="1"/>
  <c r="P268" i="4"/>
  <c r="P26" i="5"/>
  <c r="Q26" i="5" s="1"/>
  <c r="M26" i="5"/>
  <c r="N26" i="5" s="1"/>
  <c r="O26" i="5" s="1"/>
  <c r="T37" i="5"/>
  <c r="T65" i="5"/>
  <c r="U65" i="5" s="1"/>
  <c r="M281" i="4"/>
  <c r="L281" i="4"/>
  <c r="P281" i="4"/>
  <c r="P297" i="4"/>
  <c r="L297" i="4"/>
  <c r="M297" i="4" s="1"/>
  <c r="P337" i="4"/>
  <c r="N337" i="4"/>
  <c r="M337" i="4"/>
  <c r="T5" i="5"/>
  <c r="S26" i="5"/>
  <c r="T26" i="5" s="1"/>
  <c r="Q61" i="5"/>
  <c r="R61" i="5" s="1"/>
  <c r="N243" i="4"/>
  <c r="P243" i="4"/>
  <c r="L243" i="4"/>
  <c r="M243" i="4" s="1"/>
  <c r="N268" i="4"/>
  <c r="N281" i="4"/>
  <c r="J300" i="4"/>
  <c r="K300" i="4" s="1"/>
  <c r="M308" i="4"/>
  <c r="M311" i="4"/>
  <c r="L311" i="4"/>
  <c r="P311" i="4"/>
  <c r="N311" i="4"/>
  <c r="L337" i="4"/>
  <c r="H7" i="5"/>
  <c r="O12" i="5"/>
  <c r="N20" i="5"/>
  <c r="O20" i="5" s="1"/>
  <c r="H45" i="5"/>
  <c r="P275" i="4"/>
  <c r="N275" i="4"/>
  <c r="M275" i="4"/>
  <c r="L275" i="4"/>
  <c r="N297" i="4"/>
  <c r="Q4" i="5"/>
  <c r="R4" i="5" s="1"/>
  <c r="U14" i="5"/>
  <c r="H14" i="5"/>
  <c r="R14" i="5"/>
  <c r="H47" i="5"/>
  <c r="H128" i="5"/>
  <c r="U128" i="5"/>
  <c r="T128" i="5"/>
  <c r="J222" i="4"/>
  <c r="K222" i="4" s="1"/>
  <c r="O222" i="4"/>
  <c r="J273" i="4"/>
  <c r="K273" i="4" s="1"/>
  <c r="J284" i="4"/>
  <c r="K284" i="4" s="1"/>
  <c r="P308" i="4"/>
  <c r="N314" i="4"/>
  <c r="M314" i="4"/>
  <c r="P314" i="4"/>
  <c r="J335" i="4"/>
  <c r="K335" i="4" s="1"/>
  <c r="H3" i="5"/>
  <c r="Q3" i="5" s="1"/>
  <c r="R3" i="5" s="1"/>
  <c r="H36" i="5"/>
  <c r="U36" i="5"/>
  <c r="R50" i="5"/>
  <c r="Q50" i="5"/>
  <c r="H60" i="5"/>
  <c r="N60" i="5" s="1"/>
  <c r="O60" i="5" s="1"/>
  <c r="H23" i="5"/>
  <c r="O25" i="5"/>
  <c r="H25" i="5"/>
  <c r="T25" i="5" s="1"/>
  <c r="U25" i="5" s="1"/>
  <c r="R25" i="5"/>
  <c r="U64" i="5"/>
  <c r="H64" i="5"/>
  <c r="S101" i="5"/>
  <c r="T101" i="5" s="1"/>
  <c r="P101" i="5"/>
  <c r="Q101" i="5" s="1"/>
  <c r="M101" i="5"/>
  <c r="N101" i="5" s="1"/>
  <c r="H106" i="5"/>
  <c r="T106" i="5"/>
  <c r="U106" i="5" s="1"/>
  <c r="M264" i="4"/>
  <c r="L264" i="4"/>
  <c r="P264" i="4"/>
  <c r="N264" i="4"/>
  <c r="N298" i="4"/>
  <c r="L298" i="4"/>
  <c r="M298" i="4" s="1"/>
  <c r="S36" i="5"/>
  <c r="T36" i="5" s="1"/>
  <c r="P36" i="5"/>
  <c r="Q36" i="5" s="1"/>
  <c r="R36" i="5" s="1"/>
  <c r="M36" i="5"/>
  <c r="T45" i="5"/>
  <c r="H52" i="5"/>
  <c r="U52" i="5"/>
  <c r="O52" i="5"/>
  <c r="J226" i="4"/>
  <c r="K226" i="4" s="1"/>
  <c r="J231" i="4"/>
  <c r="K231" i="4" s="1"/>
  <c r="L233" i="4"/>
  <c r="J262" i="4"/>
  <c r="K262" i="4" s="1"/>
  <c r="P269" i="4"/>
  <c r="M269" i="4"/>
  <c r="M280" i="4"/>
  <c r="L280" i="4"/>
  <c r="O309" i="4"/>
  <c r="J309" i="4"/>
  <c r="K309" i="4" s="1"/>
  <c r="Q323" i="4"/>
  <c r="R323" i="4" s="1"/>
  <c r="T323" i="4"/>
  <c r="S21" i="5"/>
  <c r="T21" i="5" s="1"/>
  <c r="P21" i="5"/>
  <c r="Q21" i="5" s="1"/>
  <c r="R21" i="5" s="1"/>
  <c r="M21" i="5"/>
  <c r="N21" i="5" s="1"/>
  <c r="O21" i="5" s="1"/>
  <c r="N27" i="5"/>
  <c r="O27" i="5" s="1"/>
  <c r="H27" i="5"/>
  <c r="H42" i="5"/>
  <c r="H50" i="5"/>
  <c r="O193" i="4"/>
  <c r="N258" i="4"/>
  <c r="L258" i="4"/>
  <c r="M258" i="4" s="1"/>
  <c r="P301" i="4"/>
  <c r="M301" i="4"/>
  <c r="L301" i="4"/>
  <c r="J333" i="4"/>
  <c r="K333" i="4" s="1"/>
  <c r="P2" i="5"/>
  <c r="Q2" i="5" s="1"/>
  <c r="R2" i="5" s="1"/>
  <c r="M2" i="5"/>
  <c r="N2" i="5" s="1"/>
  <c r="O2" i="5" s="1"/>
  <c r="S2" i="5"/>
  <c r="T2" i="5" s="1"/>
  <c r="U2" i="5" s="1"/>
  <c r="H6" i="5"/>
  <c r="T7" i="5"/>
  <c r="U7" i="5" s="1"/>
  <c r="Q14" i="5"/>
  <c r="Q19" i="5"/>
  <c r="R19" i="5" s="1"/>
  <c r="U21" i="5"/>
  <c r="N34" i="5"/>
  <c r="O34" i="5" s="1"/>
  <c r="V40" i="5"/>
  <c r="W40" i="5" s="1"/>
  <c r="K40" i="5"/>
  <c r="J40" i="5"/>
  <c r="I40" i="5"/>
  <c r="O48" i="5"/>
  <c r="U48" i="5"/>
  <c r="R48" i="5"/>
  <c r="H70" i="5"/>
  <c r="S124" i="5"/>
  <c r="M124" i="5"/>
  <c r="P124" i="5"/>
  <c r="M48" i="5"/>
  <c r="N48" i="5" s="1"/>
  <c r="P48" i="5"/>
  <c r="Q48" i="5" s="1"/>
  <c r="S48" i="5"/>
  <c r="T48" i="5" s="1"/>
  <c r="P57" i="5"/>
  <c r="Q57" i="5" s="1"/>
  <c r="R57" i="5" s="1"/>
  <c r="S57" i="5"/>
  <c r="T57" i="5" s="1"/>
  <c r="U57" i="5" s="1"/>
  <c r="H86" i="5"/>
  <c r="V101" i="5"/>
  <c r="W101" i="5" s="1"/>
  <c r="K101" i="5"/>
  <c r="J101" i="5"/>
  <c r="I101" i="5"/>
  <c r="R26" i="5"/>
  <c r="H44" i="5"/>
  <c r="N50" i="5"/>
  <c r="O50" i="5" s="1"/>
  <c r="T52" i="5"/>
  <c r="M57" i="5"/>
  <c r="N57" i="5" s="1"/>
  <c r="O57" i="5" s="1"/>
  <c r="T61" i="5"/>
  <c r="U61" i="5" s="1"/>
  <c r="T64" i="5"/>
  <c r="P70" i="5"/>
  <c r="S70" i="5"/>
  <c r="M70" i="5"/>
  <c r="M72" i="5"/>
  <c r="N72" i="5" s="1"/>
  <c r="O72" i="5" s="1"/>
  <c r="S72" i="5"/>
  <c r="T72" i="5" s="1"/>
  <c r="P72" i="5"/>
  <c r="Q72" i="5" s="1"/>
  <c r="V83" i="5"/>
  <c r="W83" i="5" s="1"/>
  <c r="J83" i="5"/>
  <c r="I83" i="5"/>
  <c r="S134" i="5"/>
  <c r="T134" i="5" s="1"/>
  <c r="U134" i="5" s="1"/>
  <c r="P134" i="5"/>
  <c r="Q134" i="5" s="1"/>
  <c r="M134" i="5"/>
  <c r="N134" i="5" s="1"/>
  <c r="M136" i="5"/>
  <c r="S136" i="5"/>
  <c r="P136" i="5"/>
  <c r="P153" i="5"/>
  <c r="M153" i="5"/>
  <c r="V172" i="5"/>
  <c r="W172" i="5" s="1"/>
  <c r="J172" i="5"/>
  <c r="K172" i="5"/>
  <c r="H20" i="5"/>
  <c r="S23" i="5"/>
  <c r="T23" i="5" s="1"/>
  <c r="U23" i="5" s="1"/>
  <c r="P23" i="5"/>
  <c r="Q23" i="5" s="1"/>
  <c r="R23" i="5" s="1"/>
  <c r="M32" i="5"/>
  <c r="N32" i="5" s="1"/>
  <c r="O32" i="5" s="1"/>
  <c r="P32" i="5"/>
  <c r="Q32" i="5" s="1"/>
  <c r="R32" i="5" s="1"/>
  <c r="S32" i="5"/>
  <c r="H54" i="5"/>
  <c r="S63" i="5"/>
  <c r="T63" i="5" s="1"/>
  <c r="U63" i="5" s="1"/>
  <c r="P63" i="5"/>
  <c r="Q63" i="5" s="1"/>
  <c r="R63" i="5" s="1"/>
  <c r="M63" i="5"/>
  <c r="N63" i="5" s="1"/>
  <c r="O63" i="5" s="1"/>
  <c r="P116" i="5"/>
  <c r="Q116" i="5" s="1"/>
  <c r="S116" i="5"/>
  <c r="M116" i="5"/>
  <c r="N116" i="5" s="1"/>
  <c r="O116" i="5" s="1"/>
  <c r="N52" i="5"/>
  <c r="V59" i="5"/>
  <c r="W59" i="5" s="1"/>
  <c r="K59" i="5"/>
  <c r="I59" i="5"/>
  <c r="Q67" i="5"/>
  <c r="V72" i="5"/>
  <c r="W72" i="5" s="1"/>
  <c r="K72" i="5"/>
  <c r="J72" i="5"/>
  <c r="I72" i="5"/>
  <c r="H77" i="5"/>
  <c r="T88" i="5"/>
  <c r="U88" i="5" s="1"/>
  <c r="N106" i="5"/>
  <c r="O106" i="5" s="1"/>
  <c r="N122" i="5"/>
  <c r="O122" i="5" s="1"/>
  <c r="N138" i="5"/>
  <c r="O138" i="5" s="1"/>
  <c r="M23" i="5"/>
  <c r="N23" i="5" s="1"/>
  <c r="O23" i="5" s="1"/>
  <c r="H26" i="5"/>
  <c r="H49" i="5"/>
  <c r="P54" i="5"/>
  <c r="S54" i="5"/>
  <c r="T54" i="5" s="1"/>
  <c r="U54" i="5" s="1"/>
  <c r="M54" i="5"/>
  <c r="N54" i="5" s="1"/>
  <c r="O54" i="5" s="1"/>
  <c r="J59" i="5"/>
  <c r="Q60" i="5"/>
  <c r="R60" i="5" s="1"/>
  <c r="T67" i="5"/>
  <c r="U67" i="5" s="1"/>
  <c r="T83" i="5"/>
  <c r="U83" i="5" s="1"/>
  <c r="S104" i="5"/>
  <c r="P104" i="5"/>
  <c r="M104" i="5"/>
  <c r="N110" i="5"/>
  <c r="O110" i="5" s="1"/>
  <c r="S153" i="5"/>
  <c r="S31" i="5"/>
  <c r="P31" i="5"/>
  <c r="Q31" i="5" s="1"/>
  <c r="R31" i="5" s="1"/>
  <c r="S35" i="5"/>
  <c r="T35" i="5" s="1"/>
  <c r="U35" i="5" s="1"/>
  <c r="P35" i="5"/>
  <c r="M35" i="5"/>
  <c r="O38" i="5"/>
  <c r="H38" i="5"/>
  <c r="P41" i="5"/>
  <c r="Q41" i="5" s="1"/>
  <c r="R41" i="5" s="1"/>
  <c r="M41" i="5"/>
  <c r="N41" i="5" s="1"/>
  <c r="O41" i="5" s="1"/>
  <c r="N44" i="5"/>
  <c r="O44" i="5" s="1"/>
  <c r="S56" i="5"/>
  <c r="P56" i="5"/>
  <c r="M56" i="5"/>
  <c r="H87" i="5"/>
  <c r="O87" i="5"/>
  <c r="U87" i="5"/>
  <c r="V94" i="5"/>
  <c r="W94" i="5" s="1"/>
  <c r="I94" i="5"/>
  <c r="K94" i="5" s="1"/>
  <c r="T94" i="5"/>
  <c r="J94" i="5"/>
  <c r="H108" i="5"/>
  <c r="I29" i="5"/>
  <c r="K29" i="5" s="1"/>
  <c r="V29" i="5"/>
  <c r="W29" i="5" s="1"/>
  <c r="H35" i="5"/>
  <c r="N38" i="5"/>
  <c r="M49" i="5"/>
  <c r="N49" i="5" s="1"/>
  <c r="O49" i="5" s="1"/>
  <c r="S49" i="5"/>
  <c r="H56" i="5"/>
  <c r="N59" i="5"/>
  <c r="O59" i="5" s="1"/>
  <c r="T79" i="5"/>
  <c r="U79" i="5" s="1"/>
  <c r="N87" i="5"/>
  <c r="H132" i="5"/>
  <c r="J286" i="4"/>
  <c r="K286" i="4" s="1"/>
  <c r="O286" i="4"/>
  <c r="N289" i="4"/>
  <c r="L306" i="4"/>
  <c r="M306" i="4" s="1"/>
  <c r="M318" i="4"/>
  <c r="N323" i="4"/>
  <c r="I18" i="5"/>
  <c r="K18" i="5" s="1"/>
  <c r="P20" i="5"/>
  <c r="Q20" i="5" s="1"/>
  <c r="R20" i="5" s="1"/>
  <c r="U26" i="5"/>
  <c r="H31" i="5"/>
  <c r="S41" i="5"/>
  <c r="P58" i="5"/>
  <c r="M58" i="5"/>
  <c r="N58" i="5" s="1"/>
  <c r="O58" i="5" s="1"/>
  <c r="Q59" i="5"/>
  <c r="R59" i="5" s="1"/>
  <c r="H62" i="5"/>
  <c r="T92" i="5"/>
  <c r="U92" i="5" s="1"/>
  <c r="S125" i="5"/>
  <c r="T125" i="5" s="1"/>
  <c r="P125" i="5"/>
  <c r="Q125" i="5" s="1"/>
  <c r="M125" i="5"/>
  <c r="N125" i="5" s="1"/>
  <c r="H205" i="5"/>
  <c r="L272" i="4"/>
  <c r="M272" i="4" s="1"/>
  <c r="O289" i="4"/>
  <c r="R289" i="4" s="1"/>
  <c r="N318" i="4"/>
  <c r="J320" i="4"/>
  <c r="K320" i="4" s="1"/>
  <c r="M12" i="5"/>
  <c r="N12" i="5" s="1"/>
  <c r="S12" i="5"/>
  <c r="T12" i="5" s="1"/>
  <c r="U12" i="5" s="1"/>
  <c r="N13" i="5"/>
  <c r="O13" i="5" s="1"/>
  <c r="J18" i="5"/>
  <c r="P22" i="5"/>
  <c r="Q22" i="5" s="1"/>
  <c r="R22" i="5" s="1"/>
  <c r="S22" i="5"/>
  <c r="T22" i="5" s="1"/>
  <c r="U22" i="5" s="1"/>
  <c r="M22" i="5"/>
  <c r="N22" i="5" s="1"/>
  <c r="O22" i="5" s="1"/>
  <c r="I30" i="5"/>
  <c r="N46" i="5"/>
  <c r="O46" i="5" s="1"/>
  <c r="P49" i="5"/>
  <c r="Q49" i="5" s="1"/>
  <c r="R49" i="5" s="1"/>
  <c r="M51" i="5"/>
  <c r="N51" i="5" s="1"/>
  <c r="S51" i="5"/>
  <c r="T51" i="5" s="1"/>
  <c r="U51" i="5" s="1"/>
  <c r="P51" i="5"/>
  <c r="Q51" i="5" s="1"/>
  <c r="H58" i="5"/>
  <c r="H71" i="5"/>
  <c r="Q77" i="5"/>
  <c r="R77" i="5" s="1"/>
  <c r="T87" i="5"/>
  <c r="Q94" i="5"/>
  <c r="R94" i="5" s="1"/>
  <c r="H113" i="5"/>
  <c r="H117" i="5"/>
  <c r="T117" i="5" s="1"/>
  <c r="U117" i="5" s="1"/>
  <c r="R117" i="5"/>
  <c r="L255" i="4"/>
  <c r="M255" i="4" s="1"/>
  <c r="J261" i="4"/>
  <c r="K261" i="4" s="1"/>
  <c r="N306" i="4"/>
  <c r="J29" i="5"/>
  <c r="J30" i="5"/>
  <c r="N37" i="5"/>
  <c r="O37" i="5" s="1"/>
  <c r="T59" i="5"/>
  <c r="U59" i="5" s="1"/>
  <c r="N71" i="5"/>
  <c r="O71" i="5" s="1"/>
  <c r="P73" i="5"/>
  <c r="Q73" i="5" s="1"/>
  <c r="R73" i="5" s="1"/>
  <c r="S73" i="5"/>
  <c r="T73" i="5" s="1"/>
  <c r="U73" i="5" s="1"/>
  <c r="H79" i="5"/>
  <c r="M139" i="5"/>
  <c r="S139" i="5"/>
  <c r="P139" i="5"/>
  <c r="P159" i="5"/>
  <c r="M159" i="5"/>
  <c r="S159" i="5"/>
  <c r="M185" i="5"/>
  <c r="S185" i="5"/>
  <c r="P185" i="5"/>
  <c r="O264" i="4"/>
  <c r="O306" i="4"/>
  <c r="P318" i="4"/>
  <c r="N322" i="4"/>
  <c r="M322" i="4"/>
  <c r="P336" i="4"/>
  <c r="L336" i="4"/>
  <c r="U9" i="5"/>
  <c r="T14" i="5"/>
  <c r="H16" i="5"/>
  <c r="M19" i="5"/>
  <c r="N19" i="5" s="1"/>
  <c r="O19" i="5" s="1"/>
  <c r="N25" i="5"/>
  <c r="H28" i="5"/>
  <c r="N29" i="5"/>
  <c r="O29" i="5" s="1"/>
  <c r="K30" i="5"/>
  <c r="H34" i="5"/>
  <c r="U37" i="5"/>
  <c r="H37" i="5"/>
  <c r="Q37" i="5" s="1"/>
  <c r="R37" i="5" s="1"/>
  <c r="S40" i="5"/>
  <c r="T40" i="5" s="1"/>
  <c r="M40" i="5"/>
  <c r="N40" i="5" s="1"/>
  <c r="O40" i="5" s="1"/>
  <c r="V43" i="5"/>
  <c r="W43" i="5" s="1"/>
  <c r="I43" i="5"/>
  <c r="N43" i="5"/>
  <c r="J43" i="5"/>
  <c r="V51" i="5"/>
  <c r="W51" i="5" s="1"/>
  <c r="I51" i="5"/>
  <c r="K51" i="5" s="1"/>
  <c r="M73" i="5"/>
  <c r="P76" i="5"/>
  <c r="Q76" i="5" s="1"/>
  <c r="M76" i="5"/>
  <c r="N76" i="5" s="1"/>
  <c r="N79" i="5"/>
  <c r="O79" i="5" s="1"/>
  <c r="P105" i="5"/>
  <c r="Q105" i="5" s="1"/>
  <c r="R105" i="5" s="1"/>
  <c r="S105" i="5"/>
  <c r="T105" i="5" s="1"/>
  <c r="M105" i="5"/>
  <c r="N105" i="5" s="1"/>
  <c r="M123" i="5"/>
  <c r="P123" i="5"/>
  <c r="S123" i="5"/>
  <c r="H139" i="5"/>
  <c r="N177" i="5"/>
  <c r="O177" i="5" s="1"/>
  <c r="Q183" i="5"/>
  <c r="R183" i="5" s="1"/>
  <c r="O255" i="4"/>
  <c r="O272" i="4"/>
  <c r="O277" i="4"/>
  <c r="J277" i="4"/>
  <c r="K277" i="4" s="1"/>
  <c r="L313" i="4"/>
  <c r="M313" i="4" s="1"/>
  <c r="L322" i="4"/>
  <c r="M336" i="4"/>
  <c r="S11" i="5"/>
  <c r="T11" i="5" s="1"/>
  <c r="U11" i="5" s="1"/>
  <c r="M11" i="5"/>
  <c r="N11" i="5" s="1"/>
  <c r="O11" i="5" s="1"/>
  <c r="M31" i="5"/>
  <c r="N31" i="5" s="1"/>
  <c r="O31" i="5" s="1"/>
  <c r="H46" i="5"/>
  <c r="J51" i="5"/>
  <c r="V53" i="5"/>
  <c r="W53" i="5" s="1"/>
  <c r="I53" i="5"/>
  <c r="K53" i="5" s="1"/>
  <c r="S58" i="5"/>
  <c r="T71" i="5"/>
  <c r="U71" i="5" s="1"/>
  <c r="K105" i="5"/>
  <c r="I105" i="5"/>
  <c r="M109" i="5"/>
  <c r="P109" i="5"/>
  <c r="I119" i="5"/>
  <c r="K119" i="5" s="1"/>
  <c r="J119" i="5"/>
  <c r="T46" i="5"/>
  <c r="U46" i="5" s="1"/>
  <c r="J55" i="5"/>
  <c r="I55" i="5"/>
  <c r="M64" i="5"/>
  <c r="N64" i="5" s="1"/>
  <c r="O64" i="5" s="1"/>
  <c r="P64" i="5"/>
  <c r="Q64" i="5" s="1"/>
  <c r="R64" i="5" s="1"/>
  <c r="O75" i="5"/>
  <c r="R76" i="5"/>
  <c r="U76" i="5"/>
  <c r="O95" i="5"/>
  <c r="O105" i="5"/>
  <c r="H109" i="5"/>
  <c r="U119" i="5"/>
  <c r="O119" i="5"/>
  <c r="H124" i="5"/>
  <c r="H73" i="5"/>
  <c r="H88" i="5"/>
  <c r="J95" i="5"/>
  <c r="K95" i="5" s="1"/>
  <c r="P102" i="5"/>
  <c r="M102" i="5"/>
  <c r="S102" i="5"/>
  <c r="M113" i="5"/>
  <c r="P113" i="5"/>
  <c r="H148" i="5"/>
  <c r="J190" i="5"/>
  <c r="K190" i="5" s="1"/>
  <c r="V190" i="5"/>
  <c r="W190" i="5" s="1"/>
  <c r="K75" i="5"/>
  <c r="K76" i="5"/>
  <c r="H80" i="5"/>
  <c r="Q95" i="5"/>
  <c r="R95" i="5" s="1"/>
  <c r="H112" i="5"/>
  <c r="H118" i="5"/>
  <c r="H121" i="5"/>
  <c r="I134" i="5"/>
  <c r="K134" i="5" s="1"/>
  <c r="V134" i="5"/>
  <c r="W134" i="5" s="1"/>
  <c r="H158" i="5"/>
  <c r="S141" i="5"/>
  <c r="T141" i="5" s="1"/>
  <c r="M141" i="5"/>
  <c r="N141" i="5" s="1"/>
  <c r="P141" i="5"/>
  <c r="Q141" i="5" s="1"/>
  <c r="R141" i="5" s="1"/>
  <c r="H164" i="5"/>
  <c r="J170" i="5"/>
  <c r="V170" i="5"/>
  <c r="W170" i="5" s="1"/>
  <c r="K170" i="5"/>
  <c r="I170" i="5"/>
  <c r="N172" i="5"/>
  <c r="O172" i="5" s="1"/>
  <c r="U17" i="5"/>
  <c r="Q25" i="5"/>
  <c r="U43" i="5"/>
  <c r="S47" i="5"/>
  <c r="T47" i="5" s="1"/>
  <c r="U47" i="5" s="1"/>
  <c r="P47" i="5"/>
  <c r="Q47" i="5" s="1"/>
  <c r="R47" i="5" s="1"/>
  <c r="O51" i="5"/>
  <c r="O55" i="5"/>
  <c r="U72" i="5"/>
  <c r="O76" i="5"/>
  <c r="P86" i="5"/>
  <c r="Q86" i="5" s="1"/>
  <c r="R86" i="5" s="1"/>
  <c r="S86" i="5"/>
  <c r="T86" i="5" s="1"/>
  <c r="U86" i="5" s="1"/>
  <c r="M86" i="5"/>
  <c r="N86" i="5" s="1"/>
  <c r="O86" i="5" s="1"/>
  <c r="Q87" i="5"/>
  <c r="R87" i="5" s="1"/>
  <c r="M93" i="5"/>
  <c r="N93" i="5" s="1"/>
  <c r="O93" i="5" s="1"/>
  <c r="S93" i="5"/>
  <c r="T93" i="5" s="1"/>
  <c r="U93" i="5" s="1"/>
  <c r="N94" i="5"/>
  <c r="O94" i="5" s="1"/>
  <c r="U95" i="5"/>
  <c r="H98" i="5"/>
  <c r="Q98" i="5" s="1"/>
  <c r="R98" i="5" s="1"/>
  <c r="U101" i="5"/>
  <c r="R101" i="5"/>
  <c r="U105" i="5"/>
  <c r="P108" i="5"/>
  <c r="Q108" i="5" s="1"/>
  <c r="R108" i="5" s="1"/>
  <c r="M108" i="5"/>
  <c r="U115" i="5"/>
  <c r="H115" i="5"/>
  <c r="U141" i="5"/>
  <c r="O141" i="5"/>
  <c r="V174" i="5"/>
  <c r="W174" i="5" s="1"/>
  <c r="J174" i="5"/>
  <c r="I174" i="5"/>
  <c r="K174" i="5" s="1"/>
  <c r="M176" i="5"/>
  <c r="S176" i="5"/>
  <c r="T176" i="5" s="1"/>
  <c r="U176" i="5" s="1"/>
  <c r="K141" i="5"/>
  <c r="V141" i="5"/>
  <c r="W141" i="5" s="1"/>
  <c r="P156" i="5"/>
  <c r="S156" i="5"/>
  <c r="T172" i="5"/>
  <c r="U172" i="5" s="1"/>
  <c r="H180" i="5"/>
  <c r="U40" i="5"/>
  <c r="N53" i="5"/>
  <c r="O53" i="5" s="1"/>
  <c r="T60" i="5"/>
  <c r="U60" i="5" s="1"/>
  <c r="J90" i="5"/>
  <c r="I90" i="5"/>
  <c r="H97" i="5"/>
  <c r="R99" i="5"/>
  <c r="H104" i="5"/>
  <c r="H111" i="5"/>
  <c r="S115" i="5"/>
  <c r="T115" i="5" s="1"/>
  <c r="M115" i="5"/>
  <c r="N115" i="5" s="1"/>
  <c r="O115" i="5" s="1"/>
  <c r="R125" i="5"/>
  <c r="O125" i="5"/>
  <c r="H136" i="5"/>
  <c r="T138" i="5"/>
  <c r="U138" i="5" s="1"/>
  <c r="H138" i="5"/>
  <c r="H143" i="5"/>
  <c r="H171" i="5"/>
  <c r="R171" i="5"/>
  <c r="O171" i="5"/>
  <c r="T191" i="5"/>
  <c r="U191" i="5" s="1"/>
  <c r="P92" i="5"/>
  <c r="M92" i="5"/>
  <c r="V125" i="5"/>
  <c r="W125" i="5" s="1"/>
  <c r="I125" i="5"/>
  <c r="S15" i="5"/>
  <c r="T15" i="5" s="1"/>
  <c r="U15" i="5" s="1"/>
  <c r="P15" i="5"/>
  <c r="Q15" i="5" s="1"/>
  <c r="R15" i="5" s="1"/>
  <c r="K17" i="5"/>
  <c r="P52" i="5"/>
  <c r="Q52" i="5" s="1"/>
  <c r="R52" i="5" s="1"/>
  <c r="T75" i="5"/>
  <c r="U75" i="5" s="1"/>
  <c r="Q79" i="5"/>
  <c r="R79" i="5" s="1"/>
  <c r="S85" i="5"/>
  <c r="T85" i="5" s="1"/>
  <c r="P85" i="5"/>
  <c r="Q85" i="5" s="1"/>
  <c r="R85" i="5" s="1"/>
  <c r="U94" i="5"/>
  <c r="I99" i="5"/>
  <c r="H103" i="5"/>
  <c r="U107" i="5"/>
  <c r="P115" i="5"/>
  <c r="Q115" i="5" s="1"/>
  <c r="R115" i="5" s="1"/>
  <c r="J125" i="5"/>
  <c r="K125" i="5" s="1"/>
  <c r="H127" i="5"/>
  <c r="T127" i="5" s="1"/>
  <c r="U127" i="5" s="1"/>
  <c r="M131" i="5"/>
  <c r="N131" i="5" s="1"/>
  <c r="O131" i="5" s="1"/>
  <c r="P131" i="5"/>
  <c r="Q131" i="5" s="1"/>
  <c r="S140" i="5"/>
  <c r="T140" i="5" s="1"/>
  <c r="U140" i="5" s="1"/>
  <c r="P140" i="5"/>
  <c r="Q140" i="5" s="1"/>
  <c r="R140" i="5" s="1"/>
  <c r="S149" i="5"/>
  <c r="M149" i="5"/>
  <c r="H154" i="5"/>
  <c r="H165" i="5"/>
  <c r="S171" i="5"/>
  <c r="P171" i="5"/>
  <c r="Q171" i="5" s="1"/>
  <c r="M171" i="5"/>
  <c r="N171" i="5" s="1"/>
  <c r="H194" i="5"/>
  <c r="U194" i="5"/>
  <c r="M213" i="5"/>
  <c r="N213" i="5" s="1"/>
  <c r="O213" i="5" s="1"/>
  <c r="S213" i="5"/>
  <c r="P213" i="5"/>
  <c r="Q213" i="5" s="1"/>
  <c r="R213" i="5" s="1"/>
  <c r="I249" i="5"/>
  <c r="V249" i="5"/>
  <c r="W249" i="5" s="1"/>
  <c r="K249" i="5"/>
  <c r="J249" i="5"/>
  <c r="M16" i="5"/>
  <c r="N16" i="5" s="1"/>
  <c r="O16" i="5" s="1"/>
  <c r="P16" i="5"/>
  <c r="Q16" i="5" s="1"/>
  <c r="R16" i="5" s="1"/>
  <c r="P39" i="5"/>
  <c r="Q39" i="5" s="1"/>
  <c r="R39" i="5" s="1"/>
  <c r="O43" i="5"/>
  <c r="M47" i="5"/>
  <c r="N47" i="5" s="1"/>
  <c r="O47" i="5" s="1"/>
  <c r="R53" i="5"/>
  <c r="U55" i="5"/>
  <c r="Q71" i="5"/>
  <c r="R71" i="5" s="1"/>
  <c r="U85" i="5"/>
  <c r="O85" i="5"/>
  <c r="H89" i="5"/>
  <c r="H91" i="5"/>
  <c r="H92" i="5"/>
  <c r="P93" i="5"/>
  <c r="Q93" i="5" s="1"/>
  <c r="R93" i="5" s="1"/>
  <c r="J99" i="5"/>
  <c r="H107" i="5"/>
  <c r="T107" i="5" s="1"/>
  <c r="P120" i="5"/>
  <c r="Q120" i="5" s="1"/>
  <c r="R120" i="5" s="1"/>
  <c r="M120" i="5"/>
  <c r="N120" i="5" s="1"/>
  <c r="S120" i="5"/>
  <c r="T120" i="5" s="1"/>
  <c r="H131" i="5"/>
  <c r="P133" i="5"/>
  <c r="Q133" i="5" s="1"/>
  <c r="M133" i="5"/>
  <c r="N133" i="5" s="1"/>
  <c r="R135" i="5"/>
  <c r="H135" i="5"/>
  <c r="H147" i="5"/>
  <c r="T180" i="5"/>
  <c r="U180" i="5" s="1"/>
  <c r="H213" i="5"/>
  <c r="U30" i="5"/>
  <c r="Q44" i="5"/>
  <c r="R44" i="5" s="1"/>
  <c r="Q45" i="5"/>
  <c r="R45" i="5" s="1"/>
  <c r="T53" i="5"/>
  <c r="U53" i="5" s="1"/>
  <c r="V55" i="5"/>
  <c r="W55" i="5" s="1"/>
  <c r="H66" i="5"/>
  <c r="S69" i="5"/>
  <c r="T69" i="5" s="1"/>
  <c r="U69" i="5" s="1"/>
  <c r="P69" i="5"/>
  <c r="Q69" i="5" s="1"/>
  <c r="R69" i="5" s="1"/>
  <c r="R72" i="5"/>
  <c r="M77" i="5"/>
  <c r="N77" i="5" s="1"/>
  <c r="O77" i="5" s="1"/>
  <c r="S77" i="5"/>
  <c r="T77" i="5" s="1"/>
  <c r="U77" i="5" s="1"/>
  <c r="N78" i="5"/>
  <c r="O78" i="5" s="1"/>
  <c r="H82" i="5"/>
  <c r="V85" i="5"/>
  <c r="W85" i="5" s="1"/>
  <c r="J85" i="5"/>
  <c r="N90" i="5"/>
  <c r="K99" i="5"/>
  <c r="O101" i="5"/>
  <c r="T103" i="5"/>
  <c r="U103" i="5" s="1"/>
  <c r="N107" i="5"/>
  <c r="O107" i="5" s="1"/>
  <c r="H110" i="5"/>
  <c r="V114" i="5"/>
  <c r="W114" i="5" s="1"/>
  <c r="J114" i="5"/>
  <c r="K114" i="5" s="1"/>
  <c r="I114" i="5"/>
  <c r="Q117" i="5"/>
  <c r="H122" i="5"/>
  <c r="U125" i="5"/>
  <c r="R131" i="5"/>
  <c r="R133" i="5"/>
  <c r="O133" i="5"/>
  <c r="U133" i="5"/>
  <c r="H133" i="5"/>
  <c r="P149" i="5"/>
  <c r="M165" i="5"/>
  <c r="N165" i="5" s="1"/>
  <c r="O165" i="5" s="1"/>
  <c r="S165" i="5"/>
  <c r="P165" i="5"/>
  <c r="I167" i="5"/>
  <c r="V167" i="5"/>
  <c r="W167" i="5" s="1"/>
  <c r="J167" i="5"/>
  <c r="K167" i="5" s="1"/>
  <c r="M329" i="4"/>
  <c r="I17" i="5"/>
  <c r="S38" i="5"/>
  <c r="T38" i="5" s="1"/>
  <c r="U38" i="5" s="1"/>
  <c r="T44" i="5"/>
  <c r="U44" i="5" s="1"/>
  <c r="R51" i="5"/>
  <c r="Q78" i="5"/>
  <c r="R78" i="5" s="1"/>
  <c r="I85" i="5"/>
  <c r="O90" i="5"/>
  <c r="M96" i="5"/>
  <c r="N96" i="5" s="1"/>
  <c r="P96" i="5"/>
  <c r="N114" i="5"/>
  <c r="O114" i="5" s="1"/>
  <c r="K120" i="5"/>
  <c r="S131" i="5"/>
  <c r="T131" i="5" s="1"/>
  <c r="U131" i="5" s="1"/>
  <c r="M140" i="5"/>
  <c r="N140" i="5" s="1"/>
  <c r="O140" i="5" s="1"/>
  <c r="H142" i="5"/>
  <c r="H169" i="5"/>
  <c r="J325" i="4"/>
  <c r="K325" i="4" s="1"/>
  <c r="Q5" i="5"/>
  <c r="J17" i="5"/>
  <c r="R43" i="5"/>
  <c r="H65" i="5"/>
  <c r="R67" i="5"/>
  <c r="H69" i="5"/>
  <c r="J74" i="5"/>
  <c r="K74" i="5" s="1"/>
  <c r="I74" i="5"/>
  <c r="H81" i="5"/>
  <c r="T81" i="5" s="1"/>
  <c r="U81" i="5" s="1"/>
  <c r="R83" i="5"/>
  <c r="K85" i="5"/>
  <c r="O96" i="5"/>
  <c r="H96" i="5"/>
  <c r="M103" i="5"/>
  <c r="N103" i="5" s="1"/>
  <c r="O103" i="5" s="1"/>
  <c r="N117" i="5"/>
  <c r="O117" i="5" s="1"/>
  <c r="K130" i="5"/>
  <c r="J130" i="5"/>
  <c r="S133" i="5"/>
  <c r="T133" i="5" s="1"/>
  <c r="U155" i="5"/>
  <c r="O155" i="5"/>
  <c r="H155" i="5"/>
  <c r="Q155" i="5" s="1"/>
  <c r="R155" i="5" s="1"/>
  <c r="O190" i="5"/>
  <c r="T194" i="5"/>
  <c r="V145" i="5"/>
  <c r="W145" i="5" s="1"/>
  <c r="I145" i="5"/>
  <c r="K145" i="5" s="1"/>
  <c r="H163" i="5"/>
  <c r="H176" i="5"/>
  <c r="Q176" i="5" s="1"/>
  <c r="R176" i="5" s="1"/>
  <c r="H207" i="5"/>
  <c r="K215" i="5"/>
  <c r="V215" i="5"/>
  <c r="W215" i="5" s="1"/>
  <c r="N215" i="5"/>
  <c r="O215" i="5" s="1"/>
  <c r="N225" i="5"/>
  <c r="O225" i="5" s="1"/>
  <c r="P242" i="5"/>
  <c r="M242" i="5"/>
  <c r="N242" i="5" s="1"/>
  <c r="O242" i="5" s="1"/>
  <c r="S242" i="5"/>
  <c r="T242" i="5" s="1"/>
  <c r="U242" i="5" s="1"/>
  <c r="N249" i="5"/>
  <c r="T142" i="5"/>
  <c r="U142" i="5" s="1"/>
  <c r="N155" i="5"/>
  <c r="H159" i="5"/>
  <c r="S168" i="5"/>
  <c r="T168" i="5" s="1"/>
  <c r="U168" i="5" s="1"/>
  <c r="P168" i="5"/>
  <c r="Q172" i="5"/>
  <c r="R172" i="5" s="1"/>
  <c r="P175" i="5"/>
  <c r="M175" i="5"/>
  <c r="N175" i="5" s="1"/>
  <c r="S175" i="5"/>
  <c r="T175" i="5" s="1"/>
  <c r="U175" i="5" s="1"/>
  <c r="H182" i="5"/>
  <c r="H185" i="5"/>
  <c r="H229" i="5"/>
  <c r="H246" i="5"/>
  <c r="M144" i="5"/>
  <c r="N144" i="5" s="1"/>
  <c r="O144" i="5" s="1"/>
  <c r="S144" i="5"/>
  <c r="P148" i="5"/>
  <c r="M148" i="5"/>
  <c r="U161" i="5"/>
  <c r="H161" i="5"/>
  <c r="H168" i="5"/>
  <c r="O170" i="5"/>
  <c r="O175" i="5"/>
  <c r="H189" i="5"/>
  <c r="V239" i="5"/>
  <c r="W239" i="5" s="1"/>
  <c r="H116" i="5"/>
  <c r="S119" i="5"/>
  <c r="T119" i="5" s="1"/>
  <c r="M119" i="5"/>
  <c r="N119" i="5" s="1"/>
  <c r="H123" i="5"/>
  <c r="V137" i="5"/>
  <c r="W137" i="5" s="1"/>
  <c r="I137" i="5"/>
  <c r="K137" i="5" s="1"/>
  <c r="H162" i="5"/>
  <c r="H175" i="5"/>
  <c r="H206" i="5"/>
  <c r="I239" i="5"/>
  <c r="M121" i="5"/>
  <c r="T145" i="5"/>
  <c r="U145" i="5" s="1"/>
  <c r="S154" i="5"/>
  <c r="T154" i="5" s="1"/>
  <c r="U154" i="5" s="1"/>
  <c r="P154" i="5"/>
  <c r="Q154" i="5" s="1"/>
  <c r="R154" i="5" s="1"/>
  <c r="U167" i="5"/>
  <c r="P170" i="5"/>
  <c r="Q170" i="5" s="1"/>
  <c r="R170" i="5" s="1"/>
  <c r="M170" i="5"/>
  <c r="N170" i="5" s="1"/>
  <c r="S170" i="5"/>
  <c r="T170" i="5" s="1"/>
  <c r="U170" i="5" s="1"/>
  <c r="R174" i="5"/>
  <c r="N174" i="5"/>
  <c r="O174" i="5" s="1"/>
  <c r="J239" i="5"/>
  <c r="K239" i="5" s="1"/>
  <c r="H220" i="5"/>
  <c r="H204" i="5"/>
  <c r="U204" i="5"/>
  <c r="N214" i="5"/>
  <c r="O214" i="5" s="1"/>
  <c r="H230" i="5"/>
  <c r="Q230" i="5" s="1"/>
  <c r="R230" i="5"/>
  <c r="Q236" i="5"/>
  <c r="M112" i="5"/>
  <c r="N112" i="5" s="1"/>
  <c r="O112" i="5" s="1"/>
  <c r="P112" i="5"/>
  <c r="N128" i="5"/>
  <c r="O128" i="5" s="1"/>
  <c r="M132" i="5"/>
  <c r="N132" i="5" s="1"/>
  <c r="O132" i="5" s="1"/>
  <c r="M143" i="5"/>
  <c r="N143" i="5" s="1"/>
  <c r="O143" i="5" s="1"/>
  <c r="S143" i="5"/>
  <c r="H151" i="5"/>
  <c r="N161" i="5"/>
  <c r="P164" i="5"/>
  <c r="Q164" i="5" s="1"/>
  <c r="R164" i="5" s="1"/>
  <c r="S164" i="5"/>
  <c r="T164" i="5" s="1"/>
  <c r="U164" i="5" s="1"/>
  <c r="H166" i="5"/>
  <c r="N179" i="5"/>
  <c r="O179" i="5" s="1"/>
  <c r="V184" i="5"/>
  <c r="W184" i="5" s="1"/>
  <c r="K184" i="5"/>
  <c r="J184" i="5"/>
  <c r="I184" i="5"/>
  <c r="M186" i="5"/>
  <c r="N186" i="5" s="1"/>
  <c r="O186" i="5" s="1"/>
  <c r="S186" i="5"/>
  <c r="P186" i="5"/>
  <c r="M234" i="5"/>
  <c r="P234" i="5"/>
  <c r="H259" i="5"/>
  <c r="V262" i="5"/>
  <c r="W262" i="5" s="1"/>
  <c r="T262" i="5"/>
  <c r="Q262" i="5"/>
  <c r="R262" i="5" s="1"/>
  <c r="J262" i="5"/>
  <c r="I262" i="5"/>
  <c r="K262" i="5" s="1"/>
  <c r="H264" i="5"/>
  <c r="H274" i="5"/>
  <c r="P106" i="5"/>
  <c r="Q106" i="5" s="1"/>
  <c r="R106" i="5" s="1"/>
  <c r="T111" i="5"/>
  <c r="U111" i="5" s="1"/>
  <c r="Q122" i="5"/>
  <c r="R122" i="5" s="1"/>
  <c r="P135" i="5"/>
  <c r="Q135" i="5" s="1"/>
  <c r="M135" i="5"/>
  <c r="N135" i="5" s="1"/>
  <c r="O135" i="5" s="1"/>
  <c r="Q138" i="5"/>
  <c r="R138" i="5" s="1"/>
  <c r="H153" i="5"/>
  <c r="S155" i="5"/>
  <c r="T155" i="5" s="1"/>
  <c r="S157" i="5"/>
  <c r="P157" i="5"/>
  <c r="M157" i="5"/>
  <c r="U160" i="5"/>
  <c r="O161" i="5"/>
  <c r="N167" i="5"/>
  <c r="O167" i="5" s="1"/>
  <c r="S173" i="5"/>
  <c r="P173" i="5"/>
  <c r="N184" i="5"/>
  <c r="O184" i="5" s="1"/>
  <c r="H186" i="5"/>
  <c r="U210" i="5"/>
  <c r="S234" i="5"/>
  <c r="T82" i="5"/>
  <c r="U82" i="5" s="1"/>
  <c r="T98" i="5"/>
  <c r="U98" i="5" s="1"/>
  <c r="S121" i="5"/>
  <c r="T121" i="5" s="1"/>
  <c r="U121" i="5" s="1"/>
  <c r="M127" i="5"/>
  <c r="P127" i="5"/>
  <c r="Q127" i="5" s="1"/>
  <c r="R127" i="5" s="1"/>
  <c r="P128" i="5"/>
  <c r="Q128" i="5" s="1"/>
  <c r="R128" i="5" s="1"/>
  <c r="P132" i="5"/>
  <c r="Q132" i="5" s="1"/>
  <c r="R132" i="5" s="1"/>
  <c r="Q137" i="5"/>
  <c r="R137" i="5" s="1"/>
  <c r="S146" i="5"/>
  <c r="P146" i="5"/>
  <c r="M146" i="5"/>
  <c r="M154" i="5"/>
  <c r="N154" i="5" s="1"/>
  <c r="O154" i="5" s="1"/>
  <c r="Q161" i="5"/>
  <c r="R161" i="5" s="1"/>
  <c r="H173" i="5"/>
  <c r="H178" i="5"/>
  <c r="N178" i="5" s="1"/>
  <c r="O178" i="5" s="1"/>
  <c r="Q179" i="5"/>
  <c r="R179" i="5" s="1"/>
  <c r="Q184" i="5"/>
  <c r="R184" i="5" s="1"/>
  <c r="H210" i="5"/>
  <c r="T18" i="5"/>
  <c r="U18" i="5" s="1"/>
  <c r="T34" i="5"/>
  <c r="U34" i="5" s="1"/>
  <c r="T50" i="5"/>
  <c r="U50" i="5" s="1"/>
  <c r="R116" i="5"/>
  <c r="Q118" i="5"/>
  <c r="R118" i="5" s="1"/>
  <c r="P119" i="5"/>
  <c r="Q119" i="5" s="1"/>
  <c r="R119" i="5" s="1"/>
  <c r="O134" i="5"/>
  <c r="R134" i="5"/>
  <c r="H146" i="5"/>
  <c r="H150" i="5"/>
  <c r="H157" i="5"/>
  <c r="M160" i="5"/>
  <c r="N160" i="5" s="1"/>
  <c r="O160" i="5" s="1"/>
  <c r="S160" i="5"/>
  <c r="T160" i="5" s="1"/>
  <c r="M164" i="5"/>
  <c r="N164" i="5" s="1"/>
  <c r="O164" i="5" s="1"/>
  <c r="Q167" i="5"/>
  <c r="R167" i="5" s="1"/>
  <c r="P169" i="5"/>
  <c r="Q169" i="5" s="1"/>
  <c r="R169" i="5" s="1"/>
  <c r="M169" i="5"/>
  <c r="N169" i="5" s="1"/>
  <c r="O169" i="5" s="1"/>
  <c r="S169" i="5"/>
  <c r="T169" i="5" s="1"/>
  <c r="U169" i="5" s="1"/>
  <c r="V179" i="5"/>
  <c r="W179" i="5" s="1"/>
  <c r="M181" i="5"/>
  <c r="S181" i="5"/>
  <c r="P181" i="5"/>
  <c r="H183" i="5"/>
  <c r="N183" i="5"/>
  <c r="O183" i="5" s="1"/>
  <c r="P190" i="5"/>
  <c r="Q190" i="5" s="1"/>
  <c r="R190" i="5" s="1"/>
  <c r="M190" i="5"/>
  <c r="N190" i="5" s="1"/>
  <c r="S190" i="5"/>
  <c r="T190" i="5" s="1"/>
  <c r="U190" i="5" s="1"/>
  <c r="N67" i="5"/>
  <c r="O67" i="5" s="1"/>
  <c r="N83" i="5"/>
  <c r="O83" i="5" s="1"/>
  <c r="N99" i="5"/>
  <c r="O99" i="5" s="1"/>
  <c r="H126" i="5"/>
  <c r="T126" i="5" s="1"/>
  <c r="U126" i="5" s="1"/>
  <c r="O130" i="5"/>
  <c r="P143" i="5"/>
  <c r="Q143" i="5" s="1"/>
  <c r="R143" i="5" s="1"/>
  <c r="H156" i="5"/>
  <c r="H160" i="5"/>
  <c r="T161" i="5"/>
  <c r="N166" i="5"/>
  <c r="O166" i="5" s="1"/>
  <c r="T174" i="5"/>
  <c r="U174" i="5" s="1"/>
  <c r="T184" i="5"/>
  <c r="U184" i="5" s="1"/>
  <c r="N259" i="5"/>
  <c r="O259" i="5" s="1"/>
  <c r="M207" i="5"/>
  <c r="N207" i="5" s="1"/>
  <c r="O207" i="5" s="1"/>
  <c r="S207" i="5"/>
  <c r="T207" i="5" s="1"/>
  <c r="U207" i="5" s="1"/>
  <c r="J257" i="5"/>
  <c r="I257" i="5"/>
  <c r="K257" i="5" s="1"/>
  <c r="N262" i="5"/>
  <c r="O262" i="5" s="1"/>
  <c r="P210" i="5"/>
  <c r="S210" i="5"/>
  <c r="T210" i="5" s="1"/>
  <c r="Q217" i="5"/>
  <c r="R217" i="5" s="1"/>
  <c r="H223" i="5"/>
  <c r="R223" i="5"/>
  <c r="O239" i="5"/>
  <c r="Q239" i="5"/>
  <c r="R239" i="5" s="1"/>
  <c r="U239" i="5"/>
  <c r="K251" i="5"/>
  <c r="J251" i="5"/>
  <c r="I251" i="5"/>
  <c r="V251" i="5"/>
  <c r="W251" i="5" s="1"/>
  <c r="I198" i="5"/>
  <c r="M204" i="5"/>
  <c r="N204" i="5" s="1"/>
  <c r="O204" i="5" s="1"/>
  <c r="S204" i="5"/>
  <c r="T204" i="5" s="1"/>
  <c r="P204" i="5"/>
  <c r="P207" i="5"/>
  <c r="Q207" i="5" s="1"/>
  <c r="R207" i="5" s="1"/>
  <c r="Q223" i="5"/>
  <c r="N239" i="5"/>
  <c r="T249" i="5"/>
  <c r="U120" i="5"/>
  <c r="Q130" i="5"/>
  <c r="R130" i="5" s="1"/>
  <c r="S162" i="5"/>
  <c r="P162" i="5"/>
  <c r="T163" i="5"/>
  <c r="U163" i="5" s="1"/>
  <c r="S189" i="5"/>
  <c r="P189" i="5"/>
  <c r="M189" i="5"/>
  <c r="S209" i="5"/>
  <c r="P209" i="5"/>
  <c r="M210" i="5"/>
  <c r="N210" i="5" s="1"/>
  <c r="O210" i="5" s="1"/>
  <c r="H214" i="5"/>
  <c r="U214" i="5"/>
  <c r="N220" i="5"/>
  <c r="O220" i="5" s="1"/>
  <c r="M246" i="5"/>
  <c r="N246" i="5" s="1"/>
  <c r="O246" i="5" s="1"/>
  <c r="S246" i="5"/>
  <c r="T246" i="5" s="1"/>
  <c r="U246" i="5" s="1"/>
  <c r="H297" i="5"/>
  <c r="H212" i="5"/>
  <c r="Q215" i="5"/>
  <c r="R215" i="5" s="1"/>
  <c r="T220" i="5"/>
  <c r="U220" i="5" s="1"/>
  <c r="Q231" i="5"/>
  <c r="R231" i="5" s="1"/>
  <c r="V238" i="5"/>
  <c r="W238" i="5" s="1"/>
  <c r="J238" i="5"/>
  <c r="I238" i="5"/>
  <c r="Q246" i="5"/>
  <c r="R246" i="5" s="1"/>
  <c r="J254" i="5"/>
  <c r="I254" i="5"/>
  <c r="K254" i="5" s="1"/>
  <c r="V254" i="5"/>
  <c r="W254" i="5" s="1"/>
  <c r="N147" i="5"/>
  <c r="O147" i="5" s="1"/>
  <c r="Q174" i="5"/>
  <c r="H197" i="5"/>
  <c r="J198" i="5"/>
  <c r="H209" i="5"/>
  <c r="H224" i="5"/>
  <c r="T224" i="5" s="1"/>
  <c r="U224" i="5"/>
  <c r="T215" i="5"/>
  <c r="U215" i="5" s="1"/>
  <c r="U244" i="5"/>
  <c r="H244" i="5"/>
  <c r="H250" i="5"/>
  <c r="V291" i="5"/>
  <c r="W291" i="5" s="1"/>
  <c r="I291" i="5"/>
  <c r="K291" i="5"/>
  <c r="H181" i="5"/>
  <c r="S188" i="5"/>
  <c r="P188" i="5"/>
  <c r="N192" i="5"/>
  <c r="O192" i="5" s="1"/>
  <c r="Q198" i="5"/>
  <c r="H203" i="5"/>
  <c r="N206" i="5"/>
  <c r="O206" i="5" s="1"/>
  <c r="H233" i="5"/>
  <c r="R233" i="5"/>
  <c r="H268" i="5"/>
  <c r="U268" i="5"/>
  <c r="Q268" i="5"/>
  <c r="R268" i="5" s="1"/>
  <c r="N268" i="5"/>
  <c r="O268" i="5" s="1"/>
  <c r="J291" i="5"/>
  <c r="U307" i="5"/>
  <c r="H307" i="5"/>
  <c r="S314" i="5"/>
  <c r="P314" i="5"/>
  <c r="M314" i="5"/>
  <c r="M145" i="5"/>
  <c r="N145" i="5" s="1"/>
  <c r="O145" i="5" s="1"/>
  <c r="M163" i="5"/>
  <c r="N163" i="5" s="1"/>
  <c r="O163" i="5" s="1"/>
  <c r="P180" i="5"/>
  <c r="Q180" i="5" s="1"/>
  <c r="R180" i="5" s="1"/>
  <c r="M180" i="5"/>
  <c r="N180" i="5" s="1"/>
  <c r="O180" i="5" s="1"/>
  <c r="H188" i="5"/>
  <c r="N188" i="5" s="1"/>
  <c r="O188" i="5" s="1"/>
  <c r="H192" i="5"/>
  <c r="R198" i="5"/>
  <c r="M209" i="5"/>
  <c r="N209" i="5" s="1"/>
  <c r="O209" i="5" s="1"/>
  <c r="Q214" i="5"/>
  <c r="R214" i="5" s="1"/>
  <c r="U219" i="5"/>
  <c r="R219" i="5"/>
  <c r="O219" i="5"/>
  <c r="H219" i="5"/>
  <c r="T230" i="5"/>
  <c r="U230" i="5" s="1"/>
  <c r="S244" i="5"/>
  <c r="T244" i="5" s="1"/>
  <c r="P244" i="5"/>
  <c r="Q244" i="5" s="1"/>
  <c r="R244" i="5" s="1"/>
  <c r="M244" i="5"/>
  <c r="N244" i="5" s="1"/>
  <c r="O244" i="5" s="1"/>
  <c r="N291" i="5"/>
  <c r="H149" i="5"/>
  <c r="N151" i="5"/>
  <c r="O151" i="5" s="1"/>
  <c r="M162" i="5"/>
  <c r="H177" i="5"/>
  <c r="H187" i="5"/>
  <c r="Q187" i="5" s="1"/>
  <c r="R187" i="5" s="1"/>
  <c r="U187" i="5"/>
  <c r="H191" i="5"/>
  <c r="R191" i="5"/>
  <c r="P192" i="5"/>
  <c r="T214" i="5"/>
  <c r="H217" i="5"/>
  <c r="R232" i="5"/>
  <c r="O232" i="5"/>
  <c r="T232" i="5"/>
  <c r="U232" i="5" s="1"/>
  <c r="H232" i="5"/>
  <c r="H253" i="5"/>
  <c r="Q253" i="5"/>
  <c r="R253" i="5" s="1"/>
  <c r="S279" i="5"/>
  <c r="P279" i="5"/>
  <c r="M279" i="5"/>
  <c r="O120" i="5"/>
  <c r="I129" i="5"/>
  <c r="K129" i="5" s="1"/>
  <c r="P147" i="5"/>
  <c r="Q147" i="5" s="1"/>
  <c r="R147" i="5" s="1"/>
  <c r="Q158" i="5"/>
  <c r="R158" i="5" s="1"/>
  <c r="P163" i="5"/>
  <c r="Q163" i="5" s="1"/>
  <c r="R163" i="5" s="1"/>
  <c r="T179" i="5"/>
  <c r="U179" i="5" s="1"/>
  <c r="R203" i="5"/>
  <c r="S219" i="5"/>
  <c r="T219" i="5" s="1"/>
  <c r="P219" i="5"/>
  <c r="Q219" i="5" s="1"/>
  <c r="M219" i="5"/>
  <c r="N219" i="5" s="1"/>
  <c r="H234" i="5"/>
  <c r="I240" i="5"/>
  <c r="V240" i="5"/>
  <c r="W240" i="5" s="1"/>
  <c r="H242" i="5"/>
  <c r="H279" i="5"/>
  <c r="Q126" i="5"/>
  <c r="R126" i="5" s="1"/>
  <c r="J129" i="5"/>
  <c r="T158" i="5"/>
  <c r="U158" i="5" s="1"/>
  <c r="S178" i="5"/>
  <c r="T178" i="5" s="1"/>
  <c r="U178" i="5" s="1"/>
  <c r="P178" i="5"/>
  <c r="Q178" i="5" s="1"/>
  <c r="R178" i="5" s="1"/>
  <c r="T187" i="5"/>
  <c r="P191" i="5"/>
  <c r="Q191" i="5" s="1"/>
  <c r="M191" i="5"/>
  <c r="N191" i="5" s="1"/>
  <c r="O191" i="5" s="1"/>
  <c r="U198" i="5"/>
  <c r="U203" i="5"/>
  <c r="S205" i="5"/>
  <c r="T205" i="5" s="1"/>
  <c r="U205" i="5" s="1"/>
  <c r="P205" i="5"/>
  <c r="Q205" i="5" s="1"/>
  <c r="R205" i="5" s="1"/>
  <c r="M205" i="5"/>
  <c r="N205" i="5" s="1"/>
  <c r="O205" i="5" s="1"/>
  <c r="Q224" i="5"/>
  <c r="R224" i="5" s="1"/>
  <c r="M230" i="5"/>
  <c r="N230" i="5" s="1"/>
  <c r="O230" i="5" s="1"/>
  <c r="J240" i="5"/>
  <c r="H288" i="5"/>
  <c r="O288" i="5"/>
  <c r="N288" i="5"/>
  <c r="Q266" i="5"/>
  <c r="R266" i="5" s="1"/>
  <c r="P305" i="5"/>
  <c r="Q305" i="5" s="1"/>
  <c r="R305" i="5" s="1"/>
  <c r="M305" i="5"/>
  <c r="N305" i="5" s="1"/>
  <c r="O305" i="5" s="1"/>
  <c r="S305" i="5"/>
  <c r="T305" i="5" s="1"/>
  <c r="U305" i="5" s="1"/>
  <c r="T316" i="5"/>
  <c r="U316" i="5" s="1"/>
  <c r="H236" i="5"/>
  <c r="T236" i="5" s="1"/>
  <c r="U236" i="5" s="1"/>
  <c r="T240" i="5"/>
  <c r="H256" i="5"/>
  <c r="T259" i="5"/>
  <c r="U259" i="5" s="1"/>
  <c r="T268" i="5"/>
  <c r="P229" i="5"/>
  <c r="Q229" i="5" s="1"/>
  <c r="R229" i="5" s="1"/>
  <c r="S229" i="5"/>
  <c r="T229" i="5" s="1"/>
  <c r="U229" i="5" s="1"/>
  <c r="M233" i="5"/>
  <c r="N233" i="5" s="1"/>
  <c r="O233" i="5" s="1"/>
  <c r="P233" i="5"/>
  <c r="Q233" i="5" s="1"/>
  <c r="H247" i="5"/>
  <c r="N253" i="5"/>
  <c r="O253" i="5" s="1"/>
  <c r="H258" i="5"/>
  <c r="Q258" i="5" s="1"/>
  <c r="R258" i="5" s="1"/>
  <c r="H271" i="5"/>
  <c r="U271" i="5"/>
  <c r="Q271" i="5"/>
  <c r="R271" i="5" s="1"/>
  <c r="H283" i="5"/>
  <c r="H312" i="5"/>
  <c r="T310" i="5"/>
  <c r="R218" i="5"/>
  <c r="O218" i="5"/>
  <c r="R245" i="5"/>
  <c r="O245" i="5"/>
  <c r="U245" i="5"/>
  <c r="H245" i="5"/>
  <c r="H260" i="5"/>
  <c r="O260" i="5"/>
  <c r="N260" i="5"/>
  <c r="H298" i="5"/>
  <c r="V310" i="5"/>
  <c r="W310" i="5" s="1"/>
  <c r="I310" i="5"/>
  <c r="K310" i="5" s="1"/>
  <c r="M312" i="5"/>
  <c r="N312" i="5" s="1"/>
  <c r="O312" i="5" s="1"/>
  <c r="S312" i="5"/>
  <c r="P312" i="5"/>
  <c r="S203" i="5"/>
  <c r="T203" i="5" s="1"/>
  <c r="M203" i="5"/>
  <c r="N203" i="5" s="1"/>
  <c r="O203" i="5" s="1"/>
  <c r="P203" i="5"/>
  <c r="Q203" i="5" s="1"/>
  <c r="H252" i="5"/>
  <c r="N258" i="5"/>
  <c r="O258" i="5" s="1"/>
  <c r="H263" i="5"/>
  <c r="H276" i="5"/>
  <c r="K289" i="5"/>
  <c r="V289" i="5"/>
  <c r="W289" i="5" s="1"/>
  <c r="J310" i="5"/>
  <c r="Q194" i="5"/>
  <c r="R194" i="5" s="1"/>
  <c r="P212" i="5"/>
  <c r="Q212" i="5" s="1"/>
  <c r="R212" i="5" s="1"/>
  <c r="M212" i="5"/>
  <c r="N212" i="5" s="1"/>
  <c r="O212" i="5" s="1"/>
  <c r="S218" i="5"/>
  <c r="T218" i="5" s="1"/>
  <c r="U218" i="5" s="1"/>
  <c r="P218" i="5"/>
  <c r="Q218" i="5" s="1"/>
  <c r="H221" i="5"/>
  <c r="S228" i="5"/>
  <c r="T228" i="5" s="1"/>
  <c r="U228" i="5" s="1"/>
  <c r="P228" i="5"/>
  <c r="Q228" i="5" s="1"/>
  <c r="R228" i="5" s="1"/>
  <c r="S233" i="5"/>
  <c r="T233" i="5" s="1"/>
  <c r="U233" i="5" s="1"/>
  <c r="J235" i="5"/>
  <c r="K235" i="5" s="1"/>
  <c r="I235" i="5"/>
  <c r="Q238" i="5"/>
  <c r="R238" i="5" s="1"/>
  <c r="S241" i="5"/>
  <c r="T241" i="5" s="1"/>
  <c r="M241" i="5"/>
  <c r="N241" i="5" s="1"/>
  <c r="O241" i="5" s="1"/>
  <c r="P245" i="5"/>
  <c r="Q245" i="5" s="1"/>
  <c r="S245" i="5"/>
  <c r="T245" i="5" s="1"/>
  <c r="M245" i="5"/>
  <c r="N245" i="5" s="1"/>
  <c r="H267" i="5"/>
  <c r="P269" i="5"/>
  <c r="M269" i="5"/>
  <c r="S269" i="5"/>
  <c r="T269" i="5" s="1"/>
  <c r="U269" i="5" s="1"/>
  <c r="N271" i="5"/>
  <c r="O271" i="5" s="1"/>
  <c r="I289" i="5"/>
  <c r="M308" i="5"/>
  <c r="S308" i="5"/>
  <c r="P308" i="5"/>
  <c r="Q308" i="5" s="1"/>
  <c r="R308" i="5" s="1"/>
  <c r="H317" i="5"/>
  <c r="V333" i="5"/>
  <c r="W333" i="5" s="1"/>
  <c r="J333" i="5"/>
  <c r="K333" i="5" s="1"/>
  <c r="H193" i="5"/>
  <c r="Q197" i="5"/>
  <c r="R197" i="5" s="1"/>
  <c r="N198" i="5"/>
  <c r="O198" i="5" s="1"/>
  <c r="H200" i="5"/>
  <c r="S202" i="5"/>
  <c r="P202" i="5"/>
  <c r="H218" i="5"/>
  <c r="V222" i="5"/>
  <c r="W222" i="5" s="1"/>
  <c r="K222" i="5"/>
  <c r="J222" i="5"/>
  <c r="I222" i="5"/>
  <c r="M229" i="5"/>
  <c r="N229" i="5" s="1"/>
  <c r="O229" i="5" s="1"/>
  <c r="N232" i="5"/>
  <c r="R236" i="5"/>
  <c r="T238" i="5"/>
  <c r="U238" i="5" s="1"/>
  <c r="U241" i="5"/>
  <c r="S243" i="5"/>
  <c r="T243" i="5" s="1"/>
  <c r="U243" i="5" s="1"/>
  <c r="P243" i="5"/>
  <c r="Q243" i="5" s="1"/>
  <c r="R243" i="5" s="1"/>
  <c r="M243" i="5"/>
  <c r="N243" i="5" s="1"/>
  <c r="O243" i="5" s="1"/>
  <c r="T252" i="5"/>
  <c r="U252" i="5" s="1"/>
  <c r="H255" i="5"/>
  <c r="Q263" i="5"/>
  <c r="R263" i="5" s="1"/>
  <c r="H269" i="5"/>
  <c r="J289" i="5"/>
  <c r="H308" i="5"/>
  <c r="N310" i="5"/>
  <c r="O310" i="5" s="1"/>
  <c r="I333" i="5"/>
  <c r="I195" i="5"/>
  <c r="K195" i="5" s="1"/>
  <c r="H196" i="5"/>
  <c r="M201" i="5"/>
  <c r="N201" i="5" s="1"/>
  <c r="O201" i="5" s="1"/>
  <c r="S201" i="5"/>
  <c r="T201" i="5" s="1"/>
  <c r="U201" i="5" s="1"/>
  <c r="H202" i="5"/>
  <c r="T206" i="5"/>
  <c r="U206" i="5" s="1"/>
  <c r="J227" i="5"/>
  <c r="V227" i="5"/>
  <c r="W227" i="5" s="1"/>
  <c r="H228" i="5"/>
  <c r="Q232" i="5"/>
  <c r="J241" i="5"/>
  <c r="V241" i="5"/>
  <c r="W241" i="5" s="1"/>
  <c r="J243" i="5"/>
  <c r="V243" i="5"/>
  <c r="W243" i="5" s="1"/>
  <c r="I243" i="5"/>
  <c r="K243" i="5" s="1"/>
  <c r="N252" i="5"/>
  <c r="O252" i="5" s="1"/>
  <c r="Q260" i="5"/>
  <c r="R260" i="5" s="1"/>
  <c r="Q306" i="5"/>
  <c r="R306" i="5" s="1"/>
  <c r="V327" i="5"/>
  <c r="W327" i="5" s="1"/>
  <c r="J327" i="5"/>
  <c r="H152" i="5"/>
  <c r="I199" i="5"/>
  <c r="R201" i="5"/>
  <c r="M211" i="5"/>
  <c r="P211" i="5"/>
  <c r="I227" i="5"/>
  <c r="K227" i="5" s="1"/>
  <c r="I241" i="5"/>
  <c r="K241" i="5" s="1"/>
  <c r="R255" i="5"/>
  <c r="T260" i="5"/>
  <c r="U260" i="5" s="1"/>
  <c r="H318" i="5"/>
  <c r="I327" i="5"/>
  <c r="K327" i="5" s="1"/>
  <c r="J199" i="5"/>
  <c r="K199" i="5" s="1"/>
  <c r="V201" i="5"/>
  <c r="W201" i="5" s="1"/>
  <c r="K201" i="5"/>
  <c r="H211" i="5"/>
  <c r="M217" i="5"/>
  <c r="N217" i="5" s="1"/>
  <c r="O217" i="5" s="1"/>
  <c r="S217" i="5"/>
  <c r="T217" i="5" s="1"/>
  <c r="U217" i="5" s="1"/>
  <c r="M218" i="5"/>
  <c r="N218" i="5" s="1"/>
  <c r="P222" i="5"/>
  <c r="Q222" i="5" s="1"/>
  <c r="R222" i="5" s="1"/>
  <c r="O240" i="5"/>
  <c r="U240" i="5"/>
  <c r="Q240" i="5"/>
  <c r="R240" i="5" s="1"/>
  <c r="P241" i="5"/>
  <c r="Q241" i="5" s="1"/>
  <c r="R241" i="5" s="1"/>
  <c r="U249" i="5"/>
  <c r="O249" i="5"/>
  <c r="H275" i="5"/>
  <c r="U291" i="5"/>
  <c r="O291" i="5"/>
  <c r="Q289" i="5"/>
  <c r="R289" i="5" s="1"/>
  <c r="H295" i="5"/>
  <c r="H314" i="5"/>
  <c r="S333" i="5"/>
  <c r="T333" i="5" s="1"/>
  <c r="U333" i="5" s="1"/>
  <c r="P333" i="5"/>
  <c r="Q333" i="5" s="1"/>
  <c r="R333" i="5" s="1"/>
  <c r="M333" i="5"/>
  <c r="N333" i="5" s="1"/>
  <c r="O333" i="5" s="1"/>
  <c r="R248" i="5"/>
  <c r="O248" i="5"/>
  <c r="P285" i="5"/>
  <c r="M285" i="5"/>
  <c r="S285" i="5"/>
  <c r="H287" i="5"/>
  <c r="M289" i="5"/>
  <c r="N289" i="5" s="1"/>
  <c r="O289" i="5" s="1"/>
  <c r="S297" i="5"/>
  <c r="P297" i="5"/>
  <c r="M297" i="5"/>
  <c r="T303" i="5"/>
  <c r="U303" i="5" s="1"/>
  <c r="V305" i="5"/>
  <c r="W305" i="5" s="1"/>
  <c r="J305" i="5"/>
  <c r="I305" i="5"/>
  <c r="K305" i="5" s="1"/>
  <c r="Q250" i="5"/>
  <c r="R250" i="5" s="1"/>
  <c r="S251" i="5"/>
  <c r="T251" i="5" s="1"/>
  <c r="U251" i="5" s="1"/>
  <c r="P251" i="5"/>
  <c r="Q251" i="5" s="1"/>
  <c r="R251" i="5" s="1"/>
  <c r="M251" i="5"/>
  <c r="N251" i="5" s="1"/>
  <c r="O251" i="5" s="1"/>
  <c r="H270" i="5"/>
  <c r="H285" i="5"/>
  <c r="Q291" i="5"/>
  <c r="R291" i="5" s="1"/>
  <c r="N295" i="5"/>
  <c r="O295" i="5" s="1"/>
  <c r="S299" i="5"/>
  <c r="T299" i="5" s="1"/>
  <c r="U299" i="5" s="1"/>
  <c r="P299" i="5"/>
  <c r="Q299" i="5" s="1"/>
  <c r="R299" i="5" s="1"/>
  <c r="M299" i="5"/>
  <c r="N299" i="5" s="1"/>
  <c r="O299" i="5" s="1"/>
  <c r="M309" i="5"/>
  <c r="N309" i="5" s="1"/>
  <c r="O309" i="5" s="1"/>
  <c r="P309" i="5"/>
  <c r="Q309" i="5" s="1"/>
  <c r="R309" i="5" s="1"/>
  <c r="P318" i="5"/>
  <c r="M318" i="5"/>
  <c r="N318" i="5" s="1"/>
  <c r="O318" i="5" s="1"/>
  <c r="V326" i="5"/>
  <c r="W326" i="5" s="1"/>
  <c r="Q326" i="5"/>
  <c r="R326" i="5" s="1"/>
  <c r="K326" i="5"/>
  <c r="J326" i="5"/>
  <c r="I326" i="5"/>
  <c r="H328" i="5"/>
  <c r="I248" i="5"/>
  <c r="K248" i="5" s="1"/>
  <c r="O254" i="5"/>
  <c r="T255" i="5"/>
  <c r="U255" i="5" s="1"/>
  <c r="O257" i="5"/>
  <c r="T271" i="5"/>
  <c r="J278" i="5"/>
  <c r="K278" i="5" s="1"/>
  <c r="H282" i="5"/>
  <c r="T291" i="5"/>
  <c r="K309" i="5"/>
  <c r="I309" i="5"/>
  <c r="V309" i="5"/>
  <c r="W309" i="5" s="1"/>
  <c r="S318" i="5"/>
  <c r="T318" i="5" s="1"/>
  <c r="U318" i="5" s="1"/>
  <c r="H320" i="5"/>
  <c r="T320" i="5"/>
  <c r="U320" i="5" s="1"/>
  <c r="R320" i="5"/>
  <c r="H323" i="5"/>
  <c r="N326" i="5"/>
  <c r="O326" i="5" s="1"/>
  <c r="N263" i="5"/>
  <c r="O263" i="5" s="1"/>
  <c r="P270" i="5"/>
  <c r="Q270" i="5" s="1"/>
  <c r="R270" i="5" s="1"/>
  <c r="M270" i="5"/>
  <c r="N270" i="5" s="1"/>
  <c r="O270" i="5" s="1"/>
  <c r="P273" i="5"/>
  <c r="S273" i="5"/>
  <c r="T273" i="5" s="1"/>
  <c r="U273" i="5" s="1"/>
  <c r="M277" i="5"/>
  <c r="N277" i="5" s="1"/>
  <c r="O277" i="5" s="1"/>
  <c r="S277" i="5"/>
  <c r="T277" i="5" s="1"/>
  <c r="U277" i="5" s="1"/>
  <c r="S289" i="5"/>
  <c r="T289" i="5" s="1"/>
  <c r="U289" i="5" s="1"/>
  <c r="U295" i="5"/>
  <c r="I299" i="5"/>
  <c r="V299" i="5"/>
  <c r="W299" i="5" s="1"/>
  <c r="T300" i="5"/>
  <c r="P302" i="5"/>
  <c r="M302" i="5"/>
  <c r="S302" i="5"/>
  <c r="H311" i="5"/>
  <c r="H313" i="5"/>
  <c r="I332" i="5"/>
  <c r="V332" i="5"/>
  <c r="W332" i="5" s="1"/>
  <c r="K332" i="5"/>
  <c r="H334" i="5"/>
  <c r="T334" i="5" s="1"/>
  <c r="U334" i="5" s="1"/>
  <c r="T223" i="5"/>
  <c r="U223" i="5" s="1"/>
  <c r="S235" i="5"/>
  <c r="T235" i="5" s="1"/>
  <c r="U235" i="5" s="1"/>
  <c r="P235" i="5"/>
  <c r="Q235" i="5" s="1"/>
  <c r="R235" i="5" s="1"/>
  <c r="M235" i="5"/>
  <c r="N235" i="5" s="1"/>
  <c r="O235" i="5" s="1"/>
  <c r="H273" i="5"/>
  <c r="K277" i="5"/>
  <c r="I277" i="5"/>
  <c r="V277" i="5"/>
  <c r="W277" i="5" s="1"/>
  <c r="N287" i="5"/>
  <c r="J299" i="5"/>
  <c r="K299" i="5" s="1"/>
  <c r="J332" i="5"/>
  <c r="Q206" i="5"/>
  <c r="R206" i="5" s="1"/>
  <c r="V208" i="5"/>
  <c r="W208" i="5" s="1"/>
  <c r="P252" i="5"/>
  <c r="Q252" i="5" s="1"/>
  <c r="R252" i="5" s="1"/>
  <c r="J277" i="5"/>
  <c r="H284" i="5"/>
  <c r="R284" i="5"/>
  <c r="Q284" i="5"/>
  <c r="N284" i="5"/>
  <c r="O284" i="5" s="1"/>
  <c r="O287" i="5"/>
  <c r="I293" i="5"/>
  <c r="K293" i="5" s="1"/>
  <c r="V293" i="5"/>
  <c r="W293" i="5" s="1"/>
  <c r="H306" i="5"/>
  <c r="T306" i="5" s="1"/>
  <c r="U306" i="5" s="1"/>
  <c r="S309" i="5"/>
  <c r="T309" i="5" s="1"/>
  <c r="U309" i="5" s="1"/>
  <c r="S313" i="5"/>
  <c r="P313" i="5"/>
  <c r="M313" i="5"/>
  <c r="H319" i="5"/>
  <c r="T319" i="5" s="1"/>
  <c r="U319" i="5" s="1"/>
  <c r="N320" i="5"/>
  <c r="O320" i="5" s="1"/>
  <c r="N332" i="5"/>
  <c r="O332" i="5" s="1"/>
  <c r="M194" i="5"/>
  <c r="N194" i="5" s="1"/>
  <c r="O194" i="5" s="1"/>
  <c r="M250" i="5"/>
  <c r="N250" i="5" s="1"/>
  <c r="O250" i="5" s="1"/>
  <c r="M255" i="5"/>
  <c r="N255" i="5" s="1"/>
  <c r="O255" i="5" s="1"/>
  <c r="N257" i="5"/>
  <c r="H266" i="5"/>
  <c r="Q278" i="5"/>
  <c r="R278" i="5" s="1"/>
  <c r="H286" i="5"/>
  <c r="J293" i="5"/>
  <c r="H296" i="5"/>
  <c r="I237" i="5"/>
  <c r="N254" i="5"/>
  <c r="S270" i="5"/>
  <c r="T270" i="5" s="1"/>
  <c r="U270" i="5" s="1"/>
  <c r="M273" i="5"/>
  <c r="H280" i="5"/>
  <c r="Q287" i="5"/>
  <c r="R287" i="5" s="1"/>
  <c r="M292" i="5"/>
  <c r="N292" i="5" s="1"/>
  <c r="S292" i="5"/>
  <c r="T292" i="5" s="1"/>
  <c r="S298" i="5"/>
  <c r="P298" i="5"/>
  <c r="Q298" i="5" s="1"/>
  <c r="R298" i="5" s="1"/>
  <c r="M298" i="5"/>
  <c r="N298" i="5" s="1"/>
  <c r="O298" i="5" s="1"/>
  <c r="H216" i="5"/>
  <c r="N216" i="5" s="1"/>
  <c r="O216" i="5" s="1"/>
  <c r="P226" i="5"/>
  <c r="Q226" i="5" s="1"/>
  <c r="R226" i="5" s="1"/>
  <c r="M226" i="5"/>
  <c r="N226" i="5" s="1"/>
  <c r="O226" i="5" s="1"/>
  <c r="T231" i="5"/>
  <c r="U231" i="5" s="1"/>
  <c r="N236" i="5"/>
  <c r="O236" i="5" s="1"/>
  <c r="J237" i="5"/>
  <c r="K237" i="5" s="1"/>
  <c r="P249" i="5"/>
  <c r="Q249" i="5" s="1"/>
  <c r="R249" i="5" s="1"/>
  <c r="Q254" i="5"/>
  <c r="R254" i="5" s="1"/>
  <c r="M256" i="5"/>
  <c r="N256" i="5" s="1"/>
  <c r="O256" i="5" s="1"/>
  <c r="T257" i="5"/>
  <c r="U257" i="5" s="1"/>
  <c r="S266" i="5"/>
  <c r="M266" i="5"/>
  <c r="M276" i="5"/>
  <c r="P276" i="5"/>
  <c r="P277" i="5"/>
  <c r="Q277" i="5" s="1"/>
  <c r="R277" i="5" s="1"/>
  <c r="P286" i="5"/>
  <c r="M286" i="5"/>
  <c r="T287" i="5"/>
  <c r="U287" i="5" s="1"/>
  <c r="O292" i="5"/>
  <c r="U292" i="5"/>
  <c r="M296" i="5"/>
  <c r="S296" i="5"/>
  <c r="P296" i="5"/>
  <c r="N304" i="5"/>
  <c r="O304" i="5" s="1"/>
  <c r="M223" i="5"/>
  <c r="N223" i="5" s="1"/>
  <c r="O223" i="5" s="1"/>
  <c r="H225" i="5"/>
  <c r="T239" i="5"/>
  <c r="S250" i="5"/>
  <c r="T250" i="5" s="1"/>
  <c r="U250" i="5" s="1"/>
  <c r="P255" i="5"/>
  <c r="Q255" i="5" s="1"/>
  <c r="H265" i="5"/>
  <c r="H272" i="5"/>
  <c r="H292" i="5"/>
  <c r="Q294" i="5"/>
  <c r="R294" i="5" s="1"/>
  <c r="H303" i="5"/>
  <c r="N306" i="5"/>
  <c r="O306" i="5" s="1"/>
  <c r="Q323" i="5"/>
  <c r="R323" i="5" s="1"/>
  <c r="R327" i="5"/>
  <c r="O327" i="5"/>
  <c r="H337" i="5"/>
  <c r="S327" i="5"/>
  <c r="T327" i="5" s="1"/>
  <c r="U327" i="5" s="1"/>
  <c r="P327" i="5"/>
  <c r="Q327" i="5" s="1"/>
  <c r="H304" i="5"/>
  <c r="T331" i="5"/>
  <c r="H302" i="5"/>
  <c r="Q310" i="5"/>
  <c r="M325" i="5"/>
  <c r="N325" i="5" s="1"/>
  <c r="O325" i="5" s="1"/>
  <c r="S325" i="5"/>
  <c r="T325" i="5" s="1"/>
  <c r="U325" i="5" s="1"/>
  <c r="S283" i="5"/>
  <c r="T283" i="5" s="1"/>
  <c r="U283" i="5" s="1"/>
  <c r="P283" i="5"/>
  <c r="Q283" i="5" s="1"/>
  <c r="R283" i="5" s="1"/>
  <c r="M283" i="5"/>
  <c r="N283" i="5" s="1"/>
  <c r="O283" i="5" s="1"/>
  <c r="Q288" i="5"/>
  <c r="R288" i="5" s="1"/>
  <c r="P317" i="5"/>
  <c r="M317" i="5"/>
  <c r="Q320" i="5"/>
  <c r="M327" i="5"/>
  <c r="N327" i="5" s="1"/>
  <c r="H331" i="5"/>
  <c r="S330" i="5"/>
  <c r="T330" i="5" s="1"/>
  <c r="U330" i="5" s="1"/>
  <c r="P330" i="5"/>
  <c r="Q330" i="5" s="1"/>
  <c r="M331" i="5"/>
  <c r="N331" i="5" s="1"/>
  <c r="O331" i="5" s="1"/>
  <c r="S267" i="5"/>
  <c r="T267" i="5" s="1"/>
  <c r="U267" i="5" s="1"/>
  <c r="P267" i="5"/>
  <c r="Q267" i="5" s="1"/>
  <c r="R267" i="5" s="1"/>
  <c r="M267" i="5"/>
  <c r="N267" i="5" s="1"/>
  <c r="O267" i="5" s="1"/>
  <c r="H281" i="5"/>
  <c r="S282" i="5"/>
  <c r="M282" i="5"/>
  <c r="H316" i="5"/>
  <c r="J322" i="5"/>
  <c r="M324" i="5"/>
  <c r="S324" i="5"/>
  <c r="R330" i="5"/>
  <c r="P331" i="5"/>
  <c r="Q331" i="5" s="1"/>
  <c r="Q332" i="5"/>
  <c r="R332" i="5" s="1"/>
  <c r="S281" i="5"/>
  <c r="P281" i="5"/>
  <c r="S295" i="5"/>
  <c r="T295" i="5" s="1"/>
  <c r="P295" i="5"/>
  <c r="Q295" i="5" s="1"/>
  <c r="R295" i="5" s="1"/>
  <c r="P301" i="5"/>
  <c r="Q301" i="5" s="1"/>
  <c r="M301" i="5"/>
  <c r="N301" i="5" s="1"/>
  <c r="O301" i="5" s="1"/>
  <c r="Q304" i="5"/>
  <c r="R304" i="5" s="1"/>
  <c r="H324" i="5"/>
  <c r="Q324" i="5" s="1"/>
  <c r="R324" i="5" s="1"/>
  <c r="Q329" i="5"/>
  <c r="R329" i="5" s="1"/>
  <c r="I330" i="5"/>
  <c r="K330" i="5" s="1"/>
  <c r="R331" i="5"/>
  <c r="T332" i="5"/>
  <c r="U332" i="5" s="1"/>
  <c r="U262" i="5"/>
  <c r="R301" i="5"/>
  <c r="H301" i="5"/>
  <c r="T301" i="5" s="1"/>
  <c r="U301" i="5" s="1"/>
  <c r="S311" i="5"/>
  <c r="P311" i="5"/>
  <c r="S315" i="5"/>
  <c r="P315" i="5"/>
  <c r="M315" i="5"/>
  <c r="N316" i="5"/>
  <c r="O316" i="5" s="1"/>
  <c r="I322" i="5"/>
  <c r="K322" i="5" s="1"/>
  <c r="J330" i="5"/>
  <c r="U331" i="5"/>
  <c r="S265" i="5"/>
  <c r="T265" i="5" s="1"/>
  <c r="U265" i="5" s="1"/>
  <c r="P265" i="5"/>
  <c r="Q265" i="5" s="1"/>
  <c r="R265" i="5" s="1"/>
  <c r="M280" i="5"/>
  <c r="N280" i="5" s="1"/>
  <c r="O280" i="5" s="1"/>
  <c r="S280" i="5"/>
  <c r="T280" i="5" s="1"/>
  <c r="U280" i="5" s="1"/>
  <c r="K290" i="5"/>
  <c r="J290" i="5"/>
  <c r="H300" i="5"/>
  <c r="U300" i="5"/>
  <c r="T304" i="5"/>
  <c r="U304" i="5" s="1"/>
  <c r="U310" i="5"/>
  <c r="R310" i="5"/>
  <c r="H315" i="5"/>
  <c r="S317" i="5"/>
  <c r="T317" i="5" s="1"/>
  <c r="U317" i="5" s="1"/>
  <c r="Q257" i="5"/>
  <c r="R257" i="5" s="1"/>
  <c r="K261" i="5"/>
  <c r="I261" i="5"/>
  <c r="M264" i="5"/>
  <c r="S264" i="5"/>
  <c r="U278" i="5"/>
  <c r="H294" i="5"/>
  <c r="T307" i="5"/>
  <c r="Q316" i="5"/>
  <c r="R316" i="5" s="1"/>
  <c r="K321" i="5"/>
  <c r="V321" i="5"/>
  <c r="W321" i="5" s="1"/>
  <c r="M328" i="5"/>
  <c r="N328" i="5" s="1"/>
  <c r="O328" i="5" s="1"/>
  <c r="S328" i="5"/>
  <c r="T328" i="5" s="1"/>
  <c r="U328" i="5" s="1"/>
  <c r="M330" i="5"/>
  <c r="N330" i="5" s="1"/>
  <c r="O330" i="5" s="1"/>
  <c r="Q336" i="5"/>
  <c r="R336" i="5" s="1"/>
  <c r="J335" i="5"/>
  <c r="I335" i="5"/>
  <c r="V335" i="5"/>
  <c r="W335" i="5" s="1"/>
  <c r="P337" i="5"/>
  <c r="M337" i="5"/>
  <c r="I325" i="5"/>
  <c r="K325" i="5" s="1"/>
  <c r="U326" i="5"/>
  <c r="H329" i="5"/>
  <c r="N329" i="5" s="1"/>
  <c r="O329" i="5" s="1"/>
  <c r="P334" i="5"/>
  <c r="Q334" i="5" s="1"/>
  <c r="R334" i="5" s="1"/>
  <c r="M334" i="5"/>
  <c r="N334" i="5" s="1"/>
  <c r="O334" i="5" s="1"/>
  <c r="K335" i="5"/>
  <c r="H336" i="5"/>
  <c r="T336" i="5" s="1"/>
  <c r="U336" i="5" s="1"/>
  <c r="Q112" i="4" l="1"/>
  <c r="T112" i="4"/>
  <c r="Q8" i="4"/>
  <c r="R8" i="4" s="1"/>
  <c r="T8" i="4"/>
  <c r="T180" i="4"/>
  <c r="Q180" i="4"/>
  <c r="T60" i="4"/>
  <c r="Q60" i="4"/>
  <c r="T243" i="4"/>
  <c r="Q243" i="4"/>
  <c r="R243" i="4" s="1"/>
  <c r="T139" i="4"/>
  <c r="Q139" i="4"/>
  <c r="R139" i="4" s="1"/>
  <c r="R92" i="4"/>
  <c r="Q282" i="4"/>
  <c r="T282" i="4"/>
  <c r="T166" i="4"/>
  <c r="Q166" i="4"/>
  <c r="R166" i="4" s="1"/>
  <c r="T201" i="4"/>
  <c r="Q201" i="4"/>
  <c r="R201" i="4" s="1"/>
  <c r="T220" i="4"/>
  <c r="Q220" i="4"/>
  <c r="R220" i="4" s="1"/>
  <c r="L9" i="4"/>
  <c r="M9" i="4" s="1"/>
  <c r="P9" i="4"/>
  <c r="N9" i="4"/>
  <c r="G5" i="1"/>
  <c r="M4" i="1"/>
  <c r="B5" i="1"/>
  <c r="C5" i="1" s="1"/>
  <c r="B10" i="1"/>
  <c r="R90" i="4"/>
  <c r="J274" i="5"/>
  <c r="V274" i="5"/>
  <c r="W274" i="5" s="1"/>
  <c r="I274" i="5"/>
  <c r="K274" i="5" s="1"/>
  <c r="Q274" i="5"/>
  <c r="R274" i="5" s="1"/>
  <c r="V265" i="5"/>
  <c r="W265" i="5" s="1"/>
  <c r="I265" i="5"/>
  <c r="K265" i="5" s="1"/>
  <c r="J265" i="5"/>
  <c r="T298" i="5"/>
  <c r="U298" i="5" s="1"/>
  <c r="V273" i="5"/>
  <c r="W273" i="5" s="1"/>
  <c r="J273" i="5"/>
  <c r="I273" i="5"/>
  <c r="K273" i="5" s="1"/>
  <c r="V313" i="5"/>
  <c r="W313" i="5" s="1"/>
  <c r="J313" i="5"/>
  <c r="I313" i="5"/>
  <c r="K313" i="5" s="1"/>
  <c r="Q273" i="5"/>
  <c r="R273" i="5" s="1"/>
  <c r="J211" i="5"/>
  <c r="I211" i="5"/>
  <c r="V211" i="5"/>
  <c r="W211" i="5" s="1"/>
  <c r="K211" i="5"/>
  <c r="J193" i="5"/>
  <c r="I193" i="5"/>
  <c r="K193" i="5" s="1"/>
  <c r="V193" i="5"/>
  <c r="W193" i="5" s="1"/>
  <c r="N193" i="5"/>
  <c r="O193" i="5" s="1"/>
  <c r="N269" i="5"/>
  <c r="O269" i="5" s="1"/>
  <c r="V263" i="5"/>
  <c r="W263" i="5" s="1"/>
  <c r="J263" i="5"/>
  <c r="I263" i="5"/>
  <c r="K263" i="5" s="1"/>
  <c r="I192" i="5"/>
  <c r="V192" i="5"/>
  <c r="W192" i="5" s="1"/>
  <c r="J192" i="5"/>
  <c r="K192" i="5" s="1"/>
  <c r="T192" i="5"/>
  <c r="U192" i="5" s="1"/>
  <c r="N265" i="5"/>
  <c r="O265" i="5" s="1"/>
  <c r="T162" i="5"/>
  <c r="U162" i="5" s="1"/>
  <c r="V157" i="5"/>
  <c r="W157" i="5" s="1"/>
  <c r="I157" i="5"/>
  <c r="K157" i="5" s="1"/>
  <c r="J157" i="5"/>
  <c r="R193" i="4"/>
  <c r="P279" i="4"/>
  <c r="N279" i="4"/>
  <c r="M279" i="4"/>
  <c r="L279" i="4"/>
  <c r="T210" i="4"/>
  <c r="Q210" i="4"/>
  <c r="Q206" i="4"/>
  <c r="R206" i="4" s="1"/>
  <c r="T206" i="4"/>
  <c r="T66" i="4"/>
  <c r="Q66" i="4"/>
  <c r="R66" i="4" s="1"/>
  <c r="L47" i="4"/>
  <c r="P47" i="4"/>
  <c r="N47" i="4"/>
  <c r="M47" i="4"/>
  <c r="T38" i="4"/>
  <c r="Q38" i="4"/>
  <c r="R38" i="4" s="1"/>
  <c r="Q44" i="4"/>
  <c r="R44" i="4" s="1"/>
  <c r="T44" i="4"/>
  <c r="Q305" i="4"/>
  <c r="T305" i="4"/>
  <c r="V272" i="5"/>
  <c r="W272" i="5" s="1"/>
  <c r="I272" i="5"/>
  <c r="J272" i="5"/>
  <c r="K272" i="5" s="1"/>
  <c r="V185" i="5"/>
  <c r="W185" i="5" s="1"/>
  <c r="J185" i="5"/>
  <c r="I185" i="5"/>
  <c r="K185" i="5"/>
  <c r="K2" i="5"/>
  <c r="Q39" i="4"/>
  <c r="T39" i="4"/>
  <c r="V276" i="5"/>
  <c r="W276" i="5" s="1"/>
  <c r="J276" i="5"/>
  <c r="I276" i="5"/>
  <c r="K276" i="5" s="1"/>
  <c r="V264" i="5"/>
  <c r="W264" i="5" s="1"/>
  <c r="J264" i="5"/>
  <c r="K264" i="5" s="1"/>
  <c r="I264" i="5"/>
  <c r="Q264" i="5"/>
  <c r="R264" i="5" s="1"/>
  <c r="J113" i="5"/>
  <c r="K113" i="5" s="1"/>
  <c r="I113" i="5"/>
  <c r="V113" i="5"/>
  <c r="W113" i="5" s="1"/>
  <c r="T113" i="5"/>
  <c r="U113" i="5" s="1"/>
  <c r="T188" i="4"/>
  <c r="Q188" i="4"/>
  <c r="R188" i="4" s="1"/>
  <c r="P88" i="4"/>
  <c r="N88" i="4"/>
  <c r="L88" i="4"/>
  <c r="M88" i="4" s="1"/>
  <c r="T41" i="4"/>
  <c r="Q41" i="4"/>
  <c r="R41" i="4" s="1"/>
  <c r="L50" i="4"/>
  <c r="M50" i="4" s="1"/>
  <c r="P50" i="4"/>
  <c r="N50" i="4"/>
  <c r="Q31" i="4"/>
  <c r="R31" i="4" s="1"/>
  <c r="T31" i="4"/>
  <c r="T140" i="4"/>
  <c r="Q140" i="4"/>
  <c r="R140" i="4" s="1"/>
  <c r="T84" i="4"/>
  <c r="Q84" i="4"/>
  <c r="R84" i="4" s="1"/>
  <c r="I337" i="5"/>
  <c r="K337" i="5" s="1"/>
  <c r="V337" i="5"/>
  <c r="W337" i="5" s="1"/>
  <c r="J337" i="5"/>
  <c r="N69" i="4"/>
  <c r="P69" i="4"/>
  <c r="L69" i="4"/>
  <c r="M69" i="4" s="1"/>
  <c r="G13" i="1"/>
  <c r="I247" i="5"/>
  <c r="K247" i="5" s="1"/>
  <c r="J247" i="5"/>
  <c r="V247" i="5"/>
  <c r="W247" i="5" s="1"/>
  <c r="I136" i="5"/>
  <c r="K136" i="5"/>
  <c r="J136" i="5"/>
  <c r="V136" i="5"/>
  <c r="W136" i="5" s="1"/>
  <c r="V297" i="5"/>
  <c r="W297" i="5" s="1"/>
  <c r="J297" i="5"/>
  <c r="K297" i="5" s="1"/>
  <c r="I297" i="5"/>
  <c r="I267" i="5"/>
  <c r="K267" i="5" s="1"/>
  <c r="J267" i="5"/>
  <c r="V267" i="5"/>
  <c r="W267" i="5" s="1"/>
  <c r="K182" i="5"/>
  <c r="J182" i="5"/>
  <c r="I182" i="5"/>
  <c r="V182" i="5"/>
  <c r="W182" i="5" s="1"/>
  <c r="N182" i="5"/>
  <c r="O182" i="5" s="1"/>
  <c r="Q182" i="5"/>
  <c r="R182" i="5" s="1"/>
  <c r="J66" i="5"/>
  <c r="V66" i="5"/>
  <c r="W66" i="5" s="1"/>
  <c r="I66" i="5"/>
  <c r="K66" i="5" s="1"/>
  <c r="Q66" i="5"/>
  <c r="R66" i="5" s="1"/>
  <c r="V56" i="5"/>
  <c r="W56" i="5" s="1"/>
  <c r="J56" i="5"/>
  <c r="K56" i="5"/>
  <c r="I56" i="5"/>
  <c r="J42" i="5"/>
  <c r="K42" i="5" s="1"/>
  <c r="I42" i="5"/>
  <c r="V42" i="5"/>
  <c r="W42" i="5" s="1"/>
  <c r="Q42" i="5"/>
  <c r="R42" i="5" s="1"/>
  <c r="N42" i="5"/>
  <c r="O42" i="5" s="1"/>
  <c r="T42" i="5"/>
  <c r="U42" i="5" s="1"/>
  <c r="Q172" i="4"/>
  <c r="T172" i="4"/>
  <c r="P240" i="4"/>
  <c r="L240" i="4"/>
  <c r="M240" i="4" s="1"/>
  <c r="N240" i="4"/>
  <c r="T302" i="4"/>
  <c r="Q302" i="4"/>
  <c r="R302" i="4" s="1"/>
  <c r="Q182" i="4"/>
  <c r="R182" i="4" s="1"/>
  <c r="T182" i="4"/>
  <c r="L94" i="4"/>
  <c r="P94" i="4"/>
  <c r="G17" i="1"/>
  <c r="N94" i="4"/>
  <c r="M94" i="4"/>
  <c r="P267" i="4"/>
  <c r="N267" i="4"/>
  <c r="L267" i="4"/>
  <c r="M267" i="4" s="1"/>
  <c r="Q208" i="4"/>
  <c r="R208" i="4" s="1"/>
  <c r="T208" i="4"/>
  <c r="P149" i="4"/>
  <c r="N149" i="4"/>
  <c r="L149" i="4"/>
  <c r="M149" i="4" s="1"/>
  <c r="G25" i="1"/>
  <c r="R305" i="4"/>
  <c r="Q11" i="4"/>
  <c r="R11" i="4" s="1"/>
  <c r="T11" i="4"/>
  <c r="Q177" i="4"/>
  <c r="R177" i="4" s="1"/>
  <c r="T177" i="4"/>
  <c r="T247" i="5"/>
  <c r="U247" i="5" s="1"/>
  <c r="Q286" i="5"/>
  <c r="R286" i="5" s="1"/>
  <c r="N313" i="5"/>
  <c r="O313" i="5" s="1"/>
  <c r="I284" i="5"/>
  <c r="J284" i="5"/>
  <c r="K284" i="5" s="1"/>
  <c r="V284" i="5"/>
  <c r="W284" i="5" s="1"/>
  <c r="T284" i="5"/>
  <c r="U284" i="5" s="1"/>
  <c r="T302" i="5"/>
  <c r="U302" i="5" s="1"/>
  <c r="J328" i="5"/>
  <c r="I328" i="5"/>
  <c r="K328" i="5" s="1"/>
  <c r="V328" i="5"/>
  <c r="W328" i="5" s="1"/>
  <c r="I285" i="5"/>
  <c r="V285" i="5"/>
  <c r="W285" i="5" s="1"/>
  <c r="J285" i="5"/>
  <c r="K285" i="5"/>
  <c r="N297" i="5"/>
  <c r="O297" i="5" s="1"/>
  <c r="T258" i="5"/>
  <c r="U258" i="5" s="1"/>
  <c r="N336" i="5"/>
  <c r="O336" i="5" s="1"/>
  <c r="I183" i="5"/>
  <c r="K183" i="5" s="1"/>
  <c r="V183" i="5"/>
  <c r="W183" i="5" s="1"/>
  <c r="J183" i="5"/>
  <c r="K146" i="5"/>
  <c r="J146" i="5"/>
  <c r="I146" i="5"/>
  <c r="V146" i="5"/>
  <c r="W146" i="5" s="1"/>
  <c r="V173" i="5"/>
  <c r="W173" i="5" s="1"/>
  <c r="J173" i="5"/>
  <c r="I173" i="5"/>
  <c r="K173" i="5" s="1"/>
  <c r="N173" i="5"/>
  <c r="O173" i="5" s="1"/>
  <c r="Q157" i="5"/>
  <c r="R157" i="5" s="1"/>
  <c r="V123" i="5"/>
  <c r="W123" i="5" s="1"/>
  <c r="I123" i="5"/>
  <c r="J123" i="5"/>
  <c r="K123" i="5" s="1"/>
  <c r="T183" i="5"/>
  <c r="U183" i="5" s="1"/>
  <c r="V139" i="5"/>
  <c r="W139" i="5" s="1"/>
  <c r="K139" i="5"/>
  <c r="J139" i="5"/>
  <c r="I139" i="5"/>
  <c r="K43" i="5"/>
  <c r="N136" i="5"/>
  <c r="O136" i="5" s="1"/>
  <c r="R172" i="4"/>
  <c r="T334" i="4"/>
  <c r="Q334" i="4"/>
  <c r="Q251" i="4"/>
  <c r="R251" i="4" s="1"/>
  <c r="T251" i="4"/>
  <c r="T230" i="4"/>
  <c r="Q230" i="4"/>
  <c r="R230" i="4" s="1"/>
  <c r="T7" i="4"/>
  <c r="Q7" i="4"/>
  <c r="R7" i="4" s="1"/>
  <c r="T23" i="4"/>
  <c r="Q23" i="4"/>
  <c r="V202" i="5"/>
  <c r="W202" i="5" s="1"/>
  <c r="J202" i="5"/>
  <c r="K202" i="5"/>
  <c r="I202" i="5"/>
  <c r="N202" i="5"/>
  <c r="O202" i="5" s="1"/>
  <c r="I315" i="5"/>
  <c r="K315" i="5" s="1"/>
  <c r="J315" i="5"/>
  <c r="V315" i="5"/>
  <c r="W315" i="5" s="1"/>
  <c r="J319" i="5"/>
  <c r="I319" i="5"/>
  <c r="V319" i="5"/>
  <c r="W319" i="5" s="1"/>
  <c r="K319" i="5"/>
  <c r="Q315" i="5"/>
  <c r="R315" i="5" s="1"/>
  <c r="T324" i="5"/>
  <c r="U324" i="5" s="1"/>
  <c r="N319" i="5"/>
  <c r="O319" i="5" s="1"/>
  <c r="T274" i="5"/>
  <c r="U274" i="5" s="1"/>
  <c r="Q313" i="5"/>
  <c r="R313" i="5" s="1"/>
  <c r="N302" i="5"/>
  <c r="O302" i="5" s="1"/>
  <c r="Q297" i="5"/>
  <c r="R297" i="5" s="1"/>
  <c r="Q211" i="5"/>
  <c r="R211" i="5" s="1"/>
  <c r="J255" i="5"/>
  <c r="I255" i="5"/>
  <c r="K255" i="5" s="1"/>
  <c r="V255" i="5"/>
  <c r="W255" i="5" s="1"/>
  <c r="V221" i="5"/>
  <c r="W221" i="5" s="1"/>
  <c r="J221" i="5"/>
  <c r="I221" i="5"/>
  <c r="K221" i="5" s="1"/>
  <c r="T221" i="5"/>
  <c r="U221" i="5" s="1"/>
  <c r="J252" i="5"/>
  <c r="I252" i="5"/>
  <c r="K252" i="5" s="1"/>
  <c r="V252" i="5"/>
  <c r="W252" i="5" s="1"/>
  <c r="Q272" i="5"/>
  <c r="R272" i="5" s="1"/>
  <c r="Q319" i="5"/>
  <c r="R319" i="5" s="1"/>
  <c r="N274" i="5"/>
  <c r="O274" i="5" s="1"/>
  <c r="T193" i="5"/>
  <c r="U193" i="5" s="1"/>
  <c r="V209" i="5"/>
  <c r="W209" i="5" s="1"/>
  <c r="J209" i="5"/>
  <c r="I209" i="5"/>
  <c r="K209" i="5" s="1"/>
  <c r="Q181" i="5"/>
  <c r="R181" i="5" s="1"/>
  <c r="T157" i="5"/>
  <c r="U157" i="5" s="1"/>
  <c r="J158" i="5"/>
  <c r="V158" i="5"/>
  <c r="W158" i="5" s="1"/>
  <c r="I158" i="5"/>
  <c r="K158" i="5" s="1"/>
  <c r="N158" i="5"/>
  <c r="O158" i="5" s="1"/>
  <c r="J148" i="5"/>
  <c r="I148" i="5"/>
  <c r="K148" i="5" s="1"/>
  <c r="V148" i="5"/>
  <c r="W148" i="5" s="1"/>
  <c r="T148" i="5"/>
  <c r="U148" i="5" s="1"/>
  <c r="R161" i="4"/>
  <c r="T304" i="4"/>
  <c r="Q304" i="4"/>
  <c r="R304" i="4" s="1"/>
  <c r="T187" i="4"/>
  <c r="Q187" i="4"/>
  <c r="R187" i="4" s="1"/>
  <c r="Q124" i="4"/>
  <c r="R124" i="4" s="1"/>
  <c r="T124" i="4"/>
  <c r="T198" i="4"/>
  <c r="Q198" i="4"/>
  <c r="R198" i="4" s="1"/>
  <c r="T83" i="4"/>
  <c r="Q83" i="4"/>
  <c r="P43" i="4"/>
  <c r="N43" i="4"/>
  <c r="L43" i="4"/>
  <c r="M43" i="4" s="1"/>
  <c r="S146" i="4"/>
  <c r="U146" i="4" s="1"/>
  <c r="R39" i="4"/>
  <c r="T205" i="4"/>
  <c r="Q205" i="4"/>
  <c r="R205" i="4" s="1"/>
  <c r="R23" i="4"/>
  <c r="J286" i="5"/>
  <c r="V286" i="5"/>
  <c r="W286" i="5" s="1"/>
  <c r="I286" i="5"/>
  <c r="K286" i="5"/>
  <c r="V329" i="5"/>
  <c r="W329" i="5" s="1"/>
  <c r="J329" i="5"/>
  <c r="I329" i="5"/>
  <c r="K329" i="5" s="1"/>
  <c r="J302" i="5"/>
  <c r="I302" i="5"/>
  <c r="K302" i="5" s="1"/>
  <c r="V302" i="5"/>
  <c r="W302" i="5" s="1"/>
  <c r="T315" i="5"/>
  <c r="U315" i="5" s="1"/>
  <c r="N324" i="5"/>
  <c r="O324" i="5" s="1"/>
  <c r="Q276" i="5"/>
  <c r="R276" i="5" s="1"/>
  <c r="J280" i="5"/>
  <c r="V280" i="5"/>
  <c r="W280" i="5" s="1"/>
  <c r="K280" i="5"/>
  <c r="I280" i="5"/>
  <c r="Q280" i="5"/>
  <c r="R280" i="5" s="1"/>
  <c r="I266" i="5"/>
  <c r="K266" i="5" s="1"/>
  <c r="J266" i="5"/>
  <c r="V266" i="5"/>
  <c r="W266" i="5" s="1"/>
  <c r="T313" i="5"/>
  <c r="U313" i="5" s="1"/>
  <c r="T337" i="5"/>
  <c r="U337" i="5" s="1"/>
  <c r="Q302" i="5"/>
  <c r="R302" i="5" s="1"/>
  <c r="V323" i="5"/>
  <c r="W323" i="5" s="1"/>
  <c r="J323" i="5"/>
  <c r="I323" i="5"/>
  <c r="K323" i="5"/>
  <c r="T297" i="5"/>
  <c r="U297" i="5" s="1"/>
  <c r="V314" i="5"/>
  <c r="W314" i="5" s="1"/>
  <c r="J314" i="5"/>
  <c r="I314" i="5"/>
  <c r="K314" i="5" s="1"/>
  <c r="N211" i="5"/>
  <c r="O211" i="5" s="1"/>
  <c r="J271" i="5"/>
  <c r="I271" i="5"/>
  <c r="K271" i="5" s="1"/>
  <c r="V271" i="5"/>
  <c r="W271" i="5" s="1"/>
  <c r="V242" i="5"/>
  <c r="W242" i="5" s="1"/>
  <c r="J242" i="5"/>
  <c r="K242" i="5" s="1"/>
  <c r="I242" i="5"/>
  <c r="N279" i="5"/>
  <c r="O279" i="5" s="1"/>
  <c r="Q192" i="5"/>
  <c r="R192" i="5" s="1"/>
  <c r="K238" i="5"/>
  <c r="T211" i="5"/>
  <c r="U211" i="5" s="1"/>
  <c r="T181" i="5"/>
  <c r="U181" i="5" s="1"/>
  <c r="T66" i="5"/>
  <c r="U66" i="5" s="1"/>
  <c r="N66" i="5"/>
  <c r="O66" i="5" s="1"/>
  <c r="Q297" i="4"/>
  <c r="R297" i="4" s="1"/>
  <c r="T297" i="4"/>
  <c r="Q186" i="4"/>
  <c r="R186" i="4" s="1"/>
  <c r="T186" i="4"/>
  <c r="Q245" i="4"/>
  <c r="T245" i="4"/>
  <c r="P270" i="4"/>
  <c r="N270" i="4"/>
  <c r="L270" i="4"/>
  <c r="M270" i="4" s="1"/>
  <c r="T153" i="4"/>
  <c r="Q153" i="4"/>
  <c r="R153" i="4" s="1"/>
  <c r="L238" i="4"/>
  <c r="P238" i="4"/>
  <c r="M238" i="4"/>
  <c r="N238" i="4"/>
  <c r="T52" i="4"/>
  <c r="Q52" i="4"/>
  <c r="R52" i="4" s="1"/>
  <c r="Q18" i="4"/>
  <c r="R18" i="4" s="1"/>
  <c r="T18" i="4"/>
  <c r="N113" i="5"/>
  <c r="O113" i="5" s="1"/>
  <c r="P320" i="4"/>
  <c r="L320" i="4"/>
  <c r="N320" i="4"/>
  <c r="M320" i="4"/>
  <c r="T147" i="4"/>
  <c r="Q147" i="4"/>
  <c r="R147" i="4" s="1"/>
  <c r="T189" i="4"/>
  <c r="Q189" i="4"/>
  <c r="R180" i="4"/>
  <c r="R83" i="4"/>
  <c r="Q152" i="4"/>
  <c r="R152" i="4" s="1"/>
  <c r="T152" i="4"/>
  <c r="T22" i="4"/>
  <c r="Q22" i="4"/>
  <c r="R22" i="4" s="1"/>
  <c r="V279" i="5"/>
  <c r="W279" i="5" s="1"/>
  <c r="K279" i="5"/>
  <c r="J279" i="5"/>
  <c r="I279" i="5"/>
  <c r="T255" i="4"/>
  <c r="Q255" i="4"/>
  <c r="I269" i="5"/>
  <c r="J269" i="5"/>
  <c r="V269" i="5"/>
  <c r="W269" i="5" s="1"/>
  <c r="K269" i="5"/>
  <c r="Q162" i="5"/>
  <c r="R162" i="5" s="1"/>
  <c r="N315" i="5"/>
  <c r="O315" i="5" s="1"/>
  <c r="J197" i="5"/>
  <c r="I197" i="5"/>
  <c r="K197" i="5" s="1"/>
  <c r="V197" i="5"/>
  <c r="W197" i="5" s="1"/>
  <c r="T197" i="5"/>
  <c r="U197" i="5" s="1"/>
  <c r="I156" i="5"/>
  <c r="K156" i="5" s="1"/>
  <c r="V156" i="5"/>
  <c r="W156" i="5" s="1"/>
  <c r="J156" i="5"/>
  <c r="N156" i="5"/>
  <c r="O156" i="5" s="1"/>
  <c r="V294" i="5"/>
  <c r="W294" i="5" s="1"/>
  <c r="T294" i="5"/>
  <c r="U294" i="5" s="1"/>
  <c r="N294" i="5"/>
  <c r="O294" i="5" s="1"/>
  <c r="K294" i="5"/>
  <c r="J294" i="5"/>
  <c r="I294" i="5"/>
  <c r="I300" i="5"/>
  <c r="K300" i="5"/>
  <c r="J300" i="5"/>
  <c r="V300" i="5"/>
  <c r="W300" i="5" s="1"/>
  <c r="Q300" i="5"/>
  <c r="R300" i="5" s="1"/>
  <c r="N300" i="5"/>
  <c r="O300" i="5" s="1"/>
  <c r="J318" i="5"/>
  <c r="V318" i="5"/>
  <c r="W318" i="5" s="1"/>
  <c r="I318" i="5"/>
  <c r="K318" i="5" s="1"/>
  <c r="Q247" i="5"/>
  <c r="R247" i="5" s="1"/>
  <c r="V256" i="5"/>
  <c r="W256" i="5" s="1"/>
  <c r="J256" i="5"/>
  <c r="K256" i="5" s="1"/>
  <c r="I256" i="5"/>
  <c r="N314" i="5"/>
  <c r="O314" i="5" s="1"/>
  <c r="I233" i="5"/>
  <c r="K233" i="5" s="1"/>
  <c r="V233" i="5"/>
  <c r="W233" i="5" s="1"/>
  <c r="J233" i="5"/>
  <c r="T256" i="5"/>
  <c r="U256" i="5" s="1"/>
  <c r="V186" i="5"/>
  <c r="W186" i="5" s="1"/>
  <c r="J186" i="5"/>
  <c r="K186" i="5" s="1"/>
  <c r="I186" i="5"/>
  <c r="K165" i="5"/>
  <c r="J165" i="5"/>
  <c r="I165" i="5"/>
  <c r="V165" i="5"/>
  <c r="W165" i="5" s="1"/>
  <c r="N221" i="5"/>
  <c r="O221" i="5" s="1"/>
  <c r="T288" i="4"/>
  <c r="Q288" i="4"/>
  <c r="T233" i="4"/>
  <c r="Q233" i="4"/>
  <c r="R233" i="4" s="1"/>
  <c r="R321" i="4"/>
  <c r="T175" i="4"/>
  <c r="Q175" i="4"/>
  <c r="M25" i="4"/>
  <c r="L25" i="4"/>
  <c r="P25" i="4"/>
  <c r="N25" i="4"/>
  <c r="G7" i="1"/>
  <c r="M6" i="1"/>
  <c r="Q28" i="4"/>
  <c r="R28" i="4" s="1"/>
  <c r="T28" i="4"/>
  <c r="P225" i="4"/>
  <c r="N225" i="4"/>
  <c r="L225" i="4"/>
  <c r="M225" i="4" s="1"/>
  <c r="T185" i="4"/>
  <c r="Q185" i="4"/>
  <c r="R185" i="4" s="1"/>
  <c r="V281" i="5"/>
  <c r="W281" i="5" s="1"/>
  <c r="J281" i="5"/>
  <c r="I281" i="5"/>
  <c r="K281" i="5" s="1"/>
  <c r="N162" i="5"/>
  <c r="O162" i="5" s="1"/>
  <c r="Q269" i="5"/>
  <c r="R269" i="5" s="1"/>
  <c r="J181" i="5"/>
  <c r="I181" i="5"/>
  <c r="K181" i="5" s="1"/>
  <c r="V181" i="5"/>
  <c r="W181" i="5" s="1"/>
  <c r="N273" i="5"/>
  <c r="O273" i="5" s="1"/>
  <c r="N181" i="5"/>
  <c r="O181" i="5" s="1"/>
  <c r="T311" i="5"/>
  <c r="U311" i="5" s="1"/>
  <c r="V304" i="5"/>
  <c r="W304" i="5" s="1"/>
  <c r="I304" i="5"/>
  <c r="K304" i="5" s="1"/>
  <c r="J304" i="5"/>
  <c r="J225" i="5"/>
  <c r="T225" i="5"/>
  <c r="U225" i="5" s="1"/>
  <c r="V225" i="5"/>
  <c r="W225" i="5" s="1"/>
  <c r="I225" i="5"/>
  <c r="K225" i="5" s="1"/>
  <c r="Q225" i="5"/>
  <c r="R225" i="5" s="1"/>
  <c r="J334" i="5"/>
  <c r="V334" i="5"/>
  <c r="W334" i="5" s="1"/>
  <c r="I334" i="5"/>
  <c r="K334" i="5" s="1"/>
  <c r="J270" i="5"/>
  <c r="V270" i="5"/>
  <c r="W270" i="5" s="1"/>
  <c r="I270" i="5"/>
  <c r="K270" i="5" s="1"/>
  <c r="J287" i="5"/>
  <c r="I287" i="5"/>
  <c r="K287" i="5" s="1"/>
  <c r="V287" i="5"/>
  <c r="W287" i="5" s="1"/>
  <c r="V308" i="5"/>
  <c r="W308" i="5" s="1"/>
  <c r="J308" i="5"/>
  <c r="K308" i="5" s="1"/>
  <c r="I308" i="5"/>
  <c r="V218" i="5"/>
  <c r="W218" i="5" s="1"/>
  <c r="I218" i="5"/>
  <c r="K218" i="5" s="1"/>
  <c r="J218" i="5"/>
  <c r="V288" i="5"/>
  <c r="W288" i="5" s="1"/>
  <c r="I288" i="5"/>
  <c r="K288" i="5" s="1"/>
  <c r="J288" i="5"/>
  <c r="T288" i="5"/>
  <c r="U288" i="5" s="1"/>
  <c r="K234" i="5"/>
  <c r="J234" i="5"/>
  <c r="I234" i="5"/>
  <c r="V234" i="5"/>
  <c r="W234" i="5" s="1"/>
  <c r="Q314" i="5"/>
  <c r="R314" i="5" s="1"/>
  <c r="J250" i="5"/>
  <c r="V250" i="5"/>
  <c r="W250" i="5" s="1"/>
  <c r="I250" i="5"/>
  <c r="K250" i="5" s="1"/>
  <c r="N146" i="5"/>
  <c r="O146" i="5" s="1"/>
  <c r="V259" i="5"/>
  <c r="W259" i="5" s="1"/>
  <c r="I259" i="5"/>
  <c r="K259" i="5" s="1"/>
  <c r="J259" i="5"/>
  <c r="Q259" i="5"/>
  <c r="R259" i="5" s="1"/>
  <c r="J204" i="5"/>
  <c r="V204" i="5"/>
  <c r="W204" i="5" s="1"/>
  <c r="I204" i="5"/>
  <c r="K204" i="5" s="1"/>
  <c r="J163" i="5"/>
  <c r="V163" i="5"/>
  <c r="W163" i="5" s="1"/>
  <c r="I163" i="5"/>
  <c r="K163" i="5"/>
  <c r="N197" i="5"/>
  <c r="O197" i="5" s="1"/>
  <c r="R306" i="4"/>
  <c r="Q227" i="4"/>
  <c r="R227" i="4" s="1"/>
  <c r="T227" i="4"/>
  <c r="Q154" i="4"/>
  <c r="R154" i="4" s="1"/>
  <c r="T154" i="4"/>
  <c r="T211" i="4"/>
  <c r="Q211" i="4"/>
  <c r="R211" i="4" s="1"/>
  <c r="Q116" i="4"/>
  <c r="T116" i="4"/>
  <c r="R175" i="4"/>
  <c r="R189" i="4"/>
  <c r="R75" i="4"/>
  <c r="R79" i="4"/>
  <c r="R20" i="4"/>
  <c r="Q133" i="4"/>
  <c r="R133" i="4" s="1"/>
  <c r="T133" i="4"/>
  <c r="Q197" i="4"/>
  <c r="T197" i="4"/>
  <c r="V311" i="5"/>
  <c r="W311" i="5" s="1"/>
  <c r="K311" i="5"/>
  <c r="J311" i="5"/>
  <c r="I311" i="5"/>
  <c r="V275" i="5"/>
  <c r="W275" i="5" s="1"/>
  <c r="I275" i="5"/>
  <c r="K275" i="5" s="1"/>
  <c r="J275" i="5"/>
  <c r="V196" i="5"/>
  <c r="W196" i="5" s="1"/>
  <c r="J196" i="5"/>
  <c r="I196" i="5"/>
  <c r="K196" i="5" s="1"/>
  <c r="Q196" i="5"/>
  <c r="R196" i="5" s="1"/>
  <c r="J282" i="5"/>
  <c r="K282" i="5" s="1"/>
  <c r="I282" i="5"/>
  <c r="V282" i="5"/>
  <c r="W282" i="5" s="1"/>
  <c r="Q279" i="5"/>
  <c r="R279" i="5" s="1"/>
  <c r="N337" i="5"/>
  <c r="O337" i="5" s="1"/>
  <c r="I301" i="5"/>
  <c r="K301" i="5" s="1"/>
  <c r="J301" i="5"/>
  <c r="V301" i="5"/>
  <c r="W301" i="5" s="1"/>
  <c r="N317" i="5"/>
  <c r="O317" i="5" s="1"/>
  <c r="J303" i="5"/>
  <c r="I303" i="5"/>
  <c r="V303" i="5"/>
  <c r="W303" i="5" s="1"/>
  <c r="K303" i="5"/>
  <c r="Q303" i="5"/>
  <c r="R303" i="5" s="1"/>
  <c r="N311" i="5"/>
  <c r="O311" i="5" s="1"/>
  <c r="T285" i="5"/>
  <c r="U285" i="5" s="1"/>
  <c r="V295" i="5"/>
  <c r="W295" i="5" s="1"/>
  <c r="I295" i="5"/>
  <c r="K295" i="5"/>
  <c r="J295" i="5"/>
  <c r="J312" i="5"/>
  <c r="V312" i="5"/>
  <c r="W312" i="5" s="1"/>
  <c r="I312" i="5"/>
  <c r="K312" i="5" s="1"/>
  <c r="T314" i="5"/>
  <c r="U314" i="5" s="1"/>
  <c r="Q209" i="5"/>
  <c r="R209" i="5" s="1"/>
  <c r="T196" i="5"/>
  <c r="U196" i="5" s="1"/>
  <c r="N196" i="5"/>
  <c r="O196" i="5" s="1"/>
  <c r="J97" i="5"/>
  <c r="I97" i="5"/>
  <c r="K97" i="5" s="1"/>
  <c r="V97" i="5"/>
  <c r="W97" i="5" s="1"/>
  <c r="T97" i="5"/>
  <c r="U97" i="5" s="1"/>
  <c r="Q97" i="5"/>
  <c r="R97" i="5" s="1"/>
  <c r="N97" i="5"/>
  <c r="O97" i="5" s="1"/>
  <c r="T272" i="4"/>
  <c r="Q272" i="4"/>
  <c r="T318" i="4"/>
  <c r="Q318" i="4"/>
  <c r="S323" i="4"/>
  <c r="U323" i="4" s="1"/>
  <c r="Q281" i="4"/>
  <c r="T281" i="4"/>
  <c r="T134" i="4"/>
  <c r="Q134" i="4"/>
  <c r="R134" i="4" s="1"/>
  <c r="Q278" i="4"/>
  <c r="R278" i="4" s="1"/>
  <c r="T278" i="4"/>
  <c r="T114" i="4"/>
  <c r="Q114" i="4"/>
  <c r="R114" i="4" s="1"/>
  <c r="Q136" i="4"/>
  <c r="R136" i="4" s="1"/>
  <c r="T136" i="4"/>
  <c r="T75" i="4"/>
  <c r="Q75" i="4"/>
  <c r="T79" i="4"/>
  <c r="Q79" i="4"/>
  <c r="T20" i="4"/>
  <c r="Q20" i="4"/>
  <c r="T119" i="4"/>
  <c r="Q119" i="4"/>
  <c r="R128" i="4"/>
  <c r="L81" i="4"/>
  <c r="M81" i="4" s="1"/>
  <c r="P81" i="4"/>
  <c r="G15" i="1"/>
  <c r="N81" i="4"/>
  <c r="T46" i="4"/>
  <c r="Q46" i="4"/>
  <c r="T159" i="4"/>
  <c r="Q159" i="4"/>
  <c r="R159" i="4" s="1"/>
  <c r="Q2" i="4"/>
  <c r="R2" i="4" s="1"/>
  <c r="T2" i="4"/>
  <c r="T36" i="4"/>
  <c r="Q36" i="4"/>
  <c r="N281" i="5"/>
  <c r="O281" i="5" s="1"/>
  <c r="V162" i="5"/>
  <c r="W162" i="5" s="1"/>
  <c r="I162" i="5"/>
  <c r="J162" i="5"/>
  <c r="K162" i="5" s="1"/>
  <c r="N272" i="5"/>
  <c r="O272" i="5" s="1"/>
  <c r="N276" i="5"/>
  <c r="O276" i="5" s="1"/>
  <c r="K317" i="5"/>
  <c r="I317" i="5"/>
  <c r="V317" i="5"/>
  <c r="W317" i="5" s="1"/>
  <c r="J317" i="5"/>
  <c r="T264" i="5"/>
  <c r="U264" i="5" s="1"/>
  <c r="Q317" i="5"/>
  <c r="R317" i="5" s="1"/>
  <c r="T272" i="5"/>
  <c r="U272" i="5" s="1"/>
  <c r="J306" i="5"/>
  <c r="V306" i="5"/>
  <c r="W306" i="5" s="1"/>
  <c r="I306" i="5"/>
  <c r="K306" i="5" s="1"/>
  <c r="Q275" i="5"/>
  <c r="R275" i="5" s="1"/>
  <c r="N285" i="5"/>
  <c r="O285" i="5" s="1"/>
  <c r="T276" i="5"/>
  <c r="U276" i="5" s="1"/>
  <c r="I152" i="5"/>
  <c r="K152" i="5"/>
  <c r="J152" i="5"/>
  <c r="V152" i="5"/>
  <c r="W152" i="5" s="1"/>
  <c r="T152" i="5"/>
  <c r="U152" i="5" s="1"/>
  <c r="N152" i="5"/>
  <c r="O152" i="5" s="1"/>
  <c r="Q202" i="5"/>
  <c r="R202" i="5" s="1"/>
  <c r="I283" i="5"/>
  <c r="V283" i="5"/>
  <c r="W283" i="5" s="1"/>
  <c r="J283" i="5"/>
  <c r="K283" i="5" s="1"/>
  <c r="V307" i="5"/>
  <c r="W307" i="5" s="1"/>
  <c r="J307" i="5"/>
  <c r="I307" i="5"/>
  <c r="K307" i="5"/>
  <c r="T209" i="5"/>
  <c r="U209" i="5" s="1"/>
  <c r="K198" i="5"/>
  <c r="Q234" i="5"/>
  <c r="R234" i="5" s="1"/>
  <c r="I151" i="5"/>
  <c r="K151" i="5" s="1"/>
  <c r="J151" i="5"/>
  <c r="V151" i="5"/>
  <c r="W151" i="5" s="1"/>
  <c r="T151" i="5"/>
  <c r="U151" i="5" s="1"/>
  <c r="Q151" i="5"/>
  <c r="R151" i="5" s="1"/>
  <c r="V189" i="5"/>
  <c r="W189" i="5" s="1"/>
  <c r="I189" i="5"/>
  <c r="K189" i="5" s="1"/>
  <c r="J189" i="5"/>
  <c r="T286" i="5"/>
  <c r="U286" i="5" s="1"/>
  <c r="Q152" i="5"/>
  <c r="R152" i="5" s="1"/>
  <c r="K90" i="5"/>
  <c r="Q306" i="4"/>
  <c r="T306" i="4"/>
  <c r="K108" i="5"/>
  <c r="J108" i="5"/>
  <c r="I108" i="5"/>
  <c r="V108" i="5"/>
  <c r="W108" i="5" s="1"/>
  <c r="T108" i="5"/>
  <c r="U108" i="5" s="1"/>
  <c r="T296" i="4"/>
  <c r="Q296" i="4"/>
  <c r="R296" i="4" s="1"/>
  <c r="R256" i="4"/>
  <c r="T294" i="4"/>
  <c r="Q294" i="4"/>
  <c r="R294" i="4" s="1"/>
  <c r="P59" i="4"/>
  <c r="L59" i="4"/>
  <c r="N59" i="4"/>
  <c r="M59" i="4"/>
  <c r="R116" i="4"/>
  <c r="T232" i="4"/>
  <c r="Q232" i="4"/>
  <c r="R232" i="4" s="1"/>
  <c r="Q168" i="4"/>
  <c r="T168" i="4"/>
  <c r="N103" i="4"/>
  <c r="P103" i="4"/>
  <c r="L103" i="4"/>
  <c r="M103" i="4" s="1"/>
  <c r="T6" i="4"/>
  <c r="Q6" i="4"/>
  <c r="R6" i="4" s="1"/>
  <c r="R73" i="4"/>
  <c r="T24" i="4"/>
  <c r="Q24" i="4"/>
  <c r="R24" i="4" s="1"/>
  <c r="T10" i="4"/>
  <c r="Q10" i="4"/>
  <c r="R10" i="4" s="1"/>
  <c r="R36" i="4"/>
  <c r="J296" i="5"/>
  <c r="V296" i="5"/>
  <c r="W296" i="5" s="1"/>
  <c r="K296" i="5"/>
  <c r="I296" i="5"/>
  <c r="V62" i="5"/>
  <c r="W62" i="5" s="1"/>
  <c r="J62" i="5"/>
  <c r="I62" i="5"/>
  <c r="K62" i="5" s="1"/>
  <c r="N62" i="5"/>
  <c r="O62" i="5" s="1"/>
  <c r="T62" i="5"/>
  <c r="U62" i="5" s="1"/>
  <c r="Q62" i="5"/>
  <c r="R62" i="5" s="1"/>
  <c r="J324" i="5"/>
  <c r="K324" i="5" s="1"/>
  <c r="I324" i="5"/>
  <c r="V324" i="5"/>
  <c r="W324" i="5" s="1"/>
  <c r="N286" i="5"/>
  <c r="O286" i="5" s="1"/>
  <c r="Q311" i="5"/>
  <c r="R311" i="5" s="1"/>
  <c r="J331" i="5"/>
  <c r="K331" i="5" s="1"/>
  <c r="I331" i="5"/>
  <c r="V331" i="5"/>
  <c r="W331" i="5" s="1"/>
  <c r="N247" i="5"/>
  <c r="O247" i="5" s="1"/>
  <c r="Q337" i="5"/>
  <c r="R337" i="5" s="1"/>
  <c r="Q281" i="5"/>
  <c r="R281" i="5" s="1"/>
  <c r="I316" i="5"/>
  <c r="K316" i="5" s="1"/>
  <c r="J316" i="5"/>
  <c r="V316" i="5"/>
  <c r="W316" i="5" s="1"/>
  <c r="V216" i="5"/>
  <c r="W216" i="5" s="1"/>
  <c r="J216" i="5"/>
  <c r="I216" i="5"/>
  <c r="K216" i="5" s="1"/>
  <c r="Q216" i="5"/>
  <c r="R216" i="5" s="1"/>
  <c r="T216" i="5"/>
  <c r="U216" i="5" s="1"/>
  <c r="T281" i="5"/>
  <c r="U281" i="5" s="1"/>
  <c r="N282" i="5"/>
  <c r="O282" i="5" s="1"/>
  <c r="N303" i="5"/>
  <c r="O303" i="5" s="1"/>
  <c r="V292" i="5"/>
  <c r="W292" i="5" s="1"/>
  <c r="J292" i="5"/>
  <c r="I292" i="5"/>
  <c r="K292" i="5" s="1"/>
  <c r="Q296" i="5"/>
  <c r="R296" i="5" s="1"/>
  <c r="Q318" i="5"/>
  <c r="R318" i="5" s="1"/>
  <c r="Q285" i="5"/>
  <c r="R285" i="5" s="1"/>
  <c r="T329" i="5"/>
  <c r="U329" i="5" s="1"/>
  <c r="V228" i="5"/>
  <c r="W228" i="5" s="1"/>
  <c r="J228" i="5"/>
  <c r="K228" i="5" s="1"/>
  <c r="I228" i="5"/>
  <c r="N228" i="5"/>
  <c r="O228" i="5" s="1"/>
  <c r="T202" i="5"/>
  <c r="U202" i="5" s="1"/>
  <c r="T308" i="5"/>
  <c r="U308" i="5" s="1"/>
  <c r="Q193" i="5"/>
  <c r="R193" i="5" s="1"/>
  <c r="J260" i="5"/>
  <c r="V260" i="5"/>
  <c r="W260" i="5" s="1"/>
  <c r="I260" i="5"/>
  <c r="K260" i="5" s="1"/>
  <c r="J236" i="5"/>
  <c r="K236" i="5"/>
  <c r="I236" i="5"/>
  <c r="V236" i="5"/>
  <c r="W236" i="5" s="1"/>
  <c r="I253" i="5"/>
  <c r="K253" i="5" s="1"/>
  <c r="V253" i="5"/>
  <c r="W253" i="5" s="1"/>
  <c r="J253" i="5"/>
  <c r="T253" i="5"/>
  <c r="U253" i="5" s="1"/>
  <c r="V187" i="5"/>
  <c r="W187" i="5" s="1"/>
  <c r="N187" i="5"/>
  <c r="O187" i="5" s="1"/>
  <c r="J187" i="5"/>
  <c r="I187" i="5"/>
  <c r="K187" i="5" s="1"/>
  <c r="N307" i="5"/>
  <c r="O307" i="5" s="1"/>
  <c r="K203" i="5"/>
  <c r="J203" i="5"/>
  <c r="I203" i="5"/>
  <c r="V203" i="5"/>
  <c r="W203" i="5" s="1"/>
  <c r="V212" i="5"/>
  <c r="W212" i="5" s="1"/>
  <c r="J212" i="5"/>
  <c r="I212" i="5"/>
  <c r="K212" i="5" s="1"/>
  <c r="T182" i="5"/>
  <c r="U182" i="5" s="1"/>
  <c r="J122" i="5"/>
  <c r="V122" i="5"/>
  <c r="W122" i="5" s="1"/>
  <c r="I122" i="5"/>
  <c r="K122" i="5" s="1"/>
  <c r="V92" i="5"/>
  <c r="W92" i="5" s="1"/>
  <c r="J92" i="5"/>
  <c r="I92" i="5"/>
  <c r="K92" i="5" s="1"/>
  <c r="J112" i="5"/>
  <c r="I112" i="5"/>
  <c r="K112" i="5" s="1"/>
  <c r="V112" i="5"/>
  <c r="W112" i="5" s="1"/>
  <c r="T112" i="5"/>
  <c r="U112" i="5" s="1"/>
  <c r="Q185" i="5"/>
  <c r="R185" i="5" s="1"/>
  <c r="M309" i="4"/>
  <c r="P309" i="4"/>
  <c r="N309" i="4"/>
  <c r="L309" i="4"/>
  <c r="Q312" i="4"/>
  <c r="T312" i="4"/>
  <c r="R312" i="4"/>
  <c r="L292" i="4"/>
  <c r="N292" i="4"/>
  <c r="P292" i="4"/>
  <c r="M292" i="4"/>
  <c r="Q161" i="4"/>
  <c r="T161" i="4"/>
  <c r="V102" i="5"/>
  <c r="W102" i="5" s="1"/>
  <c r="J102" i="5"/>
  <c r="I102" i="5"/>
  <c r="K102" i="5"/>
  <c r="T221" i="4"/>
  <c r="Q221" i="4"/>
  <c r="R221" i="4" s="1"/>
  <c r="T290" i="4"/>
  <c r="Q290" i="4"/>
  <c r="R290" i="4" s="1"/>
  <c r="Q228" i="4"/>
  <c r="R228" i="4" s="1"/>
  <c r="T228" i="4"/>
  <c r="T330" i="4"/>
  <c r="Q330" i="4"/>
  <c r="Q120" i="4"/>
  <c r="R120" i="4" s="1"/>
  <c r="T120" i="4"/>
  <c r="T4" i="4"/>
  <c r="Q4" i="4"/>
  <c r="R4" i="4" s="1"/>
  <c r="S174" i="4"/>
  <c r="U174" i="4"/>
  <c r="T73" i="4"/>
  <c r="Q73" i="4"/>
  <c r="L196" i="4"/>
  <c r="P196" i="4"/>
  <c r="N196" i="4"/>
  <c r="M196" i="4"/>
  <c r="T327" i="4"/>
  <c r="Q327" i="4"/>
  <c r="R327" i="4" s="1"/>
  <c r="K81" i="5"/>
  <c r="J81" i="5"/>
  <c r="I81" i="5"/>
  <c r="N81" i="5"/>
  <c r="O81" i="5" s="1"/>
  <c r="Q81" i="5"/>
  <c r="R81" i="5" s="1"/>
  <c r="V81" i="5"/>
  <c r="W81" i="5" s="1"/>
  <c r="K298" i="5"/>
  <c r="V298" i="5"/>
  <c r="W298" i="5" s="1"/>
  <c r="J298" i="5"/>
  <c r="I298" i="5"/>
  <c r="J258" i="5"/>
  <c r="I258" i="5"/>
  <c r="K258" i="5" s="1"/>
  <c r="V258" i="5"/>
  <c r="W258" i="5" s="1"/>
  <c r="N264" i="5"/>
  <c r="O264" i="5" s="1"/>
  <c r="T263" i="5"/>
  <c r="U263" i="5" s="1"/>
  <c r="T275" i="5"/>
  <c r="U275" i="5" s="1"/>
  <c r="T282" i="5"/>
  <c r="U282" i="5" s="1"/>
  <c r="T296" i="5"/>
  <c r="U296" i="5" s="1"/>
  <c r="N266" i="5"/>
  <c r="O266" i="5" s="1"/>
  <c r="N323" i="5"/>
  <c r="O323" i="5" s="1"/>
  <c r="Q282" i="5"/>
  <c r="R282" i="5" s="1"/>
  <c r="V320" i="5"/>
  <c r="W320" i="5" s="1"/>
  <c r="I320" i="5"/>
  <c r="K320" i="5" s="1"/>
  <c r="J320" i="5"/>
  <c r="N275" i="5"/>
  <c r="O275" i="5" s="1"/>
  <c r="T323" i="5"/>
  <c r="U323" i="5" s="1"/>
  <c r="V200" i="5"/>
  <c r="W200" i="5" s="1"/>
  <c r="I200" i="5"/>
  <c r="Q200" i="5"/>
  <c r="R200" i="5" s="1"/>
  <c r="J200" i="5"/>
  <c r="K200" i="5" s="1"/>
  <c r="T200" i="5"/>
  <c r="U200" i="5" s="1"/>
  <c r="N308" i="5"/>
  <c r="O308" i="5" s="1"/>
  <c r="Q312" i="5"/>
  <c r="R312" i="5" s="1"/>
  <c r="V244" i="5"/>
  <c r="W244" i="5" s="1"/>
  <c r="I244" i="5"/>
  <c r="K244" i="5" s="1"/>
  <c r="J244" i="5"/>
  <c r="Q221" i="5"/>
  <c r="R221" i="5" s="1"/>
  <c r="J220" i="5"/>
  <c r="K220" i="5"/>
  <c r="I220" i="5"/>
  <c r="V220" i="5"/>
  <c r="W220" i="5" s="1"/>
  <c r="Q220" i="5"/>
  <c r="R220" i="5" s="1"/>
  <c r="V246" i="5"/>
  <c r="W246" i="5" s="1"/>
  <c r="J246" i="5"/>
  <c r="I246" i="5"/>
  <c r="K246" i="5" s="1"/>
  <c r="J142" i="5"/>
  <c r="I142" i="5"/>
  <c r="K142" i="5" s="1"/>
  <c r="V142" i="5"/>
  <c r="W142" i="5" s="1"/>
  <c r="N142" i="5"/>
  <c r="O142" i="5" s="1"/>
  <c r="Q142" i="5"/>
  <c r="R142" i="5" s="1"/>
  <c r="T122" i="5"/>
  <c r="U122" i="5" s="1"/>
  <c r="J147" i="5"/>
  <c r="I147" i="5"/>
  <c r="K147" i="5" s="1"/>
  <c r="V147" i="5"/>
  <c r="W147" i="5" s="1"/>
  <c r="T147" i="5"/>
  <c r="U147" i="5" s="1"/>
  <c r="V91" i="5"/>
  <c r="W91" i="5" s="1"/>
  <c r="J91" i="5"/>
  <c r="I91" i="5"/>
  <c r="K91" i="5" s="1"/>
  <c r="Q91" i="5"/>
  <c r="R91" i="5" s="1"/>
  <c r="T91" i="5"/>
  <c r="U91" i="5" s="1"/>
  <c r="N91" i="5"/>
  <c r="O91" i="5" s="1"/>
  <c r="N273" i="4"/>
  <c r="L273" i="4"/>
  <c r="M273" i="4" s="1"/>
  <c r="P273" i="4"/>
  <c r="Q204" i="4"/>
  <c r="T204" i="4"/>
  <c r="R330" i="4"/>
  <c r="Q68" i="4"/>
  <c r="R68" i="4" s="1"/>
  <c r="T68" i="4"/>
  <c r="T229" i="4"/>
  <c r="Q229" i="4"/>
  <c r="R229" i="4" s="1"/>
  <c r="T33" i="4"/>
  <c r="Q33" i="4"/>
  <c r="R33" i="4" s="1"/>
  <c r="R87" i="4"/>
  <c r="T223" i="4"/>
  <c r="Q223" i="4"/>
  <c r="R223" i="4" s="1"/>
  <c r="V336" i="5"/>
  <c r="W336" i="5" s="1"/>
  <c r="J336" i="5"/>
  <c r="I336" i="5"/>
  <c r="K336" i="5" s="1"/>
  <c r="N296" i="5"/>
  <c r="O296" i="5" s="1"/>
  <c r="T266" i="5"/>
  <c r="U266" i="5" s="1"/>
  <c r="Q256" i="5"/>
  <c r="R256" i="5" s="1"/>
  <c r="Q292" i="5"/>
  <c r="R292" i="5" s="1"/>
  <c r="T312" i="5"/>
  <c r="U312" i="5" s="1"/>
  <c r="V245" i="5"/>
  <c r="W245" i="5" s="1"/>
  <c r="I245" i="5"/>
  <c r="J245" i="5"/>
  <c r="K245" i="5" s="1"/>
  <c r="Q328" i="5"/>
  <c r="R328" i="5" s="1"/>
  <c r="K232" i="5"/>
  <c r="J232" i="5"/>
  <c r="I232" i="5"/>
  <c r="V232" i="5"/>
  <c r="W232" i="5" s="1"/>
  <c r="I177" i="5"/>
  <c r="K177" i="5" s="1"/>
  <c r="J177" i="5"/>
  <c r="V177" i="5"/>
  <c r="W177" i="5" s="1"/>
  <c r="Q177" i="5"/>
  <c r="R177" i="5" s="1"/>
  <c r="T177" i="5"/>
  <c r="U177" i="5" s="1"/>
  <c r="Q307" i="5"/>
  <c r="R307" i="5" s="1"/>
  <c r="T189" i="5"/>
  <c r="U189" i="5" s="1"/>
  <c r="T212" i="5"/>
  <c r="U212" i="5" s="1"/>
  <c r="N200" i="5"/>
  <c r="O200" i="5" s="1"/>
  <c r="T186" i="5"/>
  <c r="U186" i="5" s="1"/>
  <c r="T329" i="4"/>
  <c r="Q329" i="4"/>
  <c r="R329" i="4" s="1"/>
  <c r="J89" i="5"/>
  <c r="I89" i="5"/>
  <c r="V89" i="5"/>
  <c r="W89" i="5" s="1"/>
  <c r="K89" i="5"/>
  <c r="N89" i="5"/>
  <c r="O89" i="5" s="1"/>
  <c r="Q89" i="5"/>
  <c r="R89" i="5" s="1"/>
  <c r="T89" i="5"/>
  <c r="U89" i="5" s="1"/>
  <c r="I124" i="5"/>
  <c r="K124" i="5" s="1"/>
  <c r="V124" i="5"/>
  <c r="W124" i="5" s="1"/>
  <c r="J124" i="5"/>
  <c r="T258" i="4"/>
  <c r="Q258" i="4"/>
  <c r="R258" i="4" s="1"/>
  <c r="T298" i="4"/>
  <c r="Q298" i="4"/>
  <c r="R298" i="4" s="1"/>
  <c r="T293" i="4"/>
  <c r="Q293" i="4"/>
  <c r="R204" i="4"/>
  <c r="L145" i="4"/>
  <c r="M145" i="4" s="1"/>
  <c r="P145" i="4"/>
  <c r="N145" i="4"/>
  <c r="G24" i="1"/>
  <c r="T27" i="4"/>
  <c r="Q27" i="4"/>
  <c r="R27" i="4" s="1"/>
  <c r="T216" i="4"/>
  <c r="Q216" i="4"/>
  <c r="R216" i="4" s="1"/>
  <c r="T111" i="4"/>
  <c r="Q111" i="4"/>
  <c r="R111" i="4" s="1"/>
  <c r="Q115" i="4"/>
  <c r="R115" i="4" s="1"/>
  <c r="T115" i="4"/>
  <c r="I144" i="5"/>
  <c r="J144" i="5"/>
  <c r="K144" i="5" s="1"/>
  <c r="V144" i="5"/>
  <c r="W144" i="5" s="1"/>
  <c r="T143" i="4"/>
  <c r="Q143" i="4"/>
  <c r="R143" i="4" s="1"/>
  <c r="T26" i="4"/>
  <c r="Q26" i="4"/>
  <c r="R26" i="4" s="1"/>
  <c r="T67" i="4"/>
  <c r="Q67" i="4"/>
  <c r="R67" i="4" s="1"/>
  <c r="N108" i="5"/>
  <c r="O108" i="5" s="1"/>
  <c r="Q113" i="5"/>
  <c r="R113" i="5" s="1"/>
  <c r="K55" i="5"/>
  <c r="I28" i="5"/>
  <c r="K28" i="5" s="1"/>
  <c r="J28" i="5"/>
  <c r="V28" i="5"/>
  <c r="W28" i="5" s="1"/>
  <c r="J70" i="5"/>
  <c r="I70" i="5"/>
  <c r="K70" i="5" s="1"/>
  <c r="V70" i="5"/>
  <c r="W70" i="5" s="1"/>
  <c r="I50" i="5"/>
  <c r="K50" i="5" s="1"/>
  <c r="V50" i="5"/>
  <c r="W50" i="5" s="1"/>
  <c r="J50" i="5"/>
  <c r="P284" i="4"/>
  <c r="M284" i="4"/>
  <c r="N284" i="4"/>
  <c r="L284" i="4"/>
  <c r="J14" i="5"/>
  <c r="K14" i="5" s="1"/>
  <c r="I14" i="5"/>
  <c r="V14" i="5"/>
  <c r="W14" i="5" s="1"/>
  <c r="Q179" i="4"/>
  <c r="R179" i="4" s="1"/>
  <c r="T179" i="4"/>
  <c r="T256" i="4"/>
  <c r="Q256" i="4"/>
  <c r="V61" i="5"/>
  <c r="W61" i="5" s="1"/>
  <c r="J61" i="5"/>
  <c r="K61" i="5" s="1"/>
  <c r="I61" i="5"/>
  <c r="R288" i="4"/>
  <c r="R91" i="4"/>
  <c r="G20" i="1"/>
  <c r="Q70" i="4"/>
  <c r="R70" i="4" s="1"/>
  <c r="T70" i="4"/>
  <c r="R168" i="4"/>
  <c r="P122" i="4"/>
  <c r="N122" i="4"/>
  <c r="L122" i="4"/>
  <c r="M122" i="4" s="1"/>
  <c r="G21" i="1"/>
  <c r="P155" i="4"/>
  <c r="N155" i="4"/>
  <c r="L155" i="4"/>
  <c r="M155" i="4" s="1"/>
  <c r="B7" i="1"/>
  <c r="C7" i="1" s="1"/>
  <c r="R112" i="4"/>
  <c r="T192" i="4"/>
  <c r="Q192" i="4"/>
  <c r="R192" i="4" s="1"/>
  <c r="T90" i="4"/>
  <c r="Q90" i="4"/>
  <c r="R46" i="4"/>
  <c r="S110" i="4"/>
  <c r="U110" i="4"/>
  <c r="V126" i="5"/>
  <c r="W126" i="5" s="1"/>
  <c r="J126" i="5"/>
  <c r="I126" i="5"/>
  <c r="K126" i="5" s="1"/>
  <c r="T234" i="5"/>
  <c r="U234" i="5" s="1"/>
  <c r="I166" i="5"/>
  <c r="K166" i="5" s="1"/>
  <c r="V166" i="5"/>
  <c r="W166" i="5" s="1"/>
  <c r="J166" i="5"/>
  <c r="Q112" i="5"/>
  <c r="R112" i="5" s="1"/>
  <c r="N224" i="5"/>
  <c r="O224" i="5" s="1"/>
  <c r="Q242" i="5"/>
  <c r="R242" i="5" s="1"/>
  <c r="V69" i="5"/>
  <c r="W69" i="5" s="1"/>
  <c r="J69" i="5"/>
  <c r="N69" i="5"/>
  <c r="O69" i="5" s="1"/>
  <c r="I69" i="5"/>
  <c r="K69" i="5" s="1"/>
  <c r="I135" i="5"/>
  <c r="J135" i="5"/>
  <c r="K135" i="5" s="1"/>
  <c r="V135" i="5"/>
  <c r="W135" i="5" s="1"/>
  <c r="T135" i="5"/>
  <c r="U135" i="5" s="1"/>
  <c r="V171" i="5"/>
  <c r="W171" i="5" s="1"/>
  <c r="J171" i="5"/>
  <c r="I171" i="5"/>
  <c r="K171" i="5" s="1"/>
  <c r="N176" i="5"/>
  <c r="O176" i="5" s="1"/>
  <c r="J109" i="5"/>
  <c r="I109" i="5"/>
  <c r="K109" i="5" s="1"/>
  <c r="V109" i="5"/>
  <c r="W109" i="5" s="1"/>
  <c r="I46" i="5"/>
  <c r="K46" i="5" s="1"/>
  <c r="V46" i="5"/>
  <c r="W46" i="5" s="1"/>
  <c r="Q46" i="5"/>
  <c r="R46" i="5" s="1"/>
  <c r="J46" i="5"/>
  <c r="T185" i="5"/>
  <c r="U185" i="5" s="1"/>
  <c r="Q58" i="5"/>
  <c r="R58" i="5" s="1"/>
  <c r="P286" i="4"/>
  <c r="N286" i="4"/>
  <c r="L286" i="4"/>
  <c r="M286" i="4" s="1"/>
  <c r="T49" i="5"/>
  <c r="U49" i="5" s="1"/>
  <c r="J38" i="5"/>
  <c r="I38" i="5"/>
  <c r="K38" i="5" s="1"/>
  <c r="V38" i="5"/>
  <c r="W38" i="5" s="1"/>
  <c r="T116" i="5"/>
  <c r="U116" i="5" s="1"/>
  <c r="N126" i="5"/>
  <c r="O126" i="5" s="1"/>
  <c r="V86" i="5"/>
  <c r="W86" i="5" s="1"/>
  <c r="I86" i="5"/>
  <c r="K86" i="5" s="1"/>
  <c r="J86" i="5"/>
  <c r="J6" i="5"/>
  <c r="V6" i="5"/>
  <c r="W6" i="5" s="1"/>
  <c r="I6" i="5"/>
  <c r="K6" i="5" s="1"/>
  <c r="I52" i="5"/>
  <c r="V52" i="5"/>
  <c r="W52" i="5" s="1"/>
  <c r="J52" i="5"/>
  <c r="K52" i="5" s="1"/>
  <c r="J25" i="5"/>
  <c r="I25" i="5"/>
  <c r="K25" i="5" s="1"/>
  <c r="V25" i="5"/>
  <c r="W25" i="5" s="1"/>
  <c r="N3" i="5"/>
  <c r="O3" i="5" s="1"/>
  <c r="Q6" i="5"/>
  <c r="R6" i="5" s="1"/>
  <c r="Q176" i="4"/>
  <c r="R176" i="4" s="1"/>
  <c r="T176" i="4"/>
  <c r="K33" i="5"/>
  <c r="V33" i="5"/>
  <c r="W33" i="5" s="1"/>
  <c r="J33" i="5"/>
  <c r="I33" i="5"/>
  <c r="R200" i="4"/>
  <c r="Q142" i="4"/>
  <c r="R142" i="4" s="1"/>
  <c r="T142" i="4"/>
  <c r="N249" i="4"/>
  <c r="M249" i="4"/>
  <c r="L249" i="4"/>
  <c r="P249" i="4"/>
  <c r="T181" i="4"/>
  <c r="Q181" i="4"/>
  <c r="R181" i="4" s="1"/>
  <c r="T257" i="4"/>
  <c r="Q257" i="4"/>
  <c r="R257" i="4" s="1"/>
  <c r="P62" i="4"/>
  <c r="L62" i="4"/>
  <c r="M62" i="4" s="1"/>
  <c r="N62" i="4"/>
  <c r="T87" i="4"/>
  <c r="Q87" i="4"/>
  <c r="P173" i="4"/>
  <c r="N173" i="4"/>
  <c r="M173" i="4"/>
  <c r="L173" i="4"/>
  <c r="T169" i="4"/>
  <c r="Q169" i="4"/>
  <c r="R169" i="4" s="1"/>
  <c r="L97" i="4"/>
  <c r="M97" i="4" s="1"/>
  <c r="N97" i="4"/>
  <c r="P97" i="4"/>
  <c r="P215" i="4"/>
  <c r="L215" i="4"/>
  <c r="M215" i="4" s="1"/>
  <c r="N215" i="4"/>
  <c r="T167" i="4"/>
  <c r="Q167" i="4"/>
  <c r="R167" i="4" s="1"/>
  <c r="T102" i="5"/>
  <c r="U102" i="5" s="1"/>
  <c r="N185" i="5"/>
  <c r="O185" i="5" s="1"/>
  <c r="N98" i="5"/>
  <c r="O98" i="5" s="1"/>
  <c r="Q264" i="4"/>
  <c r="R264" i="4" s="1"/>
  <c r="T264" i="4"/>
  <c r="P222" i="4"/>
  <c r="N222" i="4"/>
  <c r="M222" i="4"/>
  <c r="L222" i="4"/>
  <c r="V7" i="5"/>
  <c r="W7" i="5" s="1"/>
  <c r="J7" i="5"/>
  <c r="I7" i="5"/>
  <c r="K7" i="5"/>
  <c r="J41" i="5"/>
  <c r="I41" i="5"/>
  <c r="K41" i="5" s="1"/>
  <c r="V41" i="5"/>
  <c r="W41" i="5" s="1"/>
  <c r="R293" i="4"/>
  <c r="R245" i="4"/>
  <c r="N151" i="4"/>
  <c r="L151" i="4"/>
  <c r="M151" i="4" s="1"/>
  <c r="P151" i="4"/>
  <c r="R334" i="4"/>
  <c r="R282" i="4"/>
  <c r="R210" i="4"/>
  <c r="L319" i="4"/>
  <c r="M319" i="4" s="1"/>
  <c r="P319" i="4"/>
  <c r="N319" i="4"/>
  <c r="Q328" i="4"/>
  <c r="R328" i="4" s="1"/>
  <c r="T328" i="4"/>
  <c r="Q295" i="4"/>
  <c r="R295" i="4" s="1"/>
  <c r="T295" i="4"/>
  <c r="T57" i="4"/>
  <c r="Q57" i="4"/>
  <c r="R57" i="4" s="1"/>
  <c r="N250" i="4"/>
  <c r="L250" i="4"/>
  <c r="M250" i="4" s="1"/>
  <c r="P250" i="4"/>
  <c r="L98" i="4"/>
  <c r="M98" i="4" s="1"/>
  <c r="N98" i="4"/>
  <c r="P98" i="4"/>
  <c r="T236" i="4"/>
  <c r="Q236" i="4"/>
  <c r="R236" i="4" s="1"/>
  <c r="R178" i="4"/>
  <c r="L260" i="4"/>
  <c r="N260" i="4"/>
  <c r="M260" i="4"/>
  <c r="P260" i="4"/>
  <c r="N30" i="4"/>
  <c r="L30" i="4"/>
  <c r="G8" i="1"/>
  <c r="P30" i="4"/>
  <c r="M30" i="4"/>
  <c r="T71" i="4"/>
  <c r="Q71" i="4"/>
  <c r="R71" i="4" s="1"/>
  <c r="Q5" i="4"/>
  <c r="R5" i="4" s="1"/>
  <c r="T5" i="4"/>
  <c r="Q74" i="4"/>
  <c r="R74" i="4" s="1"/>
  <c r="T74" i="4"/>
  <c r="N157" i="5"/>
  <c r="O157" i="5" s="1"/>
  <c r="V168" i="5"/>
  <c r="W168" i="5" s="1"/>
  <c r="J168" i="5"/>
  <c r="K168" i="5"/>
  <c r="I168" i="5"/>
  <c r="T213" i="5"/>
  <c r="U213" i="5" s="1"/>
  <c r="J154" i="5"/>
  <c r="V154" i="5"/>
  <c r="W154" i="5" s="1"/>
  <c r="I154" i="5"/>
  <c r="K154" i="5" s="1"/>
  <c r="J103" i="5"/>
  <c r="I103" i="5"/>
  <c r="V103" i="5"/>
  <c r="W103" i="5" s="1"/>
  <c r="K103" i="5"/>
  <c r="Q103" i="5"/>
  <c r="R103" i="5" s="1"/>
  <c r="J80" i="5"/>
  <c r="K80" i="5" s="1"/>
  <c r="I80" i="5"/>
  <c r="V80" i="5"/>
  <c r="W80" i="5" s="1"/>
  <c r="N102" i="5"/>
  <c r="O102" i="5" s="1"/>
  <c r="T123" i="5"/>
  <c r="U123" i="5" s="1"/>
  <c r="I16" i="5"/>
  <c r="K16" i="5" s="1"/>
  <c r="V16" i="5"/>
  <c r="W16" i="5" s="1"/>
  <c r="J16" i="5"/>
  <c r="T159" i="5"/>
  <c r="U159" i="5" s="1"/>
  <c r="T41" i="5"/>
  <c r="U41" i="5" s="1"/>
  <c r="N35" i="5"/>
  <c r="O35" i="5" s="1"/>
  <c r="I20" i="5"/>
  <c r="K20" i="5" s="1"/>
  <c r="V20" i="5"/>
  <c r="W20" i="5" s="1"/>
  <c r="J20" i="5"/>
  <c r="K83" i="5"/>
  <c r="I44" i="5"/>
  <c r="K44" i="5" s="1"/>
  <c r="V44" i="5"/>
  <c r="W44" i="5" s="1"/>
  <c r="J44" i="5"/>
  <c r="N36" i="5"/>
  <c r="O36" i="5" s="1"/>
  <c r="L324" i="4"/>
  <c r="M324" i="4"/>
  <c r="P324" i="4"/>
  <c r="N324" i="4"/>
  <c r="J57" i="5"/>
  <c r="V57" i="5"/>
  <c r="W57" i="5" s="1"/>
  <c r="I57" i="5"/>
  <c r="K57" i="5" s="1"/>
  <c r="J15" i="5"/>
  <c r="I15" i="5"/>
  <c r="K15" i="5" s="1"/>
  <c r="V15" i="5"/>
  <c r="W15" i="5" s="1"/>
  <c r="J22" i="5"/>
  <c r="V22" i="5"/>
  <c r="W22" i="5" s="1"/>
  <c r="I22" i="5"/>
  <c r="K22" i="5" s="1"/>
  <c r="Q310" i="4"/>
  <c r="R310" i="4" s="1"/>
  <c r="T310" i="4"/>
  <c r="P332" i="4"/>
  <c r="N332" i="4"/>
  <c r="L332" i="4"/>
  <c r="M332" i="4" s="1"/>
  <c r="Q127" i="4"/>
  <c r="R127" i="4" s="1"/>
  <c r="T127" i="4"/>
  <c r="T178" i="4"/>
  <c r="Q178" i="4"/>
  <c r="G11" i="1"/>
  <c r="P51" i="4"/>
  <c r="N51" i="4"/>
  <c r="M51" i="4"/>
  <c r="L51" i="4"/>
  <c r="Q244" i="4"/>
  <c r="R244" i="4" s="1"/>
  <c r="T244" i="4"/>
  <c r="Q248" i="4"/>
  <c r="R248" i="4" s="1"/>
  <c r="T248" i="4"/>
  <c r="R146" i="4"/>
  <c r="Q138" i="4"/>
  <c r="R138" i="4" s="1"/>
  <c r="T138" i="4"/>
  <c r="Q148" i="4"/>
  <c r="R148" i="4" s="1"/>
  <c r="T148" i="4"/>
  <c r="I231" i="5"/>
  <c r="K231" i="5" s="1"/>
  <c r="J231" i="5"/>
  <c r="V231" i="5"/>
  <c r="W231" i="5" s="1"/>
  <c r="N135" i="4"/>
  <c r="L135" i="4"/>
  <c r="M135" i="4" s="1"/>
  <c r="G23" i="1"/>
  <c r="P135" i="4"/>
  <c r="R239" i="4"/>
  <c r="T164" i="4"/>
  <c r="Q164" i="4"/>
  <c r="R164" i="4" s="1"/>
  <c r="T121" i="4"/>
  <c r="Q121" i="4"/>
  <c r="R121" i="4" s="1"/>
  <c r="P45" i="4"/>
  <c r="N45" i="4"/>
  <c r="M45" i="4"/>
  <c r="L45" i="4"/>
  <c r="U63" i="4"/>
  <c r="S63" i="4"/>
  <c r="N149" i="5"/>
  <c r="O149" i="5" s="1"/>
  <c r="J143" i="5"/>
  <c r="I143" i="5"/>
  <c r="K143" i="5" s="1"/>
  <c r="V143" i="5"/>
  <c r="W143" i="5" s="1"/>
  <c r="J98" i="5"/>
  <c r="I98" i="5"/>
  <c r="K98" i="5" s="1"/>
  <c r="V98" i="5"/>
  <c r="W98" i="5" s="1"/>
  <c r="Q102" i="5"/>
  <c r="R102" i="5" s="1"/>
  <c r="Q123" i="5"/>
  <c r="R123" i="5" s="1"/>
  <c r="N159" i="5"/>
  <c r="O159" i="5" s="1"/>
  <c r="V35" i="5"/>
  <c r="W35" i="5" s="1"/>
  <c r="J35" i="5"/>
  <c r="K35" i="5"/>
  <c r="I35" i="5"/>
  <c r="Q35" i="5"/>
  <c r="R35" i="5" s="1"/>
  <c r="J77" i="5"/>
  <c r="V77" i="5"/>
  <c r="W77" i="5" s="1"/>
  <c r="I77" i="5"/>
  <c r="K77" i="5" s="1"/>
  <c r="V27" i="5"/>
  <c r="W27" i="5" s="1"/>
  <c r="J27" i="5"/>
  <c r="I27" i="5"/>
  <c r="K27" i="5" s="1"/>
  <c r="Q27" i="5"/>
  <c r="R27" i="5" s="1"/>
  <c r="T280" i="4"/>
  <c r="Q280" i="4"/>
  <c r="R280" i="4" s="1"/>
  <c r="L129" i="4"/>
  <c r="M129" i="4" s="1"/>
  <c r="P129" i="4"/>
  <c r="N129" i="4"/>
  <c r="S259" i="4"/>
  <c r="U259" i="4" s="1"/>
  <c r="N28" i="5"/>
  <c r="O28" i="5" s="1"/>
  <c r="V63" i="5"/>
  <c r="W63" i="5" s="1"/>
  <c r="J63" i="5"/>
  <c r="I63" i="5"/>
  <c r="K63" i="5" s="1"/>
  <c r="V4" i="5"/>
  <c r="W4" i="5" s="1"/>
  <c r="I4" i="5"/>
  <c r="J4" i="5"/>
  <c r="K4" i="5" s="1"/>
  <c r="Q321" i="4"/>
  <c r="T321" i="4"/>
  <c r="T3" i="4"/>
  <c r="Q3" i="4"/>
  <c r="Q49" i="4"/>
  <c r="R49" i="4" s="1"/>
  <c r="T49" i="4"/>
  <c r="N4" i="5"/>
  <c r="O4" i="5" s="1"/>
  <c r="Q218" i="4"/>
  <c r="R218" i="4" s="1"/>
  <c r="T218" i="4"/>
  <c r="P58" i="4"/>
  <c r="N58" i="4"/>
  <c r="L58" i="4"/>
  <c r="M58" i="4" s="1"/>
  <c r="G12" i="1"/>
  <c r="Q72" i="4"/>
  <c r="R72" i="4" s="1"/>
  <c r="T72" i="4"/>
  <c r="R119" i="4"/>
  <c r="Q239" i="4"/>
  <c r="T239" i="4"/>
  <c r="S235" i="4"/>
  <c r="U235" i="4" s="1"/>
  <c r="Q128" i="4"/>
  <c r="T128" i="4"/>
  <c r="T117" i="4"/>
  <c r="Q117" i="4"/>
  <c r="R117" i="4" s="1"/>
  <c r="N108" i="4"/>
  <c r="P108" i="4"/>
  <c r="L108" i="4"/>
  <c r="M108" i="4" s="1"/>
  <c r="G19" i="1"/>
  <c r="V229" i="5"/>
  <c r="W229" i="5" s="1"/>
  <c r="J229" i="5"/>
  <c r="I229" i="5"/>
  <c r="K229" i="5" s="1"/>
  <c r="T149" i="5"/>
  <c r="U149" i="5" s="1"/>
  <c r="K111" i="5"/>
  <c r="I111" i="5"/>
  <c r="J111" i="5"/>
  <c r="V111" i="5"/>
  <c r="W111" i="5" s="1"/>
  <c r="N123" i="5"/>
  <c r="O123" i="5" s="1"/>
  <c r="Q159" i="5"/>
  <c r="R159" i="5" s="1"/>
  <c r="J132" i="5"/>
  <c r="I132" i="5"/>
  <c r="V132" i="5"/>
  <c r="W132" i="5" s="1"/>
  <c r="K132" i="5"/>
  <c r="P333" i="4"/>
  <c r="M333" i="4"/>
  <c r="N333" i="4"/>
  <c r="L333" i="4"/>
  <c r="Q269" i="4"/>
  <c r="T269" i="4"/>
  <c r="I36" i="5"/>
  <c r="K36" i="5" s="1"/>
  <c r="V36" i="5"/>
  <c r="W36" i="5" s="1"/>
  <c r="J36" i="5"/>
  <c r="Q337" i="4"/>
  <c r="R337" i="4" s="1"/>
  <c r="T337" i="4"/>
  <c r="T268" i="4"/>
  <c r="Q268" i="4"/>
  <c r="R268" i="4" s="1"/>
  <c r="N82" i="4"/>
  <c r="P82" i="4"/>
  <c r="L82" i="4"/>
  <c r="M82" i="4" s="1"/>
  <c r="P195" i="4"/>
  <c r="L195" i="4"/>
  <c r="M195" i="4" s="1"/>
  <c r="N195" i="4"/>
  <c r="V11" i="5"/>
  <c r="W11" i="5" s="1"/>
  <c r="J11" i="5"/>
  <c r="I11" i="5"/>
  <c r="Q11" i="5"/>
  <c r="R11" i="5" s="1"/>
  <c r="K11" i="5"/>
  <c r="T29" i="4"/>
  <c r="Q29" i="4"/>
  <c r="R29" i="4" s="1"/>
  <c r="Q237" i="4"/>
  <c r="R237" i="4" s="1"/>
  <c r="T237" i="4"/>
  <c r="Q91" i="4"/>
  <c r="T91" i="4"/>
  <c r="T212" i="4"/>
  <c r="Q212" i="4"/>
  <c r="R212" i="4" s="1"/>
  <c r="T37" i="4"/>
  <c r="Q37" i="4"/>
  <c r="R37" i="4" s="1"/>
  <c r="Q104" i="4"/>
  <c r="R104" i="4" s="1"/>
  <c r="T104" i="4"/>
  <c r="Q183" i="4"/>
  <c r="R183" i="4" s="1"/>
  <c r="T183" i="4"/>
  <c r="Q263" i="4"/>
  <c r="R263" i="4" s="1"/>
  <c r="T263" i="4"/>
  <c r="S126" i="4"/>
  <c r="U126" i="4"/>
  <c r="T287" i="4"/>
  <c r="Q287" i="4"/>
  <c r="R287" i="4" s="1"/>
  <c r="P54" i="4"/>
  <c r="M54" i="4"/>
  <c r="N54" i="4"/>
  <c r="L54" i="4"/>
  <c r="T246" i="4"/>
  <c r="Q246" i="4"/>
  <c r="R246" i="4" s="1"/>
  <c r="Q170" i="4"/>
  <c r="R170" i="4" s="1"/>
  <c r="T170" i="4"/>
  <c r="T17" i="4"/>
  <c r="Q17" i="4"/>
  <c r="R17" i="4" s="1"/>
  <c r="G22" i="1"/>
  <c r="T316" i="4"/>
  <c r="Q316" i="4"/>
  <c r="R316" i="4" s="1"/>
  <c r="N15" i="4"/>
  <c r="L15" i="4"/>
  <c r="M15" i="4" s="1"/>
  <c r="P15" i="4"/>
  <c r="M5" i="1"/>
  <c r="V217" i="5"/>
  <c r="W217" i="5" s="1"/>
  <c r="J217" i="5"/>
  <c r="I217" i="5"/>
  <c r="K217" i="5" s="1"/>
  <c r="V149" i="5"/>
  <c r="W149" i="5" s="1"/>
  <c r="J149" i="5"/>
  <c r="K149" i="5" s="1"/>
  <c r="I149" i="5"/>
  <c r="V188" i="5"/>
  <c r="W188" i="5" s="1"/>
  <c r="J188" i="5"/>
  <c r="I188" i="5"/>
  <c r="K188" i="5" s="1"/>
  <c r="Q188" i="5"/>
  <c r="R188" i="5" s="1"/>
  <c r="J214" i="5"/>
  <c r="I214" i="5"/>
  <c r="K214" i="5" s="1"/>
  <c r="V214" i="5"/>
  <c r="W214" i="5" s="1"/>
  <c r="Q146" i="5"/>
  <c r="R146" i="5" s="1"/>
  <c r="N234" i="5"/>
  <c r="O234" i="5" s="1"/>
  <c r="N121" i="5"/>
  <c r="O121" i="5" s="1"/>
  <c r="J116" i="5"/>
  <c r="V116" i="5"/>
  <c r="W116" i="5" s="1"/>
  <c r="I116" i="5"/>
  <c r="K116" i="5" s="1"/>
  <c r="Q175" i="5"/>
  <c r="R175" i="5" s="1"/>
  <c r="I65" i="5"/>
  <c r="N65" i="5"/>
  <c r="O65" i="5" s="1"/>
  <c r="J65" i="5"/>
  <c r="K65" i="5" s="1"/>
  <c r="V65" i="5"/>
  <c r="W65" i="5" s="1"/>
  <c r="Q65" i="5"/>
  <c r="R65" i="5" s="1"/>
  <c r="V131" i="5"/>
  <c r="W131" i="5" s="1"/>
  <c r="J131" i="5"/>
  <c r="I131" i="5"/>
  <c r="K131" i="5" s="1"/>
  <c r="T132" i="5"/>
  <c r="U132" i="5" s="1"/>
  <c r="Q109" i="5"/>
  <c r="R109" i="5" s="1"/>
  <c r="T336" i="4"/>
  <c r="Q336" i="4"/>
  <c r="Q139" i="5"/>
  <c r="R139" i="5" s="1"/>
  <c r="J71" i="5"/>
  <c r="I71" i="5"/>
  <c r="K71" i="5" s="1"/>
  <c r="V71" i="5"/>
  <c r="W71" i="5" s="1"/>
  <c r="Q54" i="5"/>
  <c r="R54" i="5" s="1"/>
  <c r="R269" i="4"/>
  <c r="N7" i="5"/>
  <c r="O7" i="5" s="1"/>
  <c r="J23" i="5"/>
  <c r="K23" i="5" s="1"/>
  <c r="I23" i="5"/>
  <c r="V23" i="5"/>
  <c r="W23" i="5" s="1"/>
  <c r="T28" i="5"/>
  <c r="U28" i="5" s="1"/>
  <c r="R311" i="4"/>
  <c r="K93" i="5"/>
  <c r="J93" i="5"/>
  <c r="V93" i="5"/>
  <c r="W93" i="5" s="1"/>
  <c r="I93" i="5"/>
  <c r="P265" i="4"/>
  <c r="N265" i="4"/>
  <c r="L265" i="4"/>
  <c r="M265" i="4" s="1"/>
  <c r="T137" i="4"/>
  <c r="Q137" i="4"/>
  <c r="T107" i="4"/>
  <c r="Q107" i="4"/>
  <c r="R107" i="4" s="1"/>
  <c r="P241" i="4"/>
  <c r="N241" i="4"/>
  <c r="L241" i="4"/>
  <c r="M241" i="4" s="1"/>
  <c r="G10" i="1"/>
  <c r="T188" i="5"/>
  <c r="U188" i="5" s="1"/>
  <c r="J223" i="5"/>
  <c r="K223" i="5" s="1"/>
  <c r="I223" i="5"/>
  <c r="V223" i="5"/>
  <c r="W223" i="5" s="1"/>
  <c r="T146" i="5"/>
  <c r="U146" i="5" s="1"/>
  <c r="V153" i="5"/>
  <c r="W153" i="5" s="1"/>
  <c r="K153" i="5"/>
  <c r="J153" i="5"/>
  <c r="I153" i="5"/>
  <c r="J96" i="5"/>
  <c r="I96" i="5"/>
  <c r="K96" i="5" s="1"/>
  <c r="V96" i="5"/>
  <c r="W96" i="5" s="1"/>
  <c r="T96" i="5"/>
  <c r="U96" i="5" s="1"/>
  <c r="Q96" i="5"/>
  <c r="R96" i="5" s="1"/>
  <c r="Q165" i="5"/>
  <c r="R165" i="5" s="1"/>
  <c r="J82" i="5"/>
  <c r="K82" i="5" s="1"/>
  <c r="V82" i="5"/>
  <c r="W82" i="5" s="1"/>
  <c r="I82" i="5"/>
  <c r="J138" i="5"/>
  <c r="K138" i="5" s="1"/>
  <c r="V138" i="5"/>
  <c r="W138" i="5" s="1"/>
  <c r="I138" i="5"/>
  <c r="V88" i="5"/>
  <c r="W88" i="5" s="1"/>
  <c r="J88" i="5"/>
  <c r="I88" i="5"/>
  <c r="K88" i="5" s="1"/>
  <c r="Q88" i="5"/>
  <c r="R88" i="5" s="1"/>
  <c r="N88" i="5"/>
  <c r="O88" i="5" s="1"/>
  <c r="N109" i="5"/>
  <c r="O109" i="5" s="1"/>
  <c r="J37" i="5"/>
  <c r="I37" i="5"/>
  <c r="K37" i="5" s="1"/>
  <c r="V37" i="5"/>
  <c r="W37" i="5" s="1"/>
  <c r="T139" i="5"/>
  <c r="U139" i="5" s="1"/>
  <c r="N261" i="4"/>
  <c r="L261" i="4"/>
  <c r="P261" i="4"/>
  <c r="M261" i="4"/>
  <c r="V205" i="5"/>
  <c r="W205" i="5" s="1"/>
  <c r="J205" i="5"/>
  <c r="I205" i="5"/>
  <c r="K205" i="5" s="1"/>
  <c r="V31" i="5"/>
  <c r="W31" i="5" s="1"/>
  <c r="J31" i="5"/>
  <c r="I31" i="5"/>
  <c r="K31" i="5" s="1"/>
  <c r="J87" i="5"/>
  <c r="I87" i="5"/>
  <c r="K87" i="5" s="1"/>
  <c r="V87" i="5"/>
  <c r="W87" i="5" s="1"/>
  <c r="T31" i="5"/>
  <c r="U31" i="5" s="1"/>
  <c r="T301" i="4"/>
  <c r="Q301" i="4"/>
  <c r="P262" i="4"/>
  <c r="L262" i="4"/>
  <c r="N262" i="4"/>
  <c r="M262" i="4"/>
  <c r="T6" i="5"/>
  <c r="U6" i="5" s="1"/>
  <c r="I128" i="5"/>
  <c r="K128" i="5" s="1"/>
  <c r="J128" i="5"/>
  <c r="V128" i="5"/>
  <c r="W128" i="5" s="1"/>
  <c r="T275" i="4"/>
  <c r="Q275" i="4"/>
  <c r="R275" i="4" s="1"/>
  <c r="T109" i="5"/>
  <c r="U109" i="5" s="1"/>
  <c r="V24" i="5"/>
  <c r="W24" i="5" s="1"/>
  <c r="J24" i="5"/>
  <c r="I24" i="5"/>
  <c r="K24" i="5" s="1"/>
  <c r="N217" i="4"/>
  <c r="L217" i="4"/>
  <c r="M217" i="4" s="1"/>
  <c r="P217" i="4"/>
  <c r="V19" i="5"/>
  <c r="W19" i="5" s="1"/>
  <c r="J19" i="5"/>
  <c r="I19" i="5"/>
  <c r="K19" i="5" s="1"/>
  <c r="P191" i="4"/>
  <c r="N191" i="4"/>
  <c r="M191" i="4"/>
  <c r="L191" i="4"/>
  <c r="J13" i="5"/>
  <c r="K13" i="5"/>
  <c r="I13" i="5"/>
  <c r="V13" i="5"/>
  <c r="W13" i="5" s="1"/>
  <c r="T78" i="4"/>
  <c r="Q78" i="4"/>
  <c r="R78" i="4" s="1"/>
  <c r="P331" i="4"/>
  <c r="N331" i="4"/>
  <c r="L331" i="4"/>
  <c r="M331" i="4" s="1"/>
  <c r="P76" i="4"/>
  <c r="N76" i="4"/>
  <c r="L76" i="4"/>
  <c r="M76" i="4" s="1"/>
  <c r="L209" i="4"/>
  <c r="M209" i="4" s="1"/>
  <c r="P209" i="4"/>
  <c r="N209" i="4"/>
  <c r="P40" i="4"/>
  <c r="N40" i="4"/>
  <c r="L40" i="4"/>
  <c r="M40" i="4" s="1"/>
  <c r="G9" i="1"/>
  <c r="Q283" i="4"/>
  <c r="R283" i="4" s="1"/>
  <c r="T283" i="4"/>
  <c r="T106" i="4"/>
  <c r="Q106" i="4"/>
  <c r="T141" i="4"/>
  <c r="Q141" i="4"/>
  <c r="R141" i="4" s="1"/>
  <c r="Q165" i="4"/>
  <c r="R165" i="4" s="1"/>
  <c r="T165" i="4"/>
  <c r="L113" i="4"/>
  <c r="M113" i="4" s="1"/>
  <c r="P113" i="4"/>
  <c r="N113" i="4"/>
  <c r="T85" i="4"/>
  <c r="Q85" i="4"/>
  <c r="R85" i="4" s="1"/>
  <c r="S13" i="4"/>
  <c r="U13" i="4" s="1"/>
  <c r="S21" i="4"/>
  <c r="U21" i="4" s="1"/>
  <c r="Q204" i="5"/>
  <c r="R204" i="5" s="1"/>
  <c r="V210" i="5"/>
  <c r="W210" i="5" s="1"/>
  <c r="I210" i="5"/>
  <c r="K210" i="5" s="1"/>
  <c r="J210" i="5"/>
  <c r="Q186" i="5"/>
  <c r="R186" i="5" s="1"/>
  <c r="V230" i="5"/>
  <c r="W230" i="5" s="1"/>
  <c r="J230" i="5"/>
  <c r="K230" i="5" s="1"/>
  <c r="I230" i="5"/>
  <c r="J206" i="5"/>
  <c r="V206" i="5"/>
  <c r="W206" i="5" s="1"/>
  <c r="I206" i="5"/>
  <c r="K206" i="5"/>
  <c r="I161" i="5"/>
  <c r="K161" i="5" s="1"/>
  <c r="J161" i="5"/>
  <c r="V161" i="5"/>
  <c r="W161" i="5" s="1"/>
  <c r="Q168" i="5"/>
  <c r="R168" i="5" s="1"/>
  <c r="V207" i="5"/>
  <c r="W207" i="5" s="1"/>
  <c r="J207" i="5"/>
  <c r="K207" i="5" s="1"/>
  <c r="I207" i="5"/>
  <c r="T165" i="5"/>
  <c r="U165" i="5" s="1"/>
  <c r="V213" i="5"/>
  <c r="W213" i="5" s="1"/>
  <c r="J213" i="5"/>
  <c r="I213" i="5"/>
  <c r="K213" i="5" s="1"/>
  <c r="J194" i="5"/>
  <c r="I194" i="5"/>
  <c r="K194" i="5" s="1"/>
  <c r="V194" i="5"/>
  <c r="W194" i="5" s="1"/>
  <c r="V104" i="5"/>
  <c r="W104" i="5" s="1"/>
  <c r="J104" i="5"/>
  <c r="I104" i="5"/>
  <c r="K104" i="5" s="1"/>
  <c r="V180" i="5"/>
  <c r="W180" i="5" s="1"/>
  <c r="J180" i="5"/>
  <c r="I180" i="5"/>
  <c r="K180" i="5" s="1"/>
  <c r="V164" i="5"/>
  <c r="W164" i="5" s="1"/>
  <c r="J164" i="5"/>
  <c r="K164" i="5"/>
  <c r="I164" i="5"/>
  <c r="T313" i="4"/>
  <c r="Q313" i="4"/>
  <c r="R313" i="4" s="1"/>
  <c r="R336" i="4"/>
  <c r="N139" i="5"/>
  <c r="O139" i="5" s="1"/>
  <c r="Q166" i="5"/>
  <c r="R166" i="5" s="1"/>
  <c r="T153" i="5"/>
  <c r="U153" i="5" s="1"/>
  <c r="N153" i="5"/>
  <c r="O153" i="5" s="1"/>
  <c r="T20" i="5"/>
  <c r="U20" i="5" s="1"/>
  <c r="R301" i="4"/>
  <c r="K106" i="5"/>
  <c r="J106" i="5"/>
  <c r="I106" i="5"/>
  <c r="V106" i="5"/>
  <c r="W106" i="5" s="1"/>
  <c r="T4" i="5"/>
  <c r="U4" i="5" s="1"/>
  <c r="T311" i="4"/>
  <c r="Q311" i="4"/>
  <c r="N82" i="5"/>
  <c r="O82" i="5" s="1"/>
  <c r="S289" i="4"/>
  <c r="U289" i="4"/>
  <c r="M156" i="4"/>
  <c r="N156" i="4"/>
  <c r="G26" i="1"/>
  <c r="L156" i="4"/>
  <c r="P156" i="4"/>
  <c r="Q317" i="4"/>
  <c r="R317" i="4" s="1"/>
  <c r="T317" i="4"/>
  <c r="G6" i="1"/>
  <c r="P16" i="4"/>
  <c r="N16" i="4"/>
  <c r="M16" i="4"/>
  <c r="L16" i="4"/>
  <c r="T214" i="4"/>
  <c r="Q214" i="4"/>
  <c r="R214" i="4" s="1"/>
  <c r="Q158" i="4"/>
  <c r="R158" i="4" s="1"/>
  <c r="T158" i="4"/>
  <c r="P12" i="4"/>
  <c r="N12" i="4"/>
  <c r="M12" i="4"/>
  <c r="L12" i="4"/>
  <c r="Q92" i="4"/>
  <c r="T92" i="4"/>
  <c r="T274" i="4"/>
  <c r="Q274" i="4"/>
  <c r="R274" i="4" s="1"/>
  <c r="P77" i="4"/>
  <c r="L77" i="4"/>
  <c r="N77" i="4"/>
  <c r="M77" i="4"/>
  <c r="J121" i="5"/>
  <c r="I121" i="5"/>
  <c r="K121" i="5" s="1"/>
  <c r="V121" i="5"/>
  <c r="W121" i="5" s="1"/>
  <c r="J73" i="5"/>
  <c r="I73" i="5"/>
  <c r="K73" i="5" s="1"/>
  <c r="V73" i="5"/>
  <c r="W73" i="5" s="1"/>
  <c r="M277" i="4"/>
  <c r="L277" i="4"/>
  <c r="P277" i="4"/>
  <c r="N277" i="4"/>
  <c r="T322" i="4"/>
  <c r="Q322" i="4"/>
  <c r="R322" i="4" s="1"/>
  <c r="K58" i="5"/>
  <c r="J58" i="5"/>
  <c r="V58" i="5"/>
  <c r="W58" i="5" s="1"/>
  <c r="I58" i="5"/>
  <c r="Q153" i="5"/>
  <c r="R153" i="5" s="1"/>
  <c r="N70" i="5"/>
  <c r="O70" i="5" s="1"/>
  <c r="N14" i="5"/>
  <c r="O14" i="5" s="1"/>
  <c r="P231" i="4"/>
  <c r="M231" i="4"/>
  <c r="L231" i="4"/>
  <c r="N231" i="4"/>
  <c r="J3" i="5"/>
  <c r="J5" i="1" s="1"/>
  <c r="I3" i="5"/>
  <c r="B9" i="1" s="1"/>
  <c r="K3" i="5"/>
  <c r="V3" i="5"/>
  <c r="W3" i="5" s="1"/>
  <c r="B8" i="1"/>
  <c r="C8" i="1" s="1"/>
  <c r="Q308" i="4"/>
  <c r="R308" i="4" s="1"/>
  <c r="T308" i="4"/>
  <c r="Q219" i="4"/>
  <c r="R219" i="4" s="1"/>
  <c r="T219" i="4"/>
  <c r="R303" i="4"/>
  <c r="J8" i="5"/>
  <c r="V8" i="5"/>
  <c r="W8" i="5" s="1"/>
  <c r="K8" i="5"/>
  <c r="I8" i="5"/>
  <c r="T307" i="4"/>
  <c r="Q307" i="4"/>
  <c r="R307" i="4" s="1"/>
  <c r="P253" i="4"/>
  <c r="L253" i="4"/>
  <c r="M253" i="4"/>
  <c r="N253" i="4"/>
  <c r="P125" i="4"/>
  <c r="N125" i="4"/>
  <c r="L125" i="4"/>
  <c r="M125" i="4" s="1"/>
  <c r="T207" i="4"/>
  <c r="Q207" i="4"/>
  <c r="R207" i="4" s="1"/>
  <c r="T224" i="4"/>
  <c r="Q224" i="4"/>
  <c r="R224" i="4" s="1"/>
  <c r="G27" i="1"/>
  <c r="T80" i="4"/>
  <c r="Q80" i="4"/>
  <c r="R80" i="4" s="1"/>
  <c r="N326" i="4"/>
  <c r="L326" i="4"/>
  <c r="M326" i="4"/>
  <c r="P326" i="4"/>
  <c r="Q200" i="4"/>
  <c r="T200" i="4"/>
  <c r="R174" i="4"/>
  <c r="T93" i="4"/>
  <c r="Q93" i="4"/>
  <c r="R93" i="4" s="1"/>
  <c r="R213" i="4"/>
  <c r="T162" i="4"/>
  <c r="Q162" i="4"/>
  <c r="R162" i="4" s="1"/>
  <c r="N234" i="4"/>
  <c r="L234" i="4"/>
  <c r="M234" i="4"/>
  <c r="P234" i="4"/>
  <c r="R106" i="4"/>
  <c r="T27" i="5"/>
  <c r="U27" i="5" s="1"/>
  <c r="N99" i="4"/>
  <c r="P99" i="4"/>
  <c r="L99" i="4"/>
  <c r="M99" i="4"/>
  <c r="N148" i="5"/>
  <c r="O148" i="5" s="1"/>
  <c r="I159" i="5"/>
  <c r="V159" i="5"/>
  <c r="W159" i="5" s="1"/>
  <c r="K159" i="5"/>
  <c r="J159" i="5"/>
  <c r="Q149" i="5"/>
  <c r="R149" i="5" s="1"/>
  <c r="J127" i="5"/>
  <c r="I127" i="5"/>
  <c r="K127" i="5" s="1"/>
  <c r="V127" i="5"/>
  <c r="W127" i="5" s="1"/>
  <c r="N168" i="5"/>
  <c r="O168" i="5" s="1"/>
  <c r="V118" i="5"/>
  <c r="W118" i="5" s="1"/>
  <c r="J118" i="5"/>
  <c r="I118" i="5"/>
  <c r="K118" i="5" s="1"/>
  <c r="N56" i="5"/>
  <c r="O56" i="5" s="1"/>
  <c r="N104" i="5"/>
  <c r="O104" i="5" s="1"/>
  <c r="I49" i="5"/>
  <c r="K49" i="5" s="1"/>
  <c r="V49" i="5"/>
  <c r="W49" i="5" s="1"/>
  <c r="J49" i="5"/>
  <c r="J54" i="5"/>
  <c r="V54" i="5"/>
  <c r="W54" i="5" s="1"/>
  <c r="I54" i="5"/>
  <c r="K54" i="5" s="1"/>
  <c r="T70" i="5"/>
  <c r="U70" i="5" s="1"/>
  <c r="Q111" i="5"/>
  <c r="R111" i="5" s="1"/>
  <c r="Q124" i="5"/>
  <c r="R124" i="5" s="1"/>
  <c r="Q7" i="5"/>
  <c r="R7" i="5" s="1"/>
  <c r="N226" i="4"/>
  <c r="P226" i="4"/>
  <c r="M226" i="4"/>
  <c r="L226" i="4"/>
  <c r="I60" i="5"/>
  <c r="K60" i="5" s="1"/>
  <c r="V60" i="5"/>
  <c r="W60" i="5" s="1"/>
  <c r="J60" i="5"/>
  <c r="L335" i="4"/>
  <c r="M335" i="4" s="1"/>
  <c r="P335" i="4"/>
  <c r="N335" i="4"/>
  <c r="I47" i="5"/>
  <c r="K47" i="5" s="1"/>
  <c r="V47" i="5"/>
  <c r="W47" i="5" s="1"/>
  <c r="J47" i="5"/>
  <c r="L300" i="4"/>
  <c r="P300" i="4"/>
  <c r="M300" i="4"/>
  <c r="N300" i="4"/>
  <c r="I12" i="5"/>
  <c r="K12" i="5" s="1"/>
  <c r="J12" i="5"/>
  <c r="V12" i="5"/>
  <c r="W12" i="5" s="1"/>
  <c r="T193" i="4"/>
  <c r="Q193" i="4"/>
  <c r="V32" i="5"/>
  <c r="W32" i="5" s="1"/>
  <c r="K32" i="5"/>
  <c r="J32" i="5"/>
  <c r="I32" i="5"/>
  <c r="T303" i="4"/>
  <c r="Q303" i="4"/>
  <c r="R197" i="4"/>
  <c r="R137" i="4"/>
  <c r="T3" i="5"/>
  <c r="U3" i="5" s="1"/>
  <c r="J39" i="5"/>
  <c r="I39" i="5"/>
  <c r="K39" i="5" s="1"/>
  <c r="V39" i="5"/>
  <c r="W39" i="5" s="1"/>
  <c r="R3" i="4"/>
  <c r="L34" i="4"/>
  <c r="M34" i="4" s="1"/>
  <c r="P34" i="4"/>
  <c r="N34" i="4"/>
  <c r="Q163" i="4"/>
  <c r="R163" i="4" s="1"/>
  <c r="T163" i="4"/>
  <c r="P109" i="4"/>
  <c r="N109" i="4"/>
  <c r="M109" i="4"/>
  <c r="L109" i="4"/>
  <c r="T144" i="4"/>
  <c r="Q144" i="4"/>
  <c r="R144" i="4" s="1"/>
  <c r="T199" i="4"/>
  <c r="Q199" i="4"/>
  <c r="R199" i="4" s="1"/>
  <c r="T213" i="4"/>
  <c r="Q213" i="4"/>
  <c r="L171" i="4"/>
  <c r="P171" i="4"/>
  <c r="N171" i="4"/>
  <c r="M171" i="4"/>
  <c r="P35" i="4"/>
  <c r="N35" i="4"/>
  <c r="L35" i="4"/>
  <c r="M35" i="4" s="1"/>
  <c r="T16" i="5"/>
  <c r="U16" i="5" s="1"/>
  <c r="P95" i="4"/>
  <c r="N95" i="4"/>
  <c r="L95" i="4"/>
  <c r="M95" i="4" s="1"/>
  <c r="M10" i="1"/>
  <c r="T131" i="4"/>
  <c r="Q131" i="4"/>
  <c r="R131" i="4" s="1"/>
  <c r="U64" i="4"/>
  <c r="S64" i="4"/>
  <c r="M56" i="4"/>
  <c r="P56" i="4"/>
  <c r="N56" i="4"/>
  <c r="L56" i="4"/>
  <c r="G14" i="1"/>
  <c r="Q65" i="4"/>
  <c r="R65" i="4" s="1"/>
  <c r="T65" i="4"/>
  <c r="I224" i="5"/>
  <c r="K224" i="5"/>
  <c r="J224" i="5"/>
  <c r="V224" i="5"/>
  <c r="W224" i="5" s="1"/>
  <c r="N189" i="5"/>
  <c r="O189" i="5" s="1"/>
  <c r="I150" i="5"/>
  <c r="V150" i="5"/>
  <c r="W150" i="5" s="1"/>
  <c r="T150" i="5"/>
  <c r="U150" i="5" s="1"/>
  <c r="N150" i="5"/>
  <c r="O150" i="5" s="1"/>
  <c r="J150" i="5"/>
  <c r="K150" i="5" s="1"/>
  <c r="Q173" i="5"/>
  <c r="R173" i="5" s="1"/>
  <c r="Q148" i="5"/>
  <c r="R148" i="5" s="1"/>
  <c r="I176" i="5"/>
  <c r="K176" i="5"/>
  <c r="J176" i="5"/>
  <c r="V176" i="5"/>
  <c r="W176" i="5" s="1"/>
  <c r="N325" i="4"/>
  <c r="P325" i="4"/>
  <c r="L325" i="4"/>
  <c r="M325" i="4" s="1"/>
  <c r="V107" i="5"/>
  <c r="W107" i="5" s="1"/>
  <c r="J107" i="5"/>
  <c r="I107" i="5"/>
  <c r="K107" i="5" s="1"/>
  <c r="Q107" i="5"/>
  <c r="R107" i="5" s="1"/>
  <c r="T171" i="5"/>
  <c r="U171" i="5" s="1"/>
  <c r="N92" i="5"/>
  <c r="O92" i="5" s="1"/>
  <c r="T156" i="5"/>
  <c r="U156" i="5" s="1"/>
  <c r="Q121" i="5"/>
  <c r="R121" i="5" s="1"/>
  <c r="N118" i="5"/>
  <c r="O118" i="5" s="1"/>
  <c r="R272" i="4"/>
  <c r="R318" i="4"/>
  <c r="Q82" i="5"/>
  <c r="R82" i="5" s="1"/>
  <c r="T118" i="5"/>
  <c r="U118" i="5" s="1"/>
  <c r="Q56" i="5"/>
  <c r="R56" i="5" s="1"/>
  <c r="Q104" i="5"/>
  <c r="R104" i="5" s="1"/>
  <c r="Q38" i="5"/>
  <c r="R38" i="5" s="1"/>
  <c r="Q136" i="5"/>
  <c r="R136" i="5" s="1"/>
  <c r="Q70" i="5"/>
  <c r="R70" i="5" s="1"/>
  <c r="N124" i="5"/>
  <c r="O124" i="5" s="1"/>
  <c r="V45" i="5"/>
  <c r="W45" i="5" s="1"/>
  <c r="I45" i="5"/>
  <c r="K45" i="5" s="1"/>
  <c r="J45" i="5"/>
  <c r="R281" i="4"/>
  <c r="T203" i="4"/>
  <c r="Q203" i="4"/>
  <c r="R203" i="4" s="1"/>
  <c r="P299" i="4"/>
  <c r="M299" i="4"/>
  <c r="N299" i="4"/>
  <c r="L299" i="4"/>
  <c r="N111" i="5"/>
  <c r="O111" i="5" s="1"/>
  <c r="Q315" i="4"/>
  <c r="R315" i="4" s="1"/>
  <c r="T315" i="4"/>
  <c r="P118" i="4"/>
  <c r="L118" i="4"/>
  <c r="N118" i="4"/>
  <c r="M118" i="4"/>
  <c r="P252" i="4"/>
  <c r="L252" i="4"/>
  <c r="M252" i="4" s="1"/>
  <c r="N252" i="4"/>
  <c r="N86" i="4"/>
  <c r="M86" i="4"/>
  <c r="L86" i="4"/>
  <c r="P86" i="4"/>
  <c r="G16" i="1"/>
  <c r="N150" i="4"/>
  <c r="P150" i="4"/>
  <c r="M150" i="4"/>
  <c r="L150" i="4"/>
  <c r="P194" i="4"/>
  <c r="L194" i="4"/>
  <c r="M194" i="4" s="1"/>
  <c r="N194" i="4"/>
  <c r="P202" i="4"/>
  <c r="M202" i="4"/>
  <c r="L202" i="4"/>
  <c r="N202" i="4"/>
  <c r="K240" i="5"/>
  <c r="T279" i="5"/>
  <c r="U279" i="5" s="1"/>
  <c r="V191" i="5"/>
  <c r="W191" i="5" s="1"/>
  <c r="J191" i="5"/>
  <c r="I191" i="5"/>
  <c r="K191" i="5" s="1"/>
  <c r="V219" i="5"/>
  <c r="W219" i="5" s="1"/>
  <c r="J219" i="5"/>
  <c r="I219" i="5"/>
  <c r="K219" i="5" s="1"/>
  <c r="I268" i="5"/>
  <c r="K268" i="5" s="1"/>
  <c r="J268" i="5"/>
  <c r="V268" i="5"/>
  <c r="W268" i="5" s="1"/>
  <c r="Q189" i="5"/>
  <c r="R189" i="5" s="1"/>
  <c r="Q210" i="5"/>
  <c r="R210" i="5" s="1"/>
  <c r="I160" i="5"/>
  <c r="K160" i="5" s="1"/>
  <c r="J160" i="5"/>
  <c r="V160" i="5"/>
  <c r="W160" i="5" s="1"/>
  <c r="Q160" i="5"/>
  <c r="R160" i="5" s="1"/>
  <c r="V178" i="5"/>
  <c r="W178" i="5" s="1"/>
  <c r="J178" i="5"/>
  <c r="I178" i="5"/>
  <c r="K178" i="5" s="1"/>
  <c r="N127" i="5"/>
  <c r="O127" i="5" s="1"/>
  <c r="T173" i="5"/>
  <c r="U173" i="5" s="1"/>
  <c r="T143" i="5"/>
  <c r="U143" i="5" s="1"/>
  <c r="V175" i="5"/>
  <c r="W175" i="5" s="1"/>
  <c r="I175" i="5"/>
  <c r="J175" i="5"/>
  <c r="K175" i="5" s="1"/>
  <c r="T144" i="5"/>
  <c r="U144" i="5" s="1"/>
  <c r="Q150" i="5"/>
  <c r="R150" i="5" s="1"/>
  <c r="T166" i="5"/>
  <c r="U166" i="5" s="1"/>
  <c r="V155" i="5"/>
  <c r="W155" i="5" s="1"/>
  <c r="I155" i="5"/>
  <c r="K155" i="5" s="1"/>
  <c r="J155" i="5"/>
  <c r="V169" i="5"/>
  <c r="W169" i="5" s="1"/>
  <c r="I169" i="5"/>
  <c r="K169" i="5" s="1"/>
  <c r="J169" i="5"/>
  <c r="V133" i="5"/>
  <c r="W133" i="5" s="1"/>
  <c r="I133" i="5"/>
  <c r="K133" i="5" s="1"/>
  <c r="J133" i="5"/>
  <c r="V110" i="5"/>
  <c r="W110" i="5" s="1"/>
  <c r="J110" i="5"/>
  <c r="I110" i="5"/>
  <c r="K110" i="5" s="1"/>
  <c r="Q92" i="5"/>
  <c r="R92" i="5" s="1"/>
  <c r="Q156" i="5"/>
  <c r="R156" i="5" s="1"/>
  <c r="J115" i="5"/>
  <c r="I115" i="5"/>
  <c r="K115" i="5" s="1"/>
  <c r="V115" i="5"/>
  <c r="W115" i="5" s="1"/>
  <c r="T58" i="5"/>
  <c r="U58" i="5" s="1"/>
  <c r="R255" i="4"/>
  <c r="N73" i="5"/>
  <c r="O73" i="5" s="1"/>
  <c r="V34" i="5"/>
  <c r="W34" i="5" s="1"/>
  <c r="K34" i="5"/>
  <c r="I34" i="5"/>
  <c r="J34" i="5"/>
  <c r="J79" i="5"/>
  <c r="V79" i="5"/>
  <c r="W79" i="5" s="1"/>
  <c r="I79" i="5"/>
  <c r="K79" i="5" s="1"/>
  <c r="J117" i="5"/>
  <c r="I117" i="5"/>
  <c r="K117" i="5" s="1"/>
  <c r="V117" i="5"/>
  <c r="W117" i="5" s="1"/>
  <c r="T110" i="5"/>
  <c r="U110" i="5" s="1"/>
  <c r="T56" i="5"/>
  <c r="U56" i="5" s="1"/>
  <c r="T104" i="5"/>
  <c r="U104" i="5" s="1"/>
  <c r="J26" i="5"/>
  <c r="I26" i="5"/>
  <c r="K26" i="5" s="1"/>
  <c r="V26" i="5"/>
  <c r="W26" i="5" s="1"/>
  <c r="T32" i="5"/>
  <c r="U32" i="5" s="1"/>
  <c r="T136" i="5"/>
  <c r="U136" i="5" s="1"/>
  <c r="T124" i="5"/>
  <c r="U124" i="5" s="1"/>
  <c r="Q110" i="5"/>
  <c r="R110" i="5" s="1"/>
  <c r="J64" i="5"/>
  <c r="K64" i="5" s="1"/>
  <c r="V64" i="5"/>
  <c r="W64" i="5" s="1"/>
  <c r="I64" i="5"/>
  <c r="T314" i="4"/>
  <c r="Q314" i="4"/>
  <c r="R314" i="4" s="1"/>
  <c r="Q28" i="5"/>
  <c r="R28" i="5" s="1"/>
  <c r="T266" i="4"/>
  <c r="Q266" i="4"/>
  <c r="R266" i="4" s="1"/>
  <c r="V5" i="5"/>
  <c r="W5" i="5" s="1"/>
  <c r="J5" i="5"/>
  <c r="I5" i="5"/>
  <c r="K5" i="5" s="1"/>
  <c r="T39" i="5"/>
  <c r="U39" i="5" s="1"/>
  <c r="T247" i="4"/>
  <c r="Q247" i="4"/>
  <c r="R247" i="4" s="1"/>
  <c r="P101" i="4"/>
  <c r="N101" i="4"/>
  <c r="G18" i="1"/>
  <c r="M101" i="4"/>
  <c r="L101" i="4"/>
  <c r="T80" i="5"/>
  <c r="U80" i="5" s="1"/>
  <c r="P105" i="4"/>
  <c r="L105" i="4"/>
  <c r="M105" i="4" s="1"/>
  <c r="N105" i="4"/>
  <c r="P157" i="4"/>
  <c r="N157" i="4"/>
  <c r="L157" i="4"/>
  <c r="M157" i="4"/>
  <c r="Q184" i="4"/>
  <c r="R184" i="4" s="1"/>
  <c r="T184" i="4"/>
  <c r="T271" i="4"/>
  <c r="Q271" i="4"/>
  <c r="R271" i="4" s="1"/>
  <c r="T102" i="4"/>
  <c r="Q102" i="4"/>
  <c r="R102" i="4" s="1"/>
  <c r="Q190" i="4"/>
  <c r="R190" i="4" s="1"/>
  <c r="T190" i="4"/>
  <c r="S96" i="4"/>
  <c r="U96" i="4"/>
  <c r="T55" i="4"/>
  <c r="Q55" i="4"/>
  <c r="R55" i="4" s="1"/>
  <c r="Q32" i="4"/>
  <c r="R32" i="4" s="1"/>
  <c r="T32" i="4"/>
  <c r="P130" i="4"/>
  <c r="L130" i="4"/>
  <c r="M130" i="4" s="1"/>
  <c r="N130" i="4"/>
  <c r="M8" i="1"/>
  <c r="Q61" i="4"/>
  <c r="R61" i="4" s="1"/>
  <c r="T61" i="4"/>
  <c r="R60" i="4"/>
  <c r="S48" i="4"/>
  <c r="U48" i="4" s="1"/>
  <c r="T252" i="4" l="1"/>
  <c r="Q252" i="4"/>
  <c r="R252" i="4" s="1"/>
  <c r="Q81" i="4"/>
  <c r="T81" i="4"/>
  <c r="Q88" i="4"/>
  <c r="R88" i="4" s="1"/>
  <c r="T88" i="4"/>
  <c r="T98" i="4"/>
  <c r="Q98" i="4"/>
  <c r="R98" i="4" s="1"/>
  <c r="Q113" i="4"/>
  <c r="R113" i="4" s="1"/>
  <c r="T113" i="4"/>
  <c r="Q331" i="4"/>
  <c r="R331" i="4" s="1"/>
  <c r="T331" i="4"/>
  <c r="Q151" i="4"/>
  <c r="T151" i="4"/>
  <c r="T241" i="4"/>
  <c r="Q241" i="4"/>
  <c r="Q135" i="4"/>
  <c r="T135" i="4"/>
  <c r="T250" i="4"/>
  <c r="Q250" i="4"/>
  <c r="R250" i="4" s="1"/>
  <c r="T270" i="4"/>
  <c r="Q270" i="4"/>
  <c r="T217" i="4"/>
  <c r="Q217" i="4"/>
  <c r="R217" i="4" s="1"/>
  <c r="T105" i="4"/>
  <c r="Q105" i="4"/>
  <c r="R105" i="4" s="1"/>
  <c r="T194" i="4"/>
  <c r="Q194" i="4"/>
  <c r="T145" i="4"/>
  <c r="Q145" i="4"/>
  <c r="R145" i="4" s="1"/>
  <c r="T225" i="4"/>
  <c r="Q225" i="4"/>
  <c r="R225" i="4" s="1"/>
  <c r="R81" i="4"/>
  <c r="R130" i="4"/>
  <c r="T95" i="4"/>
  <c r="Q95" i="4"/>
  <c r="R95" i="4" s="1"/>
  <c r="R270" i="4"/>
  <c r="T149" i="4"/>
  <c r="Q149" i="4"/>
  <c r="R149" i="4" s="1"/>
  <c r="Q286" i="4"/>
  <c r="R286" i="4" s="1"/>
  <c r="T286" i="4"/>
  <c r="T130" i="4"/>
  <c r="Q130" i="4"/>
  <c r="T325" i="4"/>
  <c r="Q325" i="4"/>
  <c r="Q58" i="4"/>
  <c r="R58" i="4" s="1"/>
  <c r="T58" i="4"/>
  <c r="T62" i="4"/>
  <c r="Q62" i="4"/>
  <c r="T240" i="4"/>
  <c r="Q240" i="4"/>
  <c r="R240" i="4" s="1"/>
  <c r="T195" i="4"/>
  <c r="Q195" i="4"/>
  <c r="R195" i="4" s="1"/>
  <c r="R260" i="4"/>
  <c r="R62" i="4"/>
  <c r="T9" i="4"/>
  <c r="Q9" i="4"/>
  <c r="R9" i="4" s="1"/>
  <c r="R171" i="4"/>
  <c r="Q209" i="4"/>
  <c r="T209" i="4"/>
  <c r="T273" i="4"/>
  <c r="Q273" i="4"/>
  <c r="T43" i="4"/>
  <c r="Q43" i="4"/>
  <c r="R43" i="4" s="1"/>
  <c r="Q125" i="4"/>
  <c r="R125" i="4" s="1"/>
  <c r="T125" i="4"/>
  <c r="Q35" i="4"/>
  <c r="R35" i="4" s="1"/>
  <c r="T35" i="4"/>
  <c r="Q40" i="4"/>
  <c r="T40" i="4"/>
  <c r="Q108" i="4"/>
  <c r="R108" i="4" s="1"/>
  <c r="T108" i="4"/>
  <c r="Q215" i="4"/>
  <c r="R215" i="4" s="1"/>
  <c r="T215" i="4"/>
  <c r="T155" i="4"/>
  <c r="Q155" i="4"/>
  <c r="Q15" i="4"/>
  <c r="T15" i="4"/>
  <c r="Q335" i="4"/>
  <c r="B4" i="1" s="1"/>
  <c r="C4" i="1" s="1"/>
  <c r="T335" i="4"/>
  <c r="Q82" i="4"/>
  <c r="T82" i="4"/>
  <c r="T332" i="4"/>
  <c r="Q332" i="4"/>
  <c r="R332" i="4" s="1"/>
  <c r="Q267" i="4"/>
  <c r="R267" i="4" s="1"/>
  <c r="T267" i="4"/>
  <c r="R50" i="4"/>
  <c r="T103" i="4"/>
  <c r="Q103" i="4"/>
  <c r="R194" i="4"/>
  <c r="Q265" i="4"/>
  <c r="R265" i="4" s="1"/>
  <c r="T265" i="4"/>
  <c r="R155" i="4"/>
  <c r="T50" i="4"/>
  <c r="Q50" i="4"/>
  <c r="T34" i="4"/>
  <c r="Q34" i="4"/>
  <c r="R34" i="4" s="1"/>
  <c r="Q76" i="4"/>
  <c r="R76" i="4" s="1"/>
  <c r="T76" i="4"/>
  <c r="R209" i="4"/>
  <c r="T129" i="4"/>
  <c r="Q129" i="4"/>
  <c r="Q319" i="4"/>
  <c r="R319" i="4" s="1"/>
  <c r="T319" i="4"/>
  <c r="T97" i="4"/>
  <c r="Q97" i="4"/>
  <c r="R97" i="4" s="1"/>
  <c r="R249" i="4"/>
  <c r="T122" i="4"/>
  <c r="Q122" i="4"/>
  <c r="R122" i="4" s="1"/>
  <c r="Q69" i="4"/>
  <c r="T69" i="4"/>
  <c r="T320" i="4"/>
  <c r="Q320" i="4"/>
  <c r="S205" i="4"/>
  <c r="U205" i="4" s="1"/>
  <c r="S7" i="4"/>
  <c r="U7" i="4" s="1"/>
  <c r="S282" i="4"/>
  <c r="U282" i="4"/>
  <c r="R82" i="4"/>
  <c r="S57" i="4"/>
  <c r="U57" i="4" s="1"/>
  <c r="R284" i="4"/>
  <c r="S33" i="4"/>
  <c r="U33" i="4"/>
  <c r="U10" i="4"/>
  <c r="S10" i="4"/>
  <c r="S114" i="4"/>
  <c r="U114" i="4" s="1"/>
  <c r="S197" i="4"/>
  <c r="U197" i="4"/>
  <c r="T109" i="4"/>
  <c r="Q109" i="4"/>
  <c r="R109" i="4" s="1"/>
  <c r="Q333" i="4"/>
  <c r="R333" i="4" s="1"/>
  <c r="T333" i="4"/>
  <c r="S148" i="4"/>
  <c r="U148" i="4" s="1"/>
  <c r="T59" i="4"/>
  <c r="Q59" i="4"/>
  <c r="R59" i="4" s="1"/>
  <c r="R15" i="4"/>
  <c r="S28" i="4"/>
  <c r="U28" i="4" s="1"/>
  <c r="R320" i="4"/>
  <c r="S187" i="4"/>
  <c r="U187" i="4"/>
  <c r="S230" i="4"/>
  <c r="U230" i="4" s="1"/>
  <c r="S302" i="4"/>
  <c r="U302" i="4" s="1"/>
  <c r="T191" i="4"/>
  <c r="Q191" i="4"/>
  <c r="R191" i="4" s="1"/>
  <c r="S72" i="4"/>
  <c r="U72" i="4" s="1"/>
  <c r="S38" i="4"/>
  <c r="U38" i="4" s="1"/>
  <c r="S227" i="4"/>
  <c r="U227" i="4"/>
  <c r="Q118" i="4"/>
  <c r="R118" i="4" s="1"/>
  <c r="T118" i="4"/>
  <c r="S163" i="4"/>
  <c r="U163" i="4" s="1"/>
  <c r="S303" i="4"/>
  <c r="U303" i="4" s="1"/>
  <c r="T77" i="4"/>
  <c r="Q77" i="4"/>
  <c r="R77" i="4" s="1"/>
  <c r="S287" i="4"/>
  <c r="U287" i="4"/>
  <c r="S74" i="4"/>
  <c r="U74" i="4"/>
  <c r="S67" i="4"/>
  <c r="U67" i="4"/>
  <c r="S216" i="4"/>
  <c r="U216" i="4" s="1"/>
  <c r="S229" i="4"/>
  <c r="U229" i="4" s="1"/>
  <c r="S4" i="4"/>
  <c r="U4" i="4" s="1"/>
  <c r="S161" i="4"/>
  <c r="U161" i="4" s="1"/>
  <c r="S24" i="4"/>
  <c r="U24" i="4"/>
  <c r="S278" i="4"/>
  <c r="U278" i="4"/>
  <c r="S133" i="4"/>
  <c r="U133" i="4"/>
  <c r="S233" i="4"/>
  <c r="U233" i="4" s="1"/>
  <c r="S22" i="4"/>
  <c r="U22" i="4"/>
  <c r="R69" i="4"/>
  <c r="U212" i="4"/>
  <c r="S212" i="4"/>
  <c r="S181" i="4"/>
  <c r="U181" i="4" s="1"/>
  <c r="Q99" i="4"/>
  <c r="T99" i="4"/>
  <c r="S306" i="4"/>
  <c r="U306" i="4" s="1"/>
  <c r="R99" i="4"/>
  <c r="S271" i="4"/>
  <c r="U271" i="4" s="1"/>
  <c r="Q56" i="4"/>
  <c r="R56" i="4" s="1"/>
  <c r="T56" i="4"/>
  <c r="T171" i="4"/>
  <c r="Q171" i="4"/>
  <c r="U200" i="4"/>
  <c r="S200" i="4"/>
  <c r="T156" i="4"/>
  <c r="Q156" i="4"/>
  <c r="U106" i="4"/>
  <c r="S106" i="4"/>
  <c r="U268" i="4"/>
  <c r="S268" i="4"/>
  <c r="S164" i="4"/>
  <c r="U164" i="4" s="1"/>
  <c r="S328" i="4"/>
  <c r="U328" i="4" s="1"/>
  <c r="S142" i="4"/>
  <c r="U142" i="4"/>
  <c r="S68" i="4"/>
  <c r="U68" i="4" s="1"/>
  <c r="U120" i="4"/>
  <c r="S120" i="4"/>
  <c r="S18" i="4"/>
  <c r="U18" i="4" s="1"/>
  <c r="U245" i="4"/>
  <c r="S245" i="4"/>
  <c r="U208" i="4"/>
  <c r="S208" i="4"/>
  <c r="S139" i="4"/>
  <c r="U139" i="4" s="1"/>
  <c r="S165" i="4"/>
  <c r="U165" i="4" s="1"/>
  <c r="S178" i="4"/>
  <c r="U178" i="4" s="1"/>
  <c r="T309" i="4"/>
  <c r="Q309" i="4"/>
  <c r="R309" i="4" s="1"/>
  <c r="U175" i="4"/>
  <c r="S175" i="4"/>
  <c r="T260" i="4"/>
  <c r="Q260" i="4"/>
  <c r="S158" i="4"/>
  <c r="U158" i="4"/>
  <c r="S32" i="4"/>
  <c r="U32" i="4" s="1"/>
  <c r="S184" i="4"/>
  <c r="U184" i="4"/>
  <c r="S283" i="4"/>
  <c r="U283" i="4" s="1"/>
  <c r="S316" i="4"/>
  <c r="U316" i="4"/>
  <c r="U29" i="4"/>
  <c r="S29" i="4"/>
  <c r="S337" i="4"/>
  <c r="U337" i="4"/>
  <c r="S248" i="4"/>
  <c r="U248" i="4" s="1"/>
  <c r="U5" i="4"/>
  <c r="S5" i="4"/>
  <c r="S167" i="4"/>
  <c r="U167" i="4" s="1"/>
  <c r="S26" i="4"/>
  <c r="U26" i="4" s="1"/>
  <c r="S27" i="4"/>
  <c r="U27" i="4"/>
  <c r="T292" i="4"/>
  <c r="Q292" i="4"/>
  <c r="R292" i="4" s="1"/>
  <c r="U294" i="4"/>
  <c r="S294" i="4"/>
  <c r="S288" i="4"/>
  <c r="U288" i="4" s="1"/>
  <c r="S152" i="4"/>
  <c r="U152" i="4" s="1"/>
  <c r="S304" i="4"/>
  <c r="U304" i="4" s="1"/>
  <c r="S41" i="4"/>
  <c r="U41" i="4" s="1"/>
  <c r="S256" i="4"/>
  <c r="U256" i="4" s="1"/>
  <c r="S186" i="4"/>
  <c r="U186" i="4" s="1"/>
  <c r="S251" i="4"/>
  <c r="U251" i="4"/>
  <c r="S66" i="4"/>
  <c r="U66" i="4" s="1"/>
  <c r="S243" i="4"/>
  <c r="U243" i="4" s="1"/>
  <c r="T226" i="4"/>
  <c r="Q226" i="4"/>
  <c r="T12" i="4"/>
  <c r="Q12" i="4"/>
  <c r="R12" i="4" s="1"/>
  <c r="S141" i="4"/>
  <c r="U141" i="4" s="1"/>
  <c r="S119" i="4"/>
  <c r="U119" i="4" s="1"/>
  <c r="S315" i="4"/>
  <c r="U315" i="4" s="1"/>
  <c r="R241" i="4"/>
  <c r="S244" i="4"/>
  <c r="U244" i="4" s="1"/>
  <c r="S143" i="4"/>
  <c r="U143" i="4" s="1"/>
  <c r="S330" i="4"/>
  <c r="U330" i="4"/>
  <c r="S281" i="4"/>
  <c r="U281" i="4"/>
  <c r="S52" i="4"/>
  <c r="U52" i="4" s="1"/>
  <c r="S172" i="4"/>
  <c r="U172" i="4"/>
  <c r="S206" i="4"/>
  <c r="U206" i="4"/>
  <c r="U266" i="4"/>
  <c r="S266" i="4"/>
  <c r="S203" i="4"/>
  <c r="U203" i="4" s="1"/>
  <c r="S162" i="4"/>
  <c r="U162" i="4"/>
  <c r="S182" i="4"/>
  <c r="U182" i="4"/>
  <c r="S219" i="4"/>
  <c r="U219" i="4" s="1"/>
  <c r="S127" i="4"/>
  <c r="U127" i="4" s="1"/>
  <c r="S169" i="4"/>
  <c r="U169" i="4"/>
  <c r="J4" i="1"/>
  <c r="S308" i="4"/>
  <c r="U308" i="4" s="1"/>
  <c r="S138" i="4"/>
  <c r="U138" i="4" s="1"/>
  <c r="S336" i="4"/>
  <c r="U336" i="4" s="1"/>
  <c r="S263" i="4"/>
  <c r="U263" i="4" s="1"/>
  <c r="S6" i="4"/>
  <c r="U6" i="4"/>
  <c r="S134" i="4"/>
  <c r="U134" i="4"/>
  <c r="T157" i="4"/>
  <c r="Q157" i="4"/>
  <c r="R157" i="4" s="1"/>
  <c r="Q326" i="4"/>
  <c r="R326" i="4" s="1"/>
  <c r="T326" i="4"/>
  <c r="U131" i="4"/>
  <c r="S131" i="4"/>
  <c r="Q234" i="4"/>
  <c r="R234" i="4" s="1"/>
  <c r="T234" i="4"/>
  <c r="S313" i="4"/>
  <c r="U313" i="4" s="1"/>
  <c r="S183" i="4"/>
  <c r="U183" i="4" s="1"/>
  <c r="S128" i="4"/>
  <c r="U128" i="4" s="1"/>
  <c r="S310" i="4"/>
  <c r="U310" i="4" s="1"/>
  <c r="T324" i="4"/>
  <c r="Q324" i="4"/>
  <c r="R324" i="4" s="1"/>
  <c r="S71" i="4"/>
  <c r="U71" i="4" s="1"/>
  <c r="S179" i="4"/>
  <c r="U179" i="4" s="1"/>
  <c r="S327" i="4"/>
  <c r="U327" i="4" s="1"/>
  <c r="S228" i="4"/>
  <c r="U228" i="4" s="1"/>
  <c r="R103" i="4"/>
  <c r="U296" i="4"/>
  <c r="S296" i="4"/>
  <c r="S36" i="4"/>
  <c r="U36" i="4" s="1"/>
  <c r="S20" i="4"/>
  <c r="U20" i="4" s="1"/>
  <c r="S297" i="4"/>
  <c r="U297" i="4"/>
  <c r="S177" i="4"/>
  <c r="U177" i="4"/>
  <c r="U60" i="4"/>
  <c r="S60" i="4"/>
  <c r="S264" i="4"/>
  <c r="U264" i="4" s="1"/>
  <c r="U329" i="4"/>
  <c r="S329" i="4"/>
  <c r="R226" i="4"/>
  <c r="S280" i="4"/>
  <c r="U280" i="4" s="1"/>
  <c r="S102" i="4"/>
  <c r="U102" i="4" s="1"/>
  <c r="S93" i="4"/>
  <c r="U93" i="4"/>
  <c r="S237" i="4"/>
  <c r="U237" i="4" s="1"/>
  <c r="U214" i="4"/>
  <c r="S214" i="4"/>
  <c r="S213" i="4"/>
  <c r="U213" i="4" s="1"/>
  <c r="S193" i="4"/>
  <c r="U193" i="4"/>
  <c r="S274" i="4"/>
  <c r="U274" i="4"/>
  <c r="S78" i="4"/>
  <c r="U78" i="4"/>
  <c r="R262" i="4"/>
  <c r="Q261" i="4"/>
  <c r="T261" i="4"/>
  <c r="S17" i="4"/>
  <c r="U17" i="4" s="1"/>
  <c r="S49" i="4"/>
  <c r="U49" i="4"/>
  <c r="U90" i="4"/>
  <c r="S90" i="4"/>
  <c r="T196" i="4"/>
  <c r="Q196" i="4"/>
  <c r="R196" i="4" s="1"/>
  <c r="S2" i="4"/>
  <c r="U2" i="4" s="1"/>
  <c r="T25" i="4"/>
  <c r="Q25" i="4"/>
  <c r="R25" i="4" s="1"/>
  <c r="T238" i="4"/>
  <c r="Q238" i="4"/>
  <c r="R238" i="4" s="1"/>
  <c r="S334" i="4"/>
  <c r="U334" i="4"/>
  <c r="B11" i="1"/>
  <c r="J6" i="1"/>
  <c r="S258" i="4"/>
  <c r="U258" i="4" s="1"/>
  <c r="S236" i="4"/>
  <c r="U236" i="4" s="1"/>
  <c r="S307" i="4"/>
  <c r="U307" i="4" s="1"/>
  <c r="T277" i="4"/>
  <c r="Q277" i="4"/>
  <c r="R277" i="4" s="1"/>
  <c r="S311" i="4"/>
  <c r="U311" i="4" s="1"/>
  <c r="S85" i="4"/>
  <c r="U85" i="4"/>
  <c r="R261" i="4"/>
  <c r="S104" i="4"/>
  <c r="U104" i="4" s="1"/>
  <c r="Q51" i="4"/>
  <c r="R51" i="4" s="1"/>
  <c r="T51" i="4"/>
  <c r="T30" i="4"/>
  <c r="Q30" i="4"/>
  <c r="U204" i="4"/>
  <c r="S204" i="4"/>
  <c r="U312" i="4"/>
  <c r="S312" i="4"/>
  <c r="S79" i="4"/>
  <c r="U79" i="4" s="1"/>
  <c r="S116" i="4"/>
  <c r="U116" i="4" s="1"/>
  <c r="S189" i="4"/>
  <c r="U189" i="4" s="1"/>
  <c r="S11" i="4"/>
  <c r="U11" i="4" s="1"/>
  <c r="Q94" i="4"/>
  <c r="T94" i="4"/>
  <c r="S84" i="4"/>
  <c r="U84" i="4" s="1"/>
  <c r="S305" i="4"/>
  <c r="U305" i="4"/>
  <c r="S180" i="4"/>
  <c r="U180" i="4" s="1"/>
  <c r="S298" i="4"/>
  <c r="U298" i="4" s="1"/>
  <c r="Q101" i="4"/>
  <c r="R101" i="4" s="1"/>
  <c r="T101" i="4"/>
  <c r="S121" i="4"/>
  <c r="U121" i="4"/>
  <c r="U295" i="4"/>
  <c r="S295" i="4"/>
  <c r="T249" i="4"/>
  <c r="Q249" i="4"/>
  <c r="T253" i="4"/>
  <c r="Q253" i="4"/>
  <c r="R253" i="4" s="1"/>
  <c r="T262" i="4"/>
  <c r="Q262" i="4"/>
  <c r="S55" i="4"/>
  <c r="U55" i="4" s="1"/>
  <c r="S92" i="4"/>
  <c r="U92" i="4" s="1"/>
  <c r="Q16" i="4"/>
  <c r="R16" i="4" s="1"/>
  <c r="T16" i="4"/>
  <c r="R40" i="4"/>
  <c r="U170" i="4"/>
  <c r="S170" i="4"/>
  <c r="R325" i="4"/>
  <c r="S199" i="4"/>
  <c r="U199" i="4" s="1"/>
  <c r="S80" i="4"/>
  <c r="U80" i="4"/>
  <c r="S301" i="4"/>
  <c r="U301" i="4" s="1"/>
  <c r="S107" i="4"/>
  <c r="U107" i="4" s="1"/>
  <c r="S269" i="4"/>
  <c r="U269" i="4" s="1"/>
  <c r="R30" i="4"/>
  <c r="S176" i="4"/>
  <c r="U176" i="4" s="1"/>
  <c r="U192" i="4"/>
  <c r="S192" i="4"/>
  <c r="S290" i="4"/>
  <c r="U290" i="4" s="1"/>
  <c r="S168" i="4"/>
  <c r="U168" i="4" s="1"/>
  <c r="S83" i="4"/>
  <c r="U83" i="4" s="1"/>
  <c r="S210" i="4"/>
  <c r="U210" i="4" s="1"/>
  <c r="S220" i="4"/>
  <c r="U220" i="4" s="1"/>
  <c r="S8" i="4"/>
  <c r="U8" i="4"/>
  <c r="S190" i="4"/>
  <c r="U190" i="4"/>
  <c r="U207" i="4"/>
  <c r="S207" i="4"/>
  <c r="S275" i="4"/>
  <c r="U275" i="4" s="1"/>
  <c r="T54" i="4"/>
  <c r="Q54" i="4"/>
  <c r="R54" i="4" s="1"/>
  <c r="S322" i="4"/>
  <c r="U322" i="4" s="1"/>
  <c r="S218" i="4"/>
  <c r="U218" i="4" s="1"/>
  <c r="S87" i="4"/>
  <c r="U87" i="4"/>
  <c r="R335" i="4"/>
  <c r="Q231" i="4"/>
  <c r="R231" i="4" s="1"/>
  <c r="T231" i="4"/>
  <c r="U239" i="4"/>
  <c r="S239" i="4"/>
  <c r="S3" i="4"/>
  <c r="U3" i="4" s="1"/>
  <c r="R129" i="4"/>
  <c r="Q222" i="4"/>
  <c r="R222" i="4" s="1"/>
  <c r="T222" i="4"/>
  <c r="U70" i="4"/>
  <c r="S70" i="4"/>
  <c r="S159" i="4"/>
  <c r="U159" i="4" s="1"/>
  <c r="S75" i="4"/>
  <c r="U75" i="4" s="1"/>
  <c r="S318" i="4"/>
  <c r="U318" i="4" s="1"/>
  <c r="S255" i="4"/>
  <c r="U255" i="4" s="1"/>
  <c r="S147" i="4"/>
  <c r="U147" i="4"/>
  <c r="S140" i="4"/>
  <c r="U140" i="4" s="1"/>
  <c r="U44" i="4"/>
  <c r="S44" i="4"/>
  <c r="T300" i="4"/>
  <c r="Q300" i="4"/>
  <c r="R300" i="4" s="1"/>
  <c r="S91" i="4"/>
  <c r="U91" i="4" s="1"/>
  <c r="S111" i="4"/>
  <c r="U111" i="4" s="1"/>
  <c r="Q47" i="4"/>
  <c r="R47" i="4" s="1"/>
  <c r="T47" i="4"/>
  <c r="S314" i="4"/>
  <c r="U314" i="4" s="1"/>
  <c r="R135" i="4"/>
  <c r="T86" i="4"/>
  <c r="Q86" i="4"/>
  <c r="R86" i="4" s="1"/>
  <c r="Q299" i="4"/>
  <c r="R299" i="4" s="1"/>
  <c r="T299" i="4"/>
  <c r="U61" i="4"/>
  <c r="S61" i="4"/>
  <c r="S144" i="4"/>
  <c r="U144" i="4" s="1"/>
  <c r="S246" i="4"/>
  <c r="U246" i="4" s="1"/>
  <c r="U37" i="4"/>
  <c r="S37" i="4"/>
  <c r="S321" i="4"/>
  <c r="U321" i="4" s="1"/>
  <c r="S257" i="4"/>
  <c r="U257" i="4"/>
  <c r="S115" i="4"/>
  <c r="U115" i="4"/>
  <c r="R273" i="4"/>
  <c r="U221" i="4"/>
  <c r="S221" i="4"/>
  <c r="S136" i="4"/>
  <c r="U136" i="4" s="1"/>
  <c r="S211" i="4"/>
  <c r="U211" i="4" s="1"/>
  <c r="S185" i="4"/>
  <c r="U185" i="4" s="1"/>
  <c r="U198" i="4"/>
  <c r="S198" i="4"/>
  <c r="R94" i="4"/>
  <c r="S188" i="4"/>
  <c r="U188" i="4" s="1"/>
  <c r="S39" i="4"/>
  <c r="U39" i="4" s="1"/>
  <c r="T279" i="4"/>
  <c r="Q279" i="4"/>
  <c r="R279" i="4" s="1"/>
  <c r="S201" i="4"/>
  <c r="U201" i="4"/>
  <c r="S112" i="4"/>
  <c r="U112" i="4"/>
  <c r="S166" i="4"/>
  <c r="U166" i="4" s="1"/>
  <c r="R156" i="4"/>
  <c r="T284" i="4"/>
  <c r="Q284" i="4"/>
  <c r="T173" i="4"/>
  <c r="Q173" i="4"/>
  <c r="R173" i="4" s="1"/>
  <c r="T150" i="4"/>
  <c r="Q150" i="4"/>
  <c r="R150" i="4" s="1"/>
  <c r="S117" i="4"/>
  <c r="U117" i="4" s="1"/>
  <c r="S247" i="4"/>
  <c r="U247" i="4" s="1"/>
  <c r="Q202" i="4"/>
  <c r="R202" i="4" s="1"/>
  <c r="T202" i="4"/>
  <c r="S65" i="4"/>
  <c r="U65" i="4" s="1"/>
  <c r="S224" i="4"/>
  <c r="U224" i="4" s="1"/>
  <c r="U317" i="4"/>
  <c r="S317" i="4"/>
  <c r="S137" i="4"/>
  <c r="U137" i="4" s="1"/>
  <c r="T45" i="4"/>
  <c r="Q45" i="4"/>
  <c r="R45" i="4" s="1"/>
  <c r="P4" i="1" s="1"/>
  <c r="R151" i="4"/>
  <c r="S293" i="4"/>
  <c r="U293" i="4"/>
  <c r="S223" i="4"/>
  <c r="U223" i="4"/>
  <c r="S73" i="4"/>
  <c r="U73" i="4" s="1"/>
  <c r="U232" i="4"/>
  <c r="S232" i="4"/>
  <c r="S46" i="4"/>
  <c r="U46" i="4" s="1"/>
  <c r="S272" i="4"/>
  <c r="U272" i="4" s="1"/>
  <c r="S154" i="4"/>
  <c r="U154" i="4" s="1"/>
  <c r="S153" i="4"/>
  <c r="U153" i="4" s="1"/>
  <c r="S124" i="4"/>
  <c r="U124" i="4" s="1"/>
  <c r="S23" i="4"/>
  <c r="U23" i="4" s="1"/>
  <c r="S31" i="4"/>
  <c r="U31" i="4"/>
  <c r="P5" i="1" l="1"/>
  <c r="S40" i="4"/>
  <c r="U40" i="4" s="1"/>
  <c r="S9" i="4"/>
  <c r="U9" i="4"/>
  <c r="S105" i="4"/>
  <c r="U105" i="4" s="1"/>
  <c r="S130" i="4"/>
  <c r="U130" i="4"/>
  <c r="S286" i="4"/>
  <c r="U286" i="4" s="1"/>
  <c r="S56" i="4"/>
  <c r="U56" i="4"/>
  <c r="S34" i="4"/>
  <c r="U34" i="4" s="1"/>
  <c r="S113" i="4"/>
  <c r="U113" i="4" s="1"/>
  <c r="S326" i="4"/>
  <c r="U326" i="4" s="1"/>
  <c r="S261" i="4"/>
  <c r="U261" i="4" s="1"/>
  <c r="S157" i="4"/>
  <c r="U157" i="4" s="1"/>
  <c r="S59" i="4"/>
  <c r="U59" i="4" s="1"/>
  <c r="S122" i="4"/>
  <c r="U122" i="4" s="1"/>
  <c r="S332" i="4"/>
  <c r="U332" i="4"/>
  <c r="S35" i="4"/>
  <c r="U35" i="4" s="1"/>
  <c r="U149" i="4"/>
  <c r="S149" i="4"/>
  <c r="S217" i="4"/>
  <c r="U217" i="4" s="1"/>
  <c r="S194" i="4"/>
  <c r="U194" i="4"/>
  <c r="S171" i="4"/>
  <c r="U171" i="4" s="1"/>
  <c r="S238" i="4"/>
  <c r="U238" i="4"/>
  <c r="S50" i="4"/>
  <c r="U50" i="4" s="1"/>
  <c r="S101" i="4"/>
  <c r="U101" i="4" s="1"/>
  <c r="S82" i="4"/>
  <c r="U82" i="4" s="1"/>
  <c r="S125" i="4"/>
  <c r="U125" i="4" s="1"/>
  <c r="S195" i="4"/>
  <c r="U195" i="4" s="1"/>
  <c r="S270" i="4"/>
  <c r="U270" i="4"/>
  <c r="S98" i="4"/>
  <c r="U98" i="4"/>
  <c r="S231" i="4"/>
  <c r="U231" i="4" s="1"/>
  <c r="S320" i="4"/>
  <c r="U320" i="4" s="1"/>
  <c r="S309" i="4"/>
  <c r="U309" i="4" s="1"/>
  <c r="S25" i="4"/>
  <c r="U25" i="4"/>
  <c r="U333" i="4"/>
  <c r="S333" i="4"/>
  <c r="S97" i="4"/>
  <c r="U97" i="4" s="1"/>
  <c r="S95" i="4"/>
  <c r="U95" i="4" s="1"/>
  <c r="S299" i="4"/>
  <c r="U299" i="4" s="1"/>
  <c r="S222" i="4"/>
  <c r="U222" i="4"/>
  <c r="S277" i="4"/>
  <c r="U277" i="4" s="1"/>
  <c r="S191" i="4"/>
  <c r="U191" i="4"/>
  <c r="S319" i="4"/>
  <c r="U319" i="4" s="1"/>
  <c r="U335" i="4"/>
  <c r="S335" i="4"/>
  <c r="S240" i="4"/>
  <c r="U240" i="4"/>
  <c r="S250" i="4"/>
  <c r="U250" i="4"/>
  <c r="S88" i="4"/>
  <c r="U88" i="4" s="1"/>
  <c r="S300" i="4"/>
  <c r="U300" i="4" s="1"/>
  <c r="S12" i="4"/>
  <c r="U12" i="4" s="1"/>
  <c r="S135" i="4"/>
  <c r="U135" i="4"/>
  <c r="S324" i="4"/>
  <c r="U324" i="4"/>
  <c r="U45" i="4"/>
  <c r="S45" i="4"/>
  <c r="S54" i="4"/>
  <c r="U54" i="4" s="1"/>
  <c r="S99" i="4"/>
  <c r="U99" i="4"/>
  <c r="S77" i="4"/>
  <c r="U77" i="4" s="1"/>
  <c r="S109" i="4"/>
  <c r="U109" i="4" s="1"/>
  <c r="S265" i="4"/>
  <c r="U265" i="4" s="1"/>
  <c r="S15" i="4"/>
  <c r="U15" i="4" s="1"/>
  <c r="S62" i="4"/>
  <c r="U62" i="4"/>
  <c r="S129" i="4"/>
  <c r="U129" i="4" s="1"/>
  <c r="S43" i="4"/>
  <c r="U43" i="4" s="1"/>
  <c r="S58" i="4"/>
  <c r="U58" i="4" s="1"/>
  <c r="S225" i="4"/>
  <c r="U225" i="4"/>
  <c r="S86" i="4"/>
  <c r="U86" i="4" s="1"/>
  <c r="S196" i="4"/>
  <c r="U196" i="4" s="1"/>
  <c r="S260" i="4"/>
  <c r="U260" i="4" s="1"/>
  <c r="S241" i="4"/>
  <c r="U241" i="4"/>
  <c r="U81" i="4"/>
  <c r="S81" i="4"/>
  <c r="S76" i="4"/>
  <c r="U76" i="4" s="1"/>
  <c r="S16" i="4"/>
  <c r="U16" i="4" s="1"/>
  <c r="S69" i="4"/>
  <c r="U69" i="4"/>
  <c r="S279" i="4"/>
  <c r="U279" i="4" s="1"/>
  <c r="S150" i="4"/>
  <c r="U150" i="4" s="1"/>
  <c r="S226" i="4"/>
  <c r="U226" i="4" s="1"/>
  <c r="S173" i="4"/>
  <c r="U173" i="4" s="1"/>
  <c r="S94" i="4"/>
  <c r="U94" i="4" s="1"/>
  <c r="S30" i="4"/>
  <c r="U30" i="4"/>
  <c r="S234" i="4"/>
  <c r="U234" i="4" s="1"/>
  <c r="S156" i="4"/>
  <c r="U156" i="4" s="1"/>
  <c r="S155" i="4"/>
  <c r="U155" i="4"/>
  <c r="S273" i="4"/>
  <c r="U273" i="4"/>
  <c r="S145" i="4"/>
  <c r="U145" i="4" s="1"/>
  <c r="S151" i="4"/>
  <c r="U151" i="4"/>
  <c r="U108" i="4"/>
  <c r="S108" i="4"/>
  <c r="S292" i="4"/>
  <c r="U292" i="4" s="1"/>
  <c r="S267" i="4"/>
  <c r="U267" i="4" s="1"/>
  <c r="S253" i="4"/>
  <c r="U253" i="4"/>
  <c r="S284" i="4"/>
  <c r="U284" i="4" s="1"/>
  <c r="S249" i="4"/>
  <c r="U249" i="4" s="1"/>
  <c r="S51" i="4"/>
  <c r="U51" i="4"/>
  <c r="S103" i="4"/>
  <c r="U103" i="4"/>
  <c r="U215" i="4"/>
  <c r="S215" i="4"/>
  <c r="S209" i="4"/>
  <c r="U209" i="4" s="1"/>
  <c r="S325" i="4"/>
  <c r="U325" i="4" s="1"/>
  <c r="S47" i="4"/>
  <c r="U47" i="4" s="1"/>
  <c r="S331" i="4"/>
  <c r="U331" i="4" s="1"/>
  <c r="S202" i="4"/>
  <c r="U202" i="4" s="1"/>
  <c r="S262" i="4"/>
  <c r="U262" i="4" s="1"/>
  <c r="S118" i="4"/>
  <c r="U118" i="4"/>
  <c r="U252" i="4"/>
  <c r="S252" i="4"/>
  <c r="B6" i="1" l="1"/>
  <c r="C6" i="1" s="1"/>
</calcChain>
</file>

<file path=xl/sharedStrings.xml><?xml version="1.0" encoding="utf-8"?>
<sst xmlns="http://schemas.openxmlformats.org/spreadsheetml/2006/main" count="2419" uniqueCount="978">
  <si>
    <t>Kandil Glass Company - Factory #3 Performance Dashboard</t>
  </si>
  <si>
    <t>Period: 2026-07-01 to 2026-07-02 | Source: Fact_Production_Hourly, Fact_Quality_Sampling</t>
  </si>
  <si>
    <t>KPI CARDS</t>
  </si>
  <si>
    <t>Value</t>
  </si>
  <si>
    <t>Status</t>
  </si>
  <si>
    <t>Hour</t>
  </si>
  <si>
    <t>TotalActualUnits</t>
  </si>
  <si>
    <t>Classification</t>
  </si>
  <si>
    <t>TotalCount</t>
  </si>
  <si>
    <t>Machine</t>
  </si>
  <si>
    <t>EfficiencyPct</t>
  </si>
  <si>
    <t>Shift</t>
  </si>
  <si>
    <t>AvgOEE</t>
  </si>
  <si>
    <t>OEE (Availability x Performance x Quality)</t>
  </si>
  <si>
    <t>Critical</t>
  </si>
  <si>
    <t>M1</t>
  </si>
  <si>
    <t>A-AM</t>
  </si>
  <si>
    <t>Efficiency %  (Actual / Design Capacity)</t>
  </si>
  <si>
    <t>Major</t>
  </si>
  <si>
    <t>M2</t>
  </si>
  <si>
    <t>B-PM</t>
  </si>
  <si>
    <t>Pack-to-Melt %  (Accepted Tons / Molten Tons)</t>
  </si>
  <si>
    <t>Minor</t>
  </si>
  <si>
    <t>M3</t>
  </si>
  <si>
    <t>First Pass Yield (FPY)</t>
  </si>
  <si>
    <t>M4</t>
  </si>
  <si>
    <t>Defect Rate %</t>
  </si>
  <si>
    <t>M5</t>
  </si>
  <si>
    <t xml:space="preserve">  - Critical Defect Share</t>
  </si>
  <si>
    <t>M6</t>
  </si>
  <si>
    <t xml:space="preserve">  - Major Defect Share</t>
  </si>
  <si>
    <t>M7</t>
  </si>
  <si>
    <t xml:space="preserve">  - Minor Defect Share</t>
  </si>
  <si>
    <t>Industrial Decision Layer - Thresholds &amp; Required Actions</t>
  </si>
  <si>
    <t>KPI</t>
  </si>
  <si>
    <t>Good</t>
  </si>
  <si>
    <t>Warning</t>
  </si>
  <si>
    <t>Bad</t>
  </si>
  <si>
    <t>Action if Warning</t>
  </si>
  <si>
    <t>Action if Bad</t>
  </si>
  <si>
    <t>OEE</t>
  </si>
  <si>
    <t>&gt;= 85%</t>
  </si>
  <si>
    <t>70% - 84%</t>
  </si>
  <si>
    <t>&lt; 70%</t>
  </si>
  <si>
    <t>Review the weakest of Availability/Performance/Quality for the shift; brief the shift lead.</t>
  </si>
  <si>
    <t>Stop and root-cause: check changeover/downtime logs, mold condition, and defect Pareto before resuming full-speed run.</t>
  </si>
  <si>
    <t>Efficiency %</t>
  </si>
  <si>
    <t>&gt;= 90%</t>
  </si>
  <si>
    <t>80% - 89%</t>
  </si>
  <si>
    <t>&lt; 80%</t>
  </si>
  <si>
    <t>Check for minor speed loss or short stoppages; verify machine is running at rated speed.</t>
  </si>
  <si>
    <t>Investigate downtime causes (mechanical, material feed, operator) and speed loss; escalate to maintenance.</t>
  </si>
  <si>
    <t>Pack-to-Melt %</t>
  </si>
  <si>
    <t>75% - 84%</t>
  </si>
  <si>
    <t>&lt; 75%</t>
  </si>
  <si>
    <t>Review scrap/rejects at the hot end and cooling; check for glass loss between melt and pack.</t>
  </si>
  <si>
    <t>Stop and inspect furnace-to-press glass flow and job-change losses; significant tonnage is being lost.</t>
  </si>
  <si>
    <t>&gt;= 95%</t>
  </si>
  <si>
    <t>90% - 94%</t>
  </si>
  <si>
    <t>&lt; 90%</t>
  </si>
  <si>
    <t>Review recent mold/tooling wear and process drift on the affected machine/product.</t>
  </si>
  <si>
    <t>Halt the line for mold/tooling inspection; a systemic first-pass quality issue is likely.</t>
  </si>
  <si>
    <t>&lt;= 3%</t>
  </si>
  <si>
    <t>3% - 6%</t>
  </si>
  <si>
    <t>&gt; 6%</t>
  </si>
  <si>
    <t>Increase sampling frequency temporarily and monitor the trend for the next 2 hours.</t>
  </si>
  <si>
    <t>Stop the machine and investigate mold, glass temperature, or operator technique immediately.</t>
  </si>
  <si>
    <t>Critical Defects (trend)</t>
  </si>
  <si>
    <t>flat/zero</t>
  </si>
  <si>
    <t>isolated increase</t>
  </si>
  <si>
    <t>sustained increase</t>
  </si>
  <si>
    <t>Notify shift QC lead; re-inspect the last 2 hours of that machine's output.</t>
  </si>
  <si>
    <t>Stop machine immediately and investigate mold/tooling; quarantine the affected pallets.</t>
  </si>
  <si>
    <t>Scrap Rate</t>
  </si>
  <si>
    <t>&lt;= 2%</t>
  </si>
  <si>
    <t>2% - 5%</t>
  </si>
  <si>
    <t>&gt; 5%</t>
  </si>
  <si>
    <t>Check press settings and glass temperature consistency.</t>
  </si>
  <si>
    <t>Stop and recalibrate machine settings; escalate to process engineer.</t>
  </si>
  <si>
    <t>Data Dictionary &amp; Modeling Notes - Kandil Glass Factory #3</t>
  </si>
  <si>
    <t>Sheet</t>
  </si>
  <si>
    <t>Grain Definition</t>
  </si>
  <si>
    <t>Keys / Star-Schema Relationship</t>
  </si>
  <si>
    <t>Fact_Production_Hourly</t>
  </si>
  <si>
    <t>1 row per Machine per Hour per Product per Shift (7 machines x 24h x 2 days = 336 rows).</t>
  </si>
  <si>
    <t>PK: ProdKey (DateKey-HourKey-MachineKey). FKs: DateKey-&gt;Dim_Date, HourKey-&gt;Dim_Time, MachineKey-&gt;Dim_Machine, ShiftKey-&gt;Dim_Shift, ProductKey-&gt;Dim_Product.</t>
  </si>
  <si>
    <t>Fact_Quality_Sampling</t>
  </si>
  <si>
    <t>1 row per Machine per Hour, aggregating that hour's sample (SampleSize = Forms x 2). Chosen over a literal per-sampled-unit grain (~250 units/hour x 336 hours = ~85,000 rows) to stay practical in Excel, while still carrying full Critical/Major/Minor breakdown and weight/diameter/height tolerance-check counts per hour.</t>
  </si>
  <si>
    <t>PK: SampleKey. Same FKs as Fact_Production_Hourly, joins 1:1 on DateKey+HourKey+MachineKey.</t>
  </si>
  <si>
    <t>Fact_Inspection</t>
  </si>
  <si>
    <t>1 row per Order per Inspection event (6 sample orders).</t>
  </si>
  <si>
    <t>PK: InspectionKey. FKs: CustomerKey-&gt;Dim_Customer, InspectorKey-&gt;Dim_Inspector, ShiftKey-&gt;Dim_Shift, DateKey-&gt;Dim_Date, ProductKey-&gt;Dim_Product.</t>
  </si>
  <si>
    <t>Dim_Date</t>
  </si>
  <si>
    <t>1 row per calendar day.</t>
  </si>
  <si>
    <t>PK: DateKey (YYYYMMDD integer).</t>
  </si>
  <si>
    <t>Dim_Time</t>
  </si>
  <si>
    <t>1 row per hour-of-day (0-23).</t>
  </si>
  <si>
    <t>PK: HourKey. AM shift = hours 6-17, PM shift = hours 18-5 (720 min each).</t>
  </si>
  <si>
    <t>Dim_Shift</t>
  </si>
  <si>
    <t>1 row per Group x AM/PM permutation across the 3-week rotation.</t>
  </si>
  <si>
    <t>PK: ShiftKey (e.g. A-AM).</t>
  </si>
  <si>
    <t>Dim_Machine</t>
  </si>
  <si>
    <t>1 row per pressing machine (7 total).</t>
  </si>
  <si>
    <t>PK: MachineKey. Units/cycle = Forms.</t>
  </si>
  <si>
    <t>Dim_Product</t>
  </si>
  <si>
    <t>1 row per product code (3 sample products).</t>
  </si>
  <si>
    <t>PK: ProductKey. Min/Max = Design +/- Tolerance.</t>
  </si>
  <si>
    <t>Dim_Defect</t>
  </si>
  <si>
    <t>1 row per defect code (6 sample defects).</t>
  </si>
  <si>
    <t>PK: DefectCode. Classification: Critical/Major/Minor.</t>
  </si>
  <si>
    <t>Dim_Inspector</t>
  </si>
  <si>
    <t>1 row per QC inspector.</t>
  </si>
  <si>
    <t>PK: InspectorKey.</t>
  </si>
  <si>
    <t>Dim_Customer</t>
  </si>
  <si>
    <t>1 row per customer.</t>
  </si>
  <si>
    <t>PK: CustomerKey.</t>
  </si>
  <si>
    <t>DATA CLEANING RULES</t>
  </si>
  <si>
    <t>- Missing hourly data: flag the ProdKey as missing rather than deleting the hour; do not interpolate Actual Production (masks real downtime) - instead set ActualProductionUnits=0 and DowntimeMinutes=60, which correctly drags Availability to 0 for that hour.</t>
  </si>
  <si>
    <t>- Standardizing defect names: enforce defect entry via Dim_Defect's DefectCode only (dropdown/validation), never free-text defect names, so 'Bubble' / 'bubbles' / 'Air bubble' always resolve to one canonical D03 row.</t>
  </si>
  <si>
    <t>- No duplicate records: ProdKey (DateKey-HourKey-MachineKey) and SampleKey must be unique - enforce with a UNIQUE/COUNTIFS check column before load, or a Power Query dedupe step keyed on those columns.</t>
  </si>
  <si>
    <t>- Out-of-tolerance measurements: never discard - keep the raw measurement and let the OK/NOT OK formula classify it; out-of-tolerance rows are exactly the signal Quality/FPY KPIs need, not data errors to clean away.</t>
  </si>
  <si>
    <t>ProdKey (PK)</t>
  </si>
  <si>
    <t>DateKey (FK)</t>
  </si>
  <si>
    <t>HourKey (FK)</t>
  </si>
  <si>
    <t>MachineKey (FK)</t>
  </si>
  <si>
    <t>ShiftKey (FK)</t>
  </si>
  <si>
    <t>ProductKey (FK)</t>
  </si>
  <si>
    <t>PlannedMinutes</t>
  </si>
  <si>
    <t>DowntimeMinutes</t>
  </si>
  <si>
    <t>OperatingMinutes</t>
  </si>
  <si>
    <t>DesignCapacityUnits</t>
  </si>
  <si>
    <t>ActualProductionUnits</t>
  </si>
  <si>
    <t>ScrapUnits</t>
  </si>
  <si>
    <t>GoodUnits</t>
  </si>
  <si>
    <t>Availability</t>
  </si>
  <si>
    <t>Performance</t>
  </si>
  <si>
    <t>QualityRate</t>
  </si>
  <si>
    <t>MoltenGlassTons</t>
  </si>
  <si>
    <t>OutputTons</t>
  </si>
  <si>
    <t>PackToMeltPct</t>
  </si>
  <si>
    <t>20260701-00-M1</t>
  </si>
  <si>
    <t>A</t>
  </si>
  <si>
    <t>20260701-00-M2</t>
  </si>
  <si>
    <t>C</t>
  </si>
  <si>
    <t>20260701-00-M3</t>
  </si>
  <si>
    <t>20260701-00-M4</t>
  </si>
  <si>
    <t>20260701-00-M5</t>
  </si>
  <si>
    <t>20260701-00-M6</t>
  </si>
  <si>
    <t>20260701-00-M7</t>
  </si>
  <si>
    <t>20260701-01-M1</t>
  </si>
  <si>
    <t>20260701-01-M2</t>
  </si>
  <si>
    <t>20260701-01-M3</t>
  </si>
  <si>
    <t>20260701-01-M4</t>
  </si>
  <si>
    <t>20260701-01-M5</t>
  </si>
  <si>
    <t>20260701-01-M6</t>
  </si>
  <si>
    <t>20260701-01-M7</t>
  </si>
  <si>
    <t>20260701-02-M1</t>
  </si>
  <si>
    <t>20260701-02-M2</t>
  </si>
  <si>
    <t>20260701-02-M3</t>
  </si>
  <si>
    <t>20260701-02-M4</t>
  </si>
  <si>
    <t>20260701-02-M5</t>
  </si>
  <si>
    <t>20260701-02-M6</t>
  </si>
  <si>
    <t>20260701-02-M7</t>
  </si>
  <si>
    <t>20260701-03-M1</t>
  </si>
  <si>
    <t>20260701-03-M2</t>
  </si>
  <si>
    <t>20260701-03-M3</t>
  </si>
  <si>
    <t>20260701-03-M4</t>
  </si>
  <si>
    <t>20260701-03-M5</t>
  </si>
  <si>
    <t>20260701-03-M6</t>
  </si>
  <si>
    <t>20260701-03-M7</t>
  </si>
  <si>
    <t>20260701-04-M1</t>
  </si>
  <si>
    <t>20260701-04-M2</t>
  </si>
  <si>
    <t>20260701-04-M3</t>
  </si>
  <si>
    <t>20260701-04-M4</t>
  </si>
  <si>
    <t>20260701-04-M5</t>
  </si>
  <si>
    <t>20260701-04-M6</t>
  </si>
  <si>
    <t>20260701-04-M7</t>
  </si>
  <si>
    <t>20260701-05-M1</t>
  </si>
  <si>
    <t>20260701-05-M2</t>
  </si>
  <si>
    <t>20260701-05-M3</t>
  </si>
  <si>
    <t>20260701-05-M4</t>
  </si>
  <si>
    <t>20260701-05-M5</t>
  </si>
  <si>
    <t>20260701-05-M6</t>
  </si>
  <si>
    <t>20260701-05-M7</t>
  </si>
  <si>
    <t>20260701-06-M1</t>
  </si>
  <si>
    <t>20260701-06-M2</t>
  </si>
  <si>
    <t>20260701-06-M3</t>
  </si>
  <si>
    <t>B</t>
  </si>
  <si>
    <t>20260701-06-M4</t>
  </si>
  <si>
    <t>20260701-06-M5</t>
  </si>
  <si>
    <t>20260701-06-M6</t>
  </si>
  <si>
    <t>20260701-06-M7</t>
  </si>
  <si>
    <t>20260701-07-M1</t>
  </si>
  <si>
    <t>20260701-07-M2</t>
  </si>
  <si>
    <t>20260701-07-M3</t>
  </si>
  <si>
    <t>20260701-07-M4</t>
  </si>
  <si>
    <t>20260701-07-M5</t>
  </si>
  <si>
    <t>20260701-07-M6</t>
  </si>
  <si>
    <t>20260701-07-M7</t>
  </si>
  <si>
    <t>20260701-08-M1</t>
  </si>
  <si>
    <t>20260701-08-M2</t>
  </si>
  <si>
    <t>20260701-08-M3</t>
  </si>
  <si>
    <t>20260701-08-M4</t>
  </si>
  <si>
    <t>20260701-08-M5</t>
  </si>
  <si>
    <t>20260701-08-M6</t>
  </si>
  <si>
    <t>20260701-08-M7</t>
  </si>
  <si>
    <t>20260701-09-M1</t>
  </si>
  <si>
    <t>20260701-09-M2</t>
  </si>
  <si>
    <t>20260701-09-M3</t>
  </si>
  <si>
    <t>20260701-09-M4</t>
  </si>
  <si>
    <t>20260701-09-M5</t>
  </si>
  <si>
    <t>20260701-09-M6</t>
  </si>
  <si>
    <t>20260701-09-M7</t>
  </si>
  <si>
    <t>20260701-10-M1</t>
  </si>
  <si>
    <t>20260701-10-M2</t>
  </si>
  <si>
    <t>20260701-10-M3</t>
  </si>
  <si>
    <t>20260701-10-M4</t>
  </si>
  <si>
    <t>20260701-10-M5</t>
  </si>
  <si>
    <t>20260701-10-M6</t>
  </si>
  <si>
    <t>20260701-10-M7</t>
  </si>
  <si>
    <t>20260701-11-M1</t>
  </si>
  <si>
    <t>20260701-11-M2</t>
  </si>
  <si>
    <t>20260701-11-M3</t>
  </si>
  <si>
    <t>20260701-11-M4</t>
  </si>
  <si>
    <t>20260701-11-M5</t>
  </si>
  <si>
    <t>20260701-11-M6</t>
  </si>
  <si>
    <t>20260701-11-M7</t>
  </si>
  <si>
    <t>20260701-12-M1</t>
  </si>
  <si>
    <t>20260701-12-M2</t>
  </si>
  <si>
    <t>20260701-12-M3</t>
  </si>
  <si>
    <t>20260701-12-M4</t>
  </si>
  <si>
    <t>20260701-12-M5</t>
  </si>
  <si>
    <t>20260701-12-M6</t>
  </si>
  <si>
    <t>20260701-12-M7</t>
  </si>
  <si>
    <t>20260701-13-M1</t>
  </si>
  <si>
    <t>20260701-13-M2</t>
  </si>
  <si>
    <t>20260701-13-M3</t>
  </si>
  <si>
    <t>20260701-13-M4</t>
  </si>
  <si>
    <t>20260701-13-M5</t>
  </si>
  <si>
    <t>20260701-13-M6</t>
  </si>
  <si>
    <t>20260701-13-M7</t>
  </si>
  <si>
    <t>20260701-14-M1</t>
  </si>
  <si>
    <t>20260701-14-M2</t>
  </si>
  <si>
    <t>20260701-14-M3</t>
  </si>
  <si>
    <t>20260701-14-M4</t>
  </si>
  <si>
    <t>20260701-14-M5</t>
  </si>
  <si>
    <t>20260701-14-M6</t>
  </si>
  <si>
    <t>20260701-14-M7</t>
  </si>
  <si>
    <t>20260701-15-M1</t>
  </si>
  <si>
    <t>20260701-15-M2</t>
  </si>
  <si>
    <t>20260701-15-M3</t>
  </si>
  <si>
    <t>20260701-15-M4</t>
  </si>
  <si>
    <t>20260701-15-M5</t>
  </si>
  <si>
    <t>20260701-15-M6</t>
  </si>
  <si>
    <t>20260701-15-M7</t>
  </si>
  <si>
    <t>20260701-16-M1</t>
  </si>
  <si>
    <t>20260701-16-M2</t>
  </si>
  <si>
    <t>20260701-16-M3</t>
  </si>
  <si>
    <t>20260701-16-M4</t>
  </si>
  <si>
    <t>20260701-16-M5</t>
  </si>
  <si>
    <t>20260701-16-M6</t>
  </si>
  <si>
    <t>20260701-16-M7</t>
  </si>
  <si>
    <t>20260701-17-M1</t>
  </si>
  <si>
    <t>20260701-17-M2</t>
  </si>
  <si>
    <t>20260701-17-M3</t>
  </si>
  <si>
    <t>20260701-17-M4</t>
  </si>
  <si>
    <t>20260701-17-M5</t>
  </si>
  <si>
    <t>20260701-17-M6</t>
  </si>
  <si>
    <t>20260701-17-M7</t>
  </si>
  <si>
    <t>20260701-18-M1</t>
  </si>
  <si>
    <t>20260701-18-M2</t>
  </si>
  <si>
    <t>20260701-18-M3</t>
  </si>
  <si>
    <t>20260701-18-M4</t>
  </si>
  <si>
    <t>20260701-18-M5</t>
  </si>
  <si>
    <t>20260701-18-M6</t>
  </si>
  <si>
    <t>20260701-18-M7</t>
  </si>
  <si>
    <t>20260701-19-M1</t>
  </si>
  <si>
    <t>20260701-19-M2</t>
  </si>
  <si>
    <t>20260701-19-M3</t>
  </si>
  <si>
    <t>20260701-19-M4</t>
  </si>
  <si>
    <t>20260701-19-M5</t>
  </si>
  <si>
    <t>20260701-19-M6</t>
  </si>
  <si>
    <t>20260701-19-M7</t>
  </si>
  <si>
    <t>20260701-20-M1</t>
  </si>
  <si>
    <t>20260701-20-M2</t>
  </si>
  <si>
    <t>20260701-20-M3</t>
  </si>
  <si>
    <t>20260701-20-M4</t>
  </si>
  <si>
    <t>20260701-20-M5</t>
  </si>
  <si>
    <t>20260701-20-M6</t>
  </si>
  <si>
    <t>20260701-20-M7</t>
  </si>
  <si>
    <t>20260701-21-M1</t>
  </si>
  <si>
    <t>20260701-21-M2</t>
  </si>
  <si>
    <t>20260701-21-M3</t>
  </si>
  <si>
    <t>20260701-21-M4</t>
  </si>
  <si>
    <t>20260701-21-M5</t>
  </si>
  <si>
    <t>20260701-21-M6</t>
  </si>
  <si>
    <t>20260701-21-M7</t>
  </si>
  <si>
    <t>20260701-22-M1</t>
  </si>
  <si>
    <t>20260701-22-M2</t>
  </si>
  <si>
    <t>20260701-22-M3</t>
  </si>
  <si>
    <t>20260701-22-M4</t>
  </si>
  <si>
    <t>20260701-22-M5</t>
  </si>
  <si>
    <t>20260701-22-M6</t>
  </si>
  <si>
    <t>20260701-22-M7</t>
  </si>
  <si>
    <t>20260701-23-M1</t>
  </si>
  <si>
    <t>20260701-23-M2</t>
  </si>
  <si>
    <t>20260701-23-M3</t>
  </si>
  <si>
    <t>20260701-23-M4</t>
  </si>
  <si>
    <t>20260701-23-M5</t>
  </si>
  <si>
    <t>20260701-23-M6</t>
  </si>
  <si>
    <t>20260701-23-M7</t>
  </si>
  <si>
    <t>20260702-00-M1</t>
  </si>
  <si>
    <t>20260702-00-M2</t>
  </si>
  <si>
    <t>20260702-00-M3</t>
  </si>
  <si>
    <t>20260702-00-M4</t>
  </si>
  <si>
    <t>20260702-00-M5</t>
  </si>
  <si>
    <t>20260702-00-M6</t>
  </si>
  <si>
    <t>20260702-00-M7</t>
  </si>
  <si>
    <t>20260702-01-M1</t>
  </si>
  <si>
    <t>20260702-01-M2</t>
  </si>
  <si>
    <t>20260702-01-M3</t>
  </si>
  <si>
    <t>20260702-01-M4</t>
  </si>
  <si>
    <t>20260702-01-M5</t>
  </si>
  <si>
    <t>20260702-01-M6</t>
  </si>
  <si>
    <t>20260702-01-M7</t>
  </si>
  <si>
    <t>20260702-02-M1</t>
  </si>
  <si>
    <t>20260702-02-M2</t>
  </si>
  <si>
    <t>20260702-02-M3</t>
  </si>
  <si>
    <t>20260702-02-M4</t>
  </si>
  <si>
    <t>20260702-02-M5</t>
  </si>
  <si>
    <t>20260702-02-M6</t>
  </si>
  <si>
    <t>20260702-02-M7</t>
  </si>
  <si>
    <t>20260702-03-M1</t>
  </si>
  <si>
    <t>20260702-03-M2</t>
  </si>
  <si>
    <t>20260702-03-M3</t>
  </si>
  <si>
    <t>20260702-03-M4</t>
  </si>
  <si>
    <t>20260702-03-M5</t>
  </si>
  <si>
    <t>20260702-03-M6</t>
  </si>
  <si>
    <t>20260702-03-M7</t>
  </si>
  <si>
    <t>20260702-04-M1</t>
  </si>
  <si>
    <t>20260702-04-M2</t>
  </si>
  <si>
    <t>20260702-04-M3</t>
  </si>
  <si>
    <t>20260702-04-M4</t>
  </si>
  <si>
    <t>20260702-04-M5</t>
  </si>
  <si>
    <t>20260702-04-M6</t>
  </si>
  <si>
    <t>20260702-04-M7</t>
  </si>
  <si>
    <t>20260702-05-M1</t>
  </si>
  <si>
    <t>20260702-05-M2</t>
  </si>
  <si>
    <t>20260702-05-M3</t>
  </si>
  <si>
    <t>20260702-05-M4</t>
  </si>
  <si>
    <t>20260702-05-M5</t>
  </si>
  <si>
    <t>20260702-05-M6</t>
  </si>
  <si>
    <t>20260702-05-M7</t>
  </si>
  <si>
    <t>20260702-06-M1</t>
  </si>
  <si>
    <t>20260702-06-M2</t>
  </si>
  <si>
    <t>20260702-06-M3</t>
  </si>
  <si>
    <t>20260702-06-M4</t>
  </si>
  <si>
    <t>20260702-06-M5</t>
  </si>
  <si>
    <t>20260702-06-M6</t>
  </si>
  <si>
    <t>20260702-06-M7</t>
  </si>
  <si>
    <t>20260702-07-M1</t>
  </si>
  <si>
    <t>20260702-07-M2</t>
  </si>
  <si>
    <t>20260702-07-M3</t>
  </si>
  <si>
    <t>20260702-07-M4</t>
  </si>
  <si>
    <t>20260702-07-M5</t>
  </si>
  <si>
    <t>20260702-07-M6</t>
  </si>
  <si>
    <t>20260702-07-M7</t>
  </si>
  <si>
    <t>20260702-08-M1</t>
  </si>
  <si>
    <t>20260702-08-M2</t>
  </si>
  <si>
    <t>20260702-08-M3</t>
  </si>
  <si>
    <t>20260702-08-M4</t>
  </si>
  <si>
    <t>20260702-08-M5</t>
  </si>
  <si>
    <t>20260702-08-M6</t>
  </si>
  <si>
    <t>20260702-08-M7</t>
  </si>
  <si>
    <t>20260702-09-M1</t>
  </si>
  <si>
    <t>20260702-09-M2</t>
  </si>
  <si>
    <t>20260702-09-M3</t>
  </si>
  <si>
    <t>20260702-09-M4</t>
  </si>
  <si>
    <t>20260702-09-M5</t>
  </si>
  <si>
    <t>20260702-09-M6</t>
  </si>
  <si>
    <t>20260702-09-M7</t>
  </si>
  <si>
    <t>20260702-10-M1</t>
  </si>
  <si>
    <t>20260702-10-M2</t>
  </si>
  <si>
    <t>20260702-10-M3</t>
  </si>
  <si>
    <t>20260702-10-M4</t>
  </si>
  <si>
    <t>20260702-10-M5</t>
  </si>
  <si>
    <t>20260702-10-M6</t>
  </si>
  <si>
    <t>20260702-10-M7</t>
  </si>
  <si>
    <t>20260702-11-M1</t>
  </si>
  <si>
    <t>20260702-11-M2</t>
  </si>
  <si>
    <t>20260702-11-M3</t>
  </si>
  <si>
    <t>20260702-11-M4</t>
  </si>
  <si>
    <t>20260702-11-M5</t>
  </si>
  <si>
    <t>20260702-11-M6</t>
  </si>
  <si>
    <t>20260702-11-M7</t>
  </si>
  <si>
    <t>20260702-12-M1</t>
  </si>
  <si>
    <t>20260702-12-M2</t>
  </si>
  <si>
    <t>20260702-12-M3</t>
  </si>
  <si>
    <t>20260702-12-M4</t>
  </si>
  <si>
    <t>20260702-12-M5</t>
  </si>
  <si>
    <t>20260702-12-M6</t>
  </si>
  <si>
    <t>20260702-12-M7</t>
  </si>
  <si>
    <t>20260702-13-M1</t>
  </si>
  <si>
    <t>20260702-13-M2</t>
  </si>
  <si>
    <t>20260702-13-M3</t>
  </si>
  <si>
    <t>20260702-13-M4</t>
  </si>
  <si>
    <t>20260702-13-M5</t>
  </si>
  <si>
    <t>20260702-13-M6</t>
  </si>
  <si>
    <t>20260702-13-M7</t>
  </si>
  <si>
    <t>20260702-14-M1</t>
  </si>
  <si>
    <t>20260702-14-M2</t>
  </si>
  <si>
    <t>20260702-14-M3</t>
  </si>
  <si>
    <t>20260702-14-M4</t>
  </si>
  <si>
    <t>20260702-14-M5</t>
  </si>
  <si>
    <t>20260702-14-M6</t>
  </si>
  <si>
    <t>20260702-14-M7</t>
  </si>
  <si>
    <t>20260702-15-M1</t>
  </si>
  <si>
    <t>20260702-15-M2</t>
  </si>
  <si>
    <t>20260702-15-M3</t>
  </si>
  <si>
    <t>20260702-15-M4</t>
  </si>
  <si>
    <t>20260702-15-M5</t>
  </si>
  <si>
    <t>20260702-15-M6</t>
  </si>
  <si>
    <t>20260702-15-M7</t>
  </si>
  <si>
    <t>20260702-16-M1</t>
  </si>
  <si>
    <t>20260702-16-M2</t>
  </si>
  <si>
    <t>20260702-16-M3</t>
  </si>
  <si>
    <t>20260702-16-M4</t>
  </si>
  <si>
    <t>20260702-16-M5</t>
  </si>
  <si>
    <t>20260702-16-M6</t>
  </si>
  <si>
    <t>20260702-16-M7</t>
  </si>
  <si>
    <t>20260702-17-M1</t>
  </si>
  <si>
    <t>20260702-17-M2</t>
  </si>
  <si>
    <t>20260702-17-M3</t>
  </si>
  <si>
    <t>20260702-17-M4</t>
  </si>
  <si>
    <t>20260702-17-M5</t>
  </si>
  <si>
    <t>20260702-17-M6</t>
  </si>
  <si>
    <t>20260702-17-M7</t>
  </si>
  <si>
    <t>20260702-18-M1</t>
  </si>
  <si>
    <t>20260702-18-M2</t>
  </si>
  <si>
    <t>20260702-18-M3</t>
  </si>
  <si>
    <t>20260702-18-M4</t>
  </si>
  <si>
    <t>20260702-18-M5</t>
  </si>
  <si>
    <t>20260702-18-M6</t>
  </si>
  <si>
    <t>20260702-18-M7</t>
  </si>
  <si>
    <t>20260702-19-M1</t>
  </si>
  <si>
    <t>20260702-19-M2</t>
  </si>
  <si>
    <t>20260702-19-M3</t>
  </si>
  <si>
    <t>20260702-19-M4</t>
  </si>
  <si>
    <t>20260702-19-M5</t>
  </si>
  <si>
    <t>20260702-19-M6</t>
  </si>
  <si>
    <t>20260702-19-M7</t>
  </si>
  <si>
    <t>20260702-20-M1</t>
  </si>
  <si>
    <t>20260702-20-M2</t>
  </si>
  <si>
    <t>20260702-20-M3</t>
  </si>
  <si>
    <t>20260702-20-M4</t>
  </si>
  <si>
    <t>20260702-20-M5</t>
  </si>
  <si>
    <t>20260702-20-M6</t>
  </si>
  <si>
    <t>20260702-20-M7</t>
  </si>
  <si>
    <t>20260702-21-M1</t>
  </si>
  <si>
    <t>20260702-21-M2</t>
  </si>
  <si>
    <t>20260702-21-M3</t>
  </si>
  <si>
    <t>20260702-21-M4</t>
  </si>
  <si>
    <t>20260702-21-M5</t>
  </si>
  <si>
    <t>20260702-21-M6</t>
  </si>
  <si>
    <t>20260702-21-M7</t>
  </si>
  <si>
    <t>20260702-22-M1</t>
  </si>
  <si>
    <t>20260702-22-M2</t>
  </si>
  <si>
    <t>20260702-22-M3</t>
  </si>
  <si>
    <t>20260702-22-M4</t>
  </si>
  <si>
    <t>20260702-22-M5</t>
  </si>
  <si>
    <t>20260702-22-M6</t>
  </si>
  <si>
    <t>20260702-22-M7</t>
  </si>
  <si>
    <t>20260702-23-M1</t>
  </si>
  <si>
    <t>20260702-23-M2</t>
  </si>
  <si>
    <t>20260702-23-M3</t>
  </si>
  <si>
    <t>20260702-23-M4</t>
  </si>
  <si>
    <t>20260702-23-M5</t>
  </si>
  <si>
    <t>20260702-23-M6</t>
  </si>
  <si>
    <t>20260702-23-M7</t>
  </si>
  <si>
    <t>SampleKey (PK)</t>
  </si>
  <si>
    <t>SampleSize</t>
  </si>
  <si>
    <t>DefectiveCount</t>
  </si>
  <si>
    <t>CriticalCount</t>
  </si>
  <si>
    <t>MajorCount</t>
  </si>
  <si>
    <t>MinorCount</t>
  </si>
  <si>
    <t>TopDefectCode (FK)</t>
  </si>
  <si>
    <t>AvgWeight_g</t>
  </si>
  <si>
    <t>WeightOK_Count</t>
  </si>
  <si>
    <t>WeightNotOK_Count</t>
  </si>
  <si>
    <t>AvgDiameter_mm</t>
  </si>
  <si>
    <t>DiameterOK_Count</t>
  </si>
  <si>
    <t>DiameterNotOK_Count</t>
  </si>
  <si>
    <t>AvgHeight_mm</t>
  </si>
  <si>
    <t>HeightOK_Count</t>
  </si>
  <si>
    <t>HeightNotOK_Count</t>
  </si>
  <si>
    <t>DefectRatePct</t>
  </si>
  <si>
    <t>FPY_Pct</t>
  </si>
  <si>
    <t>QS-1</t>
  </si>
  <si>
    <t>D01</t>
  </si>
  <si>
    <t>QS-2</t>
  </si>
  <si>
    <t>D02</t>
  </si>
  <si>
    <t>QS-3</t>
  </si>
  <si>
    <t>QS-4</t>
  </si>
  <si>
    <t>D04</t>
  </si>
  <si>
    <t>QS-5</t>
  </si>
  <si>
    <t>QS-6</t>
  </si>
  <si>
    <t>QS-7</t>
  </si>
  <si>
    <t>QS-8</t>
  </si>
  <si>
    <t>QS-9</t>
  </si>
  <si>
    <t>D05</t>
  </si>
  <si>
    <t>QS-10</t>
  </si>
  <si>
    <t>QS-11</t>
  </si>
  <si>
    <t>QS-12</t>
  </si>
  <si>
    <t>QS-13</t>
  </si>
  <si>
    <t>QS-14</t>
  </si>
  <si>
    <t>QS-15</t>
  </si>
  <si>
    <t>QS-16</t>
  </si>
  <si>
    <t>D03</t>
  </si>
  <si>
    <t>QS-17</t>
  </si>
  <si>
    <t>QS-18</t>
  </si>
  <si>
    <t>D06</t>
  </si>
  <si>
    <t>QS-19</t>
  </si>
  <si>
    <t>QS-20</t>
  </si>
  <si>
    <t>QS-21</t>
  </si>
  <si>
    <t>QS-22</t>
  </si>
  <si>
    <t>QS-23</t>
  </si>
  <si>
    <t>QS-24</t>
  </si>
  <si>
    <t>QS-25</t>
  </si>
  <si>
    <t>QS-26</t>
  </si>
  <si>
    <t>QS-27</t>
  </si>
  <si>
    <t>QS-28</t>
  </si>
  <si>
    <t>QS-29</t>
  </si>
  <si>
    <t>QS-30</t>
  </si>
  <si>
    <t>QS-31</t>
  </si>
  <si>
    <t>QS-32</t>
  </si>
  <si>
    <t>QS-33</t>
  </si>
  <si>
    <t>QS-34</t>
  </si>
  <si>
    <t>QS-35</t>
  </si>
  <si>
    <t>QS-36</t>
  </si>
  <si>
    <t>QS-37</t>
  </si>
  <si>
    <t>QS-38</t>
  </si>
  <si>
    <t>QS-39</t>
  </si>
  <si>
    <t>QS-40</t>
  </si>
  <si>
    <t>QS-41</t>
  </si>
  <si>
    <t>QS-42</t>
  </si>
  <si>
    <t>QS-43</t>
  </si>
  <si>
    <t>QS-44</t>
  </si>
  <si>
    <t>QS-45</t>
  </si>
  <si>
    <t>QS-46</t>
  </si>
  <si>
    <t>QS-47</t>
  </si>
  <si>
    <t>QS-48</t>
  </si>
  <si>
    <t>QS-49</t>
  </si>
  <si>
    <t>QS-50</t>
  </si>
  <si>
    <t>QS-51</t>
  </si>
  <si>
    <t>QS-52</t>
  </si>
  <si>
    <t>QS-53</t>
  </si>
  <si>
    <t>QS-54</t>
  </si>
  <si>
    <t>QS-55</t>
  </si>
  <si>
    <t>QS-56</t>
  </si>
  <si>
    <t>QS-57</t>
  </si>
  <si>
    <t>QS-58</t>
  </si>
  <si>
    <t>QS-59</t>
  </si>
  <si>
    <t>QS-60</t>
  </si>
  <si>
    <t>QS-61</t>
  </si>
  <si>
    <t>QS-62</t>
  </si>
  <si>
    <t>QS-63</t>
  </si>
  <si>
    <t>QS-64</t>
  </si>
  <si>
    <t>QS-65</t>
  </si>
  <si>
    <t>QS-66</t>
  </si>
  <si>
    <t>QS-67</t>
  </si>
  <si>
    <t>QS-68</t>
  </si>
  <si>
    <t>QS-69</t>
  </si>
  <si>
    <t>QS-70</t>
  </si>
  <si>
    <t>QS-71</t>
  </si>
  <si>
    <t>QS-72</t>
  </si>
  <si>
    <t>QS-73</t>
  </si>
  <si>
    <t>QS-74</t>
  </si>
  <si>
    <t>QS-75</t>
  </si>
  <si>
    <t>QS-76</t>
  </si>
  <si>
    <t>QS-77</t>
  </si>
  <si>
    <t>QS-78</t>
  </si>
  <si>
    <t>QS-79</t>
  </si>
  <si>
    <t>QS-80</t>
  </si>
  <si>
    <t>QS-81</t>
  </si>
  <si>
    <t>QS-82</t>
  </si>
  <si>
    <t>QS-83</t>
  </si>
  <si>
    <t>QS-84</t>
  </si>
  <si>
    <t>QS-85</t>
  </si>
  <si>
    <t>QS-86</t>
  </si>
  <si>
    <t>QS-87</t>
  </si>
  <si>
    <t>QS-88</t>
  </si>
  <si>
    <t>QS-89</t>
  </si>
  <si>
    <t>QS-90</t>
  </si>
  <si>
    <t>QS-91</t>
  </si>
  <si>
    <t>QS-92</t>
  </si>
  <si>
    <t>QS-93</t>
  </si>
  <si>
    <t>QS-94</t>
  </si>
  <si>
    <t>QS-95</t>
  </si>
  <si>
    <t>QS-96</t>
  </si>
  <si>
    <t>QS-97</t>
  </si>
  <si>
    <t>QS-98</t>
  </si>
  <si>
    <t>QS-99</t>
  </si>
  <si>
    <t>QS-100</t>
  </si>
  <si>
    <t>QS-101</t>
  </si>
  <si>
    <t>QS-102</t>
  </si>
  <si>
    <t>QS-103</t>
  </si>
  <si>
    <t>QS-104</t>
  </si>
  <si>
    <t>QS-105</t>
  </si>
  <si>
    <t>QS-106</t>
  </si>
  <si>
    <t>QS-107</t>
  </si>
  <si>
    <t>QS-108</t>
  </si>
  <si>
    <t>QS-109</t>
  </si>
  <si>
    <t>QS-110</t>
  </si>
  <si>
    <t>QS-111</t>
  </si>
  <si>
    <t>QS-112</t>
  </si>
  <si>
    <t>QS-113</t>
  </si>
  <si>
    <t>QS-114</t>
  </si>
  <si>
    <t>QS-115</t>
  </si>
  <si>
    <t>QS-116</t>
  </si>
  <si>
    <t>QS-117</t>
  </si>
  <si>
    <t>QS-118</t>
  </si>
  <si>
    <t>QS-119</t>
  </si>
  <si>
    <t>QS-120</t>
  </si>
  <si>
    <t>QS-121</t>
  </si>
  <si>
    <t>QS-122</t>
  </si>
  <si>
    <t>QS-123</t>
  </si>
  <si>
    <t>QS-124</t>
  </si>
  <si>
    <t>QS-125</t>
  </si>
  <si>
    <t>QS-126</t>
  </si>
  <si>
    <t>QS-127</t>
  </si>
  <si>
    <t>QS-128</t>
  </si>
  <si>
    <t>QS-129</t>
  </si>
  <si>
    <t>QS-130</t>
  </si>
  <si>
    <t>QS-131</t>
  </si>
  <si>
    <t>QS-132</t>
  </si>
  <si>
    <t>QS-133</t>
  </si>
  <si>
    <t>QS-134</t>
  </si>
  <si>
    <t>QS-135</t>
  </si>
  <si>
    <t>QS-136</t>
  </si>
  <si>
    <t>QS-137</t>
  </si>
  <si>
    <t>QS-138</t>
  </si>
  <si>
    <t>QS-139</t>
  </si>
  <si>
    <t>QS-140</t>
  </si>
  <si>
    <t>QS-141</t>
  </si>
  <si>
    <t>QS-142</t>
  </si>
  <si>
    <t>QS-143</t>
  </si>
  <si>
    <t>QS-144</t>
  </si>
  <si>
    <t>QS-145</t>
  </si>
  <si>
    <t>QS-146</t>
  </si>
  <si>
    <t>QS-147</t>
  </si>
  <si>
    <t>QS-148</t>
  </si>
  <si>
    <t>QS-149</t>
  </si>
  <si>
    <t>QS-150</t>
  </si>
  <si>
    <t>QS-151</t>
  </si>
  <si>
    <t>QS-152</t>
  </si>
  <si>
    <t>QS-153</t>
  </si>
  <si>
    <t>QS-154</t>
  </si>
  <si>
    <t>QS-155</t>
  </si>
  <si>
    <t>QS-156</t>
  </si>
  <si>
    <t>QS-157</t>
  </si>
  <si>
    <t>QS-158</t>
  </si>
  <si>
    <t>QS-159</t>
  </si>
  <si>
    <t>QS-160</t>
  </si>
  <si>
    <t>QS-161</t>
  </si>
  <si>
    <t>QS-162</t>
  </si>
  <si>
    <t>QS-163</t>
  </si>
  <si>
    <t>QS-164</t>
  </si>
  <si>
    <t>QS-165</t>
  </si>
  <si>
    <t>QS-166</t>
  </si>
  <si>
    <t>QS-167</t>
  </si>
  <si>
    <t>QS-168</t>
  </si>
  <si>
    <t>QS-169</t>
  </si>
  <si>
    <t>QS-170</t>
  </si>
  <si>
    <t>QS-171</t>
  </si>
  <si>
    <t>QS-172</t>
  </si>
  <si>
    <t>QS-173</t>
  </si>
  <si>
    <t>QS-174</t>
  </si>
  <si>
    <t>QS-175</t>
  </si>
  <si>
    <t>QS-176</t>
  </si>
  <si>
    <t>QS-177</t>
  </si>
  <si>
    <t>QS-178</t>
  </si>
  <si>
    <t>QS-179</t>
  </si>
  <si>
    <t>QS-180</t>
  </si>
  <si>
    <t>QS-181</t>
  </si>
  <si>
    <t>QS-182</t>
  </si>
  <si>
    <t>QS-183</t>
  </si>
  <si>
    <t>QS-184</t>
  </si>
  <si>
    <t>QS-185</t>
  </si>
  <si>
    <t>QS-186</t>
  </si>
  <si>
    <t>QS-187</t>
  </si>
  <si>
    <t>QS-188</t>
  </si>
  <si>
    <t>QS-189</t>
  </si>
  <si>
    <t>QS-190</t>
  </si>
  <si>
    <t>QS-191</t>
  </si>
  <si>
    <t>QS-192</t>
  </si>
  <si>
    <t>QS-193</t>
  </si>
  <si>
    <t>QS-194</t>
  </si>
  <si>
    <t>QS-195</t>
  </si>
  <si>
    <t>QS-196</t>
  </si>
  <si>
    <t>QS-197</t>
  </si>
  <si>
    <t>QS-198</t>
  </si>
  <si>
    <t>QS-199</t>
  </si>
  <si>
    <t>QS-200</t>
  </si>
  <si>
    <t>QS-201</t>
  </si>
  <si>
    <t>QS-202</t>
  </si>
  <si>
    <t>QS-203</t>
  </si>
  <si>
    <t>QS-204</t>
  </si>
  <si>
    <t>QS-205</t>
  </si>
  <si>
    <t>QS-206</t>
  </si>
  <si>
    <t>QS-207</t>
  </si>
  <si>
    <t>QS-208</t>
  </si>
  <si>
    <t>QS-209</t>
  </si>
  <si>
    <t>QS-210</t>
  </si>
  <si>
    <t>QS-211</t>
  </si>
  <si>
    <t>QS-212</t>
  </si>
  <si>
    <t>QS-213</t>
  </si>
  <si>
    <t>QS-214</t>
  </si>
  <si>
    <t>QS-215</t>
  </si>
  <si>
    <t>QS-216</t>
  </si>
  <si>
    <t>QS-217</t>
  </si>
  <si>
    <t>QS-218</t>
  </si>
  <si>
    <t>QS-219</t>
  </si>
  <si>
    <t>QS-220</t>
  </si>
  <si>
    <t>QS-221</t>
  </si>
  <si>
    <t>QS-222</t>
  </si>
  <si>
    <t>QS-223</t>
  </si>
  <si>
    <t>QS-224</t>
  </si>
  <si>
    <t>QS-225</t>
  </si>
  <si>
    <t>QS-226</t>
  </si>
  <si>
    <t>QS-227</t>
  </si>
  <si>
    <t>QS-228</t>
  </si>
  <si>
    <t>QS-229</t>
  </si>
  <si>
    <t>QS-230</t>
  </si>
  <si>
    <t>QS-231</t>
  </si>
  <si>
    <t>QS-232</t>
  </si>
  <si>
    <t>QS-233</t>
  </si>
  <si>
    <t>QS-234</t>
  </si>
  <si>
    <t>QS-235</t>
  </si>
  <si>
    <t>QS-236</t>
  </si>
  <si>
    <t>QS-237</t>
  </si>
  <si>
    <t>QS-238</t>
  </si>
  <si>
    <t>QS-239</t>
  </si>
  <si>
    <t>QS-240</t>
  </si>
  <si>
    <t>QS-241</t>
  </si>
  <si>
    <t>QS-242</t>
  </si>
  <si>
    <t>QS-243</t>
  </si>
  <si>
    <t>QS-244</t>
  </si>
  <si>
    <t>QS-245</t>
  </si>
  <si>
    <t>QS-246</t>
  </si>
  <si>
    <t>QS-247</t>
  </si>
  <si>
    <t>QS-248</t>
  </si>
  <si>
    <t>QS-249</t>
  </si>
  <si>
    <t>QS-250</t>
  </si>
  <si>
    <t>QS-251</t>
  </si>
  <si>
    <t>QS-252</t>
  </si>
  <si>
    <t>QS-253</t>
  </si>
  <si>
    <t>QS-254</t>
  </si>
  <si>
    <t>QS-255</t>
  </si>
  <si>
    <t>QS-256</t>
  </si>
  <si>
    <t>QS-257</t>
  </si>
  <si>
    <t>QS-258</t>
  </si>
  <si>
    <t>QS-259</t>
  </si>
  <si>
    <t>QS-260</t>
  </si>
  <si>
    <t>QS-261</t>
  </si>
  <si>
    <t>QS-262</t>
  </si>
  <si>
    <t>QS-263</t>
  </si>
  <si>
    <t>QS-264</t>
  </si>
  <si>
    <t>QS-265</t>
  </si>
  <si>
    <t>QS-266</t>
  </si>
  <si>
    <t>QS-267</t>
  </si>
  <si>
    <t>QS-268</t>
  </si>
  <si>
    <t>QS-269</t>
  </si>
  <si>
    <t>QS-270</t>
  </si>
  <si>
    <t>QS-271</t>
  </si>
  <si>
    <t>QS-272</t>
  </si>
  <si>
    <t>QS-273</t>
  </si>
  <si>
    <t>QS-274</t>
  </si>
  <si>
    <t>QS-275</t>
  </si>
  <si>
    <t>QS-276</t>
  </si>
  <si>
    <t>QS-277</t>
  </si>
  <si>
    <t>QS-278</t>
  </si>
  <si>
    <t>QS-279</t>
  </si>
  <si>
    <t>QS-280</t>
  </si>
  <si>
    <t>QS-281</t>
  </si>
  <si>
    <t>QS-282</t>
  </si>
  <si>
    <t>QS-283</t>
  </si>
  <si>
    <t>QS-284</t>
  </si>
  <si>
    <t>QS-285</t>
  </si>
  <si>
    <t>QS-286</t>
  </si>
  <si>
    <t>QS-287</t>
  </si>
  <si>
    <t>QS-288</t>
  </si>
  <si>
    <t>QS-289</t>
  </si>
  <si>
    <t>QS-290</t>
  </si>
  <si>
    <t>QS-291</t>
  </si>
  <si>
    <t>QS-292</t>
  </si>
  <si>
    <t>QS-293</t>
  </si>
  <si>
    <t>QS-294</t>
  </si>
  <si>
    <t>QS-295</t>
  </si>
  <si>
    <t>QS-296</t>
  </si>
  <si>
    <t>QS-297</t>
  </si>
  <si>
    <t>QS-298</t>
  </si>
  <si>
    <t>QS-299</t>
  </si>
  <si>
    <t>QS-300</t>
  </si>
  <si>
    <t>QS-301</t>
  </si>
  <si>
    <t>QS-302</t>
  </si>
  <si>
    <t>QS-303</t>
  </si>
  <si>
    <t>QS-304</t>
  </si>
  <si>
    <t>QS-305</t>
  </si>
  <si>
    <t>QS-306</t>
  </si>
  <si>
    <t>QS-307</t>
  </si>
  <si>
    <t>QS-308</t>
  </si>
  <si>
    <t>QS-309</t>
  </si>
  <si>
    <t>QS-310</t>
  </si>
  <si>
    <t>QS-311</t>
  </si>
  <si>
    <t>QS-312</t>
  </si>
  <si>
    <t>QS-313</t>
  </si>
  <si>
    <t>QS-314</t>
  </si>
  <si>
    <t>QS-315</t>
  </si>
  <si>
    <t>QS-316</t>
  </si>
  <si>
    <t>QS-317</t>
  </si>
  <si>
    <t>QS-318</t>
  </si>
  <si>
    <t>QS-319</t>
  </si>
  <si>
    <t>QS-320</t>
  </si>
  <si>
    <t>QS-321</t>
  </si>
  <si>
    <t>QS-322</t>
  </si>
  <si>
    <t>QS-323</t>
  </si>
  <si>
    <t>QS-324</t>
  </si>
  <si>
    <t>QS-325</t>
  </si>
  <si>
    <t>QS-326</t>
  </si>
  <si>
    <t>QS-327</t>
  </si>
  <si>
    <t>QS-328</t>
  </si>
  <si>
    <t>QS-329</t>
  </si>
  <si>
    <t>QS-330</t>
  </si>
  <si>
    <t>QS-331</t>
  </si>
  <si>
    <t>QS-332</t>
  </si>
  <si>
    <t>QS-333</t>
  </si>
  <si>
    <t>QS-334</t>
  </si>
  <si>
    <t>QS-335</t>
  </si>
  <si>
    <t>QS-336</t>
  </si>
  <si>
    <t>InspectionKey (PK)</t>
  </si>
  <si>
    <t>OrderNumber</t>
  </si>
  <si>
    <t>CustomerKey (FK)</t>
  </si>
  <si>
    <t>InspectorKey (FK)</t>
  </si>
  <si>
    <t>PalletNumber</t>
  </si>
  <si>
    <t>TotalOrderQuantity</t>
  </si>
  <si>
    <t>InspectedQuantity</t>
  </si>
  <si>
    <t>RejectedQuantity</t>
  </si>
  <si>
    <t>AcceptedQuantity</t>
  </si>
  <si>
    <t>InspectionCoveragePct</t>
  </si>
  <si>
    <t>OrderRejectRatePct</t>
  </si>
  <si>
    <t>InspectionResult</t>
  </si>
  <si>
    <t>INSP-001</t>
  </si>
  <si>
    <t>ORD-1001</t>
  </si>
  <si>
    <t>C01</t>
  </si>
  <si>
    <t>I01</t>
  </si>
  <si>
    <t>PLT-201</t>
  </si>
  <si>
    <t>INSP-002</t>
  </si>
  <si>
    <t>ORD-1002</t>
  </si>
  <si>
    <t>C02</t>
  </si>
  <si>
    <t>I02</t>
  </si>
  <si>
    <t>PLT-202</t>
  </si>
  <si>
    <t>INSP-003</t>
  </si>
  <si>
    <t>ORD-1003</t>
  </si>
  <si>
    <t>C03</t>
  </si>
  <si>
    <t>I03</t>
  </si>
  <si>
    <t>PLT-203</t>
  </si>
  <si>
    <t>INSP-004</t>
  </si>
  <si>
    <t>ORD-1004</t>
  </si>
  <si>
    <t>C04</t>
  </si>
  <si>
    <t>PLT-204</t>
  </si>
  <si>
    <t>INSP-005</t>
  </si>
  <si>
    <t>ORD-1005</t>
  </si>
  <si>
    <t>C05</t>
  </si>
  <si>
    <t>PLT-205</t>
  </si>
  <si>
    <t>INSP-006</t>
  </si>
  <si>
    <t>ORD-1006</t>
  </si>
  <si>
    <t>PLT-206</t>
  </si>
  <si>
    <t>DateKey (PK)</t>
  </si>
  <si>
    <t>Date</t>
  </si>
  <si>
    <t>DayName</t>
  </si>
  <si>
    <t>WeekNumber</t>
  </si>
  <si>
    <t>MonthName</t>
  </si>
  <si>
    <t>Year</t>
  </si>
  <si>
    <t>2026-07-01</t>
  </si>
  <si>
    <t>Wednesday</t>
  </si>
  <si>
    <t>July</t>
  </si>
  <si>
    <t>2026-07-02</t>
  </si>
  <si>
    <t>Thursday</t>
  </si>
  <si>
    <t>HourKey (PK) 0-23</t>
  </si>
  <si>
    <t>HourLabel</t>
  </si>
  <si>
    <t>ShiftType</t>
  </si>
  <si>
    <t>00:00-01:00</t>
  </si>
  <si>
    <t>PM</t>
  </si>
  <si>
    <t>01:00-02:00</t>
  </si>
  <si>
    <t>02:00-03:00</t>
  </si>
  <si>
    <t>03:00-04:00</t>
  </si>
  <si>
    <t>04:00-05:00</t>
  </si>
  <si>
    <t>05:00-06:00</t>
  </si>
  <si>
    <t>06:00-07:00</t>
  </si>
  <si>
    <t>AM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</si>
  <si>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</si>
  <si>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</si>
  <si>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</si>
  <si>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</si>
  <si>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</si>
  <si>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</si>
  <si>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</si>
  <si>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</si>
  <si>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</si>
  <si>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</si>
  <si>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</si>
  <si>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</si>
  <si>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</si>
  <si>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</si>
  <si>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</si>
  <si>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</si>
  <si>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</si>
  <si>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ShiftKey (PK)</t>
  </si>
  <si>
    <t>Group</t>
  </si>
  <si>
    <t>RotationWeek</t>
  </si>
  <si>
    <t>Week1</t>
  </si>
  <si>
    <t>B-AM</t>
  </si>
  <si>
    <t>Week2</t>
  </si>
  <si>
    <t>C-PM</t>
  </si>
  <si>
    <t>C-AM</t>
  </si>
  <si>
    <t>Week3</t>
  </si>
  <si>
    <t>A-PM</t>
  </si>
  <si>
    <t>MachineKey (PK)</t>
  </si>
  <si>
    <t>MachineName</t>
  </si>
  <si>
    <t>MachineType</t>
  </si>
  <si>
    <t>Forms</t>
  </si>
  <si>
    <t>Speed_CyclesPerMin</t>
  </si>
  <si>
    <t>Press Machine 1</t>
  </si>
  <si>
    <t>Single</t>
  </si>
  <si>
    <t>Press Machine 2</t>
  </si>
  <si>
    <t>Double</t>
  </si>
  <si>
    <t>Press Machine 3</t>
  </si>
  <si>
    <t>Press Machine 4</t>
  </si>
  <si>
    <t>Press Machine 5</t>
  </si>
  <si>
    <t>Press Machine 6</t>
  </si>
  <si>
    <t>Press Machine 7</t>
  </si>
  <si>
    <t>ProductKey (PK)</t>
  </si>
  <si>
    <t>ProductName</t>
  </si>
  <si>
    <t>DesignWeight_g</t>
  </si>
  <si>
    <t>WeightTolerance_g</t>
  </si>
  <si>
    <t>WeightMin_g</t>
  </si>
  <si>
    <t>WeightMax_g</t>
  </si>
  <si>
    <t>DesignDiameter_mm</t>
  </si>
  <si>
    <t>DiameterTolerance_mm</t>
  </si>
  <si>
    <t>DiameterMin_mm</t>
  </si>
  <si>
    <t>DiameterMax_mm</t>
  </si>
  <si>
    <t>DesignHeight_mm</t>
  </si>
  <si>
    <t>HeightTolerance_mm</t>
  </si>
  <si>
    <t>HeightMin_mm</t>
  </si>
  <si>
    <t>HeightMax_mm</t>
  </si>
  <si>
    <t>Product A - Jar 250g</t>
  </si>
  <si>
    <t>Product B - Jar 300g</t>
  </si>
  <si>
    <t>Product C - Jar 200g</t>
  </si>
  <si>
    <t>DefectCode (PK)</t>
  </si>
  <si>
    <t>DefectName</t>
  </si>
  <si>
    <t>Crack</t>
  </si>
  <si>
    <t>Breakage</t>
  </si>
  <si>
    <t>Bubble</t>
  </si>
  <si>
    <t>Deformation</t>
  </si>
  <si>
    <t>Scratch</t>
  </si>
  <si>
    <t>Color Variation</t>
  </si>
  <si>
    <t>InspectorKey (PK)</t>
  </si>
  <si>
    <t>InspectorName</t>
  </si>
  <si>
    <t>Ahmed Youssef</t>
  </si>
  <si>
    <t>Mona Farid</t>
  </si>
  <si>
    <t>Karim Adel</t>
  </si>
  <si>
    <t>CustomerKey (PK)</t>
  </si>
  <si>
    <t>CustomerName</t>
  </si>
  <si>
    <t>Al Ahram Beverages</t>
  </si>
  <si>
    <t>Nile Foods</t>
  </si>
  <si>
    <t>Delta Glass Trading</t>
  </si>
  <si>
    <t>Cairo Packaging Co.</t>
  </si>
  <si>
    <t>Red Sea Bottling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</si>
</sst>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E1F2"/>
        <bgColor rgb="FFD9D9D9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4" fillId="6" borderId="2" xfId="0" applyFont="1" applyFill="1" applyBorder="1"/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6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151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Hourly Production Trend (Total Actual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Dashboard_View!$G$3</c:f>
              <c:strCache>
                <c:ptCount val="1"/>
                <c:pt idx="0">
                  <c:v>TotalActualUnits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Dashboard_View!$F$4:$F$27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Dashboard_View!$G$4:$G$27</c:f>
              <c:numCache>
                <c:formatCode>General</c:formatCode>
                <c:ptCount val="24"/>
                <c:pt idx="0">
                  <c:v>326024</c:v>
                </c:pt>
                <c:pt idx="1">
                  <c:v>336188</c:v>
                </c:pt>
                <c:pt idx="2">
                  <c:v>343981</c:v>
                </c:pt>
                <c:pt idx="3">
                  <c:v>344793</c:v>
                </c:pt>
                <c:pt idx="4">
                  <c:v>340542</c:v>
                </c:pt>
                <c:pt idx="5">
                  <c:v>329757</c:v>
                </c:pt>
                <c:pt idx="6">
                  <c:v>327997</c:v>
                </c:pt>
                <c:pt idx="7">
                  <c:v>342391</c:v>
                </c:pt>
                <c:pt idx="8">
                  <c:v>332231</c:v>
                </c:pt>
                <c:pt idx="9">
                  <c:v>344261</c:v>
                </c:pt>
                <c:pt idx="10">
                  <c:v>336146</c:v>
                </c:pt>
                <c:pt idx="11">
                  <c:v>339673</c:v>
                </c:pt>
                <c:pt idx="12">
                  <c:v>341599</c:v>
                </c:pt>
                <c:pt idx="13">
                  <c:v>345543</c:v>
                </c:pt>
                <c:pt idx="14">
                  <c:v>319429</c:v>
                </c:pt>
                <c:pt idx="15">
                  <c:v>339712</c:v>
                </c:pt>
                <c:pt idx="16">
                  <c:v>330608</c:v>
                </c:pt>
                <c:pt idx="17">
                  <c:v>328956</c:v>
                </c:pt>
                <c:pt idx="18">
                  <c:v>341672</c:v>
                </c:pt>
                <c:pt idx="19">
                  <c:v>338998</c:v>
                </c:pt>
                <c:pt idx="20">
                  <c:v>338975</c:v>
                </c:pt>
                <c:pt idx="21">
                  <c:v>334179</c:v>
                </c:pt>
                <c:pt idx="22">
                  <c:v>327882</c:v>
                </c:pt>
                <c:pt idx="23">
                  <c:v>346208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1A-4079-ABEF-8F0C8BA1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482412"/>
        <c:axId val="49114577"/>
      </c:lineChart>
      <c:catAx>
        <c:axId val="68482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14577"/>
        <c:crosses val="autoZero"/>
        <c:auto val="1"/>
        <c:lblAlgn val="ctr"/>
        <c:lblOffset val="100"/>
        <c:noMultiLvlLbl val="0"/>
      </c:catAx>
      <c:valAx>
        <c:axId val="49114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482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 Pareto by Classification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Dashboard_View!$J$3</c:f>
              <c:strCache>
                <c:ptCount val="1"/>
                <c:pt idx="0">
                  <c:v>TotalCount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Dashboard_View!$I$4:$I$6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Dashboard_View!$J$4:$J$6</c:f>
              <c:numCache>
                <c:formatCode>General</c:formatCode>
                <c:ptCount val="3"/>
                <c:pt idx="0">
                  <c:v>0</c:v>
                </c:pt>
                <c:pt idx="1">
                  <c:v>140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1-4544-B3F1-795CF8AD7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0992"/>
        <c:axId val="39967670"/>
      </c:barChart>
      <c:catAx>
        <c:axId val="126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67670"/>
        <c:crosses val="autoZero"/>
        <c:auto val="1"/>
        <c:lblAlgn val="ctr"/>
        <c:lblOffset val="100"/>
        <c:noMultiLvlLbl val="0"/>
      </c:catAx>
      <c:valAx>
        <c:axId val="39967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10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Machine Comparison - Efficiency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Dashboard_View!$M$3</c:f>
              <c:strCache>
                <c:ptCount val="1"/>
                <c:pt idx="0">
                  <c:v>EfficiencyPct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Dashboard_View!$L$4:$L$10</c:f>
              <c:strCache>
                <c:ptCount val="7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</c:strCache>
            </c:strRef>
          </c:cat>
          <c:val>
            <c:numRef>
              <c:f>Dashboard_View!$M$4:$M$10</c:f>
              <c:numCache>
                <c:formatCode>0.0%</c:formatCode>
                <c:ptCount val="7"/>
                <c:pt idx="0">
                  <c:v>0.89125037307864496</c:v>
                </c:pt>
                <c:pt idx="1">
                  <c:v>0.87869705357922157</c:v>
                </c:pt>
                <c:pt idx="2">
                  <c:v>0.87900670353667787</c:v>
                </c:pt>
                <c:pt idx="3">
                  <c:v>0.8885661565112164</c:v>
                </c:pt>
                <c:pt idx="4">
                  <c:v>0.87020595382573773</c:v>
                </c:pt>
                <c:pt idx="5">
                  <c:v>0.88578062450785133</c:v>
                </c:pt>
                <c:pt idx="6">
                  <c:v>0.88604283404586048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7-4AD3-8228-BA2A87A5E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5308"/>
        <c:axId val="76955511"/>
      </c:barChart>
      <c:catAx>
        <c:axId val="7235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55511"/>
        <c:crosses val="autoZero"/>
        <c:auto val="1"/>
        <c:lblAlgn val="ctr"/>
        <c:lblOffset val="100"/>
        <c:noMultiLvlLbl val="0"/>
      </c:catAx>
      <c:valAx>
        <c:axId val="76955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Efficiency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5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Shift Performance - Average OEE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Dashboard_View!$P$3</c:f>
              <c:strCache>
                <c:ptCount val="1"/>
                <c:pt idx="0">
                  <c:v>AvgOEE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Dashboard_View!$O$4:$O$5</c:f>
              <c:strCache>
                <c:ptCount val="2"/>
                <c:pt idx="0">
                  <c:v>A-AM</c:v>
                </c:pt>
                <c:pt idx="1">
                  <c:v>B-PM</c:v>
                </c:pt>
              </c:strCache>
            </c:strRef>
          </c:cat>
          <c:val>
            <c:numRef>
              <c:f>Dashboard_View!$P$4:$P$5</c:f>
              <c:numCache>
                <c:formatCode>0.0%</c:formatCode>
                <c:ptCount val="2"/>
                <c:pt idx="0">
                  <c:v>0.80546517914618987</c:v>
                </c:pt>
                <c:pt idx="1">
                  <c:v>0.80908318770686505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4-4445-A096-55C516B46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69029"/>
        <c:axId val="59515628"/>
      </c:barChart>
      <c:catAx>
        <c:axId val="65569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15628"/>
        <c:crosses val="autoZero"/>
        <c:auto val="1"/>
        <c:lblAlgn val="ctr"/>
        <c:lblOffset val="100"/>
        <c:noMultiLvlLbl val="0"/>
      </c:catAx>
      <c:valAx>
        <c:axId val="59515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OEE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569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160560</xdr:rowOff>
    </xdr:from>
    <xdr:to>
      <xdr:col>4</xdr:col>
      <xdr:colOff>496080</xdr:colOff>
      <xdr:row>27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2</xdr:col>
      <xdr:colOff>513360</xdr:colOff>
      <xdr:row>45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30</xdr:row>
      <xdr:rowOff>160560</xdr:rowOff>
    </xdr:from>
    <xdr:to>
      <xdr:col>12</xdr:col>
      <xdr:colOff>559440</xdr:colOff>
      <xdr:row>45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30</xdr:row>
      <xdr:rowOff>160560</xdr:rowOff>
    </xdr:from>
    <xdr:to>
      <xdr:col>20</xdr:col>
      <xdr:colOff>322920</xdr:colOff>
      <xdr:row>45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A60D025-58F6-49FD-B33F-FC7F5D865614}" name="Fact_Production_Hourly" displayName="Fact_Production_Hourly" ref="A1:U337" totalsRowShown="0" headerRowDxfId="150" dataDxfId="148" headerRowBorderDxfId="149" tableBorderDxfId="147" totalsRowBorderDxfId="146">
  <autoFilter ref="A1:U337" xr:uid="{AA60D025-58F6-49FD-B33F-FC7F5D865614}"/>
  <tableColumns count="21">
    <tableColumn id="1" xr3:uid="{3AB57707-32D1-4435-B5E3-C490B2724D27}" name="ProdKey (PK)" dataDxfId="145"/>
    <tableColumn id="2" xr3:uid="{0EAD4799-6167-4D7F-B7E7-2D3994E02D23}" name="DateKey (FK)" dataDxfId="144"/>
    <tableColumn id="3" xr3:uid="{256E7035-315C-4482-AC44-FDC865077B3D}" name="HourKey (FK)" dataDxfId="143"/>
    <tableColumn id="4" xr3:uid="{D088E85D-DD0B-46BC-A085-74718FE7D45D}" name="MachineKey (FK)" dataDxfId="142"/>
    <tableColumn id="5" xr3:uid="{B69797A1-E569-4C21-A1B7-2CAF11DE83F5}" name="ShiftKey (FK)" dataDxfId="141"/>
    <tableColumn id="6" xr3:uid="{6DB4A44F-9469-4117-994C-D90DE57F59E4}" name="ProductKey (FK)" dataDxfId="140"/>
    <tableColumn id="7" xr3:uid="{D0B6CBB0-0AE5-4159-9853-8A8D78DE6FD9}" name="PlannedMinutes" dataDxfId="139"/>
    <tableColumn id="8" xr3:uid="{B2DFFFC6-75C9-471E-938E-56C9C97C25E5}" name="DowntimeMinutes" dataDxfId="138"/>
    <tableColumn id="9" xr3:uid="{318F395C-E526-440B-92D3-A31DDD503051}" name="OperatingMinutes" dataDxfId="137">
      <calculatedColumnFormula>G2-H2</calculatedColumnFormula>
    </tableColumn>
    <tableColumn id="10" xr3:uid="{9A343559-9FB8-4859-9E24-BD020B80E68E}" name="DesignCapacityUnits" dataDxfId="136">
      <calculatedColumnFormula>INDEX(Dim_Machine!$E$2:$E$8,MATCH(D2,Dim_Machine!$A$2:$A$8,0))*INDEX(Dim_Machine!$D$2:$D$8,MATCH(D2,Dim_Machine!$A$2:$A$8,0))*I2</calculatedColumnFormula>
    </tableColumn>
    <tableColumn id="11" xr3:uid="{0943FB97-8548-4D6F-A639-25966AFB155A}" name="ActualProductionUnits" dataDxfId="135"/>
    <tableColumn id="12" xr3:uid="{754B8D1D-20B1-4F34-BCD6-10290A0EC154}" name="ScrapUnits" dataDxfId="134"/>
    <tableColumn id="13" xr3:uid="{4FC1CD9C-25B4-4CBF-987E-D0FCDB52D856}" name="GoodUnits" dataDxfId="133">
      <calculatedColumnFormula>K2-L2</calculatedColumnFormula>
    </tableColumn>
    <tableColumn id="14" xr3:uid="{9E6DF27E-140A-49F6-8C5A-C208697FAB04}" name="EfficiencyPct" dataDxfId="132">
      <calculatedColumnFormula>IFERROR(K2/J2,0)</calculatedColumnFormula>
    </tableColumn>
    <tableColumn id="15" xr3:uid="{BC0854CB-D6B9-4821-99D0-1976F5EEE3AE}" name="Availability" dataDxfId="131">
      <calculatedColumnFormula>IFERROR(I2/G2,0)</calculatedColumnFormula>
    </tableColumn>
    <tableColumn id="16" xr3:uid="{55B7EA15-B6AD-43C9-B040-8751F5D54E3C}" name="Performance" dataDxfId="130">
      <calculatedColumnFormula>IFERROR((K2/I2)/(INDEX(Dim_Machine!$E$2:$E$8,MATCH(D2,Dim_Machine!$A$2:$A$8,0))*INDEX(Dim_Machine!$D$2:$D$8,MATCH(D2,Dim_Machine!$A$2:$A$8,0))),0)</calculatedColumnFormula>
    </tableColumn>
    <tableColumn id="17" xr3:uid="{DB295986-406F-4E88-A5C9-F35ACA54E02B}" name="QualityRate" dataDxfId="129">
      <calculatedColumnFormula>IFERROR(M2/K2,0)</calculatedColumnFormula>
    </tableColumn>
    <tableColumn id="18" xr3:uid="{9FE0E9A9-8C23-4FF2-9DBB-2B3550C2E9A1}" name="OEE" dataDxfId="128">
      <calculatedColumnFormula>O2*P2*Q2</calculatedColumnFormula>
    </tableColumn>
    <tableColumn id="19" xr3:uid="{E432C370-86D5-4D5A-8DCD-98833B1946E1}" name="MoltenGlassTons" dataDxfId="127"/>
    <tableColumn id="20" xr3:uid="{7E1D888D-ECCB-4E64-A103-843BFDADE0A5}" name="OutputTons" dataDxfId="126">
      <calculatedColumnFormula>M2*INDEX(Dim_Product!$C$2:$C$4,MATCH(F2,Dim_Product!$A$2:$A$4,0))/1000000</calculatedColumnFormula>
    </tableColumn>
    <tableColumn id="21" xr3:uid="{862D6796-98DF-4BB0-AF85-B72ADC8BAF23}" name="PackToMeltPct" dataDxfId="125">
      <calculatedColumnFormula>IFERROR(T2/S2,0)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41AB49-0191-4BE3-BCB1-104FF27EFDF1}" name="Fact_Quality_Sampling" displayName="Fact_Quality_Sampling" ref="A1:W337" totalsRowShown="0" headerRowDxfId="124" dataDxfId="122" headerRowBorderDxfId="123" tableBorderDxfId="121" totalsRowBorderDxfId="120">
  <autoFilter ref="A1:W337" xr:uid="{C241AB49-0191-4BE3-BCB1-104FF27EFDF1}"/>
  <tableColumns count="23">
    <tableColumn id="1" xr3:uid="{E43DD0DC-96EC-4237-8C9E-39B0D2F61D0D}" name="SampleKey (PK)" dataDxfId="119"/>
    <tableColumn id="2" xr3:uid="{30E4745F-663F-4669-BB2E-80F61BE972A8}" name="DateKey (FK)" dataDxfId="118">
      <calculatedColumnFormula>Fact_Production_Hourly!B2</calculatedColumnFormula>
    </tableColumn>
    <tableColumn id="3" xr3:uid="{38C07D54-A14A-4E5C-8CA1-B69E3CC6B477}" name="HourKey (FK)" dataDxfId="117">
      <calculatedColumnFormula>Fact_Production_Hourly!C2</calculatedColumnFormula>
    </tableColumn>
    <tableColumn id="4" xr3:uid="{36A56C08-B485-4E30-AFBA-6509F8382463}" name="MachineKey (FK)" dataDxfId="116">
      <calculatedColumnFormula>Fact_Production_Hourly!D2</calculatedColumnFormula>
    </tableColumn>
    <tableColumn id="5" xr3:uid="{959B3A07-77BE-43F4-903F-49B79C098BEC}" name="ShiftKey (FK)" dataDxfId="115">
      <calculatedColumnFormula>Fact_Production_Hourly!E2</calculatedColumnFormula>
    </tableColumn>
    <tableColumn id="6" xr3:uid="{3F4D4D10-F024-480C-AD9C-6384D980F73D}" name="ProductKey (FK)" dataDxfId="114">
      <calculatedColumnFormula>Fact_Production_Hourly!F2</calculatedColumnFormula>
    </tableColumn>
    <tableColumn id="7" xr3:uid="{B621C73B-7A14-4F81-BB66-5FB52BFCB165}" name="SampleSize" dataDxfId="113">
      <calculatedColumnFormula>INDEX(Dim_Machine!$D$2:$D$8,MATCH(D2,Dim_Machine!$A$2:$A$8,0))*2</calculatedColumnFormula>
    </tableColumn>
    <tableColumn id="8" xr3:uid="{F1355284-00A0-494D-9B19-905D20D0C00A}" name="DefectiveCount" dataDxfId="112"/>
    <tableColumn id="9" xr3:uid="{8A9859C7-A762-4CC7-973D-B53EF55D9C5C}" name="CriticalCount" dataDxfId="111">
      <calculatedColumnFormula>ROUND(H2*0.15,0)</calculatedColumnFormula>
    </tableColumn>
    <tableColumn id="10" xr3:uid="{F982E2F4-5C37-4BD3-91CF-3DF101B1850B}" name="MajorCount" dataDxfId="110">
      <calculatedColumnFormula>ROUND(H2*0.45,0)</calculatedColumnFormula>
    </tableColumn>
    <tableColumn id="11" xr3:uid="{82704F08-32EA-4B8E-9687-560CAF39CE5F}" name="MinorCount" dataDxfId="109">
      <calculatedColumnFormula>MAX(H2-I2-J2,0)</calculatedColumnFormula>
    </tableColumn>
    <tableColumn id="12" xr3:uid="{A53727B3-1BE8-464A-8823-2573259E1D3E}" name="TopDefectCode (FK)" dataDxfId="108"/>
    <tableColumn id="13" xr3:uid="{F0BE1F1D-4837-4A2A-B277-FAD5553C6E2A}" name="AvgWeight_g" dataDxfId="107"/>
    <tableColumn id="14" xr3:uid="{151A86D8-9C13-49D3-A89C-3EE43259C830}" name="WeightOK_Count" dataDxfId="106">
      <calculatedColumnFormula>IF(AND(M2&gt;=INDEX(Dim_Product!$C$2:$C$4,MATCH(F2,Dim_Product!$A$2:$A$4,0))-INDEX(Dim_Product!$D$2:$D$4,MATCH(F2,Dim_Product!$A$2:$A$4,0)),M2&lt;=INDEX(Dim_Product!$C$2:$C$4,MATCH(F2,Dim_Product!$A$2:$A$4,0))+INDEX(Dim_Product!$D$2:$D$4,MATCH(F2,Dim_Product!$A$2:$A$4,0))),G2-H2,G2-H2-1)</calculatedColumnFormula>
    </tableColumn>
    <tableColumn id="15" xr3:uid="{E159E457-8B2D-4209-96DD-FAE451513C5E}" name="WeightNotOK_Count" dataDxfId="105">
      <calculatedColumnFormula>G2-N2</calculatedColumnFormula>
    </tableColumn>
    <tableColumn id="16" xr3:uid="{EF7B51E5-6D2D-4828-B3FA-8B16F203076E}" name="AvgDiameter_mm" dataDxfId="104"/>
    <tableColumn id="17" xr3:uid="{C6DFC2E7-FC40-4180-9BB2-CBD5BE34802D}" name="DiameterOK_Count" dataDxfId="103">
      <calculatedColumnFormula>IF(AND(P2&gt;=INDEX(Dim_Product!$G$2:$G$4,MATCH(F2,Dim_Product!$A$2:$A$4,0))-INDEX(Dim_Product!$H$2:$H$4,MATCH(F2,Dim_Product!$A$2:$A$4,0)),P2&lt;=INDEX(Dim_Product!$G$2:$G$4,MATCH(F2,Dim_Product!$A$2:$A$4,0))+INDEX(Dim_Product!$H$2:$H$4,MATCH(F2,Dim_Product!$A$2:$A$4,0))),G2-H2,G2-H2-1)</calculatedColumnFormula>
    </tableColumn>
    <tableColumn id="18" xr3:uid="{B9AD7E5C-8AB6-4440-A643-FC56EF284A0D}" name="DiameterNotOK_Count" dataDxfId="102">
      <calculatedColumnFormula>G2-Q2</calculatedColumnFormula>
    </tableColumn>
    <tableColumn id="19" xr3:uid="{3079A204-1D5B-4A66-8754-B1AFC68E4EFC}" name="AvgHeight_mm" dataDxfId="101"/>
    <tableColumn id="20" xr3:uid="{9C239840-4C12-4653-870A-64430B912FEF}" name="HeightOK_Count" dataDxfId="100">
      <calculatedColumnFormula>IF(AND(S2&gt;=INDEX(Dim_Product!$K$2:$K$4,MATCH(F2,Dim_Product!$A$2:$A$4,0))-INDEX(Dim_Product!$L$2:$L$4,MATCH(F2,Dim_Product!$A$2:$A$4,0)),S2&lt;=INDEX(Dim_Product!$K$2:$K$4,MATCH(F2,Dim_Product!$A$2:$A$4,0))+INDEX(Dim_Product!$L$2:$L$4,MATCH(F2,Dim_Product!$A$2:$A$4,0))),G2-H2,G2-H2-1)</calculatedColumnFormula>
    </tableColumn>
    <tableColumn id="21" xr3:uid="{C9FC3C88-67EC-40AE-99BA-BBC61B5FC03E}" name="HeightNotOK_Count" dataDxfId="99">
      <calculatedColumnFormula>G2-T2</calculatedColumnFormula>
    </tableColumn>
    <tableColumn id="22" xr3:uid="{4D9E7BAB-89A5-45EC-812D-35E2E198F768}" name="DefectRatePct" dataDxfId="98">
      <calculatedColumnFormula>IFERROR(H2/G2,0)</calculatedColumnFormula>
    </tableColumn>
    <tableColumn id="23" xr3:uid="{CD3D5787-FD1A-48B9-B5A0-0EB4A540BCB9}" name="FPY_Pct" dataDxfId="97">
      <calculatedColumnFormula>1-V2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BF18C7-9EF0-4EA7-9647-7B3A92CCC37F}" name="Fact_Inspection" displayName="Fact_Inspection" ref="A1:O7" totalsRowShown="0" headerRowDxfId="96" dataDxfId="94" headerRowBorderDxfId="95" tableBorderDxfId="93" totalsRowBorderDxfId="92">
  <autoFilter ref="A1:O7" xr:uid="{0ABF18C7-9EF0-4EA7-9647-7B3A92CCC37F}"/>
  <tableColumns count="15">
    <tableColumn id="1" xr3:uid="{05845F26-E633-4836-A2C8-C598E5EB452E}" name="InspectionKey (PK)" dataDxfId="91"/>
    <tableColumn id="2" xr3:uid="{8EC3EC35-F4B4-4615-B5F1-8D90520B5A2B}" name="OrderNumber" dataDxfId="90"/>
    <tableColumn id="3" xr3:uid="{E593E78B-DF05-4113-A435-E7D7B92821F4}" name="CustomerKey (FK)" dataDxfId="89"/>
    <tableColumn id="4" xr3:uid="{AF9CFC05-3E57-4D5C-9B37-F6D61BCB6B8E}" name="InspectorKey (FK)" dataDxfId="88"/>
    <tableColumn id="5" xr3:uid="{66A0843A-50FB-4727-A84B-FE044E9BF9DB}" name="PalletNumber" dataDxfId="87"/>
    <tableColumn id="6" xr3:uid="{732F0E94-E098-4C3E-8A0F-9823357468B9}" name="ShiftKey (FK)" dataDxfId="86"/>
    <tableColumn id="7" xr3:uid="{09F872D9-7B65-4639-9987-BFF1689F8896}" name="DateKey (FK)" dataDxfId="85"/>
    <tableColumn id="8" xr3:uid="{BC38CDDD-75D2-476C-8079-91659E5EC58A}" name="ProductKey (FK)" dataDxfId="84"/>
    <tableColumn id="9" xr3:uid="{19D64F81-6F0D-43A9-B33A-5FD04B76546D}" name="TotalOrderQuantity" dataDxfId="83"/>
    <tableColumn id="10" xr3:uid="{3875A37E-BF27-4E21-892B-5C20052FC1A9}" name="InspectedQuantity" dataDxfId="82"/>
    <tableColumn id="11" xr3:uid="{25B4628A-53DB-4D19-BFAC-22DAF0FB30E8}" name="RejectedQuantity" dataDxfId="81"/>
    <tableColumn id="12" xr3:uid="{DBD91319-67AE-406A-BCA6-45E588D296D2}" name="AcceptedQuantity" dataDxfId="80">
      <calculatedColumnFormula>J2-K2</calculatedColumnFormula>
    </tableColumn>
    <tableColumn id="13" xr3:uid="{CC3AD50A-CCC8-42DD-B3D8-DB5E8C68C56B}" name="InspectionCoveragePct" dataDxfId="79">
      <calculatedColumnFormula>IFERROR(J2/I2,0)</calculatedColumnFormula>
    </tableColumn>
    <tableColumn id="14" xr3:uid="{94CF41B1-36F1-4581-AF61-1EDEEAC704B0}" name="OrderRejectRatePct" dataDxfId="78">
      <calculatedColumnFormula>IFERROR(K2/J2,0)</calculatedColumnFormula>
    </tableColumn>
    <tableColumn id="15" xr3:uid="{3F13E0B2-45E8-4775-9F3D-AB549392F908}" name="InspectionResult" dataDxfId="77">
      <calculatedColumnFormula>IF(N2&lt;=0.03,"Pass",IF(N2&lt;=0.06,"Pass-Warning","Fail"))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9AB694-A456-4C51-ADD5-E37CCA2244BD}" name="Dim_Date" displayName="Dim_Date" ref="A1:F3" totalsRowShown="0" headerRowDxfId="76" dataDxfId="74" headerRowBorderDxfId="75" tableBorderDxfId="73" totalsRowBorderDxfId="72">
  <autoFilter ref="A1:F3" xr:uid="{0D9AB694-A456-4C51-ADD5-E37CCA2244BD}"/>
  <tableColumns count="6">
    <tableColumn id="1" xr3:uid="{44B4A895-5474-40E9-9E1D-B92FF461BAF4}" name="DateKey (PK)" dataDxfId="71"/>
    <tableColumn id="2" xr3:uid="{85A5C3AB-2A50-4A53-BEBA-C5E5097D803D}" name="Date" dataDxfId="70"/>
    <tableColumn id="3" xr3:uid="{D9641600-91F7-47E6-8FE1-97F788600834}" name="DayName" dataDxfId="69"/>
    <tableColumn id="4" xr3:uid="{1A1E69C8-1E4F-4678-8AC2-493240FCE021}" name="WeekNumber" dataDxfId="68"/>
    <tableColumn id="5" xr3:uid="{C108F78D-DE8A-4A76-BC42-48DF85A3B41A}" name="MonthName" dataDxfId="67"/>
    <tableColumn id="6" xr3:uid="{54054C76-8970-49BB-A306-D0A1BE4AA968}" name="Year" dataDxfId="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1FEDB9-674C-4172-BB4A-FAE81D1C3208}" name="Dim_Time" displayName="Dim_Time" ref="A1:C25" totalsRowShown="0" headerRowDxfId="65" headerRowBorderDxfId="64" tableBorderDxfId="63" totalsRowBorderDxfId="62">
  <autoFilter ref="A1:C25" xr:uid="{0B1FEDB9-674C-4172-BB4A-FAE81D1C3208}"/>
  <tableColumns count="3">
    <tableColumn id="1" xr3:uid="{84D4CE24-D2A3-408C-B2A9-284976D42CE4}" name="HourKey (PK) 0-23" dataDxfId="61"/>
    <tableColumn id="2" xr3:uid="{D7C5606C-4FAB-43E8-93C5-1D56F78AB48C}" name="HourLabel" dataDxfId="60"/>
    <tableColumn id="3" xr3:uid="{B9EA2E36-03A9-4116-A85D-B8E609F04809}" name="ShiftType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19EA43-D2FA-461F-AE2C-01AD1C691C0A}" name="Dim_Machine" displayName="Dim_Machine" ref="A1:E8" totalsRowShown="0" headerRowDxfId="58" dataDxfId="56" headerRowBorderDxfId="57" tableBorderDxfId="55" totalsRowBorderDxfId="54">
  <autoFilter ref="A1:E8" xr:uid="{6B19EA43-D2FA-461F-AE2C-01AD1C691C0A}"/>
  <tableColumns count="5">
    <tableColumn id="1" xr3:uid="{9B3FCE50-C50A-4817-B598-FB4DA0DC396F}" name="MachineKey (PK)" dataDxfId="53"/>
    <tableColumn id="2" xr3:uid="{0F287BCD-D34E-4DC6-9066-52A4417044A9}" name="MachineName" dataDxfId="52"/>
    <tableColumn id="3" xr3:uid="{B3FE8A4F-D2BC-4718-9BED-710A069A2347}" name="MachineType" dataDxfId="51"/>
    <tableColumn id="4" xr3:uid="{F777322F-6E1F-445F-831A-50D530B2C6D9}" name="Forms" dataDxfId="50"/>
    <tableColumn id="5" xr3:uid="{AAE2A34B-35CB-42EA-B718-D1C660A98E80}" name="Speed_CyclesPerMin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866E62-4330-49E7-BC4B-50BC06BDEB3C}" name="Dim_Product" displayName="Dim_Product" ref="A1:N4" totalsRowShown="0" headerRowDxfId="48" dataDxfId="46" headerRowBorderDxfId="47" tableBorderDxfId="45" totalsRowBorderDxfId="44">
  <autoFilter ref="A1:N4" xr:uid="{AE866E62-4330-49E7-BC4B-50BC06BDEB3C}"/>
  <tableColumns count="14">
    <tableColumn id="1" xr3:uid="{E1510A8A-25FF-48BD-85E6-94774A7942B6}" name="ProductKey (PK)" dataDxfId="43"/>
    <tableColumn id="2" xr3:uid="{C38892CC-89D1-483A-B9ED-28DA12200FE5}" name="ProductName" dataDxfId="42"/>
    <tableColumn id="3" xr3:uid="{6CE5904C-F9A3-4219-AA4F-34431F5FE641}" name="DesignWeight_g" dataDxfId="41"/>
    <tableColumn id="4" xr3:uid="{E5034CCF-DAF1-4E53-8807-76D739736BA9}" name="WeightTolerance_g" dataDxfId="40"/>
    <tableColumn id="5" xr3:uid="{E8A43AD8-450D-4E8C-AACE-52D71A443E32}" name="WeightMin_g" dataDxfId="39">
      <calculatedColumnFormula>C2-D2</calculatedColumnFormula>
    </tableColumn>
    <tableColumn id="6" xr3:uid="{2702432C-B798-4ABB-BDC3-6829456D5FEF}" name="WeightMax_g" dataDxfId="38">
      <calculatedColumnFormula>C2+D2</calculatedColumnFormula>
    </tableColumn>
    <tableColumn id="7" xr3:uid="{43FBBA4E-1CC9-4429-86FE-D076E53202A8}" name="DesignDiameter_mm" dataDxfId="37"/>
    <tableColumn id="8" xr3:uid="{774AE7D7-26DA-48CB-B89A-912B73583126}" name="DiameterTolerance_mm" dataDxfId="36"/>
    <tableColumn id="9" xr3:uid="{17896D3B-EAD7-4C62-8FB8-D166D75D1BC8}" name="DiameterMin_mm" dataDxfId="35">
      <calculatedColumnFormula>G2-H2</calculatedColumnFormula>
    </tableColumn>
    <tableColumn id="10" xr3:uid="{A3AEAE7B-5898-46D7-8CB3-C586A0FD1057}" name="DiameterMax_mm" dataDxfId="34">
      <calculatedColumnFormula>G2+H2</calculatedColumnFormula>
    </tableColumn>
    <tableColumn id="11" xr3:uid="{D47EA145-F2A5-4C63-B1A0-0BAAFD71B4CA}" name="DesignHeight_mm" dataDxfId="33"/>
    <tableColumn id="12" xr3:uid="{2DBCBE0C-DD42-4BB8-B98C-3F748F4FF7D8}" name="HeightTolerance_mm" dataDxfId="32"/>
    <tableColumn id="13" xr3:uid="{C8DA4AA6-C68B-4227-80FE-06244540CCBF}" name="HeightMin_mm" dataDxfId="31">
      <calculatedColumnFormula>K2-L2</calculatedColumnFormula>
    </tableColumn>
    <tableColumn id="14" xr3:uid="{11B02811-36B1-40FD-B867-6B3BB6CBAE5D}" name="HeightMax_mm" dataDxfId="30">
      <calculatedColumnFormula>K2+L2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B64E4-6463-4C32-863A-513D2CA99ACD}" name="Dim_Shift" displayName="Dim_Shift" ref="A1:D7" totalsRowShown="0" headerRowDxfId="29" headerRowBorderDxfId="28" tableBorderDxfId="27" totalsRowBorderDxfId="26">
  <autoFilter ref="A1:D7" xr:uid="{57EB64E4-6463-4C32-863A-513D2CA99ACD}"/>
  <tableColumns count="4">
    <tableColumn id="1" xr3:uid="{5AFA87A7-70B9-42DC-A48D-E60BFD457F53}" name="ShiftKey (PK)" dataDxfId="25"/>
    <tableColumn id="2" xr3:uid="{1F85235D-D4F1-4F97-938F-5545690D9DC0}" name="Group" dataDxfId="24"/>
    <tableColumn id="3" xr3:uid="{830FA8AA-E665-4305-A072-A3C88F0F5BC7}" name="ShiftType" dataDxfId="23"/>
    <tableColumn id="4" xr3:uid="{870BB93F-CF92-4078-9ABD-8472EAF24365}" name="RotationWeek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2C68A-AFB8-416B-A76F-F2C79134A9B8}" name="Dim_Defect" displayName="Dim_Defect" ref="A1:C7" totalsRowShown="0" headerRowDxfId="21" headerRowBorderDxfId="20" tableBorderDxfId="19" totalsRowBorderDxfId="18">
  <autoFilter ref="A1:C7" xr:uid="{2272C68A-AFB8-416B-A76F-F2C79134A9B8}"/>
  <tableColumns count="3">
    <tableColumn id="1" xr3:uid="{6F776C6F-8E94-47B5-AEF1-F82A7CADC201}" name="DefectCode (PK)" dataDxfId="17"/>
    <tableColumn id="2" xr3:uid="{CB470C02-FDAD-4606-85EF-B7AE5CBEF946}" name="DefectName" dataDxfId="16"/>
    <tableColumn id="3" xr3:uid="{CABC21D9-4473-4B85-8E52-EC185DC2418E}" name="Classification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90285B-A941-4B72-9215-423B3937C937}" name="Dim_Inspector" displayName="Dim_Inspector" ref="A1:B4" totalsRowShown="0" headerRowDxfId="14" headerRowBorderDxfId="13" tableBorderDxfId="12" totalsRowBorderDxfId="11">
  <autoFilter ref="A1:B4" xr:uid="{A190285B-A941-4B72-9215-423B3937C937}"/>
  <tableColumns count="2">
    <tableColumn id="1" xr3:uid="{EEA50D26-454B-4C68-9C04-21EC1512C19E}" name="InspectorKey (PK)" dataDxfId="10"/>
    <tableColumn id="2" xr3:uid="{DFCB2067-7272-4B84-B0E7-461B2B8790D7}" name="InspectorName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8DD085-0181-41F1-A673-AC2D3A1D3EF7}" name="Dim_Customer" displayName="Dim_Customer" ref="A1:B6" totalsRowShown="0" headerRowDxfId="8" headerRowBorderDxfId="7" tableBorderDxfId="6" totalsRowBorderDxfId="5">
  <autoFilter ref="A1:B6" xr:uid="{178DD085-0181-41F1-A673-AC2D3A1D3EF7}"/>
  <tableColumns count="2">
    <tableColumn id="1" xr3:uid="{08E46C50-02C8-4657-B2CF-BB9D3E111BDB}" name="CustomerKey (PK)" dataDxfId="4"/>
    <tableColumn id="2" xr3:uid="{2E4628B5-A878-4DAD-BB43-E80931EEE3C7}" name="Customer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A13" zoomScaleNormal="100" workbookViewId="0"/>
  </sheetViews>
  <sheetFormatPr defaultColWidth="8.7109375" defaultRowHeight="15" x14ac:dyDescent="0.25"/>
  <cols>
    <col min="1" max="1" width="42" customWidth="1"/>
    <col min="2" max="3" width="12" customWidth="1"/>
    <col min="6" max="6" width="8" customWidth="1"/>
    <col min="7" max="7" width="16" customWidth="1"/>
    <col min="9" max="9" width="14" customWidth="1"/>
    <col min="10" max="10" width="12" customWidth="1"/>
    <col min="12" max="12" width="10" customWidth="1"/>
    <col min="13" max="13" width="14" customWidth="1"/>
    <col min="15" max="15" width="10" customWidth="1"/>
    <col min="16" max="16" width="12" customWidth="1"/>
  </cols>
  <sheetData>
    <row r="1" spans="1:16" ht="18" x14ac:dyDescent="0.25">
      <c r="A1" s="1" t="s">
        <v>0</v>
      </c>
    </row>
    <row r="2" spans="1:16" x14ac:dyDescent="0.25">
      <c r="A2" s="2" t="s">
        <v>1</v>
      </c>
    </row>
    <row r="3" spans="1:16" x14ac:dyDescent="0.25">
      <c r="A3" s="3" t="s">
        <v>2</v>
      </c>
      <c r="B3" s="3" t="s">
        <v>3</v>
      </c>
      <c r="C3" s="3" t="s">
        <v>4</v>
      </c>
      <c r="F3" s="3" t="s">
        <v>5</v>
      </c>
      <c r="G3" s="3" t="s">
        <v>6</v>
      </c>
      <c r="I3" s="3" t="s">
        <v>7</v>
      </c>
      <c r="J3" s="3" t="s">
        <v>8</v>
      </c>
      <c r="L3" s="3" t="s">
        <v>9</v>
      </c>
      <c r="M3" s="3" t="s">
        <v>10</v>
      </c>
      <c r="O3" s="3" t="s">
        <v>11</v>
      </c>
      <c r="P3" s="3" t="s">
        <v>12</v>
      </c>
    </row>
    <row r="4" spans="1:16" x14ac:dyDescent="0.25">
      <c r="A4" s="4" t="s">
        <v>13</v>
      </c>
      <c r="B4" s="5">
        <f>AVERAGE(Fact_Production_Hourly!$O$2:$O$337)*AVERAGE(Fact_Production_Hourly!$P$2:$P$337)*AVERAGE(Fact_Production_Hourly!$Q$2:$Q$337)</f>
        <v>0.80742922164801156</v>
      </c>
      <c r="C4" s="6" t="str">
        <f>IF(B4&gt;=0.85,"GOOD",IF(B4&gt;=0.7,"WARNING","BAD"))</f>
        <v>WARNING</v>
      </c>
      <c r="F4" s="7">
        <v>0</v>
      </c>
      <c r="G4" s="7">
        <f>SUMIFS(Fact_Production_Hourly!$K$2:$K$337,Fact_Production_Hourly!$C$2:$C$337,F4)</f>
        <v>326024</v>
      </c>
      <c r="I4" s="7" t="s">
        <v>14</v>
      </c>
      <c r="J4" s="7">
        <f>SUM(Fact_Quality_Sampling!$I$2:$I$337)</f>
        <v>0</v>
      </c>
      <c r="L4" s="7" t="s">
        <v>15</v>
      </c>
      <c r="M4" s="8">
        <f>SUMIFS(Fact_Production_Hourly!$K$2:$K$337,Fact_Production_Hourly!$D$2:$D$337,L4)/SUMIFS(Fact_Production_Hourly!$J$2:$J$337,Fact_Production_Hourly!$D$2:$D$337,L4)</f>
        <v>0.89125037307864496</v>
      </c>
      <c r="O4" s="7" t="s">
        <v>16</v>
      </c>
      <c r="P4" s="8">
        <f>AVERAGEIFS(Fact_Production_Hourly!$R$2:$R$337,Fact_Production_Hourly!$E$2:$E$337,O4)</f>
        <v>0.80546517914618987</v>
      </c>
    </row>
    <row r="5" spans="1:16" x14ac:dyDescent="0.25">
      <c r="A5" s="4" t="s">
        <v>17</v>
      </c>
      <c r="B5" s="5">
        <f>SUM(Fact_Production_Hourly!$K$2:$K$337)/SUM(Fact_Production_Hourly!$J$2:$J$337)</f>
        <v>0.88321675553782741</v>
      </c>
      <c r="C5" s="6" t="str">
        <f>IF(B5&gt;=0.9,"GOOD",IF(B5&gt;=0.8,"WARNING","BAD"))</f>
        <v>WARNING</v>
      </c>
      <c r="F5" s="7">
        <v>1</v>
      </c>
      <c r="G5" s="7">
        <f>SUMIFS(Fact_Production_Hourly!$K$2:$K$337,Fact_Production_Hourly!$C$2:$C$337,F5)</f>
        <v>336188</v>
      </c>
      <c r="I5" s="7" t="s">
        <v>18</v>
      </c>
      <c r="J5" s="7">
        <f>SUM(Fact_Quality_Sampling!$J$2:$J$337)</f>
        <v>140</v>
      </c>
      <c r="L5" s="7" t="s">
        <v>19</v>
      </c>
      <c r="M5" s="8">
        <f>SUMIFS(Fact_Production_Hourly!$K$2:$K$337,Fact_Production_Hourly!$D$2:$D$337,L5)/SUMIFS(Fact_Production_Hourly!$J$2:$J$337,Fact_Production_Hourly!$D$2:$D$337,L5)</f>
        <v>0.87869705357922157</v>
      </c>
      <c r="O5" s="7" t="s">
        <v>20</v>
      </c>
      <c r="P5" s="8">
        <f>AVERAGEIFS(Fact_Production_Hourly!$R$2:$R$337,Fact_Production_Hourly!$E$2:$E$337,O5)</f>
        <v>0.80908318770686505</v>
      </c>
    </row>
    <row r="6" spans="1:16" x14ac:dyDescent="0.25">
      <c r="A6" s="4" t="s">
        <v>21</v>
      </c>
      <c r="B6" s="5">
        <f>SUM(Fact_Production_Hourly!$T$2:$T$337)/SUM(Fact_Production_Hourly!$S$2:$S$337)</f>
        <v>0.87151259216291388</v>
      </c>
      <c r="C6" s="6" t="str">
        <f>IF(B6&gt;=0.85,"GOOD",IF(B6&gt;=0.75,"WARNING","BAD"))</f>
        <v>GOOD</v>
      </c>
      <c r="F6" s="7">
        <v>2</v>
      </c>
      <c r="G6" s="7">
        <f>SUMIFS(Fact_Production_Hourly!$K$2:$K$337,Fact_Production_Hourly!$C$2:$C$337,F6)</f>
        <v>343981</v>
      </c>
      <c r="I6" s="7" t="s">
        <v>22</v>
      </c>
      <c r="J6" s="7">
        <f>SUM(Fact_Quality_Sampling!$K$2:$K$337)</f>
        <v>355</v>
      </c>
      <c r="L6" s="7" t="s">
        <v>23</v>
      </c>
      <c r="M6" s="8">
        <f>SUMIFS(Fact_Production_Hourly!$K$2:$K$337,Fact_Production_Hourly!$D$2:$D$337,L6)/SUMIFS(Fact_Production_Hourly!$J$2:$J$337,Fact_Production_Hourly!$D$2:$D$337,L6)</f>
        <v>0.87900670353667787</v>
      </c>
    </row>
    <row r="7" spans="1:16" x14ac:dyDescent="0.25">
      <c r="A7" s="4" t="s">
        <v>24</v>
      </c>
      <c r="B7" s="5">
        <f>1-SUM(Fact_Quality_Sampling!$H$2:$H$337)/SUM(Fact_Quality_Sampling!$G$2:$G$337)</f>
        <v>0.959716796875</v>
      </c>
      <c r="C7" s="6" t="str">
        <f>IF(B7&gt;=0.95,"GOOD",IF(B7&gt;=0.9,"WARNING","BAD"))</f>
        <v>GOOD</v>
      </c>
      <c r="F7" s="7">
        <v>3</v>
      </c>
      <c r="G7" s="7">
        <f>SUMIFS(Fact_Production_Hourly!$K$2:$K$337,Fact_Production_Hourly!$C$2:$C$337,F7)</f>
        <v>344793</v>
      </c>
      <c r="L7" s="7" t="s">
        <v>25</v>
      </c>
      <c r="M7" s="8">
        <f>SUMIFS(Fact_Production_Hourly!$K$2:$K$337,Fact_Production_Hourly!$D$2:$D$337,L7)/SUMIFS(Fact_Production_Hourly!$J$2:$J$337,Fact_Production_Hourly!$D$2:$D$337,L7)</f>
        <v>0.8885661565112164</v>
      </c>
    </row>
    <row r="8" spans="1:16" x14ac:dyDescent="0.25">
      <c r="A8" s="4" t="s">
        <v>26</v>
      </c>
      <c r="B8" s="5">
        <f>SUM(Fact_Quality_Sampling!$H$2:$H$337)/SUM(Fact_Quality_Sampling!$G$2:$G$337)</f>
        <v>4.0283203125E-2</v>
      </c>
      <c r="C8" s="6" t="str">
        <f>IF(B8&lt;=0.03,"GOOD",IF(B8&lt;=0.06,"WARNING","BAD"))</f>
        <v>WARNING</v>
      </c>
      <c r="F8" s="7">
        <v>4</v>
      </c>
      <c r="G8" s="7">
        <f>SUMIFS(Fact_Production_Hourly!$K$2:$K$337,Fact_Production_Hourly!$C$2:$C$337,F8)</f>
        <v>340542</v>
      </c>
      <c r="L8" s="7" t="s">
        <v>27</v>
      </c>
      <c r="M8" s="8">
        <f>SUMIFS(Fact_Production_Hourly!$K$2:$K$337,Fact_Production_Hourly!$D$2:$D$337,L8)/SUMIFS(Fact_Production_Hourly!$J$2:$J$337,Fact_Production_Hourly!$D$2:$D$337,L8)</f>
        <v>0.87020595382573773</v>
      </c>
    </row>
    <row r="9" spans="1:16" x14ac:dyDescent="0.25">
      <c r="A9" s="4" t="s">
        <v>28</v>
      </c>
      <c r="B9" s="5">
        <f>SUM(Fact_Quality_Sampling!$I$2:$I$337)/SUM(Fact_Quality_Sampling!$H$2:$H$337)</f>
        <v>0</v>
      </c>
      <c r="C9" s="6"/>
      <c r="F9" s="7">
        <v>5</v>
      </c>
      <c r="G9" s="7">
        <f>SUMIFS(Fact_Production_Hourly!$K$2:$K$337,Fact_Production_Hourly!$C$2:$C$337,F9)</f>
        <v>329757</v>
      </c>
      <c r="L9" s="7" t="s">
        <v>29</v>
      </c>
      <c r="M9" s="8">
        <f>SUMIFS(Fact_Production_Hourly!$K$2:$K$337,Fact_Production_Hourly!$D$2:$D$337,L9)/SUMIFS(Fact_Production_Hourly!$J$2:$J$337,Fact_Production_Hourly!$D$2:$D$337,L9)</f>
        <v>0.88578062450785133</v>
      </c>
    </row>
    <row r="10" spans="1:16" x14ac:dyDescent="0.25">
      <c r="A10" s="4" t="s">
        <v>30</v>
      </c>
      <c r="B10" s="5">
        <f>SUM(Fact_Quality_Sampling!$J$2:$J$337)/SUM(Fact_Quality_Sampling!$H$2:$H$337)</f>
        <v>0.28282828282828282</v>
      </c>
      <c r="C10" s="6"/>
      <c r="F10" s="7">
        <v>6</v>
      </c>
      <c r="G10" s="7">
        <f>SUMIFS(Fact_Production_Hourly!$K$2:$K$337,Fact_Production_Hourly!$C$2:$C$337,F10)</f>
        <v>327997</v>
      </c>
      <c r="L10" s="7" t="s">
        <v>31</v>
      </c>
      <c r="M10" s="8">
        <f>SUMIFS(Fact_Production_Hourly!$K$2:$K$337,Fact_Production_Hourly!$D$2:$D$337,L10)/SUMIFS(Fact_Production_Hourly!$J$2:$J$337,Fact_Production_Hourly!$D$2:$D$337,L10)</f>
        <v>0.88604283404586048</v>
      </c>
    </row>
    <row r="11" spans="1:16" x14ac:dyDescent="0.25">
      <c r="A11" s="4" t="s">
        <v>32</v>
      </c>
      <c r="B11" s="5">
        <f>SUM(Fact_Quality_Sampling!$K$2:$K$337)/SUM(Fact_Quality_Sampling!$H$2:$H$337)</f>
        <v>0.71717171717171713</v>
      </c>
      <c r="C11" s="6"/>
      <c r="F11" s="7">
        <v>7</v>
      </c>
      <c r="G11" s="7">
        <f>SUMIFS(Fact_Production_Hourly!$K$2:$K$337,Fact_Production_Hourly!$C$2:$C$337,F11)</f>
        <v>342391</v>
      </c>
    </row>
    <row r="12" spans="1:16" x14ac:dyDescent="0.25">
      <c r="F12" s="7">
        <v>8</v>
      </c>
      <c r="G12" s="7">
        <f>SUMIFS(Fact_Production_Hourly!$K$2:$K$337,Fact_Production_Hourly!$C$2:$C$337,F12)</f>
        <v>332231</v>
      </c>
    </row>
    <row r="13" spans="1:16" x14ac:dyDescent="0.25">
      <c r="F13" s="7">
        <v>9</v>
      </c>
      <c r="G13" s="7">
        <f>SUMIFS(Fact_Production_Hourly!$K$2:$K$337,Fact_Production_Hourly!$C$2:$C$337,F13)</f>
        <v>344261</v>
      </c>
    </row>
    <row r="14" spans="1:16" x14ac:dyDescent="0.25">
      <c r="F14" s="7">
        <v>10</v>
      </c>
      <c r="G14" s="7">
        <f>SUMIFS(Fact_Production_Hourly!$K$2:$K$337,Fact_Production_Hourly!$C$2:$C$337,F14)</f>
        <v>336146</v>
      </c>
    </row>
    <row r="15" spans="1:16" x14ac:dyDescent="0.25">
      <c r="F15" s="7">
        <v>11</v>
      </c>
      <c r="G15" s="7">
        <f>SUMIFS(Fact_Production_Hourly!$K$2:$K$337,Fact_Production_Hourly!$C$2:$C$337,F15)</f>
        <v>339673</v>
      </c>
    </row>
    <row r="16" spans="1:16" x14ac:dyDescent="0.25">
      <c r="F16" s="7">
        <v>12</v>
      </c>
      <c r="G16" s="7">
        <f>SUMIFS(Fact_Production_Hourly!$K$2:$K$337,Fact_Production_Hourly!$C$2:$C$337,F16)</f>
        <v>341599</v>
      </c>
    </row>
    <row r="17" spans="6:7" x14ac:dyDescent="0.25">
      <c r="F17" s="7">
        <v>13</v>
      </c>
      <c r="G17" s="7">
        <f>SUMIFS(Fact_Production_Hourly!$K$2:$K$337,Fact_Production_Hourly!$C$2:$C$337,F17)</f>
        <v>345543</v>
      </c>
    </row>
    <row r="18" spans="6:7" x14ac:dyDescent="0.25">
      <c r="F18" s="7">
        <v>14</v>
      </c>
      <c r="G18" s="7">
        <f>SUMIFS(Fact_Production_Hourly!$K$2:$K$337,Fact_Production_Hourly!$C$2:$C$337,F18)</f>
        <v>319429</v>
      </c>
    </row>
    <row r="19" spans="6:7" x14ac:dyDescent="0.25">
      <c r="F19" s="7">
        <v>15</v>
      </c>
      <c r="G19" s="7">
        <f>SUMIFS(Fact_Production_Hourly!$K$2:$K$337,Fact_Production_Hourly!$C$2:$C$337,F19)</f>
        <v>339712</v>
      </c>
    </row>
    <row r="20" spans="6:7" x14ac:dyDescent="0.25">
      <c r="F20" s="7">
        <v>16</v>
      </c>
      <c r="G20" s="7">
        <f>SUMIFS(Fact_Production_Hourly!$K$2:$K$337,Fact_Production_Hourly!$C$2:$C$337,F20)</f>
        <v>330608</v>
      </c>
    </row>
    <row r="21" spans="6:7" x14ac:dyDescent="0.25">
      <c r="F21" s="7">
        <v>17</v>
      </c>
      <c r="G21" s="7">
        <f>SUMIFS(Fact_Production_Hourly!$K$2:$K$337,Fact_Production_Hourly!$C$2:$C$337,F21)</f>
        <v>328956</v>
      </c>
    </row>
    <row r="22" spans="6:7" x14ac:dyDescent="0.25">
      <c r="F22" s="7">
        <v>18</v>
      </c>
      <c r="G22" s="7">
        <f>SUMIFS(Fact_Production_Hourly!$K$2:$K$337,Fact_Production_Hourly!$C$2:$C$337,F22)</f>
        <v>341672</v>
      </c>
    </row>
    <row r="23" spans="6:7" x14ac:dyDescent="0.25">
      <c r="F23" s="7">
        <v>19</v>
      </c>
      <c r="G23" s="7">
        <f>SUMIFS(Fact_Production_Hourly!$K$2:$K$337,Fact_Production_Hourly!$C$2:$C$337,F23)</f>
        <v>338998</v>
      </c>
    </row>
    <row r="24" spans="6:7" x14ac:dyDescent="0.25">
      <c r="F24" s="7">
        <v>20</v>
      </c>
      <c r="G24" s="7">
        <f>SUMIFS(Fact_Production_Hourly!$K$2:$K$337,Fact_Production_Hourly!$C$2:$C$337,F24)</f>
        <v>338975</v>
      </c>
    </row>
    <row r="25" spans="6:7" x14ac:dyDescent="0.25">
      <c r="F25" s="7">
        <v>21</v>
      </c>
      <c r="G25" s="7">
        <f>SUMIFS(Fact_Production_Hourly!$K$2:$K$337,Fact_Production_Hourly!$C$2:$C$337,F25)</f>
        <v>334179</v>
      </c>
    </row>
    <row r="26" spans="6:7" x14ac:dyDescent="0.25">
      <c r="F26" s="7">
        <v>22</v>
      </c>
      <c r="G26" s="7">
        <f>SUMIFS(Fact_Production_Hourly!$K$2:$K$337,Fact_Production_Hourly!$C$2:$C$337,F26)</f>
        <v>327882</v>
      </c>
    </row>
    <row r="27" spans="6:7" x14ac:dyDescent="0.25">
      <c r="F27" s="7">
        <v>23</v>
      </c>
      <c r="G27" s="7">
        <f>SUMIFS(Fact_Production_Hourly!$K$2:$K$337,Fact_Production_Hourly!$C$2:$C$337,F27)</f>
        <v>346208</v>
      </c>
    </row>
  </sheetData>
  <conditionalFormatting sqref="C4:C8">
    <cfRule type="cellIs" dxfId="2" priority="2" operator="equal">
      <formula>"GOOD"</formula>
    </cfRule>
    <cfRule type="cellIs" dxfId="1" priority="3" operator="equal">
      <formula>"WARNING"</formula>
    </cfRule>
    <cfRule type="cellIs" dxfId="0" priority="4" operator="equal">
      <formula>"BAD"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4" width="14" customWidth="1"/>
    <col min="5" max="6" width="48" customWidth="1"/>
  </cols>
  <sheetData>
    <row r="1" spans="1:6" ht="18" x14ac:dyDescent="0.25">
      <c r="A1" s="1" t="s">
        <v>33</v>
      </c>
    </row>
    <row r="3" spans="1:6" ht="30" customHeight="1" x14ac:dyDescent="0.25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</row>
    <row r="4" spans="1:6" ht="45" customHeight="1" x14ac:dyDescent="0.25">
      <c r="A4" s="4" t="s">
        <v>40</v>
      </c>
      <c r="B4" s="10" t="s">
        <v>41</v>
      </c>
      <c r="C4" s="11" t="s">
        <v>42</v>
      </c>
      <c r="D4" s="12" t="s">
        <v>43</v>
      </c>
      <c r="E4" s="13" t="s">
        <v>44</v>
      </c>
      <c r="F4" s="13" t="s">
        <v>45</v>
      </c>
    </row>
    <row r="5" spans="1:6" ht="45" customHeight="1" x14ac:dyDescent="0.25">
      <c r="A5" s="4" t="s">
        <v>46</v>
      </c>
      <c r="B5" s="10" t="s">
        <v>47</v>
      </c>
      <c r="C5" s="11" t="s">
        <v>48</v>
      </c>
      <c r="D5" s="12" t="s">
        <v>49</v>
      </c>
      <c r="E5" s="13" t="s">
        <v>50</v>
      </c>
      <c r="F5" s="13" t="s">
        <v>51</v>
      </c>
    </row>
    <row r="6" spans="1:6" ht="45" customHeight="1" x14ac:dyDescent="0.25">
      <c r="A6" s="4" t="s">
        <v>52</v>
      </c>
      <c r="B6" s="10" t="s">
        <v>41</v>
      </c>
      <c r="C6" s="11" t="s">
        <v>53</v>
      </c>
      <c r="D6" s="12" t="s">
        <v>54</v>
      </c>
      <c r="E6" s="13" t="s">
        <v>55</v>
      </c>
      <c r="F6" s="13" t="s">
        <v>56</v>
      </c>
    </row>
    <row r="7" spans="1:6" ht="45" customHeight="1" x14ac:dyDescent="0.25">
      <c r="A7" s="4" t="s">
        <v>24</v>
      </c>
      <c r="B7" s="10" t="s">
        <v>57</v>
      </c>
      <c r="C7" s="11" t="s">
        <v>58</v>
      </c>
      <c r="D7" s="12" t="s">
        <v>59</v>
      </c>
      <c r="E7" s="13" t="s">
        <v>60</v>
      </c>
      <c r="F7" s="13" t="s">
        <v>61</v>
      </c>
    </row>
    <row r="8" spans="1:6" ht="45" customHeight="1" x14ac:dyDescent="0.25">
      <c r="A8" s="4" t="s">
        <v>26</v>
      </c>
      <c r="B8" s="10" t="s">
        <v>62</v>
      </c>
      <c r="C8" s="11" t="s">
        <v>63</v>
      </c>
      <c r="D8" s="12" t="s">
        <v>64</v>
      </c>
      <c r="E8" s="13" t="s">
        <v>65</v>
      </c>
      <c r="F8" s="13" t="s">
        <v>66</v>
      </c>
    </row>
    <row r="9" spans="1:6" ht="45" customHeight="1" x14ac:dyDescent="0.25">
      <c r="A9" s="4" t="s">
        <v>67</v>
      </c>
      <c r="B9" s="10" t="s">
        <v>68</v>
      </c>
      <c r="C9" s="11" t="s">
        <v>69</v>
      </c>
      <c r="D9" s="12" t="s">
        <v>70</v>
      </c>
      <c r="E9" s="13" t="s">
        <v>71</v>
      </c>
      <c r="F9" s="13" t="s">
        <v>72</v>
      </c>
    </row>
    <row r="10" spans="1:6" ht="45" customHeight="1" x14ac:dyDescent="0.25">
      <c r="A10" s="4" t="s">
        <v>73</v>
      </c>
      <c r="B10" s="10" t="s">
        <v>74</v>
      </c>
      <c r="C10" s="11" t="s">
        <v>75</v>
      </c>
      <c r="D10" s="12" t="s">
        <v>76</v>
      </c>
      <c r="E10" s="13" t="s">
        <v>77</v>
      </c>
      <c r="F10" s="13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3" width="60" customWidth="1"/>
  </cols>
  <sheetData>
    <row r="1" spans="1:3" ht="18" x14ac:dyDescent="0.25">
      <c r="A1" s="1" t="s">
        <v>79</v>
      </c>
    </row>
    <row r="3" spans="1:3" ht="30" customHeight="1" x14ac:dyDescent="0.25">
      <c r="A3" s="9" t="s">
        <v>80</v>
      </c>
      <c r="B3" s="9" t="s">
        <v>81</v>
      </c>
      <c r="C3" s="9" t="s">
        <v>82</v>
      </c>
    </row>
    <row r="4" spans="1:3" ht="45" customHeight="1" x14ac:dyDescent="0.25">
      <c r="A4" s="4" t="s">
        <v>83</v>
      </c>
      <c r="B4" s="13" t="s">
        <v>84</v>
      </c>
      <c r="C4" s="13" t="s">
        <v>85</v>
      </c>
    </row>
    <row r="5" spans="1:3" ht="45" customHeight="1" x14ac:dyDescent="0.25">
      <c r="A5" s="4" t="s">
        <v>86</v>
      </c>
      <c r="B5" s="13" t="s">
        <v>87</v>
      </c>
      <c r="C5" s="13" t="s">
        <v>88</v>
      </c>
    </row>
    <row r="6" spans="1:3" ht="45" customHeight="1" x14ac:dyDescent="0.25">
      <c r="A6" s="4" t="s">
        <v>89</v>
      </c>
      <c r="B6" s="13" t="s">
        <v>90</v>
      </c>
      <c r="C6" s="13" t="s">
        <v>91</v>
      </c>
    </row>
    <row r="7" spans="1:3" ht="45" customHeight="1" x14ac:dyDescent="0.25">
      <c r="A7" s="4" t="s">
        <v>92</v>
      </c>
      <c r="B7" s="13" t="s">
        <v>93</v>
      </c>
      <c r="C7" s="13" t="s">
        <v>94</v>
      </c>
    </row>
    <row r="8" spans="1:3" ht="45" customHeight="1" x14ac:dyDescent="0.25">
      <c r="A8" s="4" t="s">
        <v>95</v>
      </c>
      <c r="B8" s="13" t="s">
        <v>96</v>
      </c>
      <c r="C8" s="13" t="s">
        <v>97</v>
      </c>
    </row>
    <row r="9" spans="1:3" ht="45" customHeight="1" x14ac:dyDescent="0.25">
      <c r="A9" s="4" t="s">
        <v>98</v>
      </c>
      <c r="B9" s="13" t="s">
        <v>99</v>
      </c>
      <c r="C9" s="13" t="s">
        <v>100</v>
      </c>
    </row>
    <row r="10" spans="1:3" ht="45" customHeight="1" x14ac:dyDescent="0.25">
      <c r="A10" s="4" t="s">
        <v>101</v>
      </c>
      <c r="B10" s="13" t="s">
        <v>102</v>
      </c>
      <c r="C10" s="13" t="s">
        <v>103</v>
      </c>
    </row>
    <row r="11" spans="1:3" ht="45" customHeight="1" x14ac:dyDescent="0.25">
      <c r="A11" s="4" t="s">
        <v>104</v>
      </c>
      <c r="B11" s="13" t="s">
        <v>105</v>
      </c>
      <c r="C11" s="13" t="s">
        <v>106</v>
      </c>
    </row>
    <row r="12" spans="1:3" ht="45" customHeight="1" x14ac:dyDescent="0.25">
      <c r="A12" s="4" t="s">
        <v>107</v>
      </c>
      <c r="B12" s="13" t="s">
        <v>108</v>
      </c>
      <c r="C12" s="13" t="s">
        <v>109</v>
      </c>
    </row>
    <row r="13" spans="1:3" ht="45" customHeight="1" x14ac:dyDescent="0.25">
      <c r="A13" s="4" t="s">
        <v>110</v>
      </c>
      <c r="B13" s="13" t="s">
        <v>111</v>
      </c>
      <c r="C13" s="13" t="s">
        <v>112</v>
      </c>
    </row>
    <row r="14" spans="1:3" ht="45" customHeight="1" x14ac:dyDescent="0.25">
      <c r="A14" s="4" t="s">
        <v>113</v>
      </c>
      <c r="B14" s="13" t="s">
        <v>114</v>
      </c>
      <c r="C14" s="13" t="s">
        <v>115</v>
      </c>
    </row>
    <row r="16" spans="1:3" ht="15.75" x14ac:dyDescent="0.25">
      <c r="A16" s="14" t="s">
        <v>116</v>
      </c>
    </row>
    <row r="17" spans="1:3" ht="30" customHeight="1" x14ac:dyDescent="0.25">
      <c r="A17" s="23" t="s">
        <v>117</v>
      </c>
      <c r="B17" s="23"/>
      <c r="C17" s="23"/>
    </row>
    <row r="18" spans="1:3" ht="30" customHeight="1" x14ac:dyDescent="0.25">
      <c r="A18" s="23" t="s">
        <v>118</v>
      </c>
      <c r="B18" s="23"/>
      <c r="C18" s="23"/>
    </row>
    <row r="19" spans="1:3" ht="30" customHeight="1" x14ac:dyDescent="0.25">
      <c r="A19" s="23" t="s">
        <v>119</v>
      </c>
      <c r="B19" s="23"/>
      <c r="C19" s="23"/>
    </row>
    <row r="20" spans="1:3" ht="30" customHeight="1" x14ac:dyDescent="0.25">
      <c r="A20" s="23" t="s">
        <v>120</v>
      </c>
      <c r="B20" s="23"/>
      <c r="C20" s="23"/>
    </row>
  </sheetData>
  <mergeCells count="4">
    <mergeCell ref="A17:C17"/>
    <mergeCell ref="A18:C18"/>
    <mergeCell ref="A19:C19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37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X25" sqref="X25"/>
    </sheetView>
  </sheetViews>
  <sheetFormatPr defaultColWidth="8.7109375" defaultRowHeight="15" x14ac:dyDescent="0.25"/>
  <cols>
    <col min="1" max="1" width="15.140625" customWidth="1"/>
    <col min="2" max="2" width="14.85546875" customWidth="1"/>
    <col min="3" max="3" width="15" customWidth="1"/>
    <col min="4" max="4" width="18.42578125" customWidth="1"/>
    <col min="5" max="5" width="15" customWidth="1"/>
    <col min="6" max="7" width="17.7109375" customWidth="1"/>
    <col min="8" max="8" width="19.28515625" customWidth="1"/>
    <col min="9" max="9" width="19.140625" customWidth="1"/>
    <col min="10" max="10" width="21.5703125" customWidth="1"/>
    <col min="11" max="11" width="23.140625" customWidth="1"/>
    <col min="12" max="13" width="13" customWidth="1"/>
    <col min="14" max="14" width="15" customWidth="1"/>
    <col min="15" max="15" width="14" customWidth="1"/>
    <col min="16" max="16" width="14.85546875" customWidth="1"/>
    <col min="17" max="17" width="13.7109375" customWidth="1"/>
    <col min="18" max="18" width="13" customWidth="1"/>
    <col min="19" max="19" width="18.42578125" customWidth="1"/>
    <col min="20" max="20" width="13.42578125" customWidth="1"/>
    <col min="21" max="21" width="16.5703125" customWidth="1"/>
  </cols>
  <sheetData>
    <row r="1" spans="1:21" ht="30" customHeight="1" x14ac:dyDescent="0.25">
      <c r="A1" s="17" t="s">
        <v>121</v>
      </c>
      <c r="B1" s="18" t="s">
        <v>122</v>
      </c>
      <c r="C1" s="18" t="s">
        <v>123</v>
      </c>
      <c r="D1" s="18" t="s">
        <v>124</v>
      </c>
      <c r="E1" s="18" t="s">
        <v>125</v>
      </c>
      <c r="F1" s="18" t="s">
        <v>126</v>
      </c>
      <c r="G1" s="18" t="s">
        <v>127</v>
      </c>
      <c r="H1" s="18" t="s">
        <v>128</v>
      </c>
      <c r="I1" s="18" t="s">
        <v>129</v>
      </c>
      <c r="J1" s="18" t="s">
        <v>130</v>
      </c>
      <c r="K1" s="18" t="s">
        <v>131</v>
      </c>
      <c r="L1" s="18" t="s">
        <v>132</v>
      </c>
      <c r="M1" s="18" t="s">
        <v>133</v>
      </c>
      <c r="N1" s="18" t="s">
        <v>10</v>
      </c>
      <c r="O1" s="18" t="s">
        <v>134</v>
      </c>
      <c r="P1" s="18" t="s">
        <v>135</v>
      </c>
      <c r="Q1" s="18" t="s">
        <v>136</v>
      </c>
      <c r="R1" s="18" t="s">
        <v>40</v>
      </c>
      <c r="S1" s="18" t="s">
        <v>137</v>
      </c>
      <c r="T1" s="18" t="s">
        <v>138</v>
      </c>
      <c r="U1" s="19" t="s">
        <v>139</v>
      </c>
    </row>
    <row r="2" spans="1:21" x14ac:dyDescent="0.25">
      <c r="A2" s="15" t="s">
        <v>140</v>
      </c>
      <c r="B2" s="4">
        <v>20260701</v>
      </c>
      <c r="C2" s="4">
        <v>0</v>
      </c>
      <c r="D2" s="4" t="s">
        <v>15</v>
      </c>
      <c r="E2" s="4" t="s">
        <v>20</v>
      </c>
      <c r="F2" s="4" t="s">
        <v>141</v>
      </c>
      <c r="G2" s="4">
        <v>60</v>
      </c>
      <c r="H2" s="4">
        <v>5.6</v>
      </c>
      <c r="I2" s="4">
        <f t="shared" ref="I2:I65" si="0">G2-H2</f>
        <v>54.4</v>
      </c>
      <c r="J2" s="4">
        <f>INDEX(Dim_Machine!$E$2:$E$8,MATCH(D2,Dim_Machine!$A$2:$A$8,0))*INDEX(Dim_Machine!$D$2:$D$8,MATCH(D2,Dim_Machine!$A$2:$A$8,0))*I2</f>
        <v>21760</v>
      </c>
      <c r="K2" s="4">
        <f>ROUND(J2*0.864,0)</f>
        <v>18801</v>
      </c>
      <c r="L2" s="4">
        <f>ROUND(K2*0.0185,0)</f>
        <v>348</v>
      </c>
      <c r="M2" s="4">
        <f t="shared" ref="M2:M65" si="1">K2-L2</f>
        <v>18453</v>
      </c>
      <c r="N2" s="4">
        <f t="shared" ref="N2:N65" si="2">IFERROR(K2/J2,0)</f>
        <v>0.86401654411764706</v>
      </c>
      <c r="O2" s="4">
        <f t="shared" ref="O2:O65" si="3">IFERROR(I2/G2,0)</f>
        <v>0.90666666666666662</v>
      </c>
      <c r="P2" s="4">
        <f>IFERROR((K2/I2)/(INDEX(Dim_Machine!$E$2:$E$8,MATCH(D2,Dim_Machine!$A$2:$A$8,0))*INDEX(Dim_Machine!$D$2:$D$8,MATCH(D2,Dim_Machine!$A$2:$A$8,0))),0)</f>
        <v>0.86401654411764706</v>
      </c>
      <c r="Q2" s="4">
        <f t="shared" ref="Q2:Q65" si="4">IFERROR(M2/K2,0)</f>
        <v>0.98149034625817777</v>
      </c>
      <c r="R2" s="4">
        <f t="shared" ref="R2:R65" si="5">O2*P2*Q2</f>
        <v>0.76887499999999998</v>
      </c>
      <c r="S2" s="4">
        <f>T2/0.842</f>
        <v>5.4789192399049877</v>
      </c>
      <c r="T2" s="4">
        <f>M2*INDEX(Dim_Product!$C$2:$C$4,MATCH(F2,Dim_Product!$A$2:$A$4,0))/1000000</f>
        <v>4.6132499999999999</v>
      </c>
      <c r="U2" s="16">
        <f t="shared" ref="U2:U65" si="6">IFERROR(T2/S2,0)</f>
        <v>0.84200000000000008</v>
      </c>
    </row>
    <row r="3" spans="1:21" x14ac:dyDescent="0.25">
      <c r="A3" s="15" t="s">
        <v>142</v>
      </c>
      <c r="B3" s="4">
        <v>20260701</v>
      </c>
      <c r="C3" s="4">
        <v>0</v>
      </c>
      <c r="D3" s="4" t="s">
        <v>19</v>
      </c>
      <c r="E3" s="4" t="s">
        <v>20</v>
      </c>
      <c r="F3" s="4" t="s">
        <v>143</v>
      </c>
      <c r="G3" s="4">
        <v>60</v>
      </c>
      <c r="H3" s="4">
        <v>7</v>
      </c>
      <c r="I3" s="4">
        <f t="shared" si="0"/>
        <v>53</v>
      </c>
      <c r="J3" s="4">
        <f>INDEX(Dim_Machine!$E$2:$E$8,MATCH(D3,Dim_Machine!$A$2:$A$8,0))*INDEX(Dim_Machine!$D$2:$D$8,MATCH(D3,Dim_Machine!$A$2:$A$8,0))*I3</f>
        <v>35616</v>
      </c>
      <c r="K3" s="4">
        <f>ROUND(J3*0.932,0)</f>
        <v>33194</v>
      </c>
      <c r="L3" s="4">
        <f>ROUND(K3*0.0098,0)</f>
        <v>325</v>
      </c>
      <c r="M3" s="4">
        <f t="shared" si="1"/>
        <v>32869</v>
      </c>
      <c r="N3" s="4">
        <f t="shared" si="2"/>
        <v>0.93199685534591192</v>
      </c>
      <c r="O3" s="4">
        <f t="shared" si="3"/>
        <v>0.8833333333333333</v>
      </c>
      <c r="P3" s="4">
        <f>IFERROR((K3/I3)/(INDEX(Dim_Machine!$E$2:$E$8,MATCH(D3,Dim_Machine!$A$2:$A$8,0))*INDEX(Dim_Machine!$D$2:$D$8,MATCH(D3,Dim_Machine!$A$2:$A$8,0))),0)</f>
        <v>0.93199685534591192</v>
      </c>
      <c r="Q3" s="4">
        <f t="shared" si="4"/>
        <v>0.99020907392902335</v>
      </c>
      <c r="R3" s="4">
        <f t="shared" si="5"/>
        <v>0.81520337301587298</v>
      </c>
      <c r="S3" s="4">
        <f>T3/0.863</f>
        <v>7.617381228273465</v>
      </c>
      <c r="T3" s="4">
        <f>M3*INDEX(Dim_Product!$C$2:$C$4,MATCH(F3,Dim_Product!$A$2:$A$4,0))/1000000</f>
        <v>6.5738000000000003</v>
      </c>
      <c r="U3" s="16">
        <f t="shared" si="6"/>
        <v>0.86299999999999999</v>
      </c>
    </row>
    <row r="4" spans="1:21" x14ac:dyDescent="0.25">
      <c r="A4" s="15" t="s">
        <v>144</v>
      </c>
      <c r="B4" s="4">
        <v>20260701</v>
      </c>
      <c r="C4" s="4">
        <v>0</v>
      </c>
      <c r="D4" s="4" t="s">
        <v>23</v>
      </c>
      <c r="E4" s="4" t="s">
        <v>20</v>
      </c>
      <c r="F4" s="4" t="s">
        <v>141</v>
      </c>
      <c r="G4" s="4">
        <v>60</v>
      </c>
      <c r="H4" s="4">
        <v>2.2000000000000002</v>
      </c>
      <c r="I4" s="4">
        <f t="shared" si="0"/>
        <v>57.8</v>
      </c>
      <c r="J4" s="4">
        <f>INDEX(Dim_Machine!$E$2:$E$8,MATCH(D4,Dim_Machine!$A$2:$A$8,0))*INDEX(Dim_Machine!$D$2:$D$8,MATCH(D4,Dim_Machine!$A$2:$A$8,0))*I4</f>
        <v>15259.199999999999</v>
      </c>
      <c r="K4" s="4">
        <f>ROUND(J4*0.823,0)</f>
        <v>12558</v>
      </c>
      <c r="L4" s="4">
        <f>ROUND(K4*0.0279,0)</f>
        <v>350</v>
      </c>
      <c r="M4" s="4">
        <f t="shared" si="1"/>
        <v>12208</v>
      </c>
      <c r="N4" s="4">
        <f t="shared" si="2"/>
        <v>0.82297892418999696</v>
      </c>
      <c r="O4" s="4">
        <f t="shared" si="3"/>
        <v>0.96333333333333326</v>
      </c>
      <c r="P4" s="4">
        <f>IFERROR((K4/I4)/(INDEX(Dim_Machine!$E$2:$E$8,MATCH(D4,Dim_Machine!$A$2:$A$8,0))*INDEX(Dim_Machine!$D$2:$D$8,MATCH(D4,Dim_Machine!$A$2:$A$8,0))),0)</f>
        <v>0.82297892418999685</v>
      </c>
      <c r="Q4" s="4">
        <f t="shared" si="4"/>
        <v>0.97212931995540686</v>
      </c>
      <c r="R4" s="4">
        <f t="shared" si="5"/>
        <v>0.77070707070707056</v>
      </c>
      <c r="S4" s="4">
        <f>T4/0.815</f>
        <v>3.7447852760736198</v>
      </c>
      <c r="T4" s="4">
        <f>M4*INDEX(Dim_Product!$C$2:$C$4,MATCH(F4,Dim_Product!$A$2:$A$4,0))/1000000</f>
        <v>3.052</v>
      </c>
      <c r="U4" s="16">
        <f t="shared" si="6"/>
        <v>0.81499999999999995</v>
      </c>
    </row>
    <row r="5" spans="1:21" x14ac:dyDescent="0.25">
      <c r="A5" s="15" t="s">
        <v>145</v>
      </c>
      <c r="B5" s="4">
        <v>20260701</v>
      </c>
      <c r="C5" s="4">
        <v>0</v>
      </c>
      <c r="D5" s="4" t="s">
        <v>25</v>
      </c>
      <c r="E5" s="4" t="s">
        <v>20</v>
      </c>
      <c r="F5" s="4" t="s">
        <v>141</v>
      </c>
      <c r="G5" s="4">
        <v>60</v>
      </c>
      <c r="H5" s="4">
        <v>3</v>
      </c>
      <c r="I5" s="4">
        <f t="shared" si="0"/>
        <v>57</v>
      </c>
      <c r="J5" s="4">
        <f>INDEX(Dim_Machine!$E$2:$E$8,MATCH(D5,Dim_Machine!$A$2:$A$8,0))*INDEX(Dim_Machine!$D$2:$D$8,MATCH(D5,Dim_Machine!$A$2:$A$8,0))*I5</f>
        <v>41040</v>
      </c>
      <c r="K5" s="4">
        <f>ROUND(J5*0.852,0)</f>
        <v>34966</v>
      </c>
      <c r="L5" s="4">
        <f>ROUND(K5*0.0153,0)</f>
        <v>535</v>
      </c>
      <c r="M5" s="4">
        <f t="shared" si="1"/>
        <v>34431</v>
      </c>
      <c r="N5" s="4">
        <f t="shared" si="2"/>
        <v>0.8519980506822612</v>
      </c>
      <c r="O5" s="4">
        <f t="shared" si="3"/>
        <v>0.95</v>
      </c>
      <c r="P5" s="4">
        <f>IFERROR((K5/I5)/(INDEX(Dim_Machine!$E$2:$E$8,MATCH(D5,Dim_Machine!$A$2:$A$8,0))*INDEX(Dim_Machine!$D$2:$D$8,MATCH(D5,Dim_Machine!$A$2:$A$8,0))),0)</f>
        <v>0.8519980506822612</v>
      </c>
      <c r="Q5" s="4">
        <f t="shared" si="4"/>
        <v>0.98469942229594465</v>
      </c>
      <c r="R5" s="4">
        <f t="shared" si="5"/>
        <v>0.79701388888888891</v>
      </c>
      <c r="S5" s="4">
        <f>T5/0.84</f>
        <v>10.247321428571428</v>
      </c>
      <c r="T5" s="4">
        <f>M5*INDEX(Dim_Product!$C$2:$C$4,MATCH(F5,Dim_Product!$A$2:$A$4,0))/1000000</f>
        <v>8.6077499999999993</v>
      </c>
      <c r="U5" s="16">
        <f t="shared" si="6"/>
        <v>0.84</v>
      </c>
    </row>
    <row r="6" spans="1:21" x14ac:dyDescent="0.25">
      <c r="A6" s="15" t="s">
        <v>146</v>
      </c>
      <c r="B6" s="4">
        <v>20260701</v>
      </c>
      <c r="C6" s="4">
        <v>0</v>
      </c>
      <c r="D6" s="4" t="s">
        <v>27</v>
      </c>
      <c r="E6" s="4" t="s">
        <v>20</v>
      </c>
      <c r="F6" s="4" t="s">
        <v>141</v>
      </c>
      <c r="G6" s="4">
        <v>60</v>
      </c>
      <c r="H6" s="4">
        <v>0.3</v>
      </c>
      <c r="I6" s="4">
        <f t="shared" si="0"/>
        <v>59.7</v>
      </c>
      <c r="J6" s="4">
        <f>INDEX(Dim_Machine!$E$2:$E$8,MATCH(D6,Dim_Machine!$A$2:$A$8,0))*INDEX(Dim_Machine!$D$2:$D$8,MATCH(D6,Dim_Machine!$A$2:$A$8,0))*I6</f>
        <v>24835.200000000001</v>
      </c>
      <c r="K6" s="4">
        <f>ROUND(J6*0.872,0)</f>
        <v>21656</v>
      </c>
      <c r="L6" s="4">
        <f>ROUND(K6*0.0087,0)</f>
        <v>188</v>
      </c>
      <c r="M6" s="4">
        <f t="shared" si="1"/>
        <v>21468</v>
      </c>
      <c r="N6" s="4">
        <f t="shared" si="2"/>
        <v>0.87198814585749251</v>
      </c>
      <c r="O6" s="4">
        <f t="shared" si="3"/>
        <v>0.995</v>
      </c>
      <c r="P6" s="4">
        <f>IFERROR((K6/I6)/(INDEX(Dim_Machine!$E$2:$E$8,MATCH(D6,Dim_Machine!$A$2:$A$8,0))*INDEX(Dim_Machine!$D$2:$D$8,MATCH(D6,Dim_Machine!$A$2:$A$8,0))),0)</f>
        <v>0.87198814585749251</v>
      </c>
      <c r="Q6" s="4">
        <f t="shared" si="4"/>
        <v>0.99131880310306608</v>
      </c>
      <c r="R6" s="4">
        <f t="shared" si="5"/>
        <v>0.86009615384615368</v>
      </c>
      <c r="S6" s="4">
        <f>T6/0.938</f>
        <v>5.7217484008528787</v>
      </c>
      <c r="T6" s="4">
        <f>M6*INDEX(Dim_Product!$C$2:$C$4,MATCH(F6,Dim_Product!$A$2:$A$4,0))/1000000</f>
        <v>5.367</v>
      </c>
      <c r="U6" s="16">
        <f t="shared" si="6"/>
        <v>0.93799999999999994</v>
      </c>
    </row>
    <row r="7" spans="1:21" x14ac:dyDescent="0.25">
      <c r="A7" s="15" t="s">
        <v>147</v>
      </c>
      <c r="B7" s="4">
        <v>20260701</v>
      </c>
      <c r="C7" s="4">
        <v>0</v>
      </c>
      <c r="D7" s="4" t="s">
        <v>29</v>
      </c>
      <c r="E7" s="4" t="s">
        <v>20</v>
      </c>
      <c r="F7" s="4" t="s">
        <v>143</v>
      </c>
      <c r="G7" s="4">
        <v>60</v>
      </c>
      <c r="H7" s="4">
        <v>0.6</v>
      </c>
      <c r="I7" s="4">
        <f t="shared" si="0"/>
        <v>59.4</v>
      </c>
      <c r="J7" s="4">
        <f>INDEX(Dim_Machine!$E$2:$E$8,MATCH(D7,Dim_Machine!$A$2:$A$8,0))*INDEX(Dim_Machine!$D$2:$D$8,MATCH(D7,Dim_Machine!$A$2:$A$8,0))*I7</f>
        <v>17107.2</v>
      </c>
      <c r="K7" s="4">
        <f>ROUND(J7*0.839,0)</f>
        <v>14353</v>
      </c>
      <c r="L7" s="4">
        <f>ROUND(K7*0.0239,0)</f>
        <v>343</v>
      </c>
      <c r="M7" s="4">
        <f t="shared" si="1"/>
        <v>14010</v>
      </c>
      <c r="N7" s="4">
        <f t="shared" si="2"/>
        <v>0.83900346053123831</v>
      </c>
      <c r="O7" s="4">
        <f t="shared" si="3"/>
        <v>0.99</v>
      </c>
      <c r="P7" s="4">
        <f>IFERROR((K7/I7)/(INDEX(Dim_Machine!$E$2:$E$8,MATCH(D7,Dim_Machine!$A$2:$A$8,0))*INDEX(Dim_Machine!$D$2:$D$8,MATCH(D7,Dim_Machine!$A$2:$A$8,0))),0)</f>
        <v>0.83900346053123842</v>
      </c>
      <c r="Q7" s="4">
        <f t="shared" si="4"/>
        <v>0.97610255695673376</v>
      </c>
      <c r="R7" s="4">
        <f t="shared" si="5"/>
        <v>0.81076388888888895</v>
      </c>
      <c r="S7" s="4">
        <f>T7/0.933</f>
        <v>3.003215434083601</v>
      </c>
      <c r="T7" s="4">
        <f>M7*INDEX(Dim_Product!$C$2:$C$4,MATCH(F7,Dim_Product!$A$2:$A$4,0))/1000000</f>
        <v>2.802</v>
      </c>
      <c r="U7" s="16">
        <f t="shared" si="6"/>
        <v>0.93300000000000005</v>
      </c>
    </row>
    <row r="8" spans="1:21" x14ac:dyDescent="0.25">
      <c r="A8" s="15" t="s">
        <v>148</v>
      </c>
      <c r="B8" s="4">
        <v>20260701</v>
      </c>
      <c r="C8" s="4">
        <v>0</v>
      </c>
      <c r="D8" s="4" t="s">
        <v>31</v>
      </c>
      <c r="E8" s="4" t="s">
        <v>20</v>
      </c>
      <c r="F8" s="4" t="s">
        <v>141</v>
      </c>
      <c r="G8" s="4">
        <v>60</v>
      </c>
      <c r="H8" s="4">
        <v>2.9</v>
      </c>
      <c r="I8" s="4">
        <f t="shared" si="0"/>
        <v>57.1</v>
      </c>
      <c r="J8" s="4">
        <f>INDEX(Dim_Machine!$E$2:$E$8,MATCH(D8,Dim_Machine!$A$2:$A$8,0))*INDEX(Dim_Machine!$D$2:$D$8,MATCH(D8,Dim_Machine!$A$2:$A$8,0))*I8</f>
        <v>37000.800000000003</v>
      </c>
      <c r="K8" s="4">
        <f>ROUND(J8*0.818,0)</f>
        <v>30267</v>
      </c>
      <c r="L8" s="4">
        <f>ROUND(K8*0.0071,0)</f>
        <v>215</v>
      </c>
      <c r="M8" s="4">
        <f t="shared" si="1"/>
        <v>30052</v>
      </c>
      <c r="N8" s="4">
        <f t="shared" si="2"/>
        <v>0.81800934033858719</v>
      </c>
      <c r="O8" s="4">
        <f t="shared" si="3"/>
        <v>0.95166666666666666</v>
      </c>
      <c r="P8" s="4">
        <f>IFERROR((K8/I8)/(INDEX(Dim_Machine!$E$2:$E$8,MATCH(D8,Dim_Machine!$A$2:$A$8,0))*INDEX(Dim_Machine!$D$2:$D$8,MATCH(D8,Dim_Machine!$A$2:$A$8,0))),0)</f>
        <v>0.81800934033858719</v>
      </c>
      <c r="Q8" s="4">
        <f t="shared" si="4"/>
        <v>0.99289655400270926</v>
      </c>
      <c r="R8" s="4">
        <f t="shared" si="5"/>
        <v>0.7729423868312757</v>
      </c>
      <c r="S8" s="4">
        <f>T8/0.899</f>
        <v>8.3570634037819804</v>
      </c>
      <c r="T8" s="4">
        <f>M8*INDEX(Dim_Product!$C$2:$C$4,MATCH(F8,Dim_Product!$A$2:$A$4,0))/1000000</f>
        <v>7.5129999999999999</v>
      </c>
      <c r="U8" s="16">
        <f t="shared" si="6"/>
        <v>0.89899999999999991</v>
      </c>
    </row>
    <row r="9" spans="1:21" x14ac:dyDescent="0.25">
      <c r="A9" s="15" t="s">
        <v>149</v>
      </c>
      <c r="B9" s="4">
        <v>20260701</v>
      </c>
      <c r="C9" s="4">
        <v>1</v>
      </c>
      <c r="D9" s="4" t="s">
        <v>15</v>
      </c>
      <c r="E9" s="4" t="s">
        <v>20</v>
      </c>
      <c r="F9" s="4" t="s">
        <v>141</v>
      </c>
      <c r="G9" s="4">
        <v>60</v>
      </c>
      <c r="H9" s="4">
        <v>6.2</v>
      </c>
      <c r="I9" s="4">
        <f t="shared" si="0"/>
        <v>53.8</v>
      </c>
      <c r="J9" s="4">
        <f>INDEX(Dim_Machine!$E$2:$E$8,MATCH(D9,Dim_Machine!$A$2:$A$8,0))*INDEX(Dim_Machine!$D$2:$D$8,MATCH(D9,Dim_Machine!$A$2:$A$8,0))*I9</f>
        <v>21520</v>
      </c>
      <c r="K9" s="4">
        <f>ROUND(J9*0.977,0)</f>
        <v>21025</v>
      </c>
      <c r="L9" s="4">
        <f>ROUND(K9*0.0307,0)</f>
        <v>645</v>
      </c>
      <c r="M9" s="4">
        <f t="shared" si="1"/>
        <v>20380</v>
      </c>
      <c r="N9" s="4">
        <f t="shared" si="2"/>
        <v>0.97699814126394047</v>
      </c>
      <c r="O9" s="4">
        <f t="shared" si="3"/>
        <v>0.89666666666666661</v>
      </c>
      <c r="P9" s="4">
        <f>IFERROR((K9/I9)/(INDEX(Dim_Machine!$E$2:$E$8,MATCH(D9,Dim_Machine!$A$2:$A$8,0))*INDEX(Dim_Machine!$D$2:$D$8,MATCH(D9,Dim_Machine!$A$2:$A$8,0))),0)</f>
        <v>0.97699814126394058</v>
      </c>
      <c r="Q9" s="4">
        <f t="shared" si="4"/>
        <v>0.96932223543400708</v>
      </c>
      <c r="R9" s="4">
        <f t="shared" si="5"/>
        <v>0.84916666666666663</v>
      </c>
      <c r="S9" s="4">
        <f>T9/0.93</f>
        <v>5.4784946236559131</v>
      </c>
      <c r="T9" s="4">
        <f>M9*INDEX(Dim_Product!$C$2:$C$4,MATCH(F9,Dim_Product!$A$2:$A$4,0))/1000000</f>
        <v>5.0949999999999998</v>
      </c>
      <c r="U9" s="16">
        <f t="shared" si="6"/>
        <v>0.93</v>
      </c>
    </row>
    <row r="10" spans="1:21" x14ac:dyDescent="0.25">
      <c r="A10" s="15" t="s">
        <v>150</v>
      </c>
      <c r="B10" s="4">
        <v>20260701</v>
      </c>
      <c r="C10" s="4">
        <v>1</v>
      </c>
      <c r="D10" s="4" t="s">
        <v>19</v>
      </c>
      <c r="E10" s="4" t="s">
        <v>20</v>
      </c>
      <c r="F10" s="4" t="s">
        <v>143</v>
      </c>
      <c r="G10" s="4">
        <v>60</v>
      </c>
      <c r="H10" s="4">
        <v>3</v>
      </c>
      <c r="I10" s="4">
        <f t="shared" si="0"/>
        <v>57</v>
      </c>
      <c r="J10" s="4">
        <f>INDEX(Dim_Machine!$E$2:$E$8,MATCH(D10,Dim_Machine!$A$2:$A$8,0))*INDEX(Dim_Machine!$D$2:$D$8,MATCH(D10,Dim_Machine!$A$2:$A$8,0))*I10</f>
        <v>38304</v>
      </c>
      <c r="K10" s="4">
        <f>ROUND(J10*0.871,0)</f>
        <v>33363</v>
      </c>
      <c r="L10" s="4">
        <f>ROUND(K10*0.03,0)</f>
        <v>1001</v>
      </c>
      <c r="M10" s="4">
        <f t="shared" si="1"/>
        <v>32362</v>
      </c>
      <c r="N10" s="4">
        <f t="shared" si="2"/>
        <v>0.87100563909774431</v>
      </c>
      <c r="O10" s="4">
        <f t="shared" si="3"/>
        <v>0.95</v>
      </c>
      <c r="P10" s="4">
        <f>IFERROR((K10/I10)/(INDEX(Dim_Machine!$E$2:$E$8,MATCH(D10,Dim_Machine!$A$2:$A$8,0))*INDEX(Dim_Machine!$D$2:$D$8,MATCH(D10,Dim_Machine!$A$2:$A$8,0))),0)</f>
        <v>0.87100563909774431</v>
      </c>
      <c r="Q10" s="4">
        <f t="shared" si="4"/>
        <v>0.96999670293438844</v>
      </c>
      <c r="R10" s="4">
        <f t="shared" si="5"/>
        <v>0.80262896825396812</v>
      </c>
      <c r="S10" s="4">
        <f>T10/0.824</f>
        <v>7.85485436893204</v>
      </c>
      <c r="T10" s="4">
        <f>M10*INDEX(Dim_Product!$C$2:$C$4,MATCH(F10,Dim_Product!$A$2:$A$4,0))/1000000</f>
        <v>6.4724000000000004</v>
      </c>
      <c r="U10" s="16">
        <f t="shared" si="6"/>
        <v>0.82399999999999995</v>
      </c>
    </row>
    <row r="11" spans="1:21" x14ac:dyDescent="0.25">
      <c r="A11" s="15" t="s">
        <v>151</v>
      </c>
      <c r="B11" s="4">
        <v>20260701</v>
      </c>
      <c r="C11" s="4">
        <v>1</v>
      </c>
      <c r="D11" s="4" t="s">
        <v>23</v>
      </c>
      <c r="E11" s="4" t="s">
        <v>20</v>
      </c>
      <c r="F11" s="4" t="s">
        <v>141</v>
      </c>
      <c r="G11" s="4">
        <v>60</v>
      </c>
      <c r="H11" s="4">
        <v>2.8</v>
      </c>
      <c r="I11" s="4">
        <f t="shared" si="0"/>
        <v>57.2</v>
      </c>
      <c r="J11" s="4">
        <f>INDEX(Dim_Machine!$E$2:$E$8,MATCH(D11,Dim_Machine!$A$2:$A$8,0))*INDEX(Dim_Machine!$D$2:$D$8,MATCH(D11,Dim_Machine!$A$2:$A$8,0))*I11</f>
        <v>15100.800000000001</v>
      </c>
      <c r="K11" s="4">
        <f>ROUND(J11*0.914,0)</f>
        <v>13802</v>
      </c>
      <c r="L11" s="4">
        <f>ROUND(K11*0.0261,0)</f>
        <v>360</v>
      </c>
      <c r="M11" s="4">
        <f t="shared" si="1"/>
        <v>13442</v>
      </c>
      <c r="N11" s="4">
        <f t="shared" si="2"/>
        <v>0.91399131171858439</v>
      </c>
      <c r="O11" s="4">
        <f t="shared" si="3"/>
        <v>0.95333333333333337</v>
      </c>
      <c r="P11" s="4">
        <f>IFERROR((K11/I11)/(INDEX(Dim_Machine!$E$2:$E$8,MATCH(D11,Dim_Machine!$A$2:$A$8,0))*INDEX(Dim_Machine!$D$2:$D$8,MATCH(D11,Dim_Machine!$A$2:$A$8,0))),0)</f>
        <v>0.9139913117185845</v>
      </c>
      <c r="Q11" s="4">
        <f t="shared" si="4"/>
        <v>0.97391682364874654</v>
      </c>
      <c r="R11" s="4">
        <f t="shared" si="5"/>
        <v>0.8486111111111112</v>
      </c>
      <c r="S11" s="4">
        <f>T11/0.903</f>
        <v>3.7214839424141748</v>
      </c>
      <c r="T11" s="4">
        <f>M11*INDEX(Dim_Product!$C$2:$C$4,MATCH(F11,Dim_Product!$A$2:$A$4,0))/1000000</f>
        <v>3.3605</v>
      </c>
      <c r="U11" s="16">
        <f t="shared" si="6"/>
        <v>0.90300000000000002</v>
      </c>
    </row>
    <row r="12" spans="1:21" x14ac:dyDescent="0.25">
      <c r="A12" s="15" t="s">
        <v>152</v>
      </c>
      <c r="B12" s="4">
        <v>20260701</v>
      </c>
      <c r="C12" s="4">
        <v>1</v>
      </c>
      <c r="D12" s="4" t="s">
        <v>25</v>
      </c>
      <c r="E12" s="4" t="s">
        <v>20</v>
      </c>
      <c r="F12" s="4" t="s">
        <v>141</v>
      </c>
      <c r="G12" s="4">
        <v>60</v>
      </c>
      <c r="H12" s="4">
        <v>0.6</v>
      </c>
      <c r="I12" s="4">
        <f t="shared" si="0"/>
        <v>59.4</v>
      </c>
      <c r="J12" s="4">
        <f>INDEX(Dim_Machine!$E$2:$E$8,MATCH(D12,Dim_Machine!$A$2:$A$8,0))*INDEX(Dim_Machine!$D$2:$D$8,MATCH(D12,Dim_Machine!$A$2:$A$8,0))*I12</f>
        <v>42768</v>
      </c>
      <c r="K12" s="4">
        <f>ROUND(J12*0.907,0)</f>
        <v>38791</v>
      </c>
      <c r="L12" s="4">
        <f>ROUND(K12*0.021,0)</f>
        <v>815</v>
      </c>
      <c r="M12" s="4">
        <f t="shared" si="1"/>
        <v>37976</v>
      </c>
      <c r="N12" s="4">
        <f t="shared" si="2"/>
        <v>0.90700991395435837</v>
      </c>
      <c r="O12" s="4">
        <f t="shared" si="3"/>
        <v>0.99</v>
      </c>
      <c r="P12" s="4">
        <f>IFERROR((K12/I12)/(INDEX(Dim_Machine!$E$2:$E$8,MATCH(D12,Dim_Machine!$A$2:$A$8,0))*INDEX(Dim_Machine!$D$2:$D$8,MATCH(D12,Dim_Machine!$A$2:$A$8,0))),0)</f>
        <v>0.90700991395435848</v>
      </c>
      <c r="Q12" s="4">
        <f t="shared" si="4"/>
        <v>0.97898997190069859</v>
      </c>
      <c r="R12" s="4">
        <f t="shared" si="5"/>
        <v>0.87907407407407412</v>
      </c>
      <c r="S12" s="4">
        <f>T12/0.837</f>
        <v>11.34289127837515</v>
      </c>
      <c r="T12" s="4">
        <f>M12*INDEX(Dim_Product!$C$2:$C$4,MATCH(F12,Dim_Product!$A$2:$A$4,0))/1000000</f>
        <v>9.4939999999999998</v>
      </c>
      <c r="U12" s="16">
        <f t="shared" si="6"/>
        <v>0.83699999999999986</v>
      </c>
    </row>
    <row r="13" spans="1:21" x14ac:dyDescent="0.25">
      <c r="A13" s="15" t="s">
        <v>153</v>
      </c>
      <c r="B13" s="4">
        <v>20260701</v>
      </c>
      <c r="C13" s="4">
        <v>1</v>
      </c>
      <c r="D13" s="4" t="s">
        <v>27</v>
      </c>
      <c r="E13" s="4" t="s">
        <v>20</v>
      </c>
      <c r="F13" s="4" t="s">
        <v>141</v>
      </c>
      <c r="G13" s="4">
        <v>60</v>
      </c>
      <c r="H13" s="4">
        <v>3.7</v>
      </c>
      <c r="I13" s="4">
        <f t="shared" si="0"/>
        <v>56.3</v>
      </c>
      <c r="J13" s="4">
        <f>INDEX(Dim_Machine!$E$2:$E$8,MATCH(D13,Dim_Machine!$A$2:$A$8,0))*INDEX(Dim_Machine!$D$2:$D$8,MATCH(D13,Dim_Machine!$A$2:$A$8,0))*I13</f>
        <v>23420.799999999999</v>
      </c>
      <c r="K13" s="4">
        <f>ROUND(J13*0.834,0)</f>
        <v>19533</v>
      </c>
      <c r="L13" s="4">
        <f>ROUND(K13*0.0328,0)</f>
        <v>641</v>
      </c>
      <c r="M13" s="4">
        <f t="shared" si="1"/>
        <v>18892</v>
      </c>
      <c r="N13" s="4">
        <f t="shared" si="2"/>
        <v>0.83400225440633968</v>
      </c>
      <c r="O13" s="4">
        <f t="shared" si="3"/>
        <v>0.93833333333333324</v>
      </c>
      <c r="P13" s="4">
        <f>IFERROR((K13/I13)/(INDEX(Dim_Machine!$E$2:$E$8,MATCH(D13,Dim_Machine!$A$2:$A$8,0))*INDEX(Dim_Machine!$D$2:$D$8,MATCH(D13,Dim_Machine!$A$2:$A$8,0))),0)</f>
        <v>0.83400225440633968</v>
      </c>
      <c r="Q13" s="4">
        <f t="shared" si="4"/>
        <v>0.96718374033686583</v>
      </c>
      <c r="R13" s="4">
        <f t="shared" si="5"/>
        <v>0.75689102564102562</v>
      </c>
      <c r="S13" s="4">
        <f>T13/0.903</f>
        <v>5.230343300110742</v>
      </c>
      <c r="T13" s="4">
        <f>M13*INDEX(Dim_Product!$C$2:$C$4,MATCH(F13,Dim_Product!$A$2:$A$4,0))/1000000</f>
        <v>4.7229999999999999</v>
      </c>
      <c r="U13" s="16">
        <f t="shared" si="6"/>
        <v>0.90299999999999991</v>
      </c>
    </row>
    <row r="14" spans="1:21" x14ac:dyDescent="0.25">
      <c r="A14" s="15" t="s">
        <v>154</v>
      </c>
      <c r="B14" s="4">
        <v>20260701</v>
      </c>
      <c r="C14" s="4">
        <v>1</v>
      </c>
      <c r="D14" s="4" t="s">
        <v>29</v>
      </c>
      <c r="E14" s="4" t="s">
        <v>20</v>
      </c>
      <c r="F14" s="4" t="s">
        <v>143</v>
      </c>
      <c r="G14" s="4">
        <v>60</v>
      </c>
      <c r="H14" s="4">
        <v>1.8</v>
      </c>
      <c r="I14" s="4">
        <f t="shared" si="0"/>
        <v>58.2</v>
      </c>
      <c r="J14" s="4">
        <f>INDEX(Dim_Machine!$E$2:$E$8,MATCH(D14,Dim_Machine!$A$2:$A$8,0))*INDEX(Dim_Machine!$D$2:$D$8,MATCH(D14,Dim_Machine!$A$2:$A$8,0))*I14</f>
        <v>16761.600000000002</v>
      </c>
      <c r="K14" s="4">
        <f>ROUND(J14*0.845,0)</f>
        <v>14164</v>
      </c>
      <c r="L14" s="4">
        <f>ROUND(K14*0.028,0)</f>
        <v>397</v>
      </c>
      <c r="M14" s="4">
        <f t="shared" si="1"/>
        <v>13767</v>
      </c>
      <c r="N14" s="4">
        <f t="shared" si="2"/>
        <v>0.84502672775868637</v>
      </c>
      <c r="O14" s="4">
        <f t="shared" si="3"/>
        <v>0.97000000000000008</v>
      </c>
      <c r="P14" s="4">
        <f>IFERROR((K14/I14)/(INDEX(Dim_Machine!$E$2:$E$8,MATCH(D14,Dim_Machine!$A$2:$A$8,0))*INDEX(Dim_Machine!$D$2:$D$8,MATCH(D14,Dim_Machine!$A$2:$A$8,0))),0)</f>
        <v>0.84502672775868648</v>
      </c>
      <c r="Q14" s="4">
        <f t="shared" si="4"/>
        <v>0.9719711945778029</v>
      </c>
      <c r="R14" s="4">
        <f t="shared" si="5"/>
        <v>0.79670138888888897</v>
      </c>
      <c r="S14" s="4">
        <f>T14/0.808</f>
        <v>3.4076732673267327</v>
      </c>
      <c r="T14" s="4">
        <f>M14*INDEX(Dim_Product!$C$2:$C$4,MATCH(F14,Dim_Product!$A$2:$A$4,0))/1000000</f>
        <v>2.7534000000000001</v>
      </c>
      <c r="U14" s="16">
        <f t="shared" si="6"/>
        <v>0.80800000000000005</v>
      </c>
    </row>
    <row r="15" spans="1:21" x14ac:dyDescent="0.25">
      <c r="A15" s="15" t="s">
        <v>155</v>
      </c>
      <c r="B15" s="4">
        <v>20260701</v>
      </c>
      <c r="C15" s="4">
        <v>1</v>
      </c>
      <c r="D15" s="4" t="s">
        <v>31</v>
      </c>
      <c r="E15" s="4" t="s">
        <v>20</v>
      </c>
      <c r="F15" s="4" t="s">
        <v>141</v>
      </c>
      <c r="G15" s="4">
        <v>60</v>
      </c>
      <c r="H15" s="4">
        <v>6.6</v>
      </c>
      <c r="I15" s="4">
        <f t="shared" si="0"/>
        <v>53.4</v>
      </c>
      <c r="J15" s="4">
        <f>INDEX(Dim_Machine!$E$2:$E$8,MATCH(D15,Dim_Machine!$A$2:$A$8,0))*INDEX(Dim_Machine!$D$2:$D$8,MATCH(D15,Dim_Machine!$A$2:$A$8,0))*I15</f>
        <v>34603.199999999997</v>
      </c>
      <c r="K15" s="4">
        <f>ROUND(J15*0.941,0)</f>
        <v>32562</v>
      </c>
      <c r="L15" s="4">
        <f>ROUND(K15*0.017,0)</f>
        <v>554</v>
      </c>
      <c r="M15" s="4">
        <f t="shared" si="1"/>
        <v>32008</v>
      </c>
      <c r="N15" s="4">
        <f t="shared" si="2"/>
        <v>0.94101123595505631</v>
      </c>
      <c r="O15" s="4">
        <f t="shared" si="3"/>
        <v>0.89</v>
      </c>
      <c r="P15" s="4">
        <f>IFERROR((K15/I15)/(INDEX(Dim_Machine!$E$2:$E$8,MATCH(D15,Dim_Machine!$A$2:$A$8,0))*INDEX(Dim_Machine!$D$2:$D$8,MATCH(D15,Dim_Machine!$A$2:$A$8,0))),0)</f>
        <v>0.9410112359550562</v>
      </c>
      <c r="Q15" s="4">
        <f t="shared" si="4"/>
        <v>0.98298630305263801</v>
      </c>
      <c r="R15" s="4">
        <f t="shared" si="5"/>
        <v>0.82325102880658441</v>
      </c>
      <c r="S15" s="4">
        <f>T15/0.81</f>
        <v>9.879012345679012</v>
      </c>
      <c r="T15" s="4">
        <f>M15*INDEX(Dim_Product!$C$2:$C$4,MATCH(F15,Dim_Product!$A$2:$A$4,0))/1000000</f>
        <v>8.0020000000000007</v>
      </c>
      <c r="U15" s="16">
        <f t="shared" si="6"/>
        <v>0.81</v>
      </c>
    </row>
    <row r="16" spans="1:21" x14ac:dyDescent="0.25">
      <c r="A16" s="15" t="s">
        <v>156</v>
      </c>
      <c r="B16" s="4">
        <v>20260701</v>
      </c>
      <c r="C16" s="4">
        <v>2</v>
      </c>
      <c r="D16" s="4" t="s">
        <v>15</v>
      </c>
      <c r="E16" s="4" t="s">
        <v>20</v>
      </c>
      <c r="F16" s="4" t="s">
        <v>141</v>
      </c>
      <c r="G16" s="4">
        <v>60</v>
      </c>
      <c r="H16" s="4">
        <v>7.3</v>
      </c>
      <c r="I16" s="4">
        <f t="shared" si="0"/>
        <v>52.7</v>
      </c>
      <c r="J16" s="4">
        <f>INDEX(Dim_Machine!$E$2:$E$8,MATCH(D16,Dim_Machine!$A$2:$A$8,0))*INDEX(Dim_Machine!$D$2:$D$8,MATCH(D16,Dim_Machine!$A$2:$A$8,0))*I16</f>
        <v>21080</v>
      </c>
      <c r="K16" s="4">
        <f>ROUND(J16*0.893,0)</f>
        <v>18824</v>
      </c>
      <c r="L16" s="4">
        <f>ROUND(K16*0.0265,0)</f>
        <v>499</v>
      </c>
      <c r="M16" s="4">
        <f t="shared" si="1"/>
        <v>18325</v>
      </c>
      <c r="N16" s="4">
        <f t="shared" si="2"/>
        <v>0.89297912713472483</v>
      </c>
      <c r="O16" s="4">
        <f t="shared" si="3"/>
        <v>0.87833333333333341</v>
      </c>
      <c r="P16" s="4">
        <f>IFERROR((K16/I16)/(INDEX(Dim_Machine!$E$2:$E$8,MATCH(D16,Dim_Machine!$A$2:$A$8,0))*INDEX(Dim_Machine!$D$2:$D$8,MATCH(D16,Dim_Machine!$A$2:$A$8,0))),0)</f>
        <v>0.89297912713472483</v>
      </c>
      <c r="Q16" s="4">
        <f t="shared" si="4"/>
        <v>0.97349128771780702</v>
      </c>
      <c r="R16" s="4">
        <f t="shared" si="5"/>
        <v>0.76354166666666667</v>
      </c>
      <c r="S16" s="4">
        <f>T16/0.832</f>
        <v>5.5063100961538458</v>
      </c>
      <c r="T16" s="4">
        <f>M16*INDEX(Dim_Product!$C$2:$C$4,MATCH(F16,Dim_Product!$A$2:$A$4,0))/1000000</f>
        <v>4.5812499999999998</v>
      </c>
      <c r="U16" s="16">
        <f t="shared" si="6"/>
        <v>0.83200000000000007</v>
      </c>
    </row>
    <row r="17" spans="1:24" x14ac:dyDescent="0.25">
      <c r="A17" s="15" t="s">
        <v>157</v>
      </c>
      <c r="B17" s="4">
        <v>20260701</v>
      </c>
      <c r="C17" s="4">
        <v>2</v>
      </c>
      <c r="D17" s="4" t="s">
        <v>19</v>
      </c>
      <c r="E17" s="4" t="s">
        <v>20</v>
      </c>
      <c r="F17" s="4" t="s">
        <v>143</v>
      </c>
      <c r="G17" s="4">
        <v>60</v>
      </c>
      <c r="H17" s="4">
        <v>4</v>
      </c>
      <c r="I17" s="4">
        <f t="shared" si="0"/>
        <v>56</v>
      </c>
      <c r="J17" s="4">
        <f>INDEX(Dim_Machine!$E$2:$E$8,MATCH(D17,Dim_Machine!$A$2:$A$8,0))*INDEX(Dim_Machine!$D$2:$D$8,MATCH(D17,Dim_Machine!$A$2:$A$8,0))*I17</f>
        <v>37632</v>
      </c>
      <c r="K17" s="4">
        <f>ROUND(J17*0.957,0)</f>
        <v>36014</v>
      </c>
      <c r="L17" s="4">
        <f>ROUND(K17*0.0243,0)</f>
        <v>875</v>
      </c>
      <c r="M17" s="4">
        <f t="shared" si="1"/>
        <v>35139</v>
      </c>
      <c r="N17" s="4">
        <f t="shared" si="2"/>
        <v>0.95700467687074831</v>
      </c>
      <c r="O17" s="4">
        <f t="shared" si="3"/>
        <v>0.93333333333333335</v>
      </c>
      <c r="P17" s="4">
        <f>IFERROR((K17/I17)/(INDEX(Dim_Machine!$E$2:$E$8,MATCH(D17,Dim_Machine!$A$2:$A$8,0))*INDEX(Dim_Machine!$D$2:$D$8,MATCH(D17,Dim_Machine!$A$2:$A$8,0))),0)</f>
        <v>0.95700467687074831</v>
      </c>
      <c r="Q17" s="4">
        <f t="shared" si="4"/>
        <v>0.97570389293052706</v>
      </c>
      <c r="R17" s="4">
        <f t="shared" si="5"/>
        <v>0.87150297619047623</v>
      </c>
      <c r="S17" s="4">
        <f>T17/0.821</f>
        <v>8.5600487210718637</v>
      </c>
      <c r="T17" s="4">
        <f>M17*INDEX(Dim_Product!$C$2:$C$4,MATCH(F17,Dim_Product!$A$2:$A$4,0))/1000000</f>
        <v>7.0278</v>
      </c>
      <c r="U17" s="16">
        <f t="shared" si="6"/>
        <v>0.82099999999999995</v>
      </c>
      <c r="W17">
        <v>85000</v>
      </c>
    </row>
    <row r="18" spans="1:24" x14ac:dyDescent="0.25">
      <c r="A18" s="15" t="s">
        <v>158</v>
      </c>
      <c r="B18" s="4">
        <v>20260701</v>
      </c>
      <c r="C18" s="4">
        <v>2</v>
      </c>
      <c r="D18" s="4" t="s">
        <v>23</v>
      </c>
      <c r="E18" s="4" t="s">
        <v>20</v>
      </c>
      <c r="F18" s="4" t="s">
        <v>141</v>
      </c>
      <c r="G18" s="4">
        <v>60</v>
      </c>
      <c r="H18" s="4">
        <v>1.1000000000000001</v>
      </c>
      <c r="I18" s="4">
        <f t="shared" si="0"/>
        <v>58.9</v>
      </c>
      <c r="J18" s="4">
        <f>INDEX(Dim_Machine!$E$2:$E$8,MATCH(D18,Dim_Machine!$A$2:$A$8,0))*INDEX(Dim_Machine!$D$2:$D$8,MATCH(D18,Dim_Machine!$A$2:$A$8,0))*I18</f>
        <v>15549.6</v>
      </c>
      <c r="K18" s="4">
        <f>ROUND(J18*0.929,0)</f>
        <v>14446</v>
      </c>
      <c r="L18" s="4">
        <f>ROUND(K18*0.0212,0)</f>
        <v>306</v>
      </c>
      <c r="M18" s="4">
        <f t="shared" si="1"/>
        <v>14140</v>
      </c>
      <c r="N18" s="4">
        <f t="shared" si="2"/>
        <v>0.92902711323763953</v>
      </c>
      <c r="O18" s="4">
        <f t="shared" si="3"/>
        <v>0.98166666666666669</v>
      </c>
      <c r="P18" s="4">
        <f>IFERROR((K18/I18)/(INDEX(Dim_Machine!$E$2:$E$8,MATCH(D18,Dim_Machine!$A$2:$A$8,0))*INDEX(Dim_Machine!$D$2:$D$8,MATCH(D18,Dim_Machine!$A$2:$A$8,0))),0)</f>
        <v>0.92902711323763953</v>
      </c>
      <c r="Q18" s="4">
        <f t="shared" si="4"/>
        <v>0.97881766578983798</v>
      </c>
      <c r="R18" s="4">
        <f t="shared" si="5"/>
        <v>0.89267676767676762</v>
      </c>
      <c r="S18" s="4">
        <f>T18/0.912</f>
        <v>3.8760964912280702</v>
      </c>
      <c r="T18" s="4">
        <f>M18*INDEX(Dim_Product!$C$2:$C$4,MATCH(F18,Dim_Product!$A$2:$A$4,0))/1000000</f>
        <v>3.5350000000000001</v>
      </c>
      <c r="U18" s="16">
        <f t="shared" si="6"/>
        <v>0.91200000000000003</v>
      </c>
      <c r="W18">
        <v>4047000</v>
      </c>
      <c r="X18">
        <v>4590000</v>
      </c>
    </row>
    <row r="19" spans="1:24" x14ac:dyDescent="0.25">
      <c r="A19" s="15" t="s">
        <v>159</v>
      </c>
      <c r="B19" s="4">
        <v>20260701</v>
      </c>
      <c r="C19" s="4">
        <v>2</v>
      </c>
      <c r="D19" s="4" t="s">
        <v>25</v>
      </c>
      <c r="E19" s="4" t="s">
        <v>20</v>
      </c>
      <c r="F19" s="4" t="s">
        <v>141</v>
      </c>
      <c r="G19" s="4">
        <v>60</v>
      </c>
      <c r="H19" s="4">
        <v>3.4</v>
      </c>
      <c r="I19" s="4">
        <f t="shared" si="0"/>
        <v>56.6</v>
      </c>
      <c r="J19" s="4">
        <f>INDEX(Dim_Machine!$E$2:$E$8,MATCH(D19,Dim_Machine!$A$2:$A$8,0))*INDEX(Dim_Machine!$D$2:$D$8,MATCH(D19,Dim_Machine!$A$2:$A$8,0))*I19</f>
        <v>40752</v>
      </c>
      <c r="K19" s="4">
        <f>ROUND(J19*0.897,0)</f>
        <v>36555</v>
      </c>
      <c r="L19" s="4">
        <f>ROUND(K19*0.0159,0)</f>
        <v>581</v>
      </c>
      <c r="M19" s="4">
        <f t="shared" si="1"/>
        <v>35974</v>
      </c>
      <c r="N19" s="4">
        <f t="shared" si="2"/>
        <v>0.89701118963486459</v>
      </c>
      <c r="O19" s="4">
        <f t="shared" si="3"/>
        <v>0.94333333333333336</v>
      </c>
      <c r="P19" s="4">
        <f>IFERROR((K19/I19)/(INDEX(Dim_Machine!$E$2:$E$8,MATCH(D19,Dim_Machine!$A$2:$A$8,0))*INDEX(Dim_Machine!$D$2:$D$8,MATCH(D19,Dim_Machine!$A$2:$A$8,0))),0)</f>
        <v>0.89701118963486459</v>
      </c>
      <c r="Q19" s="4">
        <f t="shared" si="4"/>
        <v>0.98410614143072084</v>
      </c>
      <c r="R19" s="4">
        <f t="shared" si="5"/>
        <v>0.83273148148148157</v>
      </c>
      <c r="S19" s="4">
        <f>T19/0.95</f>
        <v>9.4668421052631579</v>
      </c>
      <c r="T19" s="4">
        <f>M19*INDEX(Dim_Product!$C$2:$C$4,MATCH(F19,Dim_Product!$A$2:$A$4,0))/1000000</f>
        <v>8.9934999999999992</v>
      </c>
      <c r="U19" s="16">
        <f t="shared" si="6"/>
        <v>0.95</v>
      </c>
      <c r="W19">
        <f>W17/W18</f>
        <v>2.1003212255992092E-2</v>
      </c>
    </row>
    <row r="20" spans="1:24" x14ac:dyDescent="0.25">
      <c r="A20" s="15" t="s">
        <v>160</v>
      </c>
      <c r="B20" s="4">
        <v>20260701</v>
      </c>
      <c r="C20" s="4">
        <v>2</v>
      </c>
      <c r="D20" s="4" t="s">
        <v>27</v>
      </c>
      <c r="E20" s="4" t="s">
        <v>20</v>
      </c>
      <c r="F20" s="4" t="s">
        <v>141</v>
      </c>
      <c r="G20" s="4">
        <v>60</v>
      </c>
      <c r="H20" s="4">
        <v>1.1000000000000001</v>
      </c>
      <c r="I20" s="4">
        <f t="shared" si="0"/>
        <v>58.9</v>
      </c>
      <c r="J20" s="4">
        <f>INDEX(Dim_Machine!$E$2:$E$8,MATCH(D20,Dim_Machine!$A$2:$A$8,0))*INDEX(Dim_Machine!$D$2:$D$8,MATCH(D20,Dim_Machine!$A$2:$A$8,0))*I20</f>
        <v>24502.399999999998</v>
      </c>
      <c r="K20" s="4">
        <f>ROUND(J20*0.879,0)</f>
        <v>21538</v>
      </c>
      <c r="L20" s="4">
        <f>ROUND(K20*0.0277,0)</f>
        <v>597</v>
      </c>
      <c r="M20" s="4">
        <f t="shared" si="1"/>
        <v>20941</v>
      </c>
      <c r="N20" s="4">
        <f t="shared" si="2"/>
        <v>0.87901593313308091</v>
      </c>
      <c r="O20" s="4">
        <f t="shared" si="3"/>
        <v>0.98166666666666669</v>
      </c>
      <c r="P20" s="4">
        <f>IFERROR((K20/I20)/(INDEX(Dim_Machine!$E$2:$E$8,MATCH(D20,Dim_Machine!$A$2:$A$8,0))*INDEX(Dim_Machine!$D$2:$D$8,MATCH(D20,Dim_Machine!$A$2:$A$8,0))),0)</f>
        <v>0.87901593313308091</v>
      </c>
      <c r="Q20" s="4">
        <f t="shared" si="4"/>
        <v>0.97228154889033336</v>
      </c>
      <c r="R20" s="4">
        <f t="shared" si="5"/>
        <v>0.8389823717948719</v>
      </c>
      <c r="S20" s="4">
        <f>T20/0.929</f>
        <v>5.6353606027987073</v>
      </c>
      <c r="T20" s="4">
        <f>M20*INDEX(Dim_Product!$C$2:$C$4,MATCH(F20,Dim_Product!$A$2:$A$4,0))/1000000</f>
        <v>5.2352499999999997</v>
      </c>
      <c r="U20" s="16">
        <f t="shared" si="6"/>
        <v>0.92900000000000016</v>
      </c>
    </row>
    <row r="21" spans="1:24" x14ac:dyDescent="0.25">
      <c r="A21" s="15" t="s">
        <v>161</v>
      </c>
      <c r="B21" s="4">
        <v>20260701</v>
      </c>
      <c r="C21" s="4">
        <v>2</v>
      </c>
      <c r="D21" s="4" t="s">
        <v>29</v>
      </c>
      <c r="E21" s="4" t="s">
        <v>20</v>
      </c>
      <c r="F21" s="4" t="s">
        <v>143</v>
      </c>
      <c r="G21" s="4">
        <v>60</v>
      </c>
      <c r="H21" s="4">
        <v>1.2</v>
      </c>
      <c r="I21" s="4">
        <f t="shared" si="0"/>
        <v>58.8</v>
      </c>
      <c r="J21" s="4">
        <f>INDEX(Dim_Machine!$E$2:$E$8,MATCH(D21,Dim_Machine!$A$2:$A$8,0))*INDEX(Dim_Machine!$D$2:$D$8,MATCH(D21,Dim_Machine!$A$2:$A$8,0))*I21</f>
        <v>16934.399999999998</v>
      </c>
      <c r="K21" s="4">
        <f>ROUND(J21*0.812,0)</f>
        <v>13751</v>
      </c>
      <c r="L21" s="4">
        <f>ROUND(K21*0.0254,0)</f>
        <v>349</v>
      </c>
      <c r="M21" s="4">
        <f t="shared" si="1"/>
        <v>13402</v>
      </c>
      <c r="N21" s="4">
        <f t="shared" si="2"/>
        <v>0.81201577853363582</v>
      </c>
      <c r="O21" s="4">
        <f t="shared" si="3"/>
        <v>0.98</v>
      </c>
      <c r="P21" s="4">
        <f>IFERROR((K21/I21)/(INDEX(Dim_Machine!$E$2:$E$8,MATCH(D21,Dim_Machine!$A$2:$A$8,0))*INDEX(Dim_Machine!$D$2:$D$8,MATCH(D21,Dim_Machine!$A$2:$A$8,0))),0)</f>
        <v>0.81201577853363571</v>
      </c>
      <c r="Q21" s="4">
        <f t="shared" si="4"/>
        <v>0.97462002763435385</v>
      </c>
      <c r="R21" s="4">
        <f t="shared" si="5"/>
        <v>0.77557870370370374</v>
      </c>
      <c r="S21" s="4">
        <f>T21/0.889</f>
        <v>3.0150731158605177</v>
      </c>
      <c r="T21" s="4">
        <f>M21*INDEX(Dim_Product!$C$2:$C$4,MATCH(F21,Dim_Product!$A$2:$A$4,0))/1000000</f>
        <v>2.6804000000000001</v>
      </c>
      <c r="U21" s="16">
        <f t="shared" si="6"/>
        <v>0.8889999999999999</v>
      </c>
      <c r="W21">
        <v>4123000</v>
      </c>
    </row>
    <row r="22" spans="1:24" x14ac:dyDescent="0.25">
      <c r="A22" s="15" t="s">
        <v>162</v>
      </c>
      <c r="B22" s="4">
        <v>20260701</v>
      </c>
      <c r="C22" s="4">
        <v>2</v>
      </c>
      <c r="D22" s="4" t="s">
        <v>31</v>
      </c>
      <c r="E22" s="4" t="s">
        <v>20</v>
      </c>
      <c r="F22" s="4" t="s">
        <v>141</v>
      </c>
      <c r="G22" s="4">
        <v>60</v>
      </c>
      <c r="H22" s="4">
        <v>3.1</v>
      </c>
      <c r="I22" s="4">
        <f t="shared" si="0"/>
        <v>56.9</v>
      </c>
      <c r="J22" s="4">
        <f>INDEX(Dim_Machine!$E$2:$E$8,MATCH(D22,Dim_Machine!$A$2:$A$8,0))*INDEX(Dim_Machine!$D$2:$D$8,MATCH(D22,Dim_Machine!$A$2:$A$8,0))*I22</f>
        <v>36871.199999999997</v>
      </c>
      <c r="K22" s="4">
        <f>ROUND(J22*0.899,0)</f>
        <v>33147</v>
      </c>
      <c r="L22" s="4">
        <f>ROUND(K22*0.019,0)</f>
        <v>630</v>
      </c>
      <c r="M22" s="4">
        <f t="shared" si="1"/>
        <v>32517</v>
      </c>
      <c r="N22" s="4">
        <f t="shared" si="2"/>
        <v>0.89899433704354625</v>
      </c>
      <c r="O22" s="4">
        <f t="shared" si="3"/>
        <v>0.94833333333333336</v>
      </c>
      <c r="P22" s="4">
        <f>IFERROR((K22/I22)/(INDEX(Dim_Machine!$E$2:$E$8,MATCH(D22,Dim_Machine!$A$2:$A$8,0))*INDEX(Dim_Machine!$D$2:$D$8,MATCH(D22,Dim_Machine!$A$2:$A$8,0))),0)</f>
        <v>0.89899433704354625</v>
      </c>
      <c r="Q22" s="4">
        <f t="shared" si="4"/>
        <v>0.98099375509095843</v>
      </c>
      <c r="R22" s="4">
        <f t="shared" si="5"/>
        <v>0.83634259259259269</v>
      </c>
      <c r="S22" s="4">
        <f>T22/0.838</f>
        <v>9.7007756563245842</v>
      </c>
      <c r="T22" s="4">
        <f>M22*INDEX(Dim_Product!$C$2:$C$4,MATCH(F22,Dim_Product!$A$2:$A$4,0))/1000000</f>
        <v>8.1292500000000008</v>
      </c>
      <c r="U22" s="16">
        <f t="shared" si="6"/>
        <v>0.83799999999999997</v>
      </c>
      <c r="W22">
        <f>W21/X18</f>
        <v>0.89825708061002174</v>
      </c>
    </row>
    <row r="23" spans="1:24" x14ac:dyDescent="0.25">
      <c r="A23" s="15" t="s">
        <v>163</v>
      </c>
      <c r="B23" s="4">
        <v>20260701</v>
      </c>
      <c r="C23" s="4">
        <v>3</v>
      </c>
      <c r="D23" s="4" t="s">
        <v>15</v>
      </c>
      <c r="E23" s="4" t="s">
        <v>20</v>
      </c>
      <c r="F23" s="4" t="s">
        <v>141</v>
      </c>
      <c r="G23" s="4">
        <v>60</v>
      </c>
      <c r="H23" s="4">
        <v>4.4000000000000004</v>
      </c>
      <c r="I23" s="4">
        <f t="shared" si="0"/>
        <v>55.6</v>
      </c>
      <c r="J23" s="4">
        <f>INDEX(Dim_Machine!$E$2:$E$8,MATCH(D23,Dim_Machine!$A$2:$A$8,0))*INDEX(Dim_Machine!$D$2:$D$8,MATCH(D23,Dim_Machine!$A$2:$A$8,0))*I23</f>
        <v>22240</v>
      </c>
      <c r="K23" s="4">
        <f>ROUND(J23*0.968,0)</f>
        <v>21528</v>
      </c>
      <c r="L23" s="4">
        <f>ROUND(K23*0.0254,0)</f>
        <v>547</v>
      </c>
      <c r="M23" s="4">
        <f t="shared" si="1"/>
        <v>20981</v>
      </c>
      <c r="N23" s="4">
        <f t="shared" si="2"/>
        <v>0.96798561151079132</v>
      </c>
      <c r="O23" s="4">
        <f t="shared" si="3"/>
        <v>0.92666666666666664</v>
      </c>
      <c r="P23" s="4">
        <f>IFERROR((K23/I23)/(INDEX(Dim_Machine!$E$2:$E$8,MATCH(D23,Dim_Machine!$A$2:$A$8,0))*INDEX(Dim_Machine!$D$2:$D$8,MATCH(D23,Dim_Machine!$A$2:$A$8,0))),0)</f>
        <v>0.96798561151079132</v>
      </c>
      <c r="Q23" s="4">
        <f t="shared" si="4"/>
        <v>0.97459123002601267</v>
      </c>
      <c r="R23" s="4">
        <f t="shared" si="5"/>
        <v>0.87420833333333325</v>
      </c>
      <c r="S23" s="4">
        <f>T23/0.817</f>
        <v>6.4201346389228897</v>
      </c>
      <c r="T23" s="4">
        <f>M23*INDEX(Dim_Product!$C$2:$C$4,MATCH(F23,Dim_Product!$A$2:$A$4,0))/1000000</f>
        <v>5.2452500000000004</v>
      </c>
      <c r="U23" s="16">
        <f t="shared" si="6"/>
        <v>0.81699999999999995</v>
      </c>
      <c r="W23">
        <f>W22*100</f>
        <v>89.825708061002175</v>
      </c>
    </row>
    <row r="24" spans="1:24" x14ac:dyDescent="0.25">
      <c r="A24" s="15" t="s">
        <v>164</v>
      </c>
      <c r="B24" s="4">
        <v>20260701</v>
      </c>
      <c r="C24" s="4">
        <v>3</v>
      </c>
      <c r="D24" s="4" t="s">
        <v>19</v>
      </c>
      <c r="E24" s="4" t="s">
        <v>20</v>
      </c>
      <c r="F24" s="4" t="s">
        <v>143</v>
      </c>
      <c r="G24" s="4">
        <v>60</v>
      </c>
      <c r="H24" s="4">
        <v>7.1</v>
      </c>
      <c r="I24" s="4">
        <f t="shared" si="0"/>
        <v>52.9</v>
      </c>
      <c r="J24" s="4">
        <f>INDEX(Dim_Machine!$E$2:$E$8,MATCH(D24,Dim_Machine!$A$2:$A$8,0))*INDEX(Dim_Machine!$D$2:$D$8,MATCH(D24,Dim_Machine!$A$2:$A$8,0))*I24</f>
        <v>35548.799999999996</v>
      </c>
      <c r="K24" s="4">
        <f>ROUND(J24*0.93,0)</f>
        <v>33060</v>
      </c>
      <c r="L24" s="4">
        <f>ROUND(K24*0.0281,0)</f>
        <v>929</v>
      </c>
      <c r="M24" s="4">
        <f t="shared" si="1"/>
        <v>32131</v>
      </c>
      <c r="N24" s="4">
        <f t="shared" si="2"/>
        <v>0.92998919794761015</v>
      </c>
      <c r="O24" s="4">
        <f t="shared" si="3"/>
        <v>0.8816666666666666</v>
      </c>
      <c r="P24" s="4">
        <f>IFERROR((K24/I24)/(INDEX(Dim_Machine!$E$2:$E$8,MATCH(D24,Dim_Machine!$A$2:$A$8,0))*INDEX(Dim_Machine!$D$2:$D$8,MATCH(D24,Dim_Machine!$A$2:$A$8,0))),0)</f>
        <v>0.92998919794761004</v>
      </c>
      <c r="Q24" s="4">
        <f t="shared" si="4"/>
        <v>0.97189957652752568</v>
      </c>
      <c r="R24" s="4">
        <f t="shared" si="5"/>
        <v>0.79689980158730156</v>
      </c>
      <c r="S24" s="4">
        <f>T24/0.851</f>
        <v>7.551351351351351</v>
      </c>
      <c r="T24" s="4">
        <f>M24*INDEX(Dim_Product!$C$2:$C$4,MATCH(F24,Dim_Product!$A$2:$A$4,0))/1000000</f>
        <v>6.4261999999999997</v>
      </c>
      <c r="U24" s="16">
        <f t="shared" si="6"/>
        <v>0.85099999999999998</v>
      </c>
    </row>
    <row r="25" spans="1:24" x14ac:dyDescent="0.25">
      <c r="A25" s="15" t="s">
        <v>165</v>
      </c>
      <c r="B25" s="4">
        <v>20260701</v>
      </c>
      <c r="C25" s="4">
        <v>3</v>
      </c>
      <c r="D25" s="4" t="s">
        <v>23</v>
      </c>
      <c r="E25" s="4" t="s">
        <v>20</v>
      </c>
      <c r="F25" s="4" t="s">
        <v>141</v>
      </c>
      <c r="G25" s="4">
        <v>60</v>
      </c>
      <c r="H25" s="4">
        <v>2.2999999999999998</v>
      </c>
      <c r="I25" s="4">
        <f t="shared" si="0"/>
        <v>57.7</v>
      </c>
      <c r="J25" s="4">
        <f>INDEX(Dim_Machine!$E$2:$E$8,MATCH(D25,Dim_Machine!$A$2:$A$8,0))*INDEX(Dim_Machine!$D$2:$D$8,MATCH(D25,Dim_Machine!$A$2:$A$8,0))*I25</f>
        <v>15232.800000000001</v>
      </c>
      <c r="K25" s="4">
        <f>ROUND(J25*0.812,0)</f>
        <v>12369</v>
      </c>
      <c r="L25" s="4">
        <f>ROUND(K25*0.0051,0)</f>
        <v>63</v>
      </c>
      <c r="M25" s="4">
        <f t="shared" si="1"/>
        <v>12306</v>
      </c>
      <c r="N25" s="4">
        <f t="shared" si="2"/>
        <v>0.81199779423349605</v>
      </c>
      <c r="O25" s="4">
        <f t="shared" si="3"/>
        <v>0.96166666666666667</v>
      </c>
      <c r="P25" s="4">
        <f>IFERROR((K25/I25)/(INDEX(Dim_Machine!$E$2:$E$8,MATCH(D25,Dim_Machine!$A$2:$A$8,0))*INDEX(Dim_Machine!$D$2:$D$8,MATCH(D25,Dim_Machine!$A$2:$A$8,0))),0)</f>
        <v>0.81199779423349616</v>
      </c>
      <c r="Q25" s="4">
        <f t="shared" si="4"/>
        <v>0.9949066213921901</v>
      </c>
      <c r="R25" s="4">
        <f t="shared" si="5"/>
        <v>0.77689393939393936</v>
      </c>
      <c r="S25" s="4">
        <f>T25/0.908</f>
        <v>3.3882158590308369</v>
      </c>
      <c r="T25" s="4">
        <f>M25*INDEX(Dim_Product!$C$2:$C$4,MATCH(F25,Dim_Product!$A$2:$A$4,0))/1000000</f>
        <v>3.0764999999999998</v>
      </c>
      <c r="U25" s="16">
        <f t="shared" si="6"/>
        <v>0.90799999999999992</v>
      </c>
    </row>
    <row r="26" spans="1:24" x14ac:dyDescent="0.25">
      <c r="A26" s="15" t="s">
        <v>166</v>
      </c>
      <c r="B26" s="4">
        <v>20260701</v>
      </c>
      <c r="C26" s="4">
        <v>3</v>
      </c>
      <c r="D26" s="4" t="s">
        <v>25</v>
      </c>
      <c r="E26" s="4" t="s">
        <v>20</v>
      </c>
      <c r="F26" s="4" t="s">
        <v>141</v>
      </c>
      <c r="G26" s="4">
        <v>60</v>
      </c>
      <c r="H26" s="4">
        <v>5.8</v>
      </c>
      <c r="I26" s="4">
        <f t="shared" si="0"/>
        <v>54.2</v>
      </c>
      <c r="J26" s="4">
        <f>INDEX(Dim_Machine!$E$2:$E$8,MATCH(D26,Dim_Machine!$A$2:$A$8,0))*INDEX(Dim_Machine!$D$2:$D$8,MATCH(D26,Dim_Machine!$A$2:$A$8,0))*I26</f>
        <v>39024</v>
      </c>
      <c r="K26" s="4">
        <f>ROUND(J26*0.974,0)</f>
        <v>38009</v>
      </c>
      <c r="L26" s="4">
        <f>ROUND(K26*0.0279,0)</f>
        <v>1060</v>
      </c>
      <c r="M26" s="4">
        <f t="shared" si="1"/>
        <v>36949</v>
      </c>
      <c r="N26" s="4">
        <f t="shared" si="2"/>
        <v>0.97399036490364899</v>
      </c>
      <c r="O26" s="4">
        <f t="shared" si="3"/>
        <v>0.90333333333333343</v>
      </c>
      <c r="P26" s="4">
        <f>IFERROR((K26/I26)/(INDEX(Dim_Machine!$E$2:$E$8,MATCH(D26,Dim_Machine!$A$2:$A$8,0))*INDEX(Dim_Machine!$D$2:$D$8,MATCH(D26,Dim_Machine!$A$2:$A$8,0))),0)</f>
        <v>0.9739903649036491</v>
      </c>
      <c r="Q26" s="4">
        <f t="shared" si="4"/>
        <v>0.97211186824173224</v>
      </c>
      <c r="R26" s="4">
        <f t="shared" si="5"/>
        <v>0.8553009259259261</v>
      </c>
      <c r="S26" s="4">
        <f>T26/0.876</f>
        <v>10.544805936073059</v>
      </c>
      <c r="T26" s="4">
        <f>M26*INDEX(Dim_Product!$C$2:$C$4,MATCH(F26,Dim_Product!$A$2:$A$4,0))/1000000</f>
        <v>9.2372499999999995</v>
      </c>
      <c r="U26" s="16">
        <f t="shared" si="6"/>
        <v>0.876</v>
      </c>
    </row>
    <row r="27" spans="1:24" x14ac:dyDescent="0.25">
      <c r="A27" s="15" t="s">
        <v>167</v>
      </c>
      <c r="B27" s="4">
        <v>20260701</v>
      </c>
      <c r="C27" s="4">
        <v>3</v>
      </c>
      <c r="D27" s="4" t="s">
        <v>27</v>
      </c>
      <c r="E27" s="4" t="s">
        <v>20</v>
      </c>
      <c r="F27" s="4" t="s">
        <v>141</v>
      </c>
      <c r="G27" s="4">
        <v>60</v>
      </c>
      <c r="H27" s="4">
        <v>0.9</v>
      </c>
      <c r="I27" s="4">
        <f t="shared" si="0"/>
        <v>59.1</v>
      </c>
      <c r="J27" s="4">
        <f>INDEX(Dim_Machine!$E$2:$E$8,MATCH(D27,Dim_Machine!$A$2:$A$8,0))*INDEX(Dim_Machine!$D$2:$D$8,MATCH(D27,Dim_Machine!$A$2:$A$8,0))*I27</f>
        <v>24585.600000000002</v>
      </c>
      <c r="K27" s="4">
        <f>ROUND(J27*0.905,0)</f>
        <v>22250</v>
      </c>
      <c r="L27" s="4">
        <f>ROUND(K27*0.0303,0)</f>
        <v>674</v>
      </c>
      <c r="M27" s="4">
        <f t="shared" si="1"/>
        <v>21576</v>
      </c>
      <c r="N27" s="4">
        <f t="shared" si="2"/>
        <v>0.90500130157490555</v>
      </c>
      <c r="O27" s="4">
        <f t="shared" si="3"/>
        <v>0.98499999999999999</v>
      </c>
      <c r="P27" s="4">
        <f>IFERROR((K27/I27)/(INDEX(Dim_Machine!$E$2:$E$8,MATCH(D27,Dim_Machine!$A$2:$A$8,0))*INDEX(Dim_Machine!$D$2:$D$8,MATCH(D27,Dim_Machine!$A$2:$A$8,0))),0)</f>
        <v>0.90500130157490566</v>
      </c>
      <c r="Q27" s="4">
        <f t="shared" si="4"/>
        <v>0.96970786516853935</v>
      </c>
      <c r="R27" s="4">
        <f t="shared" si="5"/>
        <v>0.86442307692307696</v>
      </c>
      <c r="S27" s="4">
        <f>T27/0.876</f>
        <v>6.1575342465753424</v>
      </c>
      <c r="T27" s="4">
        <f>M27*INDEX(Dim_Product!$C$2:$C$4,MATCH(F27,Dim_Product!$A$2:$A$4,0))/1000000</f>
        <v>5.3940000000000001</v>
      </c>
      <c r="U27" s="16">
        <f t="shared" si="6"/>
        <v>0.876</v>
      </c>
    </row>
    <row r="28" spans="1:24" x14ac:dyDescent="0.25">
      <c r="A28" s="15" t="s">
        <v>168</v>
      </c>
      <c r="B28" s="4">
        <v>20260701</v>
      </c>
      <c r="C28" s="4">
        <v>3</v>
      </c>
      <c r="D28" s="4" t="s">
        <v>29</v>
      </c>
      <c r="E28" s="4" t="s">
        <v>20</v>
      </c>
      <c r="F28" s="4" t="s">
        <v>143</v>
      </c>
      <c r="G28" s="4">
        <v>60</v>
      </c>
      <c r="H28" s="4">
        <v>1.6</v>
      </c>
      <c r="I28" s="4">
        <f t="shared" si="0"/>
        <v>58.4</v>
      </c>
      <c r="J28" s="4">
        <f>INDEX(Dim_Machine!$E$2:$E$8,MATCH(D28,Dim_Machine!$A$2:$A$8,0))*INDEX(Dim_Machine!$D$2:$D$8,MATCH(D28,Dim_Machine!$A$2:$A$8,0))*I28</f>
        <v>16819.2</v>
      </c>
      <c r="K28" s="4">
        <f>ROUND(J28*0.855,0)</f>
        <v>14380</v>
      </c>
      <c r="L28" s="4">
        <f>ROUND(K28*0.0098,0)</f>
        <v>141</v>
      </c>
      <c r="M28" s="4">
        <f t="shared" si="1"/>
        <v>14239</v>
      </c>
      <c r="N28" s="4">
        <f t="shared" si="2"/>
        <v>0.85497526636225263</v>
      </c>
      <c r="O28" s="4">
        <f t="shared" si="3"/>
        <v>0.97333333333333327</v>
      </c>
      <c r="P28" s="4">
        <f>IFERROR((K28/I28)/(INDEX(Dim_Machine!$E$2:$E$8,MATCH(D28,Dim_Machine!$A$2:$A$8,0))*INDEX(Dim_Machine!$D$2:$D$8,MATCH(D28,Dim_Machine!$A$2:$A$8,0))),0)</f>
        <v>0.85497526636225263</v>
      </c>
      <c r="Q28" s="4">
        <f t="shared" si="4"/>
        <v>0.99019471488178024</v>
      </c>
      <c r="R28" s="4">
        <f t="shared" si="5"/>
        <v>0.82401620370370354</v>
      </c>
      <c r="S28" s="4">
        <f>T28/0.943</f>
        <v>3.0199363732767761</v>
      </c>
      <c r="T28" s="4">
        <f>M28*INDEX(Dim_Product!$C$2:$C$4,MATCH(F28,Dim_Product!$A$2:$A$4,0))/1000000</f>
        <v>2.8477999999999999</v>
      </c>
      <c r="U28" s="16">
        <f t="shared" si="6"/>
        <v>0.94300000000000006</v>
      </c>
    </row>
    <row r="29" spans="1:24" x14ac:dyDescent="0.25">
      <c r="A29" s="15" t="s">
        <v>169</v>
      </c>
      <c r="B29" s="4">
        <v>20260701</v>
      </c>
      <c r="C29" s="4">
        <v>3</v>
      </c>
      <c r="D29" s="4" t="s">
        <v>31</v>
      </c>
      <c r="E29" s="4" t="s">
        <v>20</v>
      </c>
      <c r="F29" s="4" t="s">
        <v>141</v>
      </c>
      <c r="G29" s="4">
        <v>60</v>
      </c>
      <c r="H29" s="4">
        <v>7.4</v>
      </c>
      <c r="I29" s="4">
        <f t="shared" si="0"/>
        <v>52.6</v>
      </c>
      <c r="J29" s="4">
        <f>INDEX(Dim_Machine!$E$2:$E$8,MATCH(D29,Dim_Machine!$A$2:$A$8,0))*INDEX(Dim_Machine!$D$2:$D$8,MATCH(D29,Dim_Machine!$A$2:$A$8,0))*I29</f>
        <v>34084.800000000003</v>
      </c>
      <c r="K29" s="4">
        <f>ROUND(J29*0.964,0)</f>
        <v>32858</v>
      </c>
      <c r="L29" s="4">
        <f>ROUND(K29*0.023,0)</f>
        <v>756</v>
      </c>
      <c r="M29" s="4">
        <f t="shared" si="1"/>
        <v>32102</v>
      </c>
      <c r="N29" s="4">
        <f t="shared" si="2"/>
        <v>0.96400741679575641</v>
      </c>
      <c r="O29" s="4">
        <f t="shared" si="3"/>
        <v>0.87666666666666671</v>
      </c>
      <c r="P29" s="4">
        <f>IFERROR((K29/I29)/(INDEX(Dim_Machine!$E$2:$E$8,MATCH(D29,Dim_Machine!$A$2:$A$8,0))*INDEX(Dim_Machine!$D$2:$D$8,MATCH(D29,Dim_Machine!$A$2:$A$8,0))),0)</f>
        <v>0.96400741679575641</v>
      </c>
      <c r="Q29" s="4">
        <f t="shared" si="4"/>
        <v>0.97699190455901153</v>
      </c>
      <c r="R29" s="4">
        <f t="shared" si="5"/>
        <v>0.8256687242798354</v>
      </c>
      <c r="S29" s="4">
        <f>T29/0.873</f>
        <v>9.1930126002290944</v>
      </c>
      <c r="T29" s="4">
        <f>M29*INDEX(Dim_Product!$C$2:$C$4,MATCH(F29,Dim_Product!$A$2:$A$4,0))/1000000</f>
        <v>8.0254999999999992</v>
      </c>
      <c r="U29" s="16">
        <f t="shared" si="6"/>
        <v>0.873</v>
      </c>
    </row>
    <row r="30" spans="1:24" x14ac:dyDescent="0.25">
      <c r="A30" s="15" t="s">
        <v>170</v>
      </c>
      <c r="B30" s="4">
        <v>20260701</v>
      </c>
      <c r="C30" s="4">
        <v>4</v>
      </c>
      <c r="D30" s="4" t="s">
        <v>15</v>
      </c>
      <c r="E30" s="4" t="s">
        <v>20</v>
      </c>
      <c r="F30" s="4" t="s">
        <v>141</v>
      </c>
      <c r="G30" s="4">
        <v>60</v>
      </c>
      <c r="H30" s="4">
        <v>0.9</v>
      </c>
      <c r="I30" s="4">
        <f t="shared" si="0"/>
        <v>59.1</v>
      </c>
      <c r="J30" s="4">
        <f>INDEX(Dim_Machine!$E$2:$E$8,MATCH(D30,Dim_Machine!$A$2:$A$8,0))*INDEX(Dim_Machine!$D$2:$D$8,MATCH(D30,Dim_Machine!$A$2:$A$8,0))*I30</f>
        <v>23640</v>
      </c>
      <c r="K30" s="4">
        <f>ROUND(J30*0.853,0)</f>
        <v>20165</v>
      </c>
      <c r="L30" s="4">
        <f>ROUND(K30*0.0346,0)</f>
        <v>698</v>
      </c>
      <c r="M30" s="4">
        <f t="shared" si="1"/>
        <v>19467</v>
      </c>
      <c r="N30" s="4">
        <f t="shared" si="2"/>
        <v>0.85300338409475462</v>
      </c>
      <c r="O30" s="4">
        <f t="shared" si="3"/>
        <v>0.98499999999999999</v>
      </c>
      <c r="P30" s="4">
        <f>IFERROR((K30/I30)/(INDEX(Dim_Machine!$E$2:$E$8,MATCH(D30,Dim_Machine!$A$2:$A$8,0))*INDEX(Dim_Machine!$D$2:$D$8,MATCH(D30,Dim_Machine!$A$2:$A$8,0))),0)</f>
        <v>0.85300338409475462</v>
      </c>
      <c r="Q30" s="4">
        <f t="shared" si="4"/>
        <v>0.96538556905529382</v>
      </c>
      <c r="R30" s="4">
        <f t="shared" si="5"/>
        <v>0.81112499999999998</v>
      </c>
      <c r="S30" s="4">
        <f>T30/0.921</f>
        <v>5.2842019543973935</v>
      </c>
      <c r="T30" s="4">
        <f>M30*INDEX(Dim_Product!$C$2:$C$4,MATCH(F30,Dim_Product!$A$2:$A$4,0))/1000000</f>
        <v>4.8667499999999997</v>
      </c>
      <c r="U30" s="16">
        <f t="shared" si="6"/>
        <v>0.92100000000000004</v>
      </c>
    </row>
    <row r="31" spans="1:24" x14ac:dyDescent="0.25">
      <c r="A31" s="15" t="s">
        <v>171</v>
      </c>
      <c r="B31" s="4">
        <v>20260701</v>
      </c>
      <c r="C31" s="4">
        <v>4</v>
      </c>
      <c r="D31" s="4" t="s">
        <v>19</v>
      </c>
      <c r="E31" s="4" t="s">
        <v>20</v>
      </c>
      <c r="F31" s="4" t="s">
        <v>143</v>
      </c>
      <c r="G31" s="4">
        <v>60</v>
      </c>
      <c r="H31" s="4">
        <v>1.9</v>
      </c>
      <c r="I31" s="4">
        <f t="shared" si="0"/>
        <v>58.1</v>
      </c>
      <c r="J31" s="4">
        <f>INDEX(Dim_Machine!$E$2:$E$8,MATCH(D31,Dim_Machine!$A$2:$A$8,0))*INDEX(Dim_Machine!$D$2:$D$8,MATCH(D31,Dim_Machine!$A$2:$A$8,0))*I31</f>
        <v>39043.200000000004</v>
      </c>
      <c r="K31" s="4">
        <f>ROUND(J31*0.828,0)</f>
        <v>32328</v>
      </c>
      <c r="L31" s="4">
        <f>ROUND(K31*0.022,0)</f>
        <v>711</v>
      </c>
      <c r="M31" s="4">
        <f t="shared" si="1"/>
        <v>31617</v>
      </c>
      <c r="N31" s="4">
        <f t="shared" si="2"/>
        <v>0.82800590115564288</v>
      </c>
      <c r="O31" s="4">
        <f t="shared" si="3"/>
        <v>0.96833333333333338</v>
      </c>
      <c r="P31" s="4">
        <f>IFERROR((K31/I31)/(INDEX(Dim_Machine!$E$2:$E$8,MATCH(D31,Dim_Machine!$A$2:$A$8,0))*INDEX(Dim_Machine!$D$2:$D$8,MATCH(D31,Dim_Machine!$A$2:$A$8,0))),0)</f>
        <v>0.82800590115564299</v>
      </c>
      <c r="Q31" s="4">
        <f t="shared" si="4"/>
        <v>0.97800668151447656</v>
      </c>
      <c r="R31" s="4">
        <f t="shared" si="5"/>
        <v>0.78415178571428568</v>
      </c>
      <c r="S31" s="4">
        <f>T31/0.812</f>
        <v>7.7874384236453205</v>
      </c>
      <c r="T31" s="4">
        <f>M31*INDEX(Dim_Product!$C$2:$C$4,MATCH(F31,Dim_Product!$A$2:$A$4,0))/1000000</f>
        <v>6.3234000000000004</v>
      </c>
      <c r="U31" s="16">
        <f t="shared" si="6"/>
        <v>0.81200000000000006</v>
      </c>
    </row>
    <row r="32" spans="1:24" x14ac:dyDescent="0.25">
      <c r="A32" s="15" t="s">
        <v>172</v>
      </c>
      <c r="B32" s="4">
        <v>20260701</v>
      </c>
      <c r="C32" s="4">
        <v>4</v>
      </c>
      <c r="D32" s="4" t="s">
        <v>23</v>
      </c>
      <c r="E32" s="4" t="s">
        <v>20</v>
      </c>
      <c r="F32" s="4" t="s">
        <v>141</v>
      </c>
      <c r="G32" s="4">
        <v>60</v>
      </c>
      <c r="H32" s="4">
        <v>5.9</v>
      </c>
      <c r="I32" s="4">
        <f t="shared" si="0"/>
        <v>54.1</v>
      </c>
      <c r="J32" s="4">
        <f>INDEX(Dim_Machine!$E$2:$E$8,MATCH(D32,Dim_Machine!$A$2:$A$8,0))*INDEX(Dim_Machine!$D$2:$D$8,MATCH(D32,Dim_Machine!$A$2:$A$8,0))*I32</f>
        <v>14282.4</v>
      </c>
      <c r="K32" s="4">
        <f>ROUND(J32*0.943,0)</f>
        <v>13468</v>
      </c>
      <c r="L32" s="4">
        <f>ROUND(K32*0.0343,0)</f>
        <v>462</v>
      </c>
      <c r="M32" s="4">
        <f t="shared" si="1"/>
        <v>13006</v>
      </c>
      <c r="N32" s="4">
        <f t="shared" si="2"/>
        <v>0.94297877107488937</v>
      </c>
      <c r="O32" s="4">
        <f t="shared" si="3"/>
        <v>0.90166666666666673</v>
      </c>
      <c r="P32" s="4">
        <f>IFERROR((K32/I32)/(INDEX(Dim_Machine!$E$2:$E$8,MATCH(D32,Dim_Machine!$A$2:$A$8,0))*INDEX(Dim_Machine!$D$2:$D$8,MATCH(D32,Dim_Machine!$A$2:$A$8,0))),0)</f>
        <v>0.94297877107488937</v>
      </c>
      <c r="Q32" s="4">
        <f t="shared" si="4"/>
        <v>0.96569646569646572</v>
      </c>
      <c r="R32" s="4">
        <f t="shared" si="5"/>
        <v>0.82108585858585859</v>
      </c>
      <c r="S32" s="4">
        <f>T32/0.88</f>
        <v>3.6948863636363636</v>
      </c>
      <c r="T32" s="4">
        <f>M32*INDEX(Dim_Product!$C$2:$C$4,MATCH(F32,Dim_Product!$A$2:$A$4,0))/1000000</f>
        <v>3.2515000000000001</v>
      </c>
      <c r="U32" s="16">
        <f t="shared" si="6"/>
        <v>0.88</v>
      </c>
    </row>
    <row r="33" spans="1:21" x14ac:dyDescent="0.25">
      <c r="A33" s="15" t="s">
        <v>173</v>
      </c>
      <c r="B33" s="4">
        <v>20260701</v>
      </c>
      <c r="C33" s="4">
        <v>4</v>
      </c>
      <c r="D33" s="4" t="s">
        <v>25</v>
      </c>
      <c r="E33" s="4" t="s">
        <v>20</v>
      </c>
      <c r="F33" s="4" t="s">
        <v>141</v>
      </c>
      <c r="G33" s="4">
        <v>60</v>
      </c>
      <c r="H33" s="4">
        <v>1</v>
      </c>
      <c r="I33" s="4">
        <f t="shared" si="0"/>
        <v>59</v>
      </c>
      <c r="J33" s="4">
        <f>INDEX(Dim_Machine!$E$2:$E$8,MATCH(D33,Dim_Machine!$A$2:$A$8,0))*INDEX(Dim_Machine!$D$2:$D$8,MATCH(D33,Dim_Machine!$A$2:$A$8,0))*I33</f>
        <v>42480</v>
      </c>
      <c r="K33" s="4">
        <f>ROUND(J33*0.912,0)</f>
        <v>38742</v>
      </c>
      <c r="L33" s="4">
        <f>ROUND(K33*0.0334,0)</f>
        <v>1294</v>
      </c>
      <c r="M33" s="4">
        <f t="shared" si="1"/>
        <v>37448</v>
      </c>
      <c r="N33" s="4">
        <f t="shared" si="2"/>
        <v>0.91200564971751408</v>
      </c>
      <c r="O33" s="4">
        <f t="shared" si="3"/>
        <v>0.98333333333333328</v>
      </c>
      <c r="P33" s="4">
        <f>IFERROR((K33/I33)/(INDEX(Dim_Machine!$E$2:$E$8,MATCH(D33,Dim_Machine!$A$2:$A$8,0))*INDEX(Dim_Machine!$D$2:$D$8,MATCH(D33,Dim_Machine!$A$2:$A$8,0))),0)</f>
        <v>0.91200564971751419</v>
      </c>
      <c r="Q33" s="4">
        <f t="shared" si="4"/>
        <v>0.96659955603737546</v>
      </c>
      <c r="R33" s="4">
        <f t="shared" si="5"/>
        <v>0.86685185185185187</v>
      </c>
      <c r="S33" s="4">
        <f>T33/0.825</f>
        <v>11.347878787878789</v>
      </c>
      <c r="T33" s="4">
        <f>M33*INDEX(Dim_Product!$C$2:$C$4,MATCH(F33,Dim_Product!$A$2:$A$4,0))/1000000</f>
        <v>9.3620000000000001</v>
      </c>
      <c r="U33" s="16">
        <f t="shared" si="6"/>
        <v>0.82499999999999984</v>
      </c>
    </row>
    <row r="34" spans="1:21" x14ac:dyDescent="0.25">
      <c r="A34" s="15" t="s">
        <v>174</v>
      </c>
      <c r="B34" s="4">
        <v>20260701</v>
      </c>
      <c r="C34" s="4">
        <v>4</v>
      </c>
      <c r="D34" s="4" t="s">
        <v>27</v>
      </c>
      <c r="E34" s="4" t="s">
        <v>20</v>
      </c>
      <c r="F34" s="4" t="s">
        <v>141</v>
      </c>
      <c r="G34" s="4">
        <v>60</v>
      </c>
      <c r="H34" s="4">
        <v>4.2</v>
      </c>
      <c r="I34" s="4">
        <f t="shared" si="0"/>
        <v>55.8</v>
      </c>
      <c r="J34" s="4">
        <f>INDEX(Dim_Machine!$E$2:$E$8,MATCH(D34,Dim_Machine!$A$2:$A$8,0))*INDEX(Dim_Machine!$D$2:$D$8,MATCH(D34,Dim_Machine!$A$2:$A$8,0))*I34</f>
        <v>23212.799999999999</v>
      </c>
      <c r="K34" s="4">
        <f>ROUND(J34*0.901,0)</f>
        <v>20915</v>
      </c>
      <c r="L34" s="4">
        <f>ROUND(K34*0.0339,0)</f>
        <v>709</v>
      </c>
      <c r="M34" s="4">
        <f t="shared" si="1"/>
        <v>20206</v>
      </c>
      <c r="N34" s="4">
        <f t="shared" si="2"/>
        <v>0.90101151089054321</v>
      </c>
      <c r="O34" s="4">
        <f t="shared" si="3"/>
        <v>0.92999999999999994</v>
      </c>
      <c r="P34" s="4">
        <f>IFERROR((K34/I34)/(INDEX(Dim_Machine!$E$2:$E$8,MATCH(D34,Dim_Machine!$A$2:$A$8,0))*INDEX(Dim_Machine!$D$2:$D$8,MATCH(D34,Dim_Machine!$A$2:$A$8,0))),0)</f>
        <v>0.90101151089054321</v>
      </c>
      <c r="Q34" s="4">
        <f t="shared" si="4"/>
        <v>0.9661008845326321</v>
      </c>
      <c r="R34" s="4">
        <f t="shared" si="5"/>
        <v>0.80953525641025648</v>
      </c>
      <c r="S34" s="4">
        <f>T34/0.939</f>
        <v>5.3796592119275823</v>
      </c>
      <c r="T34" s="4">
        <f>M34*INDEX(Dim_Product!$C$2:$C$4,MATCH(F34,Dim_Product!$A$2:$A$4,0))/1000000</f>
        <v>5.0514999999999999</v>
      </c>
      <c r="U34" s="16">
        <f t="shared" si="6"/>
        <v>0.93900000000000006</v>
      </c>
    </row>
    <row r="35" spans="1:21" x14ac:dyDescent="0.25">
      <c r="A35" s="15" t="s">
        <v>175</v>
      </c>
      <c r="B35" s="4">
        <v>20260701</v>
      </c>
      <c r="C35" s="4">
        <v>4</v>
      </c>
      <c r="D35" s="4" t="s">
        <v>29</v>
      </c>
      <c r="E35" s="4" t="s">
        <v>20</v>
      </c>
      <c r="F35" s="4" t="s">
        <v>143</v>
      </c>
      <c r="G35" s="4">
        <v>60</v>
      </c>
      <c r="H35" s="4">
        <v>6</v>
      </c>
      <c r="I35" s="4">
        <f t="shared" si="0"/>
        <v>54</v>
      </c>
      <c r="J35" s="4">
        <f>INDEX(Dim_Machine!$E$2:$E$8,MATCH(D35,Dim_Machine!$A$2:$A$8,0))*INDEX(Dim_Machine!$D$2:$D$8,MATCH(D35,Dim_Machine!$A$2:$A$8,0))*I35</f>
        <v>15552</v>
      </c>
      <c r="K35" s="4">
        <f>ROUND(J35*0.918,0)</f>
        <v>14277</v>
      </c>
      <c r="L35" s="4">
        <f>ROUND(K35*0.0264,0)</f>
        <v>377</v>
      </c>
      <c r="M35" s="4">
        <f t="shared" si="1"/>
        <v>13900</v>
      </c>
      <c r="N35" s="4">
        <f t="shared" si="2"/>
        <v>0.91801697530864201</v>
      </c>
      <c r="O35" s="4">
        <f t="shared" si="3"/>
        <v>0.9</v>
      </c>
      <c r="P35" s="4">
        <f>IFERROR((K35/I35)/(INDEX(Dim_Machine!$E$2:$E$8,MATCH(D35,Dim_Machine!$A$2:$A$8,0))*INDEX(Dim_Machine!$D$2:$D$8,MATCH(D35,Dim_Machine!$A$2:$A$8,0))),0)</f>
        <v>0.91801697530864201</v>
      </c>
      <c r="Q35" s="4">
        <f t="shared" si="4"/>
        <v>0.97359389227428728</v>
      </c>
      <c r="R35" s="4">
        <f t="shared" si="5"/>
        <v>0.80439814814814814</v>
      </c>
      <c r="S35" s="4">
        <f>T35/0.86</f>
        <v>3.2325581395348837</v>
      </c>
      <c r="T35" s="4">
        <f>M35*INDEX(Dim_Product!$C$2:$C$4,MATCH(F35,Dim_Product!$A$2:$A$4,0))/1000000</f>
        <v>2.78</v>
      </c>
      <c r="U35" s="16">
        <f t="shared" si="6"/>
        <v>0.86</v>
      </c>
    </row>
    <row r="36" spans="1:21" x14ac:dyDescent="0.25">
      <c r="A36" s="15" t="s">
        <v>176</v>
      </c>
      <c r="B36" s="4">
        <v>20260701</v>
      </c>
      <c r="C36" s="4">
        <v>4</v>
      </c>
      <c r="D36" s="4" t="s">
        <v>31</v>
      </c>
      <c r="E36" s="4" t="s">
        <v>20</v>
      </c>
      <c r="F36" s="4" t="s">
        <v>141</v>
      </c>
      <c r="G36" s="4">
        <v>60</v>
      </c>
      <c r="H36" s="4">
        <v>5.4</v>
      </c>
      <c r="I36" s="4">
        <f t="shared" si="0"/>
        <v>54.6</v>
      </c>
      <c r="J36" s="4">
        <f>INDEX(Dim_Machine!$E$2:$E$8,MATCH(D36,Dim_Machine!$A$2:$A$8,0))*INDEX(Dim_Machine!$D$2:$D$8,MATCH(D36,Dim_Machine!$A$2:$A$8,0))*I36</f>
        <v>35380.800000000003</v>
      </c>
      <c r="K36" s="4">
        <f>ROUND(J36*0.855,0)</f>
        <v>30251</v>
      </c>
      <c r="L36" s="4">
        <f>ROUND(K36*0.032,0)</f>
        <v>968</v>
      </c>
      <c r="M36" s="4">
        <f t="shared" si="1"/>
        <v>29283</v>
      </c>
      <c r="N36" s="4">
        <f t="shared" si="2"/>
        <v>0.85501175778953553</v>
      </c>
      <c r="O36" s="4">
        <f t="shared" si="3"/>
        <v>0.91</v>
      </c>
      <c r="P36" s="4">
        <f>IFERROR((K36/I36)/(INDEX(Dim_Machine!$E$2:$E$8,MATCH(D36,Dim_Machine!$A$2:$A$8,0))*INDEX(Dim_Machine!$D$2:$D$8,MATCH(D36,Dim_Machine!$A$2:$A$8,0))),0)</f>
        <v>0.85501175778953553</v>
      </c>
      <c r="Q36" s="4">
        <f t="shared" si="4"/>
        <v>0.96800105781627055</v>
      </c>
      <c r="R36" s="4">
        <f t="shared" si="5"/>
        <v>0.75316358024691354</v>
      </c>
      <c r="S36" s="4">
        <f>T36/0.868</f>
        <v>8.4340437788018434</v>
      </c>
      <c r="T36" s="4">
        <f>M36*INDEX(Dim_Product!$C$2:$C$4,MATCH(F36,Dim_Product!$A$2:$A$4,0))/1000000</f>
        <v>7.3207500000000003</v>
      </c>
      <c r="U36" s="16">
        <f t="shared" si="6"/>
        <v>0.86799999999999999</v>
      </c>
    </row>
    <row r="37" spans="1:21" x14ac:dyDescent="0.25">
      <c r="A37" s="15" t="s">
        <v>177</v>
      </c>
      <c r="B37" s="4">
        <v>20260701</v>
      </c>
      <c r="C37" s="4">
        <v>5</v>
      </c>
      <c r="D37" s="4" t="s">
        <v>15</v>
      </c>
      <c r="E37" s="4" t="s">
        <v>20</v>
      </c>
      <c r="F37" s="4" t="s">
        <v>141</v>
      </c>
      <c r="G37" s="4">
        <v>60</v>
      </c>
      <c r="H37" s="4">
        <v>2</v>
      </c>
      <c r="I37" s="4">
        <f t="shared" si="0"/>
        <v>58</v>
      </c>
      <c r="J37" s="4">
        <f>INDEX(Dim_Machine!$E$2:$E$8,MATCH(D37,Dim_Machine!$A$2:$A$8,0))*INDEX(Dim_Machine!$D$2:$D$8,MATCH(D37,Dim_Machine!$A$2:$A$8,0))*I37</f>
        <v>23200</v>
      </c>
      <c r="K37" s="4">
        <f>ROUND(J37*0.793,0)</f>
        <v>18398</v>
      </c>
      <c r="L37" s="4">
        <f>ROUND(K37*0.0056,0)</f>
        <v>103</v>
      </c>
      <c r="M37" s="4">
        <f t="shared" si="1"/>
        <v>18295</v>
      </c>
      <c r="N37" s="4">
        <f t="shared" si="2"/>
        <v>0.7930172413793104</v>
      </c>
      <c r="O37" s="4">
        <f t="shared" si="3"/>
        <v>0.96666666666666667</v>
      </c>
      <c r="P37" s="4">
        <f>IFERROR((K37/I37)/(INDEX(Dim_Machine!$E$2:$E$8,MATCH(D37,Dim_Machine!$A$2:$A$8,0))*INDEX(Dim_Machine!$D$2:$D$8,MATCH(D37,Dim_Machine!$A$2:$A$8,0))),0)</f>
        <v>0.79301724137931029</v>
      </c>
      <c r="Q37" s="4">
        <f t="shared" si="4"/>
        <v>0.9944015653875421</v>
      </c>
      <c r="R37" s="4">
        <f t="shared" si="5"/>
        <v>0.76229166666666659</v>
      </c>
      <c r="S37" s="4">
        <f>T37/0.883</f>
        <v>5.1797848244620619</v>
      </c>
      <c r="T37" s="4">
        <f>M37*INDEX(Dim_Product!$C$2:$C$4,MATCH(F37,Dim_Product!$A$2:$A$4,0))/1000000</f>
        <v>4.5737500000000004</v>
      </c>
      <c r="U37" s="16">
        <f t="shared" si="6"/>
        <v>0.88300000000000001</v>
      </c>
    </row>
    <row r="38" spans="1:21" x14ac:dyDescent="0.25">
      <c r="A38" s="15" t="s">
        <v>178</v>
      </c>
      <c r="B38" s="4">
        <v>20260701</v>
      </c>
      <c r="C38" s="4">
        <v>5</v>
      </c>
      <c r="D38" s="4" t="s">
        <v>19</v>
      </c>
      <c r="E38" s="4" t="s">
        <v>20</v>
      </c>
      <c r="F38" s="4" t="s">
        <v>143</v>
      </c>
      <c r="G38" s="4">
        <v>60</v>
      </c>
      <c r="H38" s="4">
        <v>4.7</v>
      </c>
      <c r="I38" s="4">
        <f t="shared" si="0"/>
        <v>55.3</v>
      </c>
      <c r="J38" s="4">
        <f>INDEX(Dim_Machine!$E$2:$E$8,MATCH(D38,Dim_Machine!$A$2:$A$8,0))*INDEX(Dim_Machine!$D$2:$D$8,MATCH(D38,Dim_Machine!$A$2:$A$8,0))*I38</f>
        <v>37161.599999999999</v>
      </c>
      <c r="K38" s="4">
        <f>ROUND(J38*0.781,0)</f>
        <v>29023</v>
      </c>
      <c r="L38" s="4">
        <f>ROUND(K38*0.0262,0)</f>
        <v>760</v>
      </c>
      <c r="M38" s="4">
        <f t="shared" si="1"/>
        <v>28263</v>
      </c>
      <c r="N38" s="4">
        <f t="shared" si="2"/>
        <v>0.78099435976922416</v>
      </c>
      <c r="O38" s="4">
        <f t="shared" si="3"/>
        <v>0.92166666666666663</v>
      </c>
      <c r="P38" s="4">
        <f>IFERROR((K38/I38)/(INDEX(Dim_Machine!$E$2:$E$8,MATCH(D38,Dim_Machine!$A$2:$A$8,0))*INDEX(Dim_Machine!$D$2:$D$8,MATCH(D38,Dim_Machine!$A$2:$A$8,0))),0)</f>
        <v>0.78099435976922416</v>
      </c>
      <c r="Q38" s="4">
        <f t="shared" si="4"/>
        <v>0.9738138717568825</v>
      </c>
      <c r="R38" s="4">
        <f t="shared" si="5"/>
        <v>0.700967261904762</v>
      </c>
      <c r="S38" s="4">
        <f>T38/0.809</f>
        <v>6.9871446229913463</v>
      </c>
      <c r="T38" s="4">
        <f>M38*INDEX(Dim_Product!$C$2:$C$4,MATCH(F38,Dim_Product!$A$2:$A$4,0))/1000000</f>
        <v>5.6525999999999996</v>
      </c>
      <c r="U38" s="16">
        <f t="shared" si="6"/>
        <v>0.80900000000000005</v>
      </c>
    </row>
    <row r="39" spans="1:21" x14ac:dyDescent="0.25">
      <c r="A39" s="15" t="s">
        <v>179</v>
      </c>
      <c r="B39" s="4">
        <v>20260701</v>
      </c>
      <c r="C39" s="4">
        <v>5</v>
      </c>
      <c r="D39" s="4" t="s">
        <v>23</v>
      </c>
      <c r="E39" s="4" t="s">
        <v>20</v>
      </c>
      <c r="F39" s="4" t="s">
        <v>141</v>
      </c>
      <c r="G39" s="4">
        <v>60</v>
      </c>
      <c r="H39" s="4">
        <v>0.5</v>
      </c>
      <c r="I39" s="4">
        <f t="shared" si="0"/>
        <v>59.5</v>
      </c>
      <c r="J39" s="4">
        <f>INDEX(Dim_Machine!$E$2:$E$8,MATCH(D39,Dim_Machine!$A$2:$A$8,0))*INDEX(Dim_Machine!$D$2:$D$8,MATCH(D39,Dim_Machine!$A$2:$A$8,0))*I39</f>
        <v>15708</v>
      </c>
      <c r="K39" s="4">
        <f>ROUND(J39*0.786,0)</f>
        <v>12346</v>
      </c>
      <c r="L39" s="4">
        <f>ROUND(K39*0.0149,0)</f>
        <v>184</v>
      </c>
      <c r="M39" s="4">
        <f t="shared" si="1"/>
        <v>12162</v>
      </c>
      <c r="N39" s="4">
        <f t="shared" si="2"/>
        <v>0.78596893302775661</v>
      </c>
      <c r="O39" s="4">
        <f t="shared" si="3"/>
        <v>0.9916666666666667</v>
      </c>
      <c r="P39" s="4">
        <f>IFERROR((K39/I39)/(INDEX(Dim_Machine!$E$2:$E$8,MATCH(D39,Dim_Machine!$A$2:$A$8,0))*INDEX(Dim_Machine!$D$2:$D$8,MATCH(D39,Dim_Machine!$A$2:$A$8,0))),0)</f>
        <v>0.7859689330277565</v>
      </c>
      <c r="Q39" s="4">
        <f t="shared" si="4"/>
        <v>0.98509638749392514</v>
      </c>
      <c r="R39" s="4">
        <f t="shared" si="5"/>
        <v>0.76780303030303021</v>
      </c>
      <c r="S39" s="4">
        <f>T39/0.877</f>
        <v>3.4669327251995443</v>
      </c>
      <c r="T39" s="4">
        <f>M39*INDEX(Dim_Product!$C$2:$C$4,MATCH(F39,Dim_Product!$A$2:$A$4,0))/1000000</f>
        <v>3.0405000000000002</v>
      </c>
      <c r="U39" s="16">
        <f t="shared" si="6"/>
        <v>0.877</v>
      </c>
    </row>
    <row r="40" spans="1:21" x14ac:dyDescent="0.25">
      <c r="A40" s="15" t="s">
        <v>180</v>
      </c>
      <c r="B40" s="4">
        <v>20260701</v>
      </c>
      <c r="C40" s="4">
        <v>5</v>
      </c>
      <c r="D40" s="4" t="s">
        <v>25</v>
      </c>
      <c r="E40" s="4" t="s">
        <v>20</v>
      </c>
      <c r="F40" s="4" t="s">
        <v>141</v>
      </c>
      <c r="G40" s="4">
        <v>60</v>
      </c>
      <c r="H40" s="4">
        <v>2.2000000000000002</v>
      </c>
      <c r="I40" s="4">
        <f t="shared" si="0"/>
        <v>57.8</v>
      </c>
      <c r="J40" s="4">
        <f>INDEX(Dim_Machine!$E$2:$E$8,MATCH(D40,Dim_Machine!$A$2:$A$8,0))*INDEX(Dim_Machine!$D$2:$D$8,MATCH(D40,Dim_Machine!$A$2:$A$8,0))*I40</f>
        <v>41616</v>
      </c>
      <c r="K40" s="4">
        <f>ROUND(J40*0.877,0)</f>
        <v>36497</v>
      </c>
      <c r="L40" s="4">
        <f>ROUND(K40*0.0212,0)</f>
        <v>774</v>
      </c>
      <c r="M40" s="4">
        <f t="shared" si="1"/>
        <v>35723</v>
      </c>
      <c r="N40" s="4">
        <f t="shared" si="2"/>
        <v>0.87699442522106885</v>
      </c>
      <c r="O40" s="4">
        <f t="shared" si="3"/>
        <v>0.96333333333333326</v>
      </c>
      <c r="P40" s="4">
        <f>IFERROR((K40/I40)/(INDEX(Dim_Machine!$E$2:$E$8,MATCH(D40,Dim_Machine!$A$2:$A$8,0))*INDEX(Dim_Machine!$D$2:$D$8,MATCH(D40,Dim_Machine!$A$2:$A$8,0))),0)</f>
        <v>0.87699442522106885</v>
      </c>
      <c r="Q40" s="4">
        <f t="shared" si="4"/>
        <v>0.97879277748856075</v>
      </c>
      <c r="R40" s="4">
        <f t="shared" si="5"/>
        <v>0.8269212962962964</v>
      </c>
      <c r="S40" s="4">
        <f>T40/0.909</f>
        <v>9.8248074807480741</v>
      </c>
      <c r="T40" s="4">
        <f>M40*INDEX(Dim_Product!$C$2:$C$4,MATCH(F40,Dim_Product!$A$2:$A$4,0))/1000000</f>
        <v>8.9307499999999997</v>
      </c>
      <c r="U40" s="16">
        <f t="shared" si="6"/>
        <v>0.90900000000000003</v>
      </c>
    </row>
    <row r="41" spans="1:21" x14ac:dyDescent="0.25">
      <c r="A41" s="15" t="s">
        <v>181</v>
      </c>
      <c r="B41" s="4">
        <v>20260701</v>
      </c>
      <c r="C41" s="4">
        <v>5</v>
      </c>
      <c r="D41" s="4" t="s">
        <v>27</v>
      </c>
      <c r="E41" s="4" t="s">
        <v>20</v>
      </c>
      <c r="F41" s="4" t="s">
        <v>141</v>
      </c>
      <c r="G41" s="4">
        <v>60</v>
      </c>
      <c r="H41" s="4">
        <v>7.1</v>
      </c>
      <c r="I41" s="4">
        <f t="shared" si="0"/>
        <v>52.9</v>
      </c>
      <c r="J41" s="4">
        <f>INDEX(Dim_Machine!$E$2:$E$8,MATCH(D41,Dim_Machine!$A$2:$A$8,0))*INDEX(Dim_Machine!$D$2:$D$8,MATCH(D41,Dim_Machine!$A$2:$A$8,0))*I41</f>
        <v>22006.399999999998</v>
      </c>
      <c r="K41" s="4">
        <f>ROUND(J41*0.895,0)</f>
        <v>19696</v>
      </c>
      <c r="L41" s="4">
        <f>ROUND(K41*0.0123,0)</f>
        <v>242</v>
      </c>
      <c r="M41" s="4">
        <f t="shared" si="1"/>
        <v>19454</v>
      </c>
      <c r="N41" s="4">
        <f t="shared" si="2"/>
        <v>0.89501236004071549</v>
      </c>
      <c r="O41" s="4">
        <f t="shared" si="3"/>
        <v>0.8816666666666666</v>
      </c>
      <c r="P41" s="4">
        <f>IFERROR((K41/I41)/(INDEX(Dim_Machine!$E$2:$E$8,MATCH(D41,Dim_Machine!$A$2:$A$8,0))*INDEX(Dim_Machine!$D$2:$D$8,MATCH(D41,Dim_Machine!$A$2:$A$8,0))),0)</f>
        <v>0.89501236004071549</v>
      </c>
      <c r="Q41" s="4">
        <f t="shared" si="4"/>
        <v>0.98771324126726234</v>
      </c>
      <c r="R41" s="4">
        <f t="shared" si="5"/>
        <v>0.77940705128205123</v>
      </c>
      <c r="S41" s="4">
        <f>T41/0.871</f>
        <v>5.5838117106773826</v>
      </c>
      <c r="T41" s="4">
        <f>M41*INDEX(Dim_Product!$C$2:$C$4,MATCH(F41,Dim_Product!$A$2:$A$4,0))/1000000</f>
        <v>4.8635000000000002</v>
      </c>
      <c r="U41" s="16">
        <f t="shared" si="6"/>
        <v>0.871</v>
      </c>
    </row>
    <row r="42" spans="1:21" x14ac:dyDescent="0.25">
      <c r="A42" s="15" t="s">
        <v>182</v>
      </c>
      <c r="B42" s="4">
        <v>20260701</v>
      </c>
      <c r="C42" s="4">
        <v>5</v>
      </c>
      <c r="D42" s="4" t="s">
        <v>29</v>
      </c>
      <c r="E42" s="4" t="s">
        <v>20</v>
      </c>
      <c r="F42" s="4" t="s">
        <v>143</v>
      </c>
      <c r="G42" s="4">
        <v>60</v>
      </c>
      <c r="H42" s="4">
        <v>3.3</v>
      </c>
      <c r="I42" s="4">
        <f t="shared" si="0"/>
        <v>56.7</v>
      </c>
      <c r="J42" s="4">
        <f>INDEX(Dim_Machine!$E$2:$E$8,MATCH(D42,Dim_Machine!$A$2:$A$8,0))*INDEX(Dim_Machine!$D$2:$D$8,MATCH(D42,Dim_Machine!$A$2:$A$8,0))*I42</f>
        <v>16329.6</v>
      </c>
      <c r="K42" s="4">
        <f>ROUND(J42*0.799,0)</f>
        <v>13047</v>
      </c>
      <c r="L42" s="4">
        <f>ROUND(K42*0.0248,0)</f>
        <v>324</v>
      </c>
      <c r="M42" s="4">
        <f t="shared" si="1"/>
        <v>12723</v>
      </c>
      <c r="N42" s="4">
        <f t="shared" si="2"/>
        <v>0.79897854203409757</v>
      </c>
      <c r="O42" s="4">
        <f t="shared" si="3"/>
        <v>0.94500000000000006</v>
      </c>
      <c r="P42" s="4">
        <f>IFERROR((K42/I42)/(INDEX(Dim_Machine!$E$2:$E$8,MATCH(D42,Dim_Machine!$A$2:$A$8,0))*INDEX(Dim_Machine!$D$2:$D$8,MATCH(D42,Dim_Machine!$A$2:$A$8,0))),0)</f>
        <v>0.79897854203409757</v>
      </c>
      <c r="Q42" s="4">
        <f t="shared" si="4"/>
        <v>0.97516670498965274</v>
      </c>
      <c r="R42" s="4">
        <f t="shared" si="5"/>
        <v>0.73628472222222219</v>
      </c>
      <c r="S42" s="4">
        <f>T42/0.853</f>
        <v>2.9831184056271982</v>
      </c>
      <c r="T42" s="4">
        <f>M42*INDEX(Dim_Product!$C$2:$C$4,MATCH(F42,Dim_Product!$A$2:$A$4,0))/1000000</f>
        <v>2.5446</v>
      </c>
      <c r="U42" s="16">
        <f t="shared" si="6"/>
        <v>0.85299999999999998</v>
      </c>
    </row>
    <row r="43" spans="1:21" x14ac:dyDescent="0.25">
      <c r="A43" s="15" t="s">
        <v>183</v>
      </c>
      <c r="B43" s="4">
        <v>20260701</v>
      </c>
      <c r="C43" s="4">
        <v>5</v>
      </c>
      <c r="D43" s="4" t="s">
        <v>31</v>
      </c>
      <c r="E43" s="4" t="s">
        <v>20</v>
      </c>
      <c r="F43" s="4" t="s">
        <v>141</v>
      </c>
      <c r="G43" s="4">
        <v>60</v>
      </c>
      <c r="H43" s="4">
        <v>3.3</v>
      </c>
      <c r="I43" s="4">
        <f t="shared" si="0"/>
        <v>56.7</v>
      </c>
      <c r="J43" s="4">
        <f>INDEX(Dim_Machine!$E$2:$E$8,MATCH(D43,Dim_Machine!$A$2:$A$8,0))*INDEX(Dim_Machine!$D$2:$D$8,MATCH(D43,Dim_Machine!$A$2:$A$8,0))*I43</f>
        <v>36741.599999999999</v>
      </c>
      <c r="K43" s="4">
        <f>ROUND(J43*0.953,0)</f>
        <v>35015</v>
      </c>
      <c r="L43" s="4">
        <f>ROUND(K43*0.0066,0)</f>
        <v>231</v>
      </c>
      <c r="M43" s="4">
        <f t="shared" si="1"/>
        <v>34784</v>
      </c>
      <c r="N43" s="4">
        <f t="shared" si="2"/>
        <v>0.95300694580529977</v>
      </c>
      <c r="O43" s="4">
        <f t="shared" si="3"/>
        <v>0.94500000000000006</v>
      </c>
      <c r="P43" s="4">
        <f>IFERROR((K43/I43)/(INDEX(Dim_Machine!$E$2:$E$8,MATCH(D43,Dim_Machine!$A$2:$A$8,0))*INDEX(Dim_Machine!$D$2:$D$8,MATCH(D43,Dim_Machine!$A$2:$A$8,0))),0)</f>
        <v>0.95300694580529977</v>
      </c>
      <c r="Q43" s="4">
        <f t="shared" si="4"/>
        <v>0.99340282735970298</v>
      </c>
      <c r="R43" s="4">
        <f t="shared" si="5"/>
        <v>0.89465020576131704</v>
      </c>
      <c r="S43" s="4">
        <f>T43/0.898</f>
        <v>9.6837416481069045</v>
      </c>
      <c r="T43" s="4">
        <f>M43*INDEX(Dim_Product!$C$2:$C$4,MATCH(F43,Dim_Product!$A$2:$A$4,0))/1000000</f>
        <v>8.6959999999999997</v>
      </c>
      <c r="U43" s="16">
        <f t="shared" si="6"/>
        <v>0.89799999999999991</v>
      </c>
    </row>
    <row r="44" spans="1:21" x14ac:dyDescent="0.25">
      <c r="A44" s="15" t="s">
        <v>184</v>
      </c>
      <c r="B44" s="4">
        <v>20260701</v>
      </c>
      <c r="C44" s="4">
        <v>6</v>
      </c>
      <c r="D44" s="4" t="s">
        <v>15</v>
      </c>
      <c r="E44" s="4" t="s">
        <v>16</v>
      </c>
      <c r="F44" s="4" t="s">
        <v>143</v>
      </c>
      <c r="G44" s="4">
        <v>60</v>
      </c>
      <c r="H44" s="4">
        <v>5.2</v>
      </c>
      <c r="I44" s="4">
        <f t="shared" si="0"/>
        <v>54.8</v>
      </c>
      <c r="J44" s="4">
        <f>INDEX(Dim_Machine!$E$2:$E$8,MATCH(D44,Dim_Machine!$A$2:$A$8,0))*INDEX(Dim_Machine!$D$2:$D$8,MATCH(D44,Dim_Machine!$A$2:$A$8,0))*I44</f>
        <v>21920</v>
      </c>
      <c r="K44" s="4">
        <f>ROUND(J44*0.792,0)</f>
        <v>17361</v>
      </c>
      <c r="L44" s="4">
        <f>ROUND(K44*0.0268,0)</f>
        <v>465</v>
      </c>
      <c r="M44" s="4">
        <f t="shared" si="1"/>
        <v>16896</v>
      </c>
      <c r="N44" s="4">
        <f t="shared" si="2"/>
        <v>0.7920164233576642</v>
      </c>
      <c r="O44" s="4">
        <f t="shared" si="3"/>
        <v>0.91333333333333333</v>
      </c>
      <c r="P44" s="4">
        <f>IFERROR((K44/I44)/(INDEX(Dim_Machine!$E$2:$E$8,MATCH(D44,Dim_Machine!$A$2:$A$8,0))*INDEX(Dim_Machine!$D$2:$D$8,MATCH(D44,Dim_Machine!$A$2:$A$8,0))),0)</f>
        <v>0.7920164233576642</v>
      </c>
      <c r="Q44" s="4">
        <f t="shared" si="4"/>
        <v>0.97321582858130296</v>
      </c>
      <c r="R44" s="4">
        <f t="shared" si="5"/>
        <v>0.70400000000000007</v>
      </c>
      <c r="S44" s="4">
        <f>T44/0.92</f>
        <v>3.6730434782608694</v>
      </c>
      <c r="T44" s="4">
        <f>M44*INDEX(Dim_Product!$C$2:$C$4,MATCH(F44,Dim_Product!$A$2:$A$4,0))/1000000</f>
        <v>3.3792</v>
      </c>
      <c r="U44" s="16">
        <f t="shared" si="6"/>
        <v>0.92</v>
      </c>
    </row>
    <row r="45" spans="1:21" x14ac:dyDescent="0.25">
      <c r="A45" s="15" t="s">
        <v>185</v>
      </c>
      <c r="B45" s="4">
        <v>20260701</v>
      </c>
      <c r="C45" s="4">
        <v>6</v>
      </c>
      <c r="D45" s="4" t="s">
        <v>19</v>
      </c>
      <c r="E45" s="4" t="s">
        <v>16</v>
      </c>
      <c r="F45" s="4" t="s">
        <v>141</v>
      </c>
      <c r="G45" s="4">
        <v>60</v>
      </c>
      <c r="H45" s="4">
        <v>0.9</v>
      </c>
      <c r="I45" s="4">
        <f t="shared" si="0"/>
        <v>59.1</v>
      </c>
      <c r="J45" s="4">
        <f>INDEX(Dim_Machine!$E$2:$E$8,MATCH(D45,Dim_Machine!$A$2:$A$8,0))*INDEX(Dim_Machine!$D$2:$D$8,MATCH(D45,Dim_Machine!$A$2:$A$8,0))*I45</f>
        <v>39715.200000000004</v>
      </c>
      <c r="K45" s="4">
        <f>ROUND(J45*0.818,0)</f>
        <v>32487</v>
      </c>
      <c r="L45" s="4">
        <f>ROUND(K45*0.0211,0)</f>
        <v>685</v>
      </c>
      <c r="M45" s="4">
        <f t="shared" si="1"/>
        <v>31802</v>
      </c>
      <c r="N45" s="4">
        <f t="shared" si="2"/>
        <v>0.81799915397631129</v>
      </c>
      <c r="O45" s="4">
        <f t="shared" si="3"/>
        <v>0.98499999999999999</v>
      </c>
      <c r="P45" s="4">
        <f>IFERROR((K45/I45)/(INDEX(Dim_Machine!$E$2:$E$8,MATCH(D45,Dim_Machine!$A$2:$A$8,0))*INDEX(Dim_Machine!$D$2:$D$8,MATCH(D45,Dim_Machine!$A$2:$A$8,0))),0)</f>
        <v>0.81799915397631129</v>
      </c>
      <c r="Q45" s="4">
        <f t="shared" si="4"/>
        <v>0.97891464278018903</v>
      </c>
      <c r="R45" s="4">
        <f t="shared" si="5"/>
        <v>0.78874007936507928</v>
      </c>
      <c r="S45" s="4">
        <f>T45/0.821</f>
        <v>9.6839220462850193</v>
      </c>
      <c r="T45" s="4">
        <f>M45*INDEX(Dim_Product!$C$2:$C$4,MATCH(F45,Dim_Product!$A$2:$A$4,0))/1000000</f>
        <v>7.9504999999999999</v>
      </c>
      <c r="U45" s="16">
        <f t="shared" si="6"/>
        <v>0.82099999999999995</v>
      </c>
    </row>
    <row r="46" spans="1:21" x14ac:dyDescent="0.25">
      <c r="A46" s="15" t="s">
        <v>186</v>
      </c>
      <c r="B46" s="4">
        <v>20260701</v>
      </c>
      <c r="C46" s="4">
        <v>6</v>
      </c>
      <c r="D46" s="4" t="s">
        <v>23</v>
      </c>
      <c r="E46" s="4" t="s">
        <v>16</v>
      </c>
      <c r="F46" s="4" t="s">
        <v>187</v>
      </c>
      <c r="G46" s="4">
        <v>60</v>
      </c>
      <c r="H46" s="4">
        <v>1.5</v>
      </c>
      <c r="I46" s="4">
        <f t="shared" si="0"/>
        <v>58.5</v>
      </c>
      <c r="J46" s="4">
        <f>INDEX(Dim_Machine!$E$2:$E$8,MATCH(D46,Dim_Machine!$A$2:$A$8,0))*INDEX(Dim_Machine!$D$2:$D$8,MATCH(D46,Dim_Machine!$A$2:$A$8,0))*I46</f>
        <v>15444</v>
      </c>
      <c r="K46" s="4">
        <f>ROUND(J46*0.873,0)</f>
        <v>13483</v>
      </c>
      <c r="L46" s="4">
        <f>ROUND(K46*0.0312,0)</f>
        <v>421</v>
      </c>
      <c r="M46" s="4">
        <f t="shared" si="1"/>
        <v>13062</v>
      </c>
      <c r="N46" s="4">
        <f t="shared" si="2"/>
        <v>0.87302512302512303</v>
      </c>
      <c r="O46" s="4">
        <f t="shared" si="3"/>
        <v>0.97499999999999998</v>
      </c>
      <c r="P46" s="4">
        <f>IFERROR((K46/I46)/(INDEX(Dim_Machine!$E$2:$E$8,MATCH(D46,Dim_Machine!$A$2:$A$8,0))*INDEX(Dim_Machine!$D$2:$D$8,MATCH(D46,Dim_Machine!$A$2:$A$8,0))),0)</f>
        <v>0.87302512302512303</v>
      </c>
      <c r="Q46" s="4">
        <f t="shared" si="4"/>
        <v>0.9687754950678632</v>
      </c>
      <c r="R46" s="4">
        <f t="shared" si="5"/>
        <v>0.82462121212121209</v>
      </c>
      <c r="S46" s="4">
        <f>T46/0.811</f>
        <v>4.8318125770653513</v>
      </c>
      <c r="T46" s="4">
        <f>M46*INDEX(Dim_Product!$C$2:$C$4,MATCH(F46,Dim_Product!$A$2:$A$4,0))/1000000</f>
        <v>3.9186000000000001</v>
      </c>
      <c r="U46" s="16">
        <f t="shared" si="6"/>
        <v>0.81100000000000005</v>
      </c>
    </row>
    <row r="47" spans="1:21" x14ac:dyDescent="0.25">
      <c r="A47" s="15" t="s">
        <v>188</v>
      </c>
      <c r="B47" s="4">
        <v>20260701</v>
      </c>
      <c r="C47" s="4">
        <v>6</v>
      </c>
      <c r="D47" s="4" t="s">
        <v>25</v>
      </c>
      <c r="E47" s="4" t="s">
        <v>16</v>
      </c>
      <c r="F47" s="4" t="s">
        <v>141</v>
      </c>
      <c r="G47" s="4">
        <v>60</v>
      </c>
      <c r="H47" s="4">
        <v>6.5</v>
      </c>
      <c r="I47" s="4">
        <f t="shared" si="0"/>
        <v>53.5</v>
      </c>
      <c r="J47" s="4">
        <f>INDEX(Dim_Machine!$E$2:$E$8,MATCH(D47,Dim_Machine!$A$2:$A$8,0))*INDEX(Dim_Machine!$D$2:$D$8,MATCH(D47,Dim_Machine!$A$2:$A$8,0))*I47</f>
        <v>38520</v>
      </c>
      <c r="K47" s="4">
        <f>ROUND(J47*0.951,0)</f>
        <v>36633</v>
      </c>
      <c r="L47" s="4">
        <f>ROUND(K47*0.0079,0)</f>
        <v>289</v>
      </c>
      <c r="M47" s="4">
        <f t="shared" si="1"/>
        <v>36344</v>
      </c>
      <c r="N47" s="4">
        <f t="shared" si="2"/>
        <v>0.95101246105919002</v>
      </c>
      <c r="O47" s="4">
        <f t="shared" si="3"/>
        <v>0.89166666666666672</v>
      </c>
      <c r="P47" s="4">
        <f>IFERROR((K47/I47)/(INDEX(Dim_Machine!$E$2:$E$8,MATCH(D47,Dim_Machine!$A$2:$A$8,0))*INDEX(Dim_Machine!$D$2:$D$8,MATCH(D47,Dim_Machine!$A$2:$A$8,0))),0)</f>
        <v>0.95101246105919002</v>
      </c>
      <c r="Q47" s="4">
        <f t="shared" si="4"/>
        <v>0.99211093822509755</v>
      </c>
      <c r="R47" s="4">
        <f t="shared" si="5"/>
        <v>0.84129629629629621</v>
      </c>
      <c r="S47" s="4">
        <f>T47/0.898</f>
        <v>10.118040089086859</v>
      </c>
      <c r="T47" s="4">
        <f>M47*INDEX(Dim_Product!$C$2:$C$4,MATCH(F47,Dim_Product!$A$2:$A$4,0))/1000000</f>
        <v>9.0860000000000003</v>
      </c>
      <c r="U47" s="16">
        <f t="shared" si="6"/>
        <v>0.89800000000000002</v>
      </c>
    </row>
    <row r="48" spans="1:21" x14ac:dyDescent="0.25">
      <c r="A48" s="15" t="s">
        <v>189</v>
      </c>
      <c r="B48" s="4">
        <v>20260701</v>
      </c>
      <c r="C48" s="4">
        <v>6</v>
      </c>
      <c r="D48" s="4" t="s">
        <v>27</v>
      </c>
      <c r="E48" s="4" t="s">
        <v>16</v>
      </c>
      <c r="F48" s="4" t="s">
        <v>143</v>
      </c>
      <c r="G48" s="4">
        <v>60</v>
      </c>
      <c r="H48" s="4">
        <v>4.3</v>
      </c>
      <c r="I48" s="4">
        <f t="shared" si="0"/>
        <v>55.7</v>
      </c>
      <c r="J48" s="4">
        <f>INDEX(Dim_Machine!$E$2:$E$8,MATCH(D48,Dim_Machine!$A$2:$A$8,0))*INDEX(Dim_Machine!$D$2:$D$8,MATCH(D48,Dim_Machine!$A$2:$A$8,0))*I48</f>
        <v>23171.200000000001</v>
      </c>
      <c r="K48" s="4">
        <f>ROUND(J48*0.783,0)</f>
        <v>18143</v>
      </c>
      <c r="L48" s="4">
        <f>ROUND(K48*0.0078,0)</f>
        <v>142</v>
      </c>
      <c r="M48" s="4">
        <f t="shared" si="1"/>
        <v>18001</v>
      </c>
      <c r="N48" s="4">
        <f t="shared" si="2"/>
        <v>0.78299785941168343</v>
      </c>
      <c r="O48" s="4">
        <f t="shared" si="3"/>
        <v>0.92833333333333334</v>
      </c>
      <c r="P48" s="4">
        <f>IFERROR((K48/I48)/(INDEX(Dim_Machine!$E$2:$E$8,MATCH(D48,Dim_Machine!$A$2:$A$8,0))*INDEX(Dim_Machine!$D$2:$D$8,MATCH(D48,Dim_Machine!$A$2:$A$8,0))),0)</f>
        <v>0.78299785941168332</v>
      </c>
      <c r="Q48" s="4">
        <f t="shared" si="4"/>
        <v>0.99217328997409471</v>
      </c>
      <c r="R48" s="4">
        <f t="shared" si="5"/>
        <v>0.72119391025641011</v>
      </c>
      <c r="S48" s="4">
        <f>T48/0.913</f>
        <v>3.9432639649507117</v>
      </c>
      <c r="T48" s="4">
        <f>M48*INDEX(Dim_Product!$C$2:$C$4,MATCH(F48,Dim_Product!$A$2:$A$4,0))/1000000</f>
        <v>3.6002000000000001</v>
      </c>
      <c r="U48" s="16">
        <f t="shared" si="6"/>
        <v>0.91300000000000003</v>
      </c>
    </row>
    <row r="49" spans="1:21" x14ac:dyDescent="0.25">
      <c r="A49" s="15" t="s">
        <v>190</v>
      </c>
      <c r="B49" s="4">
        <v>20260701</v>
      </c>
      <c r="C49" s="4">
        <v>6</v>
      </c>
      <c r="D49" s="4" t="s">
        <v>29</v>
      </c>
      <c r="E49" s="4" t="s">
        <v>16</v>
      </c>
      <c r="F49" s="4" t="s">
        <v>143</v>
      </c>
      <c r="G49" s="4">
        <v>60</v>
      </c>
      <c r="H49" s="4">
        <v>1.9</v>
      </c>
      <c r="I49" s="4">
        <f t="shared" si="0"/>
        <v>58.1</v>
      </c>
      <c r="J49" s="4">
        <f>INDEX(Dim_Machine!$E$2:$E$8,MATCH(D49,Dim_Machine!$A$2:$A$8,0))*INDEX(Dim_Machine!$D$2:$D$8,MATCH(D49,Dim_Machine!$A$2:$A$8,0))*I49</f>
        <v>16732.8</v>
      </c>
      <c r="K49" s="4">
        <f>ROUND(J49*0.861,0)</f>
        <v>14407</v>
      </c>
      <c r="L49" s="4">
        <f>ROUND(K49*0.0194,0)</f>
        <v>279</v>
      </c>
      <c r="M49" s="4">
        <f t="shared" si="1"/>
        <v>14128</v>
      </c>
      <c r="N49" s="4">
        <f t="shared" si="2"/>
        <v>0.8610035379613693</v>
      </c>
      <c r="O49" s="4">
        <f t="shared" si="3"/>
        <v>0.96833333333333338</v>
      </c>
      <c r="P49" s="4">
        <f>IFERROR((K49/I49)/(INDEX(Dim_Machine!$E$2:$E$8,MATCH(D49,Dim_Machine!$A$2:$A$8,0))*INDEX(Dim_Machine!$D$2:$D$8,MATCH(D49,Dim_Machine!$A$2:$A$8,0))),0)</f>
        <v>0.8610035379613693</v>
      </c>
      <c r="Q49" s="4">
        <f t="shared" si="4"/>
        <v>0.98063441382661209</v>
      </c>
      <c r="R49" s="4">
        <f t="shared" si="5"/>
        <v>0.81759259259259265</v>
      </c>
      <c r="S49" s="4">
        <f>T49/0.93</f>
        <v>3.0382795698924729</v>
      </c>
      <c r="T49" s="4">
        <f>M49*INDEX(Dim_Product!$C$2:$C$4,MATCH(F49,Dim_Product!$A$2:$A$4,0))/1000000</f>
        <v>2.8256000000000001</v>
      </c>
      <c r="U49" s="16">
        <f t="shared" si="6"/>
        <v>0.93</v>
      </c>
    </row>
    <row r="50" spans="1:21" x14ac:dyDescent="0.25">
      <c r="A50" s="15" t="s">
        <v>191</v>
      </c>
      <c r="B50" s="4">
        <v>20260701</v>
      </c>
      <c r="C50" s="4">
        <v>6</v>
      </c>
      <c r="D50" s="4" t="s">
        <v>31</v>
      </c>
      <c r="E50" s="4" t="s">
        <v>16</v>
      </c>
      <c r="F50" s="4" t="s">
        <v>143</v>
      </c>
      <c r="G50" s="4">
        <v>60</v>
      </c>
      <c r="H50" s="4">
        <v>7.2</v>
      </c>
      <c r="I50" s="4">
        <f t="shared" si="0"/>
        <v>52.8</v>
      </c>
      <c r="J50" s="4">
        <f>INDEX(Dim_Machine!$E$2:$E$8,MATCH(D50,Dim_Machine!$A$2:$A$8,0))*INDEX(Dim_Machine!$D$2:$D$8,MATCH(D50,Dim_Machine!$A$2:$A$8,0))*I50</f>
        <v>34214.400000000001</v>
      </c>
      <c r="K50" s="4">
        <f>ROUND(J50*0.813,0)</f>
        <v>27816</v>
      </c>
      <c r="L50" s="4">
        <f>ROUND(K50*0.0051,0)</f>
        <v>142</v>
      </c>
      <c r="M50" s="4">
        <f t="shared" si="1"/>
        <v>27674</v>
      </c>
      <c r="N50" s="4">
        <f t="shared" si="2"/>
        <v>0.81299102132435463</v>
      </c>
      <c r="O50" s="4">
        <f t="shared" si="3"/>
        <v>0.88</v>
      </c>
      <c r="P50" s="4">
        <f>IFERROR((K50/I50)/(INDEX(Dim_Machine!$E$2:$E$8,MATCH(D50,Dim_Machine!$A$2:$A$8,0))*INDEX(Dim_Machine!$D$2:$D$8,MATCH(D50,Dim_Machine!$A$2:$A$8,0))),0)</f>
        <v>0.81299102132435475</v>
      </c>
      <c r="Q50" s="4">
        <f t="shared" si="4"/>
        <v>0.9948950244463618</v>
      </c>
      <c r="R50" s="4">
        <f t="shared" si="5"/>
        <v>0.71177983539094658</v>
      </c>
      <c r="S50" s="4">
        <f>T50/0.859</f>
        <v>6.4433061699650755</v>
      </c>
      <c r="T50" s="4">
        <f>M50*INDEX(Dim_Product!$C$2:$C$4,MATCH(F50,Dim_Product!$A$2:$A$4,0))/1000000</f>
        <v>5.5347999999999997</v>
      </c>
      <c r="U50" s="16">
        <f t="shared" si="6"/>
        <v>0.85899999999999999</v>
      </c>
    </row>
    <row r="51" spans="1:21" x14ac:dyDescent="0.25">
      <c r="A51" s="15" t="s">
        <v>192</v>
      </c>
      <c r="B51" s="4">
        <v>20260701</v>
      </c>
      <c r="C51" s="4">
        <v>7</v>
      </c>
      <c r="D51" s="4" t="s">
        <v>15</v>
      </c>
      <c r="E51" s="4" t="s">
        <v>16</v>
      </c>
      <c r="F51" s="4" t="s">
        <v>143</v>
      </c>
      <c r="G51" s="4">
        <v>60</v>
      </c>
      <c r="H51" s="4">
        <v>7.4</v>
      </c>
      <c r="I51" s="4">
        <f t="shared" si="0"/>
        <v>52.6</v>
      </c>
      <c r="J51" s="4">
        <f>INDEX(Dim_Machine!$E$2:$E$8,MATCH(D51,Dim_Machine!$A$2:$A$8,0))*INDEX(Dim_Machine!$D$2:$D$8,MATCH(D51,Dim_Machine!$A$2:$A$8,0))*I51</f>
        <v>21040</v>
      </c>
      <c r="K51" s="4">
        <f>ROUND(J51*0.937,0)</f>
        <v>19714</v>
      </c>
      <c r="L51" s="4">
        <f>ROUND(K51*0.0136,0)</f>
        <v>268</v>
      </c>
      <c r="M51" s="4">
        <f t="shared" si="1"/>
        <v>19446</v>
      </c>
      <c r="N51" s="4">
        <f t="shared" si="2"/>
        <v>0.93697718631178706</v>
      </c>
      <c r="O51" s="4">
        <f t="shared" si="3"/>
        <v>0.87666666666666671</v>
      </c>
      <c r="P51" s="4">
        <f>IFERROR((K51/I51)/(INDEX(Dim_Machine!$E$2:$E$8,MATCH(D51,Dim_Machine!$A$2:$A$8,0))*INDEX(Dim_Machine!$D$2:$D$8,MATCH(D51,Dim_Machine!$A$2:$A$8,0))),0)</f>
        <v>0.93697718631178706</v>
      </c>
      <c r="Q51" s="4">
        <f t="shared" si="4"/>
        <v>0.98640560008116063</v>
      </c>
      <c r="R51" s="4">
        <f t="shared" si="5"/>
        <v>0.81025000000000003</v>
      </c>
      <c r="S51" s="4">
        <f>T51/0.904</f>
        <v>4.3022123893805313</v>
      </c>
      <c r="T51" s="4">
        <f>M51*INDEX(Dim_Product!$C$2:$C$4,MATCH(F51,Dim_Product!$A$2:$A$4,0))/1000000</f>
        <v>3.8892000000000002</v>
      </c>
      <c r="U51" s="16">
        <f t="shared" si="6"/>
        <v>0.90400000000000003</v>
      </c>
    </row>
    <row r="52" spans="1:21" x14ac:dyDescent="0.25">
      <c r="A52" s="15" t="s">
        <v>193</v>
      </c>
      <c r="B52" s="4">
        <v>20260701</v>
      </c>
      <c r="C52" s="4">
        <v>7</v>
      </c>
      <c r="D52" s="4" t="s">
        <v>19</v>
      </c>
      <c r="E52" s="4" t="s">
        <v>16</v>
      </c>
      <c r="F52" s="4" t="s">
        <v>141</v>
      </c>
      <c r="G52" s="4">
        <v>60</v>
      </c>
      <c r="H52" s="4">
        <v>5.8</v>
      </c>
      <c r="I52" s="4">
        <f t="shared" si="0"/>
        <v>54.2</v>
      </c>
      <c r="J52" s="4">
        <f>INDEX(Dim_Machine!$E$2:$E$8,MATCH(D52,Dim_Machine!$A$2:$A$8,0))*INDEX(Dim_Machine!$D$2:$D$8,MATCH(D52,Dim_Machine!$A$2:$A$8,0))*I52</f>
        <v>36422.400000000001</v>
      </c>
      <c r="K52" s="4">
        <f>ROUND(J52*0.937,0)</f>
        <v>34128</v>
      </c>
      <c r="L52" s="4">
        <f>ROUND(K52*0.0249,0)</f>
        <v>850</v>
      </c>
      <c r="M52" s="4">
        <f t="shared" si="1"/>
        <v>33278</v>
      </c>
      <c r="N52" s="4">
        <f t="shared" si="2"/>
        <v>0.9370057986294148</v>
      </c>
      <c r="O52" s="4">
        <f t="shared" si="3"/>
        <v>0.90333333333333343</v>
      </c>
      <c r="P52" s="4">
        <f>IFERROR((K52/I52)/(INDEX(Dim_Machine!$E$2:$E$8,MATCH(D52,Dim_Machine!$A$2:$A$8,0))*INDEX(Dim_Machine!$D$2:$D$8,MATCH(D52,Dim_Machine!$A$2:$A$8,0))),0)</f>
        <v>0.9370057986294148</v>
      </c>
      <c r="Q52" s="4">
        <f t="shared" si="4"/>
        <v>0.97509376465072672</v>
      </c>
      <c r="R52" s="4">
        <f t="shared" si="5"/>
        <v>0.82534722222222223</v>
      </c>
      <c r="S52" s="4">
        <f>T52/0.873</f>
        <v>9.5297823596792668</v>
      </c>
      <c r="T52" s="4">
        <f>M52*INDEX(Dim_Product!$C$2:$C$4,MATCH(F52,Dim_Product!$A$2:$A$4,0))/1000000</f>
        <v>8.3194999999999997</v>
      </c>
      <c r="U52" s="16">
        <f t="shared" si="6"/>
        <v>0.873</v>
      </c>
    </row>
    <row r="53" spans="1:21" x14ac:dyDescent="0.25">
      <c r="A53" s="15" t="s">
        <v>194</v>
      </c>
      <c r="B53" s="4">
        <v>20260701</v>
      </c>
      <c r="C53" s="4">
        <v>7</v>
      </c>
      <c r="D53" s="4" t="s">
        <v>23</v>
      </c>
      <c r="E53" s="4" t="s">
        <v>16</v>
      </c>
      <c r="F53" s="4" t="s">
        <v>187</v>
      </c>
      <c r="G53" s="4">
        <v>60</v>
      </c>
      <c r="H53" s="4">
        <v>1.5</v>
      </c>
      <c r="I53" s="4">
        <f t="shared" si="0"/>
        <v>58.5</v>
      </c>
      <c r="J53" s="4">
        <f>INDEX(Dim_Machine!$E$2:$E$8,MATCH(D53,Dim_Machine!$A$2:$A$8,0))*INDEX(Dim_Machine!$D$2:$D$8,MATCH(D53,Dim_Machine!$A$2:$A$8,0))*I53</f>
        <v>15444</v>
      </c>
      <c r="K53" s="4">
        <f>ROUND(J53*0.824,0)</f>
        <v>12726</v>
      </c>
      <c r="L53" s="4">
        <f>ROUND(K53*0.0068,0)</f>
        <v>87</v>
      </c>
      <c r="M53" s="4">
        <f t="shared" si="1"/>
        <v>12639</v>
      </c>
      <c r="N53" s="4">
        <f t="shared" si="2"/>
        <v>0.82400932400932403</v>
      </c>
      <c r="O53" s="4">
        <f t="shared" si="3"/>
        <v>0.97499999999999998</v>
      </c>
      <c r="P53" s="4">
        <f>IFERROR((K53/I53)/(INDEX(Dim_Machine!$E$2:$E$8,MATCH(D53,Dim_Machine!$A$2:$A$8,0))*INDEX(Dim_Machine!$D$2:$D$8,MATCH(D53,Dim_Machine!$A$2:$A$8,0))),0)</f>
        <v>0.82400932400932403</v>
      </c>
      <c r="Q53" s="4">
        <f t="shared" si="4"/>
        <v>0.99316360207449317</v>
      </c>
      <c r="R53" s="4">
        <f t="shared" si="5"/>
        <v>0.79791666666666672</v>
      </c>
      <c r="S53" s="4">
        <f>T53/0.91</f>
        <v>4.1667032967032966</v>
      </c>
      <c r="T53" s="4">
        <f>M53*INDEX(Dim_Product!$C$2:$C$4,MATCH(F53,Dim_Product!$A$2:$A$4,0))/1000000</f>
        <v>3.7917000000000001</v>
      </c>
      <c r="U53" s="16">
        <f t="shared" si="6"/>
        <v>0.91</v>
      </c>
    </row>
    <row r="54" spans="1:21" x14ac:dyDescent="0.25">
      <c r="A54" s="15" t="s">
        <v>195</v>
      </c>
      <c r="B54" s="4">
        <v>20260701</v>
      </c>
      <c r="C54" s="4">
        <v>7</v>
      </c>
      <c r="D54" s="4" t="s">
        <v>25</v>
      </c>
      <c r="E54" s="4" t="s">
        <v>16</v>
      </c>
      <c r="F54" s="4" t="s">
        <v>141</v>
      </c>
      <c r="G54" s="4">
        <v>60</v>
      </c>
      <c r="H54" s="4">
        <v>0.5</v>
      </c>
      <c r="I54" s="4">
        <f t="shared" si="0"/>
        <v>59.5</v>
      </c>
      <c r="J54" s="4">
        <f>INDEX(Dim_Machine!$E$2:$E$8,MATCH(D54,Dim_Machine!$A$2:$A$8,0))*INDEX(Dim_Machine!$D$2:$D$8,MATCH(D54,Dim_Machine!$A$2:$A$8,0))*I54</f>
        <v>42840</v>
      </c>
      <c r="K54" s="4">
        <f>ROUND(J54*0.843,0)</f>
        <v>36114</v>
      </c>
      <c r="L54" s="4">
        <f>ROUND(K54*0.0065,0)</f>
        <v>235</v>
      </c>
      <c r="M54" s="4">
        <f t="shared" si="1"/>
        <v>35879</v>
      </c>
      <c r="N54" s="4">
        <f t="shared" si="2"/>
        <v>0.84299719887955182</v>
      </c>
      <c r="O54" s="4">
        <f t="shared" si="3"/>
        <v>0.9916666666666667</v>
      </c>
      <c r="P54" s="4">
        <f>IFERROR((K54/I54)/(INDEX(Dim_Machine!$E$2:$E$8,MATCH(D54,Dim_Machine!$A$2:$A$8,0))*INDEX(Dim_Machine!$D$2:$D$8,MATCH(D54,Dim_Machine!$A$2:$A$8,0))),0)</f>
        <v>0.84299719887955182</v>
      </c>
      <c r="Q54" s="4">
        <f t="shared" si="4"/>
        <v>0.99349282826604646</v>
      </c>
      <c r="R54" s="4">
        <f t="shared" si="5"/>
        <v>0.83053240740740741</v>
      </c>
      <c r="S54" s="4">
        <f>T54/0.872</f>
        <v>10.286410550458715</v>
      </c>
      <c r="T54" s="4">
        <f>M54*INDEX(Dim_Product!$C$2:$C$4,MATCH(F54,Dim_Product!$A$2:$A$4,0))/1000000</f>
        <v>8.9697499999999994</v>
      </c>
      <c r="U54" s="16">
        <f t="shared" si="6"/>
        <v>0.872</v>
      </c>
    </row>
    <row r="55" spans="1:21" x14ac:dyDescent="0.25">
      <c r="A55" s="15" t="s">
        <v>196</v>
      </c>
      <c r="B55" s="4">
        <v>20260701</v>
      </c>
      <c r="C55" s="4">
        <v>7</v>
      </c>
      <c r="D55" s="4" t="s">
        <v>27</v>
      </c>
      <c r="E55" s="4" t="s">
        <v>16</v>
      </c>
      <c r="F55" s="4" t="s">
        <v>143</v>
      </c>
      <c r="G55" s="4">
        <v>60</v>
      </c>
      <c r="H55" s="4">
        <v>7.4</v>
      </c>
      <c r="I55" s="4">
        <f t="shared" si="0"/>
        <v>52.6</v>
      </c>
      <c r="J55" s="4">
        <f>INDEX(Dim_Machine!$E$2:$E$8,MATCH(D55,Dim_Machine!$A$2:$A$8,0))*INDEX(Dim_Machine!$D$2:$D$8,MATCH(D55,Dim_Machine!$A$2:$A$8,0))*I55</f>
        <v>21881.600000000002</v>
      </c>
      <c r="K55" s="4">
        <f>ROUND(J55*0.886,0)</f>
        <v>19387</v>
      </c>
      <c r="L55" s="4">
        <f>ROUND(K55*0.0067,0)</f>
        <v>130</v>
      </c>
      <c r="M55" s="4">
        <f t="shared" si="1"/>
        <v>19257</v>
      </c>
      <c r="N55" s="4">
        <f t="shared" si="2"/>
        <v>0.88599553963147115</v>
      </c>
      <c r="O55" s="4">
        <f t="shared" si="3"/>
        <v>0.87666666666666671</v>
      </c>
      <c r="P55" s="4">
        <f>IFERROR((K55/I55)/(INDEX(Dim_Machine!$E$2:$E$8,MATCH(D55,Dim_Machine!$A$2:$A$8,0))*INDEX(Dim_Machine!$D$2:$D$8,MATCH(D55,Dim_Machine!$A$2:$A$8,0))),0)</f>
        <v>0.88599553963147115</v>
      </c>
      <c r="Q55" s="4">
        <f t="shared" si="4"/>
        <v>0.99329447567957907</v>
      </c>
      <c r="R55" s="4">
        <f t="shared" si="5"/>
        <v>0.77151442307692308</v>
      </c>
      <c r="S55" s="4">
        <f>T55/0.876</f>
        <v>4.396575342465753</v>
      </c>
      <c r="T55" s="4">
        <f>M55*INDEX(Dim_Product!$C$2:$C$4,MATCH(F55,Dim_Product!$A$2:$A$4,0))/1000000</f>
        <v>3.8513999999999999</v>
      </c>
      <c r="U55" s="16">
        <f t="shared" si="6"/>
        <v>0.87600000000000011</v>
      </c>
    </row>
    <row r="56" spans="1:21" x14ac:dyDescent="0.25">
      <c r="A56" s="15" t="s">
        <v>197</v>
      </c>
      <c r="B56" s="4">
        <v>20260701</v>
      </c>
      <c r="C56" s="4">
        <v>7</v>
      </c>
      <c r="D56" s="4" t="s">
        <v>29</v>
      </c>
      <c r="E56" s="4" t="s">
        <v>16</v>
      </c>
      <c r="F56" s="4" t="s">
        <v>143</v>
      </c>
      <c r="G56" s="4">
        <v>60</v>
      </c>
      <c r="H56" s="4">
        <v>6.8</v>
      </c>
      <c r="I56" s="4">
        <f t="shared" si="0"/>
        <v>53.2</v>
      </c>
      <c r="J56" s="4">
        <f>INDEX(Dim_Machine!$E$2:$E$8,MATCH(D56,Dim_Machine!$A$2:$A$8,0))*INDEX(Dim_Machine!$D$2:$D$8,MATCH(D56,Dim_Machine!$A$2:$A$8,0))*I56</f>
        <v>15321.6</v>
      </c>
      <c r="K56" s="4">
        <f>ROUND(J56*0.794,0)</f>
        <v>12165</v>
      </c>
      <c r="L56" s="4">
        <f>ROUND(K56*0.007,0)</f>
        <v>85</v>
      </c>
      <c r="M56" s="4">
        <f t="shared" si="1"/>
        <v>12080</v>
      </c>
      <c r="N56" s="4">
        <f t="shared" si="2"/>
        <v>0.79397713032581452</v>
      </c>
      <c r="O56" s="4">
        <f t="shared" si="3"/>
        <v>0.88666666666666671</v>
      </c>
      <c r="P56" s="4">
        <f>IFERROR((K56/I56)/(INDEX(Dim_Machine!$E$2:$E$8,MATCH(D56,Dim_Machine!$A$2:$A$8,0))*INDEX(Dim_Machine!$D$2:$D$8,MATCH(D56,Dim_Machine!$A$2:$A$8,0))),0)</f>
        <v>0.79397713032581452</v>
      </c>
      <c r="Q56" s="4">
        <f t="shared" si="4"/>
        <v>0.99301274147143448</v>
      </c>
      <c r="R56" s="4">
        <f t="shared" si="5"/>
        <v>0.69907407407407407</v>
      </c>
      <c r="S56" s="4">
        <f>T56/0.929</f>
        <v>2.6006458557588803</v>
      </c>
      <c r="T56" s="4">
        <f>M56*INDEX(Dim_Product!$C$2:$C$4,MATCH(F56,Dim_Product!$A$2:$A$4,0))/1000000</f>
        <v>2.4159999999999999</v>
      </c>
      <c r="U56" s="16">
        <f t="shared" si="6"/>
        <v>0.92900000000000005</v>
      </c>
    </row>
    <row r="57" spans="1:21" x14ac:dyDescent="0.25">
      <c r="A57" s="15" t="s">
        <v>198</v>
      </c>
      <c r="B57" s="4">
        <v>20260701</v>
      </c>
      <c r="C57" s="4">
        <v>7</v>
      </c>
      <c r="D57" s="4" t="s">
        <v>31</v>
      </c>
      <c r="E57" s="4" t="s">
        <v>16</v>
      </c>
      <c r="F57" s="4" t="s">
        <v>143</v>
      </c>
      <c r="G57" s="4">
        <v>60</v>
      </c>
      <c r="H57" s="4">
        <v>3.2</v>
      </c>
      <c r="I57" s="4">
        <f t="shared" si="0"/>
        <v>56.8</v>
      </c>
      <c r="J57" s="4">
        <f>INDEX(Dim_Machine!$E$2:$E$8,MATCH(D57,Dim_Machine!$A$2:$A$8,0))*INDEX(Dim_Machine!$D$2:$D$8,MATCH(D57,Dim_Machine!$A$2:$A$8,0))*I57</f>
        <v>36806.400000000001</v>
      </c>
      <c r="K57" s="4">
        <f>ROUND(J57*0.968,0)</f>
        <v>35629</v>
      </c>
      <c r="L57" s="4">
        <f>ROUND(K57*0.0221,0)</f>
        <v>787</v>
      </c>
      <c r="M57" s="4">
        <f t="shared" si="1"/>
        <v>34842</v>
      </c>
      <c r="N57" s="4">
        <f t="shared" si="2"/>
        <v>0.96801099808728908</v>
      </c>
      <c r="O57" s="4">
        <f t="shared" si="3"/>
        <v>0.94666666666666666</v>
      </c>
      <c r="P57" s="4">
        <f>IFERROR((K57/I57)/(INDEX(Dim_Machine!$E$2:$E$8,MATCH(D57,Dim_Machine!$A$2:$A$8,0))*INDEX(Dim_Machine!$D$2:$D$8,MATCH(D57,Dim_Machine!$A$2:$A$8,0))),0)</f>
        <v>0.9680109980872893</v>
      </c>
      <c r="Q57" s="4">
        <f t="shared" si="4"/>
        <v>0.977911252069943</v>
      </c>
      <c r="R57" s="4">
        <f t="shared" si="5"/>
        <v>0.89614197530864204</v>
      </c>
      <c r="S57" s="4">
        <f>T57/0.887</f>
        <v>7.8561443066516343</v>
      </c>
      <c r="T57" s="4">
        <f>M57*INDEX(Dim_Product!$C$2:$C$4,MATCH(F57,Dim_Product!$A$2:$A$4,0))/1000000</f>
        <v>6.9683999999999999</v>
      </c>
      <c r="U57" s="16">
        <f t="shared" si="6"/>
        <v>0.88700000000000001</v>
      </c>
    </row>
    <row r="58" spans="1:21" x14ac:dyDescent="0.25">
      <c r="A58" s="15" t="s">
        <v>199</v>
      </c>
      <c r="B58" s="4">
        <v>20260701</v>
      </c>
      <c r="C58" s="4">
        <v>8</v>
      </c>
      <c r="D58" s="4" t="s">
        <v>15</v>
      </c>
      <c r="E58" s="4" t="s">
        <v>16</v>
      </c>
      <c r="F58" s="4" t="s">
        <v>143</v>
      </c>
      <c r="G58" s="4">
        <v>60</v>
      </c>
      <c r="H58" s="4">
        <v>0.3</v>
      </c>
      <c r="I58" s="4">
        <f t="shared" si="0"/>
        <v>59.7</v>
      </c>
      <c r="J58" s="4">
        <f>INDEX(Dim_Machine!$E$2:$E$8,MATCH(D58,Dim_Machine!$A$2:$A$8,0))*INDEX(Dim_Machine!$D$2:$D$8,MATCH(D58,Dim_Machine!$A$2:$A$8,0))*I58</f>
        <v>23880</v>
      </c>
      <c r="K58" s="4">
        <f>ROUND(J58*0.796,0)</f>
        <v>19008</v>
      </c>
      <c r="L58" s="4">
        <f>ROUND(K58*0.0247,0)</f>
        <v>469</v>
      </c>
      <c r="M58" s="4">
        <f t="shared" si="1"/>
        <v>18539</v>
      </c>
      <c r="N58" s="4">
        <f t="shared" si="2"/>
        <v>0.79597989949748749</v>
      </c>
      <c r="O58" s="4">
        <f t="shared" si="3"/>
        <v>0.995</v>
      </c>
      <c r="P58" s="4">
        <f>IFERROR((K58/I58)/(INDEX(Dim_Machine!$E$2:$E$8,MATCH(D58,Dim_Machine!$A$2:$A$8,0))*INDEX(Dim_Machine!$D$2:$D$8,MATCH(D58,Dim_Machine!$A$2:$A$8,0))),0)</f>
        <v>0.79597989949748738</v>
      </c>
      <c r="Q58" s="4">
        <f t="shared" si="4"/>
        <v>0.97532617845117842</v>
      </c>
      <c r="R58" s="4">
        <f t="shared" si="5"/>
        <v>0.77245833333333325</v>
      </c>
      <c r="S58" s="4">
        <f>T58/0.885</f>
        <v>4.1896045197740115</v>
      </c>
      <c r="T58" s="4">
        <f>M58*INDEX(Dim_Product!$C$2:$C$4,MATCH(F58,Dim_Product!$A$2:$A$4,0))/1000000</f>
        <v>3.7078000000000002</v>
      </c>
      <c r="U58" s="16">
        <f t="shared" si="6"/>
        <v>0.88500000000000001</v>
      </c>
    </row>
    <row r="59" spans="1:21" x14ac:dyDescent="0.25">
      <c r="A59" s="15" t="s">
        <v>200</v>
      </c>
      <c r="B59" s="4">
        <v>20260701</v>
      </c>
      <c r="C59" s="4">
        <v>8</v>
      </c>
      <c r="D59" s="4" t="s">
        <v>19</v>
      </c>
      <c r="E59" s="4" t="s">
        <v>16</v>
      </c>
      <c r="F59" s="4" t="s">
        <v>141</v>
      </c>
      <c r="G59" s="4">
        <v>60</v>
      </c>
      <c r="H59" s="4">
        <v>2.5</v>
      </c>
      <c r="I59" s="4">
        <f t="shared" si="0"/>
        <v>57.5</v>
      </c>
      <c r="J59" s="4">
        <f>INDEX(Dim_Machine!$E$2:$E$8,MATCH(D59,Dim_Machine!$A$2:$A$8,0))*INDEX(Dim_Machine!$D$2:$D$8,MATCH(D59,Dim_Machine!$A$2:$A$8,0))*I59</f>
        <v>38640</v>
      </c>
      <c r="K59" s="4">
        <f>ROUND(J59*0.832,0)</f>
        <v>32148</v>
      </c>
      <c r="L59" s="4">
        <f>ROUND(K59*0.0251,0)</f>
        <v>807</v>
      </c>
      <c r="M59" s="4">
        <f t="shared" si="1"/>
        <v>31341</v>
      </c>
      <c r="N59" s="4">
        <f t="shared" si="2"/>
        <v>0.83198757763975151</v>
      </c>
      <c r="O59" s="4">
        <f t="shared" si="3"/>
        <v>0.95833333333333337</v>
      </c>
      <c r="P59" s="4">
        <f>IFERROR((K59/I59)/(INDEX(Dim_Machine!$E$2:$E$8,MATCH(D59,Dim_Machine!$A$2:$A$8,0))*INDEX(Dim_Machine!$D$2:$D$8,MATCH(D59,Dim_Machine!$A$2:$A$8,0))),0)</f>
        <v>0.83198757763975162</v>
      </c>
      <c r="Q59" s="4">
        <f t="shared" si="4"/>
        <v>0.97489734975737219</v>
      </c>
      <c r="R59" s="4">
        <f t="shared" si="5"/>
        <v>0.77730654761904772</v>
      </c>
      <c r="S59" s="4">
        <f>T59/0.847</f>
        <v>9.2505903187721383</v>
      </c>
      <c r="T59" s="4">
        <f>M59*INDEX(Dim_Product!$C$2:$C$4,MATCH(F59,Dim_Product!$A$2:$A$4,0))/1000000</f>
        <v>7.8352500000000003</v>
      </c>
      <c r="U59" s="16">
        <f t="shared" si="6"/>
        <v>0.84699999999999986</v>
      </c>
    </row>
    <row r="60" spans="1:21" x14ac:dyDescent="0.25">
      <c r="A60" s="15" t="s">
        <v>201</v>
      </c>
      <c r="B60" s="4">
        <v>20260701</v>
      </c>
      <c r="C60" s="4">
        <v>8</v>
      </c>
      <c r="D60" s="4" t="s">
        <v>23</v>
      </c>
      <c r="E60" s="4" t="s">
        <v>16</v>
      </c>
      <c r="F60" s="4" t="s">
        <v>187</v>
      </c>
      <c r="G60" s="4">
        <v>60</v>
      </c>
      <c r="H60" s="4">
        <v>2.1</v>
      </c>
      <c r="I60" s="4">
        <f t="shared" si="0"/>
        <v>57.9</v>
      </c>
      <c r="J60" s="4">
        <f>INDEX(Dim_Machine!$E$2:$E$8,MATCH(D60,Dim_Machine!$A$2:$A$8,0))*INDEX(Dim_Machine!$D$2:$D$8,MATCH(D60,Dim_Machine!$A$2:$A$8,0))*I60</f>
        <v>15285.6</v>
      </c>
      <c r="K60" s="4">
        <f>ROUND(J60*0.806,0)</f>
        <v>12320</v>
      </c>
      <c r="L60" s="4">
        <f>ROUND(K60*0.0244,0)</f>
        <v>301</v>
      </c>
      <c r="M60" s="4">
        <f t="shared" si="1"/>
        <v>12019</v>
      </c>
      <c r="N60" s="4">
        <f t="shared" si="2"/>
        <v>0.8059873344847438</v>
      </c>
      <c r="O60" s="4">
        <f t="shared" si="3"/>
        <v>0.96499999999999997</v>
      </c>
      <c r="P60" s="4">
        <f>IFERROR((K60/I60)/(INDEX(Dim_Machine!$E$2:$E$8,MATCH(D60,Dim_Machine!$A$2:$A$8,0))*INDEX(Dim_Machine!$D$2:$D$8,MATCH(D60,Dim_Machine!$A$2:$A$8,0))),0)</f>
        <v>0.8059873344847438</v>
      </c>
      <c r="Q60" s="4">
        <f t="shared" si="4"/>
        <v>0.97556818181818183</v>
      </c>
      <c r="R60" s="4">
        <f t="shared" si="5"/>
        <v>0.75877525252525257</v>
      </c>
      <c r="S60" s="4">
        <f>T60/0.869</f>
        <v>4.1492520138089759</v>
      </c>
      <c r="T60" s="4">
        <f>M60*INDEX(Dim_Product!$C$2:$C$4,MATCH(F60,Dim_Product!$A$2:$A$4,0))/1000000</f>
        <v>3.6057000000000001</v>
      </c>
      <c r="U60" s="16">
        <f t="shared" si="6"/>
        <v>0.86899999999999999</v>
      </c>
    </row>
    <row r="61" spans="1:21" x14ac:dyDescent="0.25">
      <c r="A61" s="15" t="s">
        <v>202</v>
      </c>
      <c r="B61" s="4">
        <v>20260701</v>
      </c>
      <c r="C61" s="4">
        <v>8</v>
      </c>
      <c r="D61" s="4" t="s">
        <v>25</v>
      </c>
      <c r="E61" s="4" t="s">
        <v>16</v>
      </c>
      <c r="F61" s="4" t="s">
        <v>141</v>
      </c>
      <c r="G61" s="4">
        <v>60</v>
      </c>
      <c r="H61" s="4">
        <v>7.4</v>
      </c>
      <c r="I61" s="4">
        <f t="shared" si="0"/>
        <v>52.6</v>
      </c>
      <c r="J61" s="4">
        <f>INDEX(Dim_Machine!$E$2:$E$8,MATCH(D61,Dim_Machine!$A$2:$A$8,0))*INDEX(Dim_Machine!$D$2:$D$8,MATCH(D61,Dim_Machine!$A$2:$A$8,0))*I61</f>
        <v>37872</v>
      </c>
      <c r="K61" s="4">
        <f>ROUND(J61*0.967,0)</f>
        <v>36622</v>
      </c>
      <c r="L61" s="4">
        <f>ROUND(K61*0.0053,0)</f>
        <v>194</v>
      </c>
      <c r="M61" s="4">
        <f t="shared" si="1"/>
        <v>36428</v>
      </c>
      <c r="N61" s="4">
        <f t="shared" si="2"/>
        <v>0.9669940853400929</v>
      </c>
      <c r="O61" s="4">
        <f t="shared" si="3"/>
        <v>0.87666666666666671</v>
      </c>
      <c r="P61" s="4">
        <f>IFERROR((K61/I61)/(INDEX(Dim_Machine!$E$2:$E$8,MATCH(D61,Dim_Machine!$A$2:$A$8,0))*INDEX(Dim_Machine!$D$2:$D$8,MATCH(D61,Dim_Machine!$A$2:$A$8,0))),0)</f>
        <v>0.9669940853400929</v>
      </c>
      <c r="Q61" s="4">
        <f t="shared" si="4"/>
        <v>0.99470263775872425</v>
      </c>
      <c r="R61" s="4">
        <f t="shared" si="5"/>
        <v>0.84324074074074074</v>
      </c>
      <c r="S61" s="4">
        <f>T61/0.893</f>
        <v>10.198208286674131</v>
      </c>
      <c r="T61" s="4">
        <f>M61*INDEX(Dim_Product!$C$2:$C$4,MATCH(F61,Dim_Product!$A$2:$A$4,0))/1000000</f>
        <v>9.1069999999999993</v>
      </c>
      <c r="U61" s="16">
        <f t="shared" si="6"/>
        <v>0.89300000000000002</v>
      </c>
    </row>
    <row r="62" spans="1:21" x14ac:dyDescent="0.25">
      <c r="A62" s="15" t="s">
        <v>203</v>
      </c>
      <c r="B62" s="4">
        <v>20260701</v>
      </c>
      <c r="C62" s="4">
        <v>8</v>
      </c>
      <c r="D62" s="4" t="s">
        <v>27</v>
      </c>
      <c r="E62" s="4" t="s">
        <v>16</v>
      </c>
      <c r="F62" s="4" t="s">
        <v>143</v>
      </c>
      <c r="G62" s="4">
        <v>60</v>
      </c>
      <c r="H62" s="4">
        <v>4.5</v>
      </c>
      <c r="I62" s="4">
        <f t="shared" si="0"/>
        <v>55.5</v>
      </c>
      <c r="J62" s="4">
        <f>INDEX(Dim_Machine!$E$2:$E$8,MATCH(D62,Dim_Machine!$A$2:$A$8,0))*INDEX(Dim_Machine!$D$2:$D$8,MATCH(D62,Dim_Machine!$A$2:$A$8,0))*I62</f>
        <v>23088</v>
      </c>
      <c r="K62" s="4">
        <f>ROUND(J62*0.8,0)</f>
        <v>18470</v>
      </c>
      <c r="L62" s="4">
        <f>ROUND(K62*0.0211,0)</f>
        <v>390</v>
      </c>
      <c r="M62" s="4">
        <f t="shared" si="1"/>
        <v>18080</v>
      </c>
      <c r="N62" s="4">
        <f t="shared" si="2"/>
        <v>0.79998267498267495</v>
      </c>
      <c r="O62" s="4">
        <f t="shared" si="3"/>
        <v>0.92500000000000004</v>
      </c>
      <c r="P62" s="4">
        <f>IFERROR((K62/I62)/(INDEX(Dim_Machine!$E$2:$E$8,MATCH(D62,Dim_Machine!$A$2:$A$8,0))*INDEX(Dim_Machine!$D$2:$D$8,MATCH(D62,Dim_Machine!$A$2:$A$8,0))),0)</f>
        <v>0.79998267498267495</v>
      </c>
      <c r="Q62" s="4">
        <f t="shared" si="4"/>
        <v>0.97888467785598265</v>
      </c>
      <c r="R62" s="4">
        <f t="shared" si="5"/>
        <v>0.72435897435897434</v>
      </c>
      <c r="S62" s="4">
        <f>T62/0.876</f>
        <v>4.127853881278539</v>
      </c>
      <c r="T62" s="4">
        <f>M62*INDEX(Dim_Product!$C$2:$C$4,MATCH(F62,Dim_Product!$A$2:$A$4,0))/1000000</f>
        <v>3.6160000000000001</v>
      </c>
      <c r="U62" s="16">
        <f t="shared" si="6"/>
        <v>0.876</v>
      </c>
    </row>
    <row r="63" spans="1:21" x14ac:dyDescent="0.25">
      <c r="A63" s="15" t="s">
        <v>204</v>
      </c>
      <c r="B63" s="4">
        <v>20260701</v>
      </c>
      <c r="C63" s="4">
        <v>8</v>
      </c>
      <c r="D63" s="4" t="s">
        <v>29</v>
      </c>
      <c r="E63" s="4" t="s">
        <v>16</v>
      </c>
      <c r="F63" s="4" t="s">
        <v>143</v>
      </c>
      <c r="G63" s="4">
        <v>60</v>
      </c>
      <c r="H63" s="4">
        <v>1.1000000000000001</v>
      </c>
      <c r="I63" s="4">
        <f t="shared" si="0"/>
        <v>58.9</v>
      </c>
      <c r="J63" s="4">
        <f>INDEX(Dim_Machine!$E$2:$E$8,MATCH(D63,Dim_Machine!$A$2:$A$8,0))*INDEX(Dim_Machine!$D$2:$D$8,MATCH(D63,Dim_Machine!$A$2:$A$8,0))*I63</f>
        <v>16963.2</v>
      </c>
      <c r="K63" s="4">
        <f>ROUND(J63*0.85,0)</f>
        <v>14419</v>
      </c>
      <c r="L63" s="4">
        <f>ROUND(K63*0.0071,0)</f>
        <v>102</v>
      </c>
      <c r="M63" s="4">
        <f t="shared" si="1"/>
        <v>14317</v>
      </c>
      <c r="N63" s="4">
        <f t="shared" si="2"/>
        <v>0.85001650631956227</v>
      </c>
      <c r="O63" s="4">
        <f t="shared" si="3"/>
        <v>0.98166666666666669</v>
      </c>
      <c r="P63" s="4">
        <f>IFERROR((K63/I63)/(INDEX(Dim_Machine!$E$2:$E$8,MATCH(D63,Dim_Machine!$A$2:$A$8,0))*INDEX(Dim_Machine!$D$2:$D$8,MATCH(D63,Dim_Machine!$A$2:$A$8,0))),0)</f>
        <v>0.85001650631956238</v>
      </c>
      <c r="Q63" s="4">
        <f t="shared" si="4"/>
        <v>0.99292600041611767</v>
      </c>
      <c r="R63" s="4">
        <f t="shared" si="5"/>
        <v>0.82853009259259269</v>
      </c>
      <c r="S63" s="4">
        <f>T63/0.837</f>
        <v>3.4210274790919954</v>
      </c>
      <c r="T63" s="4">
        <f>M63*INDEX(Dim_Product!$C$2:$C$4,MATCH(F63,Dim_Product!$A$2:$A$4,0))/1000000</f>
        <v>2.8633999999999999</v>
      </c>
      <c r="U63" s="16">
        <f t="shared" si="6"/>
        <v>0.83699999999999997</v>
      </c>
    </row>
    <row r="64" spans="1:21" x14ac:dyDescent="0.25">
      <c r="A64" s="15" t="s">
        <v>205</v>
      </c>
      <c r="B64" s="4">
        <v>20260701</v>
      </c>
      <c r="C64" s="4">
        <v>8</v>
      </c>
      <c r="D64" s="4" t="s">
        <v>31</v>
      </c>
      <c r="E64" s="4" t="s">
        <v>16</v>
      </c>
      <c r="F64" s="4" t="s">
        <v>143</v>
      </c>
      <c r="G64" s="4">
        <v>60</v>
      </c>
      <c r="H64" s="4">
        <v>2.2999999999999998</v>
      </c>
      <c r="I64" s="4">
        <f t="shared" si="0"/>
        <v>57.7</v>
      </c>
      <c r="J64" s="4">
        <f>INDEX(Dim_Machine!$E$2:$E$8,MATCH(D64,Dim_Machine!$A$2:$A$8,0))*INDEX(Dim_Machine!$D$2:$D$8,MATCH(D64,Dim_Machine!$A$2:$A$8,0))*I64</f>
        <v>37389.599999999999</v>
      </c>
      <c r="K64" s="4">
        <f>ROUND(J64*0.868,0)</f>
        <v>32454</v>
      </c>
      <c r="L64" s="4">
        <f>ROUND(K64*0.0213,0)</f>
        <v>691</v>
      </c>
      <c r="M64" s="4">
        <f t="shared" si="1"/>
        <v>31763</v>
      </c>
      <c r="N64" s="4">
        <f t="shared" si="2"/>
        <v>0.86799537839399199</v>
      </c>
      <c r="O64" s="4">
        <f t="shared" si="3"/>
        <v>0.96166666666666667</v>
      </c>
      <c r="P64" s="4">
        <f>IFERROR((K64/I64)/(INDEX(Dim_Machine!$E$2:$E$8,MATCH(D64,Dim_Machine!$A$2:$A$8,0))*INDEX(Dim_Machine!$D$2:$D$8,MATCH(D64,Dim_Machine!$A$2:$A$8,0))),0)</f>
        <v>0.86799537839399199</v>
      </c>
      <c r="Q64" s="4">
        <f t="shared" si="4"/>
        <v>0.97870832563012267</v>
      </c>
      <c r="R64" s="4">
        <f t="shared" si="5"/>
        <v>0.81694958847736632</v>
      </c>
      <c r="S64" s="4">
        <f>T64/0.845</f>
        <v>7.5178698224852072</v>
      </c>
      <c r="T64" s="4">
        <f>M64*INDEX(Dim_Product!$C$2:$C$4,MATCH(F64,Dim_Product!$A$2:$A$4,0))/1000000</f>
        <v>6.3525999999999998</v>
      </c>
      <c r="U64" s="16">
        <f t="shared" si="6"/>
        <v>0.84499999999999997</v>
      </c>
    </row>
    <row r="65" spans="1:21" x14ac:dyDescent="0.25">
      <c r="A65" s="15" t="s">
        <v>206</v>
      </c>
      <c r="B65" s="4">
        <v>20260701</v>
      </c>
      <c r="C65" s="4">
        <v>9</v>
      </c>
      <c r="D65" s="4" t="s">
        <v>15</v>
      </c>
      <c r="E65" s="4" t="s">
        <v>16</v>
      </c>
      <c r="F65" s="4" t="s">
        <v>143</v>
      </c>
      <c r="G65" s="4">
        <v>60</v>
      </c>
      <c r="H65" s="4">
        <v>7.9</v>
      </c>
      <c r="I65" s="4">
        <f t="shared" si="0"/>
        <v>52.1</v>
      </c>
      <c r="J65" s="4">
        <f>INDEX(Dim_Machine!$E$2:$E$8,MATCH(D65,Dim_Machine!$A$2:$A$8,0))*INDEX(Dim_Machine!$D$2:$D$8,MATCH(D65,Dim_Machine!$A$2:$A$8,0))*I65</f>
        <v>20840</v>
      </c>
      <c r="K65" s="4">
        <f>ROUND(J65*0.941,0)</f>
        <v>19610</v>
      </c>
      <c r="L65" s="4">
        <f>ROUND(K65*0.0209,0)</f>
        <v>410</v>
      </c>
      <c r="M65" s="4">
        <f t="shared" si="1"/>
        <v>19200</v>
      </c>
      <c r="N65" s="4">
        <f t="shared" si="2"/>
        <v>0.94097888675623798</v>
      </c>
      <c r="O65" s="4">
        <f t="shared" si="3"/>
        <v>0.8683333333333334</v>
      </c>
      <c r="P65" s="4">
        <f>IFERROR((K65/I65)/(INDEX(Dim_Machine!$E$2:$E$8,MATCH(D65,Dim_Machine!$A$2:$A$8,0))*INDEX(Dim_Machine!$D$2:$D$8,MATCH(D65,Dim_Machine!$A$2:$A$8,0))),0)</f>
        <v>0.94097888675623798</v>
      </c>
      <c r="Q65" s="4">
        <f t="shared" si="4"/>
        <v>0.97909229984701684</v>
      </c>
      <c r="R65" s="4">
        <f t="shared" si="5"/>
        <v>0.8</v>
      </c>
      <c r="S65" s="4">
        <f>T65/0.9</f>
        <v>4.2666666666666666</v>
      </c>
      <c r="T65" s="4">
        <f>M65*INDEX(Dim_Product!$C$2:$C$4,MATCH(F65,Dim_Product!$A$2:$A$4,0))/1000000</f>
        <v>3.84</v>
      </c>
      <c r="U65" s="16">
        <f t="shared" si="6"/>
        <v>0.9</v>
      </c>
    </row>
    <row r="66" spans="1:21" x14ac:dyDescent="0.25">
      <c r="A66" s="15" t="s">
        <v>207</v>
      </c>
      <c r="B66" s="4">
        <v>20260701</v>
      </c>
      <c r="C66" s="4">
        <v>9</v>
      </c>
      <c r="D66" s="4" t="s">
        <v>19</v>
      </c>
      <c r="E66" s="4" t="s">
        <v>16</v>
      </c>
      <c r="F66" s="4" t="s">
        <v>141</v>
      </c>
      <c r="G66" s="4">
        <v>60</v>
      </c>
      <c r="H66" s="4">
        <v>4.4000000000000004</v>
      </c>
      <c r="I66" s="4">
        <f t="shared" ref="I66:I129" si="7">G66-H66</f>
        <v>55.6</v>
      </c>
      <c r="J66" s="4">
        <f>INDEX(Dim_Machine!$E$2:$E$8,MATCH(D66,Dim_Machine!$A$2:$A$8,0))*INDEX(Dim_Machine!$D$2:$D$8,MATCH(D66,Dim_Machine!$A$2:$A$8,0))*I66</f>
        <v>37363.200000000004</v>
      </c>
      <c r="K66" s="4">
        <f>ROUND(J66*0.966,0)</f>
        <v>36093</v>
      </c>
      <c r="L66" s="4">
        <f>ROUND(K66*0.0081,0)</f>
        <v>292</v>
      </c>
      <c r="M66" s="4">
        <f t="shared" ref="M66:M129" si="8">K66-L66</f>
        <v>35801</v>
      </c>
      <c r="N66" s="4">
        <f t="shared" ref="N66:N129" si="9">IFERROR(K66/J66,0)</f>
        <v>0.96600398252826303</v>
      </c>
      <c r="O66" s="4">
        <f t="shared" ref="O66:O129" si="10">IFERROR(I66/G66,0)</f>
        <v>0.92666666666666664</v>
      </c>
      <c r="P66" s="4">
        <f>IFERROR((K66/I66)/(INDEX(Dim_Machine!$E$2:$E$8,MATCH(D66,Dim_Machine!$A$2:$A$8,0))*INDEX(Dim_Machine!$D$2:$D$8,MATCH(D66,Dim_Machine!$A$2:$A$8,0))),0)</f>
        <v>0.96600398252826314</v>
      </c>
      <c r="Q66" s="4">
        <f t="shared" ref="Q66:Q129" si="11">IFERROR(M66/K66,0)</f>
        <v>0.9919097886016679</v>
      </c>
      <c r="R66" s="4">
        <f t="shared" ref="R66:R129" si="12">O66*P66*Q66</f>
        <v>0.88792162698412702</v>
      </c>
      <c r="S66" s="4">
        <f>T66/0.932</f>
        <v>9.603272532188841</v>
      </c>
      <c r="T66" s="4">
        <f>M66*INDEX(Dim_Product!$C$2:$C$4,MATCH(F66,Dim_Product!$A$2:$A$4,0))/1000000</f>
        <v>8.9502500000000005</v>
      </c>
      <c r="U66" s="16">
        <f t="shared" ref="U66:U129" si="13">IFERROR(T66/S66,0)</f>
        <v>0.93200000000000005</v>
      </c>
    </row>
    <row r="67" spans="1:21" x14ac:dyDescent="0.25">
      <c r="A67" s="15" t="s">
        <v>208</v>
      </c>
      <c r="B67" s="4">
        <v>20260701</v>
      </c>
      <c r="C67" s="4">
        <v>9</v>
      </c>
      <c r="D67" s="4" t="s">
        <v>23</v>
      </c>
      <c r="E67" s="4" t="s">
        <v>16</v>
      </c>
      <c r="F67" s="4" t="s">
        <v>187</v>
      </c>
      <c r="G67" s="4">
        <v>60</v>
      </c>
      <c r="H67" s="4">
        <v>2.1</v>
      </c>
      <c r="I67" s="4">
        <f t="shared" si="7"/>
        <v>57.9</v>
      </c>
      <c r="J67" s="4">
        <f>INDEX(Dim_Machine!$E$2:$E$8,MATCH(D67,Dim_Machine!$A$2:$A$8,0))*INDEX(Dim_Machine!$D$2:$D$8,MATCH(D67,Dim_Machine!$A$2:$A$8,0))*I67</f>
        <v>15285.6</v>
      </c>
      <c r="K67" s="4">
        <f>ROUND(J67*0.958,0)</f>
        <v>14644</v>
      </c>
      <c r="L67" s="4">
        <f>ROUND(K67*0.0273,0)</f>
        <v>400</v>
      </c>
      <c r="M67" s="4">
        <f t="shared" si="8"/>
        <v>14244</v>
      </c>
      <c r="N67" s="4">
        <f t="shared" si="9"/>
        <v>0.95802585439891141</v>
      </c>
      <c r="O67" s="4">
        <f t="shared" si="10"/>
        <v>0.96499999999999997</v>
      </c>
      <c r="P67" s="4">
        <f>IFERROR((K67/I67)/(INDEX(Dim_Machine!$E$2:$E$8,MATCH(D67,Dim_Machine!$A$2:$A$8,0))*INDEX(Dim_Machine!$D$2:$D$8,MATCH(D67,Dim_Machine!$A$2:$A$8,0))),0)</f>
        <v>0.95802585439891141</v>
      </c>
      <c r="Q67" s="4">
        <f t="shared" si="11"/>
        <v>0.97268505872712374</v>
      </c>
      <c r="R67" s="4">
        <f t="shared" si="12"/>
        <v>0.89924242424242429</v>
      </c>
      <c r="S67" s="4">
        <f>T67/0.823</f>
        <v>5.1922235722964771</v>
      </c>
      <c r="T67" s="4">
        <f>M67*INDEX(Dim_Product!$C$2:$C$4,MATCH(F67,Dim_Product!$A$2:$A$4,0))/1000000</f>
        <v>4.2732000000000001</v>
      </c>
      <c r="U67" s="16">
        <f t="shared" si="13"/>
        <v>0.82299999999999984</v>
      </c>
    </row>
    <row r="68" spans="1:21" x14ac:dyDescent="0.25">
      <c r="A68" s="15" t="s">
        <v>209</v>
      </c>
      <c r="B68" s="4">
        <v>20260701</v>
      </c>
      <c r="C68" s="4">
        <v>9</v>
      </c>
      <c r="D68" s="4" t="s">
        <v>25</v>
      </c>
      <c r="E68" s="4" t="s">
        <v>16</v>
      </c>
      <c r="F68" s="4" t="s">
        <v>141</v>
      </c>
      <c r="G68" s="4">
        <v>60</v>
      </c>
      <c r="H68" s="4">
        <v>2.2999999999999998</v>
      </c>
      <c r="I68" s="4">
        <f t="shared" si="7"/>
        <v>57.7</v>
      </c>
      <c r="J68" s="4">
        <f>INDEX(Dim_Machine!$E$2:$E$8,MATCH(D68,Dim_Machine!$A$2:$A$8,0))*INDEX(Dim_Machine!$D$2:$D$8,MATCH(D68,Dim_Machine!$A$2:$A$8,0))*I68</f>
        <v>41544</v>
      </c>
      <c r="K68" s="4">
        <f>ROUND(J68*0.822,0)</f>
        <v>34149</v>
      </c>
      <c r="L68" s="4">
        <f>ROUND(K68*0.0153,0)</f>
        <v>522</v>
      </c>
      <c r="M68" s="4">
        <f t="shared" si="8"/>
        <v>33627</v>
      </c>
      <c r="N68" s="4">
        <f t="shared" si="9"/>
        <v>0.82199595609474296</v>
      </c>
      <c r="O68" s="4">
        <f t="shared" si="10"/>
        <v>0.96166666666666667</v>
      </c>
      <c r="P68" s="4">
        <f>IFERROR((K68/I68)/(INDEX(Dim_Machine!$E$2:$E$8,MATCH(D68,Dim_Machine!$A$2:$A$8,0))*INDEX(Dim_Machine!$D$2:$D$8,MATCH(D68,Dim_Machine!$A$2:$A$8,0))),0)</f>
        <v>0.82199595609474285</v>
      </c>
      <c r="Q68" s="4">
        <f t="shared" si="11"/>
        <v>0.98471404726346301</v>
      </c>
      <c r="R68" s="4">
        <f t="shared" si="12"/>
        <v>0.77840277777777767</v>
      </c>
      <c r="S68" s="4">
        <f>T68/0.903</f>
        <v>9.3098006644518279</v>
      </c>
      <c r="T68" s="4">
        <f>M68*INDEX(Dim_Product!$C$2:$C$4,MATCH(F68,Dim_Product!$A$2:$A$4,0))/1000000</f>
        <v>8.4067500000000006</v>
      </c>
      <c r="U68" s="16">
        <f t="shared" si="13"/>
        <v>0.90300000000000002</v>
      </c>
    </row>
    <row r="69" spans="1:21" x14ac:dyDescent="0.25">
      <c r="A69" s="15" t="s">
        <v>210</v>
      </c>
      <c r="B69" s="4">
        <v>20260701</v>
      </c>
      <c r="C69" s="4">
        <v>9</v>
      </c>
      <c r="D69" s="4" t="s">
        <v>27</v>
      </c>
      <c r="E69" s="4" t="s">
        <v>16</v>
      </c>
      <c r="F69" s="4" t="s">
        <v>143</v>
      </c>
      <c r="G69" s="4">
        <v>60</v>
      </c>
      <c r="H69" s="4">
        <v>6.8</v>
      </c>
      <c r="I69" s="4">
        <f t="shared" si="7"/>
        <v>53.2</v>
      </c>
      <c r="J69" s="4">
        <f>INDEX(Dim_Machine!$E$2:$E$8,MATCH(D69,Dim_Machine!$A$2:$A$8,0))*INDEX(Dim_Machine!$D$2:$D$8,MATCH(D69,Dim_Machine!$A$2:$A$8,0))*I69</f>
        <v>22131.200000000001</v>
      </c>
      <c r="K69" s="4">
        <f>ROUND(J69*0.881,0)</f>
        <v>19498</v>
      </c>
      <c r="L69" s="4">
        <f>ROUND(K69*0.0125,0)</f>
        <v>244</v>
      </c>
      <c r="M69" s="4">
        <f t="shared" si="8"/>
        <v>19254</v>
      </c>
      <c r="N69" s="4">
        <f t="shared" si="9"/>
        <v>0.88101865240023136</v>
      </c>
      <c r="O69" s="4">
        <f t="shared" si="10"/>
        <v>0.88666666666666671</v>
      </c>
      <c r="P69" s="4">
        <f>IFERROR((K69/I69)/(INDEX(Dim_Machine!$E$2:$E$8,MATCH(D69,Dim_Machine!$A$2:$A$8,0))*INDEX(Dim_Machine!$D$2:$D$8,MATCH(D69,Dim_Machine!$A$2:$A$8,0))),0)</f>
        <v>0.88101865240023136</v>
      </c>
      <c r="Q69" s="4">
        <f t="shared" si="11"/>
        <v>0.98748589598933223</v>
      </c>
      <c r="R69" s="4">
        <f t="shared" si="12"/>
        <v>0.77139423076923086</v>
      </c>
      <c r="S69" s="4">
        <f>T69/0.936</f>
        <v>4.1141025641025637</v>
      </c>
      <c r="T69" s="4">
        <f>M69*INDEX(Dim_Product!$C$2:$C$4,MATCH(F69,Dim_Product!$A$2:$A$4,0))/1000000</f>
        <v>3.8508</v>
      </c>
      <c r="U69" s="16">
        <f t="shared" si="13"/>
        <v>0.93600000000000005</v>
      </c>
    </row>
    <row r="70" spans="1:21" x14ac:dyDescent="0.25">
      <c r="A70" s="15" t="s">
        <v>211</v>
      </c>
      <c r="B70" s="4">
        <v>20260701</v>
      </c>
      <c r="C70" s="4">
        <v>9</v>
      </c>
      <c r="D70" s="4" t="s">
        <v>29</v>
      </c>
      <c r="E70" s="4" t="s">
        <v>16</v>
      </c>
      <c r="F70" s="4" t="s">
        <v>143</v>
      </c>
      <c r="G70" s="4">
        <v>60</v>
      </c>
      <c r="H70" s="4">
        <v>0.4</v>
      </c>
      <c r="I70" s="4">
        <f t="shared" si="7"/>
        <v>59.6</v>
      </c>
      <c r="J70" s="4">
        <f>INDEX(Dim_Machine!$E$2:$E$8,MATCH(D70,Dim_Machine!$A$2:$A$8,0))*INDEX(Dim_Machine!$D$2:$D$8,MATCH(D70,Dim_Machine!$A$2:$A$8,0))*I70</f>
        <v>17164.8</v>
      </c>
      <c r="K70" s="4">
        <f>ROUND(J70*0.907,0)</f>
        <v>15568</v>
      </c>
      <c r="L70" s="4">
        <f>ROUND(K70*0.0299,0)</f>
        <v>465</v>
      </c>
      <c r="M70" s="4">
        <f t="shared" si="8"/>
        <v>15103</v>
      </c>
      <c r="N70" s="4">
        <f t="shared" si="9"/>
        <v>0.90697240865026107</v>
      </c>
      <c r="O70" s="4">
        <f t="shared" si="10"/>
        <v>0.9933333333333334</v>
      </c>
      <c r="P70" s="4">
        <f>IFERROR((K70/I70)/(INDEX(Dim_Machine!$E$2:$E$8,MATCH(D70,Dim_Machine!$A$2:$A$8,0))*INDEX(Dim_Machine!$D$2:$D$8,MATCH(D70,Dim_Machine!$A$2:$A$8,0))),0)</f>
        <v>0.90697240865026096</v>
      </c>
      <c r="Q70" s="4">
        <f t="shared" si="11"/>
        <v>0.97013103802672151</v>
      </c>
      <c r="R70" s="4">
        <f t="shared" si="12"/>
        <v>0.8740162037037037</v>
      </c>
      <c r="S70" s="4">
        <f>T70/0.807</f>
        <v>3.7429987608426267</v>
      </c>
      <c r="T70" s="4">
        <f>M70*INDEX(Dim_Product!$C$2:$C$4,MATCH(F70,Dim_Product!$A$2:$A$4,0))/1000000</f>
        <v>3.0206</v>
      </c>
      <c r="U70" s="16">
        <f t="shared" si="13"/>
        <v>0.80700000000000005</v>
      </c>
    </row>
    <row r="71" spans="1:21" x14ac:dyDescent="0.25">
      <c r="A71" s="15" t="s">
        <v>212</v>
      </c>
      <c r="B71" s="4">
        <v>20260701</v>
      </c>
      <c r="C71" s="4">
        <v>9</v>
      </c>
      <c r="D71" s="4" t="s">
        <v>31</v>
      </c>
      <c r="E71" s="4" t="s">
        <v>16</v>
      </c>
      <c r="F71" s="4" t="s">
        <v>143</v>
      </c>
      <c r="G71" s="4">
        <v>60</v>
      </c>
      <c r="H71" s="4">
        <v>2.7</v>
      </c>
      <c r="I71" s="4">
        <f t="shared" si="7"/>
        <v>57.3</v>
      </c>
      <c r="J71" s="4">
        <f>INDEX(Dim_Machine!$E$2:$E$8,MATCH(D71,Dim_Machine!$A$2:$A$8,0))*INDEX(Dim_Machine!$D$2:$D$8,MATCH(D71,Dim_Machine!$A$2:$A$8,0))*I71</f>
        <v>37130.400000000001</v>
      </c>
      <c r="K71" s="4">
        <f>ROUND(J71*0.806,0)</f>
        <v>29927</v>
      </c>
      <c r="L71" s="4">
        <f>ROUND(K71*0.0344,0)</f>
        <v>1029</v>
      </c>
      <c r="M71" s="4">
        <f t="shared" si="8"/>
        <v>28898</v>
      </c>
      <c r="N71" s="4">
        <f t="shared" si="9"/>
        <v>0.80599724215198321</v>
      </c>
      <c r="O71" s="4">
        <f t="shared" si="10"/>
        <v>0.95499999999999996</v>
      </c>
      <c r="P71" s="4">
        <f>IFERROR((K71/I71)/(INDEX(Dim_Machine!$E$2:$E$8,MATCH(D71,Dim_Machine!$A$2:$A$8,0))*INDEX(Dim_Machine!$D$2:$D$8,MATCH(D71,Dim_Machine!$A$2:$A$8,0))),0)</f>
        <v>0.80599724215198332</v>
      </c>
      <c r="Q71" s="4">
        <f t="shared" si="11"/>
        <v>0.96561633307715444</v>
      </c>
      <c r="R71" s="4">
        <f t="shared" si="12"/>
        <v>0.74326131687242802</v>
      </c>
      <c r="S71" s="4">
        <f>T71/0.824</f>
        <v>7.014077669902913</v>
      </c>
      <c r="T71" s="4">
        <f>M71*INDEX(Dim_Product!$C$2:$C$4,MATCH(F71,Dim_Product!$A$2:$A$4,0))/1000000</f>
        <v>5.7796000000000003</v>
      </c>
      <c r="U71" s="16">
        <f t="shared" si="13"/>
        <v>0.82399999999999995</v>
      </c>
    </row>
    <row r="72" spans="1:21" x14ac:dyDescent="0.25">
      <c r="A72" s="15" t="s">
        <v>213</v>
      </c>
      <c r="B72" s="4">
        <v>20260701</v>
      </c>
      <c r="C72" s="4">
        <v>10</v>
      </c>
      <c r="D72" s="4" t="s">
        <v>15</v>
      </c>
      <c r="E72" s="4" t="s">
        <v>16</v>
      </c>
      <c r="F72" s="4" t="s">
        <v>143</v>
      </c>
      <c r="G72" s="4">
        <v>60</v>
      </c>
      <c r="H72" s="4">
        <v>3.5</v>
      </c>
      <c r="I72" s="4">
        <f t="shared" si="7"/>
        <v>56.5</v>
      </c>
      <c r="J72" s="4">
        <f>INDEX(Dim_Machine!$E$2:$E$8,MATCH(D72,Dim_Machine!$A$2:$A$8,0))*INDEX(Dim_Machine!$D$2:$D$8,MATCH(D72,Dim_Machine!$A$2:$A$8,0))*I72</f>
        <v>22600</v>
      </c>
      <c r="K72" s="4">
        <f>ROUND(J72*0.921,0)</f>
        <v>20815</v>
      </c>
      <c r="L72" s="4">
        <f>ROUND(K72*0.0218,0)</f>
        <v>454</v>
      </c>
      <c r="M72" s="4">
        <f t="shared" si="8"/>
        <v>20361</v>
      </c>
      <c r="N72" s="4">
        <f t="shared" si="9"/>
        <v>0.92101769911504427</v>
      </c>
      <c r="O72" s="4">
        <f t="shared" si="10"/>
        <v>0.94166666666666665</v>
      </c>
      <c r="P72" s="4">
        <f>IFERROR((K72/I72)/(INDEX(Dim_Machine!$E$2:$E$8,MATCH(D72,Dim_Machine!$A$2:$A$8,0))*INDEX(Dim_Machine!$D$2:$D$8,MATCH(D72,Dim_Machine!$A$2:$A$8,0))),0)</f>
        <v>0.92101769911504416</v>
      </c>
      <c r="Q72" s="4">
        <f t="shared" si="11"/>
        <v>0.9781888061494115</v>
      </c>
      <c r="R72" s="4">
        <f t="shared" si="12"/>
        <v>0.84837499999999988</v>
      </c>
      <c r="S72" s="4">
        <f>T72/0.817</f>
        <v>4.9843329253365969</v>
      </c>
      <c r="T72" s="4">
        <f>M72*INDEX(Dim_Product!$C$2:$C$4,MATCH(F72,Dim_Product!$A$2:$A$4,0))/1000000</f>
        <v>4.0721999999999996</v>
      </c>
      <c r="U72" s="16">
        <f t="shared" si="13"/>
        <v>0.81699999999999995</v>
      </c>
    </row>
    <row r="73" spans="1:21" x14ac:dyDescent="0.25">
      <c r="A73" s="15" t="s">
        <v>214</v>
      </c>
      <c r="B73" s="4">
        <v>20260701</v>
      </c>
      <c r="C73" s="4">
        <v>10</v>
      </c>
      <c r="D73" s="4" t="s">
        <v>19</v>
      </c>
      <c r="E73" s="4" t="s">
        <v>16</v>
      </c>
      <c r="F73" s="4" t="s">
        <v>141</v>
      </c>
      <c r="G73" s="4">
        <v>60</v>
      </c>
      <c r="H73" s="4">
        <v>7.6</v>
      </c>
      <c r="I73" s="4">
        <f t="shared" si="7"/>
        <v>52.4</v>
      </c>
      <c r="J73" s="4">
        <f>INDEX(Dim_Machine!$E$2:$E$8,MATCH(D73,Dim_Machine!$A$2:$A$8,0))*INDEX(Dim_Machine!$D$2:$D$8,MATCH(D73,Dim_Machine!$A$2:$A$8,0))*I73</f>
        <v>35212.799999999996</v>
      </c>
      <c r="K73" s="4">
        <f>ROUND(J73*0.918,0)</f>
        <v>32325</v>
      </c>
      <c r="L73" s="4">
        <f>ROUND(K73*0.0095,0)</f>
        <v>307</v>
      </c>
      <c r="M73" s="4">
        <f t="shared" si="8"/>
        <v>32018</v>
      </c>
      <c r="N73" s="4">
        <f t="shared" si="9"/>
        <v>0.91799004907306447</v>
      </c>
      <c r="O73" s="4">
        <f t="shared" si="10"/>
        <v>0.87333333333333329</v>
      </c>
      <c r="P73" s="4">
        <f>IFERROR((K73/I73)/(INDEX(Dim_Machine!$E$2:$E$8,MATCH(D73,Dim_Machine!$A$2:$A$8,0))*INDEX(Dim_Machine!$D$2:$D$8,MATCH(D73,Dim_Machine!$A$2:$A$8,0))),0)</f>
        <v>0.91799004907306436</v>
      </c>
      <c r="Q73" s="4">
        <f t="shared" si="11"/>
        <v>0.99050270688321729</v>
      </c>
      <c r="R73" s="4">
        <f t="shared" si="12"/>
        <v>0.79409722222222223</v>
      </c>
      <c r="S73" s="4">
        <f>T73/0.805</f>
        <v>9.9434782608695649</v>
      </c>
      <c r="T73" s="4">
        <f>M73*INDEX(Dim_Product!$C$2:$C$4,MATCH(F73,Dim_Product!$A$2:$A$4,0))/1000000</f>
        <v>8.0045000000000002</v>
      </c>
      <c r="U73" s="16">
        <f t="shared" si="13"/>
        <v>0.80500000000000005</v>
      </c>
    </row>
    <row r="74" spans="1:21" x14ac:dyDescent="0.25">
      <c r="A74" s="15" t="s">
        <v>215</v>
      </c>
      <c r="B74" s="4">
        <v>20260701</v>
      </c>
      <c r="C74" s="4">
        <v>10</v>
      </c>
      <c r="D74" s="4" t="s">
        <v>23</v>
      </c>
      <c r="E74" s="4" t="s">
        <v>16</v>
      </c>
      <c r="F74" s="4" t="s">
        <v>187</v>
      </c>
      <c r="G74" s="4">
        <v>60</v>
      </c>
      <c r="H74" s="4">
        <v>3</v>
      </c>
      <c r="I74" s="4">
        <f t="shared" si="7"/>
        <v>57</v>
      </c>
      <c r="J74" s="4">
        <f>INDEX(Dim_Machine!$E$2:$E$8,MATCH(D74,Dim_Machine!$A$2:$A$8,0))*INDEX(Dim_Machine!$D$2:$D$8,MATCH(D74,Dim_Machine!$A$2:$A$8,0))*I74</f>
        <v>15048</v>
      </c>
      <c r="K74" s="4">
        <f>ROUND(J74*0.891,0)</f>
        <v>13408</v>
      </c>
      <c r="L74" s="4">
        <f>ROUND(K74*0.0179,0)</f>
        <v>240</v>
      </c>
      <c r="M74" s="4">
        <f t="shared" si="8"/>
        <v>13168</v>
      </c>
      <c r="N74" s="4">
        <f t="shared" si="9"/>
        <v>0.89101541733120682</v>
      </c>
      <c r="O74" s="4">
        <f t="shared" si="10"/>
        <v>0.95</v>
      </c>
      <c r="P74" s="4">
        <f>IFERROR((K74/I74)/(INDEX(Dim_Machine!$E$2:$E$8,MATCH(D74,Dim_Machine!$A$2:$A$8,0))*INDEX(Dim_Machine!$D$2:$D$8,MATCH(D74,Dim_Machine!$A$2:$A$8,0))),0)</f>
        <v>0.89101541733120682</v>
      </c>
      <c r="Q74" s="4">
        <f t="shared" si="11"/>
        <v>0.9821002386634845</v>
      </c>
      <c r="R74" s="4">
        <f t="shared" si="12"/>
        <v>0.83131313131313134</v>
      </c>
      <c r="S74" s="4">
        <f>T74/0.806</f>
        <v>4.9012406947890819</v>
      </c>
      <c r="T74" s="4">
        <f>M74*INDEX(Dim_Product!$C$2:$C$4,MATCH(F74,Dim_Product!$A$2:$A$4,0))/1000000</f>
        <v>3.9504000000000001</v>
      </c>
      <c r="U74" s="16">
        <f t="shared" si="13"/>
        <v>0.80600000000000005</v>
      </c>
    </row>
    <row r="75" spans="1:21" x14ac:dyDescent="0.25">
      <c r="A75" s="15" t="s">
        <v>216</v>
      </c>
      <c r="B75" s="4">
        <v>20260701</v>
      </c>
      <c r="C75" s="4">
        <v>10</v>
      </c>
      <c r="D75" s="4" t="s">
        <v>25</v>
      </c>
      <c r="E75" s="4" t="s">
        <v>16</v>
      </c>
      <c r="F75" s="4" t="s">
        <v>141</v>
      </c>
      <c r="G75" s="4">
        <v>60</v>
      </c>
      <c r="H75" s="4">
        <v>2.9</v>
      </c>
      <c r="I75" s="4">
        <f t="shared" si="7"/>
        <v>57.1</v>
      </c>
      <c r="J75" s="4">
        <f>INDEX(Dim_Machine!$E$2:$E$8,MATCH(D75,Dim_Machine!$A$2:$A$8,0))*INDEX(Dim_Machine!$D$2:$D$8,MATCH(D75,Dim_Machine!$A$2:$A$8,0))*I75</f>
        <v>41112</v>
      </c>
      <c r="K75" s="4">
        <f>ROUND(J75*0.967,0)</f>
        <v>39755</v>
      </c>
      <c r="L75" s="4">
        <f>ROUND(K75*0.0342,0)</f>
        <v>1360</v>
      </c>
      <c r="M75" s="4">
        <f t="shared" si="8"/>
        <v>38395</v>
      </c>
      <c r="N75" s="4">
        <f t="shared" si="9"/>
        <v>0.9669926055652851</v>
      </c>
      <c r="O75" s="4">
        <f t="shared" si="10"/>
        <v>0.95166666666666666</v>
      </c>
      <c r="P75" s="4">
        <f>IFERROR((K75/I75)/(INDEX(Dim_Machine!$E$2:$E$8,MATCH(D75,Dim_Machine!$A$2:$A$8,0))*INDEX(Dim_Machine!$D$2:$D$8,MATCH(D75,Dim_Machine!$A$2:$A$8,0))),0)</f>
        <v>0.96699260556528499</v>
      </c>
      <c r="Q75" s="4">
        <f t="shared" si="11"/>
        <v>0.96579046660797385</v>
      </c>
      <c r="R75" s="4">
        <f t="shared" si="12"/>
        <v>0.88877314814814812</v>
      </c>
      <c r="S75" s="4">
        <f>T75/0.806</f>
        <v>11.909119106699752</v>
      </c>
      <c r="T75" s="4">
        <f>M75*INDEX(Dim_Product!$C$2:$C$4,MATCH(F75,Dim_Product!$A$2:$A$4,0))/1000000</f>
        <v>9.5987500000000008</v>
      </c>
      <c r="U75" s="16">
        <f t="shared" si="13"/>
        <v>0.80600000000000005</v>
      </c>
    </row>
    <row r="76" spans="1:21" x14ac:dyDescent="0.25">
      <c r="A76" s="15" t="s">
        <v>217</v>
      </c>
      <c r="B76" s="4">
        <v>20260701</v>
      </c>
      <c r="C76" s="4">
        <v>10</v>
      </c>
      <c r="D76" s="4" t="s">
        <v>27</v>
      </c>
      <c r="E76" s="4" t="s">
        <v>16</v>
      </c>
      <c r="F76" s="4" t="s">
        <v>143</v>
      </c>
      <c r="G76" s="4">
        <v>60</v>
      </c>
      <c r="H76" s="4">
        <v>2.9</v>
      </c>
      <c r="I76" s="4">
        <f t="shared" si="7"/>
        <v>57.1</v>
      </c>
      <c r="J76" s="4">
        <f>INDEX(Dim_Machine!$E$2:$E$8,MATCH(D76,Dim_Machine!$A$2:$A$8,0))*INDEX(Dim_Machine!$D$2:$D$8,MATCH(D76,Dim_Machine!$A$2:$A$8,0))*I76</f>
        <v>23753.600000000002</v>
      </c>
      <c r="K76" s="4">
        <f>ROUND(J76*0.916,0)</f>
        <v>21758</v>
      </c>
      <c r="L76" s="4">
        <f>ROUND(K76*0.025,0)</f>
        <v>544</v>
      </c>
      <c r="M76" s="4">
        <f t="shared" si="8"/>
        <v>21214</v>
      </c>
      <c r="N76" s="4">
        <f t="shared" si="9"/>
        <v>0.91598747137276026</v>
      </c>
      <c r="O76" s="4">
        <f t="shared" si="10"/>
        <v>0.95166666666666666</v>
      </c>
      <c r="P76" s="4">
        <f>IFERROR((K76/I76)/(INDEX(Dim_Machine!$E$2:$E$8,MATCH(D76,Dim_Machine!$A$2:$A$8,0))*INDEX(Dim_Machine!$D$2:$D$8,MATCH(D76,Dim_Machine!$A$2:$A$8,0))),0)</f>
        <v>0.91598747137276026</v>
      </c>
      <c r="Q76" s="4">
        <f t="shared" si="11"/>
        <v>0.97499770199466862</v>
      </c>
      <c r="R76" s="4">
        <f t="shared" si="12"/>
        <v>0.84991987179487172</v>
      </c>
      <c r="S76" s="4">
        <f>T76/0.853</f>
        <v>4.9739742086752639</v>
      </c>
      <c r="T76" s="4">
        <f>M76*INDEX(Dim_Product!$C$2:$C$4,MATCH(F76,Dim_Product!$A$2:$A$4,0))/1000000</f>
        <v>4.2427999999999999</v>
      </c>
      <c r="U76" s="16">
        <f t="shared" si="13"/>
        <v>0.85299999999999998</v>
      </c>
    </row>
    <row r="77" spans="1:21" x14ac:dyDescent="0.25">
      <c r="A77" s="15" t="s">
        <v>218</v>
      </c>
      <c r="B77" s="4">
        <v>20260701</v>
      </c>
      <c r="C77" s="4">
        <v>10</v>
      </c>
      <c r="D77" s="4" t="s">
        <v>29</v>
      </c>
      <c r="E77" s="4" t="s">
        <v>16</v>
      </c>
      <c r="F77" s="4" t="s">
        <v>143</v>
      </c>
      <c r="G77" s="4">
        <v>60</v>
      </c>
      <c r="H77" s="4">
        <v>4.5</v>
      </c>
      <c r="I77" s="4">
        <f t="shared" si="7"/>
        <v>55.5</v>
      </c>
      <c r="J77" s="4">
        <f>INDEX(Dim_Machine!$E$2:$E$8,MATCH(D77,Dim_Machine!$A$2:$A$8,0))*INDEX(Dim_Machine!$D$2:$D$8,MATCH(D77,Dim_Machine!$A$2:$A$8,0))*I77</f>
        <v>15984</v>
      </c>
      <c r="K77" s="4">
        <f>ROUND(J77*0.955,0)</f>
        <v>15265</v>
      </c>
      <c r="L77" s="4">
        <f>ROUND(K77*0.0342,0)</f>
        <v>522</v>
      </c>
      <c r="M77" s="4">
        <f t="shared" si="8"/>
        <v>14743</v>
      </c>
      <c r="N77" s="4">
        <f t="shared" si="9"/>
        <v>0.95501751751751751</v>
      </c>
      <c r="O77" s="4">
        <f t="shared" si="10"/>
        <v>0.92500000000000004</v>
      </c>
      <c r="P77" s="4">
        <f>IFERROR((K77/I77)/(INDEX(Dim_Machine!$E$2:$E$8,MATCH(D77,Dim_Machine!$A$2:$A$8,0))*INDEX(Dim_Machine!$D$2:$D$8,MATCH(D77,Dim_Machine!$A$2:$A$8,0))),0)</f>
        <v>0.95501751751751762</v>
      </c>
      <c r="Q77" s="4">
        <f t="shared" si="11"/>
        <v>0.96580412708811003</v>
      </c>
      <c r="R77" s="4">
        <f t="shared" si="12"/>
        <v>0.85318287037037044</v>
      </c>
      <c r="S77" s="4">
        <f>T77/0.912</f>
        <v>3.233114035087719</v>
      </c>
      <c r="T77" s="4">
        <f>M77*INDEX(Dim_Product!$C$2:$C$4,MATCH(F77,Dim_Product!$A$2:$A$4,0))/1000000</f>
        <v>2.9485999999999999</v>
      </c>
      <c r="U77" s="16">
        <f t="shared" si="13"/>
        <v>0.91200000000000003</v>
      </c>
    </row>
    <row r="78" spans="1:21" x14ac:dyDescent="0.25">
      <c r="A78" s="15" t="s">
        <v>219</v>
      </c>
      <c r="B78" s="4">
        <v>20260701</v>
      </c>
      <c r="C78" s="4">
        <v>10</v>
      </c>
      <c r="D78" s="4" t="s">
        <v>31</v>
      </c>
      <c r="E78" s="4" t="s">
        <v>16</v>
      </c>
      <c r="F78" s="4" t="s">
        <v>143</v>
      </c>
      <c r="G78" s="4">
        <v>60</v>
      </c>
      <c r="H78" s="4">
        <v>7.4</v>
      </c>
      <c r="I78" s="4">
        <f t="shared" si="7"/>
        <v>52.6</v>
      </c>
      <c r="J78" s="4">
        <f>INDEX(Dim_Machine!$E$2:$E$8,MATCH(D78,Dim_Machine!$A$2:$A$8,0))*INDEX(Dim_Machine!$D$2:$D$8,MATCH(D78,Dim_Machine!$A$2:$A$8,0))*I78</f>
        <v>34084.800000000003</v>
      </c>
      <c r="K78" s="4">
        <f>ROUND(J78*0.827,0)</f>
        <v>28188</v>
      </c>
      <c r="L78" s="4">
        <f>ROUND(K78*0.0099,0)</f>
        <v>279</v>
      </c>
      <c r="M78" s="4">
        <f t="shared" si="8"/>
        <v>27909</v>
      </c>
      <c r="N78" s="4">
        <f t="shared" si="9"/>
        <v>0.82699619771863109</v>
      </c>
      <c r="O78" s="4">
        <f t="shared" si="10"/>
        <v>0.87666666666666671</v>
      </c>
      <c r="P78" s="4">
        <f>IFERROR((K78/I78)/(INDEX(Dim_Machine!$E$2:$E$8,MATCH(D78,Dim_Machine!$A$2:$A$8,0))*INDEX(Dim_Machine!$D$2:$D$8,MATCH(D78,Dim_Machine!$A$2:$A$8,0))),0)</f>
        <v>0.8269961977186312</v>
      </c>
      <c r="Q78" s="4">
        <f t="shared" si="11"/>
        <v>0.99010217113665389</v>
      </c>
      <c r="R78" s="4">
        <f t="shared" si="12"/>
        <v>0.71782407407407411</v>
      </c>
      <c r="S78" s="4">
        <f>T78/0.92</f>
        <v>6.0671739130434785</v>
      </c>
      <c r="T78" s="4">
        <f>M78*INDEX(Dim_Product!$C$2:$C$4,MATCH(F78,Dim_Product!$A$2:$A$4,0))/1000000</f>
        <v>5.5818000000000003</v>
      </c>
      <c r="U78" s="16">
        <f t="shared" si="13"/>
        <v>0.92</v>
      </c>
    </row>
    <row r="79" spans="1:21" x14ac:dyDescent="0.25">
      <c r="A79" s="15" t="s">
        <v>220</v>
      </c>
      <c r="B79" s="4">
        <v>20260701</v>
      </c>
      <c r="C79" s="4">
        <v>11</v>
      </c>
      <c r="D79" s="4" t="s">
        <v>15</v>
      </c>
      <c r="E79" s="4" t="s">
        <v>16</v>
      </c>
      <c r="F79" s="4" t="s">
        <v>143</v>
      </c>
      <c r="G79" s="4">
        <v>60</v>
      </c>
      <c r="H79" s="4">
        <v>1.4</v>
      </c>
      <c r="I79" s="4">
        <f t="shared" si="7"/>
        <v>58.6</v>
      </c>
      <c r="J79" s="4">
        <f>INDEX(Dim_Machine!$E$2:$E$8,MATCH(D79,Dim_Machine!$A$2:$A$8,0))*INDEX(Dim_Machine!$D$2:$D$8,MATCH(D79,Dim_Machine!$A$2:$A$8,0))*I79</f>
        <v>23440</v>
      </c>
      <c r="K79" s="4">
        <f>ROUND(J79*0.862,0)</f>
        <v>20205</v>
      </c>
      <c r="L79" s="4">
        <f>ROUND(K79*0.0104,0)</f>
        <v>210</v>
      </c>
      <c r="M79" s="4">
        <f t="shared" si="8"/>
        <v>19995</v>
      </c>
      <c r="N79" s="4">
        <f t="shared" si="9"/>
        <v>0.86198805460750849</v>
      </c>
      <c r="O79" s="4">
        <f t="shared" si="10"/>
        <v>0.97666666666666668</v>
      </c>
      <c r="P79" s="4">
        <f>IFERROR((K79/I79)/(INDEX(Dim_Machine!$E$2:$E$8,MATCH(D79,Dim_Machine!$A$2:$A$8,0))*INDEX(Dim_Machine!$D$2:$D$8,MATCH(D79,Dim_Machine!$A$2:$A$8,0))),0)</f>
        <v>0.86198805460750849</v>
      </c>
      <c r="Q79" s="4">
        <f t="shared" si="11"/>
        <v>0.98960653303637713</v>
      </c>
      <c r="R79" s="4">
        <f t="shared" si="12"/>
        <v>0.83312499999999989</v>
      </c>
      <c r="S79" s="4">
        <f>T79/0.939</f>
        <v>4.2587859424920129</v>
      </c>
      <c r="T79" s="4">
        <f>M79*INDEX(Dim_Product!$C$2:$C$4,MATCH(F79,Dim_Product!$A$2:$A$4,0))/1000000</f>
        <v>3.9990000000000001</v>
      </c>
      <c r="U79" s="16">
        <f t="shared" si="13"/>
        <v>0.93899999999999995</v>
      </c>
    </row>
    <row r="80" spans="1:21" x14ac:dyDescent="0.25">
      <c r="A80" s="15" t="s">
        <v>221</v>
      </c>
      <c r="B80" s="4">
        <v>20260701</v>
      </c>
      <c r="C80" s="4">
        <v>11</v>
      </c>
      <c r="D80" s="4" t="s">
        <v>19</v>
      </c>
      <c r="E80" s="4" t="s">
        <v>16</v>
      </c>
      <c r="F80" s="4" t="s">
        <v>141</v>
      </c>
      <c r="G80" s="4">
        <v>60</v>
      </c>
      <c r="H80" s="4">
        <v>6.3</v>
      </c>
      <c r="I80" s="4">
        <f t="shared" si="7"/>
        <v>53.7</v>
      </c>
      <c r="J80" s="4">
        <f>INDEX(Dim_Machine!$E$2:$E$8,MATCH(D80,Dim_Machine!$A$2:$A$8,0))*INDEX(Dim_Machine!$D$2:$D$8,MATCH(D80,Dim_Machine!$A$2:$A$8,0))*I80</f>
        <v>36086.400000000001</v>
      </c>
      <c r="K80" s="4">
        <f>ROUND(J80*0.862,0)</f>
        <v>31106</v>
      </c>
      <c r="L80" s="4">
        <f>ROUND(K80*0.0251,0)</f>
        <v>781</v>
      </c>
      <c r="M80" s="4">
        <f t="shared" si="8"/>
        <v>30325</v>
      </c>
      <c r="N80" s="4">
        <f t="shared" si="9"/>
        <v>0.86198678726611688</v>
      </c>
      <c r="O80" s="4">
        <f t="shared" si="10"/>
        <v>0.89500000000000002</v>
      </c>
      <c r="P80" s="4">
        <f>IFERROR((K80/I80)/(INDEX(Dim_Machine!$E$2:$E$8,MATCH(D80,Dim_Machine!$A$2:$A$8,0))*INDEX(Dim_Machine!$D$2:$D$8,MATCH(D80,Dim_Machine!$A$2:$A$8,0))),0)</f>
        <v>0.86198678726611688</v>
      </c>
      <c r="Q80" s="4">
        <f t="shared" si="11"/>
        <v>0.97489230373561375</v>
      </c>
      <c r="R80" s="4">
        <f t="shared" si="12"/>
        <v>0.75210813492063489</v>
      </c>
      <c r="S80" s="4">
        <f>T80/0.91</f>
        <v>8.3310439560439562</v>
      </c>
      <c r="T80" s="4">
        <f>M80*INDEX(Dim_Product!$C$2:$C$4,MATCH(F80,Dim_Product!$A$2:$A$4,0))/1000000</f>
        <v>7.5812499999999998</v>
      </c>
      <c r="U80" s="16">
        <f t="shared" si="13"/>
        <v>0.90999999999999992</v>
      </c>
    </row>
    <row r="81" spans="1:21" x14ac:dyDescent="0.25">
      <c r="A81" s="15" t="s">
        <v>222</v>
      </c>
      <c r="B81" s="4">
        <v>20260701</v>
      </c>
      <c r="C81" s="4">
        <v>11</v>
      </c>
      <c r="D81" s="4" t="s">
        <v>23</v>
      </c>
      <c r="E81" s="4" t="s">
        <v>16</v>
      </c>
      <c r="F81" s="4" t="s">
        <v>187</v>
      </c>
      <c r="G81" s="4">
        <v>60</v>
      </c>
      <c r="H81" s="4">
        <v>2</v>
      </c>
      <c r="I81" s="4">
        <f t="shared" si="7"/>
        <v>58</v>
      </c>
      <c r="J81" s="4">
        <f>INDEX(Dim_Machine!$E$2:$E$8,MATCH(D81,Dim_Machine!$A$2:$A$8,0))*INDEX(Dim_Machine!$D$2:$D$8,MATCH(D81,Dim_Machine!$A$2:$A$8,0))*I81</f>
        <v>15312</v>
      </c>
      <c r="K81" s="4">
        <f>ROUND(J81*0.812,0)</f>
        <v>12433</v>
      </c>
      <c r="L81" s="4">
        <f>ROUND(K81*0.026,0)</f>
        <v>323</v>
      </c>
      <c r="M81" s="4">
        <f t="shared" si="8"/>
        <v>12110</v>
      </c>
      <c r="N81" s="4">
        <f t="shared" si="9"/>
        <v>0.8119775339602926</v>
      </c>
      <c r="O81" s="4">
        <f t="shared" si="10"/>
        <v>0.96666666666666667</v>
      </c>
      <c r="P81" s="4">
        <f>IFERROR((K81/I81)/(INDEX(Dim_Machine!$E$2:$E$8,MATCH(D81,Dim_Machine!$A$2:$A$8,0))*INDEX(Dim_Machine!$D$2:$D$8,MATCH(D81,Dim_Machine!$A$2:$A$8,0))),0)</f>
        <v>0.8119775339602926</v>
      </c>
      <c r="Q81" s="4">
        <f t="shared" si="11"/>
        <v>0.97402075122657439</v>
      </c>
      <c r="R81" s="4">
        <f t="shared" si="12"/>
        <v>0.76452020202020199</v>
      </c>
      <c r="S81" s="4">
        <f>T81/0.857</f>
        <v>4.2392065344224035</v>
      </c>
      <c r="T81" s="4">
        <f>M81*INDEX(Dim_Product!$C$2:$C$4,MATCH(F81,Dim_Product!$A$2:$A$4,0))/1000000</f>
        <v>3.633</v>
      </c>
      <c r="U81" s="16">
        <f t="shared" si="13"/>
        <v>0.8570000000000001</v>
      </c>
    </row>
    <row r="82" spans="1:21" x14ac:dyDescent="0.25">
      <c r="A82" s="15" t="s">
        <v>223</v>
      </c>
      <c r="B82" s="4">
        <v>20260701</v>
      </c>
      <c r="C82" s="4">
        <v>11</v>
      </c>
      <c r="D82" s="4" t="s">
        <v>25</v>
      </c>
      <c r="E82" s="4" t="s">
        <v>16</v>
      </c>
      <c r="F82" s="4" t="s">
        <v>141</v>
      </c>
      <c r="G82" s="4">
        <v>60</v>
      </c>
      <c r="H82" s="4">
        <v>0.3</v>
      </c>
      <c r="I82" s="4">
        <f t="shared" si="7"/>
        <v>59.7</v>
      </c>
      <c r="J82" s="4">
        <f>INDEX(Dim_Machine!$E$2:$E$8,MATCH(D82,Dim_Machine!$A$2:$A$8,0))*INDEX(Dim_Machine!$D$2:$D$8,MATCH(D82,Dim_Machine!$A$2:$A$8,0))*I82</f>
        <v>42984</v>
      </c>
      <c r="K82" s="4">
        <f>ROUND(J82*0.874,0)</f>
        <v>37568</v>
      </c>
      <c r="L82" s="4">
        <f>ROUND(K82*0.011,0)</f>
        <v>413</v>
      </c>
      <c r="M82" s="4">
        <f t="shared" si="8"/>
        <v>37155</v>
      </c>
      <c r="N82" s="4">
        <f t="shared" si="9"/>
        <v>0.87399962776847195</v>
      </c>
      <c r="O82" s="4">
        <f t="shared" si="10"/>
        <v>0.995</v>
      </c>
      <c r="P82" s="4">
        <f>IFERROR((K82/I82)/(INDEX(Dim_Machine!$E$2:$E$8,MATCH(D82,Dim_Machine!$A$2:$A$8,0))*INDEX(Dim_Machine!$D$2:$D$8,MATCH(D82,Dim_Machine!$A$2:$A$8,0))),0)</f>
        <v>0.87399962776847195</v>
      </c>
      <c r="Q82" s="4">
        <f t="shared" si="11"/>
        <v>0.989006601362862</v>
      </c>
      <c r="R82" s="4">
        <f t="shared" si="12"/>
        <v>0.86006944444444444</v>
      </c>
      <c r="S82" s="4">
        <f>T82/0.938</f>
        <v>9.9027185501066111</v>
      </c>
      <c r="T82" s="4">
        <f>M82*INDEX(Dim_Product!$C$2:$C$4,MATCH(F82,Dim_Product!$A$2:$A$4,0))/1000000</f>
        <v>9.2887500000000003</v>
      </c>
      <c r="U82" s="16">
        <f t="shared" si="13"/>
        <v>0.93799999999999994</v>
      </c>
    </row>
    <row r="83" spans="1:21" x14ac:dyDescent="0.25">
      <c r="A83" s="15" t="s">
        <v>224</v>
      </c>
      <c r="B83" s="4">
        <v>20260701</v>
      </c>
      <c r="C83" s="4">
        <v>11</v>
      </c>
      <c r="D83" s="4" t="s">
        <v>27</v>
      </c>
      <c r="E83" s="4" t="s">
        <v>16</v>
      </c>
      <c r="F83" s="4" t="s">
        <v>143</v>
      </c>
      <c r="G83" s="4">
        <v>60</v>
      </c>
      <c r="H83" s="4">
        <v>2.8</v>
      </c>
      <c r="I83" s="4">
        <f t="shared" si="7"/>
        <v>57.2</v>
      </c>
      <c r="J83" s="4">
        <f>INDEX(Dim_Machine!$E$2:$E$8,MATCH(D83,Dim_Machine!$A$2:$A$8,0))*INDEX(Dim_Machine!$D$2:$D$8,MATCH(D83,Dim_Machine!$A$2:$A$8,0))*I83</f>
        <v>23795.200000000001</v>
      </c>
      <c r="K83" s="4">
        <f>ROUND(J83*0.944,0)</f>
        <v>22463</v>
      </c>
      <c r="L83" s="4">
        <f>ROUND(K83*0.0311,0)</f>
        <v>699</v>
      </c>
      <c r="M83" s="4">
        <f t="shared" si="8"/>
        <v>21764</v>
      </c>
      <c r="N83" s="4">
        <f t="shared" si="9"/>
        <v>0.94401391877353413</v>
      </c>
      <c r="O83" s="4">
        <f t="shared" si="10"/>
        <v>0.95333333333333337</v>
      </c>
      <c r="P83" s="4">
        <f>IFERROR((K83/I83)/(INDEX(Dim_Machine!$E$2:$E$8,MATCH(D83,Dim_Machine!$A$2:$A$8,0))*INDEX(Dim_Machine!$D$2:$D$8,MATCH(D83,Dim_Machine!$A$2:$A$8,0))),0)</f>
        <v>0.94401391877353413</v>
      </c>
      <c r="Q83" s="4">
        <f t="shared" si="11"/>
        <v>0.96888216177714459</v>
      </c>
      <c r="R83" s="4">
        <f t="shared" si="12"/>
        <v>0.87195512820512822</v>
      </c>
      <c r="S83" s="4">
        <f>T83/0.833</f>
        <v>5.2254501800720297</v>
      </c>
      <c r="T83" s="4">
        <f>M83*INDEX(Dim_Product!$C$2:$C$4,MATCH(F83,Dim_Product!$A$2:$A$4,0))/1000000</f>
        <v>4.3528000000000002</v>
      </c>
      <c r="U83" s="16">
        <f t="shared" si="13"/>
        <v>0.83299999999999996</v>
      </c>
    </row>
    <row r="84" spans="1:21" x14ac:dyDescent="0.25">
      <c r="A84" s="15" t="s">
        <v>225</v>
      </c>
      <c r="B84" s="4">
        <v>20260701</v>
      </c>
      <c r="C84" s="4">
        <v>11</v>
      </c>
      <c r="D84" s="4" t="s">
        <v>29</v>
      </c>
      <c r="E84" s="4" t="s">
        <v>16</v>
      </c>
      <c r="F84" s="4" t="s">
        <v>143</v>
      </c>
      <c r="G84" s="4">
        <v>60</v>
      </c>
      <c r="H84" s="4">
        <v>5.3</v>
      </c>
      <c r="I84" s="4">
        <f t="shared" si="7"/>
        <v>54.7</v>
      </c>
      <c r="J84" s="4">
        <f>INDEX(Dim_Machine!$E$2:$E$8,MATCH(D84,Dim_Machine!$A$2:$A$8,0))*INDEX(Dim_Machine!$D$2:$D$8,MATCH(D84,Dim_Machine!$A$2:$A$8,0))*I84</f>
        <v>15753.6</v>
      </c>
      <c r="K84" s="4">
        <f>ROUND(J84*0.86,0)</f>
        <v>13548</v>
      </c>
      <c r="L84" s="4">
        <f>ROUND(K84*0.0134,0)</f>
        <v>182</v>
      </c>
      <c r="M84" s="4">
        <f t="shared" si="8"/>
        <v>13366</v>
      </c>
      <c r="N84" s="4">
        <f t="shared" si="9"/>
        <v>0.85999390615478366</v>
      </c>
      <c r="O84" s="4">
        <f t="shared" si="10"/>
        <v>0.91166666666666674</v>
      </c>
      <c r="P84" s="4">
        <f>IFERROR((K84/I84)/(INDEX(Dim_Machine!$E$2:$E$8,MATCH(D84,Dim_Machine!$A$2:$A$8,0))*INDEX(Dim_Machine!$D$2:$D$8,MATCH(D84,Dim_Machine!$A$2:$A$8,0))),0)</f>
        <v>0.85999390615478366</v>
      </c>
      <c r="Q84" s="4">
        <f t="shared" si="11"/>
        <v>0.98656628284617653</v>
      </c>
      <c r="R84" s="4">
        <f t="shared" si="12"/>
        <v>0.77349537037037042</v>
      </c>
      <c r="S84" s="4">
        <f>T84/0.81</f>
        <v>3.3002469135802466</v>
      </c>
      <c r="T84" s="4">
        <f>M84*INDEX(Dim_Product!$C$2:$C$4,MATCH(F84,Dim_Product!$A$2:$A$4,0))/1000000</f>
        <v>2.6732</v>
      </c>
      <c r="U84" s="16">
        <f t="shared" si="13"/>
        <v>0.81</v>
      </c>
    </row>
    <row r="85" spans="1:21" x14ac:dyDescent="0.25">
      <c r="A85" s="15" t="s">
        <v>226</v>
      </c>
      <c r="B85" s="4">
        <v>20260701</v>
      </c>
      <c r="C85" s="4">
        <v>11</v>
      </c>
      <c r="D85" s="4" t="s">
        <v>31</v>
      </c>
      <c r="E85" s="4" t="s">
        <v>16</v>
      </c>
      <c r="F85" s="4" t="s">
        <v>143</v>
      </c>
      <c r="G85" s="4">
        <v>60</v>
      </c>
      <c r="H85" s="4">
        <v>6.2</v>
      </c>
      <c r="I85" s="4">
        <f t="shared" si="7"/>
        <v>53.8</v>
      </c>
      <c r="J85" s="4">
        <f>INDEX(Dim_Machine!$E$2:$E$8,MATCH(D85,Dim_Machine!$A$2:$A$8,0))*INDEX(Dim_Machine!$D$2:$D$8,MATCH(D85,Dim_Machine!$A$2:$A$8,0))*I85</f>
        <v>34862.400000000001</v>
      </c>
      <c r="K85" s="4">
        <f>ROUND(J85*0.85,0)</f>
        <v>29633</v>
      </c>
      <c r="L85" s="4">
        <f>ROUND(K85*0.0203,0)</f>
        <v>602</v>
      </c>
      <c r="M85" s="4">
        <f t="shared" si="8"/>
        <v>29031</v>
      </c>
      <c r="N85" s="4">
        <f t="shared" si="9"/>
        <v>0.84999885263206199</v>
      </c>
      <c r="O85" s="4">
        <f t="shared" si="10"/>
        <v>0.89666666666666661</v>
      </c>
      <c r="P85" s="4">
        <f>IFERROR((K85/I85)/(INDEX(Dim_Machine!$E$2:$E$8,MATCH(D85,Dim_Machine!$A$2:$A$8,0))*INDEX(Dim_Machine!$D$2:$D$8,MATCH(D85,Dim_Machine!$A$2:$A$8,0))),0)</f>
        <v>0.84999885263206199</v>
      </c>
      <c r="Q85" s="4">
        <f t="shared" si="11"/>
        <v>0.97968481085276549</v>
      </c>
      <c r="R85" s="4">
        <f t="shared" si="12"/>
        <v>0.74668209876543201</v>
      </c>
      <c r="S85" s="4">
        <f>T85/0.902</f>
        <v>6.4370288248337024</v>
      </c>
      <c r="T85" s="4">
        <f>M85*INDEX(Dim_Product!$C$2:$C$4,MATCH(F85,Dim_Product!$A$2:$A$4,0))/1000000</f>
        <v>5.8061999999999996</v>
      </c>
      <c r="U85" s="16">
        <f t="shared" si="13"/>
        <v>0.90200000000000002</v>
      </c>
    </row>
    <row r="86" spans="1:21" x14ac:dyDescent="0.25">
      <c r="A86" s="15" t="s">
        <v>227</v>
      </c>
      <c r="B86" s="4">
        <v>20260701</v>
      </c>
      <c r="C86" s="4">
        <v>12</v>
      </c>
      <c r="D86" s="4" t="s">
        <v>15</v>
      </c>
      <c r="E86" s="4" t="s">
        <v>16</v>
      </c>
      <c r="F86" s="4" t="s">
        <v>143</v>
      </c>
      <c r="G86" s="4">
        <v>60</v>
      </c>
      <c r="H86" s="4">
        <v>6.7</v>
      </c>
      <c r="I86" s="4">
        <f t="shared" si="7"/>
        <v>53.3</v>
      </c>
      <c r="J86" s="4">
        <f>INDEX(Dim_Machine!$E$2:$E$8,MATCH(D86,Dim_Machine!$A$2:$A$8,0))*INDEX(Dim_Machine!$D$2:$D$8,MATCH(D86,Dim_Machine!$A$2:$A$8,0))*I86</f>
        <v>21320</v>
      </c>
      <c r="K86" s="4">
        <f>ROUND(J86*0.846,0)</f>
        <v>18037</v>
      </c>
      <c r="L86" s="4">
        <f>ROUND(K86*0.0058,0)</f>
        <v>105</v>
      </c>
      <c r="M86" s="4">
        <f t="shared" si="8"/>
        <v>17932</v>
      </c>
      <c r="N86" s="4">
        <f t="shared" si="9"/>
        <v>0.84601313320825511</v>
      </c>
      <c r="O86" s="4">
        <f t="shared" si="10"/>
        <v>0.88833333333333331</v>
      </c>
      <c r="P86" s="4">
        <f>IFERROR((K86/I86)/(INDEX(Dim_Machine!$E$2:$E$8,MATCH(D86,Dim_Machine!$A$2:$A$8,0))*INDEX(Dim_Machine!$D$2:$D$8,MATCH(D86,Dim_Machine!$A$2:$A$8,0))),0)</f>
        <v>0.84601313320825522</v>
      </c>
      <c r="Q86" s="4">
        <f t="shared" si="11"/>
        <v>0.99417863281033436</v>
      </c>
      <c r="R86" s="4">
        <f t="shared" si="12"/>
        <v>0.74716666666666665</v>
      </c>
      <c r="S86" s="4">
        <f>T86/0.932</f>
        <v>3.8480686695278967</v>
      </c>
      <c r="T86" s="4">
        <f>M86*INDEX(Dim_Product!$C$2:$C$4,MATCH(F86,Dim_Product!$A$2:$A$4,0))/1000000</f>
        <v>3.5863999999999998</v>
      </c>
      <c r="U86" s="16">
        <f t="shared" si="13"/>
        <v>0.93200000000000005</v>
      </c>
    </row>
    <row r="87" spans="1:21" x14ac:dyDescent="0.25">
      <c r="A87" s="15" t="s">
        <v>228</v>
      </c>
      <c r="B87" s="4">
        <v>20260701</v>
      </c>
      <c r="C87" s="4">
        <v>12</v>
      </c>
      <c r="D87" s="4" t="s">
        <v>19</v>
      </c>
      <c r="E87" s="4" t="s">
        <v>16</v>
      </c>
      <c r="F87" s="4" t="s">
        <v>141</v>
      </c>
      <c r="G87" s="4">
        <v>60</v>
      </c>
      <c r="H87" s="4">
        <v>2.1</v>
      </c>
      <c r="I87" s="4">
        <f t="shared" si="7"/>
        <v>57.9</v>
      </c>
      <c r="J87" s="4">
        <f>INDEX(Dim_Machine!$E$2:$E$8,MATCH(D87,Dim_Machine!$A$2:$A$8,0))*INDEX(Dim_Machine!$D$2:$D$8,MATCH(D87,Dim_Machine!$A$2:$A$8,0))*I87</f>
        <v>38908.799999999996</v>
      </c>
      <c r="K87" s="4">
        <f>ROUND(J87*0.896,0)</f>
        <v>34862</v>
      </c>
      <c r="L87" s="4">
        <f>ROUND(K87*0.0345,0)</f>
        <v>1203</v>
      </c>
      <c r="M87" s="4">
        <f t="shared" si="8"/>
        <v>33659</v>
      </c>
      <c r="N87" s="4">
        <f t="shared" si="9"/>
        <v>0.89599268031910528</v>
      </c>
      <c r="O87" s="4">
        <f t="shared" si="10"/>
        <v>0.96499999999999997</v>
      </c>
      <c r="P87" s="4">
        <f>IFERROR((K87/I87)/(INDEX(Dim_Machine!$E$2:$E$8,MATCH(D87,Dim_Machine!$A$2:$A$8,0))*INDEX(Dim_Machine!$D$2:$D$8,MATCH(D87,Dim_Machine!$A$2:$A$8,0))),0)</f>
        <v>0.89599268031910517</v>
      </c>
      <c r="Q87" s="4">
        <f t="shared" si="11"/>
        <v>0.96549251333830532</v>
      </c>
      <c r="R87" s="4">
        <f t="shared" si="12"/>
        <v>0.83479662698412693</v>
      </c>
      <c r="S87" s="4">
        <f>T87/0.806</f>
        <v>10.440136476426797</v>
      </c>
      <c r="T87" s="4">
        <f>M87*INDEX(Dim_Product!$C$2:$C$4,MATCH(F87,Dim_Product!$A$2:$A$4,0))/1000000</f>
        <v>8.4147499999999997</v>
      </c>
      <c r="U87" s="16">
        <f t="shared" si="13"/>
        <v>0.80600000000000005</v>
      </c>
    </row>
    <row r="88" spans="1:21" x14ac:dyDescent="0.25">
      <c r="A88" s="15" t="s">
        <v>229</v>
      </c>
      <c r="B88" s="4">
        <v>20260701</v>
      </c>
      <c r="C88" s="4">
        <v>12</v>
      </c>
      <c r="D88" s="4" t="s">
        <v>23</v>
      </c>
      <c r="E88" s="4" t="s">
        <v>16</v>
      </c>
      <c r="F88" s="4" t="s">
        <v>187</v>
      </c>
      <c r="G88" s="4">
        <v>60</v>
      </c>
      <c r="H88" s="4">
        <v>4.8</v>
      </c>
      <c r="I88" s="4">
        <f t="shared" si="7"/>
        <v>55.2</v>
      </c>
      <c r="J88" s="4">
        <f>INDEX(Dim_Machine!$E$2:$E$8,MATCH(D88,Dim_Machine!$A$2:$A$8,0))*INDEX(Dim_Machine!$D$2:$D$8,MATCH(D88,Dim_Machine!$A$2:$A$8,0))*I88</f>
        <v>14572.800000000001</v>
      </c>
      <c r="K88" s="4">
        <f>ROUND(J88*0.849,0)</f>
        <v>12372</v>
      </c>
      <c r="L88" s="4">
        <f>ROUND(K88*0.0286,0)</f>
        <v>354</v>
      </c>
      <c r="M88" s="4">
        <f t="shared" si="8"/>
        <v>12018</v>
      </c>
      <c r="N88" s="4">
        <f t="shared" si="9"/>
        <v>0.84897891963109351</v>
      </c>
      <c r="O88" s="4">
        <f t="shared" si="10"/>
        <v>0.92</v>
      </c>
      <c r="P88" s="4">
        <f>IFERROR((K88/I88)/(INDEX(Dim_Machine!$E$2:$E$8,MATCH(D88,Dim_Machine!$A$2:$A$8,0))*INDEX(Dim_Machine!$D$2:$D$8,MATCH(D88,Dim_Machine!$A$2:$A$8,0))),0)</f>
        <v>0.84897891963109351</v>
      </c>
      <c r="Q88" s="4">
        <f t="shared" si="11"/>
        <v>0.97138700290979629</v>
      </c>
      <c r="R88" s="4">
        <f t="shared" si="12"/>
        <v>0.75871212121212117</v>
      </c>
      <c r="S88" s="4">
        <f>T88/0.865</f>
        <v>4.168092485549133</v>
      </c>
      <c r="T88" s="4">
        <f>M88*INDEX(Dim_Product!$C$2:$C$4,MATCH(F88,Dim_Product!$A$2:$A$4,0))/1000000</f>
        <v>3.6053999999999999</v>
      </c>
      <c r="U88" s="16">
        <f t="shared" si="13"/>
        <v>0.86499999999999999</v>
      </c>
    </row>
    <row r="89" spans="1:21" x14ac:dyDescent="0.25">
      <c r="A89" s="15" t="s">
        <v>230</v>
      </c>
      <c r="B89" s="4">
        <v>20260701</v>
      </c>
      <c r="C89" s="4">
        <v>12</v>
      </c>
      <c r="D89" s="4" t="s">
        <v>25</v>
      </c>
      <c r="E89" s="4" t="s">
        <v>16</v>
      </c>
      <c r="F89" s="4" t="s">
        <v>141</v>
      </c>
      <c r="G89" s="4">
        <v>60</v>
      </c>
      <c r="H89" s="4">
        <v>7.9</v>
      </c>
      <c r="I89" s="4">
        <f t="shared" si="7"/>
        <v>52.1</v>
      </c>
      <c r="J89" s="4">
        <f>INDEX(Dim_Machine!$E$2:$E$8,MATCH(D89,Dim_Machine!$A$2:$A$8,0))*INDEX(Dim_Machine!$D$2:$D$8,MATCH(D89,Dim_Machine!$A$2:$A$8,0))*I89</f>
        <v>37512</v>
      </c>
      <c r="K89" s="4">
        <f>ROUND(J89*0.803,0)</f>
        <v>30122</v>
      </c>
      <c r="L89" s="4">
        <f>ROUND(K89*0.032,0)</f>
        <v>964</v>
      </c>
      <c r="M89" s="4">
        <f t="shared" si="8"/>
        <v>29158</v>
      </c>
      <c r="N89" s="4">
        <f t="shared" si="9"/>
        <v>0.80299637449349537</v>
      </c>
      <c r="O89" s="4">
        <f t="shared" si="10"/>
        <v>0.8683333333333334</v>
      </c>
      <c r="P89" s="4">
        <f>IFERROR((K89/I89)/(INDEX(Dim_Machine!$E$2:$E$8,MATCH(D89,Dim_Machine!$A$2:$A$8,0))*INDEX(Dim_Machine!$D$2:$D$8,MATCH(D89,Dim_Machine!$A$2:$A$8,0))),0)</f>
        <v>0.80299637449349537</v>
      </c>
      <c r="Q89" s="4">
        <f t="shared" si="11"/>
        <v>0.96799681296062678</v>
      </c>
      <c r="R89" s="4">
        <f t="shared" si="12"/>
        <v>0.67495370370370378</v>
      </c>
      <c r="S89" s="4">
        <f>T89/0.829</f>
        <v>8.7931242460796142</v>
      </c>
      <c r="T89" s="4">
        <f>M89*INDEX(Dim_Product!$C$2:$C$4,MATCH(F89,Dim_Product!$A$2:$A$4,0))/1000000</f>
        <v>7.2895000000000003</v>
      </c>
      <c r="U89" s="16">
        <f t="shared" si="13"/>
        <v>0.82900000000000007</v>
      </c>
    </row>
    <row r="90" spans="1:21" x14ac:dyDescent="0.25">
      <c r="A90" s="15" t="s">
        <v>231</v>
      </c>
      <c r="B90" s="4">
        <v>20260701</v>
      </c>
      <c r="C90" s="4">
        <v>12</v>
      </c>
      <c r="D90" s="4" t="s">
        <v>27</v>
      </c>
      <c r="E90" s="4" t="s">
        <v>16</v>
      </c>
      <c r="F90" s="4" t="s">
        <v>143</v>
      </c>
      <c r="G90" s="4">
        <v>60</v>
      </c>
      <c r="H90" s="4">
        <v>0.4</v>
      </c>
      <c r="I90" s="4">
        <f t="shared" si="7"/>
        <v>59.6</v>
      </c>
      <c r="J90" s="4">
        <f>INDEX(Dim_Machine!$E$2:$E$8,MATCH(D90,Dim_Machine!$A$2:$A$8,0))*INDEX(Dim_Machine!$D$2:$D$8,MATCH(D90,Dim_Machine!$A$2:$A$8,0))*I90</f>
        <v>24793.600000000002</v>
      </c>
      <c r="K90" s="4">
        <f>ROUND(J90*0.867,0)</f>
        <v>21496</v>
      </c>
      <c r="L90" s="4">
        <f>ROUND(K90*0.0206,0)</f>
        <v>443</v>
      </c>
      <c r="M90" s="4">
        <f t="shared" si="8"/>
        <v>21053</v>
      </c>
      <c r="N90" s="4">
        <f t="shared" si="9"/>
        <v>0.86699793495095501</v>
      </c>
      <c r="O90" s="4">
        <f t="shared" si="10"/>
        <v>0.9933333333333334</v>
      </c>
      <c r="P90" s="4">
        <f>IFERROR((K90/I90)/(INDEX(Dim_Machine!$E$2:$E$8,MATCH(D90,Dim_Machine!$A$2:$A$8,0))*INDEX(Dim_Machine!$D$2:$D$8,MATCH(D90,Dim_Machine!$A$2:$A$8,0))),0)</f>
        <v>0.86699793495095512</v>
      </c>
      <c r="Q90" s="4">
        <f t="shared" si="11"/>
        <v>0.97939151470040942</v>
      </c>
      <c r="R90" s="4">
        <f t="shared" si="12"/>
        <v>0.84346955128205137</v>
      </c>
      <c r="S90" s="4">
        <f>T90/0.921</f>
        <v>4.5717698154180244</v>
      </c>
      <c r="T90" s="4">
        <f>M90*INDEX(Dim_Product!$C$2:$C$4,MATCH(F90,Dim_Product!$A$2:$A$4,0))/1000000</f>
        <v>4.2106000000000003</v>
      </c>
      <c r="U90" s="16">
        <f t="shared" si="13"/>
        <v>0.92099999999999993</v>
      </c>
    </row>
    <row r="91" spans="1:21" x14ac:dyDescent="0.25">
      <c r="A91" s="15" t="s">
        <v>232</v>
      </c>
      <c r="B91" s="4">
        <v>20260701</v>
      </c>
      <c r="C91" s="4">
        <v>12</v>
      </c>
      <c r="D91" s="4" t="s">
        <v>29</v>
      </c>
      <c r="E91" s="4" t="s">
        <v>16</v>
      </c>
      <c r="F91" s="4" t="s">
        <v>143</v>
      </c>
      <c r="G91" s="4">
        <v>60</v>
      </c>
      <c r="H91" s="4">
        <v>5.5</v>
      </c>
      <c r="I91" s="4">
        <f t="shared" si="7"/>
        <v>54.5</v>
      </c>
      <c r="J91" s="4">
        <f>INDEX(Dim_Machine!$E$2:$E$8,MATCH(D91,Dim_Machine!$A$2:$A$8,0))*INDEX(Dim_Machine!$D$2:$D$8,MATCH(D91,Dim_Machine!$A$2:$A$8,0))*I91</f>
        <v>15696</v>
      </c>
      <c r="K91" s="4">
        <f>ROUND(J91*0.968,0)</f>
        <v>15194</v>
      </c>
      <c r="L91" s="4">
        <f>ROUND(K91*0.0271,0)</f>
        <v>412</v>
      </c>
      <c r="M91" s="4">
        <f t="shared" si="8"/>
        <v>14782</v>
      </c>
      <c r="N91" s="4">
        <f t="shared" si="9"/>
        <v>0.96801732925586137</v>
      </c>
      <c r="O91" s="4">
        <f t="shared" si="10"/>
        <v>0.90833333333333333</v>
      </c>
      <c r="P91" s="4">
        <f>IFERROR((K91/I91)/(INDEX(Dim_Machine!$E$2:$E$8,MATCH(D91,Dim_Machine!$A$2:$A$8,0))*INDEX(Dim_Machine!$D$2:$D$8,MATCH(D91,Dim_Machine!$A$2:$A$8,0))),0)</f>
        <v>0.96801732925586137</v>
      </c>
      <c r="Q91" s="4">
        <f t="shared" si="11"/>
        <v>0.97288403317098859</v>
      </c>
      <c r="R91" s="4">
        <f t="shared" si="12"/>
        <v>0.85543981481481479</v>
      </c>
      <c r="S91" s="4">
        <f>T91/0.83</f>
        <v>3.5619277108433738</v>
      </c>
      <c r="T91" s="4">
        <f>M91*INDEX(Dim_Product!$C$2:$C$4,MATCH(F91,Dim_Product!$A$2:$A$4,0))/1000000</f>
        <v>2.9563999999999999</v>
      </c>
      <c r="U91" s="16">
        <f t="shared" si="13"/>
        <v>0.83</v>
      </c>
    </row>
    <row r="92" spans="1:21" x14ac:dyDescent="0.25">
      <c r="A92" s="15" t="s">
        <v>233</v>
      </c>
      <c r="B92" s="4">
        <v>20260701</v>
      </c>
      <c r="C92" s="4">
        <v>12</v>
      </c>
      <c r="D92" s="4" t="s">
        <v>31</v>
      </c>
      <c r="E92" s="4" t="s">
        <v>16</v>
      </c>
      <c r="F92" s="4" t="s">
        <v>143</v>
      </c>
      <c r="G92" s="4">
        <v>60</v>
      </c>
      <c r="H92" s="4">
        <v>3.5</v>
      </c>
      <c r="I92" s="4">
        <f t="shared" si="7"/>
        <v>56.5</v>
      </c>
      <c r="J92" s="4">
        <f>INDEX(Dim_Machine!$E$2:$E$8,MATCH(D92,Dim_Machine!$A$2:$A$8,0))*INDEX(Dim_Machine!$D$2:$D$8,MATCH(D92,Dim_Machine!$A$2:$A$8,0))*I92</f>
        <v>36612</v>
      </c>
      <c r="K92" s="4">
        <f>ROUND(J92*0.97,0)</f>
        <v>35514</v>
      </c>
      <c r="L92" s="4">
        <f>ROUND(K92*0.0326,0)</f>
        <v>1158</v>
      </c>
      <c r="M92" s="4">
        <f t="shared" si="8"/>
        <v>34356</v>
      </c>
      <c r="N92" s="4">
        <f t="shared" si="9"/>
        <v>0.97000983284169129</v>
      </c>
      <c r="O92" s="4">
        <f t="shared" si="10"/>
        <v>0.94166666666666665</v>
      </c>
      <c r="P92" s="4">
        <f>IFERROR((K92/I92)/(INDEX(Dim_Machine!$E$2:$E$8,MATCH(D92,Dim_Machine!$A$2:$A$8,0))*INDEX(Dim_Machine!$D$2:$D$8,MATCH(D92,Dim_Machine!$A$2:$A$8,0))),0)</f>
        <v>0.97000983284169129</v>
      </c>
      <c r="Q92" s="4">
        <f t="shared" si="11"/>
        <v>0.96739314073323202</v>
      </c>
      <c r="R92" s="4">
        <f t="shared" si="12"/>
        <v>0.88364197530864208</v>
      </c>
      <c r="S92" s="4">
        <f>T92/0.893</f>
        <v>7.6945128779395295</v>
      </c>
      <c r="T92" s="4">
        <f>M92*INDEX(Dim_Product!$C$2:$C$4,MATCH(F92,Dim_Product!$A$2:$A$4,0))/1000000</f>
        <v>6.8712</v>
      </c>
      <c r="U92" s="16">
        <f t="shared" si="13"/>
        <v>0.89300000000000002</v>
      </c>
    </row>
    <row r="93" spans="1:21" x14ac:dyDescent="0.25">
      <c r="A93" s="15" t="s">
        <v>234</v>
      </c>
      <c r="B93" s="4">
        <v>20260701</v>
      </c>
      <c r="C93" s="4">
        <v>13</v>
      </c>
      <c r="D93" s="4" t="s">
        <v>15</v>
      </c>
      <c r="E93" s="4" t="s">
        <v>16</v>
      </c>
      <c r="F93" s="4" t="s">
        <v>143</v>
      </c>
      <c r="G93" s="4">
        <v>60</v>
      </c>
      <c r="H93" s="4">
        <v>5.3</v>
      </c>
      <c r="I93" s="4">
        <f t="shared" si="7"/>
        <v>54.7</v>
      </c>
      <c r="J93" s="4">
        <f>INDEX(Dim_Machine!$E$2:$E$8,MATCH(D93,Dim_Machine!$A$2:$A$8,0))*INDEX(Dim_Machine!$D$2:$D$8,MATCH(D93,Dim_Machine!$A$2:$A$8,0))*I93</f>
        <v>21880</v>
      </c>
      <c r="K93" s="4">
        <f>ROUND(J93*0.805,0)</f>
        <v>17613</v>
      </c>
      <c r="L93" s="4">
        <f>ROUND(K93*0.032,0)</f>
        <v>564</v>
      </c>
      <c r="M93" s="4">
        <f t="shared" si="8"/>
        <v>17049</v>
      </c>
      <c r="N93" s="4">
        <f t="shared" si="9"/>
        <v>0.80498171846435096</v>
      </c>
      <c r="O93" s="4">
        <f t="shared" si="10"/>
        <v>0.91166666666666674</v>
      </c>
      <c r="P93" s="4">
        <f>IFERROR((K93/I93)/(INDEX(Dim_Machine!$E$2:$E$8,MATCH(D93,Dim_Machine!$A$2:$A$8,0))*INDEX(Dim_Machine!$D$2:$D$8,MATCH(D93,Dim_Machine!$A$2:$A$8,0))),0)</f>
        <v>0.80498171846435096</v>
      </c>
      <c r="Q93" s="4">
        <f t="shared" si="11"/>
        <v>0.96797819792198947</v>
      </c>
      <c r="R93" s="4">
        <f t="shared" si="12"/>
        <v>0.71037500000000009</v>
      </c>
      <c r="S93" s="4">
        <f>T93/0.876</f>
        <v>3.8924657534246578</v>
      </c>
      <c r="T93" s="4">
        <f>M93*INDEX(Dim_Product!$C$2:$C$4,MATCH(F93,Dim_Product!$A$2:$A$4,0))/1000000</f>
        <v>3.4098000000000002</v>
      </c>
      <c r="U93" s="16">
        <f t="shared" si="13"/>
        <v>0.876</v>
      </c>
    </row>
    <row r="94" spans="1:21" x14ac:dyDescent="0.25">
      <c r="A94" s="15" t="s">
        <v>235</v>
      </c>
      <c r="B94" s="4">
        <v>20260701</v>
      </c>
      <c r="C94" s="4">
        <v>13</v>
      </c>
      <c r="D94" s="4" t="s">
        <v>19</v>
      </c>
      <c r="E94" s="4" t="s">
        <v>16</v>
      </c>
      <c r="F94" s="4" t="s">
        <v>141</v>
      </c>
      <c r="G94" s="4">
        <v>60</v>
      </c>
      <c r="H94" s="4">
        <v>5.3</v>
      </c>
      <c r="I94" s="4">
        <f t="shared" si="7"/>
        <v>54.7</v>
      </c>
      <c r="J94" s="4">
        <f>INDEX(Dim_Machine!$E$2:$E$8,MATCH(D94,Dim_Machine!$A$2:$A$8,0))*INDEX(Dim_Machine!$D$2:$D$8,MATCH(D94,Dim_Machine!$A$2:$A$8,0))*I94</f>
        <v>36758.400000000001</v>
      </c>
      <c r="K94" s="4">
        <f>ROUND(J94*0.845,0)</f>
        <v>31061</v>
      </c>
      <c r="L94" s="4">
        <f>ROUND(K94*0.0259,0)</f>
        <v>804</v>
      </c>
      <c r="M94" s="4">
        <f t="shared" si="8"/>
        <v>30257</v>
      </c>
      <c r="N94" s="4">
        <f t="shared" si="9"/>
        <v>0.84500413510925387</v>
      </c>
      <c r="O94" s="4">
        <f t="shared" si="10"/>
        <v>0.91166666666666674</v>
      </c>
      <c r="P94" s="4">
        <f>IFERROR((K94/I94)/(INDEX(Dim_Machine!$E$2:$E$8,MATCH(D94,Dim_Machine!$A$2:$A$8,0))*INDEX(Dim_Machine!$D$2:$D$8,MATCH(D94,Dim_Machine!$A$2:$A$8,0))),0)</f>
        <v>0.84500413510925387</v>
      </c>
      <c r="Q94" s="4">
        <f t="shared" si="11"/>
        <v>0.97411545024307011</v>
      </c>
      <c r="R94" s="4">
        <f t="shared" si="12"/>
        <v>0.75042162698412707</v>
      </c>
      <c r="S94" s="4">
        <f>T94/0.883</f>
        <v>8.5665345413363543</v>
      </c>
      <c r="T94" s="4">
        <f>M94*INDEX(Dim_Product!$C$2:$C$4,MATCH(F94,Dim_Product!$A$2:$A$4,0))/1000000</f>
        <v>7.5642500000000004</v>
      </c>
      <c r="U94" s="16">
        <f t="shared" si="13"/>
        <v>0.8829999999999999</v>
      </c>
    </row>
    <row r="95" spans="1:21" x14ac:dyDescent="0.25">
      <c r="A95" s="15" t="s">
        <v>236</v>
      </c>
      <c r="B95" s="4">
        <v>20260701</v>
      </c>
      <c r="C95" s="4">
        <v>13</v>
      </c>
      <c r="D95" s="4" t="s">
        <v>23</v>
      </c>
      <c r="E95" s="4" t="s">
        <v>16</v>
      </c>
      <c r="F95" s="4" t="s">
        <v>187</v>
      </c>
      <c r="G95" s="4">
        <v>60</v>
      </c>
      <c r="H95" s="4">
        <v>1.5</v>
      </c>
      <c r="I95" s="4">
        <f t="shared" si="7"/>
        <v>58.5</v>
      </c>
      <c r="J95" s="4">
        <f>INDEX(Dim_Machine!$E$2:$E$8,MATCH(D95,Dim_Machine!$A$2:$A$8,0))*INDEX(Dim_Machine!$D$2:$D$8,MATCH(D95,Dim_Machine!$A$2:$A$8,0))*I95</f>
        <v>15444</v>
      </c>
      <c r="K95" s="4">
        <f>ROUND(J95*0.913,0)</f>
        <v>14100</v>
      </c>
      <c r="L95" s="4">
        <f>ROUND(K95*0.0164,0)</f>
        <v>231</v>
      </c>
      <c r="M95" s="4">
        <f t="shared" si="8"/>
        <v>13869</v>
      </c>
      <c r="N95" s="4">
        <f t="shared" si="9"/>
        <v>0.91297591297591296</v>
      </c>
      <c r="O95" s="4">
        <f t="shared" si="10"/>
        <v>0.97499999999999998</v>
      </c>
      <c r="P95" s="4">
        <f>IFERROR((K95/I95)/(INDEX(Dim_Machine!$E$2:$E$8,MATCH(D95,Dim_Machine!$A$2:$A$8,0))*INDEX(Dim_Machine!$D$2:$D$8,MATCH(D95,Dim_Machine!$A$2:$A$8,0))),0)</f>
        <v>0.91297591297591296</v>
      </c>
      <c r="Q95" s="4">
        <f t="shared" si="11"/>
        <v>0.98361702127659578</v>
      </c>
      <c r="R95" s="4">
        <f t="shared" si="12"/>
        <v>0.87556818181818186</v>
      </c>
      <c r="S95" s="4">
        <f>T95/0.912</f>
        <v>4.5621710526315793</v>
      </c>
      <c r="T95" s="4">
        <f>M95*INDEX(Dim_Product!$C$2:$C$4,MATCH(F95,Dim_Product!$A$2:$A$4,0))/1000000</f>
        <v>4.1607000000000003</v>
      </c>
      <c r="U95" s="16">
        <f t="shared" si="13"/>
        <v>0.91200000000000003</v>
      </c>
    </row>
    <row r="96" spans="1:21" x14ac:dyDescent="0.25">
      <c r="A96" s="15" t="s">
        <v>237</v>
      </c>
      <c r="B96" s="4">
        <v>20260701</v>
      </c>
      <c r="C96" s="4">
        <v>13</v>
      </c>
      <c r="D96" s="4" t="s">
        <v>25</v>
      </c>
      <c r="E96" s="4" t="s">
        <v>16</v>
      </c>
      <c r="F96" s="4" t="s">
        <v>141</v>
      </c>
      <c r="G96" s="4">
        <v>60</v>
      </c>
      <c r="H96" s="4">
        <v>1.4</v>
      </c>
      <c r="I96" s="4">
        <f t="shared" si="7"/>
        <v>58.6</v>
      </c>
      <c r="J96" s="4">
        <f>INDEX(Dim_Machine!$E$2:$E$8,MATCH(D96,Dim_Machine!$A$2:$A$8,0))*INDEX(Dim_Machine!$D$2:$D$8,MATCH(D96,Dim_Machine!$A$2:$A$8,0))*I96</f>
        <v>42192</v>
      </c>
      <c r="K96" s="4">
        <f>ROUND(J96*0.894,0)</f>
        <v>37720</v>
      </c>
      <c r="L96" s="4">
        <f>ROUND(K96*0.0172,0)</f>
        <v>649</v>
      </c>
      <c r="M96" s="4">
        <f t="shared" si="8"/>
        <v>37071</v>
      </c>
      <c r="N96" s="4">
        <f t="shared" si="9"/>
        <v>0.89400834281380359</v>
      </c>
      <c r="O96" s="4">
        <f t="shared" si="10"/>
        <v>0.97666666666666668</v>
      </c>
      <c r="P96" s="4">
        <f>IFERROR((K96/I96)/(INDEX(Dim_Machine!$E$2:$E$8,MATCH(D96,Dim_Machine!$A$2:$A$8,0))*INDEX(Dim_Machine!$D$2:$D$8,MATCH(D96,Dim_Machine!$A$2:$A$8,0))),0)</f>
        <v>0.89400834281380348</v>
      </c>
      <c r="Q96" s="4">
        <f t="shared" si="11"/>
        <v>0.9827942735949099</v>
      </c>
      <c r="R96" s="4">
        <f t="shared" si="12"/>
        <v>0.85812500000000003</v>
      </c>
      <c r="S96" s="4">
        <f>T96/0.925</f>
        <v>10.019189189189188</v>
      </c>
      <c r="T96" s="4">
        <f>M96*INDEX(Dim_Product!$C$2:$C$4,MATCH(F96,Dim_Product!$A$2:$A$4,0))/1000000</f>
        <v>9.2677499999999995</v>
      </c>
      <c r="U96" s="16">
        <f t="shared" si="13"/>
        <v>0.92500000000000004</v>
      </c>
    </row>
    <row r="97" spans="1:21" x14ac:dyDescent="0.25">
      <c r="A97" s="15" t="s">
        <v>238</v>
      </c>
      <c r="B97" s="4">
        <v>20260701</v>
      </c>
      <c r="C97" s="4">
        <v>13</v>
      </c>
      <c r="D97" s="4" t="s">
        <v>27</v>
      </c>
      <c r="E97" s="4" t="s">
        <v>16</v>
      </c>
      <c r="F97" s="4" t="s">
        <v>143</v>
      </c>
      <c r="G97" s="4">
        <v>60</v>
      </c>
      <c r="H97" s="4">
        <v>2.4</v>
      </c>
      <c r="I97" s="4">
        <f t="shared" si="7"/>
        <v>57.6</v>
      </c>
      <c r="J97" s="4">
        <f>INDEX(Dim_Machine!$E$2:$E$8,MATCH(D97,Dim_Machine!$A$2:$A$8,0))*INDEX(Dim_Machine!$D$2:$D$8,MATCH(D97,Dim_Machine!$A$2:$A$8,0))*I97</f>
        <v>23961.600000000002</v>
      </c>
      <c r="K97" s="4">
        <f>ROUND(J97*0.822,0)</f>
        <v>19696</v>
      </c>
      <c r="L97" s="4">
        <f>ROUND(K97*0.0286,0)</f>
        <v>563</v>
      </c>
      <c r="M97" s="4">
        <f t="shared" si="8"/>
        <v>19133</v>
      </c>
      <c r="N97" s="4">
        <f t="shared" si="9"/>
        <v>0.82198183760683752</v>
      </c>
      <c r="O97" s="4">
        <f t="shared" si="10"/>
        <v>0.96000000000000008</v>
      </c>
      <c r="P97" s="4">
        <f>IFERROR((K97/I97)/(INDEX(Dim_Machine!$E$2:$E$8,MATCH(D97,Dim_Machine!$A$2:$A$8,0))*INDEX(Dim_Machine!$D$2:$D$8,MATCH(D97,Dim_Machine!$A$2:$A$8,0))),0)</f>
        <v>0.82198183760683763</v>
      </c>
      <c r="Q97" s="4">
        <f t="shared" si="11"/>
        <v>0.9714155158407799</v>
      </c>
      <c r="R97" s="4">
        <f t="shared" si="12"/>
        <v>0.76654647435897449</v>
      </c>
      <c r="S97" s="4">
        <f>T97/0.891</f>
        <v>4.2947250280583615</v>
      </c>
      <c r="T97" s="4">
        <f>M97*INDEX(Dim_Product!$C$2:$C$4,MATCH(F97,Dim_Product!$A$2:$A$4,0))/1000000</f>
        <v>3.8266</v>
      </c>
      <c r="U97" s="16">
        <f t="shared" si="13"/>
        <v>0.89100000000000001</v>
      </c>
    </row>
    <row r="98" spans="1:21" x14ac:dyDescent="0.25">
      <c r="A98" s="15" t="s">
        <v>239</v>
      </c>
      <c r="B98" s="4">
        <v>20260701</v>
      </c>
      <c r="C98" s="4">
        <v>13</v>
      </c>
      <c r="D98" s="4" t="s">
        <v>29</v>
      </c>
      <c r="E98" s="4" t="s">
        <v>16</v>
      </c>
      <c r="F98" s="4" t="s">
        <v>143</v>
      </c>
      <c r="G98" s="4">
        <v>60</v>
      </c>
      <c r="H98" s="4">
        <v>2.6</v>
      </c>
      <c r="I98" s="4">
        <f t="shared" si="7"/>
        <v>57.4</v>
      </c>
      <c r="J98" s="4">
        <f>INDEX(Dim_Machine!$E$2:$E$8,MATCH(D98,Dim_Machine!$A$2:$A$8,0))*INDEX(Dim_Machine!$D$2:$D$8,MATCH(D98,Dim_Machine!$A$2:$A$8,0))*I98</f>
        <v>16531.2</v>
      </c>
      <c r="K98" s="4">
        <f>ROUND(J98*0.868,0)</f>
        <v>14349</v>
      </c>
      <c r="L98" s="4">
        <f>ROUND(K98*0.0253,0)</f>
        <v>363</v>
      </c>
      <c r="M98" s="4">
        <f t="shared" si="8"/>
        <v>13986</v>
      </c>
      <c r="N98" s="4">
        <f t="shared" si="9"/>
        <v>0.86799506387921022</v>
      </c>
      <c r="O98" s="4">
        <f t="shared" si="10"/>
        <v>0.95666666666666667</v>
      </c>
      <c r="P98" s="4">
        <f>IFERROR((K98/I98)/(INDEX(Dim_Machine!$E$2:$E$8,MATCH(D98,Dim_Machine!$A$2:$A$8,0))*INDEX(Dim_Machine!$D$2:$D$8,MATCH(D98,Dim_Machine!$A$2:$A$8,0))),0)</f>
        <v>0.86799506387921033</v>
      </c>
      <c r="Q98" s="4">
        <f t="shared" si="11"/>
        <v>0.97470206983065022</v>
      </c>
      <c r="R98" s="4">
        <f t="shared" si="12"/>
        <v>0.80937500000000018</v>
      </c>
      <c r="S98" s="4">
        <f>T98/0.877</f>
        <v>3.1895096921322694</v>
      </c>
      <c r="T98" s="4">
        <f>M98*INDEX(Dim_Product!$C$2:$C$4,MATCH(F98,Dim_Product!$A$2:$A$4,0))/1000000</f>
        <v>2.7972000000000001</v>
      </c>
      <c r="U98" s="16">
        <f t="shared" si="13"/>
        <v>0.877</v>
      </c>
    </row>
    <row r="99" spans="1:21" x14ac:dyDescent="0.25">
      <c r="A99" s="15" t="s">
        <v>240</v>
      </c>
      <c r="B99" s="4">
        <v>20260701</v>
      </c>
      <c r="C99" s="4">
        <v>13</v>
      </c>
      <c r="D99" s="4" t="s">
        <v>31</v>
      </c>
      <c r="E99" s="4" t="s">
        <v>16</v>
      </c>
      <c r="F99" s="4" t="s">
        <v>143</v>
      </c>
      <c r="G99" s="4">
        <v>60</v>
      </c>
      <c r="H99" s="4">
        <v>6.3</v>
      </c>
      <c r="I99" s="4">
        <f t="shared" si="7"/>
        <v>53.7</v>
      </c>
      <c r="J99" s="4">
        <f>INDEX(Dim_Machine!$E$2:$E$8,MATCH(D99,Dim_Machine!$A$2:$A$8,0))*INDEX(Dim_Machine!$D$2:$D$8,MATCH(D99,Dim_Machine!$A$2:$A$8,0))*I99</f>
        <v>34797.599999999999</v>
      </c>
      <c r="K99" s="4">
        <f>ROUND(J99*0.972,0)</f>
        <v>33823</v>
      </c>
      <c r="L99" s="4">
        <f>ROUND(K99*0.0271,0)</f>
        <v>917</v>
      </c>
      <c r="M99" s="4">
        <f t="shared" si="8"/>
        <v>32906</v>
      </c>
      <c r="N99" s="4">
        <f t="shared" si="9"/>
        <v>0.97199232130951563</v>
      </c>
      <c r="O99" s="4">
        <f t="shared" si="10"/>
        <v>0.89500000000000002</v>
      </c>
      <c r="P99" s="4">
        <f>IFERROR((K99/I99)/(INDEX(Dim_Machine!$E$2:$E$8,MATCH(D99,Dim_Machine!$A$2:$A$8,0))*INDEX(Dim_Machine!$D$2:$D$8,MATCH(D99,Dim_Machine!$A$2:$A$8,0))),0)</f>
        <v>0.97199232130951552</v>
      </c>
      <c r="Q99" s="4">
        <f t="shared" si="11"/>
        <v>0.97288827129468114</v>
      </c>
      <c r="R99" s="4">
        <f t="shared" si="12"/>
        <v>0.84634773662551432</v>
      </c>
      <c r="S99" s="4">
        <f>T99/0.899</f>
        <v>7.3205784204671858</v>
      </c>
      <c r="T99" s="4">
        <f>M99*INDEX(Dim_Product!$C$2:$C$4,MATCH(F99,Dim_Product!$A$2:$A$4,0))/1000000</f>
        <v>6.5811999999999999</v>
      </c>
      <c r="U99" s="16">
        <f t="shared" si="13"/>
        <v>0.89900000000000002</v>
      </c>
    </row>
    <row r="100" spans="1:21" x14ac:dyDescent="0.25">
      <c r="A100" s="15" t="s">
        <v>241</v>
      </c>
      <c r="B100" s="4">
        <v>20260701</v>
      </c>
      <c r="C100" s="4">
        <v>14</v>
      </c>
      <c r="D100" s="4" t="s">
        <v>15</v>
      </c>
      <c r="E100" s="4" t="s">
        <v>16</v>
      </c>
      <c r="F100" s="4" t="s">
        <v>143</v>
      </c>
      <c r="G100" s="4">
        <v>60</v>
      </c>
      <c r="H100" s="4">
        <v>2.2999999999999998</v>
      </c>
      <c r="I100" s="4">
        <f t="shared" si="7"/>
        <v>57.7</v>
      </c>
      <c r="J100" s="4">
        <f>INDEX(Dim_Machine!$E$2:$E$8,MATCH(D100,Dim_Machine!$A$2:$A$8,0))*INDEX(Dim_Machine!$D$2:$D$8,MATCH(D100,Dim_Machine!$A$2:$A$8,0))*I100</f>
        <v>23080</v>
      </c>
      <c r="K100" s="4">
        <f>ROUND(J100*0.913,0)</f>
        <v>21072</v>
      </c>
      <c r="L100" s="4">
        <f>ROUND(K100*0.0236,0)</f>
        <v>497</v>
      </c>
      <c r="M100" s="4">
        <f t="shared" si="8"/>
        <v>20575</v>
      </c>
      <c r="N100" s="4">
        <f t="shared" si="9"/>
        <v>0.91299826689774699</v>
      </c>
      <c r="O100" s="4">
        <f t="shared" si="10"/>
        <v>0.96166666666666667</v>
      </c>
      <c r="P100" s="4">
        <f>IFERROR((K100/I100)/(INDEX(Dim_Machine!$E$2:$E$8,MATCH(D100,Dim_Machine!$A$2:$A$8,0))*INDEX(Dim_Machine!$D$2:$D$8,MATCH(D100,Dim_Machine!$A$2:$A$8,0))),0)</f>
        <v>0.91299826689774688</v>
      </c>
      <c r="Q100" s="4">
        <f t="shared" si="11"/>
        <v>0.97641419893697801</v>
      </c>
      <c r="R100" s="4">
        <f t="shared" si="12"/>
        <v>0.85729166666666656</v>
      </c>
      <c r="S100" s="4">
        <f>T100/0.814</f>
        <v>5.055282555282556</v>
      </c>
      <c r="T100" s="4">
        <f>M100*INDEX(Dim_Product!$C$2:$C$4,MATCH(F100,Dim_Product!$A$2:$A$4,0))/1000000</f>
        <v>4.1150000000000002</v>
      </c>
      <c r="U100" s="16">
        <f t="shared" si="13"/>
        <v>0.81399999999999995</v>
      </c>
    </row>
    <row r="101" spans="1:21" x14ac:dyDescent="0.25">
      <c r="A101" s="15" t="s">
        <v>242</v>
      </c>
      <c r="B101" s="4">
        <v>20260701</v>
      </c>
      <c r="C101" s="4">
        <v>14</v>
      </c>
      <c r="D101" s="4" t="s">
        <v>19</v>
      </c>
      <c r="E101" s="4" t="s">
        <v>16</v>
      </c>
      <c r="F101" s="4" t="s">
        <v>141</v>
      </c>
      <c r="G101" s="4">
        <v>60</v>
      </c>
      <c r="H101" s="4">
        <v>7.6</v>
      </c>
      <c r="I101" s="4">
        <f t="shared" si="7"/>
        <v>52.4</v>
      </c>
      <c r="J101" s="4">
        <f>INDEX(Dim_Machine!$E$2:$E$8,MATCH(D101,Dim_Machine!$A$2:$A$8,0))*INDEX(Dim_Machine!$D$2:$D$8,MATCH(D101,Dim_Machine!$A$2:$A$8,0))*I101</f>
        <v>35212.799999999996</v>
      </c>
      <c r="K101" s="4">
        <f>ROUND(J101*0.827,0)</f>
        <v>29121</v>
      </c>
      <c r="L101" s="4">
        <f>ROUND(K101*0.0143,0)</f>
        <v>416</v>
      </c>
      <c r="M101" s="4">
        <f t="shared" si="8"/>
        <v>28705</v>
      </c>
      <c r="N101" s="4">
        <f t="shared" si="9"/>
        <v>0.82700040894220295</v>
      </c>
      <c r="O101" s="4">
        <f t="shared" si="10"/>
        <v>0.87333333333333329</v>
      </c>
      <c r="P101" s="4">
        <f>IFERROR((K101/I101)/(INDEX(Dim_Machine!$E$2:$E$8,MATCH(D101,Dim_Machine!$A$2:$A$8,0))*INDEX(Dim_Machine!$D$2:$D$8,MATCH(D101,Dim_Machine!$A$2:$A$8,0))),0)</f>
        <v>0.82700040894220284</v>
      </c>
      <c r="Q101" s="4">
        <f t="shared" si="11"/>
        <v>0.98571477627828719</v>
      </c>
      <c r="R101" s="4">
        <f t="shared" si="12"/>
        <v>0.71192956349206349</v>
      </c>
      <c r="S101" s="4">
        <f>T101/0.921</f>
        <v>7.7918023887079251</v>
      </c>
      <c r="T101" s="4">
        <f>M101*INDEX(Dim_Product!$C$2:$C$4,MATCH(F101,Dim_Product!$A$2:$A$4,0))/1000000</f>
        <v>7.1762499999999996</v>
      </c>
      <c r="U101" s="16">
        <f t="shared" si="13"/>
        <v>0.92100000000000004</v>
      </c>
    </row>
    <row r="102" spans="1:21" x14ac:dyDescent="0.25">
      <c r="A102" s="15" t="s">
        <v>243</v>
      </c>
      <c r="B102" s="4">
        <v>20260701</v>
      </c>
      <c r="C102" s="4">
        <v>14</v>
      </c>
      <c r="D102" s="4" t="s">
        <v>23</v>
      </c>
      <c r="E102" s="4" t="s">
        <v>16</v>
      </c>
      <c r="F102" s="4" t="s">
        <v>187</v>
      </c>
      <c r="G102" s="4">
        <v>60</v>
      </c>
      <c r="H102" s="4">
        <v>1.2</v>
      </c>
      <c r="I102" s="4">
        <f t="shared" si="7"/>
        <v>58.8</v>
      </c>
      <c r="J102" s="4">
        <f>INDEX(Dim_Machine!$E$2:$E$8,MATCH(D102,Dim_Machine!$A$2:$A$8,0))*INDEX(Dim_Machine!$D$2:$D$8,MATCH(D102,Dim_Machine!$A$2:$A$8,0))*I102</f>
        <v>15523.199999999999</v>
      </c>
      <c r="K102" s="4">
        <f>ROUND(J102*0.789,0)</f>
        <v>12248</v>
      </c>
      <c r="L102" s="4">
        <f>ROUND(K102*0.0345,0)</f>
        <v>423</v>
      </c>
      <c r="M102" s="4">
        <f t="shared" si="8"/>
        <v>11825</v>
      </c>
      <c r="N102" s="4">
        <f t="shared" si="9"/>
        <v>0.78901257472686048</v>
      </c>
      <c r="O102" s="4">
        <f t="shared" si="10"/>
        <v>0.98</v>
      </c>
      <c r="P102" s="4">
        <f>IFERROR((K102/I102)/(INDEX(Dim_Machine!$E$2:$E$8,MATCH(D102,Dim_Machine!$A$2:$A$8,0))*INDEX(Dim_Machine!$D$2:$D$8,MATCH(D102,Dim_Machine!$A$2:$A$8,0))),0)</f>
        <v>0.78901257472686048</v>
      </c>
      <c r="Q102" s="4">
        <f t="shared" si="11"/>
        <v>0.96546374918354017</v>
      </c>
      <c r="R102" s="4">
        <f t="shared" si="12"/>
        <v>0.74652777777777779</v>
      </c>
      <c r="S102" s="4">
        <f>T102/0.892</f>
        <v>3.9770179372197307</v>
      </c>
      <c r="T102" s="4">
        <f>M102*INDEX(Dim_Product!$C$2:$C$4,MATCH(F102,Dim_Product!$A$2:$A$4,0))/1000000</f>
        <v>3.5474999999999999</v>
      </c>
      <c r="U102" s="16">
        <f t="shared" si="13"/>
        <v>0.89200000000000002</v>
      </c>
    </row>
    <row r="103" spans="1:21" x14ac:dyDescent="0.25">
      <c r="A103" s="15" t="s">
        <v>244</v>
      </c>
      <c r="B103" s="4">
        <v>20260701</v>
      </c>
      <c r="C103" s="4">
        <v>14</v>
      </c>
      <c r="D103" s="4" t="s">
        <v>25</v>
      </c>
      <c r="E103" s="4" t="s">
        <v>16</v>
      </c>
      <c r="F103" s="4" t="s">
        <v>141</v>
      </c>
      <c r="G103" s="4">
        <v>60</v>
      </c>
      <c r="H103" s="4">
        <v>6.1</v>
      </c>
      <c r="I103" s="4">
        <f t="shared" si="7"/>
        <v>53.9</v>
      </c>
      <c r="J103" s="4">
        <f>INDEX(Dim_Machine!$E$2:$E$8,MATCH(D103,Dim_Machine!$A$2:$A$8,0))*INDEX(Dim_Machine!$D$2:$D$8,MATCH(D103,Dim_Machine!$A$2:$A$8,0))*I103</f>
        <v>38808</v>
      </c>
      <c r="K103" s="4">
        <f>ROUND(J103*0.871,0)</f>
        <v>33802</v>
      </c>
      <c r="L103" s="4">
        <f>ROUND(K103*0.0316,0)</f>
        <v>1068</v>
      </c>
      <c r="M103" s="4">
        <f t="shared" si="8"/>
        <v>32734</v>
      </c>
      <c r="N103" s="4">
        <f t="shared" si="9"/>
        <v>0.87100597814883529</v>
      </c>
      <c r="O103" s="4">
        <f t="shared" si="10"/>
        <v>0.89833333333333332</v>
      </c>
      <c r="P103" s="4">
        <f>IFERROR((K103/I103)/(INDEX(Dim_Machine!$E$2:$E$8,MATCH(D103,Dim_Machine!$A$2:$A$8,0))*INDEX(Dim_Machine!$D$2:$D$8,MATCH(D103,Dim_Machine!$A$2:$A$8,0))),0)</f>
        <v>0.87100597814883529</v>
      </c>
      <c r="Q103" s="4">
        <f t="shared" si="11"/>
        <v>0.96840423643571383</v>
      </c>
      <c r="R103" s="4">
        <f t="shared" si="12"/>
        <v>0.75773148148148151</v>
      </c>
      <c r="S103" s="4">
        <f>T103/0.886</f>
        <v>9.2364559819413099</v>
      </c>
      <c r="T103" s="4">
        <f>M103*INDEX(Dim_Product!$C$2:$C$4,MATCH(F103,Dim_Product!$A$2:$A$4,0))/1000000</f>
        <v>8.1835000000000004</v>
      </c>
      <c r="U103" s="16">
        <f t="shared" si="13"/>
        <v>0.88600000000000001</v>
      </c>
    </row>
    <row r="104" spans="1:21" x14ac:dyDescent="0.25">
      <c r="A104" s="15" t="s">
        <v>245</v>
      </c>
      <c r="B104" s="4">
        <v>20260701</v>
      </c>
      <c r="C104" s="4">
        <v>14</v>
      </c>
      <c r="D104" s="4" t="s">
        <v>27</v>
      </c>
      <c r="E104" s="4" t="s">
        <v>16</v>
      </c>
      <c r="F104" s="4" t="s">
        <v>143</v>
      </c>
      <c r="G104" s="4">
        <v>60</v>
      </c>
      <c r="H104" s="4">
        <v>5.7</v>
      </c>
      <c r="I104" s="4">
        <f t="shared" si="7"/>
        <v>54.3</v>
      </c>
      <c r="J104" s="4">
        <f>INDEX(Dim_Machine!$E$2:$E$8,MATCH(D104,Dim_Machine!$A$2:$A$8,0))*INDEX(Dim_Machine!$D$2:$D$8,MATCH(D104,Dim_Machine!$A$2:$A$8,0))*I104</f>
        <v>22588.799999999999</v>
      </c>
      <c r="K104" s="4">
        <f>ROUND(J104*0.857,0)</f>
        <v>19359</v>
      </c>
      <c r="L104" s="4">
        <f>ROUND(K104*0.017,0)</f>
        <v>329</v>
      </c>
      <c r="M104" s="4">
        <f t="shared" si="8"/>
        <v>19030</v>
      </c>
      <c r="N104" s="4">
        <f t="shared" si="9"/>
        <v>0.85701763705907352</v>
      </c>
      <c r="O104" s="4">
        <f t="shared" si="10"/>
        <v>0.90499999999999992</v>
      </c>
      <c r="P104" s="4">
        <f>IFERROR((K104/I104)/(INDEX(Dim_Machine!$E$2:$E$8,MATCH(D104,Dim_Machine!$A$2:$A$8,0))*INDEX(Dim_Machine!$D$2:$D$8,MATCH(D104,Dim_Machine!$A$2:$A$8,0))),0)</f>
        <v>0.85701763705907352</v>
      </c>
      <c r="Q104" s="4">
        <f t="shared" si="11"/>
        <v>0.98300532052275424</v>
      </c>
      <c r="R104" s="4">
        <f t="shared" si="12"/>
        <v>0.7624198717948717</v>
      </c>
      <c r="S104" s="4">
        <f>T104/0.822</f>
        <v>4.6301703163017036</v>
      </c>
      <c r="T104" s="4">
        <f>M104*INDEX(Dim_Product!$C$2:$C$4,MATCH(F104,Dim_Product!$A$2:$A$4,0))/1000000</f>
        <v>3.806</v>
      </c>
      <c r="U104" s="16">
        <f t="shared" si="13"/>
        <v>0.82199999999999995</v>
      </c>
    </row>
    <row r="105" spans="1:21" x14ac:dyDescent="0.25">
      <c r="A105" s="15" t="s">
        <v>246</v>
      </c>
      <c r="B105" s="4">
        <v>20260701</v>
      </c>
      <c r="C105" s="4">
        <v>14</v>
      </c>
      <c r="D105" s="4" t="s">
        <v>29</v>
      </c>
      <c r="E105" s="4" t="s">
        <v>16</v>
      </c>
      <c r="F105" s="4" t="s">
        <v>143</v>
      </c>
      <c r="G105" s="4">
        <v>60</v>
      </c>
      <c r="H105" s="4">
        <v>5.5</v>
      </c>
      <c r="I105" s="4">
        <f t="shared" si="7"/>
        <v>54.5</v>
      </c>
      <c r="J105" s="4">
        <f>INDEX(Dim_Machine!$E$2:$E$8,MATCH(D105,Dim_Machine!$A$2:$A$8,0))*INDEX(Dim_Machine!$D$2:$D$8,MATCH(D105,Dim_Machine!$A$2:$A$8,0))*I105</f>
        <v>15696</v>
      </c>
      <c r="K105" s="4">
        <f>ROUND(J105*0.959,0)</f>
        <v>15052</v>
      </c>
      <c r="L105" s="4">
        <f>ROUND(K105*0.0308,0)</f>
        <v>464</v>
      </c>
      <c r="M105" s="4">
        <f t="shared" si="8"/>
        <v>14588</v>
      </c>
      <c r="N105" s="4">
        <f t="shared" si="9"/>
        <v>0.95897043832823647</v>
      </c>
      <c r="O105" s="4">
        <f t="shared" si="10"/>
        <v>0.90833333333333333</v>
      </c>
      <c r="P105" s="4">
        <f>IFERROR((K105/I105)/(INDEX(Dim_Machine!$E$2:$E$8,MATCH(D105,Dim_Machine!$A$2:$A$8,0))*INDEX(Dim_Machine!$D$2:$D$8,MATCH(D105,Dim_Machine!$A$2:$A$8,0))),0)</f>
        <v>0.95897043832823647</v>
      </c>
      <c r="Q105" s="4">
        <f t="shared" si="11"/>
        <v>0.96917353175657717</v>
      </c>
      <c r="R105" s="4">
        <f t="shared" si="12"/>
        <v>0.84421296296296289</v>
      </c>
      <c r="S105" s="4">
        <f>T105/0.933</f>
        <v>3.1271168274383707</v>
      </c>
      <c r="T105" s="4">
        <f>M105*INDEX(Dim_Product!$C$2:$C$4,MATCH(F105,Dim_Product!$A$2:$A$4,0))/1000000</f>
        <v>2.9176000000000002</v>
      </c>
      <c r="U105" s="16">
        <f t="shared" si="13"/>
        <v>0.93300000000000005</v>
      </c>
    </row>
    <row r="106" spans="1:21" x14ac:dyDescent="0.25">
      <c r="A106" s="15" t="s">
        <v>247</v>
      </c>
      <c r="B106" s="4">
        <v>20260701</v>
      </c>
      <c r="C106" s="4">
        <v>14</v>
      </c>
      <c r="D106" s="4" t="s">
        <v>31</v>
      </c>
      <c r="E106" s="4" t="s">
        <v>16</v>
      </c>
      <c r="F106" s="4" t="s">
        <v>143</v>
      </c>
      <c r="G106" s="4">
        <v>60</v>
      </c>
      <c r="H106" s="4">
        <v>6.2</v>
      </c>
      <c r="I106" s="4">
        <f t="shared" si="7"/>
        <v>53.8</v>
      </c>
      <c r="J106" s="4">
        <f>INDEX(Dim_Machine!$E$2:$E$8,MATCH(D106,Dim_Machine!$A$2:$A$8,0))*INDEX(Dim_Machine!$D$2:$D$8,MATCH(D106,Dim_Machine!$A$2:$A$8,0))*I106</f>
        <v>34862.400000000001</v>
      </c>
      <c r="K106" s="4">
        <f>ROUND(J106*0.824,0)</f>
        <v>28727</v>
      </c>
      <c r="L106" s="4">
        <f>ROUND(K106*0.0291,0)</f>
        <v>836</v>
      </c>
      <c r="M106" s="4">
        <f t="shared" si="8"/>
        <v>27891</v>
      </c>
      <c r="N106" s="4">
        <f t="shared" si="9"/>
        <v>0.82401096883748681</v>
      </c>
      <c r="O106" s="4">
        <f t="shared" si="10"/>
        <v>0.89666666666666661</v>
      </c>
      <c r="P106" s="4">
        <f>IFERROR((K106/I106)/(INDEX(Dim_Machine!$E$2:$E$8,MATCH(D106,Dim_Machine!$A$2:$A$8,0))*INDEX(Dim_Machine!$D$2:$D$8,MATCH(D106,Dim_Machine!$A$2:$A$8,0))),0)</f>
        <v>0.82401096883748681</v>
      </c>
      <c r="Q106" s="4">
        <f t="shared" si="11"/>
        <v>0.97089845789675222</v>
      </c>
      <c r="R106" s="4">
        <f t="shared" si="12"/>
        <v>0.71736111111111112</v>
      </c>
      <c r="S106" s="4">
        <f>T106/0.904</f>
        <v>6.1705752212389378</v>
      </c>
      <c r="T106" s="4">
        <f>M106*INDEX(Dim_Product!$C$2:$C$4,MATCH(F106,Dim_Product!$A$2:$A$4,0))/1000000</f>
        <v>5.5781999999999998</v>
      </c>
      <c r="U106" s="16">
        <f t="shared" si="13"/>
        <v>0.90400000000000003</v>
      </c>
    </row>
    <row r="107" spans="1:21" x14ac:dyDescent="0.25">
      <c r="A107" s="15" t="s">
        <v>248</v>
      </c>
      <c r="B107" s="4">
        <v>20260701</v>
      </c>
      <c r="C107" s="4">
        <v>15</v>
      </c>
      <c r="D107" s="4" t="s">
        <v>15</v>
      </c>
      <c r="E107" s="4" t="s">
        <v>16</v>
      </c>
      <c r="F107" s="4" t="s">
        <v>143</v>
      </c>
      <c r="G107" s="4">
        <v>60</v>
      </c>
      <c r="H107" s="4">
        <v>3.7</v>
      </c>
      <c r="I107" s="4">
        <f t="shared" si="7"/>
        <v>56.3</v>
      </c>
      <c r="J107" s="4">
        <f>INDEX(Dim_Machine!$E$2:$E$8,MATCH(D107,Dim_Machine!$A$2:$A$8,0))*INDEX(Dim_Machine!$D$2:$D$8,MATCH(D107,Dim_Machine!$A$2:$A$8,0))*I107</f>
        <v>22520</v>
      </c>
      <c r="K107" s="4">
        <f>ROUND(J107*0.891,0)</f>
        <v>20065</v>
      </c>
      <c r="L107" s="4">
        <f>ROUND(K107*0.0325,0)</f>
        <v>652</v>
      </c>
      <c r="M107" s="4">
        <f t="shared" si="8"/>
        <v>19413</v>
      </c>
      <c r="N107" s="4">
        <f t="shared" si="9"/>
        <v>0.89098579040852577</v>
      </c>
      <c r="O107" s="4">
        <f t="shared" si="10"/>
        <v>0.93833333333333324</v>
      </c>
      <c r="P107" s="4">
        <f>IFERROR((K107/I107)/(INDEX(Dim_Machine!$E$2:$E$8,MATCH(D107,Dim_Machine!$A$2:$A$8,0))*INDEX(Dim_Machine!$D$2:$D$8,MATCH(D107,Dim_Machine!$A$2:$A$8,0))),0)</f>
        <v>0.89098579040852588</v>
      </c>
      <c r="Q107" s="4">
        <f t="shared" si="11"/>
        <v>0.96750560677797159</v>
      </c>
      <c r="R107" s="4">
        <f t="shared" si="12"/>
        <v>0.80887500000000001</v>
      </c>
      <c r="S107" s="4">
        <f>T107/0.818</f>
        <v>4.7464547677261617</v>
      </c>
      <c r="T107" s="4">
        <f>M107*INDEX(Dim_Product!$C$2:$C$4,MATCH(F107,Dim_Product!$A$2:$A$4,0))/1000000</f>
        <v>3.8826000000000001</v>
      </c>
      <c r="U107" s="16">
        <f t="shared" si="13"/>
        <v>0.81799999999999995</v>
      </c>
    </row>
    <row r="108" spans="1:21" x14ac:dyDescent="0.25">
      <c r="A108" s="15" t="s">
        <v>249</v>
      </c>
      <c r="B108" s="4">
        <v>20260701</v>
      </c>
      <c r="C108" s="4">
        <v>15</v>
      </c>
      <c r="D108" s="4" t="s">
        <v>19</v>
      </c>
      <c r="E108" s="4" t="s">
        <v>16</v>
      </c>
      <c r="F108" s="4" t="s">
        <v>141</v>
      </c>
      <c r="G108" s="4">
        <v>60</v>
      </c>
      <c r="H108" s="4">
        <v>1.1000000000000001</v>
      </c>
      <c r="I108" s="4">
        <f t="shared" si="7"/>
        <v>58.9</v>
      </c>
      <c r="J108" s="4">
        <f>INDEX(Dim_Machine!$E$2:$E$8,MATCH(D108,Dim_Machine!$A$2:$A$8,0))*INDEX(Dim_Machine!$D$2:$D$8,MATCH(D108,Dim_Machine!$A$2:$A$8,0))*I108</f>
        <v>39580.799999999996</v>
      </c>
      <c r="K108" s="4">
        <f>ROUND(J108*0.873,0)</f>
        <v>34554</v>
      </c>
      <c r="L108" s="4">
        <f>ROUND(K108*0.0209,0)</f>
        <v>722</v>
      </c>
      <c r="M108" s="4">
        <f t="shared" si="8"/>
        <v>33832</v>
      </c>
      <c r="N108" s="4">
        <f t="shared" si="9"/>
        <v>0.87299902983264621</v>
      </c>
      <c r="O108" s="4">
        <f t="shared" si="10"/>
        <v>0.98166666666666669</v>
      </c>
      <c r="P108" s="4">
        <f>IFERROR((K108/I108)/(INDEX(Dim_Machine!$E$2:$E$8,MATCH(D108,Dim_Machine!$A$2:$A$8,0))*INDEX(Dim_Machine!$D$2:$D$8,MATCH(D108,Dim_Machine!$A$2:$A$8,0))),0)</f>
        <v>0.87299902983264621</v>
      </c>
      <c r="Q108" s="4">
        <f t="shared" si="11"/>
        <v>0.9791051687214215</v>
      </c>
      <c r="R108" s="4">
        <f t="shared" si="12"/>
        <v>0.83908730158730171</v>
      </c>
      <c r="S108" s="4">
        <f>T108/0.884</f>
        <v>9.5678733031674206</v>
      </c>
      <c r="T108" s="4">
        <f>M108*INDEX(Dim_Product!$C$2:$C$4,MATCH(F108,Dim_Product!$A$2:$A$4,0))/1000000</f>
        <v>8.4580000000000002</v>
      </c>
      <c r="U108" s="16">
        <f t="shared" si="13"/>
        <v>0.88400000000000001</v>
      </c>
    </row>
    <row r="109" spans="1:21" x14ac:dyDescent="0.25">
      <c r="A109" s="15" t="s">
        <v>250</v>
      </c>
      <c r="B109" s="4">
        <v>20260701</v>
      </c>
      <c r="C109" s="4">
        <v>15</v>
      </c>
      <c r="D109" s="4" t="s">
        <v>23</v>
      </c>
      <c r="E109" s="4" t="s">
        <v>16</v>
      </c>
      <c r="F109" s="4" t="s">
        <v>187</v>
      </c>
      <c r="G109" s="4">
        <v>60</v>
      </c>
      <c r="H109" s="4">
        <v>2.5</v>
      </c>
      <c r="I109" s="4">
        <f t="shared" si="7"/>
        <v>57.5</v>
      </c>
      <c r="J109" s="4">
        <f>INDEX(Dim_Machine!$E$2:$E$8,MATCH(D109,Dim_Machine!$A$2:$A$8,0))*INDEX(Dim_Machine!$D$2:$D$8,MATCH(D109,Dim_Machine!$A$2:$A$8,0))*I109</f>
        <v>15180</v>
      </c>
      <c r="K109" s="4">
        <f>ROUND(J109*0.931,0)</f>
        <v>14133</v>
      </c>
      <c r="L109" s="4">
        <f>ROUND(K109*0.0183,0)</f>
        <v>259</v>
      </c>
      <c r="M109" s="4">
        <f t="shared" si="8"/>
        <v>13874</v>
      </c>
      <c r="N109" s="4">
        <f t="shared" si="9"/>
        <v>0.93102766798418968</v>
      </c>
      <c r="O109" s="4">
        <f t="shared" si="10"/>
        <v>0.95833333333333337</v>
      </c>
      <c r="P109" s="4">
        <f>IFERROR((K109/I109)/(INDEX(Dim_Machine!$E$2:$E$8,MATCH(D109,Dim_Machine!$A$2:$A$8,0))*INDEX(Dim_Machine!$D$2:$D$8,MATCH(D109,Dim_Machine!$A$2:$A$8,0))),0)</f>
        <v>0.93102766798418979</v>
      </c>
      <c r="Q109" s="4">
        <f t="shared" si="11"/>
        <v>0.98167409608717182</v>
      </c>
      <c r="R109" s="4">
        <f t="shared" si="12"/>
        <v>0.87588383838383843</v>
      </c>
      <c r="S109" s="4">
        <f>T109/0.922</f>
        <v>4.5143167028199569</v>
      </c>
      <c r="T109" s="4">
        <f>M109*INDEX(Dim_Product!$C$2:$C$4,MATCH(F109,Dim_Product!$A$2:$A$4,0))/1000000</f>
        <v>4.1622000000000003</v>
      </c>
      <c r="U109" s="16">
        <f t="shared" si="13"/>
        <v>0.92200000000000004</v>
      </c>
    </row>
    <row r="110" spans="1:21" x14ac:dyDescent="0.25">
      <c r="A110" s="15" t="s">
        <v>251</v>
      </c>
      <c r="B110" s="4">
        <v>20260701</v>
      </c>
      <c r="C110" s="4">
        <v>15</v>
      </c>
      <c r="D110" s="4" t="s">
        <v>25</v>
      </c>
      <c r="E110" s="4" t="s">
        <v>16</v>
      </c>
      <c r="F110" s="4" t="s">
        <v>141</v>
      </c>
      <c r="G110" s="4">
        <v>60</v>
      </c>
      <c r="H110" s="4">
        <v>7.1</v>
      </c>
      <c r="I110" s="4">
        <f t="shared" si="7"/>
        <v>52.9</v>
      </c>
      <c r="J110" s="4">
        <f>INDEX(Dim_Machine!$E$2:$E$8,MATCH(D110,Dim_Machine!$A$2:$A$8,0))*INDEX(Dim_Machine!$D$2:$D$8,MATCH(D110,Dim_Machine!$A$2:$A$8,0))*I110</f>
        <v>38088</v>
      </c>
      <c r="K110" s="4">
        <f>ROUND(J110*0.865,0)</f>
        <v>32946</v>
      </c>
      <c r="L110" s="4">
        <f>ROUND(K110*0.0322,0)</f>
        <v>1061</v>
      </c>
      <c r="M110" s="4">
        <f t="shared" si="8"/>
        <v>31885</v>
      </c>
      <c r="N110" s="4">
        <f t="shared" si="9"/>
        <v>0.86499684940138621</v>
      </c>
      <c r="O110" s="4">
        <f t="shared" si="10"/>
        <v>0.8816666666666666</v>
      </c>
      <c r="P110" s="4">
        <f>IFERROR((K110/I110)/(INDEX(Dim_Machine!$E$2:$E$8,MATCH(D110,Dim_Machine!$A$2:$A$8,0))*INDEX(Dim_Machine!$D$2:$D$8,MATCH(D110,Dim_Machine!$A$2:$A$8,0))),0)</f>
        <v>0.86499684940138621</v>
      </c>
      <c r="Q110" s="4">
        <f t="shared" si="11"/>
        <v>0.96779578704546831</v>
      </c>
      <c r="R110" s="4">
        <f t="shared" si="12"/>
        <v>0.73807870370370354</v>
      </c>
      <c r="S110" s="4">
        <f>T110/0.867</f>
        <v>9.1940599769319498</v>
      </c>
      <c r="T110" s="4">
        <f>M110*INDEX(Dim_Product!$C$2:$C$4,MATCH(F110,Dim_Product!$A$2:$A$4,0))/1000000</f>
        <v>7.9712500000000004</v>
      </c>
      <c r="U110" s="16">
        <f t="shared" si="13"/>
        <v>0.86699999999999999</v>
      </c>
    </row>
    <row r="111" spans="1:21" x14ac:dyDescent="0.25">
      <c r="A111" s="15" t="s">
        <v>252</v>
      </c>
      <c r="B111" s="4">
        <v>20260701</v>
      </c>
      <c r="C111" s="4">
        <v>15</v>
      </c>
      <c r="D111" s="4" t="s">
        <v>27</v>
      </c>
      <c r="E111" s="4" t="s">
        <v>16</v>
      </c>
      <c r="F111" s="4" t="s">
        <v>143</v>
      </c>
      <c r="G111" s="4">
        <v>60</v>
      </c>
      <c r="H111" s="4">
        <v>1.3</v>
      </c>
      <c r="I111" s="4">
        <f t="shared" si="7"/>
        <v>58.7</v>
      </c>
      <c r="J111" s="4">
        <f>INDEX(Dim_Machine!$E$2:$E$8,MATCH(D111,Dim_Machine!$A$2:$A$8,0))*INDEX(Dim_Machine!$D$2:$D$8,MATCH(D111,Dim_Machine!$A$2:$A$8,0))*I111</f>
        <v>24419.200000000001</v>
      </c>
      <c r="K111" s="4">
        <f>ROUND(J111*0.952,0)</f>
        <v>23247</v>
      </c>
      <c r="L111" s="4">
        <f>ROUND(K111*0.0185,0)</f>
        <v>430</v>
      </c>
      <c r="M111" s="4">
        <f t="shared" si="8"/>
        <v>22817</v>
      </c>
      <c r="N111" s="4">
        <f t="shared" si="9"/>
        <v>0.95199678941161048</v>
      </c>
      <c r="O111" s="4">
        <f t="shared" si="10"/>
        <v>0.97833333333333339</v>
      </c>
      <c r="P111" s="4">
        <f>IFERROR((K111/I111)/(INDEX(Dim_Machine!$E$2:$E$8,MATCH(D111,Dim_Machine!$A$2:$A$8,0))*INDEX(Dim_Machine!$D$2:$D$8,MATCH(D111,Dim_Machine!$A$2:$A$8,0))),0)</f>
        <v>0.95199678941161048</v>
      </c>
      <c r="Q111" s="4">
        <f t="shared" si="11"/>
        <v>0.98150298963307092</v>
      </c>
      <c r="R111" s="4">
        <f t="shared" si="12"/>
        <v>0.91414262820512826</v>
      </c>
      <c r="S111" s="4">
        <f>T111/0.913</f>
        <v>4.9982475355969322</v>
      </c>
      <c r="T111" s="4">
        <f>M111*INDEX(Dim_Product!$C$2:$C$4,MATCH(F111,Dim_Product!$A$2:$A$4,0))/1000000</f>
        <v>4.5633999999999997</v>
      </c>
      <c r="U111" s="16">
        <f t="shared" si="13"/>
        <v>0.91300000000000014</v>
      </c>
    </row>
    <row r="112" spans="1:21" x14ac:dyDescent="0.25">
      <c r="A112" s="15" t="s">
        <v>253</v>
      </c>
      <c r="B112" s="4">
        <v>20260701</v>
      </c>
      <c r="C112" s="4">
        <v>15</v>
      </c>
      <c r="D112" s="4" t="s">
        <v>29</v>
      </c>
      <c r="E112" s="4" t="s">
        <v>16</v>
      </c>
      <c r="F112" s="4" t="s">
        <v>143</v>
      </c>
      <c r="G112" s="4">
        <v>60</v>
      </c>
      <c r="H112" s="4">
        <v>6.7</v>
      </c>
      <c r="I112" s="4">
        <f t="shared" si="7"/>
        <v>53.3</v>
      </c>
      <c r="J112" s="4">
        <f>INDEX(Dim_Machine!$E$2:$E$8,MATCH(D112,Dim_Machine!$A$2:$A$8,0))*INDEX(Dim_Machine!$D$2:$D$8,MATCH(D112,Dim_Machine!$A$2:$A$8,0))*I112</f>
        <v>15350.4</v>
      </c>
      <c r="K112" s="4">
        <f>ROUND(J112*0.835,0)</f>
        <v>12818</v>
      </c>
      <c r="L112" s="4">
        <f>ROUND(K112*0.0283,0)</f>
        <v>363</v>
      </c>
      <c r="M112" s="4">
        <f t="shared" si="8"/>
        <v>12455</v>
      </c>
      <c r="N112" s="4">
        <f t="shared" si="9"/>
        <v>0.83502710027100269</v>
      </c>
      <c r="O112" s="4">
        <f t="shared" si="10"/>
        <v>0.88833333333333331</v>
      </c>
      <c r="P112" s="4">
        <f>IFERROR((K112/I112)/(INDEX(Dim_Machine!$E$2:$E$8,MATCH(D112,Dim_Machine!$A$2:$A$8,0))*INDEX(Dim_Machine!$D$2:$D$8,MATCH(D112,Dim_Machine!$A$2:$A$8,0))),0)</f>
        <v>0.8350271002710028</v>
      </c>
      <c r="Q112" s="4">
        <f t="shared" si="11"/>
        <v>0.97168044936807618</v>
      </c>
      <c r="R112" s="4">
        <f t="shared" si="12"/>
        <v>0.72077546296296302</v>
      </c>
      <c r="S112" s="4">
        <f>T112/0.873</f>
        <v>2.8533791523482246</v>
      </c>
      <c r="T112" s="4">
        <f>M112*INDEX(Dim_Product!$C$2:$C$4,MATCH(F112,Dim_Product!$A$2:$A$4,0))/1000000</f>
        <v>2.4910000000000001</v>
      </c>
      <c r="U112" s="16">
        <f t="shared" si="13"/>
        <v>0.873</v>
      </c>
    </row>
    <row r="113" spans="1:21" x14ac:dyDescent="0.25">
      <c r="A113" s="15" t="s">
        <v>254</v>
      </c>
      <c r="B113" s="4">
        <v>20260701</v>
      </c>
      <c r="C113" s="4">
        <v>15</v>
      </c>
      <c r="D113" s="4" t="s">
        <v>31</v>
      </c>
      <c r="E113" s="4" t="s">
        <v>16</v>
      </c>
      <c r="F113" s="4" t="s">
        <v>143</v>
      </c>
      <c r="G113" s="4">
        <v>60</v>
      </c>
      <c r="H113" s="4">
        <v>1.9</v>
      </c>
      <c r="I113" s="4">
        <f t="shared" si="7"/>
        <v>58.1</v>
      </c>
      <c r="J113" s="4">
        <f>INDEX(Dim_Machine!$E$2:$E$8,MATCH(D113,Dim_Machine!$A$2:$A$8,0))*INDEX(Dim_Machine!$D$2:$D$8,MATCH(D113,Dim_Machine!$A$2:$A$8,0))*I113</f>
        <v>37648.800000000003</v>
      </c>
      <c r="K113" s="4">
        <f>ROUND(J113*0.868,0)</f>
        <v>32679</v>
      </c>
      <c r="L113" s="4">
        <f>ROUND(K113*0.0264,0)</f>
        <v>863</v>
      </c>
      <c r="M113" s="4">
        <f t="shared" si="8"/>
        <v>31816</v>
      </c>
      <c r="N113" s="4">
        <f t="shared" si="9"/>
        <v>0.86799579269458782</v>
      </c>
      <c r="O113" s="4">
        <f t="shared" si="10"/>
        <v>0.96833333333333338</v>
      </c>
      <c r="P113" s="4">
        <f>IFERROR((K113/I113)/(INDEX(Dim_Machine!$E$2:$E$8,MATCH(D113,Dim_Machine!$A$2:$A$8,0))*INDEX(Dim_Machine!$D$2:$D$8,MATCH(D113,Dim_Machine!$A$2:$A$8,0))),0)</f>
        <v>0.86799579269458782</v>
      </c>
      <c r="Q113" s="4">
        <f t="shared" si="11"/>
        <v>0.97359160317023163</v>
      </c>
      <c r="R113" s="4">
        <f t="shared" si="12"/>
        <v>0.81831275720164609</v>
      </c>
      <c r="S113" s="4">
        <f>T113/0.835</f>
        <v>7.62059880239521</v>
      </c>
      <c r="T113" s="4">
        <f>M113*INDEX(Dim_Product!$C$2:$C$4,MATCH(F113,Dim_Product!$A$2:$A$4,0))/1000000</f>
        <v>6.3632</v>
      </c>
      <c r="U113" s="16">
        <f t="shared" si="13"/>
        <v>0.83499999999999996</v>
      </c>
    </row>
    <row r="114" spans="1:21" x14ac:dyDescent="0.25">
      <c r="A114" s="15" t="s">
        <v>255</v>
      </c>
      <c r="B114" s="4">
        <v>20260701</v>
      </c>
      <c r="C114" s="4">
        <v>16</v>
      </c>
      <c r="D114" s="4" t="s">
        <v>15</v>
      </c>
      <c r="E114" s="4" t="s">
        <v>16</v>
      </c>
      <c r="F114" s="4" t="s">
        <v>143</v>
      </c>
      <c r="G114" s="4">
        <v>60</v>
      </c>
      <c r="H114" s="4">
        <v>2.7</v>
      </c>
      <c r="I114" s="4">
        <f t="shared" si="7"/>
        <v>57.3</v>
      </c>
      <c r="J114" s="4">
        <f>INDEX(Dim_Machine!$E$2:$E$8,MATCH(D114,Dim_Machine!$A$2:$A$8,0))*INDEX(Dim_Machine!$D$2:$D$8,MATCH(D114,Dim_Machine!$A$2:$A$8,0))*I114</f>
        <v>22920</v>
      </c>
      <c r="K114" s="4">
        <f>ROUND(J114*0.959,0)</f>
        <v>21980</v>
      </c>
      <c r="L114" s="4">
        <f>ROUND(K114*0.0074,0)</f>
        <v>163</v>
      </c>
      <c r="M114" s="4">
        <f t="shared" si="8"/>
        <v>21817</v>
      </c>
      <c r="N114" s="4">
        <f t="shared" si="9"/>
        <v>0.95898778359511339</v>
      </c>
      <c r="O114" s="4">
        <f t="shared" si="10"/>
        <v>0.95499999999999996</v>
      </c>
      <c r="P114" s="4">
        <f>IFERROR((K114/I114)/(INDEX(Dim_Machine!$E$2:$E$8,MATCH(D114,Dim_Machine!$A$2:$A$8,0))*INDEX(Dim_Machine!$D$2:$D$8,MATCH(D114,Dim_Machine!$A$2:$A$8,0))),0)</f>
        <v>0.9589877835951135</v>
      </c>
      <c r="Q114" s="4">
        <f t="shared" si="11"/>
        <v>0.99258416742493172</v>
      </c>
      <c r="R114" s="4">
        <f t="shared" si="12"/>
        <v>0.90904166666666664</v>
      </c>
      <c r="S114" s="4">
        <f>T114/0.823</f>
        <v>5.301822600243014</v>
      </c>
      <c r="T114" s="4">
        <f>M114*INDEX(Dim_Product!$C$2:$C$4,MATCH(F114,Dim_Product!$A$2:$A$4,0))/1000000</f>
        <v>4.3634000000000004</v>
      </c>
      <c r="U114" s="16">
        <f t="shared" si="13"/>
        <v>0.82299999999999995</v>
      </c>
    </row>
    <row r="115" spans="1:21" x14ac:dyDescent="0.25">
      <c r="A115" s="15" t="s">
        <v>256</v>
      </c>
      <c r="B115" s="4">
        <v>20260701</v>
      </c>
      <c r="C115" s="4">
        <v>16</v>
      </c>
      <c r="D115" s="4" t="s">
        <v>19</v>
      </c>
      <c r="E115" s="4" t="s">
        <v>16</v>
      </c>
      <c r="F115" s="4" t="s">
        <v>141</v>
      </c>
      <c r="G115" s="4">
        <v>60</v>
      </c>
      <c r="H115" s="4">
        <v>3.1</v>
      </c>
      <c r="I115" s="4">
        <f t="shared" si="7"/>
        <v>56.9</v>
      </c>
      <c r="J115" s="4">
        <f>INDEX(Dim_Machine!$E$2:$E$8,MATCH(D115,Dim_Machine!$A$2:$A$8,0))*INDEX(Dim_Machine!$D$2:$D$8,MATCH(D115,Dim_Machine!$A$2:$A$8,0))*I115</f>
        <v>38236.799999999996</v>
      </c>
      <c r="K115" s="4">
        <f>ROUND(J115*0.811,0)</f>
        <v>31010</v>
      </c>
      <c r="L115" s="4">
        <f>ROUND(K115*0.0114,0)</f>
        <v>354</v>
      </c>
      <c r="M115" s="4">
        <f t="shared" si="8"/>
        <v>30656</v>
      </c>
      <c r="N115" s="4">
        <f t="shared" si="9"/>
        <v>0.81099882835383719</v>
      </c>
      <c r="O115" s="4">
        <f t="shared" si="10"/>
        <v>0.94833333333333336</v>
      </c>
      <c r="P115" s="4">
        <f>IFERROR((K115/I115)/(INDEX(Dim_Machine!$E$2:$E$8,MATCH(D115,Dim_Machine!$A$2:$A$8,0))*INDEX(Dim_Machine!$D$2:$D$8,MATCH(D115,Dim_Machine!$A$2:$A$8,0))),0)</f>
        <v>0.81099882835383719</v>
      </c>
      <c r="Q115" s="4">
        <f t="shared" si="11"/>
        <v>0.98858432763624637</v>
      </c>
      <c r="R115" s="4">
        <f t="shared" si="12"/>
        <v>0.76031746031746039</v>
      </c>
      <c r="S115" s="4">
        <f>T115/0.862</f>
        <v>8.8909512761020881</v>
      </c>
      <c r="T115" s="4">
        <f>M115*INDEX(Dim_Product!$C$2:$C$4,MATCH(F115,Dim_Product!$A$2:$A$4,0))/1000000</f>
        <v>7.6639999999999997</v>
      </c>
      <c r="U115" s="16">
        <f t="shared" si="13"/>
        <v>0.86199999999999999</v>
      </c>
    </row>
    <row r="116" spans="1:21" x14ac:dyDescent="0.25">
      <c r="A116" s="15" t="s">
        <v>257</v>
      </c>
      <c r="B116" s="4">
        <v>20260701</v>
      </c>
      <c r="C116" s="4">
        <v>16</v>
      </c>
      <c r="D116" s="4" t="s">
        <v>23</v>
      </c>
      <c r="E116" s="4" t="s">
        <v>16</v>
      </c>
      <c r="F116" s="4" t="s">
        <v>187</v>
      </c>
      <c r="G116" s="4">
        <v>60</v>
      </c>
      <c r="H116" s="4">
        <v>2.6</v>
      </c>
      <c r="I116" s="4">
        <f t="shared" si="7"/>
        <v>57.4</v>
      </c>
      <c r="J116" s="4">
        <f>INDEX(Dim_Machine!$E$2:$E$8,MATCH(D116,Dim_Machine!$A$2:$A$8,0))*INDEX(Dim_Machine!$D$2:$D$8,MATCH(D116,Dim_Machine!$A$2:$A$8,0))*I116</f>
        <v>15153.6</v>
      </c>
      <c r="K116" s="4">
        <f>ROUND(J116*0.873,0)</f>
        <v>13229</v>
      </c>
      <c r="L116" s="4">
        <f>ROUND(K116*0.0069,0)</f>
        <v>91</v>
      </c>
      <c r="M116" s="4">
        <f t="shared" si="8"/>
        <v>13138</v>
      </c>
      <c r="N116" s="4">
        <f t="shared" si="9"/>
        <v>0.87299387604265655</v>
      </c>
      <c r="O116" s="4">
        <f t="shared" si="10"/>
        <v>0.95666666666666667</v>
      </c>
      <c r="P116" s="4">
        <f>IFERROR((K116/I116)/(INDEX(Dim_Machine!$E$2:$E$8,MATCH(D116,Dim_Machine!$A$2:$A$8,0))*INDEX(Dim_Machine!$D$2:$D$8,MATCH(D116,Dim_Machine!$A$2:$A$8,0))),0)</f>
        <v>0.87299387604265655</v>
      </c>
      <c r="Q116" s="4">
        <f t="shared" si="11"/>
        <v>0.9931211731801346</v>
      </c>
      <c r="R116" s="4">
        <f t="shared" si="12"/>
        <v>0.829419191919192</v>
      </c>
      <c r="S116" s="4">
        <f>T116/0.925</f>
        <v>4.2609729729729722</v>
      </c>
      <c r="T116" s="4">
        <f>M116*INDEX(Dim_Product!$C$2:$C$4,MATCH(F116,Dim_Product!$A$2:$A$4,0))/1000000</f>
        <v>3.9413999999999998</v>
      </c>
      <c r="U116" s="16">
        <f t="shared" si="13"/>
        <v>0.92500000000000016</v>
      </c>
    </row>
    <row r="117" spans="1:21" x14ac:dyDescent="0.25">
      <c r="A117" s="15" t="s">
        <v>258</v>
      </c>
      <c r="B117" s="4">
        <v>20260701</v>
      </c>
      <c r="C117" s="4">
        <v>16</v>
      </c>
      <c r="D117" s="4" t="s">
        <v>25</v>
      </c>
      <c r="E117" s="4" t="s">
        <v>16</v>
      </c>
      <c r="F117" s="4" t="s">
        <v>141</v>
      </c>
      <c r="G117" s="4">
        <v>60</v>
      </c>
      <c r="H117" s="4">
        <v>3.1</v>
      </c>
      <c r="I117" s="4">
        <f t="shared" si="7"/>
        <v>56.9</v>
      </c>
      <c r="J117" s="4">
        <f>INDEX(Dim_Machine!$E$2:$E$8,MATCH(D117,Dim_Machine!$A$2:$A$8,0))*INDEX(Dim_Machine!$D$2:$D$8,MATCH(D117,Dim_Machine!$A$2:$A$8,0))*I117</f>
        <v>40968</v>
      </c>
      <c r="K117" s="4">
        <f>ROUND(J117*0.934,0)</f>
        <v>38264</v>
      </c>
      <c r="L117" s="4">
        <f>ROUND(K117*0.0334,0)</f>
        <v>1278</v>
      </c>
      <c r="M117" s="4">
        <f t="shared" si="8"/>
        <v>36986</v>
      </c>
      <c r="N117" s="4">
        <f t="shared" si="9"/>
        <v>0.93399726615895329</v>
      </c>
      <c r="O117" s="4">
        <f t="shared" si="10"/>
        <v>0.94833333333333336</v>
      </c>
      <c r="P117" s="4">
        <f>IFERROR((K117/I117)/(INDEX(Dim_Machine!$E$2:$E$8,MATCH(D117,Dim_Machine!$A$2:$A$8,0))*INDEX(Dim_Machine!$D$2:$D$8,MATCH(D117,Dim_Machine!$A$2:$A$8,0))),0)</f>
        <v>0.9339972661589534</v>
      </c>
      <c r="Q117" s="4">
        <f t="shared" si="11"/>
        <v>0.96660045996236676</v>
      </c>
      <c r="R117" s="4">
        <f t="shared" si="12"/>
        <v>0.85615740740740753</v>
      </c>
      <c r="S117" s="4">
        <f>T117/0.803</f>
        <v>11.514943960149438</v>
      </c>
      <c r="T117" s="4">
        <f>M117*INDEX(Dim_Product!$C$2:$C$4,MATCH(F117,Dim_Product!$A$2:$A$4,0))/1000000</f>
        <v>9.2464999999999993</v>
      </c>
      <c r="U117" s="16">
        <f t="shared" si="13"/>
        <v>0.80300000000000005</v>
      </c>
    </row>
    <row r="118" spans="1:21" x14ac:dyDescent="0.25">
      <c r="A118" s="15" t="s">
        <v>259</v>
      </c>
      <c r="B118" s="4">
        <v>20260701</v>
      </c>
      <c r="C118" s="4">
        <v>16</v>
      </c>
      <c r="D118" s="4" t="s">
        <v>27</v>
      </c>
      <c r="E118" s="4" t="s">
        <v>16</v>
      </c>
      <c r="F118" s="4" t="s">
        <v>143</v>
      </c>
      <c r="G118" s="4">
        <v>60</v>
      </c>
      <c r="H118" s="4">
        <v>7</v>
      </c>
      <c r="I118" s="4">
        <f t="shared" si="7"/>
        <v>53</v>
      </c>
      <c r="J118" s="4">
        <f>INDEX(Dim_Machine!$E$2:$E$8,MATCH(D118,Dim_Machine!$A$2:$A$8,0))*INDEX(Dim_Machine!$D$2:$D$8,MATCH(D118,Dim_Machine!$A$2:$A$8,0))*I118</f>
        <v>22048</v>
      </c>
      <c r="K118" s="4">
        <f>ROUND(J118*0.895,0)</f>
        <v>19733</v>
      </c>
      <c r="L118" s="4">
        <f>ROUND(K118*0.0193,0)</f>
        <v>381</v>
      </c>
      <c r="M118" s="4">
        <f t="shared" si="8"/>
        <v>19352</v>
      </c>
      <c r="N118" s="4">
        <f t="shared" si="9"/>
        <v>0.89500181422351233</v>
      </c>
      <c r="O118" s="4">
        <f t="shared" si="10"/>
        <v>0.8833333333333333</v>
      </c>
      <c r="P118" s="4">
        <f>IFERROR((K118/I118)/(INDEX(Dim_Machine!$E$2:$E$8,MATCH(D118,Dim_Machine!$A$2:$A$8,0))*INDEX(Dim_Machine!$D$2:$D$8,MATCH(D118,Dim_Machine!$A$2:$A$8,0))),0)</f>
        <v>0.89500181422351233</v>
      </c>
      <c r="Q118" s="4">
        <f t="shared" si="11"/>
        <v>0.98069224142299705</v>
      </c>
      <c r="R118" s="4">
        <f t="shared" si="12"/>
        <v>0.77532051282051284</v>
      </c>
      <c r="S118" s="4">
        <f>T118/0.941</f>
        <v>4.1130712008501593</v>
      </c>
      <c r="T118" s="4">
        <f>M118*INDEX(Dim_Product!$C$2:$C$4,MATCH(F118,Dim_Product!$A$2:$A$4,0))/1000000</f>
        <v>3.8704000000000001</v>
      </c>
      <c r="U118" s="16">
        <f t="shared" si="13"/>
        <v>0.94100000000000006</v>
      </c>
    </row>
    <row r="119" spans="1:21" x14ac:dyDescent="0.25">
      <c r="A119" s="15" t="s">
        <v>260</v>
      </c>
      <c r="B119" s="4">
        <v>20260701</v>
      </c>
      <c r="C119" s="4">
        <v>16</v>
      </c>
      <c r="D119" s="4" t="s">
        <v>29</v>
      </c>
      <c r="E119" s="4" t="s">
        <v>16</v>
      </c>
      <c r="F119" s="4" t="s">
        <v>143</v>
      </c>
      <c r="G119" s="4">
        <v>60</v>
      </c>
      <c r="H119" s="4">
        <v>2.4</v>
      </c>
      <c r="I119" s="4">
        <f t="shared" si="7"/>
        <v>57.6</v>
      </c>
      <c r="J119" s="4">
        <f>INDEX(Dim_Machine!$E$2:$E$8,MATCH(D119,Dim_Machine!$A$2:$A$8,0))*INDEX(Dim_Machine!$D$2:$D$8,MATCH(D119,Dim_Machine!$A$2:$A$8,0))*I119</f>
        <v>16588.8</v>
      </c>
      <c r="K119" s="4">
        <f>ROUND(J119*0.858,0)</f>
        <v>14233</v>
      </c>
      <c r="L119" s="4">
        <f>ROUND(K119*0.0317,0)</f>
        <v>451</v>
      </c>
      <c r="M119" s="4">
        <f t="shared" si="8"/>
        <v>13782</v>
      </c>
      <c r="N119" s="4">
        <f t="shared" si="9"/>
        <v>0.85798852237654322</v>
      </c>
      <c r="O119" s="4">
        <f t="shared" si="10"/>
        <v>0.96000000000000008</v>
      </c>
      <c r="P119" s="4">
        <f>IFERROR((K119/I119)/(INDEX(Dim_Machine!$E$2:$E$8,MATCH(D119,Dim_Machine!$A$2:$A$8,0))*INDEX(Dim_Machine!$D$2:$D$8,MATCH(D119,Dim_Machine!$A$2:$A$8,0))),0)</f>
        <v>0.85798852237654311</v>
      </c>
      <c r="Q119" s="4">
        <f t="shared" si="11"/>
        <v>0.96831307524766386</v>
      </c>
      <c r="R119" s="4">
        <f t="shared" si="12"/>
        <v>0.79756944444444444</v>
      </c>
      <c r="S119" s="4">
        <f>T119/0.925</f>
        <v>2.9798918918918917</v>
      </c>
      <c r="T119" s="4">
        <f>M119*INDEX(Dim_Product!$C$2:$C$4,MATCH(F119,Dim_Product!$A$2:$A$4,0))/1000000</f>
        <v>2.7564000000000002</v>
      </c>
      <c r="U119" s="16">
        <f t="shared" si="13"/>
        <v>0.92500000000000016</v>
      </c>
    </row>
    <row r="120" spans="1:21" x14ac:dyDescent="0.25">
      <c r="A120" s="15" t="s">
        <v>261</v>
      </c>
      <c r="B120" s="4">
        <v>20260701</v>
      </c>
      <c r="C120" s="4">
        <v>16</v>
      </c>
      <c r="D120" s="4" t="s">
        <v>31</v>
      </c>
      <c r="E120" s="4" t="s">
        <v>16</v>
      </c>
      <c r="F120" s="4" t="s">
        <v>143</v>
      </c>
      <c r="G120" s="4">
        <v>60</v>
      </c>
      <c r="H120" s="4">
        <v>4.3</v>
      </c>
      <c r="I120" s="4">
        <f t="shared" si="7"/>
        <v>55.7</v>
      </c>
      <c r="J120" s="4">
        <f>INDEX(Dim_Machine!$E$2:$E$8,MATCH(D120,Dim_Machine!$A$2:$A$8,0))*INDEX(Dim_Machine!$D$2:$D$8,MATCH(D120,Dim_Machine!$A$2:$A$8,0))*I120</f>
        <v>36093.599999999999</v>
      </c>
      <c r="K120" s="4">
        <f>ROUND(J120*0.927,0)</f>
        <v>33459</v>
      </c>
      <c r="L120" s="4">
        <f>ROUND(K120*0.029,0)</f>
        <v>970</v>
      </c>
      <c r="M120" s="4">
        <f t="shared" si="8"/>
        <v>32489</v>
      </c>
      <c r="N120" s="4">
        <f t="shared" si="9"/>
        <v>0.9270064498969347</v>
      </c>
      <c r="O120" s="4">
        <f t="shared" si="10"/>
        <v>0.92833333333333334</v>
      </c>
      <c r="P120" s="4">
        <f>IFERROR((K120/I120)/(INDEX(Dim_Machine!$E$2:$E$8,MATCH(D120,Dim_Machine!$A$2:$A$8,0))*INDEX(Dim_Machine!$D$2:$D$8,MATCH(D120,Dim_Machine!$A$2:$A$8,0))),0)</f>
        <v>0.92700644989693459</v>
      </c>
      <c r="Q120" s="4">
        <f t="shared" si="11"/>
        <v>0.97100929495800836</v>
      </c>
      <c r="R120" s="4">
        <f t="shared" si="12"/>
        <v>0.83562242798353914</v>
      </c>
      <c r="S120" s="4">
        <f>T120/0.935</f>
        <v>6.9495187165775398</v>
      </c>
      <c r="T120" s="4">
        <f>M120*INDEX(Dim_Product!$C$2:$C$4,MATCH(F120,Dim_Product!$A$2:$A$4,0))/1000000</f>
        <v>6.4977999999999998</v>
      </c>
      <c r="U120" s="16">
        <f t="shared" si="13"/>
        <v>0.93500000000000005</v>
      </c>
    </row>
    <row r="121" spans="1:21" x14ac:dyDescent="0.25">
      <c r="A121" s="15" t="s">
        <v>262</v>
      </c>
      <c r="B121" s="4">
        <v>20260701</v>
      </c>
      <c r="C121" s="4">
        <v>17</v>
      </c>
      <c r="D121" s="4" t="s">
        <v>15</v>
      </c>
      <c r="E121" s="4" t="s">
        <v>16</v>
      </c>
      <c r="F121" s="4" t="s">
        <v>143</v>
      </c>
      <c r="G121" s="4">
        <v>60</v>
      </c>
      <c r="H121" s="4">
        <v>3.9</v>
      </c>
      <c r="I121" s="4">
        <f t="shared" si="7"/>
        <v>56.1</v>
      </c>
      <c r="J121" s="4">
        <f>INDEX(Dim_Machine!$E$2:$E$8,MATCH(D121,Dim_Machine!$A$2:$A$8,0))*INDEX(Dim_Machine!$D$2:$D$8,MATCH(D121,Dim_Machine!$A$2:$A$8,0))*I121</f>
        <v>22440</v>
      </c>
      <c r="K121" s="4">
        <f>ROUND(J121*0.835,0)</f>
        <v>18737</v>
      </c>
      <c r="L121" s="4">
        <f>ROUND(K121*0.0196,0)</f>
        <v>367</v>
      </c>
      <c r="M121" s="4">
        <f t="shared" si="8"/>
        <v>18370</v>
      </c>
      <c r="N121" s="4">
        <f t="shared" si="9"/>
        <v>0.83498217468805702</v>
      </c>
      <c r="O121" s="4">
        <f t="shared" si="10"/>
        <v>0.93500000000000005</v>
      </c>
      <c r="P121" s="4">
        <f>IFERROR((K121/I121)/(INDEX(Dim_Machine!$E$2:$E$8,MATCH(D121,Dim_Machine!$A$2:$A$8,0))*INDEX(Dim_Machine!$D$2:$D$8,MATCH(D121,Dim_Machine!$A$2:$A$8,0))),0)</f>
        <v>0.83498217468805702</v>
      </c>
      <c r="Q121" s="4">
        <f t="shared" si="11"/>
        <v>0.98041308640657521</v>
      </c>
      <c r="R121" s="4">
        <f t="shared" si="12"/>
        <v>0.76541666666666663</v>
      </c>
      <c r="S121" s="4">
        <f>T121/0.858</f>
        <v>4.2820512820512819</v>
      </c>
      <c r="T121" s="4">
        <f>M121*INDEX(Dim_Product!$C$2:$C$4,MATCH(F121,Dim_Product!$A$2:$A$4,0))/1000000</f>
        <v>3.6739999999999999</v>
      </c>
      <c r="U121" s="16">
        <f t="shared" si="13"/>
        <v>0.85799999999999998</v>
      </c>
    </row>
    <row r="122" spans="1:21" x14ac:dyDescent="0.25">
      <c r="A122" s="15" t="s">
        <v>263</v>
      </c>
      <c r="B122" s="4">
        <v>20260701</v>
      </c>
      <c r="C122" s="4">
        <v>17</v>
      </c>
      <c r="D122" s="4" t="s">
        <v>19</v>
      </c>
      <c r="E122" s="4" t="s">
        <v>16</v>
      </c>
      <c r="F122" s="4" t="s">
        <v>141</v>
      </c>
      <c r="G122" s="4">
        <v>60</v>
      </c>
      <c r="H122" s="4">
        <v>5.4</v>
      </c>
      <c r="I122" s="4">
        <f t="shared" si="7"/>
        <v>54.6</v>
      </c>
      <c r="J122" s="4">
        <f>INDEX(Dim_Machine!$E$2:$E$8,MATCH(D122,Dim_Machine!$A$2:$A$8,0))*INDEX(Dim_Machine!$D$2:$D$8,MATCH(D122,Dim_Machine!$A$2:$A$8,0))*I122</f>
        <v>36691.200000000004</v>
      </c>
      <c r="K122" s="4">
        <f>ROUND(J122*0.94,0)</f>
        <v>34490</v>
      </c>
      <c r="L122" s="4">
        <f>ROUND(K122*0.0267,0)</f>
        <v>921</v>
      </c>
      <c r="M122" s="4">
        <f t="shared" si="8"/>
        <v>33569</v>
      </c>
      <c r="N122" s="4">
        <f t="shared" si="9"/>
        <v>0.94000741322169878</v>
      </c>
      <c r="O122" s="4">
        <f t="shared" si="10"/>
        <v>0.91</v>
      </c>
      <c r="P122" s="4">
        <f>IFERROR((K122/I122)/(INDEX(Dim_Machine!$E$2:$E$8,MATCH(D122,Dim_Machine!$A$2:$A$8,0))*INDEX(Dim_Machine!$D$2:$D$8,MATCH(D122,Dim_Machine!$A$2:$A$8,0))),0)</f>
        <v>0.94000741322169901</v>
      </c>
      <c r="Q122" s="4">
        <f t="shared" si="11"/>
        <v>0.97329660771238036</v>
      </c>
      <c r="R122" s="4">
        <f t="shared" si="12"/>
        <v>0.83256448412698425</v>
      </c>
      <c r="S122" s="4">
        <f>T122/0.926</f>
        <v>9.0629049676025915</v>
      </c>
      <c r="T122" s="4">
        <f>M122*INDEX(Dim_Product!$C$2:$C$4,MATCH(F122,Dim_Product!$A$2:$A$4,0))/1000000</f>
        <v>8.3922500000000007</v>
      </c>
      <c r="U122" s="16">
        <f t="shared" si="13"/>
        <v>0.92600000000000016</v>
      </c>
    </row>
    <row r="123" spans="1:21" x14ac:dyDescent="0.25">
      <c r="A123" s="15" t="s">
        <v>264</v>
      </c>
      <c r="B123" s="4">
        <v>20260701</v>
      </c>
      <c r="C123" s="4">
        <v>17</v>
      </c>
      <c r="D123" s="4" t="s">
        <v>23</v>
      </c>
      <c r="E123" s="4" t="s">
        <v>16</v>
      </c>
      <c r="F123" s="4" t="s">
        <v>187</v>
      </c>
      <c r="G123" s="4">
        <v>60</v>
      </c>
      <c r="H123" s="4">
        <v>7.4</v>
      </c>
      <c r="I123" s="4">
        <f t="shared" si="7"/>
        <v>52.6</v>
      </c>
      <c r="J123" s="4">
        <f>INDEX(Dim_Machine!$E$2:$E$8,MATCH(D123,Dim_Machine!$A$2:$A$8,0))*INDEX(Dim_Machine!$D$2:$D$8,MATCH(D123,Dim_Machine!$A$2:$A$8,0))*I123</f>
        <v>13886.4</v>
      </c>
      <c r="K123" s="4">
        <f>ROUND(J123*0.976,0)</f>
        <v>13553</v>
      </c>
      <c r="L123" s="4">
        <f>ROUND(K123*0.021,0)</f>
        <v>285</v>
      </c>
      <c r="M123" s="4">
        <f t="shared" si="8"/>
        <v>13268</v>
      </c>
      <c r="N123" s="4">
        <f t="shared" si="9"/>
        <v>0.97599089756884438</v>
      </c>
      <c r="O123" s="4">
        <f t="shared" si="10"/>
        <v>0.87666666666666671</v>
      </c>
      <c r="P123" s="4">
        <f>IFERROR((K123/I123)/(INDEX(Dim_Machine!$E$2:$E$8,MATCH(D123,Dim_Machine!$A$2:$A$8,0))*INDEX(Dim_Machine!$D$2:$D$8,MATCH(D123,Dim_Machine!$A$2:$A$8,0))),0)</f>
        <v>0.97599089756884438</v>
      </c>
      <c r="Q123" s="4">
        <f t="shared" si="11"/>
        <v>0.97897144543643477</v>
      </c>
      <c r="R123" s="4">
        <f t="shared" si="12"/>
        <v>0.83762626262626272</v>
      </c>
      <c r="S123" s="4">
        <f>T123/0.936</f>
        <v>4.2525641025641026</v>
      </c>
      <c r="T123" s="4">
        <f>M123*INDEX(Dim_Product!$C$2:$C$4,MATCH(F123,Dim_Product!$A$2:$A$4,0))/1000000</f>
        <v>3.9803999999999999</v>
      </c>
      <c r="U123" s="16">
        <f t="shared" si="13"/>
        <v>0.93599999999999994</v>
      </c>
    </row>
    <row r="124" spans="1:21" x14ac:dyDescent="0.25">
      <c r="A124" s="15" t="s">
        <v>265</v>
      </c>
      <c r="B124" s="4">
        <v>20260701</v>
      </c>
      <c r="C124" s="4">
        <v>17</v>
      </c>
      <c r="D124" s="4" t="s">
        <v>25</v>
      </c>
      <c r="E124" s="4" t="s">
        <v>16</v>
      </c>
      <c r="F124" s="4" t="s">
        <v>141</v>
      </c>
      <c r="G124" s="4">
        <v>60</v>
      </c>
      <c r="H124" s="4">
        <v>4.7</v>
      </c>
      <c r="I124" s="4">
        <f t="shared" si="7"/>
        <v>55.3</v>
      </c>
      <c r="J124" s="4">
        <f>INDEX(Dim_Machine!$E$2:$E$8,MATCH(D124,Dim_Machine!$A$2:$A$8,0))*INDEX(Dim_Machine!$D$2:$D$8,MATCH(D124,Dim_Machine!$A$2:$A$8,0))*I124</f>
        <v>39816</v>
      </c>
      <c r="K124" s="4">
        <f>ROUND(J124*0.913,0)</f>
        <v>36352</v>
      </c>
      <c r="L124" s="4">
        <f>ROUND(K124*0.0075,0)</f>
        <v>273</v>
      </c>
      <c r="M124" s="4">
        <f t="shared" si="8"/>
        <v>36079</v>
      </c>
      <c r="N124" s="4">
        <f t="shared" si="9"/>
        <v>0.91299979907574846</v>
      </c>
      <c r="O124" s="4">
        <f t="shared" si="10"/>
        <v>0.92166666666666663</v>
      </c>
      <c r="P124" s="4">
        <f>IFERROR((K124/I124)/(INDEX(Dim_Machine!$E$2:$E$8,MATCH(D124,Dim_Machine!$A$2:$A$8,0))*INDEX(Dim_Machine!$D$2:$D$8,MATCH(D124,Dim_Machine!$A$2:$A$8,0))),0)</f>
        <v>0.91299979907574846</v>
      </c>
      <c r="Q124" s="4">
        <f t="shared" si="11"/>
        <v>0.99249009683098588</v>
      </c>
      <c r="R124" s="4">
        <f t="shared" si="12"/>
        <v>0.83516203703703706</v>
      </c>
      <c r="S124" s="4">
        <f>T124/0.864</f>
        <v>10.439525462962964</v>
      </c>
      <c r="T124" s="4">
        <f>M124*INDEX(Dim_Product!$C$2:$C$4,MATCH(F124,Dim_Product!$A$2:$A$4,0))/1000000</f>
        <v>9.0197500000000002</v>
      </c>
      <c r="U124" s="16">
        <f t="shared" si="13"/>
        <v>0.86399999999999999</v>
      </c>
    </row>
    <row r="125" spans="1:21" x14ac:dyDescent="0.25">
      <c r="A125" s="15" t="s">
        <v>266</v>
      </c>
      <c r="B125" s="4">
        <v>20260701</v>
      </c>
      <c r="C125" s="4">
        <v>17</v>
      </c>
      <c r="D125" s="4" t="s">
        <v>27</v>
      </c>
      <c r="E125" s="4" t="s">
        <v>16</v>
      </c>
      <c r="F125" s="4" t="s">
        <v>143</v>
      </c>
      <c r="G125" s="4">
        <v>60</v>
      </c>
      <c r="H125" s="4">
        <v>6.9</v>
      </c>
      <c r="I125" s="4">
        <f t="shared" si="7"/>
        <v>53.1</v>
      </c>
      <c r="J125" s="4">
        <f>INDEX(Dim_Machine!$E$2:$E$8,MATCH(D125,Dim_Machine!$A$2:$A$8,0))*INDEX(Dim_Machine!$D$2:$D$8,MATCH(D125,Dim_Machine!$A$2:$A$8,0))*I125</f>
        <v>22089.600000000002</v>
      </c>
      <c r="K125" s="4">
        <f>ROUND(J125*0.816,0)</f>
        <v>18025</v>
      </c>
      <c r="L125" s="4">
        <f>ROUND(K125*0.0128,0)</f>
        <v>231</v>
      </c>
      <c r="M125" s="4">
        <f t="shared" si="8"/>
        <v>17794</v>
      </c>
      <c r="N125" s="4">
        <f t="shared" si="9"/>
        <v>0.81599485730841659</v>
      </c>
      <c r="O125" s="4">
        <f t="shared" si="10"/>
        <v>0.88500000000000001</v>
      </c>
      <c r="P125" s="4">
        <f>IFERROR((K125/I125)/(INDEX(Dim_Machine!$E$2:$E$8,MATCH(D125,Dim_Machine!$A$2:$A$8,0))*INDEX(Dim_Machine!$D$2:$D$8,MATCH(D125,Dim_Machine!$A$2:$A$8,0))),0)</f>
        <v>0.81599485730841659</v>
      </c>
      <c r="Q125" s="4">
        <f t="shared" si="11"/>
        <v>0.98718446601941745</v>
      </c>
      <c r="R125" s="4">
        <f t="shared" si="12"/>
        <v>0.71290064102564099</v>
      </c>
      <c r="S125" s="4">
        <f>T125/0.849</f>
        <v>4.1917550058892816</v>
      </c>
      <c r="T125" s="4">
        <f>M125*INDEX(Dim_Product!$C$2:$C$4,MATCH(F125,Dim_Product!$A$2:$A$4,0))/1000000</f>
        <v>3.5588000000000002</v>
      </c>
      <c r="U125" s="16">
        <f t="shared" si="13"/>
        <v>0.84899999999999998</v>
      </c>
    </row>
    <row r="126" spans="1:21" x14ac:dyDescent="0.25">
      <c r="A126" s="15" t="s">
        <v>267</v>
      </c>
      <c r="B126" s="4">
        <v>20260701</v>
      </c>
      <c r="C126" s="4">
        <v>17</v>
      </c>
      <c r="D126" s="4" t="s">
        <v>29</v>
      </c>
      <c r="E126" s="4" t="s">
        <v>16</v>
      </c>
      <c r="F126" s="4" t="s">
        <v>143</v>
      </c>
      <c r="G126" s="4">
        <v>60</v>
      </c>
      <c r="H126" s="4">
        <v>3.6</v>
      </c>
      <c r="I126" s="4">
        <f t="shared" si="7"/>
        <v>56.4</v>
      </c>
      <c r="J126" s="4">
        <f>INDEX(Dim_Machine!$E$2:$E$8,MATCH(D126,Dim_Machine!$A$2:$A$8,0))*INDEX(Dim_Machine!$D$2:$D$8,MATCH(D126,Dim_Machine!$A$2:$A$8,0))*I126</f>
        <v>16243.199999999999</v>
      </c>
      <c r="K126" s="4">
        <f>ROUND(J126*0.848,0)</f>
        <v>13774</v>
      </c>
      <c r="L126" s="4">
        <f>ROUND(K126*0.0314,0)</f>
        <v>433</v>
      </c>
      <c r="M126" s="4">
        <f t="shared" si="8"/>
        <v>13341</v>
      </c>
      <c r="N126" s="4">
        <f t="shared" si="9"/>
        <v>0.8479856185973208</v>
      </c>
      <c r="O126" s="4">
        <f t="shared" si="10"/>
        <v>0.94</v>
      </c>
      <c r="P126" s="4">
        <f>IFERROR((K126/I126)/(INDEX(Dim_Machine!$E$2:$E$8,MATCH(D126,Dim_Machine!$A$2:$A$8,0))*INDEX(Dim_Machine!$D$2:$D$8,MATCH(D126,Dim_Machine!$A$2:$A$8,0))),0)</f>
        <v>0.8479856185973208</v>
      </c>
      <c r="Q126" s="4">
        <f t="shared" si="11"/>
        <v>0.96856396108610421</v>
      </c>
      <c r="R126" s="4">
        <f t="shared" si="12"/>
        <v>0.77204861111111112</v>
      </c>
      <c r="S126" s="4">
        <f>T126/0.842</f>
        <v>3.1688836104513065</v>
      </c>
      <c r="T126" s="4">
        <f>M126*INDEX(Dim_Product!$C$2:$C$4,MATCH(F126,Dim_Product!$A$2:$A$4,0))/1000000</f>
        <v>2.6682000000000001</v>
      </c>
      <c r="U126" s="16">
        <f t="shared" si="13"/>
        <v>0.84199999999999997</v>
      </c>
    </row>
    <row r="127" spans="1:21" x14ac:dyDescent="0.25">
      <c r="A127" s="15" t="s">
        <v>268</v>
      </c>
      <c r="B127" s="4">
        <v>20260701</v>
      </c>
      <c r="C127" s="4">
        <v>17</v>
      </c>
      <c r="D127" s="4" t="s">
        <v>31</v>
      </c>
      <c r="E127" s="4" t="s">
        <v>16</v>
      </c>
      <c r="F127" s="4" t="s">
        <v>143</v>
      </c>
      <c r="G127" s="4">
        <v>60</v>
      </c>
      <c r="H127" s="4">
        <v>7.6</v>
      </c>
      <c r="I127" s="4">
        <f t="shared" si="7"/>
        <v>52.4</v>
      </c>
      <c r="J127" s="4">
        <f>INDEX(Dim_Machine!$E$2:$E$8,MATCH(D127,Dim_Machine!$A$2:$A$8,0))*INDEX(Dim_Machine!$D$2:$D$8,MATCH(D127,Dim_Machine!$A$2:$A$8,0))*I127</f>
        <v>33955.199999999997</v>
      </c>
      <c r="K127" s="4">
        <f>ROUND(J127*0.864,0)</f>
        <v>29337</v>
      </c>
      <c r="L127" s="4">
        <f>ROUND(K127*0.03,0)</f>
        <v>880</v>
      </c>
      <c r="M127" s="4">
        <f t="shared" si="8"/>
        <v>28457</v>
      </c>
      <c r="N127" s="4">
        <f t="shared" si="9"/>
        <v>0.86399137687305638</v>
      </c>
      <c r="O127" s="4">
        <f t="shared" si="10"/>
        <v>0.87333333333333329</v>
      </c>
      <c r="P127" s="4">
        <f>IFERROR((K127/I127)/(INDEX(Dim_Machine!$E$2:$E$8,MATCH(D127,Dim_Machine!$A$2:$A$8,0))*INDEX(Dim_Machine!$D$2:$D$8,MATCH(D127,Dim_Machine!$A$2:$A$8,0))),0)</f>
        <v>0.86399137687305627</v>
      </c>
      <c r="Q127" s="4">
        <f t="shared" si="11"/>
        <v>0.97000374953130863</v>
      </c>
      <c r="R127" s="4">
        <f t="shared" si="12"/>
        <v>0.7319187242798354</v>
      </c>
      <c r="S127" s="4">
        <f>T127/0.871</f>
        <v>6.5343283582089553</v>
      </c>
      <c r="T127" s="4">
        <f>M127*INDEX(Dim_Product!$C$2:$C$4,MATCH(F127,Dim_Product!$A$2:$A$4,0))/1000000</f>
        <v>5.6913999999999998</v>
      </c>
      <c r="U127" s="16">
        <f t="shared" si="13"/>
        <v>0.871</v>
      </c>
    </row>
    <row r="128" spans="1:21" x14ac:dyDescent="0.25">
      <c r="A128" s="15" t="s">
        <v>269</v>
      </c>
      <c r="B128" s="4">
        <v>20260701</v>
      </c>
      <c r="C128" s="4">
        <v>18</v>
      </c>
      <c r="D128" s="4" t="s">
        <v>15</v>
      </c>
      <c r="E128" s="4" t="s">
        <v>20</v>
      </c>
      <c r="F128" s="4" t="s">
        <v>141</v>
      </c>
      <c r="G128" s="4">
        <v>60</v>
      </c>
      <c r="H128" s="4">
        <v>6</v>
      </c>
      <c r="I128" s="4">
        <f t="shared" si="7"/>
        <v>54</v>
      </c>
      <c r="J128" s="4">
        <f>INDEX(Dim_Machine!$E$2:$E$8,MATCH(D128,Dim_Machine!$A$2:$A$8,0))*INDEX(Dim_Machine!$D$2:$D$8,MATCH(D128,Dim_Machine!$A$2:$A$8,0))*I128</f>
        <v>21600</v>
      </c>
      <c r="K128" s="4">
        <f>ROUND(J128*0.79,0)</f>
        <v>17064</v>
      </c>
      <c r="L128" s="4">
        <f>ROUND(K128*0.0336,0)</f>
        <v>573</v>
      </c>
      <c r="M128" s="4">
        <f t="shared" si="8"/>
        <v>16491</v>
      </c>
      <c r="N128" s="4">
        <f t="shared" si="9"/>
        <v>0.79</v>
      </c>
      <c r="O128" s="4">
        <f t="shared" si="10"/>
        <v>0.9</v>
      </c>
      <c r="P128" s="4">
        <f>IFERROR((K128/I128)/(INDEX(Dim_Machine!$E$2:$E$8,MATCH(D128,Dim_Machine!$A$2:$A$8,0))*INDEX(Dim_Machine!$D$2:$D$8,MATCH(D128,Dim_Machine!$A$2:$A$8,0))),0)</f>
        <v>0.79</v>
      </c>
      <c r="Q128" s="4">
        <f t="shared" si="11"/>
        <v>0.96642053445850917</v>
      </c>
      <c r="R128" s="4">
        <f t="shared" si="12"/>
        <v>0.6871250000000001</v>
      </c>
      <c r="S128" s="4">
        <f>T128/0.834</f>
        <v>4.9433453237410072</v>
      </c>
      <c r="T128" s="4">
        <f>M128*INDEX(Dim_Product!$C$2:$C$4,MATCH(F128,Dim_Product!$A$2:$A$4,0))/1000000</f>
        <v>4.1227499999999999</v>
      </c>
      <c r="U128" s="16">
        <f t="shared" si="13"/>
        <v>0.83399999999999996</v>
      </c>
    </row>
    <row r="129" spans="1:21" x14ac:dyDescent="0.25">
      <c r="A129" s="15" t="s">
        <v>270</v>
      </c>
      <c r="B129" s="4">
        <v>20260701</v>
      </c>
      <c r="C129" s="4">
        <v>18</v>
      </c>
      <c r="D129" s="4" t="s">
        <v>19</v>
      </c>
      <c r="E129" s="4" t="s">
        <v>20</v>
      </c>
      <c r="F129" s="4" t="s">
        <v>143</v>
      </c>
      <c r="G129" s="4">
        <v>60</v>
      </c>
      <c r="H129" s="4">
        <v>0.5</v>
      </c>
      <c r="I129" s="4">
        <f t="shared" si="7"/>
        <v>59.5</v>
      </c>
      <c r="J129" s="4">
        <f>INDEX(Dim_Machine!$E$2:$E$8,MATCH(D129,Dim_Machine!$A$2:$A$8,0))*INDEX(Dim_Machine!$D$2:$D$8,MATCH(D129,Dim_Machine!$A$2:$A$8,0))*I129</f>
        <v>39984</v>
      </c>
      <c r="K129" s="4">
        <f>ROUND(J129*0.971,0)</f>
        <v>38824</v>
      </c>
      <c r="L129" s="4">
        <f>ROUND(K129*0.0062,0)</f>
        <v>241</v>
      </c>
      <c r="M129" s="4">
        <f t="shared" si="8"/>
        <v>38583</v>
      </c>
      <c r="N129" s="4">
        <f t="shared" si="9"/>
        <v>0.9709883953581433</v>
      </c>
      <c r="O129" s="4">
        <f t="shared" si="10"/>
        <v>0.9916666666666667</v>
      </c>
      <c r="P129" s="4">
        <f>IFERROR((K129/I129)/(INDEX(Dim_Machine!$E$2:$E$8,MATCH(D129,Dim_Machine!$A$2:$A$8,0))*INDEX(Dim_Machine!$D$2:$D$8,MATCH(D129,Dim_Machine!$A$2:$A$8,0))),0)</f>
        <v>0.9709883953581433</v>
      </c>
      <c r="Q129" s="4">
        <f t="shared" si="11"/>
        <v>0.99379249948485471</v>
      </c>
      <c r="R129" s="4">
        <f t="shared" si="12"/>
        <v>0.95691964285714282</v>
      </c>
      <c r="S129" s="4">
        <f>T129/0.805</f>
        <v>9.5858385093167691</v>
      </c>
      <c r="T129" s="4">
        <f>M129*INDEX(Dim_Product!$C$2:$C$4,MATCH(F129,Dim_Product!$A$2:$A$4,0))/1000000</f>
        <v>7.7165999999999997</v>
      </c>
      <c r="U129" s="16">
        <f t="shared" si="13"/>
        <v>0.80500000000000005</v>
      </c>
    </row>
    <row r="130" spans="1:21" x14ac:dyDescent="0.25">
      <c r="A130" s="15" t="s">
        <v>271</v>
      </c>
      <c r="B130" s="4">
        <v>20260701</v>
      </c>
      <c r="C130" s="4">
        <v>18</v>
      </c>
      <c r="D130" s="4" t="s">
        <v>23</v>
      </c>
      <c r="E130" s="4" t="s">
        <v>20</v>
      </c>
      <c r="F130" s="4" t="s">
        <v>141</v>
      </c>
      <c r="G130" s="4">
        <v>60</v>
      </c>
      <c r="H130" s="4">
        <v>2</v>
      </c>
      <c r="I130" s="4">
        <f t="shared" ref="I130:I193" si="14">G130-H130</f>
        <v>58</v>
      </c>
      <c r="J130" s="4">
        <f>INDEX(Dim_Machine!$E$2:$E$8,MATCH(D130,Dim_Machine!$A$2:$A$8,0))*INDEX(Dim_Machine!$D$2:$D$8,MATCH(D130,Dim_Machine!$A$2:$A$8,0))*I130</f>
        <v>15312</v>
      </c>
      <c r="K130" s="4">
        <f>ROUND(J130*0.948,0)</f>
        <v>14516</v>
      </c>
      <c r="L130" s="4">
        <f>ROUND(K130*0.0236,0)</f>
        <v>343</v>
      </c>
      <c r="M130" s="4">
        <f t="shared" ref="M130:M193" si="15">K130-L130</f>
        <v>14173</v>
      </c>
      <c r="N130" s="4">
        <f t="shared" ref="N130:N193" si="16">IFERROR(K130/J130,0)</f>
        <v>0.94801462904911182</v>
      </c>
      <c r="O130" s="4">
        <f t="shared" ref="O130:O193" si="17">IFERROR(I130/G130,0)</f>
        <v>0.96666666666666667</v>
      </c>
      <c r="P130" s="4">
        <f>IFERROR((K130/I130)/(INDEX(Dim_Machine!$E$2:$E$8,MATCH(D130,Dim_Machine!$A$2:$A$8,0))*INDEX(Dim_Machine!$D$2:$D$8,MATCH(D130,Dim_Machine!$A$2:$A$8,0))),0)</f>
        <v>0.94801462904911182</v>
      </c>
      <c r="Q130" s="4">
        <f t="shared" ref="Q130:Q193" si="18">IFERROR(M130/K130,0)</f>
        <v>0.97637090107467617</v>
      </c>
      <c r="R130" s="4">
        <f t="shared" ref="R130:R193" si="19">O130*P130*Q130</f>
        <v>0.89476010101010106</v>
      </c>
      <c r="S130" s="4">
        <f>T130/0.836</f>
        <v>4.2383373205741632</v>
      </c>
      <c r="T130" s="4">
        <f>M130*INDEX(Dim_Product!$C$2:$C$4,MATCH(F130,Dim_Product!$A$2:$A$4,0))/1000000</f>
        <v>3.54325</v>
      </c>
      <c r="U130" s="16">
        <f t="shared" ref="U130:U193" si="20">IFERROR(T130/S130,0)</f>
        <v>0.83599999999999985</v>
      </c>
    </row>
    <row r="131" spans="1:21" x14ac:dyDescent="0.25">
      <c r="A131" s="15" t="s">
        <v>272</v>
      </c>
      <c r="B131" s="4">
        <v>20260701</v>
      </c>
      <c r="C131" s="4">
        <v>18</v>
      </c>
      <c r="D131" s="4" t="s">
        <v>25</v>
      </c>
      <c r="E131" s="4" t="s">
        <v>20</v>
      </c>
      <c r="F131" s="4" t="s">
        <v>141</v>
      </c>
      <c r="G131" s="4">
        <v>60</v>
      </c>
      <c r="H131" s="4">
        <v>3.8</v>
      </c>
      <c r="I131" s="4">
        <f t="shared" si="14"/>
        <v>56.2</v>
      </c>
      <c r="J131" s="4">
        <f>INDEX(Dim_Machine!$E$2:$E$8,MATCH(D131,Dim_Machine!$A$2:$A$8,0))*INDEX(Dim_Machine!$D$2:$D$8,MATCH(D131,Dim_Machine!$A$2:$A$8,0))*I131</f>
        <v>40464</v>
      </c>
      <c r="K131" s="4">
        <f>ROUND(J131*0.803,0)</f>
        <v>32493</v>
      </c>
      <c r="L131" s="4">
        <f>ROUND(K131*0.0334,0)</f>
        <v>1085</v>
      </c>
      <c r="M131" s="4">
        <f t="shared" si="15"/>
        <v>31408</v>
      </c>
      <c r="N131" s="4">
        <f t="shared" si="16"/>
        <v>0.80301008303677346</v>
      </c>
      <c r="O131" s="4">
        <f t="shared" si="17"/>
        <v>0.93666666666666676</v>
      </c>
      <c r="P131" s="4">
        <f>IFERROR((K131/I131)/(INDEX(Dim_Machine!$E$2:$E$8,MATCH(D131,Dim_Machine!$A$2:$A$8,0))*INDEX(Dim_Machine!$D$2:$D$8,MATCH(D131,Dim_Machine!$A$2:$A$8,0))),0)</f>
        <v>0.80301008303677335</v>
      </c>
      <c r="Q131" s="4">
        <f t="shared" si="18"/>
        <v>0.9666081925337765</v>
      </c>
      <c r="R131" s="4">
        <f t="shared" si="19"/>
        <v>0.72703703703703704</v>
      </c>
      <c r="S131" s="4">
        <f>T131/0.87</f>
        <v>9.0252873563218401</v>
      </c>
      <c r="T131" s="4">
        <f>M131*INDEX(Dim_Product!$C$2:$C$4,MATCH(F131,Dim_Product!$A$2:$A$4,0))/1000000</f>
        <v>7.8520000000000003</v>
      </c>
      <c r="U131" s="16">
        <f t="shared" si="20"/>
        <v>0.86999999999999988</v>
      </c>
    </row>
    <row r="132" spans="1:21" x14ac:dyDescent="0.25">
      <c r="A132" s="15" t="s">
        <v>273</v>
      </c>
      <c r="B132" s="4">
        <v>20260701</v>
      </c>
      <c r="C132" s="4">
        <v>18</v>
      </c>
      <c r="D132" s="4" t="s">
        <v>27</v>
      </c>
      <c r="E132" s="4" t="s">
        <v>20</v>
      </c>
      <c r="F132" s="4" t="s">
        <v>141</v>
      </c>
      <c r="G132" s="4">
        <v>60</v>
      </c>
      <c r="H132" s="4">
        <v>2</v>
      </c>
      <c r="I132" s="4">
        <f t="shared" si="14"/>
        <v>58</v>
      </c>
      <c r="J132" s="4">
        <f>INDEX(Dim_Machine!$E$2:$E$8,MATCH(D132,Dim_Machine!$A$2:$A$8,0))*INDEX(Dim_Machine!$D$2:$D$8,MATCH(D132,Dim_Machine!$A$2:$A$8,0))*I132</f>
        <v>24128</v>
      </c>
      <c r="K132" s="4">
        <f>ROUND(J132*0.854,0)</f>
        <v>20605</v>
      </c>
      <c r="L132" s="4">
        <f>ROUND(K132*0.0232,0)</f>
        <v>478</v>
      </c>
      <c r="M132" s="4">
        <f t="shared" si="15"/>
        <v>20127</v>
      </c>
      <c r="N132" s="4">
        <f t="shared" si="16"/>
        <v>0.85398706896551724</v>
      </c>
      <c r="O132" s="4">
        <f t="shared" si="17"/>
        <v>0.96666666666666667</v>
      </c>
      <c r="P132" s="4">
        <f>IFERROR((K132/I132)/(INDEX(Dim_Machine!$E$2:$E$8,MATCH(D132,Dim_Machine!$A$2:$A$8,0))*INDEX(Dim_Machine!$D$2:$D$8,MATCH(D132,Dim_Machine!$A$2:$A$8,0))),0)</f>
        <v>0.85398706896551724</v>
      </c>
      <c r="Q132" s="4">
        <f t="shared" si="18"/>
        <v>0.97680174714875034</v>
      </c>
      <c r="R132" s="4">
        <f t="shared" si="19"/>
        <v>0.80637019230769236</v>
      </c>
      <c r="S132" s="4">
        <f>T132/0.945</f>
        <v>5.3246031746031743</v>
      </c>
      <c r="T132" s="4">
        <f>M132*INDEX(Dim_Product!$C$2:$C$4,MATCH(F132,Dim_Product!$A$2:$A$4,0))/1000000</f>
        <v>5.0317499999999997</v>
      </c>
      <c r="U132" s="16">
        <f t="shared" si="20"/>
        <v>0.94499999999999995</v>
      </c>
    </row>
    <row r="133" spans="1:21" x14ac:dyDescent="0.25">
      <c r="A133" s="15" t="s">
        <v>274</v>
      </c>
      <c r="B133" s="4">
        <v>20260701</v>
      </c>
      <c r="C133" s="4">
        <v>18</v>
      </c>
      <c r="D133" s="4" t="s">
        <v>29</v>
      </c>
      <c r="E133" s="4" t="s">
        <v>20</v>
      </c>
      <c r="F133" s="4" t="s">
        <v>143</v>
      </c>
      <c r="G133" s="4">
        <v>60</v>
      </c>
      <c r="H133" s="4">
        <v>5.7</v>
      </c>
      <c r="I133" s="4">
        <f t="shared" si="14"/>
        <v>54.3</v>
      </c>
      <c r="J133" s="4">
        <f>INDEX(Dim_Machine!$E$2:$E$8,MATCH(D133,Dim_Machine!$A$2:$A$8,0))*INDEX(Dim_Machine!$D$2:$D$8,MATCH(D133,Dim_Machine!$A$2:$A$8,0))*I133</f>
        <v>15638.4</v>
      </c>
      <c r="K133" s="4">
        <f>ROUND(J133*0.936,0)</f>
        <v>14638</v>
      </c>
      <c r="L133" s="4">
        <f>ROUND(K133*0.0099,0)</f>
        <v>145</v>
      </c>
      <c r="M133" s="4">
        <f t="shared" si="15"/>
        <v>14493</v>
      </c>
      <c r="N133" s="4">
        <f t="shared" si="16"/>
        <v>0.93602926130550446</v>
      </c>
      <c r="O133" s="4">
        <f t="shared" si="17"/>
        <v>0.90499999999999992</v>
      </c>
      <c r="P133" s="4">
        <f>IFERROR((K133/I133)/(INDEX(Dim_Machine!$E$2:$E$8,MATCH(D133,Dim_Machine!$A$2:$A$8,0))*INDEX(Dim_Machine!$D$2:$D$8,MATCH(D133,Dim_Machine!$A$2:$A$8,0))),0)</f>
        <v>0.93602926130550435</v>
      </c>
      <c r="Q133" s="4">
        <f t="shared" si="18"/>
        <v>0.99009427517420412</v>
      </c>
      <c r="R133" s="4">
        <f t="shared" si="19"/>
        <v>0.83871527777777766</v>
      </c>
      <c r="S133" s="4">
        <f>T133/0.847</f>
        <v>3.4221959858323499</v>
      </c>
      <c r="T133" s="4">
        <f>M133*INDEX(Dim_Product!$C$2:$C$4,MATCH(F133,Dim_Product!$A$2:$A$4,0))/1000000</f>
        <v>2.8986000000000001</v>
      </c>
      <c r="U133" s="16">
        <f t="shared" si="20"/>
        <v>0.84699999999999998</v>
      </c>
    </row>
    <row r="134" spans="1:21" x14ac:dyDescent="0.25">
      <c r="A134" s="15" t="s">
        <v>275</v>
      </c>
      <c r="B134" s="4">
        <v>20260701</v>
      </c>
      <c r="C134" s="4">
        <v>18</v>
      </c>
      <c r="D134" s="4" t="s">
        <v>31</v>
      </c>
      <c r="E134" s="4" t="s">
        <v>20</v>
      </c>
      <c r="F134" s="4" t="s">
        <v>141</v>
      </c>
      <c r="G134" s="4">
        <v>60</v>
      </c>
      <c r="H134" s="4">
        <v>4.5999999999999996</v>
      </c>
      <c r="I134" s="4">
        <f t="shared" si="14"/>
        <v>55.4</v>
      </c>
      <c r="J134" s="4">
        <f>INDEX(Dim_Machine!$E$2:$E$8,MATCH(D134,Dim_Machine!$A$2:$A$8,0))*INDEX(Dim_Machine!$D$2:$D$8,MATCH(D134,Dim_Machine!$A$2:$A$8,0))*I134</f>
        <v>35899.199999999997</v>
      </c>
      <c r="K134" s="4">
        <f>ROUND(J134*0.966,0)</f>
        <v>34679</v>
      </c>
      <c r="L134" s="4">
        <f>ROUND(K134*0.0223,0)</f>
        <v>773</v>
      </c>
      <c r="M134" s="4">
        <f t="shared" si="15"/>
        <v>33906</v>
      </c>
      <c r="N134" s="4">
        <f t="shared" si="16"/>
        <v>0.96601038463252675</v>
      </c>
      <c r="O134" s="4">
        <f t="shared" si="17"/>
        <v>0.92333333333333334</v>
      </c>
      <c r="P134" s="4">
        <f>IFERROR((K134/I134)/(INDEX(Dim_Machine!$E$2:$E$8,MATCH(D134,Dim_Machine!$A$2:$A$8,0))*INDEX(Dim_Machine!$D$2:$D$8,MATCH(D134,Dim_Machine!$A$2:$A$8,0))),0)</f>
        <v>0.96601038463252664</v>
      </c>
      <c r="Q134" s="4">
        <f t="shared" si="18"/>
        <v>0.9777098532252948</v>
      </c>
      <c r="R134" s="4">
        <f t="shared" si="19"/>
        <v>0.8720679012345679</v>
      </c>
      <c r="S134" s="4">
        <f>T134/0.936</f>
        <v>9.0560897435897427</v>
      </c>
      <c r="T134" s="4">
        <f>M134*INDEX(Dim_Product!$C$2:$C$4,MATCH(F134,Dim_Product!$A$2:$A$4,0))/1000000</f>
        <v>8.4764999999999997</v>
      </c>
      <c r="U134" s="16">
        <f t="shared" si="20"/>
        <v>0.93600000000000005</v>
      </c>
    </row>
    <row r="135" spans="1:21" x14ac:dyDescent="0.25">
      <c r="A135" s="15" t="s">
        <v>276</v>
      </c>
      <c r="B135" s="4">
        <v>20260701</v>
      </c>
      <c r="C135" s="4">
        <v>19</v>
      </c>
      <c r="D135" s="4" t="s">
        <v>15</v>
      </c>
      <c r="E135" s="4" t="s">
        <v>20</v>
      </c>
      <c r="F135" s="4" t="s">
        <v>141</v>
      </c>
      <c r="G135" s="4">
        <v>60</v>
      </c>
      <c r="H135" s="4">
        <v>3</v>
      </c>
      <c r="I135" s="4">
        <f t="shared" si="14"/>
        <v>57</v>
      </c>
      <c r="J135" s="4">
        <f>INDEX(Dim_Machine!$E$2:$E$8,MATCH(D135,Dim_Machine!$A$2:$A$8,0))*INDEX(Dim_Machine!$D$2:$D$8,MATCH(D135,Dim_Machine!$A$2:$A$8,0))*I135</f>
        <v>22800</v>
      </c>
      <c r="K135" s="4">
        <f>ROUND(J135*0.968,0)</f>
        <v>22070</v>
      </c>
      <c r="L135" s="4">
        <f>ROUND(K135*0.0109,0)</f>
        <v>241</v>
      </c>
      <c r="M135" s="4">
        <f t="shared" si="15"/>
        <v>21829</v>
      </c>
      <c r="N135" s="4">
        <f t="shared" si="16"/>
        <v>0.96798245614035083</v>
      </c>
      <c r="O135" s="4">
        <f t="shared" si="17"/>
        <v>0.95</v>
      </c>
      <c r="P135" s="4">
        <f>IFERROR((K135/I135)/(INDEX(Dim_Machine!$E$2:$E$8,MATCH(D135,Dim_Machine!$A$2:$A$8,0))*INDEX(Dim_Machine!$D$2:$D$8,MATCH(D135,Dim_Machine!$A$2:$A$8,0))),0)</f>
        <v>0.96798245614035083</v>
      </c>
      <c r="Q135" s="4">
        <f t="shared" si="18"/>
        <v>0.98908019936565472</v>
      </c>
      <c r="R135" s="4">
        <f t="shared" si="19"/>
        <v>0.90954166666666647</v>
      </c>
      <c r="S135" s="4">
        <f>T135/0.889</f>
        <v>6.1386389201349836</v>
      </c>
      <c r="T135" s="4">
        <f>M135*INDEX(Dim_Product!$C$2:$C$4,MATCH(F135,Dim_Product!$A$2:$A$4,0))/1000000</f>
        <v>5.4572500000000002</v>
      </c>
      <c r="U135" s="16">
        <f t="shared" si="20"/>
        <v>0.88900000000000001</v>
      </c>
    </row>
    <row r="136" spans="1:21" x14ac:dyDescent="0.25">
      <c r="A136" s="15" t="s">
        <v>277</v>
      </c>
      <c r="B136" s="4">
        <v>20260701</v>
      </c>
      <c r="C136" s="4">
        <v>19</v>
      </c>
      <c r="D136" s="4" t="s">
        <v>19</v>
      </c>
      <c r="E136" s="4" t="s">
        <v>20</v>
      </c>
      <c r="F136" s="4" t="s">
        <v>143</v>
      </c>
      <c r="G136" s="4">
        <v>60</v>
      </c>
      <c r="H136" s="4">
        <v>6.6</v>
      </c>
      <c r="I136" s="4">
        <f t="shared" si="14"/>
        <v>53.4</v>
      </c>
      <c r="J136" s="4">
        <f>INDEX(Dim_Machine!$E$2:$E$8,MATCH(D136,Dim_Machine!$A$2:$A$8,0))*INDEX(Dim_Machine!$D$2:$D$8,MATCH(D136,Dim_Machine!$A$2:$A$8,0))*I136</f>
        <v>35884.799999999996</v>
      </c>
      <c r="K136" s="4">
        <f>ROUND(J136*0.829,0)</f>
        <v>29748</v>
      </c>
      <c r="L136" s="4">
        <f>ROUND(K136*0.0259,0)</f>
        <v>770</v>
      </c>
      <c r="M136" s="4">
        <f t="shared" si="15"/>
        <v>28978</v>
      </c>
      <c r="N136" s="4">
        <f t="shared" si="16"/>
        <v>0.82898608881754954</v>
      </c>
      <c r="O136" s="4">
        <f t="shared" si="17"/>
        <v>0.89</v>
      </c>
      <c r="P136" s="4">
        <f>IFERROR((K136/I136)/(INDEX(Dim_Machine!$E$2:$E$8,MATCH(D136,Dim_Machine!$A$2:$A$8,0))*INDEX(Dim_Machine!$D$2:$D$8,MATCH(D136,Dim_Machine!$A$2:$A$8,0))),0)</f>
        <v>0.82898608881754954</v>
      </c>
      <c r="Q136" s="4">
        <f t="shared" si="18"/>
        <v>0.97411590695172789</v>
      </c>
      <c r="R136" s="4">
        <f t="shared" si="19"/>
        <v>0.71870039682539688</v>
      </c>
      <c r="S136" s="4">
        <f>T136/0.845</f>
        <v>6.8586982248520716</v>
      </c>
      <c r="T136" s="4">
        <f>M136*INDEX(Dim_Product!$C$2:$C$4,MATCH(F136,Dim_Product!$A$2:$A$4,0))/1000000</f>
        <v>5.7956000000000003</v>
      </c>
      <c r="U136" s="16">
        <f t="shared" si="20"/>
        <v>0.84499999999999997</v>
      </c>
    </row>
    <row r="137" spans="1:21" x14ac:dyDescent="0.25">
      <c r="A137" s="15" t="s">
        <v>278</v>
      </c>
      <c r="B137" s="4">
        <v>20260701</v>
      </c>
      <c r="C137" s="4">
        <v>19</v>
      </c>
      <c r="D137" s="4" t="s">
        <v>23</v>
      </c>
      <c r="E137" s="4" t="s">
        <v>20</v>
      </c>
      <c r="F137" s="4" t="s">
        <v>141</v>
      </c>
      <c r="G137" s="4">
        <v>60</v>
      </c>
      <c r="H137" s="4">
        <v>5.5</v>
      </c>
      <c r="I137" s="4">
        <f t="shared" si="14"/>
        <v>54.5</v>
      </c>
      <c r="J137" s="4">
        <f>INDEX(Dim_Machine!$E$2:$E$8,MATCH(D137,Dim_Machine!$A$2:$A$8,0))*INDEX(Dim_Machine!$D$2:$D$8,MATCH(D137,Dim_Machine!$A$2:$A$8,0))*I137</f>
        <v>14388</v>
      </c>
      <c r="K137" s="4">
        <f>ROUND(J137*0.941,0)</f>
        <v>13539</v>
      </c>
      <c r="L137" s="4">
        <f>ROUND(K137*0.0289,0)</f>
        <v>391</v>
      </c>
      <c r="M137" s="4">
        <f t="shared" si="15"/>
        <v>13148</v>
      </c>
      <c r="N137" s="4">
        <f t="shared" si="16"/>
        <v>0.94099249374478733</v>
      </c>
      <c r="O137" s="4">
        <f t="shared" si="17"/>
        <v>0.90833333333333333</v>
      </c>
      <c r="P137" s="4">
        <f>IFERROR((K137/I137)/(INDEX(Dim_Machine!$E$2:$E$8,MATCH(D137,Dim_Machine!$A$2:$A$8,0))*INDEX(Dim_Machine!$D$2:$D$8,MATCH(D137,Dim_Machine!$A$2:$A$8,0))),0)</f>
        <v>0.94099249374478733</v>
      </c>
      <c r="Q137" s="4">
        <f t="shared" si="18"/>
        <v>0.97112046679961594</v>
      </c>
      <c r="R137" s="4">
        <f t="shared" si="19"/>
        <v>0.83005050505050504</v>
      </c>
      <c r="S137" s="4">
        <f>T137/0.885</f>
        <v>3.7141242937853107</v>
      </c>
      <c r="T137" s="4">
        <f>M137*INDEX(Dim_Product!$C$2:$C$4,MATCH(F137,Dim_Product!$A$2:$A$4,0))/1000000</f>
        <v>3.2869999999999999</v>
      </c>
      <c r="U137" s="16">
        <f t="shared" si="20"/>
        <v>0.88500000000000001</v>
      </c>
    </row>
    <row r="138" spans="1:21" x14ac:dyDescent="0.25">
      <c r="A138" s="15" t="s">
        <v>279</v>
      </c>
      <c r="B138" s="4">
        <v>20260701</v>
      </c>
      <c r="C138" s="4">
        <v>19</v>
      </c>
      <c r="D138" s="4" t="s">
        <v>25</v>
      </c>
      <c r="E138" s="4" t="s">
        <v>20</v>
      </c>
      <c r="F138" s="4" t="s">
        <v>141</v>
      </c>
      <c r="G138" s="4">
        <v>60</v>
      </c>
      <c r="H138" s="4">
        <v>0.3</v>
      </c>
      <c r="I138" s="4">
        <f t="shared" si="14"/>
        <v>59.7</v>
      </c>
      <c r="J138" s="4">
        <f>INDEX(Dim_Machine!$E$2:$E$8,MATCH(D138,Dim_Machine!$A$2:$A$8,0))*INDEX(Dim_Machine!$D$2:$D$8,MATCH(D138,Dim_Machine!$A$2:$A$8,0))*I138</f>
        <v>42984</v>
      </c>
      <c r="K138" s="4">
        <f>ROUND(J138*0.887,0)</f>
        <v>38127</v>
      </c>
      <c r="L138" s="4">
        <f>ROUND(K138*0.0248,0)</f>
        <v>946</v>
      </c>
      <c r="M138" s="4">
        <f t="shared" si="15"/>
        <v>37181</v>
      </c>
      <c r="N138" s="4">
        <f t="shared" si="16"/>
        <v>0.88700446677833611</v>
      </c>
      <c r="O138" s="4">
        <f t="shared" si="17"/>
        <v>0.995</v>
      </c>
      <c r="P138" s="4">
        <f>IFERROR((K138/I138)/(INDEX(Dim_Machine!$E$2:$E$8,MATCH(D138,Dim_Machine!$A$2:$A$8,0))*INDEX(Dim_Machine!$D$2:$D$8,MATCH(D138,Dim_Machine!$A$2:$A$8,0))),0)</f>
        <v>0.88700446677833611</v>
      </c>
      <c r="Q138" s="4">
        <f t="shared" si="18"/>
        <v>0.97518818684921449</v>
      </c>
      <c r="R138" s="4">
        <f t="shared" si="19"/>
        <v>0.86067129629629624</v>
      </c>
      <c r="S138" s="4">
        <f>T138/0.81</f>
        <v>11.475617283950616</v>
      </c>
      <c r="T138" s="4">
        <f>M138*INDEX(Dim_Product!$C$2:$C$4,MATCH(F138,Dim_Product!$A$2:$A$4,0))/1000000</f>
        <v>9.2952499999999993</v>
      </c>
      <c r="U138" s="16">
        <f t="shared" si="20"/>
        <v>0.81</v>
      </c>
    </row>
    <row r="139" spans="1:21" x14ac:dyDescent="0.25">
      <c r="A139" s="15" t="s">
        <v>280</v>
      </c>
      <c r="B139" s="4">
        <v>20260701</v>
      </c>
      <c r="C139" s="4">
        <v>19</v>
      </c>
      <c r="D139" s="4" t="s">
        <v>27</v>
      </c>
      <c r="E139" s="4" t="s">
        <v>20</v>
      </c>
      <c r="F139" s="4" t="s">
        <v>141</v>
      </c>
      <c r="G139" s="4">
        <v>60</v>
      </c>
      <c r="H139" s="4">
        <v>5.2</v>
      </c>
      <c r="I139" s="4">
        <f t="shared" si="14"/>
        <v>54.8</v>
      </c>
      <c r="J139" s="4">
        <f>INDEX(Dim_Machine!$E$2:$E$8,MATCH(D139,Dim_Machine!$A$2:$A$8,0))*INDEX(Dim_Machine!$D$2:$D$8,MATCH(D139,Dim_Machine!$A$2:$A$8,0))*I139</f>
        <v>22796.799999999999</v>
      </c>
      <c r="K139" s="4">
        <f>ROUND(J139*0.783,0)</f>
        <v>17850</v>
      </c>
      <c r="L139" s="4">
        <f>ROUND(K139*0.0176,0)</f>
        <v>314</v>
      </c>
      <c r="M139" s="4">
        <f t="shared" si="15"/>
        <v>17536</v>
      </c>
      <c r="N139" s="4">
        <f t="shared" si="16"/>
        <v>0.78300463222908478</v>
      </c>
      <c r="O139" s="4">
        <f t="shared" si="17"/>
        <v>0.91333333333333333</v>
      </c>
      <c r="P139" s="4">
        <f>IFERROR((K139/I139)/(INDEX(Dim_Machine!$E$2:$E$8,MATCH(D139,Dim_Machine!$A$2:$A$8,0))*INDEX(Dim_Machine!$D$2:$D$8,MATCH(D139,Dim_Machine!$A$2:$A$8,0))),0)</f>
        <v>0.7830046322290849</v>
      </c>
      <c r="Q139" s="4">
        <f t="shared" si="18"/>
        <v>0.98240896358543417</v>
      </c>
      <c r="R139" s="4">
        <f t="shared" si="19"/>
        <v>0.70256410256410262</v>
      </c>
      <c r="S139" s="4">
        <f>T139/0.874</f>
        <v>5.0160183066361563</v>
      </c>
      <c r="T139" s="4">
        <f>M139*INDEX(Dim_Product!$C$2:$C$4,MATCH(F139,Dim_Product!$A$2:$A$4,0))/1000000</f>
        <v>4.3840000000000003</v>
      </c>
      <c r="U139" s="16">
        <f t="shared" si="20"/>
        <v>0.87399999999999989</v>
      </c>
    </row>
    <row r="140" spans="1:21" x14ac:dyDescent="0.25">
      <c r="A140" s="15" t="s">
        <v>281</v>
      </c>
      <c r="B140" s="4">
        <v>20260701</v>
      </c>
      <c r="C140" s="4">
        <v>19</v>
      </c>
      <c r="D140" s="4" t="s">
        <v>29</v>
      </c>
      <c r="E140" s="4" t="s">
        <v>20</v>
      </c>
      <c r="F140" s="4" t="s">
        <v>143</v>
      </c>
      <c r="G140" s="4">
        <v>60</v>
      </c>
      <c r="H140" s="4">
        <v>3.5</v>
      </c>
      <c r="I140" s="4">
        <f t="shared" si="14"/>
        <v>56.5</v>
      </c>
      <c r="J140" s="4">
        <f>INDEX(Dim_Machine!$E$2:$E$8,MATCH(D140,Dim_Machine!$A$2:$A$8,0))*INDEX(Dim_Machine!$D$2:$D$8,MATCH(D140,Dim_Machine!$A$2:$A$8,0))*I140</f>
        <v>16272</v>
      </c>
      <c r="K140" s="4">
        <f>ROUND(J140*0.852,0)</f>
        <v>13864</v>
      </c>
      <c r="L140" s="4">
        <f>ROUND(K140*0.0317,0)</f>
        <v>439</v>
      </c>
      <c r="M140" s="4">
        <f t="shared" si="15"/>
        <v>13425</v>
      </c>
      <c r="N140" s="4">
        <f t="shared" si="16"/>
        <v>0.85201573254670604</v>
      </c>
      <c r="O140" s="4">
        <f t="shared" si="17"/>
        <v>0.94166666666666665</v>
      </c>
      <c r="P140" s="4">
        <f>IFERROR((K140/I140)/(INDEX(Dim_Machine!$E$2:$E$8,MATCH(D140,Dim_Machine!$A$2:$A$8,0))*INDEX(Dim_Machine!$D$2:$D$8,MATCH(D140,Dim_Machine!$A$2:$A$8,0))),0)</f>
        <v>0.85201573254670604</v>
      </c>
      <c r="Q140" s="4">
        <f t="shared" si="18"/>
        <v>0.96833525678014998</v>
      </c>
      <c r="R140" s="4">
        <f t="shared" si="19"/>
        <v>0.77690972222222221</v>
      </c>
      <c r="S140" s="4">
        <f>T140/0.869</f>
        <v>3.0897583429229001</v>
      </c>
      <c r="T140" s="4">
        <f>M140*INDEX(Dim_Product!$C$2:$C$4,MATCH(F140,Dim_Product!$A$2:$A$4,0))/1000000</f>
        <v>2.6850000000000001</v>
      </c>
      <c r="U140" s="16">
        <f t="shared" si="20"/>
        <v>0.86899999999999999</v>
      </c>
    </row>
    <row r="141" spans="1:21" x14ac:dyDescent="0.25">
      <c r="A141" s="15" t="s">
        <v>282</v>
      </c>
      <c r="B141" s="4">
        <v>20260701</v>
      </c>
      <c r="C141" s="4">
        <v>19</v>
      </c>
      <c r="D141" s="4" t="s">
        <v>31</v>
      </c>
      <c r="E141" s="4" t="s">
        <v>20</v>
      </c>
      <c r="F141" s="4" t="s">
        <v>141</v>
      </c>
      <c r="G141" s="4">
        <v>60</v>
      </c>
      <c r="H141" s="4">
        <v>1.2</v>
      </c>
      <c r="I141" s="4">
        <f t="shared" si="14"/>
        <v>58.8</v>
      </c>
      <c r="J141" s="4">
        <f>INDEX(Dim_Machine!$E$2:$E$8,MATCH(D141,Dim_Machine!$A$2:$A$8,0))*INDEX(Dim_Machine!$D$2:$D$8,MATCH(D141,Dim_Machine!$A$2:$A$8,0))*I141</f>
        <v>38102.400000000001</v>
      </c>
      <c r="K141" s="4">
        <f>ROUND(J141*0.815,0)</f>
        <v>31053</v>
      </c>
      <c r="L141" s="4">
        <f>ROUND(K141*0.0207,0)</f>
        <v>643</v>
      </c>
      <c r="M141" s="4">
        <f t="shared" si="15"/>
        <v>30410</v>
      </c>
      <c r="N141" s="4">
        <f t="shared" si="16"/>
        <v>0.81498803224993699</v>
      </c>
      <c r="O141" s="4">
        <f t="shared" si="17"/>
        <v>0.98</v>
      </c>
      <c r="P141" s="4">
        <f>IFERROR((K141/I141)/(INDEX(Dim_Machine!$E$2:$E$8,MATCH(D141,Dim_Machine!$A$2:$A$8,0))*INDEX(Dim_Machine!$D$2:$D$8,MATCH(D141,Dim_Machine!$A$2:$A$8,0))),0)</f>
        <v>0.81498803224993699</v>
      </c>
      <c r="Q141" s="4">
        <f t="shared" si="18"/>
        <v>0.97929346600972533</v>
      </c>
      <c r="R141" s="4">
        <f t="shared" si="19"/>
        <v>0.78215020576131689</v>
      </c>
      <c r="S141" s="4">
        <f>T141/0.898</f>
        <v>8.466035634743875</v>
      </c>
      <c r="T141" s="4">
        <f>M141*INDEX(Dim_Product!$C$2:$C$4,MATCH(F141,Dim_Product!$A$2:$A$4,0))/1000000</f>
        <v>7.6025</v>
      </c>
      <c r="U141" s="16">
        <f t="shared" si="20"/>
        <v>0.89800000000000002</v>
      </c>
    </row>
    <row r="142" spans="1:21" x14ac:dyDescent="0.25">
      <c r="A142" s="15" t="s">
        <v>283</v>
      </c>
      <c r="B142" s="4">
        <v>20260701</v>
      </c>
      <c r="C142" s="4">
        <v>20</v>
      </c>
      <c r="D142" s="4" t="s">
        <v>15</v>
      </c>
      <c r="E142" s="4" t="s">
        <v>20</v>
      </c>
      <c r="F142" s="4" t="s">
        <v>141</v>
      </c>
      <c r="G142" s="4">
        <v>60</v>
      </c>
      <c r="H142" s="4">
        <v>4.9000000000000004</v>
      </c>
      <c r="I142" s="4">
        <f t="shared" si="14"/>
        <v>55.1</v>
      </c>
      <c r="J142" s="4">
        <f>INDEX(Dim_Machine!$E$2:$E$8,MATCH(D142,Dim_Machine!$A$2:$A$8,0))*INDEX(Dim_Machine!$D$2:$D$8,MATCH(D142,Dim_Machine!$A$2:$A$8,0))*I142</f>
        <v>22040</v>
      </c>
      <c r="K142" s="4">
        <f>ROUND(J142*0.964,0)</f>
        <v>21247</v>
      </c>
      <c r="L142" s="4">
        <f>ROUND(K142*0.0282,0)</f>
        <v>599</v>
      </c>
      <c r="M142" s="4">
        <f t="shared" si="15"/>
        <v>20648</v>
      </c>
      <c r="N142" s="4">
        <f t="shared" si="16"/>
        <v>0.96401996370235932</v>
      </c>
      <c r="O142" s="4">
        <f t="shared" si="17"/>
        <v>0.91833333333333333</v>
      </c>
      <c r="P142" s="4">
        <f>IFERROR((K142/I142)/(INDEX(Dim_Machine!$E$2:$E$8,MATCH(D142,Dim_Machine!$A$2:$A$8,0))*INDEX(Dim_Machine!$D$2:$D$8,MATCH(D142,Dim_Machine!$A$2:$A$8,0))),0)</f>
        <v>0.96401996370235932</v>
      </c>
      <c r="Q142" s="4">
        <f t="shared" si="18"/>
        <v>0.9718077846284181</v>
      </c>
      <c r="R142" s="4">
        <f t="shared" si="19"/>
        <v>0.86033333333333328</v>
      </c>
      <c r="S142" s="4">
        <f>T142/0.87</f>
        <v>5.9333333333333336</v>
      </c>
      <c r="T142" s="4">
        <f>M142*INDEX(Dim_Product!$C$2:$C$4,MATCH(F142,Dim_Product!$A$2:$A$4,0))/1000000</f>
        <v>5.1619999999999999</v>
      </c>
      <c r="U142" s="16">
        <f t="shared" si="20"/>
        <v>0.87</v>
      </c>
    </row>
    <row r="143" spans="1:21" x14ac:dyDescent="0.25">
      <c r="A143" s="15" t="s">
        <v>284</v>
      </c>
      <c r="B143" s="4">
        <v>20260701</v>
      </c>
      <c r="C143" s="4">
        <v>20</v>
      </c>
      <c r="D143" s="4" t="s">
        <v>19</v>
      </c>
      <c r="E143" s="4" t="s">
        <v>20</v>
      </c>
      <c r="F143" s="4" t="s">
        <v>143</v>
      </c>
      <c r="G143" s="4">
        <v>60</v>
      </c>
      <c r="H143" s="4">
        <v>6.6</v>
      </c>
      <c r="I143" s="4">
        <f t="shared" si="14"/>
        <v>53.4</v>
      </c>
      <c r="J143" s="4">
        <f>INDEX(Dim_Machine!$E$2:$E$8,MATCH(D143,Dim_Machine!$A$2:$A$8,0))*INDEX(Dim_Machine!$D$2:$D$8,MATCH(D143,Dim_Machine!$A$2:$A$8,0))*I143</f>
        <v>35884.799999999996</v>
      </c>
      <c r="K143" s="4">
        <f>ROUND(J143*0.898,0)</f>
        <v>32225</v>
      </c>
      <c r="L143" s="4">
        <f>ROUND(K143*0.0147,0)</f>
        <v>474</v>
      </c>
      <c r="M143" s="4">
        <f t="shared" si="15"/>
        <v>31751</v>
      </c>
      <c r="N143" s="4">
        <f t="shared" si="16"/>
        <v>0.8980125289816302</v>
      </c>
      <c r="O143" s="4">
        <f t="shared" si="17"/>
        <v>0.89</v>
      </c>
      <c r="P143" s="4">
        <f>IFERROR((K143/I143)/(INDEX(Dim_Machine!$E$2:$E$8,MATCH(D143,Dim_Machine!$A$2:$A$8,0))*INDEX(Dim_Machine!$D$2:$D$8,MATCH(D143,Dim_Machine!$A$2:$A$8,0))),0)</f>
        <v>0.89801252898163009</v>
      </c>
      <c r="Q143" s="4">
        <f t="shared" si="18"/>
        <v>0.9852909231962762</v>
      </c>
      <c r="R143" s="4">
        <f t="shared" si="19"/>
        <v>0.78747519841269842</v>
      </c>
      <c r="S143" s="4">
        <f>T143/0.837</f>
        <v>7.5868578255675034</v>
      </c>
      <c r="T143" s="4">
        <f>M143*INDEX(Dim_Product!$C$2:$C$4,MATCH(F143,Dim_Product!$A$2:$A$4,0))/1000000</f>
        <v>6.3502000000000001</v>
      </c>
      <c r="U143" s="16">
        <f t="shared" si="20"/>
        <v>0.83699999999999997</v>
      </c>
    </row>
    <row r="144" spans="1:21" x14ac:dyDescent="0.25">
      <c r="A144" s="15" t="s">
        <v>285</v>
      </c>
      <c r="B144" s="4">
        <v>20260701</v>
      </c>
      <c r="C144" s="4">
        <v>20</v>
      </c>
      <c r="D144" s="4" t="s">
        <v>23</v>
      </c>
      <c r="E144" s="4" t="s">
        <v>20</v>
      </c>
      <c r="F144" s="4" t="s">
        <v>141</v>
      </c>
      <c r="G144" s="4">
        <v>60</v>
      </c>
      <c r="H144" s="4">
        <v>7.5</v>
      </c>
      <c r="I144" s="4">
        <f t="shared" si="14"/>
        <v>52.5</v>
      </c>
      <c r="J144" s="4">
        <f>INDEX(Dim_Machine!$E$2:$E$8,MATCH(D144,Dim_Machine!$A$2:$A$8,0))*INDEX(Dim_Machine!$D$2:$D$8,MATCH(D144,Dim_Machine!$A$2:$A$8,0))*I144</f>
        <v>13860</v>
      </c>
      <c r="K144" s="4">
        <f>ROUND(J144*0.836,0)</f>
        <v>11587</v>
      </c>
      <c r="L144" s="4">
        <f>ROUND(K144*0.0185,0)</f>
        <v>214</v>
      </c>
      <c r="M144" s="4">
        <f t="shared" si="15"/>
        <v>11373</v>
      </c>
      <c r="N144" s="4">
        <f t="shared" si="16"/>
        <v>0.83600288600288597</v>
      </c>
      <c r="O144" s="4">
        <f t="shared" si="17"/>
        <v>0.875</v>
      </c>
      <c r="P144" s="4">
        <f>IFERROR((K144/I144)/(INDEX(Dim_Machine!$E$2:$E$8,MATCH(D144,Dim_Machine!$A$2:$A$8,0))*INDEX(Dim_Machine!$D$2:$D$8,MATCH(D144,Dim_Machine!$A$2:$A$8,0))),0)</f>
        <v>0.83600288600288597</v>
      </c>
      <c r="Q144" s="4">
        <f t="shared" si="18"/>
        <v>0.98153102614999566</v>
      </c>
      <c r="R144" s="4">
        <f t="shared" si="19"/>
        <v>0.71799242424242415</v>
      </c>
      <c r="S144" s="4">
        <f>T144/0.913</f>
        <v>3.1141840087623218</v>
      </c>
      <c r="T144" s="4">
        <f>M144*INDEX(Dim_Product!$C$2:$C$4,MATCH(F144,Dim_Product!$A$2:$A$4,0))/1000000</f>
        <v>2.8432499999999998</v>
      </c>
      <c r="U144" s="16">
        <f t="shared" si="20"/>
        <v>0.91300000000000003</v>
      </c>
    </row>
    <row r="145" spans="1:21" x14ac:dyDescent="0.25">
      <c r="A145" s="15" t="s">
        <v>286</v>
      </c>
      <c r="B145" s="4">
        <v>20260701</v>
      </c>
      <c r="C145" s="4">
        <v>20</v>
      </c>
      <c r="D145" s="4" t="s">
        <v>25</v>
      </c>
      <c r="E145" s="4" t="s">
        <v>20</v>
      </c>
      <c r="F145" s="4" t="s">
        <v>141</v>
      </c>
      <c r="G145" s="4">
        <v>60</v>
      </c>
      <c r="H145" s="4">
        <v>4.5999999999999996</v>
      </c>
      <c r="I145" s="4">
        <f t="shared" si="14"/>
        <v>55.4</v>
      </c>
      <c r="J145" s="4">
        <f>INDEX(Dim_Machine!$E$2:$E$8,MATCH(D145,Dim_Machine!$A$2:$A$8,0))*INDEX(Dim_Machine!$D$2:$D$8,MATCH(D145,Dim_Machine!$A$2:$A$8,0))*I145</f>
        <v>39888</v>
      </c>
      <c r="K145" s="4">
        <f>ROUND(J145*0.914,0)</f>
        <v>36458</v>
      </c>
      <c r="L145" s="4">
        <f>ROUND(K145*0.0151,0)</f>
        <v>551</v>
      </c>
      <c r="M145" s="4">
        <f t="shared" si="15"/>
        <v>35907</v>
      </c>
      <c r="N145" s="4">
        <f t="shared" si="16"/>
        <v>0.91400922583233057</v>
      </c>
      <c r="O145" s="4">
        <f t="shared" si="17"/>
        <v>0.92333333333333334</v>
      </c>
      <c r="P145" s="4">
        <f>IFERROR((K145/I145)/(INDEX(Dim_Machine!$E$2:$E$8,MATCH(D145,Dim_Machine!$A$2:$A$8,0))*INDEX(Dim_Machine!$D$2:$D$8,MATCH(D145,Dim_Machine!$A$2:$A$8,0))),0)</f>
        <v>0.91400922583233057</v>
      </c>
      <c r="Q145" s="4">
        <f t="shared" si="18"/>
        <v>0.9848867189642877</v>
      </c>
      <c r="R145" s="4">
        <f t="shared" si="19"/>
        <v>0.8311805555555557</v>
      </c>
      <c r="S145" s="4">
        <f>T145/0.874</f>
        <v>10.270881006864988</v>
      </c>
      <c r="T145" s="4">
        <f>M145*INDEX(Dim_Product!$C$2:$C$4,MATCH(F145,Dim_Product!$A$2:$A$4,0))/1000000</f>
        <v>8.9767499999999991</v>
      </c>
      <c r="U145" s="16">
        <f t="shared" si="20"/>
        <v>0.874</v>
      </c>
    </row>
    <row r="146" spans="1:21" x14ac:dyDescent="0.25">
      <c r="A146" s="15" t="s">
        <v>287</v>
      </c>
      <c r="B146" s="4">
        <v>20260701</v>
      </c>
      <c r="C146" s="4">
        <v>20</v>
      </c>
      <c r="D146" s="4" t="s">
        <v>27</v>
      </c>
      <c r="E146" s="4" t="s">
        <v>20</v>
      </c>
      <c r="F146" s="4" t="s">
        <v>141</v>
      </c>
      <c r="G146" s="4">
        <v>60</v>
      </c>
      <c r="H146" s="4">
        <v>2.6</v>
      </c>
      <c r="I146" s="4">
        <f t="shared" si="14"/>
        <v>57.4</v>
      </c>
      <c r="J146" s="4">
        <f>INDEX(Dim_Machine!$E$2:$E$8,MATCH(D146,Dim_Machine!$A$2:$A$8,0))*INDEX(Dim_Machine!$D$2:$D$8,MATCH(D146,Dim_Machine!$A$2:$A$8,0))*I146</f>
        <v>23878.399999999998</v>
      </c>
      <c r="K146" s="4">
        <f>ROUND(J146*0.878,0)</f>
        <v>20965</v>
      </c>
      <c r="L146" s="4">
        <f>ROUND(K146*0.0156,0)</f>
        <v>327</v>
      </c>
      <c r="M146" s="4">
        <f t="shared" si="15"/>
        <v>20638</v>
      </c>
      <c r="N146" s="4">
        <f t="shared" si="16"/>
        <v>0.87799015009380876</v>
      </c>
      <c r="O146" s="4">
        <f t="shared" si="17"/>
        <v>0.95666666666666667</v>
      </c>
      <c r="P146" s="4">
        <f>IFERROR((K146/I146)/(INDEX(Dim_Machine!$E$2:$E$8,MATCH(D146,Dim_Machine!$A$2:$A$8,0))*INDEX(Dim_Machine!$D$2:$D$8,MATCH(D146,Dim_Machine!$A$2:$A$8,0))),0)</f>
        <v>0.87799015009380865</v>
      </c>
      <c r="Q146" s="4">
        <f t="shared" si="18"/>
        <v>0.98440257572144052</v>
      </c>
      <c r="R146" s="4">
        <f t="shared" si="19"/>
        <v>0.82684294871794872</v>
      </c>
      <c r="S146" s="4">
        <f>T146/0.839</f>
        <v>6.14958283671037</v>
      </c>
      <c r="T146" s="4">
        <f>M146*INDEX(Dim_Product!$C$2:$C$4,MATCH(F146,Dim_Product!$A$2:$A$4,0))/1000000</f>
        <v>5.1595000000000004</v>
      </c>
      <c r="U146" s="16">
        <f t="shared" si="20"/>
        <v>0.83899999999999997</v>
      </c>
    </row>
    <row r="147" spans="1:21" x14ac:dyDescent="0.25">
      <c r="A147" s="15" t="s">
        <v>288</v>
      </c>
      <c r="B147" s="4">
        <v>20260701</v>
      </c>
      <c r="C147" s="4">
        <v>20</v>
      </c>
      <c r="D147" s="4" t="s">
        <v>29</v>
      </c>
      <c r="E147" s="4" t="s">
        <v>20</v>
      </c>
      <c r="F147" s="4" t="s">
        <v>143</v>
      </c>
      <c r="G147" s="4">
        <v>60</v>
      </c>
      <c r="H147" s="4">
        <v>2.2000000000000002</v>
      </c>
      <c r="I147" s="4">
        <f t="shared" si="14"/>
        <v>57.8</v>
      </c>
      <c r="J147" s="4">
        <f>INDEX(Dim_Machine!$E$2:$E$8,MATCH(D147,Dim_Machine!$A$2:$A$8,0))*INDEX(Dim_Machine!$D$2:$D$8,MATCH(D147,Dim_Machine!$A$2:$A$8,0))*I147</f>
        <v>16646.399999999998</v>
      </c>
      <c r="K147" s="4">
        <f>ROUND(J147*0.899,0)</f>
        <v>14965</v>
      </c>
      <c r="L147" s="4">
        <f>ROUND(K147*0.0314,0)</f>
        <v>470</v>
      </c>
      <c r="M147" s="4">
        <f t="shared" si="15"/>
        <v>14495</v>
      </c>
      <c r="N147" s="4">
        <f t="shared" si="16"/>
        <v>0.89899317570165338</v>
      </c>
      <c r="O147" s="4">
        <f t="shared" si="17"/>
        <v>0.96333333333333326</v>
      </c>
      <c r="P147" s="4">
        <f>IFERROR((K147/I147)/(INDEX(Dim_Machine!$E$2:$E$8,MATCH(D147,Dim_Machine!$A$2:$A$8,0))*INDEX(Dim_Machine!$D$2:$D$8,MATCH(D147,Dim_Machine!$A$2:$A$8,0))),0)</f>
        <v>0.89899317570165316</v>
      </c>
      <c r="Q147" s="4">
        <f t="shared" si="18"/>
        <v>0.96859338456398258</v>
      </c>
      <c r="R147" s="4">
        <f t="shared" si="19"/>
        <v>0.83883101851851838</v>
      </c>
      <c r="S147" s="4">
        <f>T147/0.883</f>
        <v>3.2831257078142695</v>
      </c>
      <c r="T147" s="4">
        <f>M147*INDEX(Dim_Product!$C$2:$C$4,MATCH(F147,Dim_Product!$A$2:$A$4,0))/1000000</f>
        <v>2.899</v>
      </c>
      <c r="U147" s="16">
        <f t="shared" si="20"/>
        <v>0.88300000000000001</v>
      </c>
    </row>
    <row r="148" spans="1:21" x14ac:dyDescent="0.25">
      <c r="A148" s="15" t="s">
        <v>289</v>
      </c>
      <c r="B148" s="4">
        <v>20260701</v>
      </c>
      <c r="C148" s="4">
        <v>20</v>
      </c>
      <c r="D148" s="4" t="s">
        <v>31</v>
      </c>
      <c r="E148" s="4" t="s">
        <v>20</v>
      </c>
      <c r="F148" s="4" t="s">
        <v>141</v>
      </c>
      <c r="G148" s="4">
        <v>60</v>
      </c>
      <c r="H148" s="4">
        <v>4.0999999999999996</v>
      </c>
      <c r="I148" s="4">
        <f t="shared" si="14"/>
        <v>55.9</v>
      </c>
      <c r="J148" s="4">
        <f>INDEX(Dim_Machine!$E$2:$E$8,MATCH(D148,Dim_Machine!$A$2:$A$8,0))*INDEX(Dim_Machine!$D$2:$D$8,MATCH(D148,Dim_Machine!$A$2:$A$8,0))*I148</f>
        <v>36223.199999999997</v>
      </c>
      <c r="K148" s="4">
        <f>ROUND(J148*0.818,0)</f>
        <v>29631</v>
      </c>
      <c r="L148" s="4">
        <f>ROUND(K148*0.0122,0)</f>
        <v>361</v>
      </c>
      <c r="M148" s="4">
        <f t="shared" si="15"/>
        <v>29270</v>
      </c>
      <c r="N148" s="4">
        <f t="shared" si="16"/>
        <v>0.81801166103491696</v>
      </c>
      <c r="O148" s="4">
        <f t="shared" si="17"/>
        <v>0.93166666666666664</v>
      </c>
      <c r="P148" s="4">
        <f>IFERROR((K148/I148)/(INDEX(Dim_Machine!$E$2:$E$8,MATCH(D148,Dim_Machine!$A$2:$A$8,0))*INDEX(Dim_Machine!$D$2:$D$8,MATCH(D148,Dim_Machine!$A$2:$A$8,0))),0)</f>
        <v>0.81801166103491685</v>
      </c>
      <c r="Q148" s="4">
        <f t="shared" si="18"/>
        <v>0.98781681347237693</v>
      </c>
      <c r="R148" s="4">
        <f t="shared" si="19"/>
        <v>0.75282921810699588</v>
      </c>
      <c r="S148" s="4">
        <f>T148/0.861</f>
        <v>8.4988385598141694</v>
      </c>
      <c r="T148" s="4">
        <f>M148*INDEX(Dim_Product!$C$2:$C$4,MATCH(F148,Dim_Product!$A$2:$A$4,0))/1000000</f>
        <v>7.3174999999999999</v>
      </c>
      <c r="U148" s="16">
        <f t="shared" si="20"/>
        <v>0.86099999999999999</v>
      </c>
    </row>
    <row r="149" spans="1:21" x14ac:dyDescent="0.25">
      <c r="A149" s="15" t="s">
        <v>290</v>
      </c>
      <c r="B149" s="4">
        <v>20260701</v>
      </c>
      <c r="C149" s="4">
        <v>21</v>
      </c>
      <c r="D149" s="4" t="s">
        <v>15</v>
      </c>
      <c r="E149" s="4" t="s">
        <v>20</v>
      </c>
      <c r="F149" s="4" t="s">
        <v>141</v>
      </c>
      <c r="G149" s="4">
        <v>60</v>
      </c>
      <c r="H149" s="4">
        <v>4.4000000000000004</v>
      </c>
      <c r="I149" s="4">
        <f t="shared" si="14"/>
        <v>55.6</v>
      </c>
      <c r="J149" s="4">
        <f>INDEX(Dim_Machine!$E$2:$E$8,MATCH(D149,Dim_Machine!$A$2:$A$8,0))*INDEX(Dim_Machine!$D$2:$D$8,MATCH(D149,Dim_Machine!$A$2:$A$8,0))*I149</f>
        <v>22240</v>
      </c>
      <c r="K149" s="4">
        <f>ROUND(J149*0.828,0)</f>
        <v>18415</v>
      </c>
      <c r="L149" s="4">
        <f>ROUND(K149*0.0193,0)</f>
        <v>355</v>
      </c>
      <c r="M149" s="4">
        <f t="shared" si="15"/>
        <v>18060</v>
      </c>
      <c r="N149" s="4">
        <f t="shared" si="16"/>
        <v>0.8280125899280576</v>
      </c>
      <c r="O149" s="4">
        <f t="shared" si="17"/>
        <v>0.92666666666666664</v>
      </c>
      <c r="P149" s="4">
        <f>IFERROR((K149/I149)/(INDEX(Dim_Machine!$E$2:$E$8,MATCH(D149,Dim_Machine!$A$2:$A$8,0))*INDEX(Dim_Machine!$D$2:$D$8,MATCH(D149,Dim_Machine!$A$2:$A$8,0))),0)</f>
        <v>0.8280125899280576</v>
      </c>
      <c r="Q149" s="4">
        <f t="shared" si="18"/>
        <v>0.98072223730654362</v>
      </c>
      <c r="R149" s="4">
        <f t="shared" si="19"/>
        <v>0.75250000000000006</v>
      </c>
      <c r="S149" s="4">
        <f>T149/0.907</f>
        <v>4.9779492833517081</v>
      </c>
      <c r="T149" s="4">
        <f>M149*INDEX(Dim_Product!$C$2:$C$4,MATCH(F149,Dim_Product!$A$2:$A$4,0))/1000000</f>
        <v>4.5149999999999997</v>
      </c>
      <c r="U149" s="16">
        <f t="shared" si="20"/>
        <v>0.90700000000000014</v>
      </c>
    </row>
    <row r="150" spans="1:21" x14ac:dyDescent="0.25">
      <c r="A150" s="15" t="s">
        <v>291</v>
      </c>
      <c r="B150" s="4">
        <v>20260701</v>
      </c>
      <c r="C150" s="4">
        <v>21</v>
      </c>
      <c r="D150" s="4" t="s">
        <v>19</v>
      </c>
      <c r="E150" s="4" t="s">
        <v>20</v>
      </c>
      <c r="F150" s="4" t="s">
        <v>143</v>
      </c>
      <c r="G150" s="4">
        <v>60</v>
      </c>
      <c r="H150" s="4">
        <v>3.6</v>
      </c>
      <c r="I150" s="4">
        <f t="shared" si="14"/>
        <v>56.4</v>
      </c>
      <c r="J150" s="4">
        <f>INDEX(Dim_Machine!$E$2:$E$8,MATCH(D150,Dim_Machine!$A$2:$A$8,0))*INDEX(Dim_Machine!$D$2:$D$8,MATCH(D150,Dim_Machine!$A$2:$A$8,0))*I150</f>
        <v>37900.799999999996</v>
      </c>
      <c r="K150" s="4">
        <f>ROUND(J150*0.783,0)</f>
        <v>29676</v>
      </c>
      <c r="L150" s="4">
        <f>ROUND(K150*0.0138,0)</f>
        <v>410</v>
      </c>
      <c r="M150" s="4">
        <f t="shared" si="15"/>
        <v>29266</v>
      </c>
      <c r="N150" s="4">
        <f t="shared" si="16"/>
        <v>0.78299138804457957</v>
      </c>
      <c r="O150" s="4">
        <f t="shared" si="17"/>
        <v>0.94</v>
      </c>
      <c r="P150" s="4">
        <f>IFERROR((K150/I150)/(INDEX(Dim_Machine!$E$2:$E$8,MATCH(D150,Dim_Machine!$A$2:$A$8,0))*INDEX(Dim_Machine!$D$2:$D$8,MATCH(D150,Dim_Machine!$A$2:$A$8,0))),0)</f>
        <v>0.78299138804457957</v>
      </c>
      <c r="Q150" s="4">
        <f t="shared" si="18"/>
        <v>0.98618412184930582</v>
      </c>
      <c r="R150" s="4">
        <f t="shared" si="19"/>
        <v>0.725843253968254</v>
      </c>
      <c r="S150" s="4">
        <f>T150/0.861</f>
        <v>6.7981416957026717</v>
      </c>
      <c r="T150" s="4">
        <f>M150*INDEX(Dim_Product!$C$2:$C$4,MATCH(F150,Dim_Product!$A$2:$A$4,0))/1000000</f>
        <v>5.8532000000000002</v>
      </c>
      <c r="U150" s="16">
        <f t="shared" si="20"/>
        <v>0.86099999999999999</v>
      </c>
    </row>
    <row r="151" spans="1:21" x14ac:dyDescent="0.25">
      <c r="A151" s="15" t="s">
        <v>292</v>
      </c>
      <c r="B151" s="4">
        <v>20260701</v>
      </c>
      <c r="C151" s="4">
        <v>21</v>
      </c>
      <c r="D151" s="4" t="s">
        <v>23</v>
      </c>
      <c r="E151" s="4" t="s">
        <v>20</v>
      </c>
      <c r="F151" s="4" t="s">
        <v>141</v>
      </c>
      <c r="G151" s="4">
        <v>60</v>
      </c>
      <c r="H151" s="4">
        <v>1.9</v>
      </c>
      <c r="I151" s="4">
        <f t="shared" si="14"/>
        <v>58.1</v>
      </c>
      <c r="J151" s="4">
        <f>INDEX(Dim_Machine!$E$2:$E$8,MATCH(D151,Dim_Machine!$A$2:$A$8,0))*INDEX(Dim_Machine!$D$2:$D$8,MATCH(D151,Dim_Machine!$A$2:$A$8,0))*I151</f>
        <v>15338.4</v>
      </c>
      <c r="K151" s="4">
        <f>ROUND(J151*0.913,0)</f>
        <v>14004</v>
      </c>
      <c r="L151" s="4">
        <f>ROUND(K151*0.0161,0)</f>
        <v>225</v>
      </c>
      <c r="M151" s="4">
        <f t="shared" si="15"/>
        <v>13779</v>
      </c>
      <c r="N151" s="4">
        <f t="shared" si="16"/>
        <v>0.91300265999061181</v>
      </c>
      <c r="O151" s="4">
        <f t="shared" si="17"/>
        <v>0.96833333333333338</v>
      </c>
      <c r="P151" s="4">
        <f>IFERROR((K151/I151)/(INDEX(Dim_Machine!$E$2:$E$8,MATCH(D151,Dim_Machine!$A$2:$A$8,0))*INDEX(Dim_Machine!$D$2:$D$8,MATCH(D151,Dim_Machine!$A$2:$A$8,0))),0)</f>
        <v>0.91300265999061181</v>
      </c>
      <c r="Q151" s="4">
        <f t="shared" si="18"/>
        <v>0.98393316195372749</v>
      </c>
      <c r="R151" s="4">
        <f t="shared" si="19"/>
        <v>0.86988636363636362</v>
      </c>
      <c r="S151" s="4">
        <f>T151/0.883</f>
        <v>3.9011891279728199</v>
      </c>
      <c r="T151" s="4">
        <f>M151*INDEX(Dim_Product!$C$2:$C$4,MATCH(F151,Dim_Product!$A$2:$A$4,0))/1000000</f>
        <v>3.44475</v>
      </c>
      <c r="U151" s="16">
        <f t="shared" si="20"/>
        <v>0.88300000000000001</v>
      </c>
    </row>
    <row r="152" spans="1:21" x14ac:dyDescent="0.25">
      <c r="A152" s="15" t="s">
        <v>293</v>
      </c>
      <c r="B152" s="4">
        <v>20260701</v>
      </c>
      <c r="C152" s="4">
        <v>21</v>
      </c>
      <c r="D152" s="4" t="s">
        <v>25</v>
      </c>
      <c r="E152" s="4" t="s">
        <v>20</v>
      </c>
      <c r="F152" s="4" t="s">
        <v>141</v>
      </c>
      <c r="G152" s="4">
        <v>60</v>
      </c>
      <c r="H152" s="4">
        <v>2.8</v>
      </c>
      <c r="I152" s="4">
        <f t="shared" si="14"/>
        <v>57.2</v>
      </c>
      <c r="J152" s="4">
        <f>INDEX(Dim_Machine!$E$2:$E$8,MATCH(D152,Dim_Machine!$A$2:$A$8,0))*INDEX(Dim_Machine!$D$2:$D$8,MATCH(D152,Dim_Machine!$A$2:$A$8,0))*I152</f>
        <v>41184</v>
      </c>
      <c r="K152" s="4">
        <f>ROUND(J152*0.979,0)</f>
        <v>40319</v>
      </c>
      <c r="L152" s="4">
        <f>ROUND(K152*0.0215,0)</f>
        <v>867</v>
      </c>
      <c r="M152" s="4">
        <f t="shared" si="15"/>
        <v>39452</v>
      </c>
      <c r="N152" s="4">
        <f t="shared" si="16"/>
        <v>0.97899669774669773</v>
      </c>
      <c r="O152" s="4">
        <f t="shared" si="17"/>
        <v>0.95333333333333337</v>
      </c>
      <c r="P152" s="4">
        <f>IFERROR((K152/I152)/(INDEX(Dim_Machine!$E$2:$E$8,MATCH(D152,Dim_Machine!$A$2:$A$8,0))*INDEX(Dim_Machine!$D$2:$D$8,MATCH(D152,Dim_Machine!$A$2:$A$8,0))),0)</f>
        <v>0.97899669774669762</v>
      </c>
      <c r="Q152" s="4">
        <f t="shared" si="18"/>
        <v>0.97849649048835541</v>
      </c>
      <c r="R152" s="4">
        <f t="shared" si="19"/>
        <v>0.91324074074074069</v>
      </c>
      <c r="S152" s="4">
        <f>T152/0.853</f>
        <v>11.562719812426728</v>
      </c>
      <c r="T152" s="4">
        <f>M152*INDEX(Dim_Product!$C$2:$C$4,MATCH(F152,Dim_Product!$A$2:$A$4,0))/1000000</f>
        <v>9.8629999999999995</v>
      </c>
      <c r="U152" s="16">
        <f t="shared" si="20"/>
        <v>0.85300000000000009</v>
      </c>
    </row>
    <row r="153" spans="1:21" x14ac:dyDescent="0.25">
      <c r="A153" s="15" t="s">
        <v>294</v>
      </c>
      <c r="B153" s="4">
        <v>20260701</v>
      </c>
      <c r="C153" s="4">
        <v>21</v>
      </c>
      <c r="D153" s="4" t="s">
        <v>27</v>
      </c>
      <c r="E153" s="4" t="s">
        <v>20</v>
      </c>
      <c r="F153" s="4" t="s">
        <v>141</v>
      </c>
      <c r="G153" s="4">
        <v>60</v>
      </c>
      <c r="H153" s="4">
        <v>3.6</v>
      </c>
      <c r="I153" s="4">
        <f t="shared" si="14"/>
        <v>56.4</v>
      </c>
      <c r="J153" s="4">
        <f>INDEX(Dim_Machine!$E$2:$E$8,MATCH(D153,Dim_Machine!$A$2:$A$8,0))*INDEX(Dim_Machine!$D$2:$D$8,MATCH(D153,Dim_Machine!$A$2:$A$8,0))*I153</f>
        <v>23462.399999999998</v>
      </c>
      <c r="K153" s="4">
        <f>ROUND(J153*0.841,0)</f>
        <v>19732</v>
      </c>
      <c r="L153" s="4">
        <f>ROUND(K153*0.0119,0)</f>
        <v>235</v>
      </c>
      <c r="M153" s="4">
        <f t="shared" si="15"/>
        <v>19497</v>
      </c>
      <c r="N153" s="4">
        <f t="shared" si="16"/>
        <v>0.84100518276050196</v>
      </c>
      <c r="O153" s="4">
        <f t="shared" si="17"/>
        <v>0.94</v>
      </c>
      <c r="P153" s="4">
        <f>IFERROR((K153/I153)/(INDEX(Dim_Machine!$E$2:$E$8,MATCH(D153,Dim_Machine!$A$2:$A$8,0))*INDEX(Dim_Machine!$D$2:$D$8,MATCH(D153,Dim_Machine!$A$2:$A$8,0))),0)</f>
        <v>0.84100518276050196</v>
      </c>
      <c r="Q153" s="4">
        <f t="shared" si="18"/>
        <v>0.98809041151429156</v>
      </c>
      <c r="R153" s="4">
        <f t="shared" si="19"/>
        <v>0.78112980769230766</v>
      </c>
      <c r="S153" s="4">
        <f>T153/0.908</f>
        <v>5.3681167400881051</v>
      </c>
      <c r="T153" s="4">
        <f>M153*INDEX(Dim_Product!$C$2:$C$4,MATCH(F153,Dim_Product!$A$2:$A$4,0))/1000000</f>
        <v>4.87425</v>
      </c>
      <c r="U153" s="16">
        <f t="shared" si="20"/>
        <v>0.90800000000000014</v>
      </c>
    </row>
    <row r="154" spans="1:21" x14ac:dyDescent="0.25">
      <c r="A154" s="15" t="s">
        <v>295</v>
      </c>
      <c r="B154" s="4">
        <v>20260701</v>
      </c>
      <c r="C154" s="4">
        <v>21</v>
      </c>
      <c r="D154" s="4" t="s">
        <v>29</v>
      </c>
      <c r="E154" s="4" t="s">
        <v>20</v>
      </c>
      <c r="F154" s="4" t="s">
        <v>143</v>
      </c>
      <c r="G154" s="4">
        <v>60</v>
      </c>
      <c r="H154" s="4">
        <v>2.5</v>
      </c>
      <c r="I154" s="4">
        <f t="shared" si="14"/>
        <v>57.5</v>
      </c>
      <c r="J154" s="4">
        <f>INDEX(Dim_Machine!$E$2:$E$8,MATCH(D154,Dim_Machine!$A$2:$A$8,0))*INDEX(Dim_Machine!$D$2:$D$8,MATCH(D154,Dim_Machine!$A$2:$A$8,0))*I154</f>
        <v>16560</v>
      </c>
      <c r="K154" s="4">
        <f>ROUND(J154*0.929,0)</f>
        <v>15384</v>
      </c>
      <c r="L154" s="4">
        <f>ROUND(K154*0.0335,0)</f>
        <v>515</v>
      </c>
      <c r="M154" s="4">
        <f t="shared" si="15"/>
        <v>14869</v>
      </c>
      <c r="N154" s="4">
        <f t="shared" si="16"/>
        <v>0.92898550724637685</v>
      </c>
      <c r="O154" s="4">
        <f t="shared" si="17"/>
        <v>0.95833333333333337</v>
      </c>
      <c r="P154" s="4">
        <f>IFERROR((K154/I154)/(INDEX(Dim_Machine!$E$2:$E$8,MATCH(D154,Dim_Machine!$A$2:$A$8,0))*INDEX(Dim_Machine!$D$2:$D$8,MATCH(D154,Dim_Machine!$A$2:$A$8,0))),0)</f>
        <v>0.92898550724637685</v>
      </c>
      <c r="Q154" s="4">
        <f t="shared" si="18"/>
        <v>0.96652366094643782</v>
      </c>
      <c r="R154" s="4">
        <f t="shared" si="19"/>
        <v>0.86047453703703702</v>
      </c>
      <c r="S154" s="4">
        <f>T154/0.904</f>
        <v>3.2896017699115045</v>
      </c>
      <c r="T154" s="4">
        <f>M154*INDEX(Dim_Product!$C$2:$C$4,MATCH(F154,Dim_Product!$A$2:$A$4,0))/1000000</f>
        <v>2.9738000000000002</v>
      </c>
      <c r="U154" s="16">
        <f t="shared" si="20"/>
        <v>0.90400000000000003</v>
      </c>
    </row>
    <row r="155" spans="1:21" x14ac:dyDescent="0.25">
      <c r="A155" s="15" t="s">
        <v>296</v>
      </c>
      <c r="B155" s="4">
        <v>20260701</v>
      </c>
      <c r="C155" s="4">
        <v>21</v>
      </c>
      <c r="D155" s="4" t="s">
        <v>31</v>
      </c>
      <c r="E155" s="4" t="s">
        <v>20</v>
      </c>
      <c r="F155" s="4" t="s">
        <v>141</v>
      </c>
      <c r="G155" s="4">
        <v>60</v>
      </c>
      <c r="H155" s="4">
        <v>1.5</v>
      </c>
      <c r="I155" s="4">
        <f t="shared" si="14"/>
        <v>58.5</v>
      </c>
      <c r="J155" s="4">
        <f>INDEX(Dim_Machine!$E$2:$E$8,MATCH(D155,Dim_Machine!$A$2:$A$8,0))*INDEX(Dim_Machine!$D$2:$D$8,MATCH(D155,Dim_Machine!$A$2:$A$8,0))*I155</f>
        <v>37908</v>
      </c>
      <c r="K155" s="4">
        <f>ROUND(J155*0.928,0)</f>
        <v>35179</v>
      </c>
      <c r="L155" s="4">
        <f>ROUND(K155*0.0133,0)</f>
        <v>468</v>
      </c>
      <c r="M155" s="4">
        <f t="shared" si="15"/>
        <v>34711</v>
      </c>
      <c r="N155" s="4">
        <f t="shared" si="16"/>
        <v>0.92800991875065952</v>
      </c>
      <c r="O155" s="4">
        <f t="shared" si="17"/>
        <v>0.97499999999999998</v>
      </c>
      <c r="P155" s="4">
        <f>IFERROR((K155/I155)/(INDEX(Dim_Machine!$E$2:$E$8,MATCH(D155,Dim_Machine!$A$2:$A$8,0))*INDEX(Dim_Machine!$D$2:$D$8,MATCH(D155,Dim_Machine!$A$2:$A$8,0))),0)</f>
        <v>0.92800991875065952</v>
      </c>
      <c r="Q155" s="4">
        <f t="shared" si="18"/>
        <v>0.98669660877227894</v>
      </c>
      <c r="R155" s="4">
        <f t="shared" si="19"/>
        <v>0.89277263374485594</v>
      </c>
      <c r="S155" s="4">
        <f>T155/0.888</f>
        <v>9.7722409909909906</v>
      </c>
      <c r="T155" s="4">
        <f>M155*INDEX(Dim_Product!$C$2:$C$4,MATCH(F155,Dim_Product!$A$2:$A$4,0))/1000000</f>
        <v>8.6777499999999996</v>
      </c>
      <c r="U155" s="16">
        <f t="shared" si="20"/>
        <v>0.88800000000000001</v>
      </c>
    </row>
    <row r="156" spans="1:21" x14ac:dyDescent="0.25">
      <c r="A156" s="15" t="s">
        <v>297</v>
      </c>
      <c r="B156" s="4">
        <v>20260701</v>
      </c>
      <c r="C156" s="4">
        <v>22</v>
      </c>
      <c r="D156" s="4" t="s">
        <v>15</v>
      </c>
      <c r="E156" s="4" t="s">
        <v>20</v>
      </c>
      <c r="F156" s="4" t="s">
        <v>141</v>
      </c>
      <c r="G156" s="4">
        <v>60</v>
      </c>
      <c r="H156" s="4">
        <v>6.1</v>
      </c>
      <c r="I156" s="4">
        <f t="shared" si="14"/>
        <v>53.9</v>
      </c>
      <c r="J156" s="4">
        <f>INDEX(Dim_Machine!$E$2:$E$8,MATCH(D156,Dim_Machine!$A$2:$A$8,0))*INDEX(Dim_Machine!$D$2:$D$8,MATCH(D156,Dim_Machine!$A$2:$A$8,0))*I156</f>
        <v>21560</v>
      </c>
      <c r="K156" s="4">
        <f>ROUND(J156*0.899,0)</f>
        <v>19382</v>
      </c>
      <c r="L156" s="4">
        <f>ROUND(K156*0.0344,0)</f>
        <v>667</v>
      </c>
      <c r="M156" s="4">
        <f t="shared" si="15"/>
        <v>18715</v>
      </c>
      <c r="N156" s="4">
        <f t="shared" si="16"/>
        <v>0.8989795918367347</v>
      </c>
      <c r="O156" s="4">
        <f t="shared" si="17"/>
        <v>0.89833333333333332</v>
      </c>
      <c r="P156" s="4">
        <f>IFERROR((K156/I156)/(INDEX(Dim_Machine!$E$2:$E$8,MATCH(D156,Dim_Machine!$A$2:$A$8,0))*INDEX(Dim_Machine!$D$2:$D$8,MATCH(D156,Dim_Machine!$A$2:$A$8,0))),0)</f>
        <v>0.89897959183673481</v>
      </c>
      <c r="Q156" s="4">
        <f t="shared" si="18"/>
        <v>0.9655866267671035</v>
      </c>
      <c r="R156" s="4">
        <f t="shared" si="19"/>
        <v>0.77979166666666677</v>
      </c>
      <c r="S156" s="4">
        <f>T156/0.925</f>
        <v>5.0581081081081081</v>
      </c>
      <c r="T156" s="4">
        <f>M156*INDEX(Dim_Product!$C$2:$C$4,MATCH(F156,Dim_Product!$A$2:$A$4,0))/1000000</f>
        <v>4.67875</v>
      </c>
      <c r="U156" s="16">
        <f t="shared" si="20"/>
        <v>0.92500000000000004</v>
      </c>
    </row>
    <row r="157" spans="1:21" x14ac:dyDescent="0.25">
      <c r="A157" s="15" t="s">
        <v>298</v>
      </c>
      <c r="B157" s="4">
        <v>20260701</v>
      </c>
      <c r="C157" s="4">
        <v>22</v>
      </c>
      <c r="D157" s="4" t="s">
        <v>19</v>
      </c>
      <c r="E157" s="4" t="s">
        <v>20</v>
      </c>
      <c r="F157" s="4" t="s">
        <v>143</v>
      </c>
      <c r="G157" s="4">
        <v>60</v>
      </c>
      <c r="H157" s="4">
        <v>2.4</v>
      </c>
      <c r="I157" s="4">
        <f t="shared" si="14"/>
        <v>57.6</v>
      </c>
      <c r="J157" s="4">
        <f>INDEX(Dim_Machine!$E$2:$E$8,MATCH(D157,Dim_Machine!$A$2:$A$8,0))*INDEX(Dim_Machine!$D$2:$D$8,MATCH(D157,Dim_Machine!$A$2:$A$8,0))*I157</f>
        <v>38707.200000000004</v>
      </c>
      <c r="K157" s="4">
        <f>ROUND(J157*0.852,0)</f>
        <v>32979</v>
      </c>
      <c r="L157" s="4">
        <f>ROUND(K157*0.0141,0)</f>
        <v>465</v>
      </c>
      <c r="M157" s="4">
        <f t="shared" si="15"/>
        <v>32514</v>
      </c>
      <c r="N157" s="4">
        <f t="shared" si="16"/>
        <v>0.85201202876984117</v>
      </c>
      <c r="O157" s="4">
        <f t="shared" si="17"/>
        <v>0.96000000000000008</v>
      </c>
      <c r="P157" s="4">
        <f>IFERROR((K157/I157)/(INDEX(Dim_Machine!$E$2:$E$8,MATCH(D157,Dim_Machine!$A$2:$A$8,0))*INDEX(Dim_Machine!$D$2:$D$8,MATCH(D157,Dim_Machine!$A$2:$A$8,0))),0)</f>
        <v>0.85201202876984128</v>
      </c>
      <c r="Q157" s="4">
        <f t="shared" si="18"/>
        <v>0.98590011825707269</v>
      </c>
      <c r="R157" s="4">
        <f t="shared" si="19"/>
        <v>0.8063988095238096</v>
      </c>
      <c r="S157" s="4">
        <f>T157/0.906</f>
        <v>7.177483443708609</v>
      </c>
      <c r="T157" s="4">
        <f>M157*INDEX(Dim_Product!$C$2:$C$4,MATCH(F157,Dim_Product!$A$2:$A$4,0))/1000000</f>
        <v>6.5027999999999997</v>
      </c>
      <c r="U157" s="16">
        <f t="shared" si="20"/>
        <v>0.90600000000000003</v>
      </c>
    </row>
    <row r="158" spans="1:21" x14ac:dyDescent="0.25">
      <c r="A158" s="15" t="s">
        <v>299</v>
      </c>
      <c r="B158" s="4">
        <v>20260701</v>
      </c>
      <c r="C158" s="4">
        <v>22</v>
      </c>
      <c r="D158" s="4" t="s">
        <v>23</v>
      </c>
      <c r="E158" s="4" t="s">
        <v>20</v>
      </c>
      <c r="F158" s="4" t="s">
        <v>141</v>
      </c>
      <c r="G158" s="4">
        <v>60</v>
      </c>
      <c r="H158" s="4">
        <v>1</v>
      </c>
      <c r="I158" s="4">
        <f t="shared" si="14"/>
        <v>59</v>
      </c>
      <c r="J158" s="4">
        <f>INDEX(Dim_Machine!$E$2:$E$8,MATCH(D158,Dim_Machine!$A$2:$A$8,0))*INDEX(Dim_Machine!$D$2:$D$8,MATCH(D158,Dim_Machine!$A$2:$A$8,0))*I158</f>
        <v>15576</v>
      </c>
      <c r="K158" s="4">
        <f>ROUND(J158*0.789,0)</f>
        <v>12289</v>
      </c>
      <c r="L158" s="4">
        <f>ROUND(K158*0.0066,0)</f>
        <v>81</v>
      </c>
      <c r="M158" s="4">
        <f t="shared" si="15"/>
        <v>12208</v>
      </c>
      <c r="N158" s="4">
        <f t="shared" si="16"/>
        <v>0.78897021058038008</v>
      </c>
      <c r="O158" s="4">
        <f t="shared" si="17"/>
        <v>0.98333333333333328</v>
      </c>
      <c r="P158" s="4">
        <f>IFERROR((K158/I158)/(INDEX(Dim_Machine!$E$2:$E$8,MATCH(D158,Dim_Machine!$A$2:$A$8,0))*INDEX(Dim_Machine!$D$2:$D$8,MATCH(D158,Dim_Machine!$A$2:$A$8,0))),0)</f>
        <v>0.78897021058038008</v>
      </c>
      <c r="Q158" s="4">
        <f t="shared" si="18"/>
        <v>0.99340873952315079</v>
      </c>
      <c r="R158" s="4">
        <f t="shared" si="19"/>
        <v>0.77070707070707067</v>
      </c>
      <c r="S158" s="4">
        <f>T158/0.844</f>
        <v>3.6161137440758298</v>
      </c>
      <c r="T158" s="4">
        <f>M158*INDEX(Dim_Product!$C$2:$C$4,MATCH(F158,Dim_Product!$A$2:$A$4,0))/1000000</f>
        <v>3.052</v>
      </c>
      <c r="U158" s="16">
        <f t="shared" si="20"/>
        <v>0.84399999999999997</v>
      </c>
    </row>
    <row r="159" spans="1:21" x14ac:dyDescent="0.25">
      <c r="A159" s="15" t="s">
        <v>300</v>
      </c>
      <c r="B159" s="4">
        <v>20260701</v>
      </c>
      <c r="C159" s="4">
        <v>22</v>
      </c>
      <c r="D159" s="4" t="s">
        <v>25</v>
      </c>
      <c r="E159" s="4" t="s">
        <v>20</v>
      </c>
      <c r="F159" s="4" t="s">
        <v>141</v>
      </c>
      <c r="G159" s="4">
        <v>60</v>
      </c>
      <c r="H159" s="4">
        <v>7.6</v>
      </c>
      <c r="I159" s="4">
        <f t="shared" si="14"/>
        <v>52.4</v>
      </c>
      <c r="J159" s="4">
        <f>INDEX(Dim_Machine!$E$2:$E$8,MATCH(D159,Dim_Machine!$A$2:$A$8,0))*INDEX(Dim_Machine!$D$2:$D$8,MATCH(D159,Dim_Machine!$A$2:$A$8,0))*I159</f>
        <v>37728</v>
      </c>
      <c r="K159" s="4">
        <f>ROUND(J159*0.908,0)</f>
        <v>34257</v>
      </c>
      <c r="L159" s="4">
        <f>ROUND(K159*0.0276,0)</f>
        <v>945</v>
      </c>
      <c r="M159" s="4">
        <f t="shared" si="15"/>
        <v>33312</v>
      </c>
      <c r="N159" s="4">
        <f t="shared" si="16"/>
        <v>0.90799936386768443</v>
      </c>
      <c r="O159" s="4">
        <f t="shared" si="17"/>
        <v>0.87333333333333329</v>
      </c>
      <c r="P159" s="4">
        <f>IFERROR((K159/I159)/(INDEX(Dim_Machine!$E$2:$E$8,MATCH(D159,Dim_Machine!$A$2:$A$8,0))*INDEX(Dim_Machine!$D$2:$D$8,MATCH(D159,Dim_Machine!$A$2:$A$8,0))),0)</f>
        <v>0.90799936386768454</v>
      </c>
      <c r="Q159" s="4">
        <f t="shared" si="18"/>
        <v>0.97241439705753574</v>
      </c>
      <c r="R159" s="4">
        <f t="shared" si="19"/>
        <v>0.77111111111111119</v>
      </c>
      <c r="S159" s="4">
        <f>T159/0.815</f>
        <v>10.21840490797546</v>
      </c>
      <c r="T159" s="4">
        <f>M159*INDEX(Dim_Product!$C$2:$C$4,MATCH(F159,Dim_Product!$A$2:$A$4,0))/1000000</f>
        <v>8.3279999999999994</v>
      </c>
      <c r="U159" s="16">
        <f t="shared" si="20"/>
        <v>0.81499999999999995</v>
      </c>
    </row>
    <row r="160" spans="1:21" x14ac:dyDescent="0.25">
      <c r="A160" s="15" t="s">
        <v>301</v>
      </c>
      <c r="B160" s="4">
        <v>20260701</v>
      </c>
      <c r="C160" s="4">
        <v>22</v>
      </c>
      <c r="D160" s="4" t="s">
        <v>27</v>
      </c>
      <c r="E160" s="4" t="s">
        <v>20</v>
      </c>
      <c r="F160" s="4" t="s">
        <v>141</v>
      </c>
      <c r="G160" s="4">
        <v>60</v>
      </c>
      <c r="H160" s="4">
        <v>0.1</v>
      </c>
      <c r="I160" s="4">
        <f t="shared" si="14"/>
        <v>59.9</v>
      </c>
      <c r="J160" s="4">
        <f>INDEX(Dim_Machine!$E$2:$E$8,MATCH(D160,Dim_Machine!$A$2:$A$8,0))*INDEX(Dim_Machine!$D$2:$D$8,MATCH(D160,Dim_Machine!$A$2:$A$8,0))*I160</f>
        <v>24918.399999999998</v>
      </c>
      <c r="K160" s="4">
        <f>ROUND(J160*0.837,0)</f>
        <v>20857</v>
      </c>
      <c r="L160" s="4">
        <f>ROUND(K160*0.0194,0)</f>
        <v>405</v>
      </c>
      <c r="M160" s="4">
        <f t="shared" si="15"/>
        <v>20452</v>
      </c>
      <c r="N160" s="4">
        <f t="shared" si="16"/>
        <v>0.83701200719147306</v>
      </c>
      <c r="O160" s="4">
        <f t="shared" si="17"/>
        <v>0.99833333333333329</v>
      </c>
      <c r="P160" s="4">
        <f>IFERROR((K160/I160)/(INDEX(Dim_Machine!$E$2:$E$8,MATCH(D160,Dim_Machine!$A$2:$A$8,0))*INDEX(Dim_Machine!$D$2:$D$8,MATCH(D160,Dim_Machine!$A$2:$A$8,0))),0)</f>
        <v>0.83701200719147306</v>
      </c>
      <c r="Q160" s="4">
        <f t="shared" si="18"/>
        <v>0.98058205878122451</v>
      </c>
      <c r="R160" s="4">
        <f t="shared" si="19"/>
        <v>0.81939102564102573</v>
      </c>
      <c r="S160" s="4">
        <f>T160/0.851</f>
        <v>6.00822561692127</v>
      </c>
      <c r="T160" s="4">
        <f>M160*INDEX(Dim_Product!$C$2:$C$4,MATCH(F160,Dim_Product!$A$2:$A$4,0))/1000000</f>
        <v>5.1130000000000004</v>
      </c>
      <c r="U160" s="16">
        <f t="shared" si="20"/>
        <v>0.85099999999999998</v>
      </c>
    </row>
    <row r="161" spans="1:21" x14ac:dyDescent="0.25">
      <c r="A161" s="15" t="s">
        <v>302</v>
      </c>
      <c r="B161" s="4">
        <v>20260701</v>
      </c>
      <c r="C161" s="4">
        <v>22</v>
      </c>
      <c r="D161" s="4" t="s">
        <v>29</v>
      </c>
      <c r="E161" s="4" t="s">
        <v>20</v>
      </c>
      <c r="F161" s="4" t="s">
        <v>143</v>
      </c>
      <c r="G161" s="4">
        <v>60</v>
      </c>
      <c r="H161" s="4">
        <v>7.7</v>
      </c>
      <c r="I161" s="4">
        <f t="shared" si="14"/>
        <v>52.3</v>
      </c>
      <c r="J161" s="4">
        <f>INDEX(Dim_Machine!$E$2:$E$8,MATCH(D161,Dim_Machine!$A$2:$A$8,0))*INDEX(Dim_Machine!$D$2:$D$8,MATCH(D161,Dim_Machine!$A$2:$A$8,0))*I161</f>
        <v>15062.4</v>
      </c>
      <c r="K161" s="4">
        <f>ROUND(J161*0.83,0)</f>
        <v>12502</v>
      </c>
      <c r="L161" s="4">
        <f>ROUND(K161*0.0309,0)</f>
        <v>386</v>
      </c>
      <c r="M161" s="4">
        <f t="shared" si="15"/>
        <v>12116</v>
      </c>
      <c r="N161" s="4">
        <f t="shared" si="16"/>
        <v>0.83001380922031021</v>
      </c>
      <c r="O161" s="4">
        <f t="shared" si="17"/>
        <v>0.87166666666666659</v>
      </c>
      <c r="P161" s="4">
        <f>IFERROR((K161/I161)/(INDEX(Dim_Machine!$E$2:$E$8,MATCH(D161,Dim_Machine!$A$2:$A$8,0))*INDEX(Dim_Machine!$D$2:$D$8,MATCH(D161,Dim_Machine!$A$2:$A$8,0))),0)</f>
        <v>0.83001380922031021</v>
      </c>
      <c r="Q161" s="4">
        <f t="shared" si="18"/>
        <v>0.96912494000959848</v>
      </c>
      <c r="R161" s="4">
        <f t="shared" si="19"/>
        <v>0.7011574074074074</v>
      </c>
      <c r="S161" s="4">
        <f>T161/0.817</f>
        <v>2.9659730722154225</v>
      </c>
      <c r="T161" s="4">
        <f>M161*INDEX(Dim_Product!$C$2:$C$4,MATCH(F161,Dim_Product!$A$2:$A$4,0))/1000000</f>
        <v>2.4232</v>
      </c>
      <c r="U161" s="16">
        <f t="shared" si="20"/>
        <v>0.81699999999999995</v>
      </c>
    </row>
    <row r="162" spans="1:21" x14ac:dyDescent="0.25">
      <c r="A162" s="15" t="s">
        <v>303</v>
      </c>
      <c r="B162" s="4">
        <v>20260701</v>
      </c>
      <c r="C162" s="4">
        <v>22</v>
      </c>
      <c r="D162" s="4" t="s">
        <v>31</v>
      </c>
      <c r="E162" s="4" t="s">
        <v>20</v>
      </c>
      <c r="F162" s="4" t="s">
        <v>141</v>
      </c>
      <c r="G162" s="4">
        <v>60</v>
      </c>
      <c r="H162" s="4">
        <v>0.5</v>
      </c>
      <c r="I162" s="4">
        <f t="shared" si="14"/>
        <v>59.5</v>
      </c>
      <c r="J162" s="4">
        <f>INDEX(Dim_Machine!$E$2:$E$8,MATCH(D162,Dim_Machine!$A$2:$A$8,0))*INDEX(Dim_Machine!$D$2:$D$8,MATCH(D162,Dim_Machine!$A$2:$A$8,0))*I162</f>
        <v>38556</v>
      </c>
      <c r="K162" s="4">
        <f>ROUND(J162*0.878,0)</f>
        <v>33852</v>
      </c>
      <c r="L162" s="4">
        <f>ROUND(K162*0.0223,0)</f>
        <v>755</v>
      </c>
      <c r="M162" s="4">
        <f t="shared" si="15"/>
        <v>33097</v>
      </c>
      <c r="N162" s="4">
        <f t="shared" si="16"/>
        <v>0.87799564270152508</v>
      </c>
      <c r="O162" s="4">
        <f t="shared" si="17"/>
        <v>0.9916666666666667</v>
      </c>
      <c r="P162" s="4">
        <f>IFERROR((K162/I162)/(INDEX(Dim_Machine!$E$2:$E$8,MATCH(D162,Dim_Machine!$A$2:$A$8,0))*INDEX(Dim_Machine!$D$2:$D$8,MATCH(D162,Dim_Machine!$A$2:$A$8,0))),0)</f>
        <v>0.87799564270152519</v>
      </c>
      <c r="Q162" s="4">
        <f t="shared" si="18"/>
        <v>0.97769703414864706</v>
      </c>
      <c r="R162" s="4">
        <f t="shared" si="19"/>
        <v>0.85126028806584375</v>
      </c>
      <c r="S162" s="4">
        <f>T162/0.903</f>
        <v>9.1630675526024365</v>
      </c>
      <c r="T162" s="4">
        <f>M162*INDEX(Dim_Product!$C$2:$C$4,MATCH(F162,Dim_Product!$A$2:$A$4,0))/1000000</f>
        <v>8.2742500000000003</v>
      </c>
      <c r="U162" s="16">
        <f t="shared" si="20"/>
        <v>0.90300000000000002</v>
      </c>
    </row>
    <row r="163" spans="1:21" x14ac:dyDescent="0.25">
      <c r="A163" s="15" t="s">
        <v>304</v>
      </c>
      <c r="B163" s="4">
        <v>20260701</v>
      </c>
      <c r="C163" s="4">
        <v>23</v>
      </c>
      <c r="D163" s="4" t="s">
        <v>15</v>
      </c>
      <c r="E163" s="4" t="s">
        <v>20</v>
      </c>
      <c r="F163" s="4" t="s">
        <v>141</v>
      </c>
      <c r="G163" s="4">
        <v>60</v>
      </c>
      <c r="H163" s="4">
        <v>1.2</v>
      </c>
      <c r="I163" s="4">
        <f t="shared" si="14"/>
        <v>58.8</v>
      </c>
      <c r="J163" s="4">
        <f>INDEX(Dim_Machine!$E$2:$E$8,MATCH(D163,Dim_Machine!$A$2:$A$8,0))*INDEX(Dim_Machine!$D$2:$D$8,MATCH(D163,Dim_Machine!$A$2:$A$8,0))*I163</f>
        <v>23520</v>
      </c>
      <c r="K163" s="4">
        <f>ROUND(J163*0.942,0)</f>
        <v>22156</v>
      </c>
      <c r="L163" s="4">
        <f>ROUND(K163*0.0335,0)</f>
        <v>742</v>
      </c>
      <c r="M163" s="4">
        <f t="shared" si="15"/>
        <v>21414</v>
      </c>
      <c r="N163" s="4">
        <f t="shared" si="16"/>
        <v>0.94200680272108839</v>
      </c>
      <c r="O163" s="4">
        <f t="shared" si="17"/>
        <v>0.98</v>
      </c>
      <c r="P163" s="4">
        <f>IFERROR((K163/I163)/(INDEX(Dim_Machine!$E$2:$E$8,MATCH(D163,Dim_Machine!$A$2:$A$8,0))*INDEX(Dim_Machine!$D$2:$D$8,MATCH(D163,Dim_Machine!$A$2:$A$8,0))),0)</f>
        <v>0.9420068027210885</v>
      </c>
      <c r="Q163" s="4">
        <f t="shared" si="18"/>
        <v>0.96651020039718361</v>
      </c>
      <c r="R163" s="4">
        <f t="shared" si="19"/>
        <v>0.89224999999999999</v>
      </c>
      <c r="S163" s="4">
        <f>T163/0.813</f>
        <v>6.5848708487084879</v>
      </c>
      <c r="T163" s="4">
        <f>M163*INDEX(Dim_Product!$C$2:$C$4,MATCH(F163,Dim_Product!$A$2:$A$4,0))/1000000</f>
        <v>5.3535000000000004</v>
      </c>
      <c r="U163" s="16">
        <f t="shared" si="20"/>
        <v>0.81299999999999994</v>
      </c>
    </row>
    <row r="164" spans="1:21" x14ac:dyDescent="0.25">
      <c r="A164" s="15" t="s">
        <v>305</v>
      </c>
      <c r="B164" s="4">
        <v>20260701</v>
      </c>
      <c r="C164" s="4">
        <v>23</v>
      </c>
      <c r="D164" s="4" t="s">
        <v>19</v>
      </c>
      <c r="E164" s="4" t="s">
        <v>20</v>
      </c>
      <c r="F164" s="4" t="s">
        <v>143</v>
      </c>
      <c r="G164" s="4">
        <v>60</v>
      </c>
      <c r="H164" s="4">
        <v>2</v>
      </c>
      <c r="I164" s="4">
        <f t="shared" si="14"/>
        <v>58</v>
      </c>
      <c r="J164" s="4">
        <f>INDEX(Dim_Machine!$E$2:$E$8,MATCH(D164,Dim_Machine!$A$2:$A$8,0))*INDEX(Dim_Machine!$D$2:$D$8,MATCH(D164,Dim_Machine!$A$2:$A$8,0))*I164</f>
        <v>38976</v>
      </c>
      <c r="K164" s="4">
        <f>ROUND(J164*0.892,0)</f>
        <v>34767</v>
      </c>
      <c r="L164" s="4">
        <f>ROUND(K164*0.0175,0)</f>
        <v>608</v>
      </c>
      <c r="M164" s="4">
        <f t="shared" si="15"/>
        <v>34159</v>
      </c>
      <c r="N164" s="4">
        <f t="shared" si="16"/>
        <v>0.8920104679802956</v>
      </c>
      <c r="O164" s="4">
        <f t="shared" si="17"/>
        <v>0.96666666666666667</v>
      </c>
      <c r="P164" s="4">
        <f>IFERROR((K164/I164)/(INDEX(Dim_Machine!$E$2:$E$8,MATCH(D164,Dim_Machine!$A$2:$A$8,0))*INDEX(Dim_Machine!$D$2:$D$8,MATCH(D164,Dim_Machine!$A$2:$A$8,0))),0)</f>
        <v>0.8920104679802956</v>
      </c>
      <c r="Q164" s="4">
        <f t="shared" si="18"/>
        <v>0.98251215232835731</v>
      </c>
      <c r="R164" s="4">
        <f t="shared" si="19"/>
        <v>0.84719742063492065</v>
      </c>
      <c r="S164" s="4">
        <f>T164/0.889</f>
        <v>7.684814398200225</v>
      </c>
      <c r="T164" s="4">
        <f>M164*INDEX(Dim_Product!$C$2:$C$4,MATCH(F164,Dim_Product!$A$2:$A$4,0))/1000000</f>
        <v>6.8318000000000003</v>
      </c>
      <c r="U164" s="16">
        <f t="shared" si="20"/>
        <v>0.88900000000000001</v>
      </c>
    </row>
    <row r="165" spans="1:21" x14ac:dyDescent="0.25">
      <c r="A165" s="15" t="s">
        <v>306</v>
      </c>
      <c r="B165" s="4">
        <v>20260701</v>
      </c>
      <c r="C165" s="4">
        <v>23</v>
      </c>
      <c r="D165" s="4" t="s">
        <v>23</v>
      </c>
      <c r="E165" s="4" t="s">
        <v>20</v>
      </c>
      <c r="F165" s="4" t="s">
        <v>141</v>
      </c>
      <c r="G165" s="4">
        <v>60</v>
      </c>
      <c r="H165" s="4">
        <v>4.9000000000000004</v>
      </c>
      <c r="I165" s="4">
        <f t="shared" si="14"/>
        <v>55.1</v>
      </c>
      <c r="J165" s="4">
        <f>INDEX(Dim_Machine!$E$2:$E$8,MATCH(D165,Dim_Machine!$A$2:$A$8,0))*INDEX(Dim_Machine!$D$2:$D$8,MATCH(D165,Dim_Machine!$A$2:$A$8,0))*I165</f>
        <v>14546.4</v>
      </c>
      <c r="K165" s="4">
        <f>ROUND(J165*0.935,0)</f>
        <v>13601</v>
      </c>
      <c r="L165" s="4">
        <f>ROUND(K165*0.0164,0)</f>
        <v>223</v>
      </c>
      <c r="M165" s="4">
        <f t="shared" si="15"/>
        <v>13378</v>
      </c>
      <c r="N165" s="4">
        <f t="shared" si="16"/>
        <v>0.93500797448165873</v>
      </c>
      <c r="O165" s="4">
        <f t="shared" si="17"/>
        <v>0.91833333333333333</v>
      </c>
      <c r="P165" s="4">
        <f>IFERROR((K165/I165)/(INDEX(Dim_Machine!$E$2:$E$8,MATCH(D165,Dim_Machine!$A$2:$A$8,0))*INDEX(Dim_Machine!$D$2:$D$8,MATCH(D165,Dim_Machine!$A$2:$A$8,0))),0)</f>
        <v>0.93500797448165862</v>
      </c>
      <c r="Q165" s="4">
        <f t="shared" si="18"/>
        <v>0.98360414675391517</v>
      </c>
      <c r="R165" s="4">
        <f t="shared" si="19"/>
        <v>0.84457070707070703</v>
      </c>
      <c r="S165" s="4">
        <f>T165/0.936</f>
        <v>3.5731837606837606</v>
      </c>
      <c r="T165" s="4">
        <f>M165*INDEX(Dim_Product!$C$2:$C$4,MATCH(F165,Dim_Product!$A$2:$A$4,0))/1000000</f>
        <v>3.3445</v>
      </c>
      <c r="U165" s="16">
        <f t="shared" si="20"/>
        <v>0.93600000000000005</v>
      </c>
    </row>
    <row r="166" spans="1:21" x14ac:dyDescent="0.25">
      <c r="A166" s="15" t="s">
        <v>307</v>
      </c>
      <c r="B166" s="4">
        <v>20260701</v>
      </c>
      <c r="C166" s="4">
        <v>23</v>
      </c>
      <c r="D166" s="4" t="s">
        <v>25</v>
      </c>
      <c r="E166" s="4" t="s">
        <v>20</v>
      </c>
      <c r="F166" s="4" t="s">
        <v>141</v>
      </c>
      <c r="G166" s="4">
        <v>60</v>
      </c>
      <c r="H166" s="4">
        <v>2.4</v>
      </c>
      <c r="I166" s="4">
        <f t="shared" si="14"/>
        <v>57.6</v>
      </c>
      <c r="J166" s="4">
        <f>INDEX(Dim_Machine!$E$2:$E$8,MATCH(D166,Dim_Machine!$A$2:$A$8,0))*INDEX(Dim_Machine!$D$2:$D$8,MATCH(D166,Dim_Machine!$A$2:$A$8,0))*I166</f>
        <v>41472</v>
      </c>
      <c r="K166" s="4">
        <f>ROUND(J166*0.898,0)</f>
        <v>37242</v>
      </c>
      <c r="L166" s="4">
        <f>ROUND(K166*0.0179,0)</f>
        <v>667</v>
      </c>
      <c r="M166" s="4">
        <f t="shared" si="15"/>
        <v>36575</v>
      </c>
      <c r="N166" s="4">
        <f t="shared" si="16"/>
        <v>0.89800347222222221</v>
      </c>
      <c r="O166" s="4">
        <f t="shared" si="17"/>
        <v>0.96000000000000008</v>
      </c>
      <c r="P166" s="4">
        <f>IFERROR((K166/I166)/(INDEX(Dim_Machine!$E$2:$E$8,MATCH(D166,Dim_Machine!$A$2:$A$8,0))*INDEX(Dim_Machine!$D$2:$D$8,MATCH(D166,Dim_Machine!$A$2:$A$8,0))),0)</f>
        <v>0.89800347222222221</v>
      </c>
      <c r="Q166" s="4">
        <f t="shared" si="18"/>
        <v>0.98209011331292628</v>
      </c>
      <c r="R166" s="4">
        <f t="shared" si="19"/>
        <v>0.8466435185185186</v>
      </c>
      <c r="S166" s="4">
        <f>T166/0.885</f>
        <v>10.331920903954803</v>
      </c>
      <c r="T166" s="4">
        <f>M166*INDEX(Dim_Product!$C$2:$C$4,MATCH(F166,Dim_Product!$A$2:$A$4,0))/1000000</f>
        <v>9.1437500000000007</v>
      </c>
      <c r="U166" s="16">
        <f t="shared" si="20"/>
        <v>0.88500000000000001</v>
      </c>
    </row>
    <row r="167" spans="1:21" x14ac:dyDescent="0.25">
      <c r="A167" s="15" t="s">
        <v>308</v>
      </c>
      <c r="B167" s="4">
        <v>20260701</v>
      </c>
      <c r="C167" s="4">
        <v>23</v>
      </c>
      <c r="D167" s="4" t="s">
        <v>27</v>
      </c>
      <c r="E167" s="4" t="s">
        <v>20</v>
      </c>
      <c r="F167" s="4" t="s">
        <v>141</v>
      </c>
      <c r="G167" s="4">
        <v>60</v>
      </c>
      <c r="H167" s="4">
        <v>0.5</v>
      </c>
      <c r="I167" s="4">
        <f t="shared" si="14"/>
        <v>59.5</v>
      </c>
      <c r="J167" s="4">
        <f>INDEX(Dim_Machine!$E$2:$E$8,MATCH(D167,Dim_Machine!$A$2:$A$8,0))*INDEX(Dim_Machine!$D$2:$D$8,MATCH(D167,Dim_Machine!$A$2:$A$8,0))*I167</f>
        <v>24752</v>
      </c>
      <c r="K167" s="4">
        <f>ROUND(J167*0.972,0)</f>
        <v>24059</v>
      </c>
      <c r="L167" s="4">
        <f>ROUND(K167*0.008,0)</f>
        <v>192</v>
      </c>
      <c r="M167" s="4">
        <f t="shared" si="15"/>
        <v>23867</v>
      </c>
      <c r="N167" s="4">
        <f t="shared" si="16"/>
        <v>0.9720022624434389</v>
      </c>
      <c r="O167" s="4">
        <f t="shared" si="17"/>
        <v>0.9916666666666667</v>
      </c>
      <c r="P167" s="4">
        <f>IFERROR((K167/I167)/(INDEX(Dim_Machine!$E$2:$E$8,MATCH(D167,Dim_Machine!$A$2:$A$8,0))*INDEX(Dim_Machine!$D$2:$D$8,MATCH(D167,Dim_Machine!$A$2:$A$8,0))),0)</f>
        <v>0.97200226244343901</v>
      </c>
      <c r="Q167" s="4">
        <f t="shared" si="18"/>
        <v>0.99201961843800657</v>
      </c>
      <c r="R167" s="4">
        <f t="shared" si="19"/>
        <v>0.95620993589743608</v>
      </c>
      <c r="S167" s="4">
        <f>T167/0.914</f>
        <v>6.5281728665207881</v>
      </c>
      <c r="T167" s="4">
        <f>M167*INDEX(Dim_Product!$C$2:$C$4,MATCH(F167,Dim_Product!$A$2:$A$4,0))/1000000</f>
        <v>5.9667500000000002</v>
      </c>
      <c r="U167" s="16">
        <f t="shared" si="20"/>
        <v>0.91400000000000003</v>
      </c>
    </row>
    <row r="168" spans="1:21" x14ac:dyDescent="0.25">
      <c r="A168" s="15" t="s">
        <v>309</v>
      </c>
      <c r="B168" s="4">
        <v>20260701</v>
      </c>
      <c r="C168" s="4">
        <v>23</v>
      </c>
      <c r="D168" s="4" t="s">
        <v>29</v>
      </c>
      <c r="E168" s="4" t="s">
        <v>20</v>
      </c>
      <c r="F168" s="4" t="s">
        <v>143</v>
      </c>
      <c r="G168" s="4">
        <v>60</v>
      </c>
      <c r="H168" s="4">
        <v>5</v>
      </c>
      <c r="I168" s="4">
        <f t="shared" si="14"/>
        <v>55</v>
      </c>
      <c r="J168" s="4">
        <f>INDEX(Dim_Machine!$E$2:$E$8,MATCH(D168,Dim_Machine!$A$2:$A$8,0))*INDEX(Dim_Machine!$D$2:$D$8,MATCH(D168,Dim_Machine!$A$2:$A$8,0))*I168</f>
        <v>15840</v>
      </c>
      <c r="K168" s="4">
        <f>ROUND(J168*0.833,0)</f>
        <v>13195</v>
      </c>
      <c r="L168" s="4">
        <f>ROUND(K168*0.0074,0)</f>
        <v>98</v>
      </c>
      <c r="M168" s="4">
        <f t="shared" si="15"/>
        <v>13097</v>
      </c>
      <c r="N168" s="4">
        <f t="shared" si="16"/>
        <v>0.8330176767676768</v>
      </c>
      <c r="O168" s="4">
        <f t="shared" si="17"/>
        <v>0.91666666666666663</v>
      </c>
      <c r="P168" s="4">
        <f>IFERROR((K168/I168)/(INDEX(Dim_Machine!$E$2:$E$8,MATCH(D168,Dim_Machine!$A$2:$A$8,0))*INDEX(Dim_Machine!$D$2:$D$8,MATCH(D168,Dim_Machine!$A$2:$A$8,0))),0)</f>
        <v>0.8330176767676768</v>
      </c>
      <c r="Q168" s="4">
        <f t="shared" si="18"/>
        <v>0.9925729442970822</v>
      </c>
      <c r="R168" s="4">
        <f t="shared" si="19"/>
        <v>0.75792824074074061</v>
      </c>
      <c r="S168" s="4">
        <f>T168/0.836</f>
        <v>3.1332535885167467</v>
      </c>
      <c r="T168" s="4">
        <f>M168*INDEX(Dim_Product!$C$2:$C$4,MATCH(F168,Dim_Product!$A$2:$A$4,0))/1000000</f>
        <v>2.6194000000000002</v>
      </c>
      <c r="U168" s="16">
        <f t="shared" si="20"/>
        <v>0.83599999999999997</v>
      </c>
    </row>
    <row r="169" spans="1:21" x14ac:dyDescent="0.25">
      <c r="A169" s="15" t="s">
        <v>310</v>
      </c>
      <c r="B169" s="4">
        <v>20260701</v>
      </c>
      <c r="C169" s="4">
        <v>23</v>
      </c>
      <c r="D169" s="4" t="s">
        <v>31</v>
      </c>
      <c r="E169" s="4" t="s">
        <v>20</v>
      </c>
      <c r="F169" s="4" t="s">
        <v>141</v>
      </c>
      <c r="G169" s="4">
        <v>60</v>
      </c>
      <c r="H169" s="4">
        <v>4.4000000000000004</v>
      </c>
      <c r="I169" s="4">
        <f t="shared" si="14"/>
        <v>55.6</v>
      </c>
      <c r="J169" s="4">
        <f>INDEX(Dim_Machine!$E$2:$E$8,MATCH(D169,Dim_Machine!$A$2:$A$8,0))*INDEX(Dim_Machine!$D$2:$D$8,MATCH(D169,Dim_Machine!$A$2:$A$8,0))*I169</f>
        <v>36028.800000000003</v>
      </c>
      <c r="K169" s="4">
        <f>ROUND(J169*0.811,0)</f>
        <v>29219</v>
      </c>
      <c r="L169" s="4">
        <f>ROUND(K169*0.0173,0)</f>
        <v>505</v>
      </c>
      <c r="M169" s="4">
        <f t="shared" si="15"/>
        <v>28714</v>
      </c>
      <c r="N169" s="4">
        <f t="shared" si="16"/>
        <v>0.81099009681143963</v>
      </c>
      <c r="O169" s="4">
        <f t="shared" si="17"/>
        <v>0.92666666666666664</v>
      </c>
      <c r="P169" s="4">
        <f>IFERROR((K169/I169)/(INDEX(Dim_Machine!$E$2:$E$8,MATCH(D169,Dim_Machine!$A$2:$A$8,0))*INDEX(Dim_Machine!$D$2:$D$8,MATCH(D169,Dim_Machine!$A$2:$A$8,0))),0)</f>
        <v>0.81099009681143974</v>
      </c>
      <c r="Q169" s="4">
        <f t="shared" si="18"/>
        <v>0.98271672541839217</v>
      </c>
      <c r="R169" s="4">
        <f t="shared" si="19"/>
        <v>0.73852880658436215</v>
      </c>
      <c r="S169" s="4">
        <f>T169/0.903</f>
        <v>7.9496124031007742</v>
      </c>
      <c r="T169" s="4">
        <f>M169*INDEX(Dim_Product!$C$2:$C$4,MATCH(F169,Dim_Product!$A$2:$A$4,0))/1000000</f>
        <v>7.1784999999999997</v>
      </c>
      <c r="U169" s="16">
        <f t="shared" si="20"/>
        <v>0.90300000000000002</v>
      </c>
    </row>
    <row r="170" spans="1:21" x14ac:dyDescent="0.25">
      <c r="A170" s="15" t="s">
        <v>311</v>
      </c>
      <c r="B170" s="4">
        <v>20260702</v>
      </c>
      <c r="C170" s="4">
        <v>0</v>
      </c>
      <c r="D170" s="4" t="s">
        <v>15</v>
      </c>
      <c r="E170" s="4" t="s">
        <v>20</v>
      </c>
      <c r="F170" s="4" t="s">
        <v>187</v>
      </c>
      <c r="G170" s="4">
        <v>60</v>
      </c>
      <c r="H170" s="4">
        <v>3.8</v>
      </c>
      <c r="I170" s="4">
        <f t="shared" si="14"/>
        <v>56.2</v>
      </c>
      <c r="J170" s="4">
        <f>INDEX(Dim_Machine!$E$2:$E$8,MATCH(D170,Dim_Machine!$A$2:$A$8,0))*INDEX(Dim_Machine!$D$2:$D$8,MATCH(D170,Dim_Machine!$A$2:$A$8,0))*I170</f>
        <v>22480</v>
      </c>
      <c r="K170" s="4">
        <f>ROUND(J170*0.787,0)</f>
        <v>17692</v>
      </c>
      <c r="L170" s="4">
        <f>ROUND(K170*0.0136,0)</f>
        <v>241</v>
      </c>
      <c r="M170" s="4">
        <f t="shared" si="15"/>
        <v>17451</v>
      </c>
      <c r="N170" s="4">
        <f t="shared" si="16"/>
        <v>0.7870106761565836</v>
      </c>
      <c r="O170" s="4">
        <f t="shared" si="17"/>
        <v>0.93666666666666676</v>
      </c>
      <c r="P170" s="4">
        <f>IFERROR((K170/I170)/(INDEX(Dim_Machine!$E$2:$E$8,MATCH(D170,Dim_Machine!$A$2:$A$8,0))*INDEX(Dim_Machine!$D$2:$D$8,MATCH(D170,Dim_Machine!$A$2:$A$8,0))),0)</f>
        <v>0.7870106761565836</v>
      </c>
      <c r="Q170" s="4">
        <f t="shared" si="18"/>
        <v>0.98637802396563423</v>
      </c>
      <c r="R170" s="4">
        <f t="shared" si="19"/>
        <v>0.72712500000000013</v>
      </c>
      <c r="S170" s="4">
        <f>T170/0.842</f>
        <v>6.2176959619952488</v>
      </c>
      <c r="T170" s="4">
        <f>M170*INDEX(Dim_Product!$C$2:$C$4,MATCH(F170,Dim_Product!$A$2:$A$4,0))/1000000</f>
        <v>5.2352999999999996</v>
      </c>
      <c r="U170" s="16">
        <f t="shared" si="20"/>
        <v>0.84199999999999997</v>
      </c>
    </row>
    <row r="171" spans="1:21" x14ac:dyDescent="0.25">
      <c r="A171" s="15" t="s">
        <v>312</v>
      </c>
      <c r="B171" s="4">
        <v>20260702</v>
      </c>
      <c r="C171" s="4">
        <v>0</v>
      </c>
      <c r="D171" s="4" t="s">
        <v>19</v>
      </c>
      <c r="E171" s="4" t="s">
        <v>20</v>
      </c>
      <c r="F171" s="4" t="s">
        <v>141</v>
      </c>
      <c r="G171" s="4">
        <v>60</v>
      </c>
      <c r="H171" s="4">
        <v>6.9</v>
      </c>
      <c r="I171" s="4">
        <f t="shared" si="14"/>
        <v>53.1</v>
      </c>
      <c r="J171" s="4">
        <f>INDEX(Dim_Machine!$E$2:$E$8,MATCH(D171,Dim_Machine!$A$2:$A$8,0))*INDEX(Dim_Machine!$D$2:$D$8,MATCH(D171,Dim_Machine!$A$2:$A$8,0))*I171</f>
        <v>35683.200000000004</v>
      </c>
      <c r="K171" s="4">
        <f>ROUND(J171*0.794,0)</f>
        <v>28332</v>
      </c>
      <c r="L171" s="4">
        <f>ROUND(K171*0.012,0)</f>
        <v>340</v>
      </c>
      <c r="M171" s="4">
        <f t="shared" si="15"/>
        <v>27992</v>
      </c>
      <c r="N171" s="4">
        <f t="shared" si="16"/>
        <v>0.79398708635996762</v>
      </c>
      <c r="O171" s="4">
        <f t="shared" si="17"/>
        <v>0.88500000000000001</v>
      </c>
      <c r="P171" s="4">
        <f>IFERROR((K171/I171)/(INDEX(Dim_Machine!$E$2:$E$8,MATCH(D171,Dim_Machine!$A$2:$A$8,0))*INDEX(Dim_Machine!$D$2:$D$8,MATCH(D171,Dim_Machine!$A$2:$A$8,0))),0)</f>
        <v>0.79398708635996773</v>
      </c>
      <c r="Q171" s="4">
        <f t="shared" si="18"/>
        <v>0.98799943526754197</v>
      </c>
      <c r="R171" s="4">
        <f t="shared" si="19"/>
        <v>0.69424603174603183</v>
      </c>
      <c r="S171" s="4">
        <f>T171/0.84</f>
        <v>8.3309523809523807</v>
      </c>
      <c r="T171" s="4">
        <f>M171*INDEX(Dim_Product!$C$2:$C$4,MATCH(F171,Dim_Product!$A$2:$A$4,0))/1000000</f>
        <v>6.9980000000000002</v>
      </c>
      <c r="U171" s="16">
        <f t="shared" si="20"/>
        <v>0.84000000000000008</v>
      </c>
    </row>
    <row r="172" spans="1:21" x14ac:dyDescent="0.25">
      <c r="A172" s="15" t="s">
        <v>313</v>
      </c>
      <c r="B172" s="4">
        <v>20260702</v>
      </c>
      <c r="C172" s="4">
        <v>0</v>
      </c>
      <c r="D172" s="4" t="s">
        <v>23</v>
      </c>
      <c r="E172" s="4" t="s">
        <v>20</v>
      </c>
      <c r="F172" s="4" t="s">
        <v>141</v>
      </c>
      <c r="G172" s="4">
        <v>60</v>
      </c>
      <c r="H172" s="4">
        <v>6.3</v>
      </c>
      <c r="I172" s="4">
        <f t="shared" si="14"/>
        <v>53.7</v>
      </c>
      <c r="J172" s="4">
        <f>INDEX(Dim_Machine!$E$2:$E$8,MATCH(D172,Dim_Machine!$A$2:$A$8,0))*INDEX(Dim_Machine!$D$2:$D$8,MATCH(D172,Dim_Machine!$A$2:$A$8,0))*I172</f>
        <v>14176.800000000001</v>
      </c>
      <c r="K172" s="4">
        <f>ROUND(J172*0.898,0)</f>
        <v>12731</v>
      </c>
      <c r="L172" s="4">
        <f>ROUND(K172*0.0291,0)</f>
        <v>370</v>
      </c>
      <c r="M172" s="4">
        <f t="shared" si="15"/>
        <v>12361</v>
      </c>
      <c r="N172" s="4">
        <f t="shared" si="16"/>
        <v>0.89801647762541614</v>
      </c>
      <c r="O172" s="4">
        <f t="shared" si="17"/>
        <v>0.89500000000000002</v>
      </c>
      <c r="P172" s="4">
        <f>IFERROR((K172/I172)/(INDEX(Dim_Machine!$E$2:$E$8,MATCH(D172,Dim_Machine!$A$2:$A$8,0))*INDEX(Dim_Machine!$D$2:$D$8,MATCH(D172,Dim_Machine!$A$2:$A$8,0))),0)</f>
        <v>0.89801647762541614</v>
      </c>
      <c r="Q172" s="4">
        <f t="shared" si="18"/>
        <v>0.97093708271149159</v>
      </c>
      <c r="R172" s="4">
        <f t="shared" si="19"/>
        <v>0.78036616161616157</v>
      </c>
      <c r="S172" s="4">
        <f>T172/0.83</f>
        <v>3.7231927710843378</v>
      </c>
      <c r="T172" s="4">
        <f>M172*INDEX(Dim_Product!$C$2:$C$4,MATCH(F172,Dim_Product!$A$2:$A$4,0))/1000000</f>
        <v>3.0902500000000002</v>
      </c>
      <c r="U172" s="16">
        <f t="shared" si="20"/>
        <v>0.83</v>
      </c>
    </row>
    <row r="173" spans="1:21" x14ac:dyDescent="0.25">
      <c r="A173" s="15" t="s">
        <v>314</v>
      </c>
      <c r="B173" s="4">
        <v>20260702</v>
      </c>
      <c r="C173" s="4">
        <v>0</v>
      </c>
      <c r="D173" s="4" t="s">
        <v>25</v>
      </c>
      <c r="E173" s="4" t="s">
        <v>20</v>
      </c>
      <c r="F173" s="4" t="s">
        <v>143</v>
      </c>
      <c r="G173" s="4">
        <v>60</v>
      </c>
      <c r="H173" s="4">
        <v>0.9</v>
      </c>
      <c r="I173" s="4">
        <f t="shared" si="14"/>
        <v>59.1</v>
      </c>
      <c r="J173" s="4">
        <f>INDEX(Dim_Machine!$E$2:$E$8,MATCH(D173,Dim_Machine!$A$2:$A$8,0))*INDEX(Dim_Machine!$D$2:$D$8,MATCH(D173,Dim_Machine!$A$2:$A$8,0))*I173</f>
        <v>42552</v>
      </c>
      <c r="K173" s="4">
        <f>ROUND(J173*0.825,0)</f>
        <v>35105</v>
      </c>
      <c r="L173" s="4">
        <f>ROUND(K173*0.0095,0)</f>
        <v>333</v>
      </c>
      <c r="M173" s="4">
        <f t="shared" si="15"/>
        <v>34772</v>
      </c>
      <c r="N173" s="4">
        <f t="shared" si="16"/>
        <v>0.82499059973679267</v>
      </c>
      <c r="O173" s="4">
        <f t="shared" si="17"/>
        <v>0.98499999999999999</v>
      </c>
      <c r="P173" s="4">
        <f>IFERROR((K173/I173)/(INDEX(Dim_Machine!$E$2:$E$8,MATCH(D173,Dim_Machine!$A$2:$A$8,0))*INDEX(Dim_Machine!$D$2:$D$8,MATCH(D173,Dim_Machine!$A$2:$A$8,0))),0)</f>
        <v>0.82499059973679256</v>
      </c>
      <c r="Q173" s="4">
        <f t="shared" si="18"/>
        <v>0.99051417177040313</v>
      </c>
      <c r="R173" s="4">
        <f t="shared" si="19"/>
        <v>0.80490740740740729</v>
      </c>
      <c r="S173" s="4">
        <f>T173/0.84</f>
        <v>8.2790476190476188</v>
      </c>
      <c r="T173" s="4">
        <f>M173*INDEX(Dim_Product!$C$2:$C$4,MATCH(F173,Dim_Product!$A$2:$A$4,0))/1000000</f>
        <v>6.9543999999999997</v>
      </c>
      <c r="U173" s="16">
        <f t="shared" si="20"/>
        <v>0.84</v>
      </c>
    </row>
    <row r="174" spans="1:21" x14ac:dyDescent="0.25">
      <c r="A174" s="15" t="s">
        <v>315</v>
      </c>
      <c r="B174" s="4">
        <v>20260702</v>
      </c>
      <c r="C174" s="4">
        <v>0</v>
      </c>
      <c r="D174" s="4" t="s">
        <v>27</v>
      </c>
      <c r="E174" s="4" t="s">
        <v>20</v>
      </c>
      <c r="F174" s="4" t="s">
        <v>141</v>
      </c>
      <c r="G174" s="4">
        <v>60</v>
      </c>
      <c r="H174" s="4">
        <v>1.1000000000000001</v>
      </c>
      <c r="I174" s="4">
        <f t="shared" si="14"/>
        <v>58.9</v>
      </c>
      <c r="J174" s="4">
        <f>INDEX(Dim_Machine!$E$2:$E$8,MATCH(D174,Dim_Machine!$A$2:$A$8,0))*INDEX(Dim_Machine!$D$2:$D$8,MATCH(D174,Dim_Machine!$A$2:$A$8,0))*I174</f>
        <v>24502.399999999998</v>
      </c>
      <c r="K174" s="4">
        <f>ROUND(J174*0.792,0)</f>
        <v>19406</v>
      </c>
      <c r="L174" s="4">
        <f>ROUND(K174*0.0288,0)</f>
        <v>559</v>
      </c>
      <c r="M174" s="4">
        <f t="shared" si="15"/>
        <v>18847</v>
      </c>
      <c r="N174" s="4">
        <f t="shared" si="16"/>
        <v>0.792004048582996</v>
      </c>
      <c r="O174" s="4">
        <f t="shared" si="17"/>
        <v>0.98166666666666669</v>
      </c>
      <c r="P174" s="4">
        <f>IFERROR((K174/I174)/(INDEX(Dim_Machine!$E$2:$E$8,MATCH(D174,Dim_Machine!$A$2:$A$8,0))*INDEX(Dim_Machine!$D$2:$D$8,MATCH(D174,Dim_Machine!$A$2:$A$8,0))),0)</f>
        <v>0.79200404858299589</v>
      </c>
      <c r="Q174" s="4">
        <f t="shared" si="18"/>
        <v>0.97119447593527775</v>
      </c>
      <c r="R174" s="4">
        <f t="shared" si="19"/>
        <v>0.75508814102564104</v>
      </c>
      <c r="S174" s="4">
        <f>T174/0.889</f>
        <v>5.300056242969629</v>
      </c>
      <c r="T174" s="4">
        <f>M174*INDEX(Dim_Product!$C$2:$C$4,MATCH(F174,Dim_Product!$A$2:$A$4,0))/1000000</f>
        <v>4.7117500000000003</v>
      </c>
      <c r="U174" s="16">
        <f t="shared" si="20"/>
        <v>0.88900000000000001</v>
      </c>
    </row>
    <row r="175" spans="1:21" x14ac:dyDescent="0.25">
      <c r="A175" s="15" t="s">
        <v>316</v>
      </c>
      <c r="B175" s="4">
        <v>20260702</v>
      </c>
      <c r="C175" s="4">
        <v>0</v>
      </c>
      <c r="D175" s="4" t="s">
        <v>29</v>
      </c>
      <c r="E175" s="4" t="s">
        <v>20</v>
      </c>
      <c r="F175" s="4" t="s">
        <v>141</v>
      </c>
      <c r="G175" s="4">
        <v>60</v>
      </c>
      <c r="H175" s="4">
        <v>6.6</v>
      </c>
      <c r="I175" s="4">
        <f t="shared" si="14"/>
        <v>53.4</v>
      </c>
      <c r="J175" s="4">
        <f>INDEX(Dim_Machine!$E$2:$E$8,MATCH(D175,Dim_Machine!$A$2:$A$8,0))*INDEX(Dim_Machine!$D$2:$D$8,MATCH(D175,Dim_Machine!$A$2:$A$8,0))*I175</f>
        <v>15379.199999999999</v>
      </c>
      <c r="K175" s="4">
        <f>ROUND(J175*0.964,0)</f>
        <v>14826</v>
      </c>
      <c r="L175" s="4">
        <f>ROUND(K175*0.0182,0)</f>
        <v>270</v>
      </c>
      <c r="M175" s="4">
        <f t="shared" si="15"/>
        <v>14556</v>
      </c>
      <c r="N175" s="4">
        <f t="shared" si="16"/>
        <v>0.96402933832709126</v>
      </c>
      <c r="O175" s="4">
        <f t="shared" si="17"/>
        <v>0.89</v>
      </c>
      <c r="P175" s="4">
        <f>IFERROR((K175/I175)/(INDEX(Dim_Machine!$E$2:$E$8,MATCH(D175,Dim_Machine!$A$2:$A$8,0))*INDEX(Dim_Machine!$D$2:$D$8,MATCH(D175,Dim_Machine!$A$2:$A$8,0))),0)</f>
        <v>0.96402933832709126</v>
      </c>
      <c r="Q175" s="4">
        <f t="shared" si="18"/>
        <v>0.98178874949413197</v>
      </c>
      <c r="R175" s="4">
        <f t="shared" si="19"/>
        <v>0.84236111111111123</v>
      </c>
      <c r="S175" s="4">
        <f>T175/0.87</f>
        <v>4.182758620689655</v>
      </c>
      <c r="T175" s="4">
        <f>M175*INDEX(Dim_Product!$C$2:$C$4,MATCH(F175,Dim_Product!$A$2:$A$4,0))/1000000</f>
        <v>3.6389999999999998</v>
      </c>
      <c r="U175" s="16">
        <f t="shared" si="20"/>
        <v>0.87</v>
      </c>
    </row>
    <row r="176" spans="1:21" x14ac:dyDescent="0.25">
      <c r="A176" s="15" t="s">
        <v>317</v>
      </c>
      <c r="B176" s="4">
        <v>20260702</v>
      </c>
      <c r="C176" s="4">
        <v>0</v>
      </c>
      <c r="D176" s="4" t="s">
        <v>31</v>
      </c>
      <c r="E176" s="4" t="s">
        <v>20</v>
      </c>
      <c r="F176" s="4" t="s">
        <v>143</v>
      </c>
      <c r="G176" s="4">
        <v>60</v>
      </c>
      <c r="H176" s="4">
        <v>2.4</v>
      </c>
      <c r="I176" s="4">
        <f t="shared" si="14"/>
        <v>57.6</v>
      </c>
      <c r="J176" s="4">
        <f>INDEX(Dim_Machine!$E$2:$E$8,MATCH(D176,Dim_Machine!$A$2:$A$8,0))*INDEX(Dim_Machine!$D$2:$D$8,MATCH(D176,Dim_Machine!$A$2:$A$8,0))*I176</f>
        <v>37324.800000000003</v>
      </c>
      <c r="K176" s="4">
        <f>ROUND(J176*0.861,0)</f>
        <v>32137</v>
      </c>
      <c r="L176" s="4">
        <f>ROUND(K176*0.0132,0)</f>
        <v>424</v>
      </c>
      <c r="M176" s="4">
        <f t="shared" si="15"/>
        <v>31713</v>
      </c>
      <c r="N176" s="4">
        <f t="shared" si="16"/>
        <v>0.86100930212620019</v>
      </c>
      <c r="O176" s="4">
        <f t="shared" si="17"/>
        <v>0.96000000000000008</v>
      </c>
      <c r="P176" s="4">
        <f>IFERROR((K176/I176)/(INDEX(Dim_Machine!$E$2:$E$8,MATCH(D176,Dim_Machine!$A$2:$A$8,0))*INDEX(Dim_Machine!$D$2:$D$8,MATCH(D176,Dim_Machine!$A$2:$A$8,0))),0)</f>
        <v>0.86100930212620019</v>
      </c>
      <c r="Q176" s="4">
        <f t="shared" si="18"/>
        <v>0.98680648473721877</v>
      </c>
      <c r="R176" s="4">
        <f t="shared" si="19"/>
        <v>0.81566358024691354</v>
      </c>
      <c r="S176" s="4">
        <f>T176/0.881</f>
        <v>7.1993189557321227</v>
      </c>
      <c r="T176" s="4">
        <f>M176*INDEX(Dim_Product!$C$2:$C$4,MATCH(F176,Dim_Product!$A$2:$A$4,0))/1000000</f>
        <v>6.3426</v>
      </c>
      <c r="U176" s="16">
        <f t="shared" si="20"/>
        <v>0.88100000000000001</v>
      </c>
    </row>
    <row r="177" spans="1:21" x14ac:dyDescent="0.25">
      <c r="A177" s="15" t="s">
        <v>318</v>
      </c>
      <c r="B177" s="4">
        <v>20260702</v>
      </c>
      <c r="C177" s="4">
        <v>1</v>
      </c>
      <c r="D177" s="4" t="s">
        <v>15</v>
      </c>
      <c r="E177" s="4" t="s">
        <v>20</v>
      </c>
      <c r="F177" s="4" t="s">
        <v>187</v>
      </c>
      <c r="G177" s="4">
        <v>60</v>
      </c>
      <c r="H177" s="4">
        <v>3.5</v>
      </c>
      <c r="I177" s="4">
        <f t="shared" si="14"/>
        <v>56.5</v>
      </c>
      <c r="J177" s="4">
        <f>INDEX(Dim_Machine!$E$2:$E$8,MATCH(D177,Dim_Machine!$A$2:$A$8,0))*INDEX(Dim_Machine!$D$2:$D$8,MATCH(D177,Dim_Machine!$A$2:$A$8,0))*I177</f>
        <v>22600</v>
      </c>
      <c r="K177" s="4">
        <f>ROUND(J177*0.9,0)</f>
        <v>20340</v>
      </c>
      <c r="L177" s="4">
        <f>ROUND(K177*0.0317,0)</f>
        <v>645</v>
      </c>
      <c r="M177" s="4">
        <f t="shared" si="15"/>
        <v>19695</v>
      </c>
      <c r="N177" s="4">
        <f t="shared" si="16"/>
        <v>0.9</v>
      </c>
      <c r="O177" s="4">
        <f t="shared" si="17"/>
        <v>0.94166666666666665</v>
      </c>
      <c r="P177" s="4">
        <f>IFERROR((K177/I177)/(INDEX(Dim_Machine!$E$2:$E$8,MATCH(D177,Dim_Machine!$A$2:$A$8,0))*INDEX(Dim_Machine!$D$2:$D$8,MATCH(D177,Dim_Machine!$A$2:$A$8,0))),0)</f>
        <v>0.9</v>
      </c>
      <c r="Q177" s="4">
        <f t="shared" si="18"/>
        <v>0.96828908554572268</v>
      </c>
      <c r="R177" s="4">
        <f t="shared" si="19"/>
        <v>0.82062500000000005</v>
      </c>
      <c r="S177" s="4">
        <f>T177/0.91</f>
        <v>6.4928571428571429</v>
      </c>
      <c r="T177" s="4">
        <f>M177*INDEX(Dim_Product!$C$2:$C$4,MATCH(F177,Dim_Product!$A$2:$A$4,0))/1000000</f>
        <v>5.9085000000000001</v>
      </c>
      <c r="U177" s="16">
        <f t="shared" si="20"/>
        <v>0.91</v>
      </c>
    </row>
    <row r="178" spans="1:21" x14ac:dyDescent="0.25">
      <c r="A178" s="15" t="s">
        <v>319</v>
      </c>
      <c r="B178" s="4">
        <v>20260702</v>
      </c>
      <c r="C178" s="4">
        <v>1</v>
      </c>
      <c r="D178" s="4" t="s">
        <v>19</v>
      </c>
      <c r="E178" s="4" t="s">
        <v>20</v>
      </c>
      <c r="F178" s="4" t="s">
        <v>141</v>
      </c>
      <c r="G178" s="4">
        <v>60</v>
      </c>
      <c r="H178" s="4">
        <v>4.8</v>
      </c>
      <c r="I178" s="4">
        <f t="shared" si="14"/>
        <v>55.2</v>
      </c>
      <c r="J178" s="4">
        <f>INDEX(Dim_Machine!$E$2:$E$8,MATCH(D178,Dim_Machine!$A$2:$A$8,0))*INDEX(Dim_Machine!$D$2:$D$8,MATCH(D178,Dim_Machine!$A$2:$A$8,0))*I178</f>
        <v>37094.400000000001</v>
      </c>
      <c r="K178" s="4">
        <f>ROUND(J178*0.785,0)</f>
        <v>29119</v>
      </c>
      <c r="L178" s="4">
        <f>ROUND(K178*0.0119,0)</f>
        <v>347</v>
      </c>
      <c r="M178" s="4">
        <f t="shared" si="15"/>
        <v>28772</v>
      </c>
      <c r="N178" s="4">
        <f t="shared" si="16"/>
        <v>0.78499719634230503</v>
      </c>
      <c r="O178" s="4">
        <f t="shared" si="17"/>
        <v>0.92</v>
      </c>
      <c r="P178" s="4">
        <f>IFERROR((K178/I178)/(INDEX(Dim_Machine!$E$2:$E$8,MATCH(D178,Dim_Machine!$A$2:$A$8,0))*INDEX(Dim_Machine!$D$2:$D$8,MATCH(D178,Dim_Machine!$A$2:$A$8,0))),0)</f>
        <v>0.78499719634230503</v>
      </c>
      <c r="Q178" s="4">
        <f t="shared" si="18"/>
        <v>0.98808338198427148</v>
      </c>
      <c r="R178" s="4">
        <f t="shared" si="19"/>
        <v>0.71359126984126986</v>
      </c>
      <c r="S178" s="4">
        <f>T178/0.901</f>
        <v>7.983351831298557</v>
      </c>
      <c r="T178" s="4">
        <f>M178*INDEX(Dim_Product!$C$2:$C$4,MATCH(F178,Dim_Product!$A$2:$A$4,0))/1000000</f>
        <v>7.1929999999999996</v>
      </c>
      <c r="U178" s="16">
        <f t="shared" si="20"/>
        <v>0.90100000000000002</v>
      </c>
    </row>
    <row r="179" spans="1:21" x14ac:dyDescent="0.25">
      <c r="A179" s="15" t="s">
        <v>320</v>
      </c>
      <c r="B179" s="4">
        <v>20260702</v>
      </c>
      <c r="C179" s="4">
        <v>1</v>
      </c>
      <c r="D179" s="4" t="s">
        <v>23</v>
      </c>
      <c r="E179" s="4" t="s">
        <v>20</v>
      </c>
      <c r="F179" s="4" t="s">
        <v>141</v>
      </c>
      <c r="G179" s="4">
        <v>60</v>
      </c>
      <c r="H179" s="4">
        <v>6.9</v>
      </c>
      <c r="I179" s="4">
        <f t="shared" si="14"/>
        <v>53.1</v>
      </c>
      <c r="J179" s="4">
        <f>INDEX(Dim_Machine!$E$2:$E$8,MATCH(D179,Dim_Machine!$A$2:$A$8,0))*INDEX(Dim_Machine!$D$2:$D$8,MATCH(D179,Dim_Machine!$A$2:$A$8,0))*I179</f>
        <v>14018.4</v>
      </c>
      <c r="K179" s="4">
        <f>ROUND(J179*0.897,0)</f>
        <v>12575</v>
      </c>
      <c r="L179" s="4">
        <f>ROUND(K179*0.0056,0)</f>
        <v>70</v>
      </c>
      <c r="M179" s="4">
        <f t="shared" si="15"/>
        <v>12505</v>
      </c>
      <c r="N179" s="4">
        <f t="shared" si="16"/>
        <v>0.89703532500142669</v>
      </c>
      <c r="O179" s="4">
        <f t="shared" si="17"/>
        <v>0.88500000000000001</v>
      </c>
      <c r="P179" s="4">
        <f>IFERROR((K179/I179)/(INDEX(Dim_Machine!$E$2:$E$8,MATCH(D179,Dim_Machine!$A$2:$A$8,0))*INDEX(Dim_Machine!$D$2:$D$8,MATCH(D179,Dim_Machine!$A$2:$A$8,0))),0)</f>
        <v>0.89703532500142669</v>
      </c>
      <c r="Q179" s="4">
        <f t="shared" si="18"/>
        <v>0.99443339960238564</v>
      </c>
      <c r="R179" s="4">
        <f t="shared" si="19"/>
        <v>0.78945707070707072</v>
      </c>
      <c r="S179" s="4">
        <f>T179/0.915</f>
        <v>3.416666666666667</v>
      </c>
      <c r="T179" s="4">
        <f>M179*INDEX(Dim_Product!$C$2:$C$4,MATCH(F179,Dim_Product!$A$2:$A$4,0))/1000000</f>
        <v>3.1262500000000002</v>
      </c>
      <c r="U179" s="16">
        <f t="shared" si="20"/>
        <v>0.91499999999999992</v>
      </c>
    </row>
    <row r="180" spans="1:21" x14ac:dyDescent="0.25">
      <c r="A180" s="15" t="s">
        <v>321</v>
      </c>
      <c r="B180" s="4">
        <v>20260702</v>
      </c>
      <c r="C180" s="4">
        <v>1</v>
      </c>
      <c r="D180" s="4" t="s">
        <v>25</v>
      </c>
      <c r="E180" s="4" t="s">
        <v>20</v>
      </c>
      <c r="F180" s="4" t="s">
        <v>143</v>
      </c>
      <c r="G180" s="4">
        <v>60</v>
      </c>
      <c r="H180" s="4">
        <v>6.6</v>
      </c>
      <c r="I180" s="4">
        <f t="shared" si="14"/>
        <v>53.4</v>
      </c>
      <c r="J180" s="4">
        <f>INDEX(Dim_Machine!$E$2:$E$8,MATCH(D180,Dim_Machine!$A$2:$A$8,0))*INDEX(Dim_Machine!$D$2:$D$8,MATCH(D180,Dim_Machine!$A$2:$A$8,0))*I180</f>
        <v>38448</v>
      </c>
      <c r="K180" s="4">
        <f>ROUND(J180*0.895,0)</f>
        <v>34411</v>
      </c>
      <c r="L180" s="4">
        <f>ROUND(K180*0.0279,0)</f>
        <v>960</v>
      </c>
      <c r="M180" s="4">
        <f t="shared" si="15"/>
        <v>33451</v>
      </c>
      <c r="N180" s="4">
        <f t="shared" si="16"/>
        <v>0.89500104036620887</v>
      </c>
      <c r="O180" s="4">
        <f t="shared" si="17"/>
        <v>0.89</v>
      </c>
      <c r="P180" s="4">
        <f>IFERROR((K180/I180)/(INDEX(Dim_Machine!$E$2:$E$8,MATCH(D180,Dim_Machine!$A$2:$A$8,0))*INDEX(Dim_Machine!$D$2:$D$8,MATCH(D180,Dim_Machine!$A$2:$A$8,0))),0)</f>
        <v>0.89500104036620898</v>
      </c>
      <c r="Q180" s="4">
        <f t="shared" si="18"/>
        <v>0.97210194414576734</v>
      </c>
      <c r="R180" s="4">
        <f t="shared" si="19"/>
        <v>0.77432870370370377</v>
      </c>
      <c r="S180" s="4">
        <f>T180/0.826</f>
        <v>8.0995157384987895</v>
      </c>
      <c r="T180" s="4">
        <f>M180*INDEX(Dim_Product!$C$2:$C$4,MATCH(F180,Dim_Product!$A$2:$A$4,0))/1000000</f>
        <v>6.6901999999999999</v>
      </c>
      <c r="U180" s="16">
        <f t="shared" si="20"/>
        <v>0.82599999999999996</v>
      </c>
    </row>
    <row r="181" spans="1:21" x14ac:dyDescent="0.25">
      <c r="A181" s="15" t="s">
        <v>322</v>
      </c>
      <c r="B181" s="4">
        <v>20260702</v>
      </c>
      <c r="C181" s="4">
        <v>1</v>
      </c>
      <c r="D181" s="4" t="s">
        <v>27</v>
      </c>
      <c r="E181" s="4" t="s">
        <v>20</v>
      </c>
      <c r="F181" s="4" t="s">
        <v>141</v>
      </c>
      <c r="G181" s="4">
        <v>60</v>
      </c>
      <c r="H181" s="4">
        <v>4.2</v>
      </c>
      <c r="I181" s="4">
        <f t="shared" si="14"/>
        <v>55.8</v>
      </c>
      <c r="J181" s="4">
        <f>INDEX(Dim_Machine!$E$2:$E$8,MATCH(D181,Dim_Machine!$A$2:$A$8,0))*INDEX(Dim_Machine!$D$2:$D$8,MATCH(D181,Dim_Machine!$A$2:$A$8,0))*I181</f>
        <v>23212.799999999999</v>
      </c>
      <c r="K181" s="4">
        <f>ROUND(J181*0.868,0)</f>
        <v>20149</v>
      </c>
      <c r="L181" s="4">
        <f>ROUND(K181*0.0133,0)</f>
        <v>268</v>
      </c>
      <c r="M181" s="4">
        <f t="shared" si="15"/>
        <v>19881</v>
      </c>
      <c r="N181" s="4">
        <f t="shared" si="16"/>
        <v>0.86801247587537911</v>
      </c>
      <c r="O181" s="4">
        <f t="shared" si="17"/>
        <v>0.92999999999999994</v>
      </c>
      <c r="P181" s="4">
        <f>IFERROR((K181/I181)/(INDEX(Dim_Machine!$E$2:$E$8,MATCH(D181,Dim_Machine!$A$2:$A$8,0))*INDEX(Dim_Machine!$D$2:$D$8,MATCH(D181,Dim_Machine!$A$2:$A$8,0))),0)</f>
        <v>0.86801247587537911</v>
      </c>
      <c r="Q181" s="4">
        <f t="shared" si="18"/>
        <v>0.98669909176634074</v>
      </c>
      <c r="R181" s="4">
        <f t="shared" si="19"/>
        <v>0.79651442307692311</v>
      </c>
      <c r="S181" s="4">
        <f>T181/0.95</f>
        <v>5.2318421052631585</v>
      </c>
      <c r="T181" s="4">
        <f>M181*INDEX(Dim_Product!$C$2:$C$4,MATCH(F181,Dim_Product!$A$2:$A$4,0))/1000000</f>
        <v>4.9702500000000001</v>
      </c>
      <c r="U181" s="16">
        <f t="shared" si="20"/>
        <v>0.94999999999999984</v>
      </c>
    </row>
    <row r="182" spans="1:21" x14ac:dyDescent="0.25">
      <c r="A182" s="15" t="s">
        <v>323</v>
      </c>
      <c r="B182" s="4">
        <v>20260702</v>
      </c>
      <c r="C182" s="4">
        <v>1</v>
      </c>
      <c r="D182" s="4" t="s">
        <v>29</v>
      </c>
      <c r="E182" s="4" t="s">
        <v>20</v>
      </c>
      <c r="F182" s="4" t="s">
        <v>141</v>
      </c>
      <c r="G182" s="4">
        <v>60</v>
      </c>
      <c r="H182" s="4">
        <v>3.5</v>
      </c>
      <c r="I182" s="4">
        <f t="shared" si="14"/>
        <v>56.5</v>
      </c>
      <c r="J182" s="4">
        <f>INDEX(Dim_Machine!$E$2:$E$8,MATCH(D182,Dim_Machine!$A$2:$A$8,0))*INDEX(Dim_Machine!$D$2:$D$8,MATCH(D182,Dim_Machine!$A$2:$A$8,0))*I182</f>
        <v>16272</v>
      </c>
      <c r="K182" s="4">
        <f>ROUND(J182*0.943,0)</f>
        <v>15344</v>
      </c>
      <c r="L182" s="4">
        <f>ROUND(K182*0.0341,0)</f>
        <v>523</v>
      </c>
      <c r="M182" s="4">
        <f t="shared" si="15"/>
        <v>14821</v>
      </c>
      <c r="N182" s="4">
        <f t="shared" si="16"/>
        <v>0.94296951819075714</v>
      </c>
      <c r="O182" s="4">
        <f t="shared" si="17"/>
        <v>0.94166666666666665</v>
      </c>
      <c r="P182" s="4">
        <f>IFERROR((K182/I182)/(INDEX(Dim_Machine!$E$2:$E$8,MATCH(D182,Dim_Machine!$A$2:$A$8,0))*INDEX(Dim_Machine!$D$2:$D$8,MATCH(D182,Dim_Machine!$A$2:$A$8,0))),0)</f>
        <v>0.94296951819075714</v>
      </c>
      <c r="Q182" s="4">
        <f t="shared" si="18"/>
        <v>0.96591501564129301</v>
      </c>
      <c r="R182" s="4">
        <f t="shared" si="19"/>
        <v>0.85769675925925926</v>
      </c>
      <c r="S182" s="4">
        <f>T182/0.871</f>
        <v>4.2540183696900113</v>
      </c>
      <c r="T182" s="4">
        <f>M182*INDEX(Dim_Product!$C$2:$C$4,MATCH(F182,Dim_Product!$A$2:$A$4,0))/1000000</f>
        <v>3.7052499999999999</v>
      </c>
      <c r="U182" s="16">
        <f t="shared" si="20"/>
        <v>0.871</v>
      </c>
    </row>
    <row r="183" spans="1:21" x14ac:dyDescent="0.25">
      <c r="A183" s="15" t="s">
        <v>324</v>
      </c>
      <c r="B183" s="4">
        <v>20260702</v>
      </c>
      <c r="C183" s="4">
        <v>1</v>
      </c>
      <c r="D183" s="4" t="s">
        <v>31</v>
      </c>
      <c r="E183" s="4" t="s">
        <v>20</v>
      </c>
      <c r="F183" s="4" t="s">
        <v>143</v>
      </c>
      <c r="G183" s="4">
        <v>60</v>
      </c>
      <c r="H183" s="4">
        <v>3.3</v>
      </c>
      <c r="I183" s="4">
        <f t="shared" si="14"/>
        <v>56.7</v>
      </c>
      <c r="J183" s="4">
        <f>INDEX(Dim_Machine!$E$2:$E$8,MATCH(D183,Dim_Machine!$A$2:$A$8,0))*INDEX(Dim_Machine!$D$2:$D$8,MATCH(D183,Dim_Machine!$A$2:$A$8,0))*I183</f>
        <v>36741.599999999999</v>
      </c>
      <c r="K183" s="4">
        <f>ROUND(J183*0.844,0)</f>
        <v>31010</v>
      </c>
      <c r="L183" s="4">
        <f>ROUND(K183*0.0081,0)</f>
        <v>251</v>
      </c>
      <c r="M183" s="4">
        <f t="shared" si="15"/>
        <v>30759</v>
      </c>
      <c r="N183" s="4">
        <f t="shared" si="16"/>
        <v>0.84400243865264446</v>
      </c>
      <c r="O183" s="4">
        <f t="shared" si="17"/>
        <v>0.94500000000000006</v>
      </c>
      <c r="P183" s="4">
        <f>IFERROR((K183/I183)/(INDEX(Dim_Machine!$E$2:$E$8,MATCH(D183,Dim_Machine!$A$2:$A$8,0))*INDEX(Dim_Machine!$D$2:$D$8,MATCH(D183,Dim_Machine!$A$2:$A$8,0))),0)</f>
        <v>0.84400243865264435</v>
      </c>
      <c r="Q183" s="4">
        <f t="shared" si="18"/>
        <v>0.99190583682683009</v>
      </c>
      <c r="R183" s="4">
        <f t="shared" si="19"/>
        <v>0.79112654320987652</v>
      </c>
      <c r="S183" s="4">
        <f>T183/0.824</f>
        <v>7.4657766990291261</v>
      </c>
      <c r="T183" s="4">
        <f>M183*INDEX(Dim_Product!$C$2:$C$4,MATCH(F183,Dim_Product!$A$2:$A$4,0))/1000000</f>
        <v>6.1517999999999997</v>
      </c>
      <c r="U183" s="16">
        <f t="shared" si="20"/>
        <v>0.82399999999999995</v>
      </c>
    </row>
    <row r="184" spans="1:21" x14ac:dyDescent="0.25">
      <c r="A184" s="15" t="s">
        <v>325</v>
      </c>
      <c r="B184" s="4">
        <v>20260702</v>
      </c>
      <c r="C184" s="4">
        <v>2</v>
      </c>
      <c r="D184" s="4" t="s">
        <v>15</v>
      </c>
      <c r="E184" s="4" t="s">
        <v>20</v>
      </c>
      <c r="F184" s="4" t="s">
        <v>187</v>
      </c>
      <c r="G184" s="4">
        <v>60</v>
      </c>
      <c r="H184" s="4">
        <v>3.3</v>
      </c>
      <c r="I184" s="4">
        <f t="shared" si="14"/>
        <v>56.7</v>
      </c>
      <c r="J184" s="4">
        <f>INDEX(Dim_Machine!$E$2:$E$8,MATCH(D184,Dim_Machine!$A$2:$A$8,0))*INDEX(Dim_Machine!$D$2:$D$8,MATCH(D184,Dim_Machine!$A$2:$A$8,0))*I184</f>
        <v>22680</v>
      </c>
      <c r="K184" s="4">
        <f>ROUND(J184*0.879,0)</f>
        <v>19936</v>
      </c>
      <c r="L184" s="4">
        <f>ROUND(K184*0.0249,0)</f>
        <v>496</v>
      </c>
      <c r="M184" s="4">
        <f t="shared" si="15"/>
        <v>19440</v>
      </c>
      <c r="N184" s="4">
        <f t="shared" si="16"/>
        <v>0.87901234567901232</v>
      </c>
      <c r="O184" s="4">
        <f t="shared" si="17"/>
        <v>0.94500000000000006</v>
      </c>
      <c r="P184" s="4">
        <f>IFERROR((K184/I184)/(INDEX(Dim_Machine!$E$2:$E$8,MATCH(D184,Dim_Machine!$A$2:$A$8,0))*INDEX(Dim_Machine!$D$2:$D$8,MATCH(D184,Dim_Machine!$A$2:$A$8,0))),0)</f>
        <v>0.87901234567901232</v>
      </c>
      <c r="Q184" s="4">
        <f t="shared" si="18"/>
        <v>0.9751203852327448</v>
      </c>
      <c r="R184" s="4">
        <f t="shared" si="19"/>
        <v>0.81</v>
      </c>
      <c r="S184" s="4">
        <f>T184/0.86</f>
        <v>6.7813953488372096</v>
      </c>
      <c r="T184" s="4">
        <f>M184*INDEX(Dim_Product!$C$2:$C$4,MATCH(F184,Dim_Product!$A$2:$A$4,0))/1000000</f>
        <v>5.8319999999999999</v>
      </c>
      <c r="U184" s="16">
        <f t="shared" si="20"/>
        <v>0.86</v>
      </c>
    </row>
    <row r="185" spans="1:21" x14ac:dyDescent="0.25">
      <c r="A185" s="15" t="s">
        <v>326</v>
      </c>
      <c r="B185" s="4">
        <v>20260702</v>
      </c>
      <c r="C185" s="4">
        <v>2</v>
      </c>
      <c r="D185" s="4" t="s">
        <v>19</v>
      </c>
      <c r="E185" s="4" t="s">
        <v>20</v>
      </c>
      <c r="F185" s="4" t="s">
        <v>141</v>
      </c>
      <c r="G185" s="4">
        <v>60</v>
      </c>
      <c r="H185" s="4">
        <v>6.1</v>
      </c>
      <c r="I185" s="4">
        <f t="shared" si="14"/>
        <v>53.9</v>
      </c>
      <c r="J185" s="4">
        <f>INDEX(Dim_Machine!$E$2:$E$8,MATCH(D185,Dim_Machine!$A$2:$A$8,0))*INDEX(Dim_Machine!$D$2:$D$8,MATCH(D185,Dim_Machine!$A$2:$A$8,0))*I185</f>
        <v>36220.799999999996</v>
      </c>
      <c r="K185" s="4">
        <f>ROUND(J185*0.787,0)</f>
        <v>28506</v>
      </c>
      <c r="L185" s="4">
        <f>ROUND(K185*0.0076,0)</f>
        <v>217</v>
      </c>
      <c r="M185" s="4">
        <f t="shared" si="15"/>
        <v>28289</v>
      </c>
      <c r="N185" s="4">
        <f t="shared" si="16"/>
        <v>0.78700636098595289</v>
      </c>
      <c r="O185" s="4">
        <f t="shared" si="17"/>
        <v>0.89833333333333332</v>
      </c>
      <c r="P185" s="4">
        <f>IFERROR((K185/I185)/(INDEX(Dim_Machine!$E$2:$E$8,MATCH(D185,Dim_Machine!$A$2:$A$8,0))*INDEX(Dim_Machine!$D$2:$D$8,MATCH(D185,Dim_Machine!$A$2:$A$8,0))),0)</f>
        <v>0.78700636098595278</v>
      </c>
      <c r="Q185" s="4">
        <f t="shared" si="18"/>
        <v>0.99238756752964286</v>
      </c>
      <c r="R185" s="4">
        <f t="shared" si="19"/>
        <v>0.7016121031746031</v>
      </c>
      <c r="S185" s="4">
        <f>T185/0.838</f>
        <v>8.4394391408114569</v>
      </c>
      <c r="T185" s="4">
        <f>M185*INDEX(Dim_Product!$C$2:$C$4,MATCH(F185,Dim_Product!$A$2:$A$4,0))/1000000</f>
        <v>7.0722500000000004</v>
      </c>
      <c r="U185" s="16">
        <f t="shared" si="20"/>
        <v>0.83799999999999997</v>
      </c>
    </row>
    <row r="186" spans="1:21" x14ac:dyDescent="0.25">
      <c r="A186" s="15" t="s">
        <v>327</v>
      </c>
      <c r="B186" s="4">
        <v>20260702</v>
      </c>
      <c r="C186" s="4">
        <v>2</v>
      </c>
      <c r="D186" s="4" t="s">
        <v>23</v>
      </c>
      <c r="E186" s="4" t="s">
        <v>20</v>
      </c>
      <c r="F186" s="4" t="s">
        <v>141</v>
      </c>
      <c r="G186" s="4">
        <v>60</v>
      </c>
      <c r="H186" s="4">
        <v>0.9</v>
      </c>
      <c r="I186" s="4">
        <f t="shared" si="14"/>
        <v>59.1</v>
      </c>
      <c r="J186" s="4">
        <f>INDEX(Dim_Machine!$E$2:$E$8,MATCH(D186,Dim_Machine!$A$2:$A$8,0))*INDEX(Dim_Machine!$D$2:$D$8,MATCH(D186,Dim_Machine!$A$2:$A$8,0))*I186</f>
        <v>15602.4</v>
      </c>
      <c r="K186" s="4">
        <f>ROUND(J186*0.935,0)</f>
        <v>14588</v>
      </c>
      <c r="L186" s="4">
        <f>ROUND(K186*0.0309,0)</f>
        <v>451</v>
      </c>
      <c r="M186" s="4">
        <f t="shared" si="15"/>
        <v>14137</v>
      </c>
      <c r="N186" s="4">
        <f t="shared" si="16"/>
        <v>0.9349843613803005</v>
      </c>
      <c r="O186" s="4">
        <f t="shared" si="17"/>
        <v>0.98499999999999999</v>
      </c>
      <c r="P186" s="4">
        <f>IFERROR((K186/I186)/(INDEX(Dim_Machine!$E$2:$E$8,MATCH(D186,Dim_Machine!$A$2:$A$8,0))*INDEX(Dim_Machine!$D$2:$D$8,MATCH(D186,Dim_Machine!$A$2:$A$8,0))),0)</f>
        <v>0.93498436138030039</v>
      </c>
      <c r="Q186" s="4">
        <f t="shared" si="18"/>
        <v>0.96908417877707709</v>
      </c>
      <c r="R186" s="4">
        <f t="shared" si="19"/>
        <v>0.89248737373737363</v>
      </c>
      <c r="S186" s="4">
        <f>T186/0.924</f>
        <v>3.8249458874458875</v>
      </c>
      <c r="T186" s="4">
        <f>M186*INDEX(Dim_Product!$C$2:$C$4,MATCH(F186,Dim_Product!$A$2:$A$4,0))/1000000</f>
        <v>3.5342500000000001</v>
      </c>
      <c r="U186" s="16">
        <f t="shared" si="20"/>
        <v>0.92400000000000004</v>
      </c>
    </row>
    <row r="187" spans="1:21" x14ac:dyDescent="0.25">
      <c r="A187" s="15" t="s">
        <v>328</v>
      </c>
      <c r="B187" s="4">
        <v>20260702</v>
      </c>
      <c r="C187" s="4">
        <v>2</v>
      </c>
      <c r="D187" s="4" t="s">
        <v>25</v>
      </c>
      <c r="E187" s="4" t="s">
        <v>20</v>
      </c>
      <c r="F187" s="4" t="s">
        <v>143</v>
      </c>
      <c r="G187" s="4">
        <v>60</v>
      </c>
      <c r="H187" s="4">
        <v>0</v>
      </c>
      <c r="I187" s="4">
        <f t="shared" si="14"/>
        <v>60</v>
      </c>
      <c r="J187" s="4">
        <f>INDEX(Dim_Machine!$E$2:$E$8,MATCH(D187,Dim_Machine!$A$2:$A$8,0))*INDEX(Dim_Machine!$D$2:$D$8,MATCH(D187,Dim_Machine!$A$2:$A$8,0))*I187</f>
        <v>43200</v>
      </c>
      <c r="K187" s="4">
        <f>ROUND(J187*0.954,0)</f>
        <v>41213</v>
      </c>
      <c r="L187" s="4">
        <f>ROUND(K187*0.0189,0)</f>
        <v>779</v>
      </c>
      <c r="M187" s="4">
        <f t="shared" si="15"/>
        <v>40434</v>
      </c>
      <c r="N187" s="4">
        <f t="shared" si="16"/>
        <v>0.95400462962962962</v>
      </c>
      <c r="O187" s="4">
        <f t="shared" si="17"/>
        <v>1</v>
      </c>
      <c r="P187" s="4">
        <f>IFERROR((K187/I187)/(INDEX(Dim_Machine!$E$2:$E$8,MATCH(D187,Dim_Machine!$A$2:$A$8,0))*INDEX(Dim_Machine!$D$2:$D$8,MATCH(D187,Dim_Machine!$A$2:$A$8,0))),0)</f>
        <v>0.95400462962962962</v>
      </c>
      <c r="Q187" s="4">
        <f t="shared" si="18"/>
        <v>0.98109819717079561</v>
      </c>
      <c r="R187" s="4">
        <f t="shared" si="19"/>
        <v>0.93597222222222221</v>
      </c>
      <c r="S187" s="4">
        <f>T187/0.808</f>
        <v>10.008415841584158</v>
      </c>
      <c r="T187" s="4">
        <f>M187*INDEX(Dim_Product!$C$2:$C$4,MATCH(F187,Dim_Product!$A$2:$A$4,0))/1000000</f>
        <v>8.0868000000000002</v>
      </c>
      <c r="U187" s="16">
        <f t="shared" si="20"/>
        <v>0.80800000000000005</v>
      </c>
    </row>
    <row r="188" spans="1:21" x14ac:dyDescent="0.25">
      <c r="A188" s="15" t="s">
        <v>329</v>
      </c>
      <c r="B188" s="4">
        <v>20260702</v>
      </c>
      <c r="C188" s="4">
        <v>2</v>
      </c>
      <c r="D188" s="4" t="s">
        <v>27</v>
      </c>
      <c r="E188" s="4" t="s">
        <v>20</v>
      </c>
      <c r="F188" s="4" t="s">
        <v>141</v>
      </c>
      <c r="G188" s="4">
        <v>60</v>
      </c>
      <c r="H188" s="4">
        <v>4.0999999999999996</v>
      </c>
      <c r="I188" s="4">
        <f t="shared" si="14"/>
        <v>55.9</v>
      </c>
      <c r="J188" s="4">
        <f>INDEX(Dim_Machine!$E$2:$E$8,MATCH(D188,Dim_Machine!$A$2:$A$8,0))*INDEX(Dim_Machine!$D$2:$D$8,MATCH(D188,Dim_Machine!$A$2:$A$8,0))*I188</f>
        <v>23254.399999999998</v>
      </c>
      <c r="K188" s="4">
        <f>ROUND(J188*0.905,0)</f>
        <v>21045</v>
      </c>
      <c r="L188" s="4">
        <f>ROUND(K188*0.02,0)</f>
        <v>421</v>
      </c>
      <c r="M188" s="4">
        <f t="shared" si="15"/>
        <v>20624</v>
      </c>
      <c r="N188" s="4">
        <f t="shared" si="16"/>
        <v>0.90499002339342238</v>
      </c>
      <c r="O188" s="4">
        <f t="shared" si="17"/>
        <v>0.93166666666666664</v>
      </c>
      <c r="P188" s="4">
        <f>IFERROR((K188/I188)/(INDEX(Dim_Machine!$E$2:$E$8,MATCH(D188,Dim_Machine!$A$2:$A$8,0))*INDEX(Dim_Machine!$D$2:$D$8,MATCH(D188,Dim_Machine!$A$2:$A$8,0))),0)</f>
        <v>0.90499002339342227</v>
      </c>
      <c r="Q188" s="4">
        <f t="shared" si="18"/>
        <v>0.97999524827750062</v>
      </c>
      <c r="R188" s="4">
        <f t="shared" si="19"/>
        <v>0.82628205128205123</v>
      </c>
      <c r="S188" s="4">
        <f>T188/0.866</f>
        <v>5.9538106235565813</v>
      </c>
      <c r="T188" s="4">
        <f>M188*INDEX(Dim_Product!$C$2:$C$4,MATCH(F188,Dim_Product!$A$2:$A$4,0))/1000000</f>
        <v>5.1559999999999997</v>
      </c>
      <c r="U188" s="16">
        <f t="shared" si="20"/>
        <v>0.8660000000000001</v>
      </c>
    </row>
    <row r="189" spans="1:21" x14ac:dyDescent="0.25">
      <c r="A189" s="15" t="s">
        <v>330</v>
      </c>
      <c r="B189" s="4">
        <v>20260702</v>
      </c>
      <c r="C189" s="4">
        <v>2</v>
      </c>
      <c r="D189" s="4" t="s">
        <v>29</v>
      </c>
      <c r="E189" s="4" t="s">
        <v>20</v>
      </c>
      <c r="F189" s="4" t="s">
        <v>141</v>
      </c>
      <c r="G189" s="4">
        <v>60</v>
      </c>
      <c r="H189" s="4">
        <v>0.4</v>
      </c>
      <c r="I189" s="4">
        <f t="shared" si="14"/>
        <v>59.6</v>
      </c>
      <c r="J189" s="4">
        <f>INDEX(Dim_Machine!$E$2:$E$8,MATCH(D189,Dim_Machine!$A$2:$A$8,0))*INDEX(Dim_Machine!$D$2:$D$8,MATCH(D189,Dim_Machine!$A$2:$A$8,0))*I189</f>
        <v>17164.8</v>
      </c>
      <c r="K189" s="4">
        <f>ROUND(J189*0.833,0)</f>
        <v>14298</v>
      </c>
      <c r="L189" s="4">
        <f>ROUND(K189*0.0089,0)</f>
        <v>127</v>
      </c>
      <c r="M189" s="4">
        <f t="shared" si="15"/>
        <v>14171</v>
      </c>
      <c r="N189" s="4">
        <f t="shared" si="16"/>
        <v>0.8329837807606264</v>
      </c>
      <c r="O189" s="4">
        <f t="shared" si="17"/>
        <v>0.9933333333333334</v>
      </c>
      <c r="P189" s="4">
        <f>IFERROR((K189/I189)/(INDEX(Dim_Machine!$E$2:$E$8,MATCH(D189,Dim_Machine!$A$2:$A$8,0))*INDEX(Dim_Machine!$D$2:$D$8,MATCH(D189,Dim_Machine!$A$2:$A$8,0))),0)</f>
        <v>0.8329837807606264</v>
      </c>
      <c r="Q189" s="4">
        <f t="shared" si="18"/>
        <v>0.99111763883060566</v>
      </c>
      <c r="R189" s="4">
        <f t="shared" si="19"/>
        <v>0.82008101851851867</v>
      </c>
      <c r="S189" s="4">
        <f>T189/0.843</f>
        <v>4.2025504151838673</v>
      </c>
      <c r="T189" s="4">
        <f>M189*INDEX(Dim_Product!$C$2:$C$4,MATCH(F189,Dim_Product!$A$2:$A$4,0))/1000000</f>
        <v>3.5427499999999998</v>
      </c>
      <c r="U189" s="16">
        <f t="shared" si="20"/>
        <v>0.84299999999999997</v>
      </c>
    </row>
    <row r="190" spans="1:21" x14ac:dyDescent="0.25">
      <c r="A190" s="15" t="s">
        <v>331</v>
      </c>
      <c r="B190" s="4">
        <v>20260702</v>
      </c>
      <c r="C190" s="4">
        <v>2</v>
      </c>
      <c r="D190" s="4" t="s">
        <v>31</v>
      </c>
      <c r="E190" s="4" t="s">
        <v>20</v>
      </c>
      <c r="F190" s="4" t="s">
        <v>143</v>
      </c>
      <c r="G190" s="4">
        <v>60</v>
      </c>
      <c r="H190" s="4">
        <v>7</v>
      </c>
      <c r="I190" s="4">
        <f t="shared" si="14"/>
        <v>53</v>
      </c>
      <c r="J190" s="4">
        <f>INDEX(Dim_Machine!$E$2:$E$8,MATCH(D190,Dim_Machine!$A$2:$A$8,0))*INDEX(Dim_Machine!$D$2:$D$8,MATCH(D190,Dim_Machine!$A$2:$A$8,0))*I190</f>
        <v>34344</v>
      </c>
      <c r="K190" s="4">
        <f>ROUND(J190*0.877,0)</f>
        <v>30120</v>
      </c>
      <c r="L190" s="4">
        <f>ROUND(K190*0.0059,0)</f>
        <v>178</v>
      </c>
      <c r="M190" s="4">
        <f t="shared" si="15"/>
        <v>29942</v>
      </c>
      <c r="N190" s="4">
        <f t="shared" si="16"/>
        <v>0.87700908455625437</v>
      </c>
      <c r="O190" s="4">
        <f t="shared" si="17"/>
        <v>0.8833333333333333</v>
      </c>
      <c r="P190" s="4">
        <f>IFERROR((K190/I190)/(INDEX(Dim_Machine!$E$2:$E$8,MATCH(D190,Dim_Machine!$A$2:$A$8,0))*INDEX(Dim_Machine!$D$2:$D$8,MATCH(D190,Dim_Machine!$A$2:$A$8,0))),0)</f>
        <v>0.87700908455625437</v>
      </c>
      <c r="Q190" s="4">
        <f t="shared" si="18"/>
        <v>0.99409030544488708</v>
      </c>
      <c r="R190" s="4">
        <f t="shared" si="19"/>
        <v>0.77011316872427982</v>
      </c>
      <c r="S190" s="4">
        <f>T190/0.895</f>
        <v>6.6909497206703916</v>
      </c>
      <c r="T190" s="4">
        <f>M190*INDEX(Dim_Product!$C$2:$C$4,MATCH(F190,Dim_Product!$A$2:$A$4,0))/1000000</f>
        <v>5.9884000000000004</v>
      </c>
      <c r="U190" s="16">
        <f t="shared" si="20"/>
        <v>0.89500000000000002</v>
      </c>
    </row>
    <row r="191" spans="1:21" x14ac:dyDescent="0.25">
      <c r="A191" s="15" t="s">
        <v>332</v>
      </c>
      <c r="B191" s="4">
        <v>20260702</v>
      </c>
      <c r="C191" s="4">
        <v>3</v>
      </c>
      <c r="D191" s="4" t="s">
        <v>15</v>
      </c>
      <c r="E191" s="4" t="s">
        <v>20</v>
      </c>
      <c r="F191" s="4" t="s">
        <v>187</v>
      </c>
      <c r="G191" s="4">
        <v>60</v>
      </c>
      <c r="H191" s="4">
        <v>6.4</v>
      </c>
      <c r="I191" s="4">
        <f t="shared" si="14"/>
        <v>53.6</v>
      </c>
      <c r="J191" s="4">
        <f>INDEX(Dim_Machine!$E$2:$E$8,MATCH(D191,Dim_Machine!$A$2:$A$8,0))*INDEX(Dim_Machine!$D$2:$D$8,MATCH(D191,Dim_Machine!$A$2:$A$8,0))*I191</f>
        <v>21440</v>
      </c>
      <c r="K191" s="4">
        <f>ROUND(J191*0.922,0)</f>
        <v>19768</v>
      </c>
      <c r="L191" s="4">
        <f>ROUND(K191*0.0143,0)</f>
        <v>283</v>
      </c>
      <c r="M191" s="4">
        <f t="shared" si="15"/>
        <v>19485</v>
      </c>
      <c r="N191" s="4">
        <f t="shared" si="16"/>
        <v>0.92201492537313434</v>
      </c>
      <c r="O191" s="4">
        <f t="shared" si="17"/>
        <v>0.89333333333333331</v>
      </c>
      <c r="P191" s="4">
        <f>IFERROR((K191/I191)/(INDEX(Dim_Machine!$E$2:$E$8,MATCH(D191,Dim_Machine!$A$2:$A$8,0))*INDEX(Dim_Machine!$D$2:$D$8,MATCH(D191,Dim_Machine!$A$2:$A$8,0))),0)</f>
        <v>0.92201492537313423</v>
      </c>
      <c r="Q191" s="4">
        <f t="shared" si="18"/>
        <v>0.98568393363010931</v>
      </c>
      <c r="R191" s="4">
        <f t="shared" si="19"/>
        <v>0.8118749999999999</v>
      </c>
      <c r="S191" s="4">
        <f>T191/0.802</f>
        <v>7.2886533665835413</v>
      </c>
      <c r="T191" s="4">
        <f>M191*INDEX(Dim_Product!$C$2:$C$4,MATCH(F191,Dim_Product!$A$2:$A$4,0))/1000000</f>
        <v>5.8455000000000004</v>
      </c>
      <c r="U191" s="16">
        <f t="shared" si="20"/>
        <v>0.80200000000000005</v>
      </c>
    </row>
    <row r="192" spans="1:21" x14ac:dyDescent="0.25">
      <c r="A192" s="15" t="s">
        <v>333</v>
      </c>
      <c r="B192" s="4">
        <v>20260702</v>
      </c>
      <c r="C192" s="4">
        <v>3</v>
      </c>
      <c r="D192" s="4" t="s">
        <v>19</v>
      </c>
      <c r="E192" s="4" t="s">
        <v>20</v>
      </c>
      <c r="F192" s="4" t="s">
        <v>141</v>
      </c>
      <c r="G192" s="4">
        <v>60</v>
      </c>
      <c r="H192" s="4">
        <v>3.3</v>
      </c>
      <c r="I192" s="4">
        <f t="shared" si="14"/>
        <v>56.7</v>
      </c>
      <c r="J192" s="4">
        <f>INDEX(Dim_Machine!$E$2:$E$8,MATCH(D192,Dim_Machine!$A$2:$A$8,0))*INDEX(Dim_Machine!$D$2:$D$8,MATCH(D192,Dim_Machine!$A$2:$A$8,0))*I192</f>
        <v>38102.400000000001</v>
      </c>
      <c r="K192" s="4">
        <f>ROUND(J192*0.825,0)</f>
        <v>31434</v>
      </c>
      <c r="L192" s="4">
        <f>ROUND(K192*0.0302,0)</f>
        <v>949</v>
      </c>
      <c r="M192" s="4">
        <f t="shared" si="15"/>
        <v>30485</v>
      </c>
      <c r="N192" s="4">
        <f t="shared" si="16"/>
        <v>0.82498740236835477</v>
      </c>
      <c r="O192" s="4">
        <f t="shared" si="17"/>
        <v>0.94500000000000006</v>
      </c>
      <c r="P192" s="4">
        <f>IFERROR((K192/I192)/(INDEX(Dim_Machine!$E$2:$E$8,MATCH(D192,Dim_Machine!$A$2:$A$8,0))*INDEX(Dim_Machine!$D$2:$D$8,MATCH(D192,Dim_Machine!$A$2:$A$8,0))),0)</f>
        <v>0.82498740236835477</v>
      </c>
      <c r="Q192" s="4">
        <f t="shared" si="18"/>
        <v>0.96980976013234077</v>
      </c>
      <c r="R192" s="4">
        <f t="shared" si="19"/>
        <v>0.75607638888888895</v>
      </c>
      <c r="S192" s="4">
        <f>T192/0.817</f>
        <v>9.3283353733170138</v>
      </c>
      <c r="T192" s="4">
        <f>M192*INDEX(Dim_Product!$C$2:$C$4,MATCH(F192,Dim_Product!$A$2:$A$4,0))/1000000</f>
        <v>7.6212499999999999</v>
      </c>
      <c r="U192" s="16">
        <f t="shared" si="20"/>
        <v>0.81699999999999995</v>
      </c>
    </row>
    <row r="193" spans="1:21" x14ac:dyDescent="0.25">
      <c r="A193" s="15" t="s">
        <v>334</v>
      </c>
      <c r="B193" s="4">
        <v>20260702</v>
      </c>
      <c r="C193" s="4">
        <v>3</v>
      </c>
      <c r="D193" s="4" t="s">
        <v>23</v>
      </c>
      <c r="E193" s="4" t="s">
        <v>20</v>
      </c>
      <c r="F193" s="4" t="s">
        <v>141</v>
      </c>
      <c r="G193" s="4">
        <v>60</v>
      </c>
      <c r="H193" s="4">
        <v>7.6</v>
      </c>
      <c r="I193" s="4">
        <f t="shared" si="14"/>
        <v>52.4</v>
      </c>
      <c r="J193" s="4">
        <f>INDEX(Dim_Machine!$E$2:$E$8,MATCH(D193,Dim_Machine!$A$2:$A$8,0))*INDEX(Dim_Machine!$D$2:$D$8,MATCH(D193,Dim_Machine!$A$2:$A$8,0))*I193</f>
        <v>13833.6</v>
      </c>
      <c r="K193" s="4">
        <f>ROUND(J193*0.91,0)</f>
        <v>12589</v>
      </c>
      <c r="L193" s="4">
        <f>ROUND(K193*0.0096,0)</f>
        <v>121</v>
      </c>
      <c r="M193" s="4">
        <f t="shared" si="15"/>
        <v>12468</v>
      </c>
      <c r="N193" s="4">
        <f t="shared" si="16"/>
        <v>0.91003065001156602</v>
      </c>
      <c r="O193" s="4">
        <f t="shared" si="17"/>
        <v>0.87333333333333329</v>
      </c>
      <c r="P193" s="4">
        <f>IFERROR((K193/I193)/(INDEX(Dim_Machine!$E$2:$E$8,MATCH(D193,Dim_Machine!$A$2:$A$8,0))*INDEX(Dim_Machine!$D$2:$D$8,MATCH(D193,Dim_Machine!$A$2:$A$8,0))),0)</f>
        <v>0.91003065001156602</v>
      </c>
      <c r="Q193" s="4">
        <f t="shared" si="18"/>
        <v>0.99038843434744617</v>
      </c>
      <c r="R193" s="4">
        <f t="shared" si="19"/>
        <v>0.78712121212121211</v>
      </c>
      <c r="S193" s="4">
        <f>T193/0.94</f>
        <v>3.3159574468085107</v>
      </c>
      <c r="T193" s="4">
        <f>M193*INDEX(Dim_Product!$C$2:$C$4,MATCH(F193,Dim_Product!$A$2:$A$4,0))/1000000</f>
        <v>3.117</v>
      </c>
      <c r="U193" s="16">
        <f t="shared" si="20"/>
        <v>0.94</v>
      </c>
    </row>
    <row r="194" spans="1:21" x14ac:dyDescent="0.25">
      <c r="A194" s="15" t="s">
        <v>335</v>
      </c>
      <c r="B194" s="4">
        <v>20260702</v>
      </c>
      <c r="C194" s="4">
        <v>3</v>
      </c>
      <c r="D194" s="4" t="s">
        <v>25</v>
      </c>
      <c r="E194" s="4" t="s">
        <v>20</v>
      </c>
      <c r="F194" s="4" t="s">
        <v>143</v>
      </c>
      <c r="G194" s="4">
        <v>60</v>
      </c>
      <c r="H194" s="4">
        <v>2.2999999999999998</v>
      </c>
      <c r="I194" s="4">
        <f t="shared" ref="I194:I257" si="21">G194-H194</f>
        <v>57.7</v>
      </c>
      <c r="J194" s="4">
        <f>INDEX(Dim_Machine!$E$2:$E$8,MATCH(D194,Dim_Machine!$A$2:$A$8,0))*INDEX(Dim_Machine!$D$2:$D$8,MATCH(D194,Dim_Machine!$A$2:$A$8,0))*I194</f>
        <v>41544</v>
      </c>
      <c r="K194" s="4">
        <f>ROUND(J194*0.921,0)</f>
        <v>38262</v>
      </c>
      <c r="L194" s="4">
        <f>ROUND(K194*0.0175,0)</f>
        <v>670</v>
      </c>
      <c r="M194" s="4">
        <f t="shared" ref="M194:M257" si="22">K194-L194</f>
        <v>37592</v>
      </c>
      <c r="N194" s="4">
        <f t="shared" ref="N194:N257" si="23">IFERROR(K194/J194,0)</f>
        <v>0.92099942229924903</v>
      </c>
      <c r="O194" s="4">
        <f t="shared" ref="O194:O257" si="24">IFERROR(I194/G194,0)</f>
        <v>0.96166666666666667</v>
      </c>
      <c r="P194" s="4">
        <f>IFERROR((K194/I194)/(INDEX(Dim_Machine!$E$2:$E$8,MATCH(D194,Dim_Machine!$A$2:$A$8,0))*INDEX(Dim_Machine!$D$2:$D$8,MATCH(D194,Dim_Machine!$A$2:$A$8,0))),0)</f>
        <v>0.92099942229924892</v>
      </c>
      <c r="Q194" s="4">
        <f t="shared" ref="Q194:Q257" si="25">IFERROR(M194/K194,0)</f>
        <v>0.98248915372954893</v>
      </c>
      <c r="R194" s="4">
        <f t="shared" ref="R194:R257" si="26">O194*P194*Q194</f>
        <v>0.87018518518518506</v>
      </c>
      <c r="S194" s="4">
        <f>T194/0.872</f>
        <v>8.6220183486238522</v>
      </c>
      <c r="T194" s="4">
        <f>M194*INDEX(Dim_Product!$C$2:$C$4,MATCH(F194,Dim_Product!$A$2:$A$4,0))/1000000</f>
        <v>7.5183999999999997</v>
      </c>
      <c r="U194" s="16">
        <f t="shared" ref="U194:U257" si="27">IFERROR(T194/S194,0)</f>
        <v>0.87200000000000011</v>
      </c>
    </row>
    <row r="195" spans="1:21" x14ac:dyDescent="0.25">
      <c r="A195" s="15" t="s">
        <v>336</v>
      </c>
      <c r="B195" s="4">
        <v>20260702</v>
      </c>
      <c r="C195" s="4">
        <v>3</v>
      </c>
      <c r="D195" s="4" t="s">
        <v>27</v>
      </c>
      <c r="E195" s="4" t="s">
        <v>20</v>
      </c>
      <c r="F195" s="4" t="s">
        <v>141</v>
      </c>
      <c r="G195" s="4">
        <v>60</v>
      </c>
      <c r="H195" s="4">
        <v>3.8</v>
      </c>
      <c r="I195" s="4">
        <f t="shared" si="21"/>
        <v>56.2</v>
      </c>
      <c r="J195" s="4">
        <f>INDEX(Dim_Machine!$E$2:$E$8,MATCH(D195,Dim_Machine!$A$2:$A$8,0))*INDEX(Dim_Machine!$D$2:$D$8,MATCH(D195,Dim_Machine!$A$2:$A$8,0))*I195</f>
        <v>23379.200000000001</v>
      </c>
      <c r="K195" s="4">
        <f>ROUND(J195*0.871,0)</f>
        <v>20363</v>
      </c>
      <c r="L195" s="4">
        <f>ROUND(K195*0.0093,0)</f>
        <v>189</v>
      </c>
      <c r="M195" s="4">
        <f t="shared" si="22"/>
        <v>20174</v>
      </c>
      <c r="N195" s="4">
        <f t="shared" si="23"/>
        <v>0.87098788666849158</v>
      </c>
      <c r="O195" s="4">
        <f t="shared" si="24"/>
        <v>0.93666666666666676</v>
      </c>
      <c r="P195" s="4">
        <f>IFERROR((K195/I195)/(INDEX(Dim_Machine!$E$2:$E$8,MATCH(D195,Dim_Machine!$A$2:$A$8,0))*INDEX(Dim_Machine!$D$2:$D$8,MATCH(D195,Dim_Machine!$A$2:$A$8,0))),0)</f>
        <v>0.87098788666849158</v>
      </c>
      <c r="Q195" s="4">
        <f t="shared" si="25"/>
        <v>0.99071845995187346</v>
      </c>
      <c r="R195" s="4">
        <f t="shared" si="26"/>
        <v>0.80825320512820509</v>
      </c>
      <c r="S195" s="4">
        <f>T195/0.829</f>
        <v>6.0838359469240046</v>
      </c>
      <c r="T195" s="4">
        <f>M195*INDEX(Dim_Product!$C$2:$C$4,MATCH(F195,Dim_Product!$A$2:$A$4,0))/1000000</f>
        <v>5.0434999999999999</v>
      </c>
      <c r="U195" s="16">
        <f t="shared" si="27"/>
        <v>0.82899999999999996</v>
      </c>
    </row>
    <row r="196" spans="1:21" x14ac:dyDescent="0.25">
      <c r="A196" s="15" t="s">
        <v>337</v>
      </c>
      <c r="B196" s="4">
        <v>20260702</v>
      </c>
      <c r="C196" s="4">
        <v>3</v>
      </c>
      <c r="D196" s="4" t="s">
        <v>29</v>
      </c>
      <c r="E196" s="4" t="s">
        <v>20</v>
      </c>
      <c r="F196" s="4" t="s">
        <v>141</v>
      </c>
      <c r="G196" s="4">
        <v>60</v>
      </c>
      <c r="H196" s="4">
        <v>4.8</v>
      </c>
      <c r="I196" s="4">
        <f t="shared" si="21"/>
        <v>55.2</v>
      </c>
      <c r="J196" s="4">
        <f>INDEX(Dim_Machine!$E$2:$E$8,MATCH(D196,Dim_Machine!$A$2:$A$8,0))*INDEX(Dim_Machine!$D$2:$D$8,MATCH(D196,Dim_Machine!$A$2:$A$8,0))*I196</f>
        <v>15897.6</v>
      </c>
      <c r="K196" s="4">
        <f>ROUND(J196*0.929,0)</f>
        <v>14769</v>
      </c>
      <c r="L196" s="4">
        <f>ROUND(K196*0.0091,0)</f>
        <v>134</v>
      </c>
      <c r="M196" s="4">
        <f t="shared" si="22"/>
        <v>14635</v>
      </c>
      <c r="N196" s="4">
        <f t="shared" si="23"/>
        <v>0.92900815217391297</v>
      </c>
      <c r="O196" s="4">
        <f t="shared" si="24"/>
        <v>0.92</v>
      </c>
      <c r="P196" s="4">
        <f>IFERROR((K196/I196)/(INDEX(Dim_Machine!$E$2:$E$8,MATCH(D196,Dim_Machine!$A$2:$A$8,0))*INDEX(Dim_Machine!$D$2:$D$8,MATCH(D196,Dim_Machine!$A$2:$A$8,0))),0)</f>
        <v>0.92900815217391297</v>
      </c>
      <c r="Q196" s="4">
        <f t="shared" si="25"/>
        <v>0.99092694156679528</v>
      </c>
      <c r="R196" s="4">
        <f t="shared" si="26"/>
        <v>0.84693287037037024</v>
      </c>
      <c r="S196" s="4">
        <f>T196/0.81</f>
        <v>4.5169753086419746</v>
      </c>
      <c r="T196" s="4">
        <f>M196*INDEX(Dim_Product!$C$2:$C$4,MATCH(F196,Dim_Product!$A$2:$A$4,0))/1000000</f>
        <v>3.6587499999999999</v>
      </c>
      <c r="U196" s="16">
        <f t="shared" si="27"/>
        <v>0.81000000000000016</v>
      </c>
    </row>
    <row r="197" spans="1:21" x14ac:dyDescent="0.25">
      <c r="A197" s="15" t="s">
        <v>338</v>
      </c>
      <c r="B197" s="4">
        <v>20260702</v>
      </c>
      <c r="C197" s="4">
        <v>3</v>
      </c>
      <c r="D197" s="4" t="s">
        <v>31</v>
      </c>
      <c r="E197" s="4" t="s">
        <v>20</v>
      </c>
      <c r="F197" s="4" t="s">
        <v>143</v>
      </c>
      <c r="G197" s="4">
        <v>60</v>
      </c>
      <c r="H197" s="4">
        <v>6.2</v>
      </c>
      <c r="I197" s="4">
        <f t="shared" si="21"/>
        <v>53.8</v>
      </c>
      <c r="J197" s="4">
        <f>INDEX(Dim_Machine!$E$2:$E$8,MATCH(D197,Dim_Machine!$A$2:$A$8,0))*INDEX(Dim_Machine!$D$2:$D$8,MATCH(D197,Dim_Machine!$A$2:$A$8,0))*I197</f>
        <v>34862.400000000001</v>
      </c>
      <c r="K197" s="4">
        <f>ROUND(J197*0.951,0)</f>
        <v>33154</v>
      </c>
      <c r="L197" s="4">
        <f>ROUND(K197*0.0152,0)</f>
        <v>504</v>
      </c>
      <c r="M197" s="4">
        <f t="shared" si="22"/>
        <v>32650</v>
      </c>
      <c r="N197" s="4">
        <f t="shared" si="23"/>
        <v>0.95099591537014083</v>
      </c>
      <c r="O197" s="4">
        <f t="shared" si="24"/>
        <v>0.89666666666666661</v>
      </c>
      <c r="P197" s="4">
        <f>IFERROR((K197/I197)/(INDEX(Dim_Machine!$E$2:$E$8,MATCH(D197,Dim_Machine!$A$2:$A$8,0))*INDEX(Dim_Machine!$D$2:$D$8,MATCH(D197,Dim_Machine!$A$2:$A$8,0))),0)</f>
        <v>0.95099591537014094</v>
      </c>
      <c r="Q197" s="4">
        <f t="shared" si="25"/>
        <v>0.98479821439343673</v>
      </c>
      <c r="R197" s="4">
        <f t="shared" si="26"/>
        <v>0.83976337448559668</v>
      </c>
      <c r="S197" s="4">
        <f>T197/0.918</f>
        <v>7.1132897603485841</v>
      </c>
      <c r="T197" s="4">
        <f>M197*INDEX(Dim_Product!$C$2:$C$4,MATCH(F197,Dim_Product!$A$2:$A$4,0))/1000000</f>
        <v>6.53</v>
      </c>
      <c r="U197" s="16">
        <f t="shared" si="27"/>
        <v>0.91800000000000004</v>
      </c>
    </row>
    <row r="198" spans="1:21" x14ac:dyDescent="0.25">
      <c r="A198" s="15" t="s">
        <v>339</v>
      </c>
      <c r="B198" s="4">
        <v>20260702</v>
      </c>
      <c r="C198" s="4">
        <v>4</v>
      </c>
      <c r="D198" s="4" t="s">
        <v>15</v>
      </c>
      <c r="E198" s="4" t="s">
        <v>20</v>
      </c>
      <c r="F198" s="4" t="s">
        <v>187</v>
      </c>
      <c r="G198" s="4">
        <v>60</v>
      </c>
      <c r="H198" s="4">
        <v>2.1</v>
      </c>
      <c r="I198" s="4">
        <f t="shared" si="21"/>
        <v>57.9</v>
      </c>
      <c r="J198" s="4">
        <f>INDEX(Dim_Machine!$E$2:$E$8,MATCH(D198,Dim_Machine!$A$2:$A$8,0))*INDEX(Dim_Machine!$D$2:$D$8,MATCH(D198,Dim_Machine!$A$2:$A$8,0))*I198</f>
        <v>23160</v>
      </c>
      <c r="K198" s="4">
        <f>ROUND(J198*0.781,0)</f>
        <v>18088</v>
      </c>
      <c r="L198" s="4">
        <f>ROUND(K198*0.0268,0)</f>
        <v>485</v>
      </c>
      <c r="M198" s="4">
        <f t="shared" si="22"/>
        <v>17603</v>
      </c>
      <c r="N198" s="4">
        <f t="shared" si="23"/>
        <v>0.7810017271157168</v>
      </c>
      <c r="O198" s="4">
        <f t="shared" si="24"/>
        <v>0.96499999999999997</v>
      </c>
      <c r="P198" s="4">
        <f>IFERROR((K198/I198)/(INDEX(Dim_Machine!$E$2:$E$8,MATCH(D198,Dim_Machine!$A$2:$A$8,0))*INDEX(Dim_Machine!$D$2:$D$8,MATCH(D198,Dim_Machine!$A$2:$A$8,0))),0)</f>
        <v>0.78100172711571669</v>
      </c>
      <c r="Q198" s="4">
        <f t="shared" si="25"/>
        <v>0.97318664307828395</v>
      </c>
      <c r="R198" s="4">
        <f t="shared" si="26"/>
        <v>0.73345833333333332</v>
      </c>
      <c r="S198" s="4">
        <f>T198/0.926</f>
        <v>5.702915766738661</v>
      </c>
      <c r="T198" s="4">
        <f>M198*INDEX(Dim_Product!$C$2:$C$4,MATCH(F198,Dim_Product!$A$2:$A$4,0))/1000000</f>
        <v>5.2808999999999999</v>
      </c>
      <c r="U198" s="16">
        <f t="shared" si="27"/>
        <v>0.92599999999999993</v>
      </c>
    </row>
    <row r="199" spans="1:21" x14ac:dyDescent="0.25">
      <c r="A199" s="15" t="s">
        <v>340</v>
      </c>
      <c r="B199" s="4">
        <v>20260702</v>
      </c>
      <c r="C199" s="4">
        <v>4</v>
      </c>
      <c r="D199" s="4" t="s">
        <v>19</v>
      </c>
      <c r="E199" s="4" t="s">
        <v>20</v>
      </c>
      <c r="F199" s="4" t="s">
        <v>141</v>
      </c>
      <c r="G199" s="4">
        <v>60</v>
      </c>
      <c r="H199" s="4">
        <v>4.5999999999999996</v>
      </c>
      <c r="I199" s="4">
        <f t="shared" si="21"/>
        <v>55.4</v>
      </c>
      <c r="J199" s="4">
        <f>INDEX(Dim_Machine!$E$2:$E$8,MATCH(D199,Dim_Machine!$A$2:$A$8,0))*INDEX(Dim_Machine!$D$2:$D$8,MATCH(D199,Dim_Machine!$A$2:$A$8,0))*I199</f>
        <v>37228.799999999996</v>
      </c>
      <c r="K199" s="4">
        <f>ROUND(J199*0.912,0)</f>
        <v>33953</v>
      </c>
      <c r="L199" s="4">
        <f>ROUND(K199*0.031,0)</f>
        <v>1053</v>
      </c>
      <c r="M199" s="4">
        <f t="shared" si="22"/>
        <v>32900</v>
      </c>
      <c r="N199" s="4">
        <f t="shared" si="23"/>
        <v>0.91200898229327843</v>
      </c>
      <c r="O199" s="4">
        <f t="shared" si="24"/>
        <v>0.92333333333333334</v>
      </c>
      <c r="P199" s="4">
        <f>IFERROR((K199/I199)/(INDEX(Dim_Machine!$E$2:$E$8,MATCH(D199,Dim_Machine!$A$2:$A$8,0))*INDEX(Dim_Machine!$D$2:$D$8,MATCH(D199,Dim_Machine!$A$2:$A$8,0))),0)</f>
        <v>0.91200898229327843</v>
      </c>
      <c r="Q199" s="4">
        <f t="shared" si="25"/>
        <v>0.9689865402173593</v>
      </c>
      <c r="R199" s="4">
        <f t="shared" si="26"/>
        <v>0.81597222222222232</v>
      </c>
      <c r="S199" s="4">
        <f>T199/0.867</f>
        <v>9.4867358708189151</v>
      </c>
      <c r="T199" s="4">
        <f>M199*INDEX(Dim_Product!$C$2:$C$4,MATCH(F199,Dim_Product!$A$2:$A$4,0))/1000000</f>
        <v>8.2249999999999996</v>
      </c>
      <c r="U199" s="16">
        <f t="shared" si="27"/>
        <v>0.86699999999999999</v>
      </c>
    </row>
    <row r="200" spans="1:21" x14ac:dyDescent="0.25">
      <c r="A200" s="15" t="s">
        <v>341</v>
      </c>
      <c r="B200" s="4">
        <v>20260702</v>
      </c>
      <c r="C200" s="4">
        <v>4</v>
      </c>
      <c r="D200" s="4" t="s">
        <v>23</v>
      </c>
      <c r="E200" s="4" t="s">
        <v>20</v>
      </c>
      <c r="F200" s="4" t="s">
        <v>141</v>
      </c>
      <c r="G200" s="4">
        <v>60</v>
      </c>
      <c r="H200" s="4">
        <v>3.9</v>
      </c>
      <c r="I200" s="4">
        <f t="shared" si="21"/>
        <v>56.1</v>
      </c>
      <c r="J200" s="4">
        <f>INDEX(Dim_Machine!$E$2:$E$8,MATCH(D200,Dim_Machine!$A$2:$A$8,0))*INDEX(Dim_Machine!$D$2:$D$8,MATCH(D200,Dim_Machine!$A$2:$A$8,0))*I200</f>
        <v>14810.4</v>
      </c>
      <c r="K200" s="4">
        <f>ROUND(J200*0.846,0)</f>
        <v>12530</v>
      </c>
      <c r="L200" s="4">
        <f>ROUND(K200*0.0279,0)</f>
        <v>350</v>
      </c>
      <c r="M200" s="4">
        <f t="shared" si="22"/>
        <v>12180</v>
      </c>
      <c r="N200" s="4">
        <f t="shared" si="23"/>
        <v>0.846027116080592</v>
      </c>
      <c r="O200" s="4">
        <f t="shared" si="24"/>
        <v>0.93500000000000005</v>
      </c>
      <c r="P200" s="4">
        <f>IFERROR((K200/I200)/(INDEX(Dim_Machine!$E$2:$E$8,MATCH(D200,Dim_Machine!$A$2:$A$8,0))*INDEX(Dim_Machine!$D$2:$D$8,MATCH(D200,Dim_Machine!$A$2:$A$8,0))),0)</f>
        <v>0.846027116080592</v>
      </c>
      <c r="Q200" s="4">
        <f t="shared" si="25"/>
        <v>0.97206703910614523</v>
      </c>
      <c r="R200" s="4">
        <f t="shared" si="26"/>
        <v>0.76893939393939392</v>
      </c>
      <c r="S200" s="4">
        <f>T200/0.857</f>
        <v>3.5530921820303383</v>
      </c>
      <c r="T200" s="4">
        <f>M200*INDEX(Dim_Product!$C$2:$C$4,MATCH(F200,Dim_Product!$A$2:$A$4,0))/1000000</f>
        <v>3.0449999999999999</v>
      </c>
      <c r="U200" s="16">
        <f t="shared" si="27"/>
        <v>0.85699999999999998</v>
      </c>
    </row>
    <row r="201" spans="1:21" x14ac:dyDescent="0.25">
      <c r="A201" s="15" t="s">
        <v>342</v>
      </c>
      <c r="B201" s="4">
        <v>20260702</v>
      </c>
      <c r="C201" s="4">
        <v>4</v>
      </c>
      <c r="D201" s="4" t="s">
        <v>25</v>
      </c>
      <c r="E201" s="4" t="s">
        <v>20</v>
      </c>
      <c r="F201" s="4" t="s">
        <v>143</v>
      </c>
      <c r="G201" s="4">
        <v>60</v>
      </c>
      <c r="H201" s="4">
        <v>7.5</v>
      </c>
      <c r="I201" s="4">
        <f t="shared" si="21"/>
        <v>52.5</v>
      </c>
      <c r="J201" s="4">
        <f>INDEX(Dim_Machine!$E$2:$E$8,MATCH(D201,Dim_Machine!$A$2:$A$8,0))*INDEX(Dim_Machine!$D$2:$D$8,MATCH(D201,Dim_Machine!$A$2:$A$8,0))*I201</f>
        <v>37800</v>
      </c>
      <c r="K201" s="4">
        <f>ROUND(J201*0.954,0)</f>
        <v>36061</v>
      </c>
      <c r="L201" s="4">
        <f>ROUND(K201*0.0344,0)</f>
        <v>1240</v>
      </c>
      <c r="M201" s="4">
        <f t="shared" si="22"/>
        <v>34821</v>
      </c>
      <c r="N201" s="4">
        <f t="shared" si="23"/>
        <v>0.95399470899470895</v>
      </c>
      <c r="O201" s="4">
        <f t="shared" si="24"/>
        <v>0.875</v>
      </c>
      <c r="P201" s="4">
        <f>IFERROR((K201/I201)/(INDEX(Dim_Machine!$E$2:$E$8,MATCH(D201,Dim_Machine!$A$2:$A$8,0))*INDEX(Dim_Machine!$D$2:$D$8,MATCH(D201,Dim_Machine!$A$2:$A$8,0))),0)</f>
        <v>0.95399470899470895</v>
      </c>
      <c r="Q201" s="4">
        <f t="shared" si="25"/>
        <v>0.96561382102548454</v>
      </c>
      <c r="R201" s="4">
        <f t="shared" si="26"/>
        <v>0.80604166666666655</v>
      </c>
      <c r="S201" s="4">
        <f>T201/0.836</f>
        <v>8.3303827751196167</v>
      </c>
      <c r="T201" s="4">
        <f>M201*INDEX(Dim_Product!$C$2:$C$4,MATCH(F201,Dim_Product!$A$2:$A$4,0))/1000000</f>
        <v>6.9641999999999999</v>
      </c>
      <c r="U201" s="16">
        <f t="shared" si="27"/>
        <v>0.83600000000000008</v>
      </c>
    </row>
    <row r="202" spans="1:21" x14ac:dyDescent="0.25">
      <c r="A202" s="15" t="s">
        <v>343</v>
      </c>
      <c r="B202" s="4">
        <v>20260702</v>
      </c>
      <c r="C202" s="4">
        <v>4</v>
      </c>
      <c r="D202" s="4" t="s">
        <v>27</v>
      </c>
      <c r="E202" s="4" t="s">
        <v>20</v>
      </c>
      <c r="F202" s="4" t="s">
        <v>141</v>
      </c>
      <c r="G202" s="4">
        <v>60</v>
      </c>
      <c r="H202" s="4">
        <v>3.1</v>
      </c>
      <c r="I202" s="4">
        <f t="shared" si="21"/>
        <v>56.9</v>
      </c>
      <c r="J202" s="4">
        <f>INDEX(Dim_Machine!$E$2:$E$8,MATCH(D202,Dim_Machine!$A$2:$A$8,0))*INDEX(Dim_Machine!$D$2:$D$8,MATCH(D202,Dim_Machine!$A$2:$A$8,0))*I202</f>
        <v>23670.399999999998</v>
      </c>
      <c r="K202" s="4">
        <f>ROUND(J202*0.951,0)</f>
        <v>22511</v>
      </c>
      <c r="L202" s="4">
        <f>ROUND(K202*0.0173,0)</f>
        <v>389</v>
      </c>
      <c r="M202" s="4">
        <f t="shared" si="22"/>
        <v>22122</v>
      </c>
      <c r="N202" s="4">
        <f t="shared" si="23"/>
        <v>0.95101899418683256</v>
      </c>
      <c r="O202" s="4">
        <f t="shared" si="24"/>
        <v>0.94833333333333336</v>
      </c>
      <c r="P202" s="4">
        <f>IFERROR((K202/I202)/(INDEX(Dim_Machine!$E$2:$E$8,MATCH(D202,Dim_Machine!$A$2:$A$8,0))*INDEX(Dim_Machine!$D$2:$D$8,MATCH(D202,Dim_Machine!$A$2:$A$8,0))),0)</f>
        <v>0.95101899418683256</v>
      </c>
      <c r="Q202" s="4">
        <f t="shared" si="25"/>
        <v>0.98271955932655142</v>
      </c>
      <c r="R202" s="4">
        <f t="shared" si="26"/>
        <v>0.88629807692307694</v>
      </c>
      <c r="S202" s="4">
        <f>T202/0.848</f>
        <v>6.5218160377358494</v>
      </c>
      <c r="T202" s="4">
        <f>M202*INDEX(Dim_Product!$C$2:$C$4,MATCH(F202,Dim_Product!$A$2:$A$4,0))/1000000</f>
        <v>5.5305</v>
      </c>
      <c r="U202" s="16">
        <f t="shared" si="27"/>
        <v>0.84799999999999998</v>
      </c>
    </row>
    <row r="203" spans="1:21" x14ac:dyDescent="0.25">
      <c r="A203" s="15" t="s">
        <v>344</v>
      </c>
      <c r="B203" s="4">
        <v>20260702</v>
      </c>
      <c r="C203" s="4">
        <v>4</v>
      </c>
      <c r="D203" s="4" t="s">
        <v>29</v>
      </c>
      <c r="E203" s="4" t="s">
        <v>20</v>
      </c>
      <c r="F203" s="4" t="s">
        <v>141</v>
      </c>
      <c r="G203" s="4">
        <v>60</v>
      </c>
      <c r="H203" s="4">
        <v>3.8</v>
      </c>
      <c r="I203" s="4">
        <f t="shared" si="21"/>
        <v>56.2</v>
      </c>
      <c r="J203" s="4">
        <f>INDEX(Dim_Machine!$E$2:$E$8,MATCH(D203,Dim_Machine!$A$2:$A$8,0))*INDEX(Dim_Machine!$D$2:$D$8,MATCH(D203,Dim_Machine!$A$2:$A$8,0))*I203</f>
        <v>16185.6</v>
      </c>
      <c r="K203" s="4">
        <f>ROUND(J203*0.963,0)</f>
        <v>15587</v>
      </c>
      <c r="L203" s="4">
        <f>ROUND(K203*0.0164,0)</f>
        <v>256</v>
      </c>
      <c r="M203" s="4">
        <f t="shared" si="22"/>
        <v>15331</v>
      </c>
      <c r="N203" s="4">
        <f t="shared" si="23"/>
        <v>0.96301650850138387</v>
      </c>
      <c r="O203" s="4">
        <f t="shared" si="24"/>
        <v>0.93666666666666676</v>
      </c>
      <c r="P203" s="4">
        <f>IFERROR((K203/I203)/(INDEX(Dim_Machine!$E$2:$E$8,MATCH(D203,Dim_Machine!$A$2:$A$8,0))*INDEX(Dim_Machine!$D$2:$D$8,MATCH(D203,Dim_Machine!$A$2:$A$8,0))),0)</f>
        <v>0.96301650850138387</v>
      </c>
      <c r="Q203" s="4">
        <f t="shared" si="25"/>
        <v>0.98357605697055239</v>
      </c>
      <c r="R203" s="4">
        <f t="shared" si="26"/>
        <v>0.8872106481481481</v>
      </c>
      <c r="S203" s="4">
        <f>T203/0.948</f>
        <v>4.0429852320675108</v>
      </c>
      <c r="T203" s="4">
        <f>M203*INDEX(Dim_Product!$C$2:$C$4,MATCH(F203,Dim_Product!$A$2:$A$4,0))/1000000</f>
        <v>3.8327499999999999</v>
      </c>
      <c r="U203" s="16">
        <f t="shared" si="27"/>
        <v>0.94799999999999995</v>
      </c>
    </row>
    <row r="204" spans="1:21" x14ac:dyDescent="0.25">
      <c r="A204" s="15" t="s">
        <v>345</v>
      </c>
      <c r="B204" s="4">
        <v>20260702</v>
      </c>
      <c r="C204" s="4">
        <v>4</v>
      </c>
      <c r="D204" s="4" t="s">
        <v>31</v>
      </c>
      <c r="E204" s="4" t="s">
        <v>20</v>
      </c>
      <c r="F204" s="4" t="s">
        <v>143</v>
      </c>
      <c r="G204" s="4">
        <v>60</v>
      </c>
      <c r="H204" s="4">
        <v>6.3</v>
      </c>
      <c r="I204" s="4">
        <f t="shared" si="21"/>
        <v>53.7</v>
      </c>
      <c r="J204" s="4">
        <f>INDEX(Dim_Machine!$E$2:$E$8,MATCH(D204,Dim_Machine!$A$2:$A$8,0))*INDEX(Dim_Machine!$D$2:$D$8,MATCH(D204,Dim_Machine!$A$2:$A$8,0))*I204</f>
        <v>34797.599999999999</v>
      </c>
      <c r="K204" s="4">
        <f>ROUND(J204*0.91,0)</f>
        <v>31666</v>
      </c>
      <c r="L204" s="4">
        <f>ROUND(K204*0.0096,0)</f>
        <v>304</v>
      </c>
      <c r="M204" s="4">
        <f t="shared" si="22"/>
        <v>31362</v>
      </c>
      <c r="N204" s="4">
        <f t="shared" si="23"/>
        <v>0.91000528772099232</v>
      </c>
      <c r="O204" s="4">
        <f t="shared" si="24"/>
        <v>0.89500000000000002</v>
      </c>
      <c r="P204" s="4">
        <f>IFERROR((K204/I204)/(INDEX(Dim_Machine!$E$2:$E$8,MATCH(D204,Dim_Machine!$A$2:$A$8,0))*INDEX(Dim_Machine!$D$2:$D$8,MATCH(D204,Dim_Machine!$A$2:$A$8,0))),0)</f>
        <v>0.91000528772099221</v>
      </c>
      <c r="Q204" s="4">
        <f t="shared" si="25"/>
        <v>0.99039979789048194</v>
      </c>
      <c r="R204" s="4">
        <f t="shared" si="26"/>
        <v>0.8066358024691358</v>
      </c>
      <c r="S204" s="4">
        <f>T204/0.945</f>
        <v>6.6374603174603184</v>
      </c>
      <c r="T204" s="4">
        <f>M204*INDEX(Dim_Product!$C$2:$C$4,MATCH(F204,Dim_Product!$A$2:$A$4,0))/1000000</f>
        <v>6.2724000000000002</v>
      </c>
      <c r="U204" s="16">
        <f t="shared" si="27"/>
        <v>0.94499999999999995</v>
      </c>
    </row>
    <row r="205" spans="1:21" x14ac:dyDescent="0.25">
      <c r="A205" s="15" t="s">
        <v>346</v>
      </c>
      <c r="B205" s="4">
        <v>20260702</v>
      </c>
      <c r="C205" s="4">
        <v>5</v>
      </c>
      <c r="D205" s="4" t="s">
        <v>15</v>
      </c>
      <c r="E205" s="4" t="s">
        <v>20</v>
      </c>
      <c r="F205" s="4" t="s">
        <v>187</v>
      </c>
      <c r="G205" s="4">
        <v>60</v>
      </c>
      <c r="H205" s="4">
        <v>1</v>
      </c>
      <c r="I205" s="4">
        <f t="shared" si="21"/>
        <v>59</v>
      </c>
      <c r="J205" s="4">
        <f>INDEX(Dim_Machine!$E$2:$E$8,MATCH(D205,Dim_Machine!$A$2:$A$8,0))*INDEX(Dim_Machine!$D$2:$D$8,MATCH(D205,Dim_Machine!$A$2:$A$8,0))*I205</f>
        <v>23600</v>
      </c>
      <c r="K205" s="4">
        <f>ROUND(J205*0.973,0)</f>
        <v>22963</v>
      </c>
      <c r="L205" s="4">
        <f>ROUND(K205*0.015,0)</f>
        <v>344</v>
      </c>
      <c r="M205" s="4">
        <f t="shared" si="22"/>
        <v>22619</v>
      </c>
      <c r="N205" s="4">
        <f t="shared" si="23"/>
        <v>0.97300847457627115</v>
      </c>
      <c r="O205" s="4">
        <f t="shared" si="24"/>
        <v>0.98333333333333328</v>
      </c>
      <c r="P205" s="4">
        <f>IFERROR((K205/I205)/(INDEX(Dim_Machine!$E$2:$E$8,MATCH(D205,Dim_Machine!$A$2:$A$8,0))*INDEX(Dim_Machine!$D$2:$D$8,MATCH(D205,Dim_Machine!$A$2:$A$8,0))),0)</f>
        <v>0.97300847457627115</v>
      </c>
      <c r="Q205" s="4">
        <f t="shared" si="25"/>
        <v>0.98501937900100156</v>
      </c>
      <c r="R205" s="4">
        <f t="shared" si="26"/>
        <v>0.94245833333333318</v>
      </c>
      <c r="S205" s="4">
        <f>T205/0.815</f>
        <v>8.3260122699386514</v>
      </c>
      <c r="T205" s="4">
        <f>M205*INDEX(Dim_Product!$C$2:$C$4,MATCH(F205,Dim_Product!$A$2:$A$4,0))/1000000</f>
        <v>6.7857000000000003</v>
      </c>
      <c r="U205" s="16">
        <f t="shared" si="27"/>
        <v>0.81499999999999995</v>
      </c>
    </row>
    <row r="206" spans="1:21" x14ac:dyDescent="0.25">
      <c r="A206" s="15" t="s">
        <v>347</v>
      </c>
      <c r="B206" s="4">
        <v>20260702</v>
      </c>
      <c r="C206" s="4">
        <v>5</v>
      </c>
      <c r="D206" s="4" t="s">
        <v>19</v>
      </c>
      <c r="E206" s="4" t="s">
        <v>20</v>
      </c>
      <c r="F206" s="4" t="s">
        <v>141</v>
      </c>
      <c r="G206" s="4">
        <v>60</v>
      </c>
      <c r="H206" s="4">
        <v>6.8</v>
      </c>
      <c r="I206" s="4">
        <f t="shared" si="21"/>
        <v>53.2</v>
      </c>
      <c r="J206" s="4">
        <f>INDEX(Dim_Machine!$E$2:$E$8,MATCH(D206,Dim_Machine!$A$2:$A$8,0))*INDEX(Dim_Machine!$D$2:$D$8,MATCH(D206,Dim_Machine!$A$2:$A$8,0))*I206</f>
        <v>35750.400000000001</v>
      </c>
      <c r="K206" s="4">
        <f>ROUND(J206*0.8,0)</f>
        <v>28600</v>
      </c>
      <c r="L206" s="4">
        <f>ROUND(K206*0.0323,0)</f>
        <v>924</v>
      </c>
      <c r="M206" s="4">
        <f t="shared" si="22"/>
        <v>27676</v>
      </c>
      <c r="N206" s="4">
        <f t="shared" si="23"/>
        <v>0.79999104905119944</v>
      </c>
      <c r="O206" s="4">
        <f t="shared" si="24"/>
        <v>0.88666666666666671</v>
      </c>
      <c r="P206" s="4">
        <f>IFERROR((K206/I206)/(INDEX(Dim_Machine!$E$2:$E$8,MATCH(D206,Dim_Machine!$A$2:$A$8,0))*INDEX(Dim_Machine!$D$2:$D$8,MATCH(D206,Dim_Machine!$A$2:$A$8,0))),0)</f>
        <v>0.79999104905119944</v>
      </c>
      <c r="Q206" s="4">
        <f t="shared" si="25"/>
        <v>0.96769230769230774</v>
      </c>
      <c r="R206" s="4">
        <f t="shared" si="26"/>
        <v>0.68640873015873027</v>
      </c>
      <c r="S206" s="4">
        <f>T206/0.802</f>
        <v>8.6271820448877801</v>
      </c>
      <c r="T206" s="4">
        <f>M206*INDEX(Dim_Product!$C$2:$C$4,MATCH(F206,Dim_Product!$A$2:$A$4,0))/1000000</f>
        <v>6.9189999999999996</v>
      </c>
      <c r="U206" s="16">
        <f t="shared" si="27"/>
        <v>0.80200000000000005</v>
      </c>
    </row>
    <row r="207" spans="1:21" x14ac:dyDescent="0.25">
      <c r="A207" s="15" t="s">
        <v>348</v>
      </c>
      <c r="B207" s="4">
        <v>20260702</v>
      </c>
      <c r="C207" s="4">
        <v>5</v>
      </c>
      <c r="D207" s="4" t="s">
        <v>23</v>
      </c>
      <c r="E207" s="4" t="s">
        <v>20</v>
      </c>
      <c r="F207" s="4" t="s">
        <v>141</v>
      </c>
      <c r="G207" s="4">
        <v>60</v>
      </c>
      <c r="H207" s="4">
        <v>1.2</v>
      </c>
      <c r="I207" s="4">
        <f t="shared" si="21"/>
        <v>58.8</v>
      </c>
      <c r="J207" s="4">
        <f>INDEX(Dim_Machine!$E$2:$E$8,MATCH(D207,Dim_Machine!$A$2:$A$8,0))*INDEX(Dim_Machine!$D$2:$D$8,MATCH(D207,Dim_Machine!$A$2:$A$8,0))*I207</f>
        <v>15523.199999999999</v>
      </c>
      <c r="K207" s="4">
        <f>ROUND(J207*0.954,0)</f>
        <v>14809</v>
      </c>
      <c r="L207" s="4">
        <f>ROUND(K207*0.0341,0)</f>
        <v>505</v>
      </c>
      <c r="M207" s="4">
        <f t="shared" si="22"/>
        <v>14304</v>
      </c>
      <c r="N207" s="4">
        <f t="shared" si="23"/>
        <v>0.9539914450628737</v>
      </c>
      <c r="O207" s="4">
        <f t="shared" si="24"/>
        <v>0.98</v>
      </c>
      <c r="P207" s="4">
        <f>IFERROR((K207/I207)/(INDEX(Dim_Machine!$E$2:$E$8,MATCH(D207,Dim_Machine!$A$2:$A$8,0))*INDEX(Dim_Machine!$D$2:$D$8,MATCH(D207,Dim_Machine!$A$2:$A$8,0))),0)</f>
        <v>0.9539914450628737</v>
      </c>
      <c r="Q207" s="4">
        <f t="shared" si="25"/>
        <v>0.9658991154027956</v>
      </c>
      <c r="R207" s="4">
        <f t="shared" si="26"/>
        <v>0.90303030303030307</v>
      </c>
      <c r="S207" s="4">
        <f>T207/0.811</f>
        <v>4.409371146732429</v>
      </c>
      <c r="T207" s="4">
        <f>M207*INDEX(Dim_Product!$C$2:$C$4,MATCH(F207,Dim_Product!$A$2:$A$4,0))/1000000</f>
        <v>3.5760000000000001</v>
      </c>
      <c r="U207" s="16">
        <f t="shared" si="27"/>
        <v>0.81100000000000005</v>
      </c>
    </row>
    <row r="208" spans="1:21" x14ac:dyDescent="0.25">
      <c r="A208" s="15" t="s">
        <v>349</v>
      </c>
      <c r="B208" s="4">
        <v>20260702</v>
      </c>
      <c r="C208" s="4">
        <v>5</v>
      </c>
      <c r="D208" s="4" t="s">
        <v>25</v>
      </c>
      <c r="E208" s="4" t="s">
        <v>20</v>
      </c>
      <c r="F208" s="4" t="s">
        <v>143</v>
      </c>
      <c r="G208" s="4">
        <v>60</v>
      </c>
      <c r="H208" s="4">
        <v>6.3</v>
      </c>
      <c r="I208" s="4">
        <f t="shared" si="21"/>
        <v>53.7</v>
      </c>
      <c r="J208" s="4">
        <f>INDEX(Dim_Machine!$E$2:$E$8,MATCH(D208,Dim_Machine!$A$2:$A$8,0))*INDEX(Dim_Machine!$D$2:$D$8,MATCH(D208,Dim_Machine!$A$2:$A$8,0))*I208</f>
        <v>38664</v>
      </c>
      <c r="K208" s="4">
        <f>ROUND(J208*0.833,0)</f>
        <v>32207</v>
      </c>
      <c r="L208" s="4">
        <f>ROUND(K208*0.0237,0)</f>
        <v>763</v>
      </c>
      <c r="M208" s="4">
        <f t="shared" si="22"/>
        <v>31444</v>
      </c>
      <c r="N208" s="4">
        <f t="shared" si="23"/>
        <v>0.83299710324849985</v>
      </c>
      <c r="O208" s="4">
        <f t="shared" si="24"/>
        <v>0.89500000000000002</v>
      </c>
      <c r="P208" s="4">
        <f>IFERROR((K208/I208)/(INDEX(Dim_Machine!$E$2:$E$8,MATCH(D208,Dim_Machine!$A$2:$A$8,0))*INDEX(Dim_Machine!$D$2:$D$8,MATCH(D208,Dim_Machine!$A$2:$A$8,0))),0)</f>
        <v>0.83299710324849996</v>
      </c>
      <c r="Q208" s="4">
        <f t="shared" si="25"/>
        <v>0.97630949793523147</v>
      </c>
      <c r="R208" s="4">
        <f t="shared" si="26"/>
        <v>0.72787037037037039</v>
      </c>
      <c r="S208" s="4">
        <f>T208/0.86</f>
        <v>7.3125581395348842</v>
      </c>
      <c r="T208" s="4">
        <f>M208*INDEX(Dim_Product!$C$2:$C$4,MATCH(F208,Dim_Product!$A$2:$A$4,0))/1000000</f>
        <v>6.2888000000000002</v>
      </c>
      <c r="U208" s="16">
        <f t="shared" si="27"/>
        <v>0.86</v>
      </c>
    </row>
    <row r="209" spans="1:21" x14ac:dyDescent="0.25">
      <c r="A209" s="15" t="s">
        <v>350</v>
      </c>
      <c r="B209" s="4">
        <v>20260702</v>
      </c>
      <c r="C209" s="4">
        <v>5</v>
      </c>
      <c r="D209" s="4" t="s">
        <v>27</v>
      </c>
      <c r="E209" s="4" t="s">
        <v>20</v>
      </c>
      <c r="F209" s="4" t="s">
        <v>141</v>
      </c>
      <c r="G209" s="4">
        <v>60</v>
      </c>
      <c r="H209" s="4">
        <v>0.6</v>
      </c>
      <c r="I209" s="4">
        <f t="shared" si="21"/>
        <v>59.4</v>
      </c>
      <c r="J209" s="4">
        <f>INDEX(Dim_Machine!$E$2:$E$8,MATCH(D209,Dim_Machine!$A$2:$A$8,0))*INDEX(Dim_Machine!$D$2:$D$8,MATCH(D209,Dim_Machine!$A$2:$A$8,0))*I209</f>
        <v>24710.399999999998</v>
      </c>
      <c r="K209" s="4">
        <f>ROUND(J209*0.846,0)</f>
        <v>20905</v>
      </c>
      <c r="L209" s="4">
        <f>ROUND(K209*0.0252,0)</f>
        <v>527</v>
      </c>
      <c r="M209" s="4">
        <f t="shared" si="22"/>
        <v>20378</v>
      </c>
      <c r="N209" s="4">
        <f t="shared" si="23"/>
        <v>0.84600006475006484</v>
      </c>
      <c r="O209" s="4">
        <f t="shared" si="24"/>
        <v>0.99</v>
      </c>
      <c r="P209" s="4">
        <f>IFERROR((K209/I209)/(INDEX(Dim_Machine!$E$2:$E$8,MATCH(D209,Dim_Machine!$A$2:$A$8,0))*INDEX(Dim_Machine!$D$2:$D$8,MATCH(D209,Dim_Machine!$A$2:$A$8,0))),0)</f>
        <v>0.84600006475006484</v>
      </c>
      <c r="Q209" s="4">
        <f t="shared" si="25"/>
        <v>0.97479071992346333</v>
      </c>
      <c r="R209" s="4">
        <f t="shared" si="26"/>
        <v>0.8164262820512822</v>
      </c>
      <c r="S209" s="4">
        <f>T209/0.88</f>
        <v>5.7892045454545453</v>
      </c>
      <c r="T209" s="4">
        <f>M209*INDEX(Dim_Product!$C$2:$C$4,MATCH(F209,Dim_Product!$A$2:$A$4,0))/1000000</f>
        <v>5.0945</v>
      </c>
      <c r="U209" s="16">
        <f t="shared" si="27"/>
        <v>0.88</v>
      </c>
    </row>
    <row r="210" spans="1:21" x14ac:dyDescent="0.25">
      <c r="A210" s="15" t="s">
        <v>351</v>
      </c>
      <c r="B210" s="4">
        <v>20260702</v>
      </c>
      <c r="C210" s="4">
        <v>5</v>
      </c>
      <c r="D210" s="4" t="s">
        <v>29</v>
      </c>
      <c r="E210" s="4" t="s">
        <v>20</v>
      </c>
      <c r="F210" s="4" t="s">
        <v>141</v>
      </c>
      <c r="G210" s="4">
        <v>60</v>
      </c>
      <c r="H210" s="4">
        <v>7.6</v>
      </c>
      <c r="I210" s="4">
        <f t="shared" si="21"/>
        <v>52.4</v>
      </c>
      <c r="J210" s="4">
        <f>INDEX(Dim_Machine!$E$2:$E$8,MATCH(D210,Dim_Machine!$A$2:$A$8,0))*INDEX(Dim_Machine!$D$2:$D$8,MATCH(D210,Dim_Machine!$A$2:$A$8,0))*I210</f>
        <v>15091.199999999999</v>
      </c>
      <c r="K210" s="4">
        <f>ROUND(J210*0.905,0)</f>
        <v>13658</v>
      </c>
      <c r="L210" s="4">
        <f>ROUND(K210*0.0316,0)</f>
        <v>432</v>
      </c>
      <c r="M210" s="4">
        <f t="shared" si="22"/>
        <v>13226</v>
      </c>
      <c r="N210" s="4">
        <f t="shared" si="23"/>
        <v>0.90503074639525027</v>
      </c>
      <c r="O210" s="4">
        <f t="shared" si="24"/>
        <v>0.87333333333333329</v>
      </c>
      <c r="P210" s="4">
        <f>IFERROR((K210/I210)/(INDEX(Dim_Machine!$E$2:$E$8,MATCH(D210,Dim_Machine!$A$2:$A$8,0))*INDEX(Dim_Machine!$D$2:$D$8,MATCH(D210,Dim_Machine!$A$2:$A$8,0))),0)</f>
        <v>0.90503074639525016</v>
      </c>
      <c r="Q210" s="4">
        <f t="shared" si="25"/>
        <v>0.96837018597159175</v>
      </c>
      <c r="R210" s="4">
        <f t="shared" si="26"/>
        <v>0.76539351851851845</v>
      </c>
      <c r="S210" s="4">
        <f>T210/0.873</f>
        <v>3.7875143184421538</v>
      </c>
      <c r="T210" s="4">
        <f>M210*INDEX(Dim_Product!$C$2:$C$4,MATCH(F210,Dim_Product!$A$2:$A$4,0))/1000000</f>
        <v>3.3065000000000002</v>
      </c>
      <c r="U210" s="16">
        <f t="shared" si="27"/>
        <v>0.873</v>
      </c>
    </row>
    <row r="211" spans="1:21" x14ac:dyDescent="0.25">
      <c r="A211" s="15" t="s">
        <v>352</v>
      </c>
      <c r="B211" s="4">
        <v>20260702</v>
      </c>
      <c r="C211" s="4">
        <v>5</v>
      </c>
      <c r="D211" s="4" t="s">
        <v>31</v>
      </c>
      <c r="E211" s="4" t="s">
        <v>20</v>
      </c>
      <c r="F211" s="4" t="s">
        <v>143</v>
      </c>
      <c r="G211" s="4">
        <v>60</v>
      </c>
      <c r="H211" s="4">
        <v>4.3</v>
      </c>
      <c r="I211" s="4">
        <f t="shared" si="21"/>
        <v>55.7</v>
      </c>
      <c r="J211" s="4">
        <f>INDEX(Dim_Machine!$E$2:$E$8,MATCH(D211,Dim_Machine!$A$2:$A$8,0))*INDEX(Dim_Machine!$D$2:$D$8,MATCH(D211,Dim_Machine!$A$2:$A$8,0))*I211</f>
        <v>36093.599999999999</v>
      </c>
      <c r="K211" s="4">
        <f>ROUND(J211*0.903,0)</f>
        <v>32593</v>
      </c>
      <c r="L211" s="4">
        <f>ROUND(K211*0.012,0)</f>
        <v>391</v>
      </c>
      <c r="M211" s="4">
        <f t="shared" si="22"/>
        <v>32202</v>
      </c>
      <c r="N211" s="4">
        <f t="shared" si="23"/>
        <v>0.90301327659197206</v>
      </c>
      <c r="O211" s="4">
        <f t="shared" si="24"/>
        <v>0.92833333333333334</v>
      </c>
      <c r="P211" s="4">
        <f>IFERROR((K211/I211)/(INDEX(Dim_Machine!$E$2:$E$8,MATCH(D211,Dim_Machine!$A$2:$A$8,0))*INDEX(Dim_Machine!$D$2:$D$8,MATCH(D211,Dim_Machine!$A$2:$A$8,0))),0)</f>
        <v>0.90301327659197195</v>
      </c>
      <c r="Q211" s="4">
        <f t="shared" si="25"/>
        <v>0.98800355904642101</v>
      </c>
      <c r="R211" s="4">
        <f t="shared" si="26"/>
        <v>0.82824074074074072</v>
      </c>
      <c r="S211" s="4">
        <f>T211/0.903</f>
        <v>7.1322259136212622</v>
      </c>
      <c r="T211" s="4">
        <f>M211*INDEX(Dim_Product!$C$2:$C$4,MATCH(F211,Dim_Product!$A$2:$A$4,0))/1000000</f>
        <v>6.4404000000000003</v>
      </c>
      <c r="U211" s="16">
        <f t="shared" si="27"/>
        <v>0.90300000000000002</v>
      </c>
    </row>
    <row r="212" spans="1:21" x14ac:dyDescent="0.25">
      <c r="A212" s="15" t="s">
        <v>353</v>
      </c>
      <c r="B212" s="4">
        <v>20260702</v>
      </c>
      <c r="C212" s="4">
        <v>6</v>
      </c>
      <c r="D212" s="4" t="s">
        <v>15</v>
      </c>
      <c r="E212" s="4" t="s">
        <v>16</v>
      </c>
      <c r="F212" s="4" t="s">
        <v>143</v>
      </c>
      <c r="G212" s="4">
        <v>60</v>
      </c>
      <c r="H212" s="4">
        <v>2.2999999999999998</v>
      </c>
      <c r="I212" s="4">
        <f t="shared" si="21"/>
        <v>57.7</v>
      </c>
      <c r="J212" s="4">
        <f>INDEX(Dim_Machine!$E$2:$E$8,MATCH(D212,Dim_Machine!$A$2:$A$8,0))*INDEX(Dim_Machine!$D$2:$D$8,MATCH(D212,Dim_Machine!$A$2:$A$8,0))*I212</f>
        <v>23080</v>
      </c>
      <c r="K212" s="4">
        <f>ROUND(J212*0.825,0)</f>
        <v>19041</v>
      </c>
      <c r="L212" s="4">
        <f>ROUND(K212*0.0077,0)</f>
        <v>147</v>
      </c>
      <c r="M212" s="4">
        <f t="shared" si="22"/>
        <v>18894</v>
      </c>
      <c r="N212" s="4">
        <f t="shared" si="23"/>
        <v>0.82499999999999996</v>
      </c>
      <c r="O212" s="4">
        <f t="shared" si="24"/>
        <v>0.96166666666666667</v>
      </c>
      <c r="P212" s="4">
        <f>IFERROR((K212/I212)/(INDEX(Dim_Machine!$E$2:$E$8,MATCH(D212,Dim_Machine!$A$2:$A$8,0))*INDEX(Dim_Machine!$D$2:$D$8,MATCH(D212,Dim_Machine!$A$2:$A$8,0))),0)</f>
        <v>0.82499999999999996</v>
      </c>
      <c r="Q212" s="4">
        <f t="shared" si="25"/>
        <v>0.99227981723648973</v>
      </c>
      <c r="R212" s="4">
        <f t="shared" si="26"/>
        <v>0.78725000000000001</v>
      </c>
      <c r="S212" s="4">
        <f>T212/0.947</f>
        <v>3.9902851108764521</v>
      </c>
      <c r="T212" s="4">
        <f>M212*INDEX(Dim_Product!$C$2:$C$4,MATCH(F212,Dim_Product!$A$2:$A$4,0))/1000000</f>
        <v>3.7787999999999999</v>
      </c>
      <c r="U212" s="16">
        <f t="shared" si="27"/>
        <v>0.94699999999999995</v>
      </c>
    </row>
    <row r="213" spans="1:21" x14ac:dyDescent="0.25">
      <c r="A213" s="15" t="s">
        <v>354</v>
      </c>
      <c r="B213" s="4">
        <v>20260702</v>
      </c>
      <c r="C213" s="4">
        <v>6</v>
      </c>
      <c r="D213" s="4" t="s">
        <v>19</v>
      </c>
      <c r="E213" s="4" t="s">
        <v>16</v>
      </c>
      <c r="F213" s="4" t="s">
        <v>141</v>
      </c>
      <c r="G213" s="4">
        <v>60</v>
      </c>
      <c r="H213" s="4">
        <v>6.1</v>
      </c>
      <c r="I213" s="4">
        <f t="shared" si="21"/>
        <v>53.9</v>
      </c>
      <c r="J213" s="4">
        <f>INDEX(Dim_Machine!$E$2:$E$8,MATCH(D213,Dim_Machine!$A$2:$A$8,0))*INDEX(Dim_Machine!$D$2:$D$8,MATCH(D213,Dim_Machine!$A$2:$A$8,0))*I213</f>
        <v>36220.799999999996</v>
      </c>
      <c r="K213" s="4">
        <f>ROUND(J213*0.921,0)</f>
        <v>33359</v>
      </c>
      <c r="L213" s="4">
        <f>ROUND(K213*0.008,0)</f>
        <v>267</v>
      </c>
      <c r="M213" s="4">
        <f t="shared" si="22"/>
        <v>33092</v>
      </c>
      <c r="N213" s="4">
        <f t="shared" si="23"/>
        <v>0.92099014930647594</v>
      </c>
      <c r="O213" s="4">
        <f t="shared" si="24"/>
        <v>0.89833333333333332</v>
      </c>
      <c r="P213" s="4">
        <f>IFERROR((K213/I213)/(INDEX(Dim_Machine!$E$2:$E$8,MATCH(D213,Dim_Machine!$A$2:$A$8,0))*INDEX(Dim_Machine!$D$2:$D$8,MATCH(D213,Dim_Machine!$A$2:$A$8,0))),0)</f>
        <v>0.92099014930647594</v>
      </c>
      <c r="Q213" s="4">
        <f t="shared" si="25"/>
        <v>0.99199616295452497</v>
      </c>
      <c r="R213" s="4">
        <f t="shared" si="26"/>
        <v>0.82073412698412707</v>
      </c>
      <c r="S213" s="4">
        <f>T213/0.825</f>
        <v>10.027878787878787</v>
      </c>
      <c r="T213" s="4">
        <f>M213*INDEX(Dim_Product!$C$2:$C$4,MATCH(F213,Dim_Product!$A$2:$A$4,0))/1000000</f>
        <v>8.2729999999999997</v>
      </c>
      <c r="U213" s="16">
        <f t="shared" si="27"/>
        <v>0.82499999999999996</v>
      </c>
    </row>
    <row r="214" spans="1:21" x14ac:dyDescent="0.25">
      <c r="A214" s="15" t="s">
        <v>355</v>
      </c>
      <c r="B214" s="4">
        <v>20260702</v>
      </c>
      <c r="C214" s="4">
        <v>6</v>
      </c>
      <c r="D214" s="4" t="s">
        <v>23</v>
      </c>
      <c r="E214" s="4" t="s">
        <v>16</v>
      </c>
      <c r="F214" s="4" t="s">
        <v>141</v>
      </c>
      <c r="G214" s="4">
        <v>60</v>
      </c>
      <c r="H214" s="4">
        <v>2.4</v>
      </c>
      <c r="I214" s="4">
        <f t="shared" si="21"/>
        <v>57.6</v>
      </c>
      <c r="J214" s="4">
        <f>INDEX(Dim_Machine!$E$2:$E$8,MATCH(D214,Dim_Machine!$A$2:$A$8,0))*INDEX(Dim_Machine!$D$2:$D$8,MATCH(D214,Dim_Machine!$A$2:$A$8,0))*I214</f>
        <v>15206.4</v>
      </c>
      <c r="K214" s="4">
        <f>ROUND(J214*0.786,0)</f>
        <v>11952</v>
      </c>
      <c r="L214" s="4">
        <f>ROUND(K214*0.0147,0)</f>
        <v>176</v>
      </c>
      <c r="M214" s="4">
        <f t="shared" si="22"/>
        <v>11776</v>
      </c>
      <c r="N214" s="4">
        <f t="shared" si="23"/>
        <v>0.78598484848484851</v>
      </c>
      <c r="O214" s="4">
        <f t="shared" si="24"/>
        <v>0.96000000000000008</v>
      </c>
      <c r="P214" s="4">
        <f>IFERROR((K214/I214)/(INDEX(Dim_Machine!$E$2:$E$8,MATCH(D214,Dim_Machine!$A$2:$A$8,0))*INDEX(Dim_Machine!$D$2:$D$8,MATCH(D214,Dim_Machine!$A$2:$A$8,0))),0)</f>
        <v>0.78598484848484851</v>
      </c>
      <c r="Q214" s="4">
        <f t="shared" si="25"/>
        <v>0.98527443105756363</v>
      </c>
      <c r="R214" s="4">
        <f t="shared" si="26"/>
        <v>0.74343434343434356</v>
      </c>
      <c r="S214" s="4">
        <f>T214/0.808</f>
        <v>3.6435643564356432</v>
      </c>
      <c r="T214" s="4">
        <f>M214*INDEX(Dim_Product!$C$2:$C$4,MATCH(F214,Dim_Product!$A$2:$A$4,0))/1000000</f>
        <v>2.944</v>
      </c>
      <c r="U214" s="16">
        <f t="shared" si="27"/>
        <v>0.80800000000000005</v>
      </c>
    </row>
    <row r="215" spans="1:21" x14ac:dyDescent="0.25">
      <c r="A215" s="15" t="s">
        <v>356</v>
      </c>
      <c r="B215" s="4">
        <v>20260702</v>
      </c>
      <c r="C215" s="4">
        <v>6</v>
      </c>
      <c r="D215" s="4" t="s">
        <v>25</v>
      </c>
      <c r="E215" s="4" t="s">
        <v>16</v>
      </c>
      <c r="F215" s="4" t="s">
        <v>141</v>
      </c>
      <c r="G215" s="4">
        <v>60</v>
      </c>
      <c r="H215" s="4">
        <v>2.9</v>
      </c>
      <c r="I215" s="4">
        <f t="shared" si="21"/>
        <v>57.1</v>
      </c>
      <c r="J215" s="4">
        <f>INDEX(Dim_Machine!$E$2:$E$8,MATCH(D215,Dim_Machine!$A$2:$A$8,0))*INDEX(Dim_Machine!$D$2:$D$8,MATCH(D215,Dim_Machine!$A$2:$A$8,0))*I215</f>
        <v>41112</v>
      </c>
      <c r="K215" s="4">
        <f>ROUND(J215*0.866,0)</f>
        <v>35603</v>
      </c>
      <c r="L215" s="4">
        <f>ROUND(K215*0.0123,0)</f>
        <v>438</v>
      </c>
      <c r="M215" s="4">
        <f t="shared" si="22"/>
        <v>35165</v>
      </c>
      <c r="N215" s="4">
        <f t="shared" si="23"/>
        <v>0.86600019459038724</v>
      </c>
      <c r="O215" s="4">
        <f t="shared" si="24"/>
        <v>0.95166666666666666</v>
      </c>
      <c r="P215" s="4">
        <f>IFERROR((K215/I215)/(INDEX(Dim_Machine!$E$2:$E$8,MATCH(D215,Dim_Machine!$A$2:$A$8,0))*INDEX(Dim_Machine!$D$2:$D$8,MATCH(D215,Dim_Machine!$A$2:$A$8,0))),0)</f>
        <v>0.86600019459038724</v>
      </c>
      <c r="Q215" s="4">
        <f t="shared" si="25"/>
        <v>0.98769766592702857</v>
      </c>
      <c r="R215" s="4">
        <f t="shared" si="26"/>
        <v>0.81400462962962961</v>
      </c>
      <c r="S215" s="4">
        <f>T215/0.862</f>
        <v>10.198665893271462</v>
      </c>
      <c r="T215" s="4">
        <f>M215*INDEX(Dim_Product!$C$2:$C$4,MATCH(F215,Dim_Product!$A$2:$A$4,0))/1000000</f>
        <v>8.7912499999999998</v>
      </c>
      <c r="U215" s="16">
        <f t="shared" si="27"/>
        <v>0.86199999999999999</v>
      </c>
    </row>
    <row r="216" spans="1:21" x14ac:dyDescent="0.25">
      <c r="A216" s="15" t="s">
        <v>357</v>
      </c>
      <c r="B216" s="4">
        <v>20260702</v>
      </c>
      <c r="C216" s="4">
        <v>6</v>
      </c>
      <c r="D216" s="4" t="s">
        <v>27</v>
      </c>
      <c r="E216" s="4" t="s">
        <v>16</v>
      </c>
      <c r="F216" s="4" t="s">
        <v>143</v>
      </c>
      <c r="G216" s="4">
        <v>60</v>
      </c>
      <c r="H216" s="4">
        <v>5.5</v>
      </c>
      <c r="I216" s="4">
        <f t="shared" si="21"/>
        <v>54.5</v>
      </c>
      <c r="J216" s="4">
        <f>INDEX(Dim_Machine!$E$2:$E$8,MATCH(D216,Dim_Machine!$A$2:$A$8,0))*INDEX(Dim_Machine!$D$2:$D$8,MATCH(D216,Dim_Machine!$A$2:$A$8,0))*I216</f>
        <v>22672</v>
      </c>
      <c r="K216" s="4">
        <f>ROUND(J216*0.816,0)</f>
        <v>18500</v>
      </c>
      <c r="L216" s="4">
        <f>ROUND(K216*0.0103,0)</f>
        <v>191</v>
      </c>
      <c r="M216" s="4">
        <f t="shared" si="22"/>
        <v>18309</v>
      </c>
      <c r="N216" s="4">
        <f t="shared" si="23"/>
        <v>0.81598447424135501</v>
      </c>
      <c r="O216" s="4">
        <f t="shared" si="24"/>
        <v>0.90833333333333333</v>
      </c>
      <c r="P216" s="4">
        <f>IFERROR((K216/I216)/(INDEX(Dim_Machine!$E$2:$E$8,MATCH(D216,Dim_Machine!$A$2:$A$8,0))*INDEX(Dim_Machine!$D$2:$D$8,MATCH(D216,Dim_Machine!$A$2:$A$8,0))),0)</f>
        <v>0.81598447424135501</v>
      </c>
      <c r="Q216" s="4">
        <f t="shared" si="25"/>
        <v>0.98967567567567571</v>
      </c>
      <c r="R216" s="4">
        <f t="shared" si="26"/>
        <v>0.73353365384615388</v>
      </c>
      <c r="S216" s="4">
        <f>T216/0.891</f>
        <v>4.1097643097643095</v>
      </c>
      <c r="T216" s="4">
        <f>M216*INDEX(Dim_Product!$C$2:$C$4,MATCH(F216,Dim_Product!$A$2:$A$4,0))/1000000</f>
        <v>3.6617999999999999</v>
      </c>
      <c r="U216" s="16">
        <f t="shared" si="27"/>
        <v>0.89100000000000001</v>
      </c>
    </row>
    <row r="217" spans="1:21" x14ac:dyDescent="0.25">
      <c r="A217" s="15" t="s">
        <v>358</v>
      </c>
      <c r="B217" s="4">
        <v>20260702</v>
      </c>
      <c r="C217" s="4">
        <v>6</v>
      </c>
      <c r="D217" s="4" t="s">
        <v>29</v>
      </c>
      <c r="E217" s="4" t="s">
        <v>16</v>
      </c>
      <c r="F217" s="4" t="s">
        <v>143</v>
      </c>
      <c r="G217" s="4">
        <v>60</v>
      </c>
      <c r="H217" s="4">
        <v>3.1</v>
      </c>
      <c r="I217" s="4">
        <f t="shared" si="21"/>
        <v>56.9</v>
      </c>
      <c r="J217" s="4">
        <f>INDEX(Dim_Machine!$E$2:$E$8,MATCH(D217,Dim_Machine!$A$2:$A$8,0))*INDEX(Dim_Machine!$D$2:$D$8,MATCH(D217,Dim_Machine!$A$2:$A$8,0))*I217</f>
        <v>16387.2</v>
      </c>
      <c r="K217" s="4">
        <f>ROUND(J217*0.917,0)</f>
        <v>15027</v>
      </c>
      <c r="L217" s="4">
        <f>ROUND(K217*0.0199,0)</f>
        <v>299</v>
      </c>
      <c r="M217" s="4">
        <f t="shared" si="22"/>
        <v>14728</v>
      </c>
      <c r="N217" s="4">
        <f t="shared" si="23"/>
        <v>0.91699619214997063</v>
      </c>
      <c r="O217" s="4">
        <f t="shared" si="24"/>
        <v>0.94833333333333336</v>
      </c>
      <c r="P217" s="4">
        <f>IFERROR((K217/I217)/(INDEX(Dim_Machine!$E$2:$E$8,MATCH(D217,Dim_Machine!$A$2:$A$8,0))*INDEX(Dim_Machine!$D$2:$D$8,MATCH(D217,Dim_Machine!$A$2:$A$8,0))),0)</f>
        <v>0.91699619214997063</v>
      </c>
      <c r="Q217" s="4">
        <f t="shared" si="25"/>
        <v>0.98010248219870899</v>
      </c>
      <c r="R217" s="4">
        <f t="shared" si="26"/>
        <v>0.85231481481481475</v>
      </c>
      <c r="S217" s="4">
        <f>T217/0.887</f>
        <v>3.3208568207440812</v>
      </c>
      <c r="T217" s="4">
        <f>M217*INDEX(Dim_Product!$C$2:$C$4,MATCH(F217,Dim_Product!$A$2:$A$4,0))/1000000</f>
        <v>2.9456000000000002</v>
      </c>
      <c r="U217" s="16">
        <f t="shared" si="27"/>
        <v>0.88700000000000001</v>
      </c>
    </row>
    <row r="218" spans="1:21" x14ac:dyDescent="0.25">
      <c r="A218" s="15" t="s">
        <v>359</v>
      </c>
      <c r="B218" s="4">
        <v>20260702</v>
      </c>
      <c r="C218" s="4">
        <v>6</v>
      </c>
      <c r="D218" s="4" t="s">
        <v>31</v>
      </c>
      <c r="E218" s="4" t="s">
        <v>16</v>
      </c>
      <c r="F218" s="4" t="s">
        <v>143</v>
      </c>
      <c r="G218" s="4">
        <v>60</v>
      </c>
      <c r="H218" s="4">
        <v>1.9</v>
      </c>
      <c r="I218" s="4">
        <f t="shared" si="21"/>
        <v>58.1</v>
      </c>
      <c r="J218" s="4">
        <f>INDEX(Dim_Machine!$E$2:$E$8,MATCH(D218,Dim_Machine!$A$2:$A$8,0))*INDEX(Dim_Machine!$D$2:$D$8,MATCH(D218,Dim_Machine!$A$2:$A$8,0))*I218</f>
        <v>37648.800000000003</v>
      </c>
      <c r="K218" s="4">
        <f>ROUND(J218*0.908,0)</f>
        <v>34185</v>
      </c>
      <c r="L218" s="4">
        <f>ROUND(K218*0.0188,0)</f>
        <v>643</v>
      </c>
      <c r="M218" s="4">
        <f t="shared" si="22"/>
        <v>33542</v>
      </c>
      <c r="N218" s="4">
        <f t="shared" si="23"/>
        <v>0.90799706763562182</v>
      </c>
      <c r="O218" s="4">
        <f t="shared" si="24"/>
        <v>0.96833333333333338</v>
      </c>
      <c r="P218" s="4">
        <f>IFERROR((K218/I218)/(INDEX(Dim_Machine!$E$2:$E$8,MATCH(D218,Dim_Machine!$A$2:$A$8,0))*INDEX(Dim_Machine!$D$2:$D$8,MATCH(D218,Dim_Machine!$A$2:$A$8,0))),0)</f>
        <v>0.90799706763562182</v>
      </c>
      <c r="Q218" s="4">
        <f t="shared" si="25"/>
        <v>0.98119058066403397</v>
      </c>
      <c r="R218" s="4">
        <f t="shared" si="26"/>
        <v>0.86270576131687249</v>
      </c>
      <c r="S218" s="4">
        <f>T218/0.9</f>
        <v>7.4537777777777778</v>
      </c>
      <c r="T218" s="4">
        <f>M218*INDEX(Dim_Product!$C$2:$C$4,MATCH(F218,Dim_Product!$A$2:$A$4,0))/1000000</f>
        <v>6.7084000000000001</v>
      </c>
      <c r="U218" s="16">
        <f t="shared" si="27"/>
        <v>0.9</v>
      </c>
    </row>
    <row r="219" spans="1:21" x14ac:dyDescent="0.25">
      <c r="A219" s="15" t="s">
        <v>360</v>
      </c>
      <c r="B219" s="4">
        <v>20260702</v>
      </c>
      <c r="C219" s="4">
        <v>7</v>
      </c>
      <c r="D219" s="4" t="s">
        <v>15</v>
      </c>
      <c r="E219" s="4" t="s">
        <v>16</v>
      </c>
      <c r="F219" s="4" t="s">
        <v>143</v>
      </c>
      <c r="G219" s="4">
        <v>60</v>
      </c>
      <c r="H219" s="4">
        <v>7.2</v>
      </c>
      <c r="I219" s="4">
        <f t="shared" si="21"/>
        <v>52.8</v>
      </c>
      <c r="J219" s="4">
        <f>INDEX(Dim_Machine!$E$2:$E$8,MATCH(D219,Dim_Machine!$A$2:$A$8,0))*INDEX(Dim_Machine!$D$2:$D$8,MATCH(D219,Dim_Machine!$A$2:$A$8,0))*I219</f>
        <v>21120</v>
      </c>
      <c r="K219" s="4">
        <f>ROUND(J219*0.873,0)</f>
        <v>18438</v>
      </c>
      <c r="L219" s="4">
        <f>ROUND(K219*0.0136,0)</f>
        <v>251</v>
      </c>
      <c r="M219" s="4">
        <f t="shared" si="22"/>
        <v>18187</v>
      </c>
      <c r="N219" s="4">
        <f t="shared" si="23"/>
        <v>0.87301136363636367</v>
      </c>
      <c r="O219" s="4">
        <f t="shared" si="24"/>
        <v>0.88</v>
      </c>
      <c r="P219" s="4">
        <f>IFERROR((K219/I219)/(INDEX(Dim_Machine!$E$2:$E$8,MATCH(D219,Dim_Machine!$A$2:$A$8,0))*INDEX(Dim_Machine!$D$2:$D$8,MATCH(D219,Dim_Machine!$A$2:$A$8,0))),0)</f>
        <v>0.87301136363636378</v>
      </c>
      <c r="Q219" s="4">
        <f t="shared" si="25"/>
        <v>0.98638680984922444</v>
      </c>
      <c r="R219" s="4">
        <f t="shared" si="26"/>
        <v>0.75779166666666675</v>
      </c>
      <c r="S219" s="4">
        <f>T219/0.882</f>
        <v>4.124036281179138</v>
      </c>
      <c r="T219" s="4">
        <f>M219*INDEX(Dim_Product!$C$2:$C$4,MATCH(F219,Dim_Product!$A$2:$A$4,0))/1000000</f>
        <v>3.6374</v>
      </c>
      <c r="U219" s="16">
        <f t="shared" si="27"/>
        <v>0.88200000000000001</v>
      </c>
    </row>
    <row r="220" spans="1:21" x14ac:dyDescent="0.25">
      <c r="A220" s="15" t="s">
        <v>361</v>
      </c>
      <c r="B220" s="4">
        <v>20260702</v>
      </c>
      <c r="C220" s="4">
        <v>7</v>
      </c>
      <c r="D220" s="4" t="s">
        <v>19</v>
      </c>
      <c r="E220" s="4" t="s">
        <v>16</v>
      </c>
      <c r="F220" s="4" t="s">
        <v>141</v>
      </c>
      <c r="G220" s="4">
        <v>60</v>
      </c>
      <c r="H220" s="4">
        <v>0.6</v>
      </c>
      <c r="I220" s="4">
        <f t="shared" si="21"/>
        <v>59.4</v>
      </c>
      <c r="J220" s="4">
        <f>INDEX(Dim_Machine!$E$2:$E$8,MATCH(D220,Dim_Machine!$A$2:$A$8,0))*INDEX(Dim_Machine!$D$2:$D$8,MATCH(D220,Dim_Machine!$A$2:$A$8,0))*I220</f>
        <v>39916.799999999996</v>
      </c>
      <c r="K220" s="4">
        <f>ROUND(J220*0.969,0)</f>
        <v>38679</v>
      </c>
      <c r="L220" s="4">
        <f>ROUND(K220*0.0346,0)</f>
        <v>1338</v>
      </c>
      <c r="M220" s="4">
        <f t="shared" si="22"/>
        <v>37341</v>
      </c>
      <c r="N220" s="4">
        <f t="shared" si="23"/>
        <v>0.96899050024050037</v>
      </c>
      <c r="O220" s="4">
        <f t="shared" si="24"/>
        <v>0.99</v>
      </c>
      <c r="P220" s="4">
        <f>IFERROR((K220/I220)/(INDEX(Dim_Machine!$E$2:$E$8,MATCH(D220,Dim_Machine!$A$2:$A$8,0))*INDEX(Dim_Machine!$D$2:$D$8,MATCH(D220,Dim_Machine!$A$2:$A$8,0))),0)</f>
        <v>0.96899050024050026</v>
      </c>
      <c r="Q220" s="4">
        <f t="shared" si="25"/>
        <v>0.96540758551151784</v>
      </c>
      <c r="R220" s="4">
        <f t="shared" si="26"/>
        <v>0.92611607142857144</v>
      </c>
      <c r="S220" s="4">
        <f>T220/0.845</f>
        <v>11.047633136094674</v>
      </c>
      <c r="T220" s="4">
        <f>M220*INDEX(Dim_Product!$C$2:$C$4,MATCH(F220,Dim_Product!$A$2:$A$4,0))/1000000</f>
        <v>9.3352500000000003</v>
      </c>
      <c r="U220" s="16">
        <f t="shared" si="27"/>
        <v>0.84500000000000008</v>
      </c>
    </row>
    <row r="221" spans="1:21" x14ac:dyDescent="0.25">
      <c r="A221" s="15" t="s">
        <v>362</v>
      </c>
      <c r="B221" s="4">
        <v>20260702</v>
      </c>
      <c r="C221" s="4">
        <v>7</v>
      </c>
      <c r="D221" s="4" t="s">
        <v>23</v>
      </c>
      <c r="E221" s="4" t="s">
        <v>16</v>
      </c>
      <c r="F221" s="4" t="s">
        <v>141</v>
      </c>
      <c r="G221" s="4">
        <v>60</v>
      </c>
      <c r="H221" s="4">
        <v>7.7</v>
      </c>
      <c r="I221" s="4">
        <f t="shared" si="21"/>
        <v>52.3</v>
      </c>
      <c r="J221" s="4">
        <f>INDEX(Dim_Machine!$E$2:$E$8,MATCH(D221,Dim_Machine!$A$2:$A$8,0))*INDEX(Dim_Machine!$D$2:$D$8,MATCH(D221,Dim_Machine!$A$2:$A$8,0))*I221</f>
        <v>13807.199999999999</v>
      </c>
      <c r="K221" s="4">
        <f>ROUND(J221*0.918,0)</f>
        <v>12675</v>
      </c>
      <c r="L221" s="4">
        <f>ROUND(K221*0.0187,0)</f>
        <v>237</v>
      </c>
      <c r="M221" s="4">
        <f t="shared" si="22"/>
        <v>12438</v>
      </c>
      <c r="N221" s="4">
        <f t="shared" si="23"/>
        <v>0.91799930471058588</v>
      </c>
      <c r="O221" s="4">
        <f t="shared" si="24"/>
        <v>0.87166666666666659</v>
      </c>
      <c r="P221" s="4">
        <f>IFERROR((K221/I221)/(INDEX(Dim_Machine!$E$2:$E$8,MATCH(D221,Dim_Machine!$A$2:$A$8,0))*INDEX(Dim_Machine!$D$2:$D$8,MATCH(D221,Dim_Machine!$A$2:$A$8,0))),0)</f>
        <v>0.91799930471058577</v>
      </c>
      <c r="Q221" s="4">
        <f t="shared" si="25"/>
        <v>0.98130177514792905</v>
      </c>
      <c r="R221" s="4">
        <f t="shared" si="26"/>
        <v>0.78522727272727266</v>
      </c>
      <c r="S221" s="4">
        <f>T221/0.845</f>
        <v>3.6798816568047341</v>
      </c>
      <c r="T221" s="4">
        <f>M221*INDEX(Dim_Product!$C$2:$C$4,MATCH(F221,Dim_Product!$A$2:$A$4,0))/1000000</f>
        <v>3.1095000000000002</v>
      </c>
      <c r="U221" s="16">
        <f t="shared" si="27"/>
        <v>0.84499999999999997</v>
      </c>
    </row>
    <row r="222" spans="1:21" x14ac:dyDescent="0.25">
      <c r="A222" s="15" t="s">
        <v>363</v>
      </c>
      <c r="B222" s="4">
        <v>20260702</v>
      </c>
      <c r="C222" s="4">
        <v>7</v>
      </c>
      <c r="D222" s="4" t="s">
        <v>25</v>
      </c>
      <c r="E222" s="4" t="s">
        <v>16</v>
      </c>
      <c r="F222" s="4" t="s">
        <v>141</v>
      </c>
      <c r="G222" s="4">
        <v>60</v>
      </c>
      <c r="H222" s="4">
        <v>8</v>
      </c>
      <c r="I222" s="4">
        <f t="shared" si="21"/>
        <v>52</v>
      </c>
      <c r="J222" s="4">
        <f>INDEX(Dim_Machine!$E$2:$E$8,MATCH(D222,Dim_Machine!$A$2:$A$8,0))*INDEX(Dim_Machine!$D$2:$D$8,MATCH(D222,Dim_Machine!$A$2:$A$8,0))*I222</f>
        <v>37440</v>
      </c>
      <c r="K222" s="4">
        <f>ROUND(J222*0.951,0)</f>
        <v>35605</v>
      </c>
      <c r="L222" s="4">
        <f>ROUND(K222*0.0082,0)</f>
        <v>292</v>
      </c>
      <c r="M222" s="4">
        <f t="shared" si="22"/>
        <v>35313</v>
      </c>
      <c r="N222" s="4">
        <f t="shared" si="23"/>
        <v>0.95098824786324787</v>
      </c>
      <c r="O222" s="4">
        <f t="shared" si="24"/>
        <v>0.8666666666666667</v>
      </c>
      <c r="P222" s="4">
        <f>IFERROR((K222/I222)/(INDEX(Dim_Machine!$E$2:$E$8,MATCH(D222,Dim_Machine!$A$2:$A$8,0))*INDEX(Dim_Machine!$D$2:$D$8,MATCH(D222,Dim_Machine!$A$2:$A$8,0))),0)</f>
        <v>0.95098824786324787</v>
      </c>
      <c r="Q222" s="4">
        <f t="shared" si="25"/>
        <v>0.99179890464822351</v>
      </c>
      <c r="R222" s="4">
        <f t="shared" si="26"/>
        <v>0.81743055555555555</v>
      </c>
      <c r="S222" s="4">
        <f>T222/0.857</f>
        <v>10.301341890315053</v>
      </c>
      <c r="T222" s="4">
        <f>M222*INDEX(Dim_Product!$C$2:$C$4,MATCH(F222,Dim_Product!$A$2:$A$4,0))/1000000</f>
        <v>8.8282500000000006</v>
      </c>
      <c r="U222" s="16">
        <f t="shared" si="27"/>
        <v>0.8570000000000001</v>
      </c>
    </row>
    <row r="223" spans="1:21" x14ac:dyDescent="0.25">
      <c r="A223" s="15" t="s">
        <v>364</v>
      </c>
      <c r="B223" s="4">
        <v>20260702</v>
      </c>
      <c r="C223" s="4">
        <v>7</v>
      </c>
      <c r="D223" s="4" t="s">
        <v>27</v>
      </c>
      <c r="E223" s="4" t="s">
        <v>16</v>
      </c>
      <c r="F223" s="4" t="s">
        <v>143</v>
      </c>
      <c r="G223" s="4">
        <v>60</v>
      </c>
      <c r="H223" s="4">
        <v>2.9</v>
      </c>
      <c r="I223" s="4">
        <f t="shared" si="21"/>
        <v>57.1</v>
      </c>
      <c r="J223" s="4">
        <f>INDEX(Dim_Machine!$E$2:$E$8,MATCH(D223,Dim_Machine!$A$2:$A$8,0))*INDEX(Dim_Machine!$D$2:$D$8,MATCH(D223,Dim_Machine!$A$2:$A$8,0))*I223</f>
        <v>23753.600000000002</v>
      </c>
      <c r="K223" s="4">
        <f>ROUND(J223*0.839,0)</f>
        <v>19929</v>
      </c>
      <c r="L223" s="4">
        <f>ROUND(K223*0.026,0)</f>
        <v>518</v>
      </c>
      <c r="M223" s="4">
        <f t="shared" si="22"/>
        <v>19411</v>
      </c>
      <c r="N223" s="4">
        <f t="shared" si="23"/>
        <v>0.83898861646234668</v>
      </c>
      <c r="O223" s="4">
        <f t="shared" si="24"/>
        <v>0.95166666666666666</v>
      </c>
      <c r="P223" s="4">
        <f>IFERROR((K223/I223)/(INDEX(Dim_Machine!$E$2:$E$8,MATCH(D223,Dim_Machine!$A$2:$A$8,0))*INDEX(Dim_Machine!$D$2:$D$8,MATCH(D223,Dim_Machine!$A$2:$A$8,0))),0)</f>
        <v>0.83898861646234668</v>
      </c>
      <c r="Q223" s="4">
        <f t="shared" si="25"/>
        <v>0.97400772743238495</v>
      </c>
      <c r="R223" s="4">
        <f t="shared" si="26"/>
        <v>0.7776842948717948</v>
      </c>
      <c r="S223" s="4">
        <f>T223/0.803</f>
        <v>4.8346201743462016</v>
      </c>
      <c r="T223" s="4">
        <f>M223*INDEX(Dim_Product!$C$2:$C$4,MATCH(F223,Dim_Product!$A$2:$A$4,0))/1000000</f>
        <v>3.8822000000000001</v>
      </c>
      <c r="U223" s="16">
        <f t="shared" si="27"/>
        <v>0.80300000000000005</v>
      </c>
    </row>
    <row r="224" spans="1:21" x14ac:dyDescent="0.25">
      <c r="A224" s="15" t="s">
        <v>365</v>
      </c>
      <c r="B224" s="4">
        <v>20260702</v>
      </c>
      <c r="C224" s="4">
        <v>7</v>
      </c>
      <c r="D224" s="4" t="s">
        <v>29</v>
      </c>
      <c r="E224" s="4" t="s">
        <v>16</v>
      </c>
      <c r="F224" s="4" t="s">
        <v>143</v>
      </c>
      <c r="G224" s="4">
        <v>60</v>
      </c>
      <c r="H224" s="4">
        <v>6.6</v>
      </c>
      <c r="I224" s="4">
        <f t="shared" si="21"/>
        <v>53.4</v>
      </c>
      <c r="J224" s="4">
        <f>INDEX(Dim_Machine!$E$2:$E$8,MATCH(D224,Dim_Machine!$A$2:$A$8,0))*INDEX(Dim_Machine!$D$2:$D$8,MATCH(D224,Dim_Machine!$A$2:$A$8,0))*I224</f>
        <v>15379.199999999999</v>
      </c>
      <c r="K224" s="4">
        <f>ROUND(J224*0.859,0)</f>
        <v>13211</v>
      </c>
      <c r="L224" s="4">
        <f>ROUND(K224*0.0052,0)</f>
        <v>69</v>
      </c>
      <c r="M224" s="4">
        <f t="shared" si="22"/>
        <v>13142</v>
      </c>
      <c r="N224" s="4">
        <f t="shared" si="23"/>
        <v>0.85901737411568879</v>
      </c>
      <c r="O224" s="4">
        <f t="shared" si="24"/>
        <v>0.89</v>
      </c>
      <c r="P224" s="4">
        <f>IFERROR((K224/I224)/(INDEX(Dim_Machine!$E$2:$E$8,MATCH(D224,Dim_Machine!$A$2:$A$8,0))*INDEX(Dim_Machine!$D$2:$D$8,MATCH(D224,Dim_Machine!$A$2:$A$8,0))),0)</f>
        <v>0.85901737411568879</v>
      </c>
      <c r="Q224" s="4">
        <f t="shared" si="25"/>
        <v>0.99477707970630536</v>
      </c>
      <c r="R224" s="4">
        <f t="shared" si="26"/>
        <v>0.76053240740740757</v>
      </c>
      <c r="S224" s="4">
        <f>T224/0.93</f>
        <v>2.8262365591397849</v>
      </c>
      <c r="T224" s="4">
        <f>M224*INDEX(Dim_Product!$C$2:$C$4,MATCH(F224,Dim_Product!$A$2:$A$4,0))/1000000</f>
        <v>2.6284000000000001</v>
      </c>
      <c r="U224" s="16">
        <f t="shared" si="27"/>
        <v>0.93</v>
      </c>
    </row>
    <row r="225" spans="1:21" x14ac:dyDescent="0.25">
      <c r="A225" s="15" t="s">
        <v>366</v>
      </c>
      <c r="B225" s="4">
        <v>20260702</v>
      </c>
      <c r="C225" s="4">
        <v>7</v>
      </c>
      <c r="D225" s="4" t="s">
        <v>31</v>
      </c>
      <c r="E225" s="4" t="s">
        <v>16</v>
      </c>
      <c r="F225" s="4" t="s">
        <v>143</v>
      </c>
      <c r="G225" s="4">
        <v>60</v>
      </c>
      <c r="H225" s="4">
        <v>6.2</v>
      </c>
      <c r="I225" s="4">
        <f t="shared" si="21"/>
        <v>53.8</v>
      </c>
      <c r="J225" s="4">
        <f>INDEX(Dim_Machine!$E$2:$E$8,MATCH(D225,Dim_Machine!$A$2:$A$8,0))*INDEX(Dim_Machine!$D$2:$D$8,MATCH(D225,Dim_Machine!$A$2:$A$8,0))*I225</f>
        <v>34862.400000000001</v>
      </c>
      <c r="K225" s="4">
        <f>ROUND(J225*0.975,0)</f>
        <v>33991</v>
      </c>
      <c r="L225" s="4">
        <f>ROUND(K225*0.0323,0)</f>
        <v>1098</v>
      </c>
      <c r="M225" s="4">
        <f t="shared" si="22"/>
        <v>32893</v>
      </c>
      <c r="N225" s="4">
        <f t="shared" si="23"/>
        <v>0.97500458947175173</v>
      </c>
      <c r="O225" s="4">
        <f t="shared" si="24"/>
        <v>0.89666666666666661</v>
      </c>
      <c r="P225" s="4">
        <f>IFERROR((K225/I225)/(INDEX(Dim_Machine!$E$2:$E$8,MATCH(D225,Dim_Machine!$A$2:$A$8,0))*INDEX(Dim_Machine!$D$2:$D$8,MATCH(D225,Dim_Machine!$A$2:$A$8,0))),0)</f>
        <v>0.97500458947175184</v>
      </c>
      <c r="Q225" s="4">
        <f t="shared" si="25"/>
        <v>0.96769733164661231</v>
      </c>
      <c r="R225" s="4">
        <f t="shared" si="26"/>
        <v>0.84601337448559666</v>
      </c>
      <c r="S225" s="4">
        <f>T225/0.912</f>
        <v>7.2133771929824553</v>
      </c>
      <c r="T225" s="4">
        <f>M225*INDEX(Dim_Product!$C$2:$C$4,MATCH(F225,Dim_Product!$A$2:$A$4,0))/1000000</f>
        <v>6.5785999999999998</v>
      </c>
      <c r="U225" s="16">
        <f t="shared" si="27"/>
        <v>0.91200000000000003</v>
      </c>
    </row>
    <row r="226" spans="1:21" x14ac:dyDescent="0.25">
      <c r="A226" s="15" t="s">
        <v>367</v>
      </c>
      <c r="B226" s="4">
        <v>20260702</v>
      </c>
      <c r="C226" s="4">
        <v>8</v>
      </c>
      <c r="D226" s="4" t="s">
        <v>15</v>
      </c>
      <c r="E226" s="4" t="s">
        <v>16</v>
      </c>
      <c r="F226" s="4" t="s">
        <v>143</v>
      </c>
      <c r="G226" s="4">
        <v>60</v>
      </c>
      <c r="H226" s="4">
        <v>6.7</v>
      </c>
      <c r="I226" s="4">
        <f t="shared" si="21"/>
        <v>53.3</v>
      </c>
      <c r="J226" s="4">
        <f>INDEX(Dim_Machine!$E$2:$E$8,MATCH(D226,Dim_Machine!$A$2:$A$8,0))*INDEX(Dim_Machine!$D$2:$D$8,MATCH(D226,Dim_Machine!$A$2:$A$8,0))*I226</f>
        <v>21320</v>
      </c>
      <c r="K226" s="4">
        <f>ROUND(J226*0.961,0)</f>
        <v>20489</v>
      </c>
      <c r="L226" s="4">
        <f>ROUND(K226*0.0283,0)</f>
        <v>580</v>
      </c>
      <c r="M226" s="4">
        <f t="shared" si="22"/>
        <v>19909</v>
      </c>
      <c r="N226" s="4">
        <f t="shared" si="23"/>
        <v>0.96102251407129458</v>
      </c>
      <c r="O226" s="4">
        <f t="shared" si="24"/>
        <v>0.88833333333333331</v>
      </c>
      <c r="P226" s="4">
        <f>IFERROR((K226/I226)/(INDEX(Dim_Machine!$E$2:$E$8,MATCH(D226,Dim_Machine!$A$2:$A$8,0))*INDEX(Dim_Machine!$D$2:$D$8,MATCH(D226,Dim_Machine!$A$2:$A$8,0))),0)</f>
        <v>0.96102251407129458</v>
      </c>
      <c r="Q226" s="4">
        <f t="shared" si="25"/>
        <v>0.97169212748303968</v>
      </c>
      <c r="R226" s="4">
        <f t="shared" si="26"/>
        <v>0.82954166666666662</v>
      </c>
      <c r="S226" s="4">
        <f>T226/0.835</f>
        <v>4.7686227544910178</v>
      </c>
      <c r="T226" s="4">
        <f>M226*INDEX(Dim_Product!$C$2:$C$4,MATCH(F226,Dim_Product!$A$2:$A$4,0))/1000000</f>
        <v>3.9817999999999998</v>
      </c>
      <c r="U226" s="16">
        <f t="shared" si="27"/>
        <v>0.83499999999999996</v>
      </c>
    </row>
    <row r="227" spans="1:21" x14ac:dyDescent="0.25">
      <c r="A227" s="15" t="s">
        <v>368</v>
      </c>
      <c r="B227" s="4">
        <v>20260702</v>
      </c>
      <c r="C227" s="4">
        <v>8</v>
      </c>
      <c r="D227" s="4" t="s">
        <v>19</v>
      </c>
      <c r="E227" s="4" t="s">
        <v>16</v>
      </c>
      <c r="F227" s="4" t="s">
        <v>141</v>
      </c>
      <c r="G227" s="4">
        <v>60</v>
      </c>
      <c r="H227" s="4">
        <v>6.4</v>
      </c>
      <c r="I227" s="4">
        <f t="shared" si="21"/>
        <v>53.6</v>
      </c>
      <c r="J227" s="4">
        <f>INDEX(Dim_Machine!$E$2:$E$8,MATCH(D227,Dim_Machine!$A$2:$A$8,0))*INDEX(Dim_Machine!$D$2:$D$8,MATCH(D227,Dim_Machine!$A$2:$A$8,0))*I227</f>
        <v>36019.200000000004</v>
      </c>
      <c r="K227" s="4">
        <f>ROUND(J227*0.824,0)</f>
        <v>29680</v>
      </c>
      <c r="L227" s="4">
        <f>ROUND(K227*0.0107,0)</f>
        <v>318</v>
      </c>
      <c r="M227" s="4">
        <f t="shared" si="22"/>
        <v>29362</v>
      </c>
      <c r="N227" s="4">
        <f t="shared" si="23"/>
        <v>0.82400497512437798</v>
      </c>
      <c r="O227" s="4">
        <f t="shared" si="24"/>
        <v>0.89333333333333331</v>
      </c>
      <c r="P227" s="4">
        <f>IFERROR((K227/I227)/(INDEX(Dim_Machine!$E$2:$E$8,MATCH(D227,Dim_Machine!$A$2:$A$8,0))*INDEX(Dim_Machine!$D$2:$D$8,MATCH(D227,Dim_Machine!$A$2:$A$8,0))),0)</f>
        <v>0.82400497512437809</v>
      </c>
      <c r="Q227" s="4">
        <f t="shared" si="25"/>
        <v>0.98928571428571432</v>
      </c>
      <c r="R227" s="4">
        <f t="shared" si="26"/>
        <v>0.72822420634920637</v>
      </c>
      <c r="S227" s="4">
        <f>T227/0.838</f>
        <v>8.7595465393794747</v>
      </c>
      <c r="T227" s="4">
        <f>M227*INDEX(Dim_Product!$C$2:$C$4,MATCH(F227,Dim_Product!$A$2:$A$4,0))/1000000</f>
        <v>7.3404999999999996</v>
      </c>
      <c r="U227" s="16">
        <f t="shared" si="27"/>
        <v>0.83799999999999997</v>
      </c>
    </row>
    <row r="228" spans="1:21" x14ac:dyDescent="0.25">
      <c r="A228" s="15" t="s">
        <v>369</v>
      </c>
      <c r="B228" s="4">
        <v>20260702</v>
      </c>
      <c r="C228" s="4">
        <v>8</v>
      </c>
      <c r="D228" s="4" t="s">
        <v>23</v>
      </c>
      <c r="E228" s="4" t="s">
        <v>16</v>
      </c>
      <c r="F228" s="4" t="s">
        <v>141</v>
      </c>
      <c r="G228" s="4">
        <v>60</v>
      </c>
      <c r="H228" s="4">
        <v>6</v>
      </c>
      <c r="I228" s="4">
        <f t="shared" si="21"/>
        <v>54</v>
      </c>
      <c r="J228" s="4">
        <f>INDEX(Dim_Machine!$E$2:$E$8,MATCH(D228,Dim_Machine!$A$2:$A$8,0))*INDEX(Dim_Machine!$D$2:$D$8,MATCH(D228,Dim_Machine!$A$2:$A$8,0))*I228</f>
        <v>14256</v>
      </c>
      <c r="K228" s="4">
        <f>ROUND(J228*0.933,0)</f>
        <v>13301</v>
      </c>
      <c r="L228" s="4">
        <f>ROUND(K228*0.0254,0)</f>
        <v>338</v>
      </c>
      <c r="M228" s="4">
        <f t="shared" si="22"/>
        <v>12963</v>
      </c>
      <c r="N228" s="4">
        <f t="shared" si="23"/>
        <v>0.93301066217732886</v>
      </c>
      <c r="O228" s="4">
        <f t="shared" si="24"/>
        <v>0.9</v>
      </c>
      <c r="P228" s="4">
        <f>IFERROR((K228/I228)/(INDEX(Dim_Machine!$E$2:$E$8,MATCH(D228,Dim_Machine!$A$2:$A$8,0))*INDEX(Dim_Machine!$D$2:$D$8,MATCH(D228,Dim_Machine!$A$2:$A$8,0))),0)</f>
        <v>0.93301066217732886</v>
      </c>
      <c r="Q228" s="4">
        <f t="shared" si="25"/>
        <v>0.97458837681377342</v>
      </c>
      <c r="R228" s="4">
        <f t="shared" si="26"/>
        <v>0.81837121212121222</v>
      </c>
      <c r="S228" s="4">
        <f>T228/0.821</f>
        <v>3.9473203410475031</v>
      </c>
      <c r="T228" s="4">
        <f>M228*INDEX(Dim_Product!$C$2:$C$4,MATCH(F228,Dim_Product!$A$2:$A$4,0))/1000000</f>
        <v>3.2407499999999998</v>
      </c>
      <c r="U228" s="16">
        <f t="shared" si="27"/>
        <v>0.82099999999999995</v>
      </c>
    </row>
    <row r="229" spans="1:21" x14ac:dyDescent="0.25">
      <c r="A229" s="15" t="s">
        <v>370</v>
      </c>
      <c r="B229" s="4">
        <v>20260702</v>
      </c>
      <c r="C229" s="4">
        <v>8</v>
      </c>
      <c r="D229" s="4" t="s">
        <v>25</v>
      </c>
      <c r="E229" s="4" t="s">
        <v>16</v>
      </c>
      <c r="F229" s="4" t="s">
        <v>141</v>
      </c>
      <c r="G229" s="4">
        <v>60</v>
      </c>
      <c r="H229" s="4">
        <v>0.8</v>
      </c>
      <c r="I229" s="4">
        <f t="shared" si="21"/>
        <v>59.2</v>
      </c>
      <c r="J229" s="4">
        <f>INDEX(Dim_Machine!$E$2:$E$8,MATCH(D229,Dim_Machine!$A$2:$A$8,0))*INDEX(Dim_Machine!$D$2:$D$8,MATCH(D229,Dim_Machine!$A$2:$A$8,0))*I229</f>
        <v>42624</v>
      </c>
      <c r="K229" s="4">
        <f>ROUND(J229*0.905,0)</f>
        <v>38575</v>
      </c>
      <c r="L229" s="4">
        <f>ROUND(K229*0.0062,0)</f>
        <v>239</v>
      </c>
      <c r="M229" s="4">
        <f t="shared" si="22"/>
        <v>38336</v>
      </c>
      <c r="N229" s="4">
        <f t="shared" si="23"/>
        <v>0.90500656906906907</v>
      </c>
      <c r="O229" s="4">
        <f t="shared" si="24"/>
        <v>0.98666666666666669</v>
      </c>
      <c r="P229" s="4">
        <f>IFERROR((K229/I229)/(INDEX(Dim_Machine!$E$2:$E$8,MATCH(D229,Dim_Machine!$A$2:$A$8,0))*INDEX(Dim_Machine!$D$2:$D$8,MATCH(D229,Dim_Machine!$A$2:$A$8,0))),0)</f>
        <v>0.90500656906906896</v>
      </c>
      <c r="Q229" s="4">
        <f t="shared" si="25"/>
        <v>0.99380427738172394</v>
      </c>
      <c r="R229" s="4">
        <f t="shared" si="26"/>
        <v>0.88740740740740742</v>
      </c>
      <c r="S229" s="4">
        <f>T229/0.918</f>
        <v>10.440087145969498</v>
      </c>
      <c r="T229" s="4">
        <f>M229*INDEX(Dim_Product!$C$2:$C$4,MATCH(F229,Dim_Product!$A$2:$A$4,0))/1000000</f>
        <v>9.5839999999999996</v>
      </c>
      <c r="U229" s="16">
        <f t="shared" si="27"/>
        <v>0.91800000000000004</v>
      </c>
    </row>
    <row r="230" spans="1:21" x14ac:dyDescent="0.25">
      <c r="A230" s="15" t="s">
        <v>371</v>
      </c>
      <c r="B230" s="4">
        <v>20260702</v>
      </c>
      <c r="C230" s="4">
        <v>8</v>
      </c>
      <c r="D230" s="4" t="s">
        <v>27</v>
      </c>
      <c r="E230" s="4" t="s">
        <v>16</v>
      </c>
      <c r="F230" s="4" t="s">
        <v>143</v>
      </c>
      <c r="G230" s="4">
        <v>60</v>
      </c>
      <c r="H230" s="4">
        <v>0.3</v>
      </c>
      <c r="I230" s="4">
        <f t="shared" si="21"/>
        <v>59.7</v>
      </c>
      <c r="J230" s="4">
        <f>INDEX(Dim_Machine!$E$2:$E$8,MATCH(D230,Dim_Machine!$A$2:$A$8,0))*INDEX(Dim_Machine!$D$2:$D$8,MATCH(D230,Dim_Machine!$A$2:$A$8,0))*I230</f>
        <v>24835.200000000001</v>
      </c>
      <c r="K230" s="4">
        <f>ROUND(J230*0.853,0)</f>
        <v>21184</v>
      </c>
      <c r="L230" s="4">
        <f>ROUND(K230*0.0089,0)</f>
        <v>189</v>
      </c>
      <c r="M230" s="4">
        <f t="shared" si="22"/>
        <v>20995</v>
      </c>
      <c r="N230" s="4">
        <f t="shared" si="23"/>
        <v>0.85298286303311421</v>
      </c>
      <c r="O230" s="4">
        <f t="shared" si="24"/>
        <v>0.995</v>
      </c>
      <c r="P230" s="4">
        <f>IFERROR((K230/I230)/(INDEX(Dim_Machine!$E$2:$E$8,MATCH(D230,Dim_Machine!$A$2:$A$8,0))*INDEX(Dim_Machine!$D$2:$D$8,MATCH(D230,Dim_Machine!$A$2:$A$8,0))),0)</f>
        <v>0.85298286303311421</v>
      </c>
      <c r="Q230" s="4">
        <f t="shared" si="25"/>
        <v>0.99107817220543803</v>
      </c>
      <c r="R230" s="4">
        <f t="shared" si="26"/>
        <v>0.84114583333333315</v>
      </c>
      <c r="S230" s="4">
        <f>T230/0.936</f>
        <v>4.4861111111111107</v>
      </c>
      <c r="T230" s="4">
        <f>M230*INDEX(Dim_Product!$C$2:$C$4,MATCH(F230,Dim_Product!$A$2:$A$4,0))/1000000</f>
        <v>4.1989999999999998</v>
      </c>
      <c r="U230" s="16">
        <f t="shared" si="27"/>
        <v>0.93600000000000005</v>
      </c>
    </row>
    <row r="231" spans="1:21" x14ac:dyDescent="0.25">
      <c r="A231" s="15" t="s">
        <v>372</v>
      </c>
      <c r="B231" s="4">
        <v>20260702</v>
      </c>
      <c r="C231" s="4">
        <v>8</v>
      </c>
      <c r="D231" s="4" t="s">
        <v>29</v>
      </c>
      <c r="E231" s="4" t="s">
        <v>16</v>
      </c>
      <c r="F231" s="4" t="s">
        <v>143</v>
      </c>
      <c r="G231" s="4">
        <v>60</v>
      </c>
      <c r="H231" s="4">
        <v>2.6</v>
      </c>
      <c r="I231" s="4">
        <f t="shared" si="21"/>
        <v>57.4</v>
      </c>
      <c r="J231" s="4">
        <f>INDEX(Dim_Machine!$E$2:$E$8,MATCH(D231,Dim_Machine!$A$2:$A$8,0))*INDEX(Dim_Machine!$D$2:$D$8,MATCH(D231,Dim_Machine!$A$2:$A$8,0))*I231</f>
        <v>16531.2</v>
      </c>
      <c r="K231" s="4">
        <f>ROUND(J231*0.863,0)</f>
        <v>14266</v>
      </c>
      <c r="L231" s="4">
        <f>ROUND(K231*0.011,0)</f>
        <v>157</v>
      </c>
      <c r="M231" s="4">
        <f t="shared" si="22"/>
        <v>14109</v>
      </c>
      <c r="N231" s="4">
        <f t="shared" si="23"/>
        <v>0.86297425474254741</v>
      </c>
      <c r="O231" s="4">
        <f t="shared" si="24"/>
        <v>0.95666666666666667</v>
      </c>
      <c r="P231" s="4">
        <f>IFERROR((K231/I231)/(INDEX(Dim_Machine!$E$2:$E$8,MATCH(D231,Dim_Machine!$A$2:$A$8,0))*INDEX(Dim_Machine!$D$2:$D$8,MATCH(D231,Dim_Machine!$A$2:$A$8,0))),0)</f>
        <v>0.86297425474254741</v>
      </c>
      <c r="Q231" s="4">
        <f t="shared" si="25"/>
        <v>0.98899481284172153</v>
      </c>
      <c r="R231" s="4">
        <f t="shared" si="26"/>
        <v>0.81649305555555551</v>
      </c>
      <c r="S231" s="4">
        <f>T231/0.918</f>
        <v>3.073856209150327</v>
      </c>
      <c r="T231" s="4">
        <f>M231*INDEX(Dim_Product!$C$2:$C$4,MATCH(F231,Dim_Product!$A$2:$A$4,0))/1000000</f>
        <v>2.8218000000000001</v>
      </c>
      <c r="U231" s="16">
        <f t="shared" si="27"/>
        <v>0.91799999999999993</v>
      </c>
    </row>
    <row r="232" spans="1:21" x14ac:dyDescent="0.25">
      <c r="A232" s="15" t="s">
        <v>373</v>
      </c>
      <c r="B232" s="4">
        <v>20260702</v>
      </c>
      <c r="C232" s="4">
        <v>8</v>
      </c>
      <c r="D232" s="4" t="s">
        <v>31</v>
      </c>
      <c r="E232" s="4" t="s">
        <v>16</v>
      </c>
      <c r="F232" s="4" t="s">
        <v>143</v>
      </c>
      <c r="G232" s="4">
        <v>60</v>
      </c>
      <c r="H232" s="4">
        <v>7</v>
      </c>
      <c r="I232" s="4">
        <f t="shared" si="21"/>
        <v>53</v>
      </c>
      <c r="J232" s="4">
        <f>INDEX(Dim_Machine!$E$2:$E$8,MATCH(D232,Dim_Machine!$A$2:$A$8,0))*INDEX(Dim_Machine!$D$2:$D$8,MATCH(D232,Dim_Machine!$A$2:$A$8,0))*I232</f>
        <v>34344</v>
      </c>
      <c r="K232" s="4">
        <f>ROUND(J232*0.853,0)</f>
        <v>29295</v>
      </c>
      <c r="L232" s="4">
        <f>ROUND(K232*0.0201,0)</f>
        <v>589</v>
      </c>
      <c r="M232" s="4">
        <f t="shared" si="22"/>
        <v>28706</v>
      </c>
      <c r="N232" s="4">
        <f t="shared" si="23"/>
        <v>0.8529874213836478</v>
      </c>
      <c r="O232" s="4">
        <f t="shared" si="24"/>
        <v>0.8833333333333333</v>
      </c>
      <c r="P232" s="4">
        <f>IFERROR((K232/I232)/(INDEX(Dim_Machine!$E$2:$E$8,MATCH(D232,Dim_Machine!$A$2:$A$8,0))*INDEX(Dim_Machine!$D$2:$D$8,MATCH(D232,Dim_Machine!$A$2:$A$8,0))),0)</f>
        <v>0.8529874213836478</v>
      </c>
      <c r="Q232" s="4">
        <f t="shared" si="25"/>
        <v>0.97989417989417993</v>
      </c>
      <c r="R232" s="4">
        <f t="shared" si="26"/>
        <v>0.73832304526748971</v>
      </c>
      <c r="S232" s="4">
        <f>T232/0.841</f>
        <v>6.8266349583828783</v>
      </c>
      <c r="T232" s="4">
        <f>M232*INDEX(Dim_Product!$C$2:$C$4,MATCH(F232,Dim_Product!$A$2:$A$4,0))/1000000</f>
        <v>5.7412000000000001</v>
      </c>
      <c r="U232" s="16">
        <f t="shared" si="27"/>
        <v>0.84099999999999997</v>
      </c>
    </row>
    <row r="233" spans="1:21" x14ac:dyDescent="0.25">
      <c r="A233" s="15" t="s">
        <v>374</v>
      </c>
      <c r="B233" s="4">
        <v>20260702</v>
      </c>
      <c r="C233" s="4">
        <v>9</v>
      </c>
      <c r="D233" s="4" t="s">
        <v>15</v>
      </c>
      <c r="E233" s="4" t="s">
        <v>16</v>
      </c>
      <c r="F233" s="4" t="s">
        <v>143</v>
      </c>
      <c r="G233" s="4">
        <v>60</v>
      </c>
      <c r="H233" s="4">
        <v>1.3</v>
      </c>
      <c r="I233" s="4">
        <f t="shared" si="21"/>
        <v>58.7</v>
      </c>
      <c r="J233" s="4">
        <f>INDEX(Dim_Machine!$E$2:$E$8,MATCH(D233,Dim_Machine!$A$2:$A$8,0))*INDEX(Dim_Machine!$D$2:$D$8,MATCH(D233,Dim_Machine!$A$2:$A$8,0))*I233</f>
        <v>23480</v>
      </c>
      <c r="K233" s="4">
        <f>ROUND(J233*0.963,0)</f>
        <v>22611</v>
      </c>
      <c r="L233" s="4">
        <f>ROUND(K233*0.0333,0)</f>
        <v>753</v>
      </c>
      <c r="M233" s="4">
        <f t="shared" si="22"/>
        <v>21858</v>
      </c>
      <c r="N233" s="4">
        <f t="shared" si="23"/>
        <v>0.96298977853492329</v>
      </c>
      <c r="O233" s="4">
        <f t="shared" si="24"/>
        <v>0.97833333333333339</v>
      </c>
      <c r="P233" s="4">
        <f>IFERROR((K233/I233)/(INDEX(Dim_Machine!$E$2:$E$8,MATCH(D233,Dim_Machine!$A$2:$A$8,0))*INDEX(Dim_Machine!$D$2:$D$8,MATCH(D233,Dim_Machine!$A$2:$A$8,0))),0)</f>
        <v>0.96298977853492329</v>
      </c>
      <c r="Q233" s="4">
        <f t="shared" si="25"/>
        <v>0.96669762504975454</v>
      </c>
      <c r="R233" s="4">
        <f t="shared" si="26"/>
        <v>0.91074999999999995</v>
      </c>
      <c r="S233" s="4">
        <f>T233/0.945</f>
        <v>4.6260317460317459</v>
      </c>
      <c r="T233" s="4">
        <f>M233*INDEX(Dim_Product!$C$2:$C$4,MATCH(F233,Dim_Product!$A$2:$A$4,0))/1000000</f>
        <v>4.3715999999999999</v>
      </c>
      <c r="U233" s="16">
        <f t="shared" si="27"/>
        <v>0.94499999999999995</v>
      </c>
    </row>
    <row r="234" spans="1:21" x14ac:dyDescent="0.25">
      <c r="A234" s="15" t="s">
        <v>375</v>
      </c>
      <c r="B234" s="4">
        <v>20260702</v>
      </c>
      <c r="C234" s="4">
        <v>9</v>
      </c>
      <c r="D234" s="4" t="s">
        <v>19</v>
      </c>
      <c r="E234" s="4" t="s">
        <v>16</v>
      </c>
      <c r="F234" s="4" t="s">
        <v>141</v>
      </c>
      <c r="G234" s="4">
        <v>60</v>
      </c>
      <c r="H234" s="4">
        <v>2.4</v>
      </c>
      <c r="I234" s="4">
        <f t="shared" si="21"/>
        <v>57.6</v>
      </c>
      <c r="J234" s="4">
        <f>INDEX(Dim_Machine!$E$2:$E$8,MATCH(D234,Dim_Machine!$A$2:$A$8,0))*INDEX(Dim_Machine!$D$2:$D$8,MATCH(D234,Dim_Machine!$A$2:$A$8,0))*I234</f>
        <v>38707.200000000004</v>
      </c>
      <c r="K234" s="4">
        <f>ROUND(J234*0.954,0)</f>
        <v>36927</v>
      </c>
      <c r="L234" s="4">
        <f>ROUND(K234*0.0291,0)</f>
        <v>1075</v>
      </c>
      <c r="M234" s="4">
        <f t="shared" si="22"/>
        <v>35852</v>
      </c>
      <c r="N234" s="4">
        <f t="shared" si="23"/>
        <v>0.95400855654761896</v>
      </c>
      <c r="O234" s="4">
        <f t="shared" si="24"/>
        <v>0.96000000000000008</v>
      </c>
      <c r="P234" s="4">
        <f>IFERROR((K234/I234)/(INDEX(Dim_Machine!$E$2:$E$8,MATCH(D234,Dim_Machine!$A$2:$A$8,0))*INDEX(Dim_Machine!$D$2:$D$8,MATCH(D234,Dim_Machine!$A$2:$A$8,0))),0)</f>
        <v>0.95400855654761907</v>
      </c>
      <c r="Q234" s="4">
        <f t="shared" si="25"/>
        <v>0.9708885097625044</v>
      </c>
      <c r="R234" s="4">
        <f t="shared" si="26"/>
        <v>0.889186507936508</v>
      </c>
      <c r="S234" s="4">
        <f>T234/0.87</f>
        <v>10.302298850574712</v>
      </c>
      <c r="T234" s="4">
        <f>M234*INDEX(Dim_Product!$C$2:$C$4,MATCH(F234,Dim_Product!$A$2:$A$4,0))/1000000</f>
        <v>8.9629999999999992</v>
      </c>
      <c r="U234" s="16">
        <f t="shared" si="27"/>
        <v>0.87</v>
      </c>
    </row>
    <row r="235" spans="1:21" x14ac:dyDescent="0.25">
      <c r="A235" s="15" t="s">
        <v>376</v>
      </c>
      <c r="B235" s="4">
        <v>20260702</v>
      </c>
      <c r="C235" s="4">
        <v>9</v>
      </c>
      <c r="D235" s="4" t="s">
        <v>23</v>
      </c>
      <c r="E235" s="4" t="s">
        <v>16</v>
      </c>
      <c r="F235" s="4" t="s">
        <v>141</v>
      </c>
      <c r="G235" s="4">
        <v>60</v>
      </c>
      <c r="H235" s="4">
        <v>0.6</v>
      </c>
      <c r="I235" s="4">
        <f t="shared" si="21"/>
        <v>59.4</v>
      </c>
      <c r="J235" s="4">
        <f>INDEX(Dim_Machine!$E$2:$E$8,MATCH(D235,Dim_Machine!$A$2:$A$8,0))*INDEX(Dim_Machine!$D$2:$D$8,MATCH(D235,Dim_Machine!$A$2:$A$8,0))*I235</f>
        <v>15681.6</v>
      </c>
      <c r="K235" s="4">
        <f>ROUND(J235*0.931,0)</f>
        <v>14600</v>
      </c>
      <c r="L235" s="4">
        <f>ROUND(K235*0.0118,0)</f>
        <v>172</v>
      </c>
      <c r="M235" s="4">
        <f t="shared" si="22"/>
        <v>14428</v>
      </c>
      <c r="N235" s="4">
        <f t="shared" si="23"/>
        <v>0.93102744617896127</v>
      </c>
      <c r="O235" s="4">
        <f t="shared" si="24"/>
        <v>0.99</v>
      </c>
      <c r="P235" s="4">
        <f>IFERROR((K235/I235)/(INDEX(Dim_Machine!$E$2:$E$8,MATCH(D235,Dim_Machine!$A$2:$A$8,0))*INDEX(Dim_Machine!$D$2:$D$8,MATCH(D235,Dim_Machine!$A$2:$A$8,0))),0)</f>
        <v>0.93102744617896127</v>
      </c>
      <c r="Q235" s="4">
        <f t="shared" si="25"/>
        <v>0.98821917808219173</v>
      </c>
      <c r="R235" s="4">
        <f t="shared" si="26"/>
        <v>0.9108585858585857</v>
      </c>
      <c r="S235" s="4">
        <f>T235/0.901</f>
        <v>4.0033296337402886</v>
      </c>
      <c r="T235" s="4">
        <f>M235*INDEX(Dim_Product!$C$2:$C$4,MATCH(F235,Dim_Product!$A$2:$A$4,0))/1000000</f>
        <v>3.6070000000000002</v>
      </c>
      <c r="U235" s="16">
        <f t="shared" si="27"/>
        <v>0.90100000000000002</v>
      </c>
    </row>
    <row r="236" spans="1:21" x14ac:dyDescent="0.25">
      <c r="A236" s="15" t="s">
        <v>377</v>
      </c>
      <c r="B236" s="4">
        <v>20260702</v>
      </c>
      <c r="C236" s="4">
        <v>9</v>
      </c>
      <c r="D236" s="4" t="s">
        <v>25</v>
      </c>
      <c r="E236" s="4" t="s">
        <v>16</v>
      </c>
      <c r="F236" s="4" t="s">
        <v>141</v>
      </c>
      <c r="G236" s="4">
        <v>60</v>
      </c>
      <c r="H236" s="4">
        <v>5.4</v>
      </c>
      <c r="I236" s="4">
        <f t="shared" si="21"/>
        <v>54.6</v>
      </c>
      <c r="J236" s="4">
        <f>INDEX(Dim_Machine!$E$2:$E$8,MATCH(D236,Dim_Machine!$A$2:$A$8,0))*INDEX(Dim_Machine!$D$2:$D$8,MATCH(D236,Dim_Machine!$A$2:$A$8,0))*I236</f>
        <v>39312</v>
      </c>
      <c r="K236" s="4">
        <f>ROUND(J236*0.859,0)</f>
        <v>33769</v>
      </c>
      <c r="L236" s="4">
        <f>ROUND(K236*0.0304,0)</f>
        <v>1027</v>
      </c>
      <c r="M236" s="4">
        <f t="shared" si="22"/>
        <v>32742</v>
      </c>
      <c r="N236" s="4">
        <f t="shared" si="23"/>
        <v>0.85899979649979652</v>
      </c>
      <c r="O236" s="4">
        <f t="shared" si="24"/>
        <v>0.91</v>
      </c>
      <c r="P236" s="4">
        <f>IFERROR((K236/I236)/(INDEX(Dim_Machine!$E$2:$E$8,MATCH(D236,Dim_Machine!$A$2:$A$8,0))*INDEX(Dim_Machine!$D$2:$D$8,MATCH(D236,Dim_Machine!$A$2:$A$8,0))),0)</f>
        <v>0.85899979649979641</v>
      </c>
      <c r="Q236" s="4">
        <f t="shared" si="25"/>
        <v>0.96958749148627443</v>
      </c>
      <c r="R236" s="4">
        <f t="shared" si="26"/>
        <v>0.75791666666666668</v>
      </c>
      <c r="S236" s="4">
        <f>T236/0.884</f>
        <v>9.2596153846153832</v>
      </c>
      <c r="T236" s="4">
        <f>M236*INDEX(Dim_Product!$C$2:$C$4,MATCH(F236,Dim_Product!$A$2:$A$4,0))/1000000</f>
        <v>8.1854999999999993</v>
      </c>
      <c r="U236" s="16">
        <f t="shared" si="27"/>
        <v>0.88400000000000001</v>
      </c>
    </row>
    <row r="237" spans="1:21" x14ac:dyDescent="0.25">
      <c r="A237" s="15" t="s">
        <v>378</v>
      </c>
      <c r="B237" s="4">
        <v>20260702</v>
      </c>
      <c r="C237" s="4">
        <v>9</v>
      </c>
      <c r="D237" s="4" t="s">
        <v>27</v>
      </c>
      <c r="E237" s="4" t="s">
        <v>16</v>
      </c>
      <c r="F237" s="4" t="s">
        <v>143</v>
      </c>
      <c r="G237" s="4">
        <v>60</v>
      </c>
      <c r="H237" s="4">
        <v>0.7</v>
      </c>
      <c r="I237" s="4">
        <f t="shared" si="21"/>
        <v>59.3</v>
      </c>
      <c r="J237" s="4">
        <f>INDEX(Dim_Machine!$E$2:$E$8,MATCH(D237,Dim_Machine!$A$2:$A$8,0))*INDEX(Dim_Machine!$D$2:$D$8,MATCH(D237,Dim_Machine!$A$2:$A$8,0))*I237</f>
        <v>24668.799999999999</v>
      </c>
      <c r="K237" s="4">
        <f>ROUND(J237*0.859,0)</f>
        <v>21190</v>
      </c>
      <c r="L237" s="4">
        <f>ROUND(K237*0.0129,0)</f>
        <v>273</v>
      </c>
      <c r="M237" s="4">
        <f t="shared" si="22"/>
        <v>20917</v>
      </c>
      <c r="N237" s="4">
        <f t="shared" si="23"/>
        <v>0.85897976391231035</v>
      </c>
      <c r="O237" s="4">
        <f t="shared" si="24"/>
        <v>0.98833333333333329</v>
      </c>
      <c r="P237" s="4">
        <f>IFERROR((K237/I237)/(INDEX(Dim_Machine!$E$2:$E$8,MATCH(D237,Dim_Machine!$A$2:$A$8,0))*INDEX(Dim_Machine!$D$2:$D$8,MATCH(D237,Dim_Machine!$A$2:$A$8,0))),0)</f>
        <v>0.85897976391231035</v>
      </c>
      <c r="Q237" s="4">
        <f t="shared" si="25"/>
        <v>0.98711656441717788</v>
      </c>
      <c r="R237" s="4">
        <f t="shared" si="26"/>
        <v>0.83802083333333333</v>
      </c>
      <c r="S237" s="4">
        <f>T237/0.819</f>
        <v>5.1079365079365076</v>
      </c>
      <c r="T237" s="4">
        <f>M237*INDEX(Dim_Product!$C$2:$C$4,MATCH(F237,Dim_Product!$A$2:$A$4,0))/1000000</f>
        <v>4.1833999999999998</v>
      </c>
      <c r="U237" s="16">
        <f t="shared" si="27"/>
        <v>0.81900000000000006</v>
      </c>
    </row>
    <row r="238" spans="1:21" x14ac:dyDescent="0.25">
      <c r="A238" s="15" t="s">
        <v>379</v>
      </c>
      <c r="B238" s="4">
        <v>20260702</v>
      </c>
      <c r="C238" s="4">
        <v>9</v>
      </c>
      <c r="D238" s="4" t="s">
        <v>29</v>
      </c>
      <c r="E238" s="4" t="s">
        <v>16</v>
      </c>
      <c r="F238" s="4" t="s">
        <v>143</v>
      </c>
      <c r="G238" s="4">
        <v>60</v>
      </c>
      <c r="H238" s="4">
        <v>2.9</v>
      </c>
      <c r="I238" s="4">
        <f t="shared" si="21"/>
        <v>57.1</v>
      </c>
      <c r="J238" s="4">
        <f>INDEX(Dim_Machine!$E$2:$E$8,MATCH(D238,Dim_Machine!$A$2:$A$8,0))*INDEX(Dim_Machine!$D$2:$D$8,MATCH(D238,Dim_Machine!$A$2:$A$8,0))*I238</f>
        <v>16444.8</v>
      </c>
      <c r="K238" s="4">
        <f>ROUND(J238*0.93,0)</f>
        <v>15294</v>
      </c>
      <c r="L238" s="4">
        <f>ROUND(K238*0.0129,0)</f>
        <v>197</v>
      </c>
      <c r="M238" s="4">
        <f t="shared" si="22"/>
        <v>15097</v>
      </c>
      <c r="N238" s="4">
        <f t="shared" si="23"/>
        <v>0.93002043199065976</v>
      </c>
      <c r="O238" s="4">
        <f t="shared" si="24"/>
        <v>0.95166666666666666</v>
      </c>
      <c r="P238" s="4">
        <f>IFERROR((K238/I238)/(INDEX(Dim_Machine!$E$2:$E$8,MATCH(D238,Dim_Machine!$A$2:$A$8,0))*INDEX(Dim_Machine!$D$2:$D$8,MATCH(D238,Dim_Machine!$A$2:$A$8,0))),0)</f>
        <v>0.93002043199065965</v>
      </c>
      <c r="Q238" s="4">
        <f t="shared" si="25"/>
        <v>0.98711913168562837</v>
      </c>
      <c r="R238" s="4">
        <f t="shared" si="26"/>
        <v>0.87366898148148153</v>
      </c>
      <c r="S238" s="4">
        <f>T238/0.857</f>
        <v>3.523220536756126</v>
      </c>
      <c r="T238" s="4">
        <f>M238*INDEX(Dim_Product!$C$2:$C$4,MATCH(F238,Dim_Product!$A$2:$A$4,0))/1000000</f>
        <v>3.0194000000000001</v>
      </c>
      <c r="U238" s="16">
        <f t="shared" si="27"/>
        <v>0.85699999999999998</v>
      </c>
    </row>
    <row r="239" spans="1:21" x14ac:dyDescent="0.25">
      <c r="A239" s="15" t="s">
        <v>380</v>
      </c>
      <c r="B239" s="4">
        <v>20260702</v>
      </c>
      <c r="C239" s="4">
        <v>9</v>
      </c>
      <c r="D239" s="4" t="s">
        <v>31</v>
      </c>
      <c r="E239" s="4" t="s">
        <v>16</v>
      </c>
      <c r="F239" s="4" t="s">
        <v>143</v>
      </c>
      <c r="G239" s="4">
        <v>60</v>
      </c>
      <c r="H239" s="4">
        <v>5.0999999999999996</v>
      </c>
      <c r="I239" s="4">
        <f t="shared" si="21"/>
        <v>54.9</v>
      </c>
      <c r="J239" s="4">
        <f>INDEX(Dim_Machine!$E$2:$E$8,MATCH(D239,Dim_Machine!$A$2:$A$8,0))*INDEX(Dim_Machine!$D$2:$D$8,MATCH(D239,Dim_Machine!$A$2:$A$8,0))*I239</f>
        <v>35575.199999999997</v>
      </c>
      <c r="K239" s="4">
        <f>ROUND(J239*0.854,0)</f>
        <v>30381</v>
      </c>
      <c r="L239" s="4">
        <f>ROUND(K239*0.0252,0)</f>
        <v>766</v>
      </c>
      <c r="M239" s="4">
        <f t="shared" si="22"/>
        <v>29615</v>
      </c>
      <c r="N239" s="4">
        <f t="shared" si="23"/>
        <v>0.85399379342913051</v>
      </c>
      <c r="O239" s="4">
        <f t="shared" si="24"/>
        <v>0.91499999999999992</v>
      </c>
      <c r="P239" s="4">
        <f>IFERROR((K239/I239)/(INDEX(Dim_Machine!$E$2:$E$8,MATCH(D239,Dim_Machine!$A$2:$A$8,0))*INDEX(Dim_Machine!$D$2:$D$8,MATCH(D239,Dim_Machine!$A$2:$A$8,0))),0)</f>
        <v>0.8539937934291304</v>
      </c>
      <c r="Q239" s="4">
        <f t="shared" si="25"/>
        <v>0.97478687337480663</v>
      </c>
      <c r="R239" s="4">
        <f t="shared" si="26"/>
        <v>0.76170267489711929</v>
      </c>
      <c r="S239" s="4">
        <f>T239/0.871</f>
        <v>6.8002296211251432</v>
      </c>
      <c r="T239" s="4">
        <f>M239*INDEX(Dim_Product!$C$2:$C$4,MATCH(F239,Dim_Product!$A$2:$A$4,0))/1000000</f>
        <v>5.923</v>
      </c>
      <c r="U239" s="16">
        <f t="shared" si="27"/>
        <v>0.871</v>
      </c>
    </row>
    <row r="240" spans="1:21" x14ac:dyDescent="0.25">
      <c r="A240" s="15" t="s">
        <v>381</v>
      </c>
      <c r="B240" s="4">
        <v>20260702</v>
      </c>
      <c r="C240" s="4">
        <v>10</v>
      </c>
      <c r="D240" s="4" t="s">
        <v>15</v>
      </c>
      <c r="E240" s="4" t="s">
        <v>16</v>
      </c>
      <c r="F240" s="4" t="s">
        <v>143</v>
      </c>
      <c r="G240" s="4">
        <v>60</v>
      </c>
      <c r="H240" s="4">
        <v>5</v>
      </c>
      <c r="I240" s="4">
        <f t="shared" si="21"/>
        <v>55</v>
      </c>
      <c r="J240" s="4">
        <f>INDEX(Dim_Machine!$E$2:$E$8,MATCH(D240,Dim_Machine!$A$2:$A$8,0))*INDEX(Dim_Machine!$D$2:$D$8,MATCH(D240,Dim_Machine!$A$2:$A$8,0))*I240</f>
        <v>22000</v>
      </c>
      <c r="K240" s="4">
        <f>ROUND(J240*0.969,0)</f>
        <v>21318</v>
      </c>
      <c r="L240" s="4">
        <f>ROUND(K240*0.0148,0)</f>
        <v>316</v>
      </c>
      <c r="M240" s="4">
        <f t="shared" si="22"/>
        <v>21002</v>
      </c>
      <c r="N240" s="4">
        <f t="shared" si="23"/>
        <v>0.96899999999999997</v>
      </c>
      <c r="O240" s="4">
        <f t="shared" si="24"/>
        <v>0.91666666666666663</v>
      </c>
      <c r="P240" s="4">
        <f>IFERROR((K240/I240)/(INDEX(Dim_Machine!$E$2:$E$8,MATCH(D240,Dim_Machine!$A$2:$A$8,0))*INDEX(Dim_Machine!$D$2:$D$8,MATCH(D240,Dim_Machine!$A$2:$A$8,0))),0)</f>
        <v>0.96900000000000008</v>
      </c>
      <c r="Q240" s="4">
        <f t="shared" si="25"/>
        <v>0.98517684585796039</v>
      </c>
      <c r="R240" s="4">
        <f t="shared" si="26"/>
        <v>0.87508333333333344</v>
      </c>
      <c r="S240" s="4">
        <f>T240/0.892</f>
        <v>4.7089686098654706</v>
      </c>
      <c r="T240" s="4">
        <f>M240*INDEX(Dim_Product!$C$2:$C$4,MATCH(F240,Dim_Product!$A$2:$A$4,0))/1000000</f>
        <v>4.2004000000000001</v>
      </c>
      <c r="U240" s="16">
        <f t="shared" si="27"/>
        <v>0.89200000000000013</v>
      </c>
    </row>
    <row r="241" spans="1:21" x14ac:dyDescent="0.25">
      <c r="A241" s="15" t="s">
        <v>382</v>
      </c>
      <c r="B241" s="4">
        <v>20260702</v>
      </c>
      <c r="C241" s="4">
        <v>10</v>
      </c>
      <c r="D241" s="4" t="s">
        <v>19</v>
      </c>
      <c r="E241" s="4" t="s">
        <v>16</v>
      </c>
      <c r="F241" s="4" t="s">
        <v>141</v>
      </c>
      <c r="G241" s="4">
        <v>60</v>
      </c>
      <c r="H241" s="4">
        <v>5.2</v>
      </c>
      <c r="I241" s="4">
        <f t="shared" si="21"/>
        <v>54.8</v>
      </c>
      <c r="J241" s="4">
        <f>INDEX(Dim_Machine!$E$2:$E$8,MATCH(D241,Dim_Machine!$A$2:$A$8,0))*INDEX(Dim_Machine!$D$2:$D$8,MATCH(D241,Dim_Machine!$A$2:$A$8,0))*I241</f>
        <v>36825.599999999999</v>
      </c>
      <c r="K241" s="4">
        <f>ROUND(J241*0.907,0)</f>
        <v>33401</v>
      </c>
      <c r="L241" s="4">
        <f>ROUND(K241*0.0189,0)</f>
        <v>631</v>
      </c>
      <c r="M241" s="4">
        <f t="shared" si="22"/>
        <v>32770</v>
      </c>
      <c r="N241" s="4">
        <f t="shared" si="23"/>
        <v>0.90700490962808489</v>
      </c>
      <c r="O241" s="4">
        <f t="shared" si="24"/>
        <v>0.91333333333333333</v>
      </c>
      <c r="P241" s="4">
        <f>IFERROR((K241/I241)/(INDEX(Dim_Machine!$E$2:$E$8,MATCH(D241,Dim_Machine!$A$2:$A$8,0))*INDEX(Dim_Machine!$D$2:$D$8,MATCH(D241,Dim_Machine!$A$2:$A$8,0))),0)</f>
        <v>0.90700490962808489</v>
      </c>
      <c r="Q241" s="4">
        <f t="shared" si="25"/>
        <v>0.98110835004939967</v>
      </c>
      <c r="R241" s="4">
        <f t="shared" si="26"/>
        <v>0.81274801587301582</v>
      </c>
      <c r="S241" s="4">
        <f>T241/0.905</f>
        <v>9.0524861878453038</v>
      </c>
      <c r="T241" s="4">
        <f>M241*INDEX(Dim_Product!$C$2:$C$4,MATCH(F241,Dim_Product!$A$2:$A$4,0))/1000000</f>
        <v>8.1925000000000008</v>
      </c>
      <c r="U241" s="16">
        <f t="shared" si="27"/>
        <v>0.90500000000000014</v>
      </c>
    </row>
    <row r="242" spans="1:21" x14ac:dyDescent="0.25">
      <c r="A242" s="15" t="s">
        <v>383</v>
      </c>
      <c r="B242" s="4">
        <v>20260702</v>
      </c>
      <c r="C242" s="4">
        <v>10</v>
      </c>
      <c r="D242" s="4" t="s">
        <v>23</v>
      </c>
      <c r="E242" s="4" t="s">
        <v>16</v>
      </c>
      <c r="F242" s="4" t="s">
        <v>141</v>
      </c>
      <c r="G242" s="4">
        <v>60</v>
      </c>
      <c r="H242" s="4">
        <v>5.2</v>
      </c>
      <c r="I242" s="4">
        <f t="shared" si="21"/>
        <v>54.8</v>
      </c>
      <c r="J242" s="4">
        <f>INDEX(Dim_Machine!$E$2:$E$8,MATCH(D242,Dim_Machine!$A$2:$A$8,0))*INDEX(Dim_Machine!$D$2:$D$8,MATCH(D242,Dim_Machine!$A$2:$A$8,0))*I242</f>
        <v>14467.199999999999</v>
      </c>
      <c r="K242" s="4">
        <f>ROUND(J242*0.803,0)</f>
        <v>11617</v>
      </c>
      <c r="L242" s="4">
        <f>ROUND(K242*0.0064,0)</f>
        <v>74</v>
      </c>
      <c r="M242" s="4">
        <f t="shared" si="22"/>
        <v>11543</v>
      </c>
      <c r="N242" s="4">
        <f t="shared" si="23"/>
        <v>0.8029888299048884</v>
      </c>
      <c r="O242" s="4">
        <f t="shared" si="24"/>
        <v>0.91333333333333333</v>
      </c>
      <c r="P242" s="4">
        <f>IFERROR((K242/I242)/(INDEX(Dim_Machine!$E$2:$E$8,MATCH(D242,Dim_Machine!$A$2:$A$8,0))*INDEX(Dim_Machine!$D$2:$D$8,MATCH(D242,Dim_Machine!$A$2:$A$8,0))),0)</f>
        <v>0.8029888299048884</v>
      </c>
      <c r="Q242" s="4">
        <f t="shared" si="25"/>
        <v>0.99363002496341568</v>
      </c>
      <c r="R242" s="4">
        <f t="shared" si="26"/>
        <v>0.72872474747474747</v>
      </c>
      <c r="S242" s="4">
        <f>T242/0.806</f>
        <v>3.5803349875930515</v>
      </c>
      <c r="T242" s="4">
        <f>M242*INDEX(Dim_Product!$C$2:$C$4,MATCH(F242,Dim_Product!$A$2:$A$4,0))/1000000</f>
        <v>2.8857499999999998</v>
      </c>
      <c r="U242" s="16">
        <f t="shared" si="27"/>
        <v>0.80600000000000005</v>
      </c>
    </row>
    <row r="243" spans="1:21" x14ac:dyDescent="0.25">
      <c r="A243" s="15" t="s">
        <v>384</v>
      </c>
      <c r="B243" s="4">
        <v>20260702</v>
      </c>
      <c r="C243" s="4">
        <v>10</v>
      </c>
      <c r="D243" s="4" t="s">
        <v>25</v>
      </c>
      <c r="E243" s="4" t="s">
        <v>16</v>
      </c>
      <c r="F243" s="4" t="s">
        <v>141</v>
      </c>
      <c r="G243" s="4">
        <v>60</v>
      </c>
      <c r="H243" s="4">
        <v>8</v>
      </c>
      <c r="I243" s="4">
        <f t="shared" si="21"/>
        <v>52</v>
      </c>
      <c r="J243" s="4">
        <f>INDEX(Dim_Machine!$E$2:$E$8,MATCH(D243,Dim_Machine!$A$2:$A$8,0))*INDEX(Dim_Machine!$D$2:$D$8,MATCH(D243,Dim_Machine!$A$2:$A$8,0))*I243</f>
        <v>37440</v>
      </c>
      <c r="K243" s="4">
        <f>ROUND(J243*0.803,0)</f>
        <v>30064</v>
      </c>
      <c r="L243" s="4">
        <f>ROUND(K243*0.012,0)</f>
        <v>361</v>
      </c>
      <c r="M243" s="4">
        <f t="shared" si="22"/>
        <v>29703</v>
      </c>
      <c r="N243" s="4">
        <f t="shared" si="23"/>
        <v>0.80299145299145303</v>
      </c>
      <c r="O243" s="4">
        <f t="shared" si="24"/>
        <v>0.8666666666666667</v>
      </c>
      <c r="P243" s="4">
        <f>IFERROR((K243/I243)/(INDEX(Dim_Machine!$E$2:$E$8,MATCH(D243,Dim_Machine!$A$2:$A$8,0))*INDEX(Dim_Machine!$D$2:$D$8,MATCH(D243,Dim_Machine!$A$2:$A$8,0))),0)</f>
        <v>0.80299145299145303</v>
      </c>
      <c r="Q243" s="4">
        <f t="shared" si="25"/>
        <v>0.98799228312932408</v>
      </c>
      <c r="R243" s="4">
        <f t="shared" si="26"/>
        <v>0.68756944444444446</v>
      </c>
      <c r="S243" s="4">
        <f>T243/0.881</f>
        <v>8.4287741203178204</v>
      </c>
      <c r="T243" s="4">
        <f>M243*INDEX(Dim_Product!$C$2:$C$4,MATCH(F243,Dim_Product!$A$2:$A$4,0))/1000000</f>
        <v>7.4257499999999999</v>
      </c>
      <c r="U243" s="16">
        <f t="shared" si="27"/>
        <v>0.88100000000000001</v>
      </c>
    </row>
    <row r="244" spans="1:21" x14ac:dyDescent="0.25">
      <c r="A244" s="15" t="s">
        <v>385</v>
      </c>
      <c r="B244" s="4">
        <v>20260702</v>
      </c>
      <c r="C244" s="4">
        <v>10</v>
      </c>
      <c r="D244" s="4" t="s">
        <v>27</v>
      </c>
      <c r="E244" s="4" t="s">
        <v>16</v>
      </c>
      <c r="F244" s="4" t="s">
        <v>143</v>
      </c>
      <c r="G244" s="4">
        <v>60</v>
      </c>
      <c r="H244" s="4">
        <v>3.1</v>
      </c>
      <c r="I244" s="4">
        <f t="shared" si="21"/>
        <v>56.9</v>
      </c>
      <c r="J244" s="4">
        <f>INDEX(Dim_Machine!$E$2:$E$8,MATCH(D244,Dim_Machine!$A$2:$A$8,0))*INDEX(Dim_Machine!$D$2:$D$8,MATCH(D244,Dim_Machine!$A$2:$A$8,0))*I244</f>
        <v>23670.399999999998</v>
      </c>
      <c r="K244" s="4">
        <f>ROUND(J244*0.854,0)</f>
        <v>20215</v>
      </c>
      <c r="L244" s="4">
        <f>ROUND(K244*0.0335,0)</f>
        <v>677</v>
      </c>
      <c r="M244" s="4">
        <f t="shared" si="22"/>
        <v>19538</v>
      </c>
      <c r="N244" s="4">
        <f t="shared" si="23"/>
        <v>0.85402021089630942</v>
      </c>
      <c r="O244" s="4">
        <f t="shared" si="24"/>
        <v>0.94833333333333336</v>
      </c>
      <c r="P244" s="4">
        <f>IFERROR((K244/I244)/(INDEX(Dim_Machine!$E$2:$E$8,MATCH(D244,Dim_Machine!$A$2:$A$8,0))*INDEX(Dim_Machine!$D$2:$D$8,MATCH(D244,Dim_Machine!$A$2:$A$8,0))),0)</f>
        <v>0.85402021089630931</v>
      </c>
      <c r="Q244" s="4">
        <f t="shared" si="25"/>
        <v>0.96651001731387587</v>
      </c>
      <c r="R244" s="4">
        <f t="shared" si="26"/>
        <v>0.78277243589743595</v>
      </c>
      <c r="S244" s="4">
        <f>T244/0.904</f>
        <v>4.3225663716814156</v>
      </c>
      <c r="T244" s="4">
        <f>M244*INDEX(Dim_Product!$C$2:$C$4,MATCH(F244,Dim_Product!$A$2:$A$4,0))/1000000</f>
        <v>3.9076</v>
      </c>
      <c r="U244" s="16">
        <f t="shared" si="27"/>
        <v>0.90400000000000003</v>
      </c>
    </row>
    <row r="245" spans="1:21" x14ac:dyDescent="0.25">
      <c r="A245" s="15" t="s">
        <v>386</v>
      </c>
      <c r="B245" s="4">
        <v>20260702</v>
      </c>
      <c r="C245" s="4">
        <v>10</v>
      </c>
      <c r="D245" s="4" t="s">
        <v>29</v>
      </c>
      <c r="E245" s="4" t="s">
        <v>16</v>
      </c>
      <c r="F245" s="4" t="s">
        <v>143</v>
      </c>
      <c r="G245" s="4">
        <v>60</v>
      </c>
      <c r="H245" s="4">
        <v>4.3</v>
      </c>
      <c r="I245" s="4">
        <f t="shared" si="21"/>
        <v>55.7</v>
      </c>
      <c r="J245" s="4">
        <f>INDEX(Dim_Machine!$E$2:$E$8,MATCH(D245,Dim_Machine!$A$2:$A$8,0))*INDEX(Dim_Machine!$D$2:$D$8,MATCH(D245,Dim_Machine!$A$2:$A$8,0))*I245</f>
        <v>16041.6</v>
      </c>
      <c r="K245" s="4">
        <f>ROUND(J245*0.897,0)</f>
        <v>14389</v>
      </c>
      <c r="L245" s="4">
        <f>ROUND(K245*0.0268,0)</f>
        <v>386</v>
      </c>
      <c r="M245" s="4">
        <f t="shared" si="22"/>
        <v>14003</v>
      </c>
      <c r="N245" s="4">
        <f t="shared" si="23"/>
        <v>0.89698035108717333</v>
      </c>
      <c r="O245" s="4">
        <f t="shared" si="24"/>
        <v>0.92833333333333334</v>
      </c>
      <c r="P245" s="4">
        <f>IFERROR((K245/I245)/(INDEX(Dim_Machine!$E$2:$E$8,MATCH(D245,Dim_Machine!$A$2:$A$8,0))*INDEX(Dim_Machine!$D$2:$D$8,MATCH(D245,Dim_Machine!$A$2:$A$8,0))),0)</f>
        <v>0.89698035108717333</v>
      </c>
      <c r="Q245" s="4">
        <f t="shared" si="25"/>
        <v>0.9731739523246925</v>
      </c>
      <c r="R245" s="4">
        <f t="shared" si="26"/>
        <v>0.81035879629629626</v>
      </c>
      <c r="S245" s="4">
        <f>T245/0.933</f>
        <v>3.0017148981779207</v>
      </c>
      <c r="T245" s="4">
        <f>M245*INDEX(Dim_Product!$C$2:$C$4,MATCH(F245,Dim_Product!$A$2:$A$4,0))/1000000</f>
        <v>2.8006000000000002</v>
      </c>
      <c r="U245" s="16">
        <f t="shared" si="27"/>
        <v>0.93300000000000005</v>
      </c>
    </row>
    <row r="246" spans="1:21" x14ac:dyDescent="0.25">
      <c r="A246" s="15" t="s">
        <v>387</v>
      </c>
      <c r="B246" s="4">
        <v>20260702</v>
      </c>
      <c r="C246" s="4">
        <v>10</v>
      </c>
      <c r="D246" s="4" t="s">
        <v>31</v>
      </c>
      <c r="E246" s="4" t="s">
        <v>16</v>
      </c>
      <c r="F246" s="4" t="s">
        <v>143</v>
      </c>
      <c r="G246" s="4">
        <v>60</v>
      </c>
      <c r="H246" s="4">
        <v>5.2</v>
      </c>
      <c r="I246" s="4">
        <f t="shared" si="21"/>
        <v>54.8</v>
      </c>
      <c r="J246" s="4">
        <f>INDEX(Dim_Machine!$E$2:$E$8,MATCH(D246,Dim_Machine!$A$2:$A$8,0))*INDEX(Dim_Machine!$D$2:$D$8,MATCH(D246,Dim_Machine!$A$2:$A$8,0))*I246</f>
        <v>35510.400000000001</v>
      </c>
      <c r="K246" s="4">
        <f>ROUND(J246*0.947,0)</f>
        <v>33628</v>
      </c>
      <c r="L246" s="4">
        <f>ROUND(K246*0.0235,0)</f>
        <v>790</v>
      </c>
      <c r="M246" s="4">
        <f t="shared" si="22"/>
        <v>32838</v>
      </c>
      <c r="N246" s="4">
        <f t="shared" si="23"/>
        <v>0.94699017752545733</v>
      </c>
      <c r="O246" s="4">
        <f t="shared" si="24"/>
        <v>0.91333333333333333</v>
      </c>
      <c r="P246" s="4">
        <f>IFERROR((K246/I246)/(INDEX(Dim_Machine!$E$2:$E$8,MATCH(D246,Dim_Machine!$A$2:$A$8,0))*INDEX(Dim_Machine!$D$2:$D$8,MATCH(D246,Dim_Machine!$A$2:$A$8,0))),0)</f>
        <v>0.94699017752545744</v>
      </c>
      <c r="Q246" s="4">
        <f t="shared" si="25"/>
        <v>0.97650767217794698</v>
      </c>
      <c r="R246" s="4">
        <f t="shared" si="26"/>
        <v>0.84459876543209889</v>
      </c>
      <c r="S246" s="4">
        <f>T246/0.941</f>
        <v>6.9793836344314562</v>
      </c>
      <c r="T246" s="4">
        <f>M246*INDEX(Dim_Product!$C$2:$C$4,MATCH(F246,Dim_Product!$A$2:$A$4,0))/1000000</f>
        <v>6.5675999999999997</v>
      </c>
      <c r="U246" s="16">
        <f t="shared" si="27"/>
        <v>0.94099999999999995</v>
      </c>
    </row>
    <row r="247" spans="1:21" x14ac:dyDescent="0.25">
      <c r="A247" s="15" t="s">
        <v>388</v>
      </c>
      <c r="B247" s="4">
        <v>20260702</v>
      </c>
      <c r="C247" s="4">
        <v>11</v>
      </c>
      <c r="D247" s="4" t="s">
        <v>15</v>
      </c>
      <c r="E247" s="4" t="s">
        <v>16</v>
      </c>
      <c r="F247" s="4" t="s">
        <v>143</v>
      </c>
      <c r="G247" s="4">
        <v>60</v>
      </c>
      <c r="H247" s="4">
        <v>2.2000000000000002</v>
      </c>
      <c r="I247" s="4">
        <f t="shared" si="21"/>
        <v>57.8</v>
      </c>
      <c r="J247" s="4">
        <f>INDEX(Dim_Machine!$E$2:$E$8,MATCH(D247,Dim_Machine!$A$2:$A$8,0))*INDEX(Dim_Machine!$D$2:$D$8,MATCH(D247,Dim_Machine!$A$2:$A$8,0))*I247</f>
        <v>23120</v>
      </c>
      <c r="K247" s="4">
        <f>ROUND(J247*0.918,0)</f>
        <v>21224</v>
      </c>
      <c r="L247" s="4">
        <f>ROUND(K247*0.0115,0)</f>
        <v>244</v>
      </c>
      <c r="M247" s="4">
        <f t="shared" si="22"/>
        <v>20980</v>
      </c>
      <c r="N247" s="4">
        <f t="shared" si="23"/>
        <v>0.91799307958477505</v>
      </c>
      <c r="O247" s="4">
        <f t="shared" si="24"/>
        <v>0.96333333333333326</v>
      </c>
      <c r="P247" s="4">
        <f>IFERROR((K247/I247)/(INDEX(Dim_Machine!$E$2:$E$8,MATCH(D247,Dim_Machine!$A$2:$A$8,0))*INDEX(Dim_Machine!$D$2:$D$8,MATCH(D247,Dim_Machine!$A$2:$A$8,0))),0)</f>
        <v>0.91799307958477516</v>
      </c>
      <c r="Q247" s="4">
        <f t="shared" si="25"/>
        <v>0.98850358085186585</v>
      </c>
      <c r="R247" s="4">
        <f t="shared" si="26"/>
        <v>0.87416666666666665</v>
      </c>
      <c r="S247" s="4">
        <f>T247/0.867</f>
        <v>4.8396770472895039</v>
      </c>
      <c r="T247" s="4">
        <f>M247*INDEX(Dim_Product!$C$2:$C$4,MATCH(F247,Dim_Product!$A$2:$A$4,0))/1000000</f>
        <v>4.1959999999999997</v>
      </c>
      <c r="U247" s="16">
        <f t="shared" si="27"/>
        <v>0.86699999999999999</v>
      </c>
    </row>
    <row r="248" spans="1:21" x14ac:dyDescent="0.25">
      <c r="A248" s="15" t="s">
        <v>389</v>
      </c>
      <c r="B248" s="4">
        <v>20260702</v>
      </c>
      <c r="C248" s="4">
        <v>11</v>
      </c>
      <c r="D248" s="4" t="s">
        <v>19</v>
      </c>
      <c r="E248" s="4" t="s">
        <v>16</v>
      </c>
      <c r="F248" s="4" t="s">
        <v>141</v>
      </c>
      <c r="G248" s="4">
        <v>60</v>
      </c>
      <c r="H248" s="4">
        <v>1.9</v>
      </c>
      <c r="I248" s="4">
        <f t="shared" si="21"/>
        <v>58.1</v>
      </c>
      <c r="J248" s="4">
        <f>INDEX(Dim_Machine!$E$2:$E$8,MATCH(D248,Dim_Machine!$A$2:$A$8,0))*INDEX(Dim_Machine!$D$2:$D$8,MATCH(D248,Dim_Machine!$A$2:$A$8,0))*I248</f>
        <v>39043.200000000004</v>
      </c>
      <c r="K248" s="4">
        <f>ROUND(J248*0.853,0)</f>
        <v>33304</v>
      </c>
      <c r="L248" s="4">
        <f>ROUND(K248*0.0344,0)</f>
        <v>1146</v>
      </c>
      <c r="M248" s="4">
        <f t="shared" si="22"/>
        <v>32158</v>
      </c>
      <c r="N248" s="4">
        <f t="shared" si="23"/>
        <v>0.85300385214326691</v>
      </c>
      <c r="O248" s="4">
        <f t="shared" si="24"/>
        <v>0.96833333333333338</v>
      </c>
      <c r="P248" s="4">
        <f>IFERROR((K248/I248)/(INDEX(Dim_Machine!$E$2:$E$8,MATCH(D248,Dim_Machine!$A$2:$A$8,0))*INDEX(Dim_Machine!$D$2:$D$8,MATCH(D248,Dim_Machine!$A$2:$A$8,0))),0)</f>
        <v>0.85300385214326691</v>
      </c>
      <c r="Q248" s="4">
        <f t="shared" si="25"/>
        <v>0.96558971895267831</v>
      </c>
      <c r="R248" s="4">
        <f t="shared" si="26"/>
        <v>0.79756944444444433</v>
      </c>
      <c r="S248" s="4">
        <f>T248/0.855</f>
        <v>9.4029239766081876</v>
      </c>
      <c r="T248" s="4">
        <f>M248*INDEX(Dim_Product!$C$2:$C$4,MATCH(F248,Dim_Product!$A$2:$A$4,0))/1000000</f>
        <v>8.0395000000000003</v>
      </c>
      <c r="U248" s="16">
        <f t="shared" si="27"/>
        <v>0.85499999999999998</v>
      </c>
    </row>
    <row r="249" spans="1:21" x14ac:dyDescent="0.25">
      <c r="A249" s="15" t="s">
        <v>390</v>
      </c>
      <c r="B249" s="4">
        <v>20260702</v>
      </c>
      <c r="C249" s="4">
        <v>11</v>
      </c>
      <c r="D249" s="4" t="s">
        <v>23</v>
      </c>
      <c r="E249" s="4" t="s">
        <v>16</v>
      </c>
      <c r="F249" s="4" t="s">
        <v>141</v>
      </c>
      <c r="G249" s="4">
        <v>60</v>
      </c>
      <c r="H249" s="4">
        <v>7.2</v>
      </c>
      <c r="I249" s="4">
        <f t="shared" si="21"/>
        <v>52.8</v>
      </c>
      <c r="J249" s="4">
        <f>INDEX(Dim_Machine!$E$2:$E$8,MATCH(D249,Dim_Machine!$A$2:$A$8,0))*INDEX(Dim_Machine!$D$2:$D$8,MATCH(D249,Dim_Machine!$A$2:$A$8,0))*I249</f>
        <v>13939.199999999999</v>
      </c>
      <c r="K249" s="4">
        <f>ROUND(J249*0.909,0)</f>
        <v>12671</v>
      </c>
      <c r="L249" s="4">
        <f>ROUND(K249*0.0068,0)</f>
        <v>86</v>
      </c>
      <c r="M249" s="4">
        <f t="shared" si="22"/>
        <v>12585</v>
      </c>
      <c r="N249" s="4">
        <f t="shared" si="23"/>
        <v>0.9090191689623508</v>
      </c>
      <c r="O249" s="4">
        <f t="shared" si="24"/>
        <v>0.88</v>
      </c>
      <c r="P249" s="4">
        <f>IFERROR((K249/I249)/(INDEX(Dim_Machine!$E$2:$E$8,MATCH(D249,Dim_Machine!$A$2:$A$8,0))*INDEX(Dim_Machine!$D$2:$D$8,MATCH(D249,Dim_Machine!$A$2:$A$8,0))),0)</f>
        <v>0.9090191689623508</v>
      </c>
      <c r="Q249" s="4">
        <f t="shared" si="25"/>
        <v>0.99321284823612976</v>
      </c>
      <c r="R249" s="4">
        <f t="shared" si="26"/>
        <v>0.7945075757575758</v>
      </c>
      <c r="S249" s="4">
        <f>T249/0.841</f>
        <v>3.7410820451843048</v>
      </c>
      <c r="T249" s="4">
        <f>M249*INDEX(Dim_Product!$C$2:$C$4,MATCH(F249,Dim_Product!$A$2:$A$4,0))/1000000</f>
        <v>3.1462500000000002</v>
      </c>
      <c r="U249" s="16">
        <f t="shared" si="27"/>
        <v>0.84099999999999997</v>
      </c>
    </row>
    <row r="250" spans="1:21" x14ac:dyDescent="0.25">
      <c r="A250" s="15" t="s">
        <v>391</v>
      </c>
      <c r="B250" s="4">
        <v>20260702</v>
      </c>
      <c r="C250" s="4">
        <v>11</v>
      </c>
      <c r="D250" s="4" t="s">
        <v>25</v>
      </c>
      <c r="E250" s="4" t="s">
        <v>16</v>
      </c>
      <c r="F250" s="4" t="s">
        <v>141</v>
      </c>
      <c r="G250" s="4">
        <v>60</v>
      </c>
      <c r="H250" s="4">
        <v>7.7</v>
      </c>
      <c r="I250" s="4">
        <f t="shared" si="21"/>
        <v>52.3</v>
      </c>
      <c r="J250" s="4">
        <f>INDEX(Dim_Machine!$E$2:$E$8,MATCH(D250,Dim_Machine!$A$2:$A$8,0))*INDEX(Dim_Machine!$D$2:$D$8,MATCH(D250,Dim_Machine!$A$2:$A$8,0))*I250</f>
        <v>37656</v>
      </c>
      <c r="K250" s="4">
        <f>ROUND(J250*0.97,0)</f>
        <v>36526</v>
      </c>
      <c r="L250" s="4">
        <f>ROUND(K250*0.0297,0)</f>
        <v>1085</v>
      </c>
      <c r="M250" s="4">
        <f t="shared" si="22"/>
        <v>35441</v>
      </c>
      <c r="N250" s="4">
        <f t="shared" si="23"/>
        <v>0.96999150201827067</v>
      </c>
      <c r="O250" s="4">
        <f t="shared" si="24"/>
        <v>0.87166666666666659</v>
      </c>
      <c r="P250" s="4">
        <f>IFERROR((K250/I250)/(INDEX(Dim_Machine!$E$2:$E$8,MATCH(D250,Dim_Machine!$A$2:$A$8,0))*INDEX(Dim_Machine!$D$2:$D$8,MATCH(D250,Dim_Machine!$A$2:$A$8,0))),0)</f>
        <v>0.96999150201827067</v>
      </c>
      <c r="Q250" s="4">
        <f t="shared" si="25"/>
        <v>0.97029513223457264</v>
      </c>
      <c r="R250" s="4">
        <f t="shared" si="26"/>
        <v>0.82039351851851849</v>
      </c>
      <c r="S250" s="4">
        <f>T250/0.814</f>
        <v>10.884828009828011</v>
      </c>
      <c r="T250" s="4">
        <f>M250*INDEX(Dim_Product!$C$2:$C$4,MATCH(F250,Dim_Product!$A$2:$A$4,0))/1000000</f>
        <v>8.8602500000000006</v>
      </c>
      <c r="U250" s="16">
        <f t="shared" si="27"/>
        <v>0.81399999999999995</v>
      </c>
    </row>
    <row r="251" spans="1:21" x14ac:dyDescent="0.25">
      <c r="A251" s="15" t="s">
        <v>392</v>
      </c>
      <c r="B251" s="4">
        <v>20260702</v>
      </c>
      <c r="C251" s="4">
        <v>11</v>
      </c>
      <c r="D251" s="4" t="s">
        <v>27</v>
      </c>
      <c r="E251" s="4" t="s">
        <v>16</v>
      </c>
      <c r="F251" s="4" t="s">
        <v>143</v>
      </c>
      <c r="G251" s="4">
        <v>60</v>
      </c>
      <c r="H251" s="4">
        <v>1.7</v>
      </c>
      <c r="I251" s="4">
        <f t="shared" si="21"/>
        <v>58.3</v>
      </c>
      <c r="J251" s="4">
        <f>INDEX(Dim_Machine!$E$2:$E$8,MATCH(D251,Dim_Machine!$A$2:$A$8,0))*INDEX(Dim_Machine!$D$2:$D$8,MATCH(D251,Dim_Machine!$A$2:$A$8,0))*I251</f>
        <v>24252.799999999999</v>
      </c>
      <c r="K251" s="4">
        <f>ROUND(J251*0.908,0)</f>
        <v>22022</v>
      </c>
      <c r="L251" s="4">
        <f>ROUND(K251*0.0341,0)</f>
        <v>751</v>
      </c>
      <c r="M251" s="4">
        <f t="shared" si="22"/>
        <v>21271</v>
      </c>
      <c r="N251" s="4">
        <f t="shared" si="23"/>
        <v>0.90801886792452835</v>
      </c>
      <c r="O251" s="4">
        <f t="shared" si="24"/>
        <v>0.97166666666666657</v>
      </c>
      <c r="P251" s="4">
        <f>IFERROR((K251/I251)/(INDEX(Dim_Machine!$E$2:$E$8,MATCH(D251,Dim_Machine!$A$2:$A$8,0))*INDEX(Dim_Machine!$D$2:$D$8,MATCH(D251,Dim_Machine!$A$2:$A$8,0))),0)</f>
        <v>0.90801886792452835</v>
      </c>
      <c r="Q251" s="4">
        <f t="shared" si="25"/>
        <v>0.96589773862501138</v>
      </c>
      <c r="R251" s="4">
        <f t="shared" si="26"/>
        <v>0.85220352564102564</v>
      </c>
      <c r="S251" s="4">
        <f>T251/0.808</f>
        <v>5.2650990099009896</v>
      </c>
      <c r="T251" s="4">
        <f>M251*INDEX(Dim_Product!$C$2:$C$4,MATCH(F251,Dim_Product!$A$2:$A$4,0))/1000000</f>
        <v>4.2542</v>
      </c>
      <c r="U251" s="16">
        <f t="shared" si="27"/>
        <v>0.80800000000000005</v>
      </c>
    </row>
    <row r="252" spans="1:21" x14ac:dyDescent="0.25">
      <c r="A252" s="15" t="s">
        <v>393</v>
      </c>
      <c r="B252" s="4">
        <v>20260702</v>
      </c>
      <c r="C252" s="4">
        <v>11</v>
      </c>
      <c r="D252" s="4" t="s">
        <v>29</v>
      </c>
      <c r="E252" s="4" t="s">
        <v>16</v>
      </c>
      <c r="F252" s="4" t="s">
        <v>143</v>
      </c>
      <c r="G252" s="4">
        <v>60</v>
      </c>
      <c r="H252" s="4">
        <v>2.7</v>
      </c>
      <c r="I252" s="4">
        <f t="shared" si="21"/>
        <v>57.3</v>
      </c>
      <c r="J252" s="4">
        <f>INDEX(Dim_Machine!$E$2:$E$8,MATCH(D252,Dim_Machine!$A$2:$A$8,0))*INDEX(Dim_Machine!$D$2:$D$8,MATCH(D252,Dim_Machine!$A$2:$A$8,0))*I252</f>
        <v>16502.399999999998</v>
      </c>
      <c r="K252" s="4">
        <f>ROUND(J252*0.978,0)</f>
        <v>16139</v>
      </c>
      <c r="L252" s="4">
        <f>ROUND(K252*0.0286,0)</f>
        <v>462</v>
      </c>
      <c r="M252" s="4">
        <f t="shared" si="22"/>
        <v>15677</v>
      </c>
      <c r="N252" s="4">
        <f t="shared" si="23"/>
        <v>0.97797896063602885</v>
      </c>
      <c r="O252" s="4">
        <f t="shared" si="24"/>
        <v>0.95499999999999996</v>
      </c>
      <c r="P252" s="4">
        <f>IFERROR((K252/I252)/(INDEX(Dim_Machine!$E$2:$E$8,MATCH(D252,Dim_Machine!$A$2:$A$8,0))*INDEX(Dim_Machine!$D$2:$D$8,MATCH(D252,Dim_Machine!$A$2:$A$8,0))),0)</f>
        <v>0.97797896063602885</v>
      </c>
      <c r="Q252" s="4">
        <f t="shared" si="25"/>
        <v>0.97137369105892557</v>
      </c>
      <c r="R252" s="4">
        <f t="shared" si="26"/>
        <v>0.90723379629629641</v>
      </c>
      <c r="S252" s="4">
        <f>T252/0.831</f>
        <v>3.773044524669074</v>
      </c>
      <c r="T252" s="4">
        <f>M252*INDEX(Dim_Product!$C$2:$C$4,MATCH(F252,Dim_Product!$A$2:$A$4,0))/1000000</f>
        <v>3.1354000000000002</v>
      </c>
      <c r="U252" s="16">
        <f t="shared" si="27"/>
        <v>0.83099999999999996</v>
      </c>
    </row>
    <row r="253" spans="1:21" x14ac:dyDescent="0.25">
      <c r="A253" s="15" t="s">
        <v>394</v>
      </c>
      <c r="B253" s="4">
        <v>20260702</v>
      </c>
      <c r="C253" s="4">
        <v>11</v>
      </c>
      <c r="D253" s="4" t="s">
        <v>31</v>
      </c>
      <c r="E253" s="4" t="s">
        <v>16</v>
      </c>
      <c r="F253" s="4" t="s">
        <v>143</v>
      </c>
      <c r="G253" s="4">
        <v>60</v>
      </c>
      <c r="H253" s="4">
        <v>6.6</v>
      </c>
      <c r="I253" s="4">
        <f t="shared" si="21"/>
        <v>53.4</v>
      </c>
      <c r="J253" s="4">
        <f>INDEX(Dim_Machine!$E$2:$E$8,MATCH(D253,Dim_Machine!$A$2:$A$8,0))*INDEX(Dim_Machine!$D$2:$D$8,MATCH(D253,Dim_Machine!$A$2:$A$8,0))*I253</f>
        <v>34603.199999999997</v>
      </c>
      <c r="K253" s="4">
        <f>ROUND(J253*0.891,0)</f>
        <v>30831</v>
      </c>
      <c r="L253" s="4">
        <f>ROUND(K253*0.0226,0)</f>
        <v>697</v>
      </c>
      <c r="M253" s="4">
        <f t="shared" si="22"/>
        <v>30134</v>
      </c>
      <c r="N253" s="4">
        <f t="shared" si="23"/>
        <v>0.89098696074351513</v>
      </c>
      <c r="O253" s="4">
        <f t="shared" si="24"/>
        <v>0.89</v>
      </c>
      <c r="P253" s="4">
        <f>IFERROR((K253/I253)/(INDEX(Dim_Machine!$E$2:$E$8,MATCH(D253,Dim_Machine!$A$2:$A$8,0))*INDEX(Dim_Machine!$D$2:$D$8,MATCH(D253,Dim_Machine!$A$2:$A$8,0))),0)</f>
        <v>0.89098696074351502</v>
      </c>
      <c r="Q253" s="4">
        <f t="shared" si="25"/>
        <v>0.97739288378580003</v>
      </c>
      <c r="R253" s="4">
        <f t="shared" si="26"/>
        <v>0.77505144032921813</v>
      </c>
      <c r="S253" s="4">
        <f>T253/0.922</f>
        <v>6.5366594360086765</v>
      </c>
      <c r="T253" s="4">
        <f>M253*INDEX(Dim_Product!$C$2:$C$4,MATCH(F253,Dim_Product!$A$2:$A$4,0))/1000000</f>
        <v>6.0267999999999997</v>
      </c>
      <c r="U253" s="16">
        <f t="shared" si="27"/>
        <v>0.92200000000000004</v>
      </c>
    </row>
    <row r="254" spans="1:21" x14ac:dyDescent="0.25">
      <c r="A254" s="15" t="s">
        <v>395</v>
      </c>
      <c r="B254" s="4">
        <v>20260702</v>
      </c>
      <c r="C254" s="4">
        <v>12</v>
      </c>
      <c r="D254" s="4" t="s">
        <v>15</v>
      </c>
      <c r="E254" s="4" t="s">
        <v>16</v>
      </c>
      <c r="F254" s="4" t="s">
        <v>143</v>
      </c>
      <c r="G254" s="4">
        <v>60</v>
      </c>
      <c r="H254" s="4">
        <v>1.9</v>
      </c>
      <c r="I254" s="4">
        <f t="shared" si="21"/>
        <v>58.1</v>
      </c>
      <c r="J254" s="4">
        <f>INDEX(Dim_Machine!$E$2:$E$8,MATCH(D254,Dim_Machine!$A$2:$A$8,0))*INDEX(Dim_Machine!$D$2:$D$8,MATCH(D254,Dim_Machine!$A$2:$A$8,0))*I254</f>
        <v>23240</v>
      </c>
      <c r="K254" s="4">
        <f>ROUND(J254*0.935,0)</f>
        <v>21729</v>
      </c>
      <c r="L254" s="4">
        <f>ROUND(K254*0.0287,0)</f>
        <v>624</v>
      </c>
      <c r="M254" s="4">
        <f t="shared" si="22"/>
        <v>21105</v>
      </c>
      <c r="N254" s="4">
        <f t="shared" si="23"/>
        <v>0.93498278829604131</v>
      </c>
      <c r="O254" s="4">
        <f t="shared" si="24"/>
        <v>0.96833333333333338</v>
      </c>
      <c r="P254" s="4">
        <f>IFERROR((K254/I254)/(INDEX(Dim_Machine!$E$2:$E$8,MATCH(D254,Dim_Machine!$A$2:$A$8,0))*INDEX(Dim_Machine!$D$2:$D$8,MATCH(D254,Dim_Machine!$A$2:$A$8,0))),0)</f>
        <v>0.93498278829604131</v>
      </c>
      <c r="Q254" s="4">
        <f t="shared" si="25"/>
        <v>0.97128261769984814</v>
      </c>
      <c r="R254" s="4">
        <f t="shared" si="26"/>
        <v>0.87937500000000002</v>
      </c>
      <c r="S254" s="4">
        <f>T254/0.889</f>
        <v>4.7480314960629926</v>
      </c>
      <c r="T254" s="4">
        <f>M254*INDEX(Dim_Product!$C$2:$C$4,MATCH(F254,Dim_Product!$A$2:$A$4,0))/1000000</f>
        <v>4.2210000000000001</v>
      </c>
      <c r="U254" s="16">
        <f t="shared" si="27"/>
        <v>0.8889999999999999</v>
      </c>
    </row>
    <row r="255" spans="1:21" x14ac:dyDescent="0.25">
      <c r="A255" s="15" t="s">
        <v>396</v>
      </c>
      <c r="B255" s="4">
        <v>20260702</v>
      </c>
      <c r="C255" s="4">
        <v>12</v>
      </c>
      <c r="D255" s="4" t="s">
        <v>19</v>
      </c>
      <c r="E255" s="4" t="s">
        <v>16</v>
      </c>
      <c r="F255" s="4" t="s">
        <v>141</v>
      </c>
      <c r="G255" s="4">
        <v>60</v>
      </c>
      <c r="H255" s="4">
        <v>2.2000000000000002</v>
      </c>
      <c r="I255" s="4">
        <f t="shared" si="21"/>
        <v>57.8</v>
      </c>
      <c r="J255" s="4">
        <f>INDEX(Dim_Machine!$E$2:$E$8,MATCH(D255,Dim_Machine!$A$2:$A$8,0))*INDEX(Dim_Machine!$D$2:$D$8,MATCH(D255,Dim_Machine!$A$2:$A$8,0))*I255</f>
        <v>38841.599999999999</v>
      </c>
      <c r="K255" s="4">
        <f>ROUND(J255*0.977,0)</f>
        <v>37948</v>
      </c>
      <c r="L255" s="4">
        <f>ROUND(K255*0.0346,0)</f>
        <v>1313</v>
      </c>
      <c r="M255" s="4">
        <f t="shared" si="22"/>
        <v>36635</v>
      </c>
      <c r="N255" s="4">
        <f t="shared" si="23"/>
        <v>0.97699373867193939</v>
      </c>
      <c r="O255" s="4">
        <f t="shared" si="24"/>
        <v>0.96333333333333326</v>
      </c>
      <c r="P255" s="4">
        <f>IFERROR((K255/I255)/(INDEX(Dim_Machine!$E$2:$E$8,MATCH(D255,Dim_Machine!$A$2:$A$8,0))*INDEX(Dim_Machine!$D$2:$D$8,MATCH(D255,Dim_Machine!$A$2:$A$8,0))),0)</f>
        <v>0.97699373867193928</v>
      </c>
      <c r="Q255" s="4">
        <f t="shared" si="25"/>
        <v>0.96540002108147993</v>
      </c>
      <c r="R255" s="4">
        <f t="shared" si="26"/>
        <v>0.9086061507936507</v>
      </c>
      <c r="S255" s="4">
        <f>T255/0.881</f>
        <v>10.395856980703746</v>
      </c>
      <c r="T255" s="4">
        <f>M255*INDEX(Dim_Product!$C$2:$C$4,MATCH(F255,Dim_Product!$A$2:$A$4,0))/1000000</f>
        <v>9.1587499999999995</v>
      </c>
      <c r="U255" s="16">
        <f t="shared" si="27"/>
        <v>0.88099999999999989</v>
      </c>
    </row>
    <row r="256" spans="1:21" x14ac:dyDescent="0.25">
      <c r="A256" s="15" t="s">
        <v>397</v>
      </c>
      <c r="B256" s="4">
        <v>20260702</v>
      </c>
      <c r="C256" s="4">
        <v>12</v>
      </c>
      <c r="D256" s="4" t="s">
        <v>23</v>
      </c>
      <c r="E256" s="4" t="s">
        <v>16</v>
      </c>
      <c r="F256" s="4" t="s">
        <v>141</v>
      </c>
      <c r="G256" s="4">
        <v>60</v>
      </c>
      <c r="H256" s="4">
        <v>6.4</v>
      </c>
      <c r="I256" s="4">
        <f t="shared" si="21"/>
        <v>53.6</v>
      </c>
      <c r="J256" s="4">
        <f>INDEX(Dim_Machine!$E$2:$E$8,MATCH(D256,Dim_Machine!$A$2:$A$8,0))*INDEX(Dim_Machine!$D$2:$D$8,MATCH(D256,Dim_Machine!$A$2:$A$8,0))*I256</f>
        <v>14150.4</v>
      </c>
      <c r="K256" s="4">
        <f>ROUND(J256*0.802,0)</f>
        <v>11349</v>
      </c>
      <c r="L256" s="4">
        <f>ROUND(K256*0.031,0)</f>
        <v>352</v>
      </c>
      <c r="M256" s="4">
        <f t="shared" si="22"/>
        <v>10997</v>
      </c>
      <c r="N256" s="4">
        <f t="shared" si="23"/>
        <v>0.80202679782903663</v>
      </c>
      <c r="O256" s="4">
        <f t="shared" si="24"/>
        <v>0.89333333333333331</v>
      </c>
      <c r="P256" s="4">
        <f>IFERROR((K256/I256)/(INDEX(Dim_Machine!$E$2:$E$8,MATCH(D256,Dim_Machine!$A$2:$A$8,0))*INDEX(Dim_Machine!$D$2:$D$8,MATCH(D256,Dim_Machine!$A$2:$A$8,0))),0)</f>
        <v>0.80202679782903663</v>
      </c>
      <c r="Q256" s="4">
        <f t="shared" si="25"/>
        <v>0.96898405145827826</v>
      </c>
      <c r="R256" s="4">
        <f t="shared" si="26"/>
        <v>0.69425505050505043</v>
      </c>
      <c r="S256" s="4">
        <f>T256/0.82</f>
        <v>3.3527439024390246</v>
      </c>
      <c r="T256" s="4">
        <f>M256*INDEX(Dim_Product!$C$2:$C$4,MATCH(F256,Dim_Product!$A$2:$A$4,0))/1000000</f>
        <v>2.74925</v>
      </c>
      <c r="U256" s="16">
        <f t="shared" si="27"/>
        <v>0.82</v>
      </c>
    </row>
    <row r="257" spans="1:21" x14ac:dyDescent="0.25">
      <c r="A257" s="15" t="s">
        <v>398</v>
      </c>
      <c r="B257" s="4">
        <v>20260702</v>
      </c>
      <c r="C257" s="4">
        <v>12</v>
      </c>
      <c r="D257" s="4" t="s">
        <v>25</v>
      </c>
      <c r="E257" s="4" t="s">
        <v>16</v>
      </c>
      <c r="F257" s="4" t="s">
        <v>141</v>
      </c>
      <c r="G257" s="4">
        <v>60</v>
      </c>
      <c r="H257" s="4">
        <v>2.9</v>
      </c>
      <c r="I257" s="4">
        <f t="shared" si="21"/>
        <v>57.1</v>
      </c>
      <c r="J257" s="4">
        <f>INDEX(Dim_Machine!$E$2:$E$8,MATCH(D257,Dim_Machine!$A$2:$A$8,0))*INDEX(Dim_Machine!$D$2:$D$8,MATCH(D257,Dim_Machine!$A$2:$A$8,0))*I257</f>
        <v>41112</v>
      </c>
      <c r="K257" s="4">
        <f>ROUND(J257*0.938,0)</f>
        <v>38563</v>
      </c>
      <c r="L257" s="4">
        <f>ROUND(K257*0.0227,0)</f>
        <v>875</v>
      </c>
      <c r="M257" s="4">
        <f t="shared" si="22"/>
        <v>37688</v>
      </c>
      <c r="N257" s="4">
        <f t="shared" si="23"/>
        <v>0.93799863786728932</v>
      </c>
      <c r="O257" s="4">
        <f t="shared" si="24"/>
        <v>0.95166666666666666</v>
      </c>
      <c r="P257" s="4">
        <f>IFERROR((K257/I257)/(INDEX(Dim_Machine!$E$2:$E$8,MATCH(D257,Dim_Machine!$A$2:$A$8,0))*INDEX(Dim_Machine!$D$2:$D$8,MATCH(D257,Dim_Machine!$A$2:$A$8,0))),0)</f>
        <v>0.93799863786728932</v>
      </c>
      <c r="Q257" s="4">
        <f t="shared" si="25"/>
        <v>0.97730985659829372</v>
      </c>
      <c r="R257" s="4">
        <f t="shared" si="26"/>
        <v>0.8724074074074073</v>
      </c>
      <c r="S257" s="4">
        <f>T257/0.802</f>
        <v>11.748129675810475</v>
      </c>
      <c r="T257" s="4">
        <f>M257*INDEX(Dim_Product!$C$2:$C$4,MATCH(F257,Dim_Product!$A$2:$A$4,0))/1000000</f>
        <v>9.4220000000000006</v>
      </c>
      <c r="U257" s="16">
        <f t="shared" si="27"/>
        <v>0.80199999999999994</v>
      </c>
    </row>
    <row r="258" spans="1:21" x14ac:dyDescent="0.25">
      <c r="A258" s="15" t="s">
        <v>399</v>
      </c>
      <c r="B258" s="4">
        <v>20260702</v>
      </c>
      <c r="C258" s="4">
        <v>12</v>
      </c>
      <c r="D258" s="4" t="s">
        <v>27</v>
      </c>
      <c r="E258" s="4" t="s">
        <v>16</v>
      </c>
      <c r="F258" s="4" t="s">
        <v>143</v>
      </c>
      <c r="G258" s="4">
        <v>60</v>
      </c>
      <c r="H258" s="4">
        <v>2.1</v>
      </c>
      <c r="I258" s="4">
        <f t="shared" ref="I258:I321" si="28">G258-H258</f>
        <v>57.9</v>
      </c>
      <c r="J258" s="4">
        <f>INDEX(Dim_Machine!$E$2:$E$8,MATCH(D258,Dim_Machine!$A$2:$A$8,0))*INDEX(Dim_Machine!$D$2:$D$8,MATCH(D258,Dim_Machine!$A$2:$A$8,0))*I258</f>
        <v>24086.399999999998</v>
      </c>
      <c r="K258" s="4">
        <f>ROUND(J258*0.805,0)</f>
        <v>19390</v>
      </c>
      <c r="L258" s="4">
        <f>ROUND(K258*0.0176,0)</f>
        <v>341</v>
      </c>
      <c r="M258" s="4">
        <f t="shared" ref="M258:M321" si="29">K258-L258</f>
        <v>19049</v>
      </c>
      <c r="N258" s="4">
        <f t="shared" ref="N258:N321" si="30">IFERROR(K258/J258,0)</f>
        <v>0.80501859970771894</v>
      </c>
      <c r="O258" s="4">
        <f t="shared" ref="O258:O321" si="31">IFERROR(I258/G258,0)</f>
        <v>0.96499999999999997</v>
      </c>
      <c r="P258" s="4">
        <f>IFERROR((K258/I258)/(INDEX(Dim_Machine!$E$2:$E$8,MATCH(D258,Dim_Machine!$A$2:$A$8,0))*INDEX(Dim_Machine!$D$2:$D$8,MATCH(D258,Dim_Machine!$A$2:$A$8,0))),0)</f>
        <v>0.80501859970771883</v>
      </c>
      <c r="Q258" s="4">
        <f t="shared" ref="Q258:Q321" si="32">IFERROR(M258/K258,0)</f>
        <v>0.98241361526560078</v>
      </c>
      <c r="R258" s="4">
        <f t="shared" ref="R258:R321" si="33">O258*P258*Q258</f>
        <v>0.76318108974358967</v>
      </c>
      <c r="S258" s="4">
        <f>T258/0.817</f>
        <v>4.6631578947368428</v>
      </c>
      <c r="T258" s="4">
        <f>M258*INDEX(Dim_Product!$C$2:$C$4,MATCH(F258,Dim_Product!$A$2:$A$4,0))/1000000</f>
        <v>3.8098000000000001</v>
      </c>
      <c r="U258" s="16">
        <f t="shared" ref="U258:U321" si="34">IFERROR(T258/S258,0)</f>
        <v>0.81699999999999984</v>
      </c>
    </row>
    <row r="259" spans="1:21" x14ac:dyDescent="0.25">
      <c r="A259" s="15" t="s">
        <v>400</v>
      </c>
      <c r="B259" s="4">
        <v>20260702</v>
      </c>
      <c r="C259" s="4">
        <v>12</v>
      </c>
      <c r="D259" s="4" t="s">
        <v>29</v>
      </c>
      <c r="E259" s="4" t="s">
        <v>16</v>
      </c>
      <c r="F259" s="4" t="s">
        <v>143</v>
      </c>
      <c r="G259" s="4">
        <v>60</v>
      </c>
      <c r="H259" s="4">
        <v>0.5</v>
      </c>
      <c r="I259" s="4">
        <f t="shared" si="28"/>
        <v>59.5</v>
      </c>
      <c r="J259" s="4">
        <f>INDEX(Dim_Machine!$E$2:$E$8,MATCH(D259,Dim_Machine!$A$2:$A$8,0))*INDEX(Dim_Machine!$D$2:$D$8,MATCH(D259,Dim_Machine!$A$2:$A$8,0))*I259</f>
        <v>17136</v>
      </c>
      <c r="K259" s="4">
        <f>ROUND(J259*0.87,0)</f>
        <v>14908</v>
      </c>
      <c r="L259" s="4">
        <f>ROUND(K259*0.0159,0)</f>
        <v>237</v>
      </c>
      <c r="M259" s="4">
        <f t="shared" si="29"/>
        <v>14671</v>
      </c>
      <c r="N259" s="4">
        <f t="shared" si="30"/>
        <v>0.86998132586367882</v>
      </c>
      <c r="O259" s="4">
        <f t="shared" si="31"/>
        <v>0.9916666666666667</v>
      </c>
      <c r="P259" s="4">
        <f>IFERROR((K259/I259)/(INDEX(Dim_Machine!$E$2:$E$8,MATCH(D259,Dim_Machine!$A$2:$A$8,0))*INDEX(Dim_Machine!$D$2:$D$8,MATCH(D259,Dim_Machine!$A$2:$A$8,0))),0)</f>
        <v>0.86998132586367882</v>
      </c>
      <c r="Q259" s="4">
        <f t="shared" si="32"/>
        <v>0.98410249530453453</v>
      </c>
      <c r="R259" s="4">
        <f t="shared" si="33"/>
        <v>0.84901620370370379</v>
      </c>
      <c r="S259" s="4">
        <f>T259/0.889</f>
        <v>3.3005624296962881</v>
      </c>
      <c r="T259" s="4">
        <f>M259*INDEX(Dim_Product!$C$2:$C$4,MATCH(F259,Dim_Product!$A$2:$A$4,0))/1000000</f>
        <v>2.9342000000000001</v>
      </c>
      <c r="U259" s="16">
        <f t="shared" si="34"/>
        <v>0.88900000000000001</v>
      </c>
    </row>
    <row r="260" spans="1:21" x14ac:dyDescent="0.25">
      <c r="A260" s="15" t="s">
        <v>401</v>
      </c>
      <c r="B260" s="4">
        <v>20260702</v>
      </c>
      <c r="C260" s="4">
        <v>12</v>
      </c>
      <c r="D260" s="4" t="s">
        <v>31</v>
      </c>
      <c r="E260" s="4" t="s">
        <v>16</v>
      </c>
      <c r="F260" s="4" t="s">
        <v>143</v>
      </c>
      <c r="G260" s="4">
        <v>60</v>
      </c>
      <c r="H260" s="4">
        <v>3.6</v>
      </c>
      <c r="I260" s="4">
        <f t="shared" si="28"/>
        <v>56.4</v>
      </c>
      <c r="J260" s="4">
        <f>INDEX(Dim_Machine!$E$2:$E$8,MATCH(D260,Dim_Machine!$A$2:$A$8,0))*INDEX(Dim_Machine!$D$2:$D$8,MATCH(D260,Dim_Machine!$A$2:$A$8,0))*I260</f>
        <v>36547.199999999997</v>
      </c>
      <c r="K260" s="4">
        <f>ROUND(J260*0.824,0)</f>
        <v>30115</v>
      </c>
      <c r="L260" s="4">
        <f>ROUND(K260*0.0235,0)</f>
        <v>708</v>
      </c>
      <c r="M260" s="4">
        <f t="shared" si="29"/>
        <v>29407</v>
      </c>
      <c r="N260" s="4">
        <f t="shared" si="30"/>
        <v>0.82400293319324058</v>
      </c>
      <c r="O260" s="4">
        <f t="shared" si="31"/>
        <v>0.94</v>
      </c>
      <c r="P260" s="4">
        <f>IFERROR((K260/I260)/(INDEX(Dim_Machine!$E$2:$E$8,MATCH(D260,Dim_Machine!$A$2:$A$8,0))*INDEX(Dim_Machine!$D$2:$D$8,MATCH(D260,Dim_Machine!$A$2:$A$8,0))),0)</f>
        <v>0.82400293319324047</v>
      </c>
      <c r="Q260" s="4">
        <f t="shared" si="32"/>
        <v>0.9764901212020588</v>
      </c>
      <c r="R260" s="4">
        <f t="shared" si="33"/>
        <v>0.7563528806584362</v>
      </c>
      <c r="S260" s="4">
        <f>T260/0.909</f>
        <v>6.4701870187018704</v>
      </c>
      <c r="T260" s="4">
        <f>M260*INDEX(Dim_Product!$C$2:$C$4,MATCH(F260,Dim_Product!$A$2:$A$4,0))/1000000</f>
        <v>5.8814000000000002</v>
      </c>
      <c r="U260" s="16">
        <f t="shared" si="34"/>
        <v>0.90900000000000003</v>
      </c>
    </row>
    <row r="261" spans="1:21" x14ac:dyDescent="0.25">
      <c r="A261" s="15" t="s">
        <v>402</v>
      </c>
      <c r="B261" s="4">
        <v>20260702</v>
      </c>
      <c r="C261" s="4">
        <v>13</v>
      </c>
      <c r="D261" s="4" t="s">
        <v>15</v>
      </c>
      <c r="E261" s="4" t="s">
        <v>16</v>
      </c>
      <c r="F261" s="4" t="s">
        <v>143</v>
      </c>
      <c r="G261" s="4">
        <v>60</v>
      </c>
      <c r="H261" s="4">
        <v>7.3</v>
      </c>
      <c r="I261" s="4">
        <f t="shared" si="28"/>
        <v>52.7</v>
      </c>
      <c r="J261" s="4">
        <f>INDEX(Dim_Machine!$E$2:$E$8,MATCH(D261,Dim_Machine!$A$2:$A$8,0))*INDEX(Dim_Machine!$D$2:$D$8,MATCH(D261,Dim_Machine!$A$2:$A$8,0))*I261</f>
        <v>21080</v>
      </c>
      <c r="K261" s="4">
        <f>ROUND(J261*0.912,0)</f>
        <v>19225</v>
      </c>
      <c r="L261" s="4">
        <f>ROUND(K261*0.014,0)</f>
        <v>269</v>
      </c>
      <c r="M261" s="4">
        <f t="shared" si="29"/>
        <v>18956</v>
      </c>
      <c r="N261" s="4">
        <f t="shared" si="30"/>
        <v>0.91200189753320682</v>
      </c>
      <c r="O261" s="4">
        <f t="shared" si="31"/>
        <v>0.87833333333333341</v>
      </c>
      <c r="P261" s="4">
        <f>IFERROR((K261/I261)/(INDEX(Dim_Machine!$E$2:$E$8,MATCH(D261,Dim_Machine!$A$2:$A$8,0))*INDEX(Dim_Machine!$D$2:$D$8,MATCH(D261,Dim_Machine!$A$2:$A$8,0))),0)</f>
        <v>0.91200189753320671</v>
      </c>
      <c r="Q261" s="4">
        <f t="shared" si="32"/>
        <v>0.98600780234070218</v>
      </c>
      <c r="R261" s="4">
        <f t="shared" si="33"/>
        <v>0.78983333333333328</v>
      </c>
      <c r="S261" s="4">
        <f>T261/0.897</f>
        <v>4.2265328874024526</v>
      </c>
      <c r="T261" s="4">
        <f>M261*INDEX(Dim_Product!$C$2:$C$4,MATCH(F261,Dim_Product!$A$2:$A$4,0))/1000000</f>
        <v>3.7911999999999999</v>
      </c>
      <c r="U261" s="16">
        <f t="shared" si="34"/>
        <v>0.89700000000000002</v>
      </c>
    </row>
    <row r="262" spans="1:21" x14ac:dyDescent="0.25">
      <c r="A262" s="15" t="s">
        <v>403</v>
      </c>
      <c r="B262" s="4">
        <v>20260702</v>
      </c>
      <c r="C262" s="4">
        <v>13</v>
      </c>
      <c r="D262" s="4" t="s">
        <v>19</v>
      </c>
      <c r="E262" s="4" t="s">
        <v>16</v>
      </c>
      <c r="F262" s="4" t="s">
        <v>141</v>
      </c>
      <c r="G262" s="4">
        <v>60</v>
      </c>
      <c r="H262" s="4">
        <v>0.2</v>
      </c>
      <c r="I262" s="4">
        <f t="shared" si="28"/>
        <v>59.8</v>
      </c>
      <c r="J262" s="4">
        <f>INDEX(Dim_Machine!$E$2:$E$8,MATCH(D262,Dim_Machine!$A$2:$A$8,0))*INDEX(Dim_Machine!$D$2:$D$8,MATCH(D262,Dim_Machine!$A$2:$A$8,0))*I262</f>
        <v>40185.599999999999</v>
      </c>
      <c r="K262" s="4">
        <f>ROUND(J262*0.98,0)</f>
        <v>39382</v>
      </c>
      <c r="L262" s="4">
        <f>ROUND(K262*0.0304,0)</f>
        <v>1197</v>
      </c>
      <c r="M262" s="4">
        <f t="shared" si="29"/>
        <v>38185</v>
      </c>
      <c r="N262" s="4">
        <f t="shared" si="30"/>
        <v>0.98000278706800448</v>
      </c>
      <c r="O262" s="4">
        <f t="shared" si="31"/>
        <v>0.99666666666666659</v>
      </c>
      <c r="P262" s="4">
        <f>IFERROR((K262/I262)/(INDEX(Dim_Machine!$E$2:$E$8,MATCH(D262,Dim_Machine!$A$2:$A$8,0))*INDEX(Dim_Machine!$D$2:$D$8,MATCH(D262,Dim_Machine!$A$2:$A$8,0))),0)</f>
        <v>0.98000278706800448</v>
      </c>
      <c r="Q262" s="4">
        <f t="shared" si="32"/>
        <v>0.96960540348382507</v>
      </c>
      <c r="R262" s="4">
        <f t="shared" si="33"/>
        <v>0.94704861111111105</v>
      </c>
      <c r="S262" s="4">
        <f>T262/0.864</f>
        <v>11.048900462962964</v>
      </c>
      <c r="T262" s="4">
        <f>M262*INDEX(Dim_Product!$C$2:$C$4,MATCH(F262,Dim_Product!$A$2:$A$4,0))/1000000</f>
        <v>9.5462500000000006</v>
      </c>
      <c r="U262" s="16">
        <f t="shared" si="34"/>
        <v>0.86399999999999999</v>
      </c>
    </row>
    <row r="263" spans="1:21" x14ac:dyDescent="0.25">
      <c r="A263" s="15" t="s">
        <v>404</v>
      </c>
      <c r="B263" s="4">
        <v>20260702</v>
      </c>
      <c r="C263" s="4">
        <v>13</v>
      </c>
      <c r="D263" s="4" t="s">
        <v>23</v>
      </c>
      <c r="E263" s="4" t="s">
        <v>16</v>
      </c>
      <c r="F263" s="4" t="s">
        <v>141</v>
      </c>
      <c r="G263" s="4">
        <v>60</v>
      </c>
      <c r="H263" s="4">
        <v>0.9</v>
      </c>
      <c r="I263" s="4">
        <f t="shared" si="28"/>
        <v>59.1</v>
      </c>
      <c r="J263" s="4">
        <f>INDEX(Dim_Machine!$E$2:$E$8,MATCH(D263,Dim_Machine!$A$2:$A$8,0))*INDEX(Dim_Machine!$D$2:$D$8,MATCH(D263,Dim_Machine!$A$2:$A$8,0))*I263</f>
        <v>15602.4</v>
      </c>
      <c r="K263" s="4">
        <f>ROUND(J263*0.922,0)</f>
        <v>14385</v>
      </c>
      <c r="L263" s="4">
        <f>ROUND(K263*0.0183,0)</f>
        <v>263</v>
      </c>
      <c r="M263" s="4">
        <f t="shared" si="29"/>
        <v>14122</v>
      </c>
      <c r="N263" s="4">
        <f t="shared" si="30"/>
        <v>0.92197354253191821</v>
      </c>
      <c r="O263" s="4">
        <f t="shared" si="31"/>
        <v>0.98499999999999999</v>
      </c>
      <c r="P263" s="4">
        <f>IFERROR((K263/I263)/(INDEX(Dim_Machine!$E$2:$E$8,MATCH(D263,Dim_Machine!$A$2:$A$8,0))*INDEX(Dim_Machine!$D$2:$D$8,MATCH(D263,Dim_Machine!$A$2:$A$8,0))),0)</f>
        <v>0.9219735425319181</v>
      </c>
      <c r="Q263" s="4">
        <f t="shared" si="32"/>
        <v>0.98171706638859924</v>
      </c>
      <c r="R263" s="4">
        <f t="shared" si="33"/>
        <v>0.89154040404040402</v>
      </c>
      <c r="S263" s="4">
        <f>T263/0.935</f>
        <v>3.7759358288770053</v>
      </c>
      <c r="T263" s="4">
        <f>M263*INDEX(Dim_Product!$C$2:$C$4,MATCH(F263,Dim_Product!$A$2:$A$4,0))/1000000</f>
        <v>3.5305</v>
      </c>
      <c r="U263" s="16">
        <f t="shared" si="34"/>
        <v>0.93500000000000005</v>
      </c>
    </row>
    <row r="264" spans="1:21" x14ac:dyDescent="0.25">
      <c r="A264" s="15" t="s">
        <v>405</v>
      </c>
      <c r="B264" s="4">
        <v>20260702</v>
      </c>
      <c r="C264" s="4">
        <v>13</v>
      </c>
      <c r="D264" s="4" t="s">
        <v>25</v>
      </c>
      <c r="E264" s="4" t="s">
        <v>16</v>
      </c>
      <c r="F264" s="4" t="s">
        <v>141</v>
      </c>
      <c r="G264" s="4">
        <v>60</v>
      </c>
      <c r="H264" s="4">
        <v>2.6</v>
      </c>
      <c r="I264" s="4">
        <f t="shared" si="28"/>
        <v>57.4</v>
      </c>
      <c r="J264" s="4">
        <f>INDEX(Dim_Machine!$E$2:$E$8,MATCH(D264,Dim_Machine!$A$2:$A$8,0))*INDEX(Dim_Machine!$D$2:$D$8,MATCH(D264,Dim_Machine!$A$2:$A$8,0))*I264</f>
        <v>41328</v>
      </c>
      <c r="K264" s="4">
        <f>ROUND(J264*0.81,0)</f>
        <v>33476</v>
      </c>
      <c r="L264" s="4">
        <f>ROUND(K264*0.0088,0)</f>
        <v>295</v>
      </c>
      <c r="M264" s="4">
        <f t="shared" si="29"/>
        <v>33181</v>
      </c>
      <c r="N264" s="4">
        <f t="shared" si="30"/>
        <v>0.81000774293457223</v>
      </c>
      <c r="O264" s="4">
        <f t="shared" si="31"/>
        <v>0.95666666666666667</v>
      </c>
      <c r="P264" s="4">
        <f>IFERROR((K264/I264)/(INDEX(Dim_Machine!$E$2:$E$8,MATCH(D264,Dim_Machine!$A$2:$A$8,0))*INDEX(Dim_Machine!$D$2:$D$8,MATCH(D264,Dim_Machine!$A$2:$A$8,0))),0)</f>
        <v>0.81000774293457212</v>
      </c>
      <c r="Q264" s="4">
        <f t="shared" si="32"/>
        <v>0.99118771657306726</v>
      </c>
      <c r="R264" s="4">
        <f t="shared" si="33"/>
        <v>0.76807870370370368</v>
      </c>
      <c r="S264" s="4">
        <f>T264/0.894</f>
        <v>9.2788031319910509</v>
      </c>
      <c r="T264" s="4">
        <f>M264*INDEX(Dim_Product!$C$2:$C$4,MATCH(F264,Dim_Product!$A$2:$A$4,0))/1000000</f>
        <v>8.2952499999999993</v>
      </c>
      <c r="U264" s="16">
        <f t="shared" si="34"/>
        <v>0.89400000000000002</v>
      </c>
    </row>
    <row r="265" spans="1:21" x14ac:dyDescent="0.25">
      <c r="A265" s="15" t="s">
        <v>406</v>
      </c>
      <c r="B265" s="4">
        <v>20260702</v>
      </c>
      <c r="C265" s="4">
        <v>13</v>
      </c>
      <c r="D265" s="4" t="s">
        <v>27</v>
      </c>
      <c r="E265" s="4" t="s">
        <v>16</v>
      </c>
      <c r="F265" s="4" t="s">
        <v>143</v>
      </c>
      <c r="G265" s="4">
        <v>60</v>
      </c>
      <c r="H265" s="4">
        <v>4.7</v>
      </c>
      <c r="I265" s="4">
        <f t="shared" si="28"/>
        <v>55.3</v>
      </c>
      <c r="J265" s="4">
        <f>INDEX(Dim_Machine!$E$2:$E$8,MATCH(D265,Dim_Machine!$A$2:$A$8,0))*INDEX(Dim_Machine!$D$2:$D$8,MATCH(D265,Dim_Machine!$A$2:$A$8,0))*I265</f>
        <v>23004.799999999999</v>
      </c>
      <c r="K265" s="4">
        <f>ROUND(J265*0.922,0)</f>
        <v>21210</v>
      </c>
      <c r="L265" s="4">
        <f>ROUND(K265*0.0164,0)</f>
        <v>348</v>
      </c>
      <c r="M265" s="4">
        <f t="shared" si="29"/>
        <v>20862</v>
      </c>
      <c r="N265" s="4">
        <f t="shared" si="30"/>
        <v>0.92198149951314512</v>
      </c>
      <c r="O265" s="4">
        <f t="shared" si="31"/>
        <v>0.92166666666666663</v>
      </c>
      <c r="P265" s="4">
        <f>IFERROR((K265/I265)/(INDEX(Dim_Machine!$E$2:$E$8,MATCH(D265,Dim_Machine!$A$2:$A$8,0))*INDEX(Dim_Machine!$D$2:$D$8,MATCH(D265,Dim_Machine!$A$2:$A$8,0))),0)</f>
        <v>0.92198149951314512</v>
      </c>
      <c r="Q265" s="4">
        <f t="shared" si="32"/>
        <v>0.98359264497878363</v>
      </c>
      <c r="R265" s="4">
        <f t="shared" si="33"/>
        <v>0.83581730769230778</v>
      </c>
      <c r="S265" s="4">
        <f>T265/0.89</f>
        <v>4.6880898876404489</v>
      </c>
      <c r="T265" s="4">
        <f>M265*INDEX(Dim_Product!$C$2:$C$4,MATCH(F265,Dim_Product!$A$2:$A$4,0))/1000000</f>
        <v>4.1723999999999997</v>
      </c>
      <c r="U265" s="16">
        <f t="shared" si="34"/>
        <v>0.89</v>
      </c>
    </row>
    <row r="266" spans="1:21" x14ac:dyDescent="0.25">
      <c r="A266" s="15" t="s">
        <v>407</v>
      </c>
      <c r="B266" s="4">
        <v>20260702</v>
      </c>
      <c r="C266" s="4">
        <v>13</v>
      </c>
      <c r="D266" s="4" t="s">
        <v>29</v>
      </c>
      <c r="E266" s="4" t="s">
        <v>16</v>
      </c>
      <c r="F266" s="4" t="s">
        <v>143</v>
      </c>
      <c r="G266" s="4">
        <v>60</v>
      </c>
      <c r="H266" s="4">
        <v>2.4</v>
      </c>
      <c r="I266" s="4">
        <f t="shared" si="28"/>
        <v>57.6</v>
      </c>
      <c r="J266" s="4">
        <f>INDEX(Dim_Machine!$E$2:$E$8,MATCH(D266,Dim_Machine!$A$2:$A$8,0))*INDEX(Dim_Machine!$D$2:$D$8,MATCH(D266,Dim_Machine!$A$2:$A$8,0))*I266</f>
        <v>16588.8</v>
      </c>
      <c r="K266" s="4">
        <f>ROUND(J266*0.881,0)</f>
        <v>14615</v>
      </c>
      <c r="L266" s="4">
        <f>ROUND(K266*0.0179,0)</f>
        <v>262</v>
      </c>
      <c r="M266" s="4">
        <f t="shared" si="29"/>
        <v>14353</v>
      </c>
      <c r="N266" s="4">
        <f t="shared" si="30"/>
        <v>0.88101610725308643</v>
      </c>
      <c r="O266" s="4">
        <f t="shared" si="31"/>
        <v>0.96000000000000008</v>
      </c>
      <c r="P266" s="4">
        <f>IFERROR((K266/I266)/(INDEX(Dim_Machine!$E$2:$E$8,MATCH(D266,Dim_Machine!$A$2:$A$8,0))*INDEX(Dim_Machine!$D$2:$D$8,MATCH(D266,Dim_Machine!$A$2:$A$8,0))),0)</f>
        <v>0.88101610725308643</v>
      </c>
      <c r="Q266" s="4">
        <f t="shared" si="32"/>
        <v>0.98207321245295931</v>
      </c>
      <c r="R266" s="4">
        <f t="shared" si="33"/>
        <v>0.83061342592592602</v>
      </c>
      <c r="S266" s="4">
        <f>T266/0.919</f>
        <v>3.1236126224156693</v>
      </c>
      <c r="T266" s="4">
        <f>M266*INDEX(Dim_Product!$C$2:$C$4,MATCH(F266,Dim_Product!$A$2:$A$4,0))/1000000</f>
        <v>2.8706</v>
      </c>
      <c r="U266" s="16">
        <f t="shared" si="34"/>
        <v>0.91900000000000004</v>
      </c>
    </row>
    <row r="267" spans="1:21" x14ac:dyDescent="0.25">
      <c r="A267" s="15" t="s">
        <v>408</v>
      </c>
      <c r="B267" s="4">
        <v>20260702</v>
      </c>
      <c r="C267" s="4">
        <v>13</v>
      </c>
      <c r="D267" s="4" t="s">
        <v>31</v>
      </c>
      <c r="E267" s="4" t="s">
        <v>16</v>
      </c>
      <c r="F267" s="4" t="s">
        <v>143</v>
      </c>
      <c r="G267" s="4">
        <v>60</v>
      </c>
      <c r="H267" s="4">
        <v>0.9</v>
      </c>
      <c r="I267" s="4">
        <f t="shared" si="28"/>
        <v>59.1</v>
      </c>
      <c r="J267" s="4">
        <f>INDEX(Dim_Machine!$E$2:$E$8,MATCH(D267,Dim_Machine!$A$2:$A$8,0))*INDEX(Dim_Machine!$D$2:$D$8,MATCH(D267,Dim_Machine!$A$2:$A$8,0))*I267</f>
        <v>38296.800000000003</v>
      </c>
      <c r="K267" s="4">
        <f>ROUND(J267*0.911,0)</f>
        <v>34888</v>
      </c>
      <c r="L267" s="4">
        <f>ROUND(K267*0.0313,0)</f>
        <v>1092</v>
      </c>
      <c r="M267" s="4">
        <f t="shared" si="29"/>
        <v>33796</v>
      </c>
      <c r="N267" s="4">
        <f t="shared" si="30"/>
        <v>0.91098995216310497</v>
      </c>
      <c r="O267" s="4">
        <f t="shared" si="31"/>
        <v>0.98499999999999999</v>
      </c>
      <c r="P267" s="4">
        <f>IFERROR((K267/I267)/(INDEX(Dim_Machine!$E$2:$E$8,MATCH(D267,Dim_Machine!$A$2:$A$8,0))*INDEX(Dim_Machine!$D$2:$D$8,MATCH(D267,Dim_Machine!$A$2:$A$8,0))),0)</f>
        <v>0.91098995216310497</v>
      </c>
      <c r="Q267" s="4">
        <f t="shared" si="32"/>
        <v>0.9686998394863563</v>
      </c>
      <c r="R267" s="4">
        <f t="shared" si="33"/>
        <v>0.86923868312757191</v>
      </c>
      <c r="S267" s="4">
        <f>T267/0.883</f>
        <v>7.6548131370328427</v>
      </c>
      <c r="T267" s="4">
        <f>M267*INDEX(Dim_Product!$C$2:$C$4,MATCH(F267,Dim_Product!$A$2:$A$4,0))/1000000</f>
        <v>6.7591999999999999</v>
      </c>
      <c r="U267" s="16">
        <f t="shared" si="34"/>
        <v>0.88300000000000001</v>
      </c>
    </row>
    <row r="268" spans="1:21" x14ac:dyDescent="0.25">
      <c r="A268" s="15" t="s">
        <v>409</v>
      </c>
      <c r="B268" s="4">
        <v>20260702</v>
      </c>
      <c r="C268" s="4">
        <v>14</v>
      </c>
      <c r="D268" s="4" t="s">
        <v>15</v>
      </c>
      <c r="E268" s="4" t="s">
        <v>16</v>
      </c>
      <c r="F268" s="4" t="s">
        <v>143</v>
      </c>
      <c r="G268" s="4">
        <v>60</v>
      </c>
      <c r="H268" s="4">
        <v>6.9</v>
      </c>
      <c r="I268" s="4">
        <f t="shared" si="28"/>
        <v>53.1</v>
      </c>
      <c r="J268" s="4">
        <f>INDEX(Dim_Machine!$E$2:$E$8,MATCH(D268,Dim_Machine!$A$2:$A$8,0))*INDEX(Dim_Machine!$D$2:$D$8,MATCH(D268,Dim_Machine!$A$2:$A$8,0))*I268</f>
        <v>21240</v>
      </c>
      <c r="K268" s="4">
        <f>ROUND(J268*0.866,0)</f>
        <v>18394</v>
      </c>
      <c r="L268" s="4">
        <f>ROUND(K268*0.0316,0)</f>
        <v>581</v>
      </c>
      <c r="M268" s="4">
        <f t="shared" si="29"/>
        <v>17813</v>
      </c>
      <c r="N268" s="4">
        <f t="shared" si="30"/>
        <v>0.86600753295668553</v>
      </c>
      <c r="O268" s="4">
        <f t="shared" si="31"/>
        <v>0.88500000000000001</v>
      </c>
      <c r="P268" s="4">
        <f>IFERROR((K268/I268)/(INDEX(Dim_Machine!$E$2:$E$8,MATCH(D268,Dim_Machine!$A$2:$A$8,0))*INDEX(Dim_Machine!$D$2:$D$8,MATCH(D268,Dim_Machine!$A$2:$A$8,0))),0)</f>
        <v>0.86600753295668553</v>
      </c>
      <c r="Q268" s="4">
        <f t="shared" si="32"/>
        <v>0.96841361313471785</v>
      </c>
      <c r="R268" s="4">
        <f t="shared" si="33"/>
        <v>0.74220833333333347</v>
      </c>
      <c r="S268" s="4">
        <f>T268/0.862</f>
        <v>4.1329466357308586</v>
      </c>
      <c r="T268" s="4">
        <f>M268*INDEX(Dim_Product!$C$2:$C$4,MATCH(F268,Dim_Product!$A$2:$A$4,0))/1000000</f>
        <v>3.5626000000000002</v>
      </c>
      <c r="U268" s="16">
        <f t="shared" si="34"/>
        <v>0.86199999999999999</v>
      </c>
    </row>
    <row r="269" spans="1:21" x14ac:dyDescent="0.25">
      <c r="A269" s="15" t="s">
        <v>410</v>
      </c>
      <c r="B269" s="4">
        <v>20260702</v>
      </c>
      <c r="C269" s="4">
        <v>14</v>
      </c>
      <c r="D269" s="4" t="s">
        <v>19</v>
      </c>
      <c r="E269" s="4" t="s">
        <v>16</v>
      </c>
      <c r="F269" s="4" t="s">
        <v>141</v>
      </c>
      <c r="G269" s="4">
        <v>60</v>
      </c>
      <c r="H269" s="4">
        <v>6.6</v>
      </c>
      <c r="I269" s="4">
        <f t="shared" si="28"/>
        <v>53.4</v>
      </c>
      <c r="J269" s="4">
        <f>INDEX(Dim_Machine!$E$2:$E$8,MATCH(D269,Dim_Machine!$A$2:$A$8,0))*INDEX(Dim_Machine!$D$2:$D$8,MATCH(D269,Dim_Machine!$A$2:$A$8,0))*I269</f>
        <v>35884.799999999996</v>
      </c>
      <c r="K269" s="4">
        <f>ROUND(J269*0.86,0)</f>
        <v>30861</v>
      </c>
      <c r="L269" s="4">
        <f>ROUND(K269*0.0269,0)</f>
        <v>830</v>
      </c>
      <c r="M269" s="4">
        <f t="shared" si="29"/>
        <v>30031</v>
      </c>
      <c r="N269" s="4">
        <f t="shared" si="30"/>
        <v>0.86000200642054581</v>
      </c>
      <c r="O269" s="4">
        <f t="shared" si="31"/>
        <v>0.89</v>
      </c>
      <c r="P269" s="4">
        <f>IFERROR((K269/I269)/(INDEX(Dim_Machine!$E$2:$E$8,MATCH(D269,Dim_Machine!$A$2:$A$8,0))*INDEX(Dim_Machine!$D$2:$D$8,MATCH(D269,Dim_Machine!$A$2:$A$8,0))),0)</f>
        <v>0.86000200642054581</v>
      </c>
      <c r="Q269" s="4">
        <f t="shared" si="32"/>
        <v>0.97310521370013936</v>
      </c>
      <c r="R269" s="4">
        <f t="shared" si="33"/>
        <v>0.7448164682539683</v>
      </c>
      <c r="S269" s="4">
        <f>T269/0.847</f>
        <v>8.8639315230224316</v>
      </c>
      <c r="T269" s="4">
        <f>M269*INDEX(Dim_Product!$C$2:$C$4,MATCH(F269,Dim_Product!$A$2:$A$4,0))/1000000</f>
        <v>7.5077499999999997</v>
      </c>
      <c r="U269" s="16">
        <f t="shared" si="34"/>
        <v>0.84699999999999998</v>
      </c>
    </row>
    <row r="270" spans="1:21" x14ac:dyDescent="0.25">
      <c r="A270" s="15" t="s">
        <v>411</v>
      </c>
      <c r="B270" s="4">
        <v>20260702</v>
      </c>
      <c r="C270" s="4">
        <v>14</v>
      </c>
      <c r="D270" s="4" t="s">
        <v>23</v>
      </c>
      <c r="E270" s="4" t="s">
        <v>16</v>
      </c>
      <c r="F270" s="4" t="s">
        <v>141</v>
      </c>
      <c r="G270" s="4">
        <v>60</v>
      </c>
      <c r="H270" s="4">
        <v>2.5</v>
      </c>
      <c r="I270" s="4">
        <f t="shared" si="28"/>
        <v>57.5</v>
      </c>
      <c r="J270" s="4">
        <f>INDEX(Dim_Machine!$E$2:$E$8,MATCH(D270,Dim_Machine!$A$2:$A$8,0))*INDEX(Dim_Machine!$D$2:$D$8,MATCH(D270,Dim_Machine!$A$2:$A$8,0))*I270</f>
        <v>15180</v>
      </c>
      <c r="K270" s="4">
        <f>ROUND(J270*0.831,0)</f>
        <v>12615</v>
      </c>
      <c r="L270" s="4">
        <f>ROUND(K270*0.0336,0)</f>
        <v>424</v>
      </c>
      <c r="M270" s="4">
        <f t="shared" si="29"/>
        <v>12191</v>
      </c>
      <c r="N270" s="4">
        <f t="shared" si="30"/>
        <v>0.8310276679841897</v>
      </c>
      <c r="O270" s="4">
        <f t="shared" si="31"/>
        <v>0.95833333333333337</v>
      </c>
      <c r="P270" s="4">
        <f>IFERROR((K270/I270)/(INDEX(Dim_Machine!$E$2:$E$8,MATCH(D270,Dim_Machine!$A$2:$A$8,0))*INDEX(Dim_Machine!$D$2:$D$8,MATCH(D270,Dim_Machine!$A$2:$A$8,0))),0)</f>
        <v>0.8310276679841897</v>
      </c>
      <c r="Q270" s="4">
        <f t="shared" si="32"/>
        <v>0.96638921918351173</v>
      </c>
      <c r="R270" s="4">
        <f t="shared" si="33"/>
        <v>0.76963383838383836</v>
      </c>
      <c r="S270" s="4">
        <f>T270/0.903</f>
        <v>3.3751384274640088</v>
      </c>
      <c r="T270" s="4">
        <f>M270*INDEX(Dim_Product!$C$2:$C$4,MATCH(F270,Dim_Product!$A$2:$A$4,0))/1000000</f>
        <v>3.0477500000000002</v>
      </c>
      <c r="U270" s="16">
        <f t="shared" si="34"/>
        <v>0.90300000000000002</v>
      </c>
    </row>
    <row r="271" spans="1:21" x14ac:dyDescent="0.25">
      <c r="A271" s="15" t="s">
        <v>412</v>
      </c>
      <c r="B271" s="4">
        <v>20260702</v>
      </c>
      <c r="C271" s="4">
        <v>14</v>
      </c>
      <c r="D271" s="4" t="s">
        <v>25</v>
      </c>
      <c r="E271" s="4" t="s">
        <v>16</v>
      </c>
      <c r="F271" s="4" t="s">
        <v>141</v>
      </c>
      <c r="G271" s="4">
        <v>60</v>
      </c>
      <c r="H271" s="4">
        <v>3.8</v>
      </c>
      <c r="I271" s="4">
        <f t="shared" si="28"/>
        <v>56.2</v>
      </c>
      <c r="J271" s="4">
        <f>INDEX(Dim_Machine!$E$2:$E$8,MATCH(D271,Dim_Machine!$A$2:$A$8,0))*INDEX(Dim_Machine!$D$2:$D$8,MATCH(D271,Dim_Machine!$A$2:$A$8,0))*I271</f>
        <v>40464</v>
      </c>
      <c r="K271" s="4">
        <f>ROUND(J271*0.798,0)</f>
        <v>32290</v>
      </c>
      <c r="L271" s="4">
        <f>ROUND(K271*0.0076,0)</f>
        <v>245</v>
      </c>
      <c r="M271" s="4">
        <f t="shared" si="29"/>
        <v>32045</v>
      </c>
      <c r="N271" s="4">
        <f t="shared" si="30"/>
        <v>0.79799327797548436</v>
      </c>
      <c r="O271" s="4">
        <f t="shared" si="31"/>
        <v>0.93666666666666676</v>
      </c>
      <c r="P271" s="4">
        <f>IFERROR((K271/I271)/(INDEX(Dim_Machine!$E$2:$E$8,MATCH(D271,Dim_Machine!$A$2:$A$8,0))*INDEX(Dim_Machine!$D$2:$D$8,MATCH(D271,Dim_Machine!$A$2:$A$8,0))),0)</f>
        <v>0.79799327797548436</v>
      </c>
      <c r="Q271" s="4">
        <f t="shared" si="32"/>
        <v>0.99241251161350263</v>
      </c>
      <c r="R271" s="4">
        <f t="shared" si="33"/>
        <v>0.74178240740740753</v>
      </c>
      <c r="S271" s="4">
        <f>T271/0.865</f>
        <v>9.2615606936416199</v>
      </c>
      <c r="T271" s="4">
        <f>M271*INDEX(Dim_Product!$C$2:$C$4,MATCH(F271,Dim_Product!$A$2:$A$4,0))/1000000</f>
        <v>8.0112500000000004</v>
      </c>
      <c r="U271" s="16">
        <f t="shared" si="34"/>
        <v>0.86499999999999988</v>
      </c>
    </row>
    <row r="272" spans="1:21" x14ac:dyDescent="0.25">
      <c r="A272" s="15" t="s">
        <v>413</v>
      </c>
      <c r="B272" s="4">
        <v>20260702</v>
      </c>
      <c r="C272" s="4">
        <v>14</v>
      </c>
      <c r="D272" s="4" t="s">
        <v>27</v>
      </c>
      <c r="E272" s="4" t="s">
        <v>16</v>
      </c>
      <c r="F272" s="4" t="s">
        <v>143</v>
      </c>
      <c r="G272" s="4">
        <v>60</v>
      </c>
      <c r="H272" s="4">
        <v>6</v>
      </c>
      <c r="I272" s="4">
        <f t="shared" si="28"/>
        <v>54</v>
      </c>
      <c r="J272" s="4">
        <f>INDEX(Dim_Machine!$E$2:$E$8,MATCH(D272,Dim_Machine!$A$2:$A$8,0))*INDEX(Dim_Machine!$D$2:$D$8,MATCH(D272,Dim_Machine!$A$2:$A$8,0))*I272</f>
        <v>22464</v>
      </c>
      <c r="K272" s="4">
        <f>ROUND(J272*0.855,0)</f>
        <v>19207</v>
      </c>
      <c r="L272" s="4">
        <f>ROUND(K272*0.0089,0)</f>
        <v>171</v>
      </c>
      <c r="M272" s="4">
        <f t="shared" si="29"/>
        <v>19036</v>
      </c>
      <c r="N272" s="4">
        <f t="shared" si="30"/>
        <v>0.85501246438746437</v>
      </c>
      <c r="O272" s="4">
        <f t="shared" si="31"/>
        <v>0.9</v>
      </c>
      <c r="P272" s="4">
        <f>IFERROR((K272/I272)/(INDEX(Dim_Machine!$E$2:$E$8,MATCH(D272,Dim_Machine!$A$2:$A$8,0))*INDEX(Dim_Machine!$D$2:$D$8,MATCH(D272,Dim_Machine!$A$2:$A$8,0))),0)</f>
        <v>0.85501246438746437</v>
      </c>
      <c r="Q272" s="4">
        <f t="shared" si="32"/>
        <v>0.99109699588691624</v>
      </c>
      <c r="R272" s="4">
        <f t="shared" si="33"/>
        <v>0.76266025641025637</v>
      </c>
      <c r="S272" s="4">
        <f>T272/0.809</f>
        <v>4.7060568603213841</v>
      </c>
      <c r="T272" s="4">
        <f>M272*INDEX(Dim_Product!$C$2:$C$4,MATCH(F272,Dim_Product!$A$2:$A$4,0))/1000000</f>
        <v>3.8071999999999999</v>
      </c>
      <c r="U272" s="16">
        <f t="shared" si="34"/>
        <v>0.80900000000000005</v>
      </c>
    </row>
    <row r="273" spans="1:21" x14ac:dyDescent="0.25">
      <c r="A273" s="15" t="s">
        <v>414</v>
      </c>
      <c r="B273" s="4">
        <v>20260702</v>
      </c>
      <c r="C273" s="4">
        <v>14</v>
      </c>
      <c r="D273" s="4" t="s">
        <v>29</v>
      </c>
      <c r="E273" s="4" t="s">
        <v>16</v>
      </c>
      <c r="F273" s="4" t="s">
        <v>143</v>
      </c>
      <c r="G273" s="4">
        <v>60</v>
      </c>
      <c r="H273" s="4">
        <v>7.7</v>
      </c>
      <c r="I273" s="4">
        <f t="shared" si="28"/>
        <v>52.3</v>
      </c>
      <c r="J273" s="4">
        <f>INDEX(Dim_Machine!$E$2:$E$8,MATCH(D273,Dim_Machine!$A$2:$A$8,0))*INDEX(Dim_Machine!$D$2:$D$8,MATCH(D273,Dim_Machine!$A$2:$A$8,0))*I273</f>
        <v>15062.4</v>
      </c>
      <c r="K273" s="4">
        <f>ROUND(J273*0.892,0)</f>
        <v>13436</v>
      </c>
      <c r="L273" s="4">
        <f>ROUND(K273*0.0251,0)</f>
        <v>337</v>
      </c>
      <c r="M273" s="4">
        <f t="shared" si="29"/>
        <v>13099</v>
      </c>
      <c r="N273" s="4">
        <f t="shared" si="30"/>
        <v>0.89202251965158275</v>
      </c>
      <c r="O273" s="4">
        <f t="shared" si="31"/>
        <v>0.87166666666666659</v>
      </c>
      <c r="P273" s="4">
        <f>IFERROR((K273/I273)/(INDEX(Dim_Machine!$E$2:$E$8,MATCH(D273,Dim_Machine!$A$2:$A$8,0))*INDEX(Dim_Machine!$D$2:$D$8,MATCH(D273,Dim_Machine!$A$2:$A$8,0))),0)</f>
        <v>0.89202251965158275</v>
      </c>
      <c r="Q273" s="4">
        <f t="shared" si="32"/>
        <v>0.97491813039595121</v>
      </c>
      <c r="R273" s="4">
        <f t="shared" si="33"/>
        <v>0.75804398148148144</v>
      </c>
      <c r="S273" s="4">
        <f>T273/0.862</f>
        <v>3.0392111368909513</v>
      </c>
      <c r="T273" s="4">
        <f>M273*INDEX(Dim_Product!$C$2:$C$4,MATCH(F273,Dim_Product!$A$2:$A$4,0))/1000000</f>
        <v>2.6198000000000001</v>
      </c>
      <c r="U273" s="16">
        <f t="shared" si="34"/>
        <v>0.86199999999999999</v>
      </c>
    </row>
    <row r="274" spans="1:21" x14ac:dyDescent="0.25">
      <c r="A274" s="15" t="s">
        <v>415</v>
      </c>
      <c r="B274" s="4">
        <v>20260702</v>
      </c>
      <c r="C274" s="4">
        <v>14</v>
      </c>
      <c r="D274" s="4" t="s">
        <v>31</v>
      </c>
      <c r="E274" s="4" t="s">
        <v>16</v>
      </c>
      <c r="F274" s="4" t="s">
        <v>143</v>
      </c>
      <c r="G274" s="4">
        <v>60</v>
      </c>
      <c r="H274" s="4">
        <v>7</v>
      </c>
      <c r="I274" s="4">
        <f t="shared" si="28"/>
        <v>53</v>
      </c>
      <c r="J274" s="4">
        <f>INDEX(Dim_Machine!$E$2:$E$8,MATCH(D274,Dim_Machine!$A$2:$A$8,0))*INDEX(Dim_Machine!$D$2:$D$8,MATCH(D274,Dim_Machine!$A$2:$A$8,0))*I274</f>
        <v>34344</v>
      </c>
      <c r="K274" s="4">
        <f>ROUND(J274*0.968,0)</f>
        <v>33245</v>
      </c>
      <c r="L274" s="4">
        <f>ROUND(K274*0.0177,0)</f>
        <v>588</v>
      </c>
      <c r="M274" s="4">
        <f t="shared" si="29"/>
        <v>32657</v>
      </c>
      <c r="N274" s="4">
        <f t="shared" si="30"/>
        <v>0.96800023293733983</v>
      </c>
      <c r="O274" s="4">
        <f t="shared" si="31"/>
        <v>0.8833333333333333</v>
      </c>
      <c r="P274" s="4">
        <f>IFERROR((K274/I274)/(INDEX(Dim_Machine!$E$2:$E$8,MATCH(D274,Dim_Machine!$A$2:$A$8,0))*INDEX(Dim_Machine!$D$2:$D$8,MATCH(D274,Dim_Machine!$A$2:$A$8,0))),0)</f>
        <v>0.96800023293733983</v>
      </c>
      <c r="Q274" s="4">
        <f t="shared" si="32"/>
        <v>0.98231312979395402</v>
      </c>
      <c r="R274" s="4">
        <f t="shared" si="33"/>
        <v>0.83994341563786012</v>
      </c>
      <c r="S274" s="4">
        <f>T274/0.937</f>
        <v>6.9705442902881529</v>
      </c>
      <c r="T274" s="4">
        <f>M274*INDEX(Dim_Product!$C$2:$C$4,MATCH(F274,Dim_Product!$A$2:$A$4,0))/1000000</f>
        <v>6.5313999999999997</v>
      </c>
      <c r="U274" s="16">
        <f t="shared" si="34"/>
        <v>0.93700000000000006</v>
      </c>
    </row>
    <row r="275" spans="1:21" x14ac:dyDescent="0.25">
      <c r="A275" s="15" t="s">
        <v>416</v>
      </c>
      <c r="B275" s="4">
        <v>20260702</v>
      </c>
      <c r="C275" s="4">
        <v>15</v>
      </c>
      <c r="D275" s="4" t="s">
        <v>15</v>
      </c>
      <c r="E275" s="4" t="s">
        <v>16</v>
      </c>
      <c r="F275" s="4" t="s">
        <v>143</v>
      </c>
      <c r="G275" s="4">
        <v>60</v>
      </c>
      <c r="H275" s="4">
        <v>0.4</v>
      </c>
      <c r="I275" s="4">
        <f t="shared" si="28"/>
        <v>59.6</v>
      </c>
      <c r="J275" s="4">
        <f>INDEX(Dim_Machine!$E$2:$E$8,MATCH(D275,Dim_Machine!$A$2:$A$8,0))*INDEX(Dim_Machine!$D$2:$D$8,MATCH(D275,Dim_Machine!$A$2:$A$8,0))*I275</f>
        <v>23840</v>
      </c>
      <c r="K275" s="4">
        <f>ROUND(J275*0.838,0)</f>
        <v>19978</v>
      </c>
      <c r="L275" s="4">
        <f>ROUND(K275*0.0144,0)</f>
        <v>288</v>
      </c>
      <c r="M275" s="4">
        <f t="shared" si="29"/>
        <v>19690</v>
      </c>
      <c r="N275" s="4">
        <f t="shared" si="30"/>
        <v>0.83800335570469797</v>
      </c>
      <c r="O275" s="4">
        <f t="shared" si="31"/>
        <v>0.9933333333333334</v>
      </c>
      <c r="P275" s="4">
        <f>IFERROR((K275/I275)/(INDEX(Dim_Machine!$E$2:$E$8,MATCH(D275,Dim_Machine!$A$2:$A$8,0))*INDEX(Dim_Machine!$D$2:$D$8,MATCH(D275,Dim_Machine!$A$2:$A$8,0))),0)</f>
        <v>0.83800335570469797</v>
      </c>
      <c r="Q275" s="4">
        <f t="shared" si="32"/>
        <v>0.98558414255681248</v>
      </c>
      <c r="R275" s="4">
        <f t="shared" si="33"/>
        <v>0.82041666666666668</v>
      </c>
      <c r="S275" s="4">
        <f>T275/0.816</f>
        <v>4.8259803921568629</v>
      </c>
      <c r="T275" s="4">
        <f>M275*INDEX(Dim_Product!$C$2:$C$4,MATCH(F275,Dim_Product!$A$2:$A$4,0))/1000000</f>
        <v>3.9380000000000002</v>
      </c>
      <c r="U275" s="16">
        <f t="shared" si="34"/>
        <v>0.81600000000000006</v>
      </c>
    </row>
    <row r="276" spans="1:21" x14ac:dyDescent="0.25">
      <c r="A276" s="15" t="s">
        <v>417</v>
      </c>
      <c r="B276" s="4">
        <v>20260702</v>
      </c>
      <c r="C276" s="4">
        <v>15</v>
      </c>
      <c r="D276" s="4" t="s">
        <v>19</v>
      </c>
      <c r="E276" s="4" t="s">
        <v>16</v>
      </c>
      <c r="F276" s="4" t="s">
        <v>141</v>
      </c>
      <c r="G276" s="4">
        <v>60</v>
      </c>
      <c r="H276" s="4">
        <v>4.0999999999999996</v>
      </c>
      <c r="I276" s="4">
        <f t="shared" si="28"/>
        <v>55.9</v>
      </c>
      <c r="J276" s="4">
        <f>INDEX(Dim_Machine!$E$2:$E$8,MATCH(D276,Dim_Machine!$A$2:$A$8,0))*INDEX(Dim_Machine!$D$2:$D$8,MATCH(D276,Dim_Machine!$A$2:$A$8,0))*I276</f>
        <v>37564.799999999996</v>
      </c>
      <c r="K276" s="4">
        <f>ROUND(J276*0.811,0)</f>
        <v>30465</v>
      </c>
      <c r="L276" s="4">
        <f>ROUND(K276*0.0195,0)</f>
        <v>594</v>
      </c>
      <c r="M276" s="4">
        <f t="shared" si="29"/>
        <v>29871</v>
      </c>
      <c r="N276" s="4">
        <f t="shared" si="30"/>
        <v>0.81099859442882705</v>
      </c>
      <c r="O276" s="4">
        <f t="shared" si="31"/>
        <v>0.93166666666666664</v>
      </c>
      <c r="P276" s="4">
        <f>IFERROR((K276/I276)/(INDEX(Dim_Machine!$E$2:$E$8,MATCH(D276,Dim_Machine!$A$2:$A$8,0))*INDEX(Dim_Machine!$D$2:$D$8,MATCH(D276,Dim_Machine!$A$2:$A$8,0))),0)</f>
        <v>0.81099859442882694</v>
      </c>
      <c r="Q276" s="4">
        <f t="shared" si="32"/>
        <v>0.98050221565731166</v>
      </c>
      <c r="R276" s="4">
        <f t="shared" si="33"/>
        <v>0.74084821428571423</v>
      </c>
      <c r="S276" s="4">
        <f>T276/0.927</f>
        <v>8.0558252427184467</v>
      </c>
      <c r="T276" s="4">
        <f>M276*INDEX(Dim_Product!$C$2:$C$4,MATCH(F276,Dim_Product!$A$2:$A$4,0))/1000000</f>
        <v>7.4677499999999997</v>
      </c>
      <c r="U276" s="16">
        <f t="shared" si="34"/>
        <v>0.92699999999999994</v>
      </c>
    </row>
    <row r="277" spans="1:21" x14ac:dyDescent="0.25">
      <c r="A277" s="15" t="s">
        <v>418</v>
      </c>
      <c r="B277" s="4">
        <v>20260702</v>
      </c>
      <c r="C277" s="4">
        <v>15</v>
      </c>
      <c r="D277" s="4" t="s">
        <v>23</v>
      </c>
      <c r="E277" s="4" t="s">
        <v>16</v>
      </c>
      <c r="F277" s="4" t="s">
        <v>141</v>
      </c>
      <c r="G277" s="4">
        <v>60</v>
      </c>
      <c r="H277" s="4">
        <v>2.8</v>
      </c>
      <c r="I277" s="4">
        <f t="shared" si="28"/>
        <v>57.2</v>
      </c>
      <c r="J277" s="4">
        <f>INDEX(Dim_Machine!$E$2:$E$8,MATCH(D277,Dim_Machine!$A$2:$A$8,0))*INDEX(Dim_Machine!$D$2:$D$8,MATCH(D277,Dim_Machine!$A$2:$A$8,0))*I277</f>
        <v>15100.800000000001</v>
      </c>
      <c r="K277" s="4">
        <f>ROUND(J277*0.891,0)</f>
        <v>13455</v>
      </c>
      <c r="L277" s="4">
        <f>ROUND(K277*0.0084,0)</f>
        <v>113</v>
      </c>
      <c r="M277" s="4">
        <f t="shared" si="29"/>
        <v>13342</v>
      </c>
      <c r="N277" s="4">
        <f t="shared" si="30"/>
        <v>0.89101239669421484</v>
      </c>
      <c r="O277" s="4">
        <f t="shared" si="31"/>
        <v>0.95333333333333337</v>
      </c>
      <c r="P277" s="4">
        <f>IFERROR((K277/I277)/(INDEX(Dim_Machine!$E$2:$E$8,MATCH(D277,Dim_Machine!$A$2:$A$8,0))*INDEX(Dim_Machine!$D$2:$D$8,MATCH(D277,Dim_Machine!$A$2:$A$8,0))),0)</f>
        <v>0.89101239669421484</v>
      </c>
      <c r="Q277" s="4">
        <f t="shared" si="32"/>
        <v>0.99160163507989596</v>
      </c>
      <c r="R277" s="4">
        <f t="shared" si="33"/>
        <v>0.84229797979797971</v>
      </c>
      <c r="S277" s="4">
        <f>T277/0.842</f>
        <v>3.9614014251781478</v>
      </c>
      <c r="T277" s="4">
        <f>M277*INDEX(Dim_Product!$C$2:$C$4,MATCH(F277,Dim_Product!$A$2:$A$4,0))/1000000</f>
        <v>3.3355000000000001</v>
      </c>
      <c r="U277" s="16">
        <f t="shared" si="34"/>
        <v>0.84199999999999997</v>
      </c>
    </row>
    <row r="278" spans="1:21" x14ac:dyDescent="0.25">
      <c r="A278" s="15" t="s">
        <v>419</v>
      </c>
      <c r="B278" s="4">
        <v>20260702</v>
      </c>
      <c r="C278" s="4">
        <v>15</v>
      </c>
      <c r="D278" s="4" t="s">
        <v>25</v>
      </c>
      <c r="E278" s="4" t="s">
        <v>16</v>
      </c>
      <c r="F278" s="4" t="s">
        <v>141</v>
      </c>
      <c r="G278" s="4">
        <v>60</v>
      </c>
      <c r="H278" s="4">
        <v>1.8</v>
      </c>
      <c r="I278" s="4">
        <f t="shared" si="28"/>
        <v>58.2</v>
      </c>
      <c r="J278" s="4">
        <f>INDEX(Dim_Machine!$E$2:$E$8,MATCH(D278,Dim_Machine!$A$2:$A$8,0))*INDEX(Dim_Machine!$D$2:$D$8,MATCH(D278,Dim_Machine!$A$2:$A$8,0))*I278</f>
        <v>41904</v>
      </c>
      <c r="K278" s="4">
        <f>ROUND(J278*0.866,0)</f>
        <v>36289</v>
      </c>
      <c r="L278" s="4">
        <f>ROUND(K278*0.0218,0)</f>
        <v>791</v>
      </c>
      <c r="M278" s="4">
        <f t="shared" si="29"/>
        <v>35498</v>
      </c>
      <c r="N278" s="4">
        <f t="shared" si="30"/>
        <v>0.86600324551355479</v>
      </c>
      <c r="O278" s="4">
        <f t="shared" si="31"/>
        <v>0.97000000000000008</v>
      </c>
      <c r="P278" s="4">
        <f>IFERROR((K278/I278)/(INDEX(Dim_Machine!$E$2:$E$8,MATCH(D278,Dim_Machine!$A$2:$A$8,0))*INDEX(Dim_Machine!$D$2:$D$8,MATCH(D278,Dim_Machine!$A$2:$A$8,0))),0)</f>
        <v>0.86600324551355468</v>
      </c>
      <c r="Q278" s="4">
        <f t="shared" si="32"/>
        <v>0.97820276116729588</v>
      </c>
      <c r="R278" s="4">
        <f t="shared" si="33"/>
        <v>0.82171296296296292</v>
      </c>
      <c r="S278" s="4">
        <f>T278/0.915</f>
        <v>9.6989071038251353</v>
      </c>
      <c r="T278" s="4">
        <f>M278*INDEX(Dim_Product!$C$2:$C$4,MATCH(F278,Dim_Product!$A$2:$A$4,0))/1000000</f>
        <v>8.8744999999999994</v>
      </c>
      <c r="U278" s="16">
        <f t="shared" si="34"/>
        <v>0.91500000000000004</v>
      </c>
    </row>
    <row r="279" spans="1:21" x14ac:dyDescent="0.25">
      <c r="A279" s="15" t="s">
        <v>420</v>
      </c>
      <c r="B279" s="4">
        <v>20260702</v>
      </c>
      <c r="C279" s="4">
        <v>15</v>
      </c>
      <c r="D279" s="4" t="s">
        <v>27</v>
      </c>
      <c r="E279" s="4" t="s">
        <v>16</v>
      </c>
      <c r="F279" s="4" t="s">
        <v>143</v>
      </c>
      <c r="G279" s="4">
        <v>60</v>
      </c>
      <c r="H279" s="4">
        <v>5</v>
      </c>
      <c r="I279" s="4">
        <f t="shared" si="28"/>
        <v>55</v>
      </c>
      <c r="J279" s="4">
        <f>INDEX(Dim_Machine!$E$2:$E$8,MATCH(D279,Dim_Machine!$A$2:$A$8,0))*INDEX(Dim_Machine!$D$2:$D$8,MATCH(D279,Dim_Machine!$A$2:$A$8,0))*I279</f>
        <v>22880</v>
      </c>
      <c r="K279" s="4">
        <f>ROUND(J279*0.915,0)</f>
        <v>20935</v>
      </c>
      <c r="L279" s="4">
        <f>ROUND(K279*0.0217,0)</f>
        <v>454</v>
      </c>
      <c r="M279" s="4">
        <f t="shared" si="29"/>
        <v>20481</v>
      </c>
      <c r="N279" s="4">
        <f t="shared" si="30"/>
        <v>0.91499125874125875</v>
      </c>
      <c r="O279" s="4">
        <f t="shared" si="31"/>
        <v>0.91666666666666663</v>
      </c>
      <c r="P279" s="4">
        <f>IFERROR((K279/I279)/(INDEX(Dim_Machine!$E$2:$E$8,MATCH(D279,Dim_Machine!$A$2:$A$8,0))*INDEX(Dim_Machine!$D$2:$D$8,MATCH(D279,Dim_Machine!$A$2:$A$8,0))),0)</f>
        <v>0.91499125874125875</v>
      </c>
      <c r="Q279" s="4">
        <f t="shared" si="32"/>
        <v>0.97831382851683779</v>
      </c>
      <c r="R279" s="4">
        <f t="shared" si="33"/>
        <v>0.82055288461538456</v>
      </c>
      <c r="S279" s="4">
        <f>T279/0.891</f>
        <v>4.5973063973063972</v>
      </c>
      <c r="T279" s="4">
        <f>M279*INDEX(Dim_Product!$C$2:$C$4,MATCH(F279,Dim_Product!$A$2:$A$4,0))/1000000</f>
        <v>4.0961999999999996</v>
      </c>
      <c r="U279" s="16">
        <f t="shared" si="34"/>
        <v>0.8909999999999999</v>
      </c>
    </row>
    <row r="280" spans="1:21" x14ac:dyDescent="0.25">
      <c r="A280" s="15" t="s">
        <v>421</v>
      </c>
      <c r="B280" s="4">
        <v>20260702</v>
      </c>
      <c r="C280" s="4">
        <v>15</v>
      </c>
      <c r="D280" s="4" t="s">
        <v>29</v>
      </c>
      <c r="E280" s="4" t="s">
        <v>16</v>
      </c>
      <c r="F280" s="4" t="s">
        <v>143</v>
      </c>
      <c r="G280" s="4">
        <v>60</v>
      </c>
      <c r="H280" s="4">
        <v>5.3</v>
      </c>
      <c r="I280" s="4">
        <f t="shared" si="28"/>
        <v>54.7</v>
      </c>
      <c r="J280" s="4">
        <f>INDEX(Dim_Machine!$E$2:$E$8,MATCH(D280,Dim_Machine!$A$2:$A$8,0))*INDEX(Dim_Machine!$D$2:$D$8,MATCH(D280,Dim_Machine!$A$2:$A$8,0))*I280</f>
        <v>15753.6</v>
      </c>
      <c r="K280" s="4">
        <f>ROUND(J280*0.919,0)</f>
        <v>14478</v>
      </c>
      <c r="L280" s="4">
        <f>ROUND(K280*0.0059,0)</f>
        <v>85</v>
      </c>
      <c r="M280" s="4">
        <f t="shared" si="29"/>
        <v>14393</v>
      </c>
      <c r="N280" s="4">
        <f t="shared" si="30"/>
        <v>0.91902803168799507</v>
      </c>
      <c r="O280" s="4">
        <f t="shared" si="31"/>
        <v>0.91166666666666674</v>
      </c>
      <c r="P280" s="4">
        <f>IFERROR((K280/I280)/(INDEX(Dim_Machine!$E$2:$E$8,MATCH(D280,Dim_Machine!$A$2:$A$8,0))*INDEX(Dim_Machine!$D$2:$D$8,MATCH(D280,Dim_Machine!$A$2:$A$8,0))),0)</f>
        <v>0.91902803168799507</v>
      </c>
      <c r="Q280" s="4">
        <f t="shared" si="32"/>
        <v>0.99412902334576603</v>
      </c>
      <c r="R280" s="4">
        <f t="shared" si="33"/>
        <v>0.83292824074074079</v>
      </c>
      <c r="S280" s="4">
        <f>T280/0.841</f>
        <v>3.422829964328181</v>
      </c>
      <c r="T280" s="4">
        <f>M280*INDEX(Dim_Product!$C$2:$C$4,MATCH(F280,Dim_Product!$A$2:$A$4,0))/1000000</f>
        <v>2.8786</v>
      </c>
      <c r="U280" s="16">
        <f t="shared" si="34"/>
        <v>0.84099999999999997</v>
      </c>
    </row>
    <row r="281" spans="1:21" x14ac:dyDescent="0.25">
      <c r="A281" s="15" t="s">
        <v>422</v>
      </c>
      <c r="B281" s="4">
        <v>20260702</v>
      </c>
      <c r="C281" s="4">
        <v>15</v>
      </c>
      <c r="D281" s="4" t="s">
        <v>31</v>
      </c>
      <c r="E281" s="4" t="s">
        <v>16</v>
      </c>
      <c r="F281" s="4" t="s">
        <v>143</v>
      </c>
      <c r="G281" s="4">
        <v>60</v>
      </c>
      <c r="H281" s="4">
        <v>6.1</v>
      </c>
      <c r="I281" s="4">
        <f t="shared" si="28"/>
        <v>53.9</v>
      </c>
      <c r="J281" s="4">
        <f>INDEX(Dim_Machine!$E$2:$E$8,MATCH(D281,Dim_Machine!$A$2:$A$8,0))*INDEX(Dim_Machine!$D$2:$D$8,MATCH(D281,Dim_Machine!$A$2:$A$8,0))*I281</f>
        <v>34927.199999999997</v>
      </c>
      <c r="K281" s="4">
        <f>ROUND(J281*0.964,0)</f>
        <v>33670</v>
      </c>
      <c r="L281" s="4">
        <f>ROUND(K281*0.0155,0)</f>
        <v>522</v>
      </c>
      <c r="M281" s="4">
        <f t="shared" si="29"/>
        <v>33148</v>
      </c>
      <c r="N281" s="4">
        <f t="shared" si="30"/>
        <v>0.96400513067179738</v>
      </c>
      <c r="O281" s="4">
        <f t="shared" si="31"/>
        <v>0.89833333333333332</v>
      </c>
      <c r="P281" s="4">
        <f>IFERROR((K281/I281)/(INDEX(Dim_Machine!$E$2:$E$8,MATCH(D281,Dim_Machine!$A$2:$A$8,0))*INDEX(Dim_Machine!$D$2:$D$8,MATCH(D281,Dim_Machine!$A$2:$A$8,0))),0)</f>
        <v>0.96400513067179727</v>
      </c>
      <c r="Q281" s="4">
        <f t="shared" si="32"/>
        <v>0.9844965844965845</v>
      </c>
      <c r="R281" s="4">
        <f t="shared" si="33"/>
        <v>0.8525720164609053</v>
      </c>
      <c r="S281" s="4">
        <f>T281/0.827</f>
        <v>8.0164449818621524</v>
      </c>
      <c r="T281" s="4">
        <f>M281*INDEX(Dim_Product!$C$2:$C$4,MATCH(F281,Dim_Product!$A$2:$A$4,0))/1000000</f>
        <v>6.6295999999999999</v>
      </c>
      <c r="U281" s="16">
        <f t="shared" si="34"/>
        <v>0.82699999999999996</v>
      </c>
    </row>
    <row r="282" spans="1:21" x14ac:dyDescent="0.25">
      <c r="A282" s="15" t="s">
        <v>423</v>
      </c>
      <c r="B282" s="4">
        <v>20260702</v>
      </c>
      <c r="C282" s="4">
        <v>16</v>
      </c>
      <c r="D282" s="4" t="s">
        <v>15</v>
      </c>
      <c r="E282" s="4" t="s">
        <v>16</v>
      </c>
      <c r="F282" s="4" t="s">
        <v>143</v>
      </c>
      <c r="G282" s="4">
        <v>60</v>
      </c>
      <c r="H282" s="4">
        <v>1.1000000000000001</v>
      </c>
      <c r="I282" s="4">
        <f t="shared" si="28"/>
        <v>58.9</v>
      </c>
      <c r="J282" s="4">
        <f>INDEX(Dim_Machine!$E$2:$E$8,MATCH(D282,Dim_Machine!$A$2:$A$8,0))*INDEX(Dim_Machine!$D$2:$D$8,MATCH(D282,Dim_Machine!$A$2:$A$8,0))*I282</f>
        <v>23560</v>
      </c>
      <c r="K282" s="4">
        <f>ROUND(J282*0.911,0)</f>
        <v>21463</v>
      </c>
      <c r="L282" s="4">
        <f>ROUND(K282*0.0071,0)</f>
        <v>152</v>
      </c>
      <c r="M282" s="4">
        <f t="shared" si="29"/>
        <v>21311</v>
      </c>
      <c r="N282" s="4">
        <f t="shared" si="30"/>
        <v>0.91099320882852297</v>
      </c>
      <c r="O282" s="4">
        <f t="shared" si="31"/>
        <v>0.98166666666666669</v>
      </c>
      <c r="P282" s="4">
        <f>IFERROR((K282/I282)/(INDEX(Dim_Machine!$E$2:$E$8,MATCH(D282,Dim_Machine!$A$2:$A$8,0))*INDEX(Dim_Machine!$D$2:$D$8,MATCH(D282,Dim_Machine!$A$2:$A$8,0))),0)</f>
        <v>0.91099320882852297</v>
      </c>
      <c r="Q282" s="4">
        <f t="shared" si="32"/>
        <v>0.99291804500768766</v>
      </c>
      <c r="R282" s="4">
        <f t="shared" si="33"/>
        <v>0.8879583333333334</v>
      </c>
      <c r="S282" s="4">
        <f>T282/0.911</f>
        <v>4.6785949506037321</v>
      </c>
      <c r="T282" s="4">
        <f>M282*INDEX(Dim_Product!$C$2:$C$4,MATCH(F282,Dim_Product!$A$2:$A$4,0))/1000000</f>
        <v>4.2622</v>
      </c>
      <c r="U282" s="16">
        <f t="shared" si="34"/>
        <v>0.91100000000000003</v>
      </c>
    </row>
    <row r="283" spans="1:21" x14ac:dyDescent="0.25">
      <c r="A283" s="15" t="s">
        <v>424</v>
      </c>
      <c r="B283" s="4">
        <v>20260702</v>
      </c>
      <c r="C283" s="4">
        <v>16</v>
      </c>
      <c r="D283" s="4" t="s">
        <v>19</v>
      </c>
      <c r="E283" s="4" t="s">
        <v>16</v>
      </c>
      <c r="F283" s="4" t="s">
        <v>141</v>
      </c>
      <c r="G283" s="4">
        <v>60</v>
      </c>
      <c r="H283" s="4">
        <v>7.8</v>
      </c>
      <c r="I283" s="4">
        <f t="shared" si="28"/>
        <v>52.2</v>
      </c>
      <c r="J283" s="4">
        <f>INDEX(Dim_Machine!$E$2:$E$8,MATCH(D283,Dim_Machine!$A$2:$A$8,0))*INDEX(Dim_Machine!$D$2:$D$8,MATCH(D283,Dim_Machine!$A$2:$A$8,0))*I283</f>
        <v>35078.400000000001</v>
      </c>
      <c r="K283" s="4">
        <f>ROUND(J283*0.798,0)</f>
        <v>27993</v>
      </c>
      <c r="L283" s="4">
        <f>ROUND(K283*0.0209,0)</f>
        <v>585</v>
      </c>
      <c r="M283" s="4">
        <f t="shared" si="29"/>
        <v>27408</v>
      </c>
      <c r="N283" s="4">
        <f t="shared" si="30"/>
        <v>0.79801245210727967</v>
      </c>
      <c r="O283" s="4">
        <f t="shared" si="31"/>
        <v>0.87</v>
      </c>
      <c r="P283" s="4">
        <f>IFERROR((K283/I283)/(INDEX(Dim_Machine!$E$2:$E$8,MATCH(D283,Dim_Machine!$A$2:$A$8,0))*INDEX(Dim_Machine!$D$2:$D$8,MATCH(D283,Dim_Machine!$A$2:$A$8,0))),0)</f>
        <v>0.79801245210727978</v>
      </c>
      <c r="Q283" s="4">
        <f t="shared" si="32"/>
        <v>0.979101918336727</v>
      </c>
      <c r="R283" s="4">
        <f t="shared" si="33"/>
        <v>0.67976190476190479</v>
      </c>
      <c r="S283" s="4">
        <f>T283/0.856</f>
        <v>8.0046728971962615</v>
      </c>
      <c r="T283" s="4">
        <f>M283*INDEX(Dim_Product!$C$2:$C$4,MATCH(F283,Dim_Product!$A$2:$A$4,0))/1000000</f>
        <v>6.8520000000000003</v>
      </c>
      <c r="U283" s="16">
        <f t="shared" si="34"/>
        <v>0.85600000000000009</v>
      </c>
    </row>
    <row r="284" spans="1:21" x14ac:dyDescent="0.25">
      <c r="A284" s="15" t="s">
        <v>425</v>
      </c>
      <c r="B284" s="4">
        <v>20260702</v>
      </c>
      <c r="C284" s="4">
        <v>16</v>
      </c>
      <c r="D284" s="4" t="s">
        <v>23</v>
      </c>
      <c r="E284" s="4" t="s">
        <v>16</v>
      </c>
      <c r="F284" s="4" t="s">
        <v>141</v>
      </c>
      <c r="G284" s="4">
        <v>60</v>
      </c>
      <c r="H284" s="4">
        <v>3.6</v>
      </c>
      <c r="I284" s="4">
        <f t="shared" si="28"/>
        <v>56.4</v>
      </c>
      <c r="J284" s="4">
        <f>INDEX(Dim_Machine!$E$2:$E$8,MATCH(D284,Dim_Machine!$A$2:$A$8,0))*INDEX(Dim_Machine!$D$2:$D$8,MATCH(D284,Dim_Machine!$A$2:$A$8,0))*I284</f>
        <v>14889.6</v>
      </c>
      <c r="K284" s="4">
        <f>ROUND(J284*0.811,0)</f>
        <v>12075</v>
      </c>
      <c r="L284" s="4">
        <f>ROUND(K284*0.0143,0)</f>
        <v>173</v>
      </c>
      <c r="M284" s="4">
        <f t="shared" si="29"/>
        <v>11902</v>
      </c>
      <c r="N284" s="4">
        <f t="shared" si="30"/>
        <v>0.81096872985170854</v>
      </c>
      <c r="O284" s="4">
        <f t="shared" si="31"/>
        <v>0.94</v>
      </c>
      <c r="P284" s="4">
        <f>IFERROR((K284/I284)/(INDEX(Dim_Machine!$E$2:$E$8,MATCH(D284,Dim_Machine!$A$2:$A$8,0))*INDEX(Dim_Machine!$D$2:$D$8,MATCH(D284,Dim_Machine!$A$2:$A$8,0))),0)</f>
        <v>0.81096872985170854</v>
      </c>
      <c r="Q284" s="4">
        <f t="shared" si="32"/>
        <v>0.98567287784679092</v>
      </c>
      <c r="R284" s="4">
        <f t="shared" si="33"/>
        <v>0.75138888888888877</v>
      </c>
      <c r="S284" s="4">
        <f>T284/0.849</f>
        <v>3.5047114252061249</v>
      </c>
      <c r="T284" s="4">
        <f>M284*INDEX(Dim_Product!$C$2:$C$4,MATCH(F284,Dim_Product!$A$2:$A$4,0))/1000000</f>
        <v>2.9754999999999998</v>
      </c>
      <c r="U284" s="16">
        <f t="shared" si="34"/>
        <v>0.84899999999999998</v>
      </c>
    </row>
    <row r="285" spans="1:21" x14ac:dyDescent="0.25">
      <c r="A285" s="15" t="s">
        <v>426</v>
      </c>
      <c r="B285" s="4">
        <v>20260702</v>
      </c>
      <c r="C285" s="4">
        <v>16</v>
      </c>
      <c r="D285" s="4" t="s">
        <v>25</v>
      </c>
      <c r="E285" s="4" t="s">
        <v>16</v>
      </c>
      <c r="F285" s="4" t="s">
        <v>141</v>
      </c>
      <c r="G285" s="4">
        <v>60</v>
      </c>
      <c r="H285" s="4">
        <v>7.5</v>
      </c>
      <c r="I285" s="4">
        <f t="shared" si="28"/>
        <v>52.5</v>
      </c>
      <c r="J285" s="4">
        <f>INDEX(Dim_Machine!$E$2:$E$8,MATCH(D285,Dim_Machine!$A$2:$A$8,0))*INDEX(Dim_Machine!$D$2:$D$8,MATCH(D285,Dim_Machine!$A$2:$A$8,0))*I285</f>
        <v>37800</v>
      </c>
      <c r="K285" s="4">
        <f>ROUND(J285*0.899,0)</f>
        <v>33982</v>
      </c>
      <c r="L285" s="4">
        <f>ROUND(K285*0.0315,0)</f>
        <v>1070</v>
      </c>
      <c r="M285" s="4">
        <f t="shared" si="29"/>
        <v>32912</v>
      </c>
      <c r="N285" s="4">
        <f t="shared" si="30"/>
        <v>0.89899470899470901</v>
      </c>
      <c r="O285" s="4">
        <f t="shared" si="31"/>
        <v>0.875</v>
      </c>
      <c r="P285" s="4">
        <f>IFERROR((K285/I285)/(INDEX(Dim_Machine!$E$2:$E$8,MATCH(D285,Dim_Machine!$A$2:$A$8,0))*INDEX(Dim_Machine!$D$2:$D$8,MATCH(D285,Dim_Machine!$A$2:$A$8,0))),0)</f>
        <v>0.8989947089947089</v>
      </c>
      <c r="Q285" s="4">
        <f t="shared" si="32"/>
        <v>0.96851274203990345</v>
      </c>
      <c r="R285" s="4">
        <f t="shared" si="33"/>
        <v>0.76185185185185167</v>
      </c>
      <c r="S285" s="4">
        <f>T285/0.823</f>
        <v>9.9975698663426495</v>
      </c>
      <c r="T285" s="4">
        <f>M285*INDEX(Dim_Product!$C$2:$C$4,MATCH(F285,Dim_Product!$A$2:$A$4,0))/1000000</f>
        <v>8.2279999999999998</v>
      </c>
      <c r="U285" s="16">
        <f t="shared" si="34"/>
        <v>0.82299999999999995</v>
      </c>
    </row>
    <row r="286" spans="1:21" x14ac:dyDescent="0.25">
      <c r="A286" s="15" t="s">
        <v>427</v>
      </c>
      <c r="B286" s="4">
        <v>20260702</v>
      </c>
      <c r="C286" s="4">
        <v>16</v>
      </c>
      <c r="D286" s="4" t="s">
        <v>27</v>
      </c>
      <c r="E286" s="4" t="s">
        <v>16</v>
      </c>
      <c r="F286" s="4" t="s">
        <v>143</v>
      </c>
      <c r="G286" s="4">
        <v>60</v>
      </c>
      <c r="H286" s="4">
        <v>6</v>
      </c>
      <c r="I286" s="4">
        <f t="shared" si="28"/>
        <v>54</v>
      </c>
      <c r="J286" s="4">
        <f>INDEX(Dim_Machine!$E$2:$E$8,MATCH(D286,Dim_Machine!$A$2:$A$8,0))*INDEX(Dim_Machine!$D$2:$D$8,MATCH(D286,Dim_Machine!$A$2:$A$8,0))*I286</f>
        <v>22464</v>
      </c>
      <c r="K286" s="4">
        <f>ROUND(J286*0.79,0)</f>
        <v>17747</v>
      </c>
      <c r="L286" s="4">
        <f>ROUND(K286*0.0074,0)</f>
        <v>131</v>
      </c>
      <c r="M286" s="4">
        <f t="shared" si="29"/>
        <v>17616</v>
      </c>
      <c r="N286" s="4">
        <f t="shared" si="30"/>
        <v>0.79001958689458684</v>
      </c>
      <c r="O286" s="4">
        <f t="shared" si="31"/>
        <v>0.9</v>
      </c>
      <c r="P286" s="4">
        <f>IFERROR((K286/I286)/(INDEX(Dim_Machine!$E$2:$E$8,MATCH(D286,Dim_Machine!$A$2:$A$8,0))*INDEX(Dim_Machine!$D$2:$D$8,MATCH(D286,Dim_Machine!$A$2:$A$8,0))),0)</f>
        <v>0.79001958689458696</v>
      </c>
      <c r="Q286" s="4">
        <f t="shared" si="32"/>
        <v>0.99261847072744691</v>
      </c>
      <c r="R286" s="4">
        <f t="shared" si="33"/>
        <v>0.70576923076923082</v>
      </c>
      <c r="S286" s="4">
        <f>T286/0.866</f>
        <v>4.068360277136259</v>
      </c>
      <c r="T286" s="4">
        <f>M286*INDEX(Dim_Product!$C$2:$C$4,MATCH(F286,Dim_Product!$A$2:$A$4,0))/1000000</f>
        <v>3.5232000000000001</v>
      </c>
      <c r="U286" s="16">
        <f t="shared" si="34"/>
        <v>0.86599999999999999</v>
      </c>
    </row>
    <row r="287" spans="1:21" x14ac:dyDescent="0.25">
      <c r="A287" s="15" t="s">
        <v>428</v>
      </c>
      <c r="B287" s="4">
        <v>20260702</v>
      </c>
      <c r="C287" s="4">
        <v>16</v>
      </c>
      <c r="D287" s="4" t="s">
        <v>29</v>
      </c>
      <c r="E287" s="4" t="s">
        <v>16</v>
      </c>
      <c r="F287" s="4" t="s">
        <v>143</v>
      </c>
      <c r="G287" s="4">
        <v>60</v>
      </c>
      <c r="H287" s="4">
        <v>3.4</v>
      </c>
      <c r="I287" s="4">
        <f t="shared" si="28"/>
        <v>56.6</v>
      </c>
      <c r="J287" s="4">
        <f>INDEX(Dim_Machine!$E$2:$E$8,MATCH(D287,Dim_Machine!$A$2:$A$8,0))*INDEX(Dim_Machine!$D$2:$D$8,MATCH(D287,Dim_Machine!$A$2:$A$8,0))*I287</f>
        <v>16300.800000000001</v>
      </c>
      <c r="K287" s="4">
        <f>ROUND(J287*0.901,0)</f>
        <v>14687</v>
      </c>
      <c r="L287" s="4">
        <f>ROUND(K287*0.0174,0)</f>
        <v>256</v>
      </c>
      <c r="M287" s="4">
        <f t="shared" si="29"/>
        <v>14431</v>
      </c>
      <c r="N287" s="4">
        <f t="shared" si="30"/>
        <v>0.9009987239890066</v>
      </c>
      <c r="O287" s="4">
        <f t="shared" si="31"/>
        <v>0.94333333333333336</v>
      </c>
      <c r="P287" s="4">
        <f>IFERROR((K287/I287)/(INDEX(Dim_Machine!$E$2:$E$8,MATCH(D287,Dim_Machine!$A$2:$A$8,0))*INDEX(Dim_Machine!$D$2:$D$8,MATCH(D287,Dim_Machine!$A$2:$A$8,0))),0)</f>
        <v>0.90099872398900671</v>
      </c>
      <c r="Q287" s="4">
        <f t="shared" si="32"/>
        <v>0.98256961939129839</v>
      </c>
      <c r="R287" s="4">
        <f t="shared" si="33"/>
        <v>0.83512731481481484</v>
      </c>
      <c r="S287" s="4">
        <f>T287/0.832</f>
        <v>3.4689903846153851</v>
      </c>
      <c r="T287" s="4">
        <f>M287*INDEX(Dim_Product!$C$2:$C$4,MATCH(F287,Dim_Product!$A$2:$A$4,0))/1000000</f>
        <v>2.8862000000000001</v>
      </c>
      <c r="U287" s="16">
        <f t="shared" si="34"/>
        <v>0.83199999999999996</v>
      </c>
    </row>
    <row r="288" spans="1:21" x14ac:dyDescent="0.25">
      <c r="A288" s="15" t="s">
        <v>429</v>
      </c>
      <c r="B288" s="4">
        <v>20260702</v>
      </c>
      <c r="C288" s="4">
        <v>16</v>
      </c>
      <c r="D288" s="4" t="s">
        <v>31</v>
      </c>
      <c r="E288" s="4" t="s">
        <v>16</v>
      </c>
      <c r="F288" s="4" t="s">
        <v>143</v>
      </c>
      <c r="G288" s="4">
        <v>60</v>
      </c>
      <c r="H288" s="4">
        <v>4.0999999999999996</v>
      </c>
      <c r="I288" s="4">
        <f t="shared" si="28"/>
        <v>55.9</v>
      </c>
      <c r="J288" s="4">
        <f>INDEX(Dim_Machine!$E$2:$E$8,MATCH(D288,Dim_Machine!$A$2:$A$8,0))*INDEX(Dim_Machine!$D$2:$D$8,MATCH(D288,Dim_Machine!$A$2:$A$8,0))*I288</f>
        <v>36223.199999999997</v>
      </c>
      <c r="K288" s="4">
        <f>ROUND(J288*0.849,0)</f>
        <v>30753</v>
      </c>
      <c r="L288" s="4">
        <f>ROUND(K288*0.0083,0)</f>
        <v>255</v>
      </c>
      <c r="M288" s="4">
        <f t="shared" si="29"/>
        <v>30498</v>
      </c>
      <c r="N288" s="4">
        <f t="shared" si="30"/>
        <v>0.84898628503279672</v>
      </c>
      <c r="O288" s="4">
        <f t="shared" si="31"/>
        <v>0.93166666666666664</v>
      </c>
      <c r="P288" s="4">
        <f>IFERROR((K288/I288)/(INDEX(Dim_Machine!$E$2:$E$8,MATCH(D288,Dim_Machine!$A$2:$A$8,0))*INDEX(Dim_Machine!$D$2:$D$8,MATCH(D288,Dim_Machine!$A$2:$A$8,0))),0)</f>
        <v>0.84898628503279661</v>
      </c>
      <c r="Q288" s="4">
        <f t="shared" si="32"/>
        <v>0.99170812603648428</v>
      </c>
      <c r="R288" s="4">
        <f t="shared" si="33"/>
        <v>0.78441358024691354</v>
      </c>
      <c r="S288" s="4">
        <f>T288/0.902</f>
        <v>6.7623059866962301</v>
      </c>
      <c r="T288" s="4">
        <f>M288*INDEX(Dim_Product!$C$2:$C$4,MATCH(F288,Dim_Product!$A$2:$A$4,0))/1000000</f>
        <v>6.0995999999999997</v>
      </c>
      <c r="U288" s="16">
        <f t="shared" si="34"/>
        <v>0.90200000000000002</v>
      </c>
    </row>
    <row r="289" spans="1:21" x14ac:dyDescent="0.25">
      <c r="A289" s="15" t="s">
        <v>430</v>
      </c>
      <c r="B289" s="4">
        <v>20260702</v>
      </c>
      <c r="C289" s="4">
        <v>17</v>
      </c>
      <c r="D289" s="4" t="s">
        <v>15</v>
      </c>
      <c r="E289" s="4" t="s">
        <v>16</v>
      </c>
      <c r="F289" s="4" t="s">
        <v>143</v>
      </c>
      <c r="G289" s="4">
        <v>60</v>
      </c>
      <c r="H289" s="4">
        <v>4.7</v>
      </c>
      <c r="I289" s="4">
        <f t="shared" si="28"/>
        <v>55.3</v>
      </c>
      <c r="J289" s="4">
        <f>INDEX(Dim_Machine!$E$2:$E$8,MATCH(D289,Dim_Machine!$A$2:$A$8,0))*INDEX(Dim_Machine!$D$2:$D$8,MATCH(D289,Dim_Machine!$A$2:$A$8,0))*I289</f>
        <v>22120</v>
      </c>
      <c r="K289" s="4">
        <f>ROUND(J289*0.885,0)</f>
        <v>19576</v>
      </c>
      <c r="L289" s="4">
        <f>ROUND(K289*0.0143,0)</f>
        <v>280</v>
      </c>
      <c r="M289" s="4">
        <f t="shared" si="29"/>
        <v>19296</v>
      </c>
      <c r="N289" s="4">
        <f t="shared" si="30"/>
        <v>0.88499095840867992</v>
      </c>
      <c r="O289" s="4">
        <f t="shared" si="31"/>
        <v>0.92166666666666663</v>
      </c>
      <c r="P289" s="4">
        <f>IFERROR((K289/I289)/(INDEX(Dim_Machine!$E$2:$E$8,MATCH(D289,Dim_Machine!$A$2:$A$8,0))*INDEX(Dim_Machine!$D$2:$D$8,MATCH(D289,Dim_Machine!$A$2:$A$8,0))),0)</f>
        <v>0.88499095840867992</v>
      </c>
      <c r="Q289" s="4">
        <f t="shared" si="32"/>
        <v>0.98569677155700863</v>
      </c>
      <c r="R289" s="4">
        <f t="shared" si="33"/>
        <v>0.80400000000000005</v>
      </c>
      <c r="S289" s="4">
        <f>T289/0.833</f>
        <v>4.6328931572629051</v>
      </c>
      <c r="T289" s="4">
        <f>M289*INDEX(Dim_Product!$C$2:$C$4,MATCH(F289,Dim_Product!$A$2:$A$4,0))/1000000</f>
        <v>3.8592</v>
      </c>
      <c r="U289" s="16">
        <f t="shared" si="34"/>
        <v>0.83299999999999996</v>
      </c>
    </row>
    <row r="290" spans="1:21" x14ac:dyDescent="0.25">
      <c r="A290" s="15" t="s">
        <v>431</v>
      </c>
      <c r="B290" s="4">
        <v>20260702</v>
      </c>
      <c r="C290" s="4">
        <v>17</v>
      </c>
      <c r="D290" s="4" t="s">
        <v>19</v>
      </c>
      <c r="E290" s="4" t="s">
        <v>16</v>
      </c>
      <c r="F290" s="4" t="s">
        <v>141</v>
      </c>
      <c r="G290" s="4">
        <v>60</v>
      </c>
      <c r="H290" s="4">
        <v>7.9</v>
      </c>
      <c r="I290" s="4">
        <f t="shared" si="28"/>
        <v>52.1</v>
      </c>
      <c r="J290" s="4">
        <f>INDEX(Dim_Machine!$E$2:$E$8,MATCH(D290,Dim_Machine!$A$2:$A$8,0))*INDEX(Dim_Machine!$D$2:$D$8,MATCH(D290,Dim_Machine!$A$2:$A$8,0))*I290</f>
        <v>35011.200000000004</v>
      </c>
      <c r="K290" s="4">
        <f>ROUND(J290*0.791,0)</f>
        <v>27694</v>
      </c>
      <c r="L290" s="4">
        <f>ROUND(K290*0.0111,0)</f>
        <v>307</v>
      </c>
      <c r="M290" s="4">
        <f t="shared" si="29"/>
        <v>27387</v>
      </c>
      <c r="N290" s="4">
        <f t="shared" si="30"/>
        <v>0.7910040215702403</v>
      </c>
      <c r="O290" s="4">
        <f t="shared" si="31"/>
        <v>0.8683333333333334</v>
      </c>
      <c r="P290" s="4">
        <f>IFERROR((K290/I290)/(INDEX(Dim_Machine!$E$2:$E$8,MATCH(D290,Dim_Machine!$A$2:$A$8,0))*INDEX(Dim_Machine!$D$2:$D$8,MATCH(D290,Dim_Machine!$A$2:$A$8,0))),0)</f>
        <v>0.7910040215702403</v>
      </c>
      <c r="Q290" s="4">
        <f t="shared" si="32"/>
        <v>0.98891456633205743</v>
      </c>
      <c r="R290" s="4">
        <f t="shared" si="33"/>
        <v>0.67924107142857137</v>
      </c>
      <c r="S290" s="4">
        <f>T290/0.942</f>
        <v>7.2683121019108281</v>
      </c>
      <c r="T290" s="4">
        <f>M290*INDEX(Dim_Product!$C$2:$C$4,MATCH(F290,Dim_Product!$A$2:$A$4,0))/1000000</f>
        <v>6.8467500000000001</v>
      </c>
      <c r="U290" s="16">
        <f t="shared" si="34"/>
        <v>0.94200000000000006</v>
      </c>
    </row>
    <row r="291" spans="1:21" x14ac:dyDescent="0.25">
      <c r="A291" s="15" t="s">
        <v>432</v>
      </c>
      <c r="B291" s="4">
        <v>20260702</v>
      </c>
      <c r="C291" s="4">
        <v>17</v>
      </c>
      <c r="D291" s="4" t="s">
        <v>23</v>
      </c>
      <c r="E291" s="4" t="s">
        <v>16</v>
      </c>
      <c r="F291" s="4" t="s">
        <v>141</v>
      </c>
      <c r="G291" s="4">
        <v>60</v>
      </c>
      <c r="H291" s="4">
        <v>6.1</v>
      </c>
      <c r="I291" s="4">
        <f t="shared" si="28"/>
        <v>53.9</v>
      </c>
      <c r="J291" s="4">
        <f>INDEX(Dim_Machine!$E$2:$E$8,MATCH(D291,Dim_Machine!$A$2:$A$8,0))*INDEX(Dim_Machine!$D$2:$D$8,MATCH(D291,Dim_Machine!$A$2:$A$8,0))*I291</f>
        <v>14229.6</v>
      </c>
      <c r="K291" s="4">
        <f>ROUND(J291*0.933,0)</f>
        <v>13276</v>
      </c>
      <c r="L291" s="4">
        <f>ROUND(K291*0.0137,0)</f>
        <v>182</v>
      </c>
      <c r="M291" s="4">
        <f t="shared" si="29"/>
        <v>13094</v>
      </c>
      <c r="N291" s="4">
        <f t="shared" si="30"/>
        <v>0.93298476415359533</v>
      </c>
      <c r="O291" s="4">
        <f t="shared" si="31"/>
        <v>0.89833333333333332</v>
      </c>
      <c r="P291" s="4">
        <f>IFERROR((K291/I291)/(INDEX(Dim_Machine!$E$2:$E$8,MATCH(D291,Dim_Machine!$A$2:$A$8,0))*INDEX(Dim_Machine!$D$2:$D$8,MATCH(D291,Dim_Machine!$A$2:$A$8,0))),0)</f>
        <v>0.93298476415359533</v>
      </c>
      <c r="Q291" s="4">
        <f t="shared" si="32"/>
        <v>0.98629105152154262</v>
      </c>
      <c r="R291" s="4">
        <f t="shared" si="33"/>
        <v>0.82664141414141412</v>
      </c>
      <c r="S291" s="4">
        <f>T291/0.818</f>
        <v>4.0018337408312963</v>
      </c>
      <c r="T291" s="4">
        <f>M291*INDEX(Dim_Product!$C$2:$C$4,MATCH(F291,Dim_Product!$A$2:$A$4,0))/1000000</f>
        <v>3.2734999999999999</v>
      </c>
      <c r="U291" s="16">
        <f t="shared" si="34"/>
        <v>0.81799999999999984</v>
      </c>
    </row>
    <row r="292" spans="1:21" x14ac:dyDescent="0.25">
      <c r="A292" s="15" t="s">
        <v>433</v>
      </c>
      <c r="B292" s="4">
        <v>20260702</v>
      </c>
      <c r="C292" s="4">
        <v>17</v>
      </c>
      <c r="D292" s="4" t="s">
        <v>25</v>
      </c>
      <c r="E292" s="4" t="s">
        <v>16</v>
      </c>
      <c r="F292" s="4" t="s">
        <v>141</v>
      </c>
      <c r="G292" s="4">
        <v>60</v>
      </c>
      <c r="H292" s="4">
        <v>4</v>
      </c>
      <c r="I292" s="4">
        <f t="shared" si="28"/>
        <v>56</v>
      </c>
      <c r="J292" s="4">
        <f>INDEX(Dim_Machine!$E$2:$E$8,MATCH(D292,Dim_Machine!$A$2:$A$8,0))*INDEX(Dim_Machine!$D$2:$D$8,MATCH(D292,Dim_Machine!$A$2:$A$8,0))*I292</f>
        <v>40320</v>
      </c>
      <c r="K292" s="4">
        <f>ROUND(J292*0.866,0)</f>
        <v>34917</v>
      </c>
      <c r="L292" s="4">
        <f>ROUND(K292*0.0089,0)</f>
        <v>311</v>
      </c>
      <c r="M292" s="4">
        <f t="shared" si="29"/>
        <v>34606</v>
      </c>
      <c r="N292" s="4">
        <f t="shared" si="30"/>
        <v>0.86599702380952381</v>
      </c>
      <c r="O292" s="4">
        <f t="shared" si="31"/>
        <v>0.93333333333333335</v>
      </c>
      <c r="P292" s="4">
        <f>IFERROR((K292/I292)/(INDEX(Dim_Machine!$E$2:$E$8,MATCH(D292,Dim_Machine!$A$2:$A$8,0))*INDEX(Dim_Machine!$D$2:$D$8,MATCH(D292,Dim_Machine!$A$2:$A$8,0))),0)</f>
        <v>0.86599702380952381</v>
      </c>
      <c r="Q292" s="4">
        <f t="shared" si="32"/>
        <v>0.9910931637884125</v>
      </c>
      <c r="R292" s="4">
        <f t="shared" si="33"/>
        <v>0.80106481481481484</v>
      </c>
      <c r="S292" s="4">
        <f>T292/0.88</f>
        <v>9.8312500000000007</v>
      </c>
      <c r="T292" s="4">
        <f>M292*INDEX(Dim_Product!$C$2:$C$4,MATCH(F292,Dim_Product!$A$2:$A$4,0))/1000000</f>
        <v>8.6515000000000004</v>
      </c>
      <c r="U292" s="16">
        <f t="shared" si="34"/>
        <v>0.88</v>
      </c>
    </row>
    <row r="293" spans="1:21" x14ac:dyDescent="0.25">
      <c r="A293" s="15" t="s">
        <v>434</v>
      </c>
      <c r="B293" s="4">
        <v>20260702</v>
      </c>
      <c r="C293" s="4">
        <v>17</v>
      </c>
      <c r="D293" s="4" t="s">
        <v>27</v>
      </c>
      <c r="E293" s="4" t="s">
        <v>16</v>
      </c>
      <c r="F293" s="4" t="s">
        <v>143</v>
      </c>
      <c r="G293" s="4">
        <v>60</v>
      </c>
      <c r="H293" s="4">
        <v>1.8</v>
      </c>
      <c r="I293" s="4">
        <f t="shared" si="28"/>
        <v>58.2</v>
      </c>
      <c r="J293" s="4">
        <f>INDEX(Dim_Machine!$E$2:$E$8,MATCH(D293,Dim_Machine!$A$2:$A$8,0))*INDEX(Dim_Machine!$D$2:$D$8,MATCH(D293,Dim_Machine!$A$2:$A$8,0))*I293</f>
        <v>24211.200000000001</v>
      </c>
      <c r="K293" s="4">
        <f>ROUND(J293*0.892,0)</f>
        <v>21596</v>
      </c>
      <c r="L293" s="4">
        <f>ROUND(K293*0.025,0)</f>
        <v>540</v>
      </c>
      <c r="M293" s="4">
        <f t="shared" si="29"/>
        <v>21056</v>
      </c>
      <c r="N293" s="4">
        <f t="shared" si="30"/>
        <v>0.89198387523129785</v>
      </c>
      <c r="O293" s="4">
        <f t="shared" si="31"/>
        <v>0.97000000000000008</v>
      </c>
      <c r="P293" s="4">
        <f>IFERROR((K293/I293)/(INDEX(Dim_Machine!$E$2:$E$8,MATCH(D293,Dim_Machine!$A$2:$A$8,0))*INDEX(Dim_Machine!$D$2:$D$8,MATCH(D293,Dim_Machine!$A$2:$A$8,0))),0)</f>
        <v>0.89198387523129796</v>
      </c>
      <c r="Q293" s="4">
        <f t="shared" si="32"/>
        <v>0.9749953695128728</v>
      </c>
      <c r="R293" s="4">
        <f t="shared" si="33"/>
        <v>0.84358974358974381</v>
      </c>
      <c r="S293" s="4">
        <f>T293/0.853</f>
        <v>4.936928487690504</v>
      </c>
      <c r="T293" s="4">
        <f>M293*INDEX(Dim_Product!$C$2:$C$4,MATCH(F293,Dim_Product!$A$2:$A$4,0))/1000000</f>
        <v>4.2111999999999998</v>
      </c>
      <c r="U293" s="16">
        <f t="shared" si="34"/>
        <v>0.85299999999999998</v>
      </c>
    </row>
    <row r="294" spans="1:21" x14ac:dyDescent="0.25">
      <c r="A294" s="15" t="s">
        <v>435</v>
      </c>
      <c r="B294" s="4">
        <v>20260702</v>
      </c>
      <c r="C294" s="4">
        <v>17</v>
      </c>
      <c r="D294" s="4" t="s">
        <v>29</v>
      </c>
      <c r="E294" s="4" t="s">
        <v>16</v>
      </c>
      <c r="F294" s="4" t="s">
        <v>143</v>
      </c>
      <c r="G294" s="4">
        <v>60</v>
      </c>
      <c r="H294" s="4">
        <v>3.2</v>
      </c>
      <c r="I294" s="4">
        <f t="shared" si="28"/>
        <v>56.8</v>
      </c>
      <c r="J294" s="4">
        <f>INDEX(Dim_Machine!$E$2:$E$8,MATCH(D294,Dim_Machine!$A$2:$A$8,0))*INDEX(Dim_Machine!$D$2:$D$8,MATCH(D294,Dim_Machine!$A$2:$A$8,0))*I294</f>
        <v>16358.4</v>
      </c>
      <c r="K294" s="4">
        <f>ROUND(J294*0.928,0)</f>
        <v>15181</v>
      </c>
      <c r="L294" s="4">
        <f>ROUND(K294*0.0181,0)</f>
        <v>275</v>
      </c>
      <c r="M294" s="4">
        <f t="shared" si="29"/>
        <v>14906</v>
      </c>
      <c r="N294" s="4">
        <f t="shared" si="30"/>
        <v>0.9280247456964007</v>
      </c>
      <c r="O294" s="4">
        <f t="shared" si="31"/>
        <v>0.94666666666666666</v>
      </c>
      <c r="P294" s="4">
        <f>IFERROR((K294/I294)/(INDEX(Dim_Machine!$E$2:$E$8,MATCH(D294,Dim_Machine!$A$2:$A$8,0))*INDEX(Dim_Machine!$D$2:$D$8,MATCH(D294,Dim_Machine!$A$2:$A$8,0))),0)</f>
        <v>0.9280247456964007</v>
      </c>
      <c r="Q294" s="4">
        <f t="shared" si="32"/>
        <v>0.98188525130096826</v>
      </c>
      <c r="R294" s="4">
        <f t="shared" si="33"/>
        <v>0.86261574074074077</v>
      </c>
      <c r="S294" s="4">
        <f>T294/0.869</f>
        <v>3.430609896432681</v>
      </c>
      <c r="T294" s="4">
        <f>M294*INDEX(Dim_Product!$C$2:$C$4,MATCH(F294,Dim_Product!$A$2:$A$4,0))/1000000</f>
        <v>2.9811999999999999</v>
      </c>
      <c r="U294" s="16">
        <f t="shared" si="34"/>
        <v>0.86899999999999999</v>
      </c>
    </row>
    <row r="295" spans="1:21" x14ac:dyDescent="0.25">
      <c r="A295" s="15" t="s">
        <v>436</v>
      </c>
      <c r="B295" s="4">
        <v>20260702</v>
      </c>
      <c r="C295" s="4">
        <v>17</v>
      </c>
      <c r="D295" s="4" t="s">
        <v>31</v>
      </c>
      <c r="E295" s="4" t="s">
        <v>16</v>
      </c>
      <c r="F295" s="4" t="s">
        <v>143</v>
      </c>
      <c r="G295" s="4">
        <v>60</v>
      </c>
      <c r="H295" s="4">
        <v>0.6</v>
      </c>
      <c r="I295" s="4">
        <f t="shared" si="28"/>
        <v>59.4</v>
      </c>
      <c r="J295" s="4">
        <f>INDEX(Dim_Machine!$E$2:$E$8,MATCH(D295,Dim_Machine!$A$2:$A$8,0))*INDEX(Dim_Machine!$D$2:$D$8,MATCH(D295,Dim_Machine!$A$2:$A$8,0))*I295</f>
        <v>38491.199999999997</v>
      </c>
      <c r="K295" s="4">
        <f>ROUND(J295*0.843,0)</f>
        <v>32448</v>
      </c>
      <c r="L295" s="4">
        <f>ROUND(K295*0.0179,0)</f>
        <v>581</v>
      </c>
      <c r="M295" s="4">
        <f t="shared" si="29"/>
        <v>31867</v>
      </c>
      <c r="N295" s="4">
        <f t="shared" si="30"/>
        <v>0.84299788003491716</v>
      </c>
      <c r="O295" s="4">
        <f t="shared" si="31"/>
        <v>0.99</v>
      </c>
      <c r="P295" s="4">
        <f>IFERROR((K295/I295)/(INDEX(Dim_Machine!$E$2:$E$8,MATCH(D295,Dim_Machine!$A$2:$A$8,0))*INDEX(Dim_Machine!$D$2:$D$8,MATCH(D295,Dim_Machine!$A$2:$A$8,0))),0)</f>
        <v>0.84299788003491716</v>
      </c>
      <c r="Q295" s="4">
        <f t="shared" si="32"/>
        <v>0.9820944280078896</v>
      </c>
      <c r="R295" s="4">
        <f t="shared" si="33"/>
        <v>0.81962448559670797</v>
      </c>
      <c r="S295" s="4">
        <f>T295/0.861</f>
        <v>7.4023228803716608</v>
      </c>
      <c r="T295" s="4">
        <f>M295*INDEX(Dim_Product!$C$2:$C$4,MATCH(F295,Dim_Product!$A$2:$A$4,0))/1000000</f>
        <v>6.3734000000000002</v>
      </c>
      <c r="U295" s="16">
        <f t="shared" si="34"/>
        <v>0.86099999999999999</v>
      </c>
    </row>
    <row r="296" spans="1:21" x14ac:dyDescent="0.25">
      <c r="A296" s="15" t="s">
        <v>437</v>
      </c>
      <c r="B296" s="4">
        <v>20260702</v>
      </c>
      <c r="C296" s="4">
        <v>18</v>
      </c>
      <c r="D296" s="4" t="s">
        <v>15</v>
      </c>
      <c r="E296" s="4" t="s">
        <v>20</v>
      </c>
      <c r="F296" s="4" t="s">
        <v>187</v>
      </c>
      <c r="G296" s="4">
        <v>60</v>
      </c>
      <c r="H296" s="4">
        <v>5.0999999999999996</v>
      </c>
      <c r="I296" s="4">
        <f t="shared" si="28"/>
        <v>54.9</v>
      </c>
      <c r="J296" s="4">
        <f>INDEX(Dim_Machine!$E$2:$E$8,MATCH(D296,Dim_Machine!$A$2:$A$8,0))*INDEX(Dim_Machine!$D$2:$D$8,MATCH(D296,Dim_Machine!$A$2:$A$8,0))*I296</f>
        <v>21960</v>
      </c>
      <c r="K296" s="4">
        <f>ROUND(J296*0.838,0)</f>
        <v>18402</v>
      </c>
      <c r="L296" s="4">
        <f>ROUND(K296*0.0172,0)</f>
        <v>317</v>
      </c>
      <c r="M296" s="4">
        <f t="shared" si="29"/>
        <v>18085</v>
      </c>
      <c r="N296" s="4">
        <f t="shared" si="30"/>
        <v>0.83797814207650279</v>
      </c>
      <c r="O296" s="4">
        <f t="shared" si="31"/>
        <v>0.91499999999999992</v>
      </c>
      <c r="P296" s="4">
        <f>IFERROR((K296/I296)/(INDEX(Dim_Machine!$E$2:$E$8,MATCH(D296,Dim_Machine!$A$2:$A$8,0))*INDEX(Dim_Machine!$D$2:$D$8,MATCH(D296,Dim_Machine!$A$2:$A$8,0))),0)</f>
        <v>0.83797814207650279</v>
      </c>
      <c r="Q296" s="4">
        <f t="shared" si="32"/>
        <v>0.98277361156396048</v>
      </c>
      <c r="R296" s="4">
        <f t="shared" si="33"/>
        <v>0.75354166666666667</v>
      </c>
      <c r="S296" s="4">
        <f>T296/0.945</f>
        <v>5.7412698412698422</v>
      </c>
      <c r="T296" s="4">
        <f>M296*INDEX(Dim_Product!$C$2:$C$4,MATCH(F296,Dim_Product!$A$2:$A$4,0))/1000000</f>
        <v>5.4255000000000004</v>
      </c>
      <c r="U296" s="16">
        <f t="shared" si="34"/>
        <v>0.94499999999999995</v>
      </c>
    </row>
    <row r="297" spans="1:21" x14ac:dyDescent="0.25">
      <c r="A297" s="15" t="s">
        <v>438</v>
      </c>
      <c r="B297" s="4">
        <v>20260702</v>
      </c>
      <c r="C297" s="4">
        <v>18</v>
      </c>
      <c r="D297" s="4" t="s">
        <v>19</v>
      </c>
      <c r="E297" s="4" t="s">
        <v>20</v>
      </c>
      <c r="F297" s="4" t="s">
        <v>141</v>
      </c>
      <c r="G297" s="4">
        <v>60</v>
      </c>
      <c r="H297" s="4">
        <v>1.4</v>
      </c>
      <c r="I297" s="4">
        <f t="shared" si="28"/>
        <v>58.6</v>
      </c>
      <c r="J297" s="4">
        <f>INDEX(Dim_Machine!$E$2:$E$8,MATCH(D297,Dim_Machine!$A$2:$A$8,0))*INDEX(Dim_Machine!$D$2:$D$8,MATCH(D297,Dim_Machine!$A$2:$A$8,0))*I297</f>
        <v>39379.200000000004</v>
      </c>
      <c r="K297" s="4">
        <f>ROUND(J297*0.97,0)</f>
        <v>38198</v>
      </c>
      <c r="L297" s="4">
        <f>ROUND(K297*0.0188,0)</f>
        <v>718</v>
      </c>
      <c r="M297" s="4">
        <f t="shared" si="29"/>
        <v>37480</v>
      </c>
      <c r="N297" s="4">
        <f t="shared" si="30"/>
        <v>0.97000446936453755</v>
      </c>
      <c r="O297" s="4">
        <f t="shared" si="31"/>
        <v>0.97666666666666668</v>
      </c>
      <c r="P297" s="4">
        <f>IFERROR((K297/I297)/(INDEX(Dim_Machine!$E$2:$E$8,MATCH(D297,Dim_Machine!$A$2:$A$8,0))*INDEX(Dim_Machine!$D$2:$D$8,MATCH(D297,Dim_Machine!$A$2:$A$8,0))),0)</f>
        <v>0.97000446936453766</v>
      </c>
      <c r="Q297" s="4">
        <f t="shared" si="32"/>
        <v>0.98120320435624897</v>
      </c>
      <c r="R297" s="4">
        <f t="shared" si="33"/>
        <v>0.92956349206349209</v>
      </c>
      <c r="S297" s="4">
        <f>T297/0.903</f>
        <v>10.376522702104097</v>
      </c>
      <c r="T297" s="4">
        <f>M297*INDEX(Dim_Product!$C$2:$C$4,MATCH(F297,Dim_Product!$A$2:$A$4,0))/1000000</f>
        <v>9.3699999999999992</v>
      </c>
      <c r="U297" s="16">
        <f t="shared" si="34"/>
        <v>0.90299999999999991</v>
      </c>
    </row>
    <row r="298" spans="1:21" x14ac:dyDescent="0.25">
      <c r="A298" s="15" t="s">
        <v>439</v>
      </c>
      <c r="B298" s="4">
        <v>20260702</v>
      </c>
      <c r="C298" s="4">
        <v>18</v>
      </c>
      <c r="D298" s="4" t="s">
        <v>23</v>
      </c>
      <c r="E298" s="4" t="s">
        <v>20</v>
      </c>
      <c r="F298" s="4" t="s">
        <v>141</v>
      </c>
      <c r="G298" s="4">
        <v>60</v>
      </c>
      <c r="H298" s="4">
        <v>2.9</v>
      </c>
      <c r="I298" s="4">
        <f t="shared" si="28"/>
        <v>57.1</v>
      </c>
      <c r="J298" s="4">
        <f>INDEX(Dim_Machine!$E$2:$E$8,MATCH(D298,Dim_Machine!$A$2:$A$8,0))*INDEX(Dim_Machine!$D$2:$D$8,MATCH(D298,Dim_Machine!$A$2:$A$8,0))*I298</f>
        <v>15074.4</v>
      </c>
      <c r="K298" s="4">
        <f>ROUND(J298*0.867,0)</f>
        <v>13070</v>
      </c>
      <c r="L298" s="4">
        <f>ROUND(K298*0.0082,0)</f>
        <v>107</v>
      </c>
      <c r="M298" s="4">
        <f t="shared" si="29"/>
        <v>12963</v>
      </c>
      <c r="N298" s="4">
        <f t="shared" si="30"/>
        <v>0.86703285039537226</v>
      </c>
      <c r="O298" s="4">
        <f t="shared" si="31"/>
        <v>0.95166666666666666</v>
      </c>
      <c r="P298" s="4">
        <f>IFERROR((K298/I298)/(INDEX(Dim_Machine!$E$2:$E$8,MATCH(D298,Dim_Machine!$A$2:$A$8,0))*INDEX(Dim_Machine!$D$2:$D$8,MATCH(D298,Dim_Machine!$A$2:$A$8,0))),0)</f>
        <v>0.86703285039537226</v>
      </c>
      <c r="Q298" s="4">
        <f t="shared" si="32"/>
        <v>0.99181331293037489</v>
      </c>
      <c r="R298" s="4">
        <f t="shared" si="33"/>
        <v>0.818371212121212</v>
      </c>
      <c r="S298" s="4">
        <f>T298/0.865</f>
        <v>3.7465317919075143</v>
      </c>
      <c r="T298" s="4">
        <f>M298*INDEX(Dim_Product!$C$2:$C$4,MATCH(F298,Dim_Product!$A$2:$A$4,0))/1000000</f>
        <v>3.2407499999999998</v>
      </c>
      <c r="U298" s="16">
        <f t="shared" si="34"/>
        <v>0.86499999999999999</v>
      </c>
    </row>
    <row r="299" spans="1:21" x14ac:dyDescent="0.25">
      <c r="A299" s="15" t="s">
        <v>440</v>
      </c>
      <c r="B299" s="4">
        <v>20260702</v>
      </c>
      <c r="C299" s="4">
        <v>18</v>
      </c>
      <c r="D299" s="4" t="s">
        <v>25</v>
      </c>
      <c r="E299" s="4" t="s">
        <v>20</v>
      </c>
      <c r="F299" s="4" t="s">
        <v>143</v>
      </c>
      <c r="G299" s="4">
        <v>60</v>
      </c>
      <c r="H299" s="4">
        <v>3.2</v>
      </c>
      <c r="I299" s="4">
        <f t="shared" si="28"/>
        <v>56.8</v>
      </c>
      <c r="J299" s="4">
        <f>INDEX(Dim_Machine!$E$2:$E$8,MATCH(D299,Dim_Machine!$A$2:$A$8,0))*INDEX(Dim_Machine!$D$2:$D$8,MATCH(D299,Dim_Machine!$A$2:$A$8,0))*I299</f>
        <v>40896</v>
      </c>
      <c r="K299" s="4">
        <f>ROUND(J299*0.796,0)</f>
        <v>32553</v>
      </c>
      <c r="L299" s="4">
        <f>ROUND(K299*0.0311,0)</f>
        <v>1012</v>
      </c>
      <c r="M299" s="4">
        <f t="shared" si="29"/>
        <v>31541</v>
      </c>
      <c r="N299" s="4">
        <f t="shared" si="30"/>
        <v>0.79599471830985913</v>
      </c>
      <c r="O299" s="4">
        <f t="shared" si="31"/>
        <v>0.94666666666666666</v>
      </c>
      <c r="P299" s="4">
        <f>IFERROR((K299/I299)/(INDEX(Dim_Machine!$E$2:$E$8,MATCH(D299,Dim_Machine!$A$2:$A$8,0))*INDEX(Dim_Machine!$D$2:$D$8,MATCH(D299,Dim_Machine!$A$2:$A$8,0))),0)</f>
        <v>0.79599471830985924</v>
      </c>
      <c r="Q299" s="4">
        <f t="shared" si="32"/>
        <v>0.96891223543145022</v>
      </c>
      <c r="R299" s="4">
        <f t="shared" si="33"/>
        <v>0.73011574074074082</v>
      </c>
      <c r="S299" s="4">
        <f>T299/0.912</f>
        <v>6.9168859649122805</v>
      </c>
      <c r="T299" s="4">
        <f>M299*INDEX(Dim_Product!$C$2:$C$4,MATCH(F299,Dim_Product!$A$2:$A$4,0))/1000000</f>
        <v>6.3082000000000003</v>
      </c>
      <c r="U299" s="16">
        <f t="shared" si="34"/>
        <v>0.91200000000000003</v>
      </c>
    </row>
    <row r="300" spans="1:21" x14ac:dyDescent="0.25">
      <c r="A300" s="15" t="s">
        <v>441</v>
      </c>
      <c r="B300" s="4">
        <v>20260702</v>
      </c>
      <c r="C300" s="4">
        <v>18</v>
      </c>
      <c r="D300" s="4" t="s">
        <v>27</v>
      </c>
      <c r="E300" s="4" t="s">
        <v>20</v>
      </c>
      <c r="F300" s="4" t="s">
        <v>141</v>
      </c>
      <c r="G300" s="4">
        <v>60</v>
      </c>
      <c r="H300" s="4">
        <v>1.8</v>
      </c>
      <c r="I300" s="4">
        <f t="shared" si="28"/>
        <v>58.2</v>
      </c>
      <c r="J300" s="4">
        <f>INDEX(Dim_Machine!$E$2:$E$8,MATCH(D300,Dim_Machine!$A$2:$A$8,0))*INDEX(Dim_Machine!$D$2:$D$8,MATCH(D300,Dim_Machine!$A$2:$A$8,0))*I300</f>
        <v>24211.200000000001</v>
      </c>
      <c r="K300" s="4">
        <f>ROUND(J300*0.936,0)</f>
        <v>22662</v>
      </c>
      <c r="L300" s="4">
        <f>ROUND(K300*0.0073,0)</f>
        <v>165</v>
      </c>
      <c r="M300" s="4">
        <f t="shared" si="29"/>
        <v>22497</v>
      </c>
      <c r="N300" s="4">
        <f t="shared" si="30"/>
        <v>0.93601308485329104</v>
      </c>
      <c r="O300" s="4">
        <f t="shared" si="31"/>
        <v>0.97000000000000008</v>
      </c>
      <c r="P300" s="4">
        <f>IFERROR((K300/I300)/(INDEX(Dim_Machine!$E$2:$E$8,MATCH(D300,Dim_Machine!$A$2:$A$8,0))*INDEX(Dim_Machine!$D$2:$D$8,MATCH(D300,Dim_Machine!$A$2:$A$8,0))),0)</f>
        <v>0.93601308485329093</v>
      </c>
      <c r="Q300" s="4">
        <f t="shared" si="32"/>
        <v>0.992719089224252</v>
      </c>
      <c r="R300" s="4">
        <f t="shared" si="33"/>
        <v>0.90132211538461526</v>
      </c>
      <c r="S300" s="4">
        <f>T300/0.895</f>
        <v>6.2840782122905026</v>
      </c>
      <c r="T300" s="4">
        <f>M300*INDEX(Dim_Product!$C$2:$C$4,MATCH(F300,Dim_Product!$A$2:$A$4,0))/1000000</f>
        <v>5.62425</v>
      </c>
      <c r="U300" s="16">
        <f t="shared" si="34"/>
        <v>0.89500000000000002</v>
      </c>
    </row>
    <row r="301" spans="1:21" x14ac:dyDescent="0.25">
      <c r="A301" s="15" t="s">
        <v>442</v>
      </c>
      <c r="B301" s="4">
        <v>20260702</v>
      </c>
      <c r="C301" s="4">
        <v>18</v>
      </c>
      <c r="D301" s="4" t="s">
        <v>29</v>
      </c>
      <c r="E301" s="4" t="s">
        <v>20</v>
      </c>
      <c r="F301" s="4" t="s">
        <v>141</v>
      </c>
      <c r="G301" s="4">
        <v>60</v>
      </c>
      <c r="H301" s="4">
        <v>4.2</v>
      </c>
      <c r="I301" s="4">
        <f t="shared" si="28"/>
        <v>55.8</v>
      </c>
      <c r="J301" s="4">
        <f>INDEX(Dim_Machine!$E$2:$E$8,MATCH(D301,Dim_Machine!$A$2:$A$8,0))*INDEX(Dim_Machine!$D$2:$D$8,MATCH(D301,Dim_Machine!$A$2:$A$8,0))*I301</f>
        <v>16070.4</v>
      </c>
      <c r="K301" s="4">
        <f>ROUND(J301*0.819,0)</f>
        <v>13162</v>
      </c>
      <c r="L301" s="4">
        <f>ROUND(K301*0.0283,0)</f>
        <v>372</v>
      </c>
      <c r="M301" s="4">
        <f t="shared" si="29"/>
        <v>12790</v>
      </c>
      <c r="N301" s="4">
        <f t="shared" si="30"/>
        <v>0.81902130625248903</v>
      </c>
      <c r="O301" s="4">
        <f t="shared" si="31"/>
        <v>0.92999999999999994</v>
      </c>
      <c r="P301" s="4">
        <f>IFERROR((K301/I301)/(INDEX(Dim_Machine!$E$2:$E$8,MATCH(D301,Dim_Machine!$A$2:$A$8,0))*INDEX(Dim_Machine!$D$2:$D$8,MATCH(D301,Dim_Machine!$A$2:$A$8,0))),0)</f>
        <v>0.81902130625248903</v>
      </c>
      <c r="Q301" s="4">
        <f t="shared" si="32"/>
        <v>0.97173681811274881</v>
      </c>
      <c r="R301" s="4">
        <f t="shared" si="33"/>
        <v>0.74016203703703698</v>
      </c>
      <c r="S301" s="4">
        <f>T301/0.853</f>
        <v>3.7485345838218054</v>
      </c>
      <c r="T301" s="4">
        <f>M301*INDEX(Dim_Product!$C$2:$C$4,MATCH(F301,Dim_Product!$A$2:$A$4,0))/1000000</f>
        <v>3.1974999999999998</v>
      </c>
      <c r="U301" s="16">
        <f t="shared" si="34"/>
        <v>0.85299999999999998</v>
      </c>
    </row>
    <row r="302" spans="1:21" x14ac:dyDescent="0.25">
      <c r="A302" s="15" t="s">
        <v>443</v>
      </c>
      <c r="B302" s="4">
        <v>20260702</v>
      </c>
      <c r="C302" s="4">
        <v>18</v>
      </c>
      <c r="D302" s="4" t="s">
        <v>31</v>
      </c>
      <c r="E302" s="4" t="s">
        <v>20</v>
      </c>
      <c r="F302" s="4" t="s">
        <v>143</v>
      </c>
      <c r="G302" s="4">
        <v>60</v>
      </c>
      <c r="H302" s="4">
        <v>7.7</v>
      </c>
      <c r="I302" s="4">
        <f t="shared" si="28"/>
        <v>52.3</v>
      </c>
      <c r="J302" s="4">
        <f>INDEX(Dim_Machine!$E$2:$E$8,MATCH(D302,Dim_Machine!$A$2:$A$8,0))*INDEX(Dim_Machine!$D$2:$D$8,MATCH(D302,Dim_Machine!$A$2:$A$8,0))*I302</f>
        <v>33890.400000000001</v>
      </c>
      <c r="K302" s="4">
        <f>ROUND(J302*0.909,0)</f>
        <v>30806</v>
      </c>
      <c r="L302" s="4">
        <f>ROUND(K302*0.0094,0)</f>
        <v>290</v>
      </c>
      <c r="M302" s="4">
        <f t="shared" si="29"/>
        <v>30516</v>
      </c>
      <c r="N302" s="4">
        <f t="shared" si="30"/>
        <v>0.90898897622925667</v>
      </c>
      <c r="O302" s="4">
        <f t="shared" si="31"/>
        <v>0.87166666666666659</v>
      </c>
      <c r="P302" s="4">
        <f>IFERROR((K302/I302)/(INDEX(Dim_Machine!$E$2:$E$8,MATCH(D302,Dim_Machine!$A$2:$A$8,0))*INDEX(Dim_Machine!$D$2:$D$8,MATCH(D302,Dim_Machine!$A$2:$A$8,0))),0)</f>
        <v>0.90898897622925678</v>
      </c>
      <c r="Q302" s="4">
        <f t="shared" si="32"/>
        <v>0.99058624943192886</v>
      </c>
      <c r="R302" s="4">
        <f t="shared" si="33"/>
        <v>0.78487654320987654</v>
      </c>
      <c r="S302" s="4">
        <f>T302/0.815</f>
        <v>7.4885889570552155</v>
      </c>
      <c r="T302" s="4">
        <f>M302*INDEX(Dim_Product!$C$2:$C$4,MATCH(F302,Dim_Product!$A$2:$A$4,0))/1000000</f>
        <v>6.1032000000000002</v>
      </c>
      <c r="U302" s="16">
        <f t="shared" si="34"/>
        <v>0.81499999999999995</v>
      </c>
    </row>
    <row r="303" spans="1:21" x14ac:dyDescent="0.25">
      <c r="A303" s="15" t="s">
        <v>444</v>
      </c>
      <c r="B303" s="4">
        <v>20260702</v>
      </c>
      <c r="C303" s="4">
        <v>19</v>
      </c>
      <c r="D303" s="4" t="s">
        <v>15</v>
      </c>
      <c r="E303" s="4" t="s">
        <v>20</v>
      </c>
      <c r="F303" s="4" t="s">
        <v>187</v>
      </c>
      <c r="G303" s="4">
        <v>60</v>
      </c>
      <c r="H303" s="4">
        <v>2</v>
      </c>
      <c r="I303" s="4">
        <f t="shared" si="28"/>
        <v>58</v>
      </c>
      <c r="J303" s="4">
        <f>INDEX(Dim_Machine!$E$2:$E$8,MATCH(D303,Dim_Machine!$A$2:$A$8,0))*INDEX(Dim_Machine!$D$2:$D$8,MATCH(D303,Dim_Machine!$A$2:$A$8,0))*I303</f>
        <v>23200</v>
      </c>
      <c r="K303" s="4">
        <f>ROUND(J303*0.815,0)</f>
        <v>18908</v>
      </c>
      <c r="L303" s="4">
        <f>ROUND(K303*0.0096,0)</f>
        <v>182</v>
      </c>
      <c r="M303" s="4">
        <f t="shared" si="29"/>
        <v>18726</v>
      </c>
      <c r="N303" s="4">
        <f t="shared" si="30"/>
        <v>0.81499999999999995</v>
      </c>
      <c r="O303" s="4">
        <f t="shared" si="31"/>
        <v>0.96666666666666667</v>
      </c>
      <c r="P303" s="4">
        <f>IFERROR((K303/I303)/(INDEX(Dim_Machine!$E$2:$E$8,MATCH(D303,Dim_Machine!$A$2:$A$8,0))*INDEX(Dim_Machine!$D$2:$D$8,MATCH(D303,Dim_Machine!$A$2:$A$8,0))),0)</f>
        <v>0.81499999999999995</v>
      </c>
      <c r="Q303" s="4">
        <f t="shared" si="32"/>
        <v>0.99037444467950075</v>
      </c>
      <c r="R303" s="4">
        <f t="shared" si="33"/>
        <v>0.78025</v>
      </c>
      <c r="S303" s="4">
        <f>T303/0.914</f>
        <v>6.1463894967177239</v>
      </c>
      <c r="T303" s="4">
        <f>M303*INDEX(Dim_Product!$C$2:$C$4,MATCH(F303,Dim_Product!$A$2:$A$4,0))/1000000</f>
        <v>5.6177999999999999</v>
      </c>
      <c r="U303" s="16">
        <f t="shared" si="34"/>
        <v>0.91400000000000003</v>
      </c>
    </row>
    <row r="304" spans="1:21" x14ac:dyDescent="0.25">
      <c r="A304" s="15" t="s">
        <v>445</v>
      </c>
      <c r="B304" s="4">
        <v>20260702</v>
      </c>
      <c r="C304" s="4">
        <v>19</v>
      </c>
      <c r="D304" s="4" t="s">
        <v>19</v>
      </c>
      <c r="E304" s="4" t="s">
        <v>20</v>
      </c>
      <c r="F304" s="4" t="s">
        <v>141</v>
      </c>
      <c r="G304" s="4">
        <v>60</v>
      </c>
      <c r="H304" s="4">
        <v>0.6</v>
      </c>
      <c r="I304" s="4">
        <f t="shared" si="28"/>
        <v>59.4</v>
      </c>
      <c r="J304" s="4">
        <f>INDEX(Dim_Machine!$E$2:$E$8,MATCH(D304,Dim_Machine!$A$2:$A$8,0))*INDEX(Dim_Machine!$D$2:$D$8,MATCH(D304,Dim_Machine!$A$2:$A$8,0))*I304</f>
        <v>39916.799999999996</v>
      </c>
      <c r="K304" s="4">
        <f>ROUND(J304*0.97,0)</f>
        <v>38719</v>
      </c>
      <c r="L304" s="4">
        <f>ROUND(K304*0.0238,0)</f>
        <v>922</v>
      </c>
      <c r="M304" s="4">
        <f t="shared" si="29"/>
        <v>37797</v>
      </c>
      <c r="N304" s="4">
        <f t="shared" si="30"/>
        <v>0.96999258457591797</v>
      </c>
      <c r="O304" s="4">
        <f t="shared" si="31"/>
        <v>0.99</v>
      </c>
      <c r="P304" s="4">
        <f>IFERROR((K304/I304)/(INDEX(Dim_Machine!$E$2:$E$8,MATCH(D304,Dim_Machine!$A$2:$A$8,0))*INDEX(Dim_Machine!$D$2:$D$8,MATCH(D304,Dim_Machine!$A$2:$A$8,0))),0)</f>
        <v>0.96999258457591797</v>
      </c>
      <c r="Q304" s="4">
        <f t="shared" si="32"/>
        <v>0.97618740153413053</v>
      </c>
      <c r="R304" s="4">
        <f t="shared" si="33"/>
        <v>0.93742559523809532</v>
      </c>
      <c r="S304" s="4">
        <f>T304/0.87</f>
        <v>10.861206896551723</v>
      </c>
      <c r="T304" s="4">
        <f>M304*INDEX(Dim_Product!$C$2:$C$4,MATCH(F304,Dim_Product!$A$2:$A$4,0))/1000000</f>
        <v>9.4492499999999993</v>
      </c>
      <c r="U304" s="16">
        <f t="shared" si="34"/>
        <v>0.87</v>
      </c>
    </row>
    <row r="305" spans="1:21" x14ac:dyDescent="0.25">
      <c r="A305" s="15" t="s">
        <v>446</v>
      </c>
      <c r="B305" s="4">
        <v>20260702</v>
      </c>
      <c r="C305" s="4">
        <v>19</v>
      </c>
      <c r="D305" s="4" t="s">
        <v>23</v>
      </c>
      <c r="E305" s="4" t="s">
        <v>20</v>
      </c>
      <c r="F305" s="4" t="s">
        <v>141</v>
      </c>
      <c r="G305" s="4">
        <v>60</v>
      </c>
      <c r="H305" s="4">
        <v>4.5</v>
      </c>
      <c r="I305" s="4">
        <f t="shared" si="28"/>
        <v>55.5</v>
      </c>
      <c r="J305" s="4">
        <f>INDEX(Dim_Machine!$E$2:$E$8,MATCH(D305,Dim_Machine!$A$2:$A$8,0))*INDEX(Dim_Machine!$D$2:$D$8,MATCH(D305,Dim_Machine!$A$2:$A$8,0))*I305</f>
        <v>14652</v>
      </c>
      <c r="K305" s="4">
        <f>ROUND(J305*0.896,0)</f>
        <v>13128</v>
      </c>
      <c r="L305" s="4">
        <f>ROUND(K305*0.0254,0)</f>
        <v>333</v>
      </c>
      <c r="M305" s="4">
        <f t="shared" si="29"/>
        <v>12795</v>
      </c>
      <c r="N305" s="4">
        <f t="shared" si="30"/>
        <v>0.89598689598689596</v>
      </c>
      <c r="O305" s="4">
        <f t="shared" si="31"/>
        <v>0.92500000000000004</v>
      </c>
      <c r="P305" s="4">
        <f>IFERROR((K305/I305)/(INDEX(Dim_Machine!$E$2:$E$8,MATCH(D305,Dim_Machine!$A$2:$A$8,0))*INDEX(Dim_Machine!$D$2:$D$8,MATCH(D305,Dim_Machine!$A$2:$A$8,0))),0)</f>
        <v>0.89598689598689596</v>
      </c>
      <c r="Q305" s="4">
        <f t="shared" si="32"/>
        <v>0.97463436928702007</v>
      </c>
      <c r="R305" s="4">
        <f t="shared" si="33"/>
        <v>0.8077651515151516</v>
      </c>
      <c r="S305" s="4">
        <f>T305/0.932</f>
        <v>3.432135193133047</v>
      </c>
      <c r="T305" s="4">
        <f>M305*INDEX(Dim_Product!$C$2:$C$4,MATCH(F305,Dim_Product!$A$2:$A$4,0))/1000000</f>
        <v>3.19875</v>
      </c>
      <c r="U305" s="16">
        <f t="shared" si="34"/>
        <v>0.93200000000000005</v>
      </c>
    </row>
    <row r="306" spans="1:21" x14ac:dyDescent="0.25">
      <c r="A306" s="15" t="s">
        <v>447</v>
      </c>
      <c r="B306" s="4">
        <v>20260702</v>
      </c>
      <c r="C306" s="4">
        <v>19</v>
      </c>
      <c r="D306" s="4" t="s">
        <v>25</v>
      </c>
      <c r="E306" s="4" t="s">
        <v>20</v>
      </c>
      <c r="F306" s="4" t="s">
        <v>143</v>
      </c>
      <c r="G306" s="4">
        <v>60</v>
      </c>
      <c r="H306" s="4">
        <v>5.0999999999999996</v>
      </c>
      <c r="I306" s="4">
        <f t="shared" si="28"/>
        <v>54.9</v>
      </c>
      <c r="J306" s="4">
        <f>INDEX(Dim_Machine!$E$2:$E$8,MATCH(D306,Dim_Machine!$A$2:$A$8,0))*INDEX(Dim_Machine!$D$2:$D$8,MATCH(D306,Dim_Machine!$A$2:$A$8,0))*I306</f>
        <v>39528</v>
      </c>
      <c r="K306" s="4">
        <f>ROUND(J306*0.977,0)</f>
        <v>38619</v>
      </c>
      <c r="L306" s="4">
        <f>ROUND(K306*0.0147,0)</f>
        <v>568</v>
      </c>
      <c r="M306" s="4">
        <f t="shared" si="29"/>
        <v>38051</v>
      </c>
      <c r="N306" s="4">
        <f t="shared" si="30"/>
        <v>0.97700364298724951</v>
      </c>
      <c r="O306" s="4">
        <f t="shared" si="31"/>
        <v>0.91499999999999992</v>
      </c>
      <c r="P306" s="4">
        <f>IFERROR((K306/I306)/(INDEX(Dim_Machine!$E$2:$E$8,MATCH(D306,Dim_Machine!$A$2:$A$8,0))*INDEX(Dim_Machine!$D$2:$D$8,MATCH(D306,Dim_Machine!$A$2:$A$8,0))),0)</f>
        <v>0.97700364298724951</v>
      </c>
      <c r="Q306" s="4">
        <f t="shared" si="32"/>
        <v>0.98529221367720554</v>
      </c>
      <c r="R306" s="4">
        <f t="shared" si="33"/>
        <v>0.88081018518518506</v>
      </c>
      <c r="S306" s="4">
        <f>T306/0.946</f>
        <v>8.0446088794925998</v>
      </c>
      <c r="T306" s="4">
        <f>M306*INDEX(Dim_Product!$C$2:$C$4,MATCH(F306,Dim_Product!$A$2:$A$4,0))/1000000</f>
        <v>7.6101999999999999</v>
      </c>
      <c r="U306" s="16">
        <f t="shared" si="34"/>
        <v>0.94600000000000006</v>
      </c>
    </row>
    <row r="307" spans="1:21" x14ac:dyDescent="0.25">
      <c r="A307" s="15" t="s">
        <v>448</v>
      </c>
      <c r="B307" s="4">
        <v>20260702</v>
      </c>
      <c r="C307" s="4">
        <v>19</v>
      </c>
      <c r="D307" s="4" t="s">
        <v>27</v>
      </c>
      <c r="E307" s="4" t="s">
        <v>20</v>
      </c>
      <c r="F307" s="4" t="s">
        <v>141</v>
      </c>
      <c r="G307" s="4">
        <v>60</v>
      </c>
      <c r="H307" s="4">
        <v>2.5</v>
      </c>
      <c r="I307" s="4">
        <f t="shared" si="28"/>
        <v>57.5</v>
      </c>
      <c r="J307" s="4">
        <f>INDEX(Dim_Machine!$E$2:$E$8,MATCH(D307,Dim_Machine!$A$2:$A$8,0))*INDEX(Dim_Machine!$D$2:$D$8,MATCH(D307,Dim_Machine!$A$2:$A$8,0))*I307</f>
        <v>23920</v>
      </c>
      <c r="K307" s="4">
        <f>ROUND(J307*0.868,0)</f>
        <v>20763</v>
      </c>
      <c r="L307" s="4">
        <f>ROUND(K307*0.0191,0)</f>
        <v>397</v>
      </c>
      <c r="M307" s="4">
        <f t="shared" si="29"/>
        <v>20366</v>
      </c>
      <c r="N307" s="4">
        <f t="shared" si="30"/>
        <v>0.86801839464882946</v>
      </c>
      <c r="O307" s="4">
        <f t="shared" si="31"/>
        <v>0.95833333333333337</v>
      </c>
      <c r="P307" s="4">
        <f>IFERROR((K307/I307)/(INDEX(Dim_Machine!$E$2:$E$8,MATCH(D307,Dim_Machine!$A$2:$A$8,0))*INDEX(Dim_Machine!$D$2:$D$8,MATCH(D307,Dim_Machine!$A$2:$A$8,0))),0)</f>
        <v>0.86801839464882946</v>
      </c>
      <c r="Q307" s="4">
        <f t="shared" si="32"/>
        <v>0.9808794490198911</v>
      </c>
      <c r="R307" s="4">
        <f t="shared" si="33"/>
        <v>0.81594551282051286</v>
      </c>
      <c r="S307" s="4">
        <f>T307/0.895</f>
        <v>5.6888268156424582</v>
      </c>
      <c r="T307" s="4">
        <f>M307*INDEX(Dim_Product!$C$2:$C$4,MATCH(F307,Dim_Product!$A$2:$A$4,0))/1000000</f>
        <v>5.0914999999999999</v>
      </c>
      <c r="U307" s="16">
        <f t="shared" si="34"/>
        <v>0.89500000000000002</v>
      </c>
    </row>
    <row r="308" spans="1:21" x14ac:dyDescent="0.25">
      <c r="A308" s="15" t="s">
        <v>449</v>
      </c>
      <c r="B308" s="4">
        <v>20260702</v>
      </c>
      <c r="C308" s="4">
        <v>19</v>
      </c>
      <c r="D308" s="4" t="s">
        <v>29</v>
      </c>
      <c r="E308" s="4" t="s">
        <v>20</v>
      </c>
      <c r="F308" s="4" t="s">
        <v>141</v>
      </c>
      <c r="G308" s="4">
        <v>60</v>
      </c>
      <c r="H308" s="4">
        <v>6.4</v>
      </c>
      <c r="I308" s="4">
        <f t="shared" si="28"/>
        <v>53.6</v>
      </c>
      <c r="J308" s="4">
        <f>INDEX(Dim_Machine!$E$2:$E$8,MATCH(D308,Dim_Machine!$A$2:$A$8,0))*INDEX(Dim_Machine!$D$2:$D$8,MATCH(D308,Dim_Machine!$A$2:$A$8,0))*I308</f>
        <v>15436.800000000001</v>
      </c>
      <c r="K308" s="4">
        <f>ROUND(J308*0.898,0)</f>
        <v>13862</v>
      </c>
      <c r="L308" s="4">
        <f>ROUND(K308*0.0156,0)</f>
        <v>216</v>
      </c>
      <c r="M308" s="4">
        <f t="shared" si="29"/>
        <v>13646</v>
      </c>
      <c r="N308" s="4">
        <f t="shared" si="30"/>
        <v>0.89798403814262018</v>
      </c>
      <c r="O308" s="4">
        <f t="shared" si="31"/>
        <v>0.89333333333333331</v>
      </c>
      <c r="P308" s="4">
        <f>IFERROR((K308/I308)/(INDEX(Dim_Machine!$E$2:$E$8,MATCH(D308,Dim_Machine!$A$2:$A$8,0))*INDEX(Dim_Machine!$D$2:$D$8,MATCH(D308,Dim_Machine!$A$2:$A$8,0))),0)</f>
        <v>0.89798403814262018</v>
      </c>
      <c r="Q308" s="4">
        <f t="shared" si="32"/>
        <v>0.98441783292454188</v>
      </c>
      <c r="R308" s="4">
        <f t="shared" si="33"/>
        <v>0.78969907407407391</v>
      </c>
      <c r="S308" s="4">
        <f>T308/0.811</f>
        <v>4.2065351418002468</v>
      </c>
      <c r="T308" s="4">
        <f>M308*INDEX(Dim_Product!$C$2:$C$4,MATCH(F308,Dim_Product!$A$2:$A$4,0))/1000000</f>
        <v>3.4115000000000002</v>
      </c>
      <c r="U308" s="16">
        <f t="shared" si="34"/>
        <v>0.81100000000000005</v>
      </c>
    </row>
    <row r="309" spans="1:21" x14ac:dyDescent="0.25">
      <c r="A309" s="15" t="s">
        <v>450</v>
      </c>
      <c r="B309" s="4">
        <v>20260702</v>
      </c>
      <c r="C309" s="4">
        <v>19</v>
      </c>
      <c r="D309" s="4" t="s">
        <v>31</v>
      </c>
      <c r="E309" s="4" t="s">
        <v>20</v>
      </c>
      <c r="F309" s="4" t="s">
        <v>143</v>
      </c>
      <c r="G309" s="4">
        <v>60</v>
      </c>
      <c r="H309" s="4">
        <v>3.7</v>
      </c>
      <c r="I309" s="4">
        <f t="shared" si="28"/>
        <v>56.3</v>
      </c>
      <c r="J309" s="4">
        <f>INDEX(Dim_Machine!$E$2:$E$8,MATCH(D309,Dim_Machine!$A$2:$A$8,0))*INDEX(Dim_Machine!$D$2:$D$8,MATCH(D309,Dim_Machine!$A$2:$A$8,0))*I309</f>
        <v>36482.400000000001</v>
      </c>
      <c r="K309" s="4">
        <f>ROUND(J309*0.788,0)</f>
        <v>28748</v>
      </c>
      <c r="L309" s="4">
        <f>ROUND(K309*0.0161,0)</f>
        <v>463</v>
      </c>
      <c r="M309" s="4">
        <f t="shared" si="29"/>
        <v>28285</v>
      </c>
      <c r="N309" s="4">
        <f t="shared" si="30"/>
        <v>0.78799640374536761</v>
      </c>
      <c r="O309" s="4">
        <f t="shared" si="31"/>
        <v>0.93833333333333324</v>
      </c>
      <c r="P309" s="4">
        <f>IFERROR((K309/I309)/(INDEX(Dim_Machine!$E$2:$E$8,MATCH(D309,Dim_Machine!$A$2:$A$8,0))*INDEX(Dim_Machine!$D$2:$D$8,MATCH(D309,Dim_Machine!$A$2:$A$8,0))),0)</f>
        <v>0.78799640374536772</v>
      </c>
      <c r="Q309" s="4">
        <f t="shared" si="32"/>
        <v>0.98389453179351605</v>
      </c>
      <c r="R309" s="4">
        <f t="shared" si="33"/>
        <v>0.72749485596707819</v>
      </c>
      <c r="S309" s="4">
        <f>T309/0.843</f>
        <v>6.71055753262159</v>
      </c>
      <c r="T309" s="4">
        <f>M309*INDEX(Dim_Product!$C$2:$C$4,MATCH(F309,Dim_Product!$A$2:$A$4,0))/1000000</f>
        <v>5.657</v>
      </c>
      <c r="U309" s="16">
        <f t="shared" si="34"/>
        <v>0.84299999999999997</v>
      </c>
    </row>
    <row r="310" spans="1:21" x14ac:dyDescent="0.25">
      <c r="A310" s="15" t="s">
        <v>451</v>
      </c>
      <c r="B310" s="4">
        <v>20260702</v>
      </c>
      <c r="C310" s="4">
        <v>20</v>
      </c>
      <c r="D310" s="4" t="s">
        <v>15</v>
      </c>
      <c r="E310" s="4" t="s">
        <v>20</v>
      </c>
      <c r="F310" s="4" t="s">
        <v>187</v>
      </c>
      <c r="G310" s="4">
        <v>60</v>
      </c>
      <c r="H310" s="4">
        <v>5.2</v>
      </c>
      <c r="I310" s="4">
        <f t="shared" si="28"/>
        <v>54.8</v>
      </c>
      <c r="J310" s="4">
        <f>INDEX(Dim_Machine!$E$2:$E$8,MATCH(D310,Dim_Machine!$A$2:$A$8,0))*INDEX(Dim_Machine!$D$2:$D$8,MATCH(D310,Dim_Machine!$A$2:$A$8,0))*I310</f>
        <v>21920</v>
      </c>
      <c r="K310" s="4">
        <f>ROUND(J310*0.975,0)</f>
        <v>21372</v>
      </c>
      <c r="L310" s="4">
        <f>ROUND(K310*0.0077,0)</f>
        <v>165</v>
      </c>
      <c r="M310" s="4">
        <f t="shared" si="29"/>
        <v>21207</v>
      </c>
      <c r="N310" s="4">
        <f t="shared" si="30"/>
        <v>0.97499999999999998</v>
      </c>
      <c r="O310" s="4">
        <f t="shared" si="31"/>
        <v>0.91333333333333333</v>
      </c>
      <c r="P310" s="4">
        <f>IFERROR((K310/I310)/(INDEX(Dim_Machine!$E$2:$E$8,MATCH(D310,Dim_Machine!$A$2:$A$8,0))*INDEX(Dim_Machine!$D$2:$D$8,MATCH(D310,Dim_Machine!$A$2:$A$8,0))),0)</f>
        <v>0.97499999999999998</v>
      </c>
      <c r="Q310" s="4">
        <f t="shared" si="32"/>
        <v>0.99227961819202692</v>
      </c>
      <c r="R310" s="4">
        <f t="shared" si="33"/>
        <v>0.88362499999999988</v>
      </c>
      <c r="S310" s="4">
        <f>T310/0.889</f>
        <v>7.1564679415073114</v>
      </c>
      <c r="T310" s="4">
        <f>M310*INDEX(Dim_Product!$C$2:$C$4,MATCH(F310,Dim_Product!$A$2:$A$4,0))/1000000</f>
        <v>6.3620999999999999</v>
      </c>
      <c r="U310" s="16">
        <f t="shared" si="34"/>
        <v>0.88900000000000001</v>
      </c>
    </row>
    <row r="311" spans="1:21" x14ac:dyDescent="0.25">
      <c r="A311" s="15" t="s">
        <v>452</v>
      </c>
      <c r="B311" s="4">
        <v>20260702</v>
      </c>
      <c r="C311" s="4">
        <v>20</v>
      </c>
      <c r="D311" s="4" t="s">
        <v>19</v>
      </c>
      <c r="E311" s="4" t="s">
        <v>20</v>
      </c>
      <c r="F311" s="4" t="s">
        <v>141</v>
      </c>
      <c r="G311" s="4">
        <v>60</v>
      </c>
      <c r="H311" s="4">
        <v>3.1</v>
      </c>
      <c r="I311" s="4">
        <f t="shared" si="28"/>
        <v>56.9</v>
      </c>
      <c r="J311" s="4">
        <f>INDEX(Dim_Machine!$E$2:$E$8,MATCH(D311,Dim_Machine!$A$2:$A$8,0))*INDEX(Dim_Machine!$D$2:$D$8,MATCH(D311,Dim_Machine!$A$2:$A$8,0))*I311</f>
        <v>38236.799999999996</v>
      </c>
      <c r="K311" s="4">
        <f>ROUND(J311*0.896,0)</f>
        <v>34260</v>
      </c>
      <c r="L311" s="4">
        <f>ROUND(K311*0.0336,0)</f>
        <v>1151</v>
      </c>
      <c r="M311" s="4">
        <f t="shared" si="29"/>
        <v>33109</v>
      </c>
      <c r="N311" s="4">
        <f t="shared" si="30"/>
        <v>0.89599548079337188</v>
      </c>
      <c r="O311" s="4">
        <f t="shared" si="31"/>
        <v>0.94833333333333336</v>
      </c>
      <c r="P311" s="4">
        <f>IFERROR((K311/I311)/(INDEX(Dim_Machine!$E$2:$E$8,MATCH(D311,Dim_Machine!$A$2:$A$8,0))*INDEX(Dim_Machine!$D$2:$D$8,MATCH(D311,Dim_Machine!$A$2:$A$8,0))),0)</f>
        <v>0.89599548079337188</v>
      </c>
      <c r="Q311" s="4">
        <f t="shared" si="32"/>
        <v>0.96640396964389963</v>
      </c>
      <c r="R311" s="4">
        <f t="shared" si="33"/>
        <v>0.82115575396825413</v>
      </c>
      <c r="S311" s="4">
        <f>T311/0.911</f>
        <v>9.0858946212952798</v>
      </c>
      <c r="T311" s="4">
        <f>M311*INDEX(Dim_Product!$C$2:$C$4,MATCH(F311,Dim_Product!$A$2:$A$4,0))/1000000</f>
        <v>8.2772500000000004</v>
      </c>
      <c r="U311" s="16">
        <f t="shared" si="34"/>
        <v>0.91100000000000003</v>
      </c>
    </row>
    <row r="312" spans="1:21" x14ac:dyDescent="0.25">
      <c r="A312" s="15" t="s">
        <v>453</v>
      </c>
      <c r="B312" s="4">
        <v>20260702</v>
      </c>
      <c r="C312" s="4">
        <v>20</v>
      </c>
      <c r="D312" s="4" t="s">
        <v>23</v>
      </c>
      <c r="E312" s="4" t="s">
        <v>20</v>
      </c>
      <c r="F312" s="4" t="s">
        <v>141</v>
      </c>
      <c r="G312" s="4">
        <v>60</v>
      </c>
      <c r="H312" s="4">
        <v>0.3</v>
      </c>
      <c r="I312" s="4">
        <f t="shared" si="28"/>
        <v>59.7</v>
      </c>
      <c r="J312" s="4">
        <f>INDEX(Dim_Machine!$E$2:$E$8,MATCH(D312,Dim_Machine!$A$2:$A$8,0))*INDEX(Dim_Machine!$D$2:$D$8,MATCH(D312,Dim_Machine!$A$2:$A$8,0))*I312</f>
        <v>15760.800000000001</v>
      </c>
      <c r="K312" s="4">
        <f>ROUND(J312*0.962,0)</f>
        <v>15162</v>
      </c>
      <c r="L312" s="4">
        <f>ROUND(K312*0.0221,0)</f>
        <v>335</v>
      </c>
      <c r="M312" s="4">
        <f t="shared" si="29"/>
        <v>14827</v>
      </c>
      <c r="N312" s="4">
        <f t="shared" si="30"/>
        <v>0.96200700472057254</v>
      </c>
      <c r="O312" s="4">
        <f t="shared" si="31"/>
        <v>0.995</v>
      </c>
      <c r="P312" s="4">
        <f>IFERROR((K312/I312)/(INDEX(Dim_Machine!$E$2:$E$8,MATCH(D312,Dim_Machine!$A$2:$A$8,0))*INDEX(Dim_Machine!$D$2:$D$8,MATCH(D312,Dim_Machine!$A$2:$A$8,0))),0)</f>
        <v>0.96200700472057254</v>
      </c>
      <c r="Q312" s="4">
        <f t="shared" si="32"/>
        <v>0.97790528953963862</v>
      </c>
      <c r="R312" s="4">
        <f t="shared" si="33"/>
        <v>0.93604797979797982</v>
      </c>
      <c r="S312" s="4">
        <f>T312/0.828</f>
        <v>4.4767512077294684</v>
      </c>
      <c r="T312" s="4">
        <f>M312*INDEX(Dim_Product!$C$2:$C$4,MATCH(F312,Dim_Product!$A$2:$A$4,0))/1000000</f>
        <v>3.70675</v>
      </c>
      <c r="U312" s="16">
        <f t="shared" si="34"/>
        <v>0.82800000000000007</v>
      </c>
    </row>
    <row r="313" spans="1:21" x14ac:dyDescent="0.25">
      <c r="A313" s="15" t="s">
        <v>454</v>
      </c>
      <c r="B313" s="4">
        <v>20260702</v>
      </c>
      <c r="C313" s="4">
        <v>20</v>
      </c>
      <c r="D313" s="4" t="s">
        <v>25</v>
      </c>
      <c r="E313" s="4" t="s">
        <v>20</v>
      </c>
      <c r="F313" s="4" t="s">
        <v>143</v>
      </c>
      <c r="G313" s="4">
        <v>60</v>
      </c>
      <c r="H313" s="4">
        <v>4.8</v>
      </c>
      <c r="I313" s="4">
        <f t="shared" si="28"/>
        <v>55.2</v>
      </c>
      <c r="J313" s="4">
        <f>INDEX(Dim_Machine!$E$2:$E$8,MATCH(D313,Dim_Machine!$A$2:$A$8,0))*INDEX(Dim_Machine!$D$2:$D$8,MATCH(D313,Dim_Machine!$A$2:$A$8,0))*I313</f>
        <v>39744</v>
      </c>
      <c r="K313" s="4">
        <f>ROUND(J313*0.88,0)</f>
        <v>34975</v>
      </c>
      <c r="L313" s="4">
        <f>ROUND(K313*0.0337,0)</f>
        <v>1179</v>
      </c>
      <c r="M313" s="4">
        <f t="shared" si="29"/>
        <v>33796</v>
      </c>
      <c r="N313" s="4">
        <f t="shared" si="30"/>
        <v>0.88000704508856686</v>
      </c>
      <c r="O313" s="4">
        <f t="shared" si="31"/>
        <v>0.92</v>
      </c>
      <c r="P313" s="4">
        <f>IFERROR((K313/I313)/(INDEX(Dim_Machine!$E$2:$E$8,MATCH(D313,Dim_Machine!$A$2:$A$8,0))*INDEX(Dim_Machine!$D$2:$D$8,MATCH(D313,Dim_Machine!$A$2:$A$8,0))),0)</f>
        <v>0.88000704508856686</v>
      </c>
      <c r="Q313" s="4">
        <f t="shared" si="32"/>
        <v>0.96629020729092208</v>
      </c>
      <c r="R313" s="4">
        <f t="shared" si="33"/>
        <v>0.7823148148148148</v>
      </c>
      <c r="S313" s="4">
        <f>T313/0.868</f>
        <v>7.7870967741935484</v>
      </c>
      <c r="T313" s="4">
        <f>M313*INDEX(Dim_Product!$C$2:$C$4,MATCH(F313,Dim_Product!$A$2:$A$4,0))/1000000</f>
        <v>6.7591999999999999</v>
      </c>
      <c r="U313" s="16">
        <f t="shared" si="34"/>
        <v>0.86799999999999999</v>
      </c>
    </row>
    <row r="314" spans="1:21" x14ac:dyDescent="0.25">
      <c r="A314" s="15" t="s">
        <v>455</v>
      </c>
      <c r="B314" s="4">
        <v>20260702</v>
      </c>
      <c r="C314" s="4">
        <v>20</v>
      </c>
      <c r="D314" s="4" t="s">
        <v>27</v>
      </c>
      <c r="E314" s="4" t="s">
        <v>20</v>
      </c>
      <c r="F314" s="4" t="s">
        <v>141</v>
      </c>
      <c r="G314" s="4">
        <v>60</v>
      </c>
      <c r="H314" s="4">
        <v>6.5</v>
      </c>
      <c r="I314" s="4">
        <f t="shared" si="28"/>
        <v>53.5</v>
      </c>
      <c r="J314" s="4">
        <f>INDEX(Dim_Machine!$E$2:$E$8,MATCH(D314,Dim_Machine!$A$2:$A$8,0))*INDEX(Dim_Machine!$D$2:$D$8,MATCH(D314,Dim_Machine!$A$2:$A$8,0))*I314</f>
        <v>22256</v>
      </c>
      <c r="K314" s="4">
        <f>ROUND(J314*0.947,0)</f>
        <v>21076</v>
      </c>
      <c r="L314" s="4">
        <f>ROUND(K314*0.0345,0)</f>
        <v>727</v>
      </c>
      <c r="M314" s="4">
        <f t="shared" si="29"/>
        <v>20349</v>
      </c>
      <c r="N314" s="4">
        <f t="shared" si="30"/>
        <v>0.94698058950395403</v>
      </c>
      <c r="O314" s="4">
        <f t="shared" si="31"/>
        <v>0.89166666666666672</v>
      </c>
      <c r="P314" s="4">
        <f>IFERROR((K314/I314)/(INDEX(Dim_Machine!$E$2:$E$8,MATCH(D314,Dim_Machine!$A$2:$A$8,0))*INDEX(Dim_Machine!$D$2:$D$8,MATCH(D314,Dim_Machine!$A$2:$A$8,0))),0)</f>
        <v>0.94698058950395392</v>
      </c>
      <c r="Q314" s="4">
        <f t="shared" si="32"/>
        <v>0.96550578857468206</v>
      </c>
      <c r="R314" s="4">
        <f t="shared" si="33"/>
        <v>0.81526442307692304</v>
      </c>
      <c r="S314" s="4">
        <f>T314/0.813</f>
        <v>6.2573800738007384</v>
      </c>
      <c r="T314" s="4">
        <f>M314*INDEX(Dim_Product!$C$2:$C$4,MATCH(F314,Dim_Product!$A$2:$A$4,0))/1000000</f>
        <v>5.08725</v>
      </c>
      <c r="U314" s="16">
        <f t="shared" si="34"/>
        <v>0.81299999999999994</v>
      </c>
    </row>
    <row r="315" spans="1:21" x14ac:dyDescent="0.25">
      <c r="A315" s="15" t="s">
        <v>456</v>
      </c>
      <c r="B315" s="4">
        <v>20260702</v>
      </c>
      <c r="C315" s="4">
        <v>20</v>
      </c>
      <c r="D315" s="4" t="s">
        <v>29</v>
      </c>
      <c r="E315" s="4" t="s">
        <v>20</v>
      </c>
      <c r="F315" s="4" t="s">
        <v>141</v>
      </c>
      <c r="G315" s="4">
        <v>60</v>
      </c>
      <c r="H315" s="4">
        <v>5.2</v>
      </c>
      <c r="I315" s="4">
        <f t="shared" si="28"/>
        <v>54.8</v>
      </c>
      <c r="J315" s="4">
        <f>INDEX(Dim_Machine!$E$2:$E$8,MATCH(D315,Dim_Machine!$A$2:$A$8,0))*INDEX(Dim_Machine!$D$2:$D$8,MATCH(D315,Dim_Machine!$A$2:$A$8,0))*I315</f>
        <v>15782.4</v>
      </c>
      <c r="K315" s="4">
        <f>ROUND(J315*0.788,0)</f>
        <v>12437</v>
      </c>
      <c r="L315" s="4">
        <f>ROUND(K315*0.0262,0)</f>
        <v>326</v>
      </c>
      <c r="M315" s="4">
        <f t="shared" si="29"/>
        <v>12111</v>
      </c>
      <c r="N315" s="4">
        <f t="shared" si="30"/>
        <v>0.78802970397404704</v>
      </c>
      <c r="O315" s="4">
        <f t="shared" si="31"/>
        <v>0.91333333333333333</v>
      </c>
      <c r="P315" s="4">
        <f>IFERROR((K315/I315)/(INDEX(Dim_Machine!$E$2:$E$8,MATCH(D315,Dim_Machine!$A$2:$A$8,0))*INDEX(Dim_Machine!$D$2:$D$8,MATCH(D315,Dim_Machine!$A$2:$A$8,0))),0)</f>
        <v>0.78802970397404715</v>
      </c>
      <c r="Q315" s="4">
        <f t="shared" si="32"/>
        <v>0.97378789097049123</v>
      </c>
      <c r="R315" s="4">
        <f t="shared" si="33"/>
        <v>0.70086805555555565</v>
      </c>
      <c r="S315" s="4">
        <f>T315/0.949</f>
        <v>3.1904636459430984</v>
      </c>
      <c r="T315" s="4">
        <f>M315*INDEX(Dim_Product!$C$2:$C$4,MATCH(F315,Dim_Product!$A$2:$A$4,0))/1000000</f>
        <v>3.0277500000000002</v>
      </c>
      <c r="U315" s="16">
        <f t="shared" si="34"/>
        <v>0.94899999999999995</v>
      </c>
    </row>
    <row r="316" spans="1:21" x14ac:dyDescent="0.25">
      <c r="A316" s="15" t="s">
        <v>457</v>
      </c>
      <c r="B316" s="4">
        <v>20260702</v>
      </c>
      <c r="C316" s="4">
        <v>20</v>
      </c>
      <c r="D316" s="4" t="s">
        <v>31</v>
      </c>
      <c r="E316" s="4" t="s">
        <v>20</v>
      </c>
      <c r="F316" s="4" t="s">
        <v>143</v>
      </c>
      <c r="G316" s="4">
        <v>60</v>
      </c>
      <c r="H316" s="4">
        <v>4.2</v>
      </c>
      <c r="I316" s="4">
        <f t="shared" si="28"/>
        <v>55.8</v>
      </c>
      <c r="J316" s="4">
        <f>INDEX(Dim_Machine!$E$2:$E$8,MATCH(D316,Dim_Machine!$A$2:$A$8,0))*INDEX(Dim_Machine!$D$2:$D$8,MATCH(D316,Dim_Machine!$A$2:$A$8,0))*I316</f>
        <v>36158.400000000001</v>
      </c>
      <c r="K316" s="4">
        <f>ROUND(J316*0.902,0)</f>
        <v>32615</v>
      </c>
      <c r="L316" s="4">
        <f>ROUND(K316*0.0159,0)</f>
        <v>519</v>
      </c>
      <c r="M316" s="4">
        <f t="shared" si="29"/>
        <v>32096</v>
      </c>
      <c r="N316" s="4">
        <f t="shared" si="30"/>
        <v>0.90200340723040839</v>
      </c>
      <c r="O316" s="4">
        <f t="shared" si="31"/>
        <v>0.92999999999999994</v>
      </c>
      <c r="P316" s="4">
        <f>IFERROR((K316/I316)/(INDEX(Dim_Machine!$E$2:$E$8,MATCH(D316,Dim_Machine!$A$2:$A$8,0))*INDEX(Dim_Machine!$D$2:$D$8,MATCH(D316,Dim_Machine!$A$2:$A$8,0))),0)</f>
        <v>0.9020034072304085</v>
      </c>
      <c r="Q316" s="4">
        <f t="shared" si="32"/>
        <v>0.98408707649854366</v>
      </c>
      <c r="R316" s="4">
        <f t="shared" si="33"/>
        <v>0.82551440329218118</v>
      </c>
      <c r="S316" s="4">
        <f>T316/0.938</f>
        <v>6.8434968017057569</v>
      </c>
      <c r="T316" s="4">
        <f>M316*INDEX(Dim_Product!$C$2:$C$4,MATCH(F316,Dim_Product!$A$2:$A$4,0))/1000000</f>
        <v>6.4192</v>
      </c>
      <c r="U316" s="16">
        <f t="shared" si="34"/>
        <v>0.93800000000000006</v>
      </c>
    </row>
    <row r="317" spans="1:21" x14ac:dyDescent="0.25">
      <c r="A317" s="15" t="s">
        <v>458</v>
      </c>
      <c r="B317" s="4">
        <v>20260702</v>
      </c>
      <c r="C317" s="4">
        <v>21</v>
      </c>
      <c r="D317" s="4" t="s">
        <v>15</v>
      </c>
      <c r="E317" s="4" t="s">
        <v>20</v>
      </c>
      <c r="F317" s="4" t="s">
        <v>187</v>
      </c>
      <c r="G317" s="4">
        <v>60</v>
      </c>
      <c r="H317" s="4">
        <v>3.1</v>
      </c>
      <c r="I317" s="4">
        <f t="shared" si="28"/>
        <v>56.9</v>
      </c>
      <c r="J317" s="4">
        <f>INDEX(Dim_Machine!$E$2:$E$8,MATCH(D317,Dim_Machine!$A$2:$A$8,0))*INDEX(Dim_Machine!$D$2:$D$8,MATCH(D317,Dim_Machine!$A$2:$A$8,0))*I317</f>
        <v>22760</v>
      </c>
      <c r="K317" s="4">
        <f>ROUND(J317*0.935,0)</f>
        <v>21281</v>
      </c>
      <c r="L317" s="4">
        <f>ROUND(K317*0.0254,0)</f>
        <v>541</v>
      </c>
      <c r="M317" s="4">
        <f t="shared" si="29"/>
        <v>20740</v>
      </c>
      <c r="N317" s="4">
        <f t="shared" si="30"/>
        <v>0.93501757469244284</v>
      </c>
      <c r="O317" s="4">
        <f t="shared" si="31"/>
        <v>0.94833333333333336</v>
      </c>
      <c r="P317" s="4">
        <f>IFERROR((K317/I317)/(INDEX(Dim_Machine!$E$2:$E$8,MATCH(D317,Dim_Machine!$A$2:$A$8,0))*INDEX(Dim_Machine!$D$2:$D$8,MATCH(D317,Dim_Machine!$A$2:$A$8,0))),0)</f>
        <v>0.93501757469244295</v>
      </c>
      <c r="Q317" s="4">
        <f t="shared" si="32"/>
        <v>0.97457826229970401</v>
      </c>
      <c r="R317" s="4">
        <f t="shared" si="33"/>
        <v>0.86416666666666686</v>
      </c>
      <c r="S317" s="4">
        <f>T317/0.808</f>
        <v>7.7004950495049505</v>
      </c>
      <c r="T317" s="4">
        <f>M317*INDEX(Dim_Product!$C$2:$C$4,MATCH(F317,Dim_Product!$A$2:$A$4,0))/1000000</f>
        <v>6.2220000000000004</v>
      </c>
      <c r="U317" s="16">
        <f t="shared" si="34"/>
        <v>0.80800000000000005</v>
      </c>
    </row>
    <row r="318" spans="1:21" x14ac:dyDescent="0.25">
      <c r="A318" s="15" t="s">
        <v>459</v>
      </c>
      <c r="B318" s="4">
        <v>20260702</v>
      </c>
      <c r="C318" s="4">
        <v>21</v>
      </c>
      <c r="D318" s="4" t="s">
        <v>19</v>
      </c>
      <c r="E318" s="4" t="s">
        <v>20</v>
      </c>
      <c r="F318" s="4" t="s">
        <v>141</v>
      </c>
      <c r="G318" s="4">
        <v>60</v>
      </c>
      <c r="H318" s="4">
        <v>5</v>
      </c>
      <c r="I318" s="4">
        <f t="shared" si="28"/>
        <v>55</v>
      </c>
      <c r="J318" s="4">
        <f>INDEX(Dim_Machine!$E$2:$E$8,MATCH(D318,Dim_Machine!$A$2:$A$8,0))*INDEX(Dim_Machine!$D$2:$D$8,MATCH(D318,Dim_Machine!$A$2:$A$8,0))*I318</f>
        <v>36960</v>
      </c>
      <c r="K318" s="4">
        <f>ROUND(J318*0.847,0)</f>
        <v>31305</v>
      </c>
      <c r="L318" s="4">
        <f>ROUND(K318*0.0149,0)</f>
        <v>466</v>
      </c>
      <c r="M318" s="4">
        <f t="shared" si="29"/>
        <v>30839</v>
      </c>
      <c r="N318" s="4">
        <f t="shared" si="30"/>
        <v>0.84699675324675328</v>
      </c>
      <c r="O318" s="4">
        <f t="shared" si="31"/>
        <v>0.91666666666666663</v>
      </c>
      <c r="P318" s="4">
        <f>IFERROR((K318/I318)/(INDEX(Dim_Machine!$E$2:$E$8,MATCH(D318,Dim_Machine!$A$2:$A$8,0))*INDEX(Dim_Machine!$D$2:$D$8,MATCH(D318,Dim_Machine!$A$2:$A$8,0))),0)</f>
        <v>0.84699675324675316</v>
      </c>
      <c r="Q318" s="4">
        <f t="shared" si="32"/>
        <v>0.98511419900974284</v>
      </c>
      <c r="R318" s="4">
        <f t="shared" si="33"/>
        <v>0.76485615079365066</v>
      </c>
      <c r="S318" s="4">
        <f>T318/0.884</f>
        <v>8.7214366515837103</v>
      </c>
      <c r="T318" s="4">
        <f>M318*INDEX(Dim_Product!$C$2:$C$4,MATCH(F318,Dim_Product!$A$2:$A$4,0))/1000000</f>
        <v>7.7097499999999997</v>
      </c>
      <c r="U318" s="16">
        <f t="shared" si="34"/>
        <v>0.88400000000000001</v>
      </c>
    </row>
    <row r="319" spans="1:21" x14ac:dyDescent="0.25">
      <c r="A319" s="15" t="s">
        <v>460</v>
      </c>
      <c r="B319" s="4">
        <v>20260702</v>
      </c>
      <c r="C319" s="4">
        <v>21</v>
      </c>
      <c r="D319" s="4" t="s">
        <v>23</v>
      </c>
      <c r="E319" s="4" t="s">
        <v>20</v>
      </c>
      <c r="F319" s="4" t="s">
        <v>141</v>
      </c>
      <c r="G319" s="4">
        <v>60</v>
      </c>
      <c r="H319" s="4">
        <v>3.1</v>
      </c>
      <c r="I319" s="4">
        <f t="shared" si="28"/>
        <v>56.9</v>
      </c>
      <c r="J319" s="4">
        <f>INDEX(Dim_Machine!$E$2:$E$8,MATCH(D319,Dim_Machine!$A$2:$A$8,0))*INDEX(Dim_Machine!$D$2:$D$8,MATCH(D319,Dim_Machine!$A$2:$A$8,0))*I319</f>
        <v>15021.6</v>
      </c>
      <c r="K319" s="4">
        <f>ROUND(J319*0.83,0)</f>
        <v>12468</v>
      </c>
      <c r="L319" s="4">
        <f>ROUND(K319*0.0305,0)</f>
        <v>380</v>
      </c>
      <c r="M319" s="4">
        <f t="shared" si="29"/>
        <v>12088</v>
      </c>
      <c r="N319" s="4">
        <f t="shared" si="30"/>
        <v>0.83000479309793895</v>
      </c>
      <c r="O319" s="4">
        <f t="shared" si="31"/>
        <v>0.94833333333333336</v>
      </c>
      <c r="P319" s="4">
        <f>IFERROR((K319/I319)/(INDEX(Dim_Machine!$E$2:$E$8,MATCH(D319,Dim_Machine!$A$2:$A$8,0))*INDEX(Dim_Machine!$D$2:$D$8,MATCH(D319,Dim_Machine!$A$2:$A$8,0))),0)</f>
        <v>0.83000479309793906</v>
      </c>
      <c r="Q319" s="4">
        <f t="shared" si="32"/>
        <v>0.96952197625922365</v>
      </c>
      <c r="R319" s="4">
        <f t="shared" si="33"/>
        <v>0.76313131313131322</v>
      </c>
      <c r="S319" s="4">
        <f>T319/0.945</f>
        <v>3.1978835978835978</v>
      </c>
      <c r="T319" s="4">
        <f>M319*INDEX(Dim_Product!$C$2:$C$4,MATCH(F319,Dim_Product!$A$2:$A$4,0))/1000000</f>
        <v>3.0219999999999998</v>
      </c>
      <c r="U319" s="16">
        <f t="shared" si="34"/>
        <v>0.94499999999999995</v>
      </c>
    </row>
    <row r="320" spans="1:21" x14ac:dyDescent="0.25">
      <c r="A320" s="15" t="s">
        <v>461</v>
      </c>
      <c r="B320" s="4">
        <v>20260702</v>
      </c>
      <c r="C320" s="4">
        <v>21</v>
      </c>
      <c r="D320" s="4" t="s">
        <v>25</v>
      </c>
      <c r="E320" s="4" t="s">
        <v>20</v>
      </c>
      <c r="F320" s="4" t="s">
        <v>143</v>
      </c>
      <c r="G320" s="4">
        <v>60</v>
      </c>
      <c r="H320" s="4">
        <v>4.8</v>
      </c>
      <c r="I320" s="4">
        <f t="shared" si="28"/>
        <v>55.2</v>
      </c>
      <c r="J320" s="4">
        <f>INDEX(Dim_Machine!$E$2:$E$8,MATCH(D320,Dim_Machine!$A$2:$A$8,0))*INDEX(Dim_Machine!$D$2:$D$8,MATCH(D320,Dim_Machine!$A$2:$A$8,0))*I320</f>
        <v>39744</v>
      </c>
      <c r="K320" s="4">
        <f>ROUND(J320*0.81,0)</f>
        <v>32193</v>
      </c>
      <c r="L320" s="4">
        <f>ROUND(K320*0.0074,0)</f>
        <v>238</v>
      </c>
      <c r="M320" s="4">
        <f t="shared" si="29"/>
        <v>31955</v>
      </c>
      <c r="N320" s="4">
        <f t="shared" si="30"/>
        <v>0.81000905797101452</v>
      </c>
      <c r="O320" s="4">
        <f t="shared" si="31"/>
        <v>0.92</v>
      </c>
      <c r="P320" s="4">
        <f>IFERROR((K320/I320)/(INDEX(Dim_Machine!$E$2:$E$8,MATCH(D320,Dim_Machine!$A$2:$A$8,0))*INDEX(Dim_Machine!$D$2:$D$8,MATCH(D320,Dim_Machine!$A$2:$A$8,0))),0)</f>
        <v>0.81000905797101441</v>
      </c>
      <c r="Q320" s="4">
        <f t="shared" si="32"/>
        <v>0.99260708849749946</v>
      </c>
      <c r="R320" s="4">
        <f t="shared" si="33"/>
        <v>0.73969907407407398</v>
      </c>
      <c r="S320" s="4">
        <f>T320/0.9</f>
        <v>7.1011111111111109</v>
      </c>
      <c r="T320" s="4">
        <f>M320*INDEX(Dim_Product!$C$2:$C$4,MATCH(F320,Dim_Product!$A$2:$A$4,0))/1000000</f>
        <v>6.391</v>
      </c>
      <c r="U320" s="16">
        <f t="shared" si="34"/>
        <v>0.9</v>
      </c>
    </row>
    <row r="321" spans="1:21" x14ac:dyDescent="0.25">
      <c r="A321" s="15" t="s">
        <v>462</v>
      </c>
      <c r="B321" s="4">
        <v>20260702</v>
      </c>
      <c r="C321" s="4">
        <v>21</v>
      </c>
      <c r="D321" s="4" t="s">
        <v>27</v>
      </c>
      <c r="E321" s="4" t="s">
        <v>20</v>
      </c>
      <c r="F321" s="4" t="s">
        <v>141</v>
      </c>
      <c r="G321" s="4">
        <v>60</v>
      </c>
      <c r="H321" s="4">
        <v>7.3</v>
      </c>
      <c r="I321" s="4">
        <f t="shared" si="28"/>
        <v>52.7</v>
      </c>
      <c r="J321" s="4">
        <f>INDEX(Dim_Machine!$E$2:$E$8,MATCH(D321,Dim_Machine!$A$2:$A$8,0))*INDEX(Dim_Machine!$D$2:$D$8,MATCH(D321,Dim_Machine!$A$2:$A$8,0))*I321</f>
        <v>21923.200000000001</v>
      </c>
      <c r="K321" s="4">
        <f>ROUND(J321*0.842,0)</f>
        <v>18459</v>
      </c>
      <c r="L321" s="4">
        <f>ROUND(K321*0.0247,0)</f>
        <v>456</v>
      </c>
      <c r="M321" s="4">
        <f t="shared" si="29"/>
        <v>18003</v>
      </c>
      <c r="N321" s="4">
        <f t="shared" si="30"/>
        <v>0.84198474675229895</v>
      </c>
      <c r="O321" s="4">
        <f t="shared" si="31"/>
        <v>0.87833333333333341</v>
      </c>
      <c r="P321" s="4">
        <f>IFERROR((K321/I321)/(INDEX(Dim_Machine!$E$2:$E$8,MATCH(D321,Dim_Machine!$A$2:$A$8,0))*INDEX(Dim_Machine!$D$2:$D$8,MATCH(D321,Dim_Machine!$A$2:$A$8,0))),0)</f>
        <v>0.84198474675229895</v>
      </c>
      <c r="Q321" s="4">
        <f t="shared" si="32"/>
        <v>0.97529660328295142</v>
      </c>
      <c r="R321" s="4">
        <f t="shared" si="33"/>
        <v>0.72127403846153859</v>
      </c>
      <c r="S321" s="4">
        <f>T321/0.899</f>
        <v>5.0063959955506121</v>
      </c>
      <c r="T321" s="4">
        <f>M321*INDEX(Dim_Product!$C$2:$C$4,MATCH(F321,Dim_Product!$A$2:$A$4,0))/1000000</f>
        <v>4.50075</v>
      </c>
      <c r="U321" s="16">
        <f t="shared" si="34"/>
        <v>0.89899999999999991</v>
      </c>
    </row>
    <row r="322" spans="1:21" x14ac:dyDescent="0.25">
      <c r="A322" s="15" t="s">
        <v>463</v>
      </c>
      <c r="B322" s="4">
        <v>20260702</v>
      </c>
      <c r="C322" s="4">
        <v>21</v>
      </c>
      <c r="D322" s="4" t="s">
        <v>29</v>
      </c>
      <c r="E322" s="4" t="s">
        <v>20</v>
      </c>
      <c r="F322" s="4" t="s">
        <v>141</v>
      </c>
      <c r="G322" s="4">
        <v>60</v>
      </c>
      <c r="H322" s="4">
        <v>1</v>
      </c>
      <c r="I322" s="4">
        <f t="shared" ref="I322:I337" si="35">G322-H322</f>
        <v>59</v>
      </c>
      <c r="J322" s="4">
        <f>INDEX(Dim_Machine!$E$2:$E$8,MATCH(D322,Dim_Machine!$A$2:$A$8,0))*INDEX(Dim_Machine!$D$2:$D$8,MATCH(D322,Dim_Machine!$A$2:$A$8,0))*I322</f>
        <v>16992</v>
      </c>
      <c r="K322" s="4">
        <f>ROUND(J322*0.922,0)</f>
        <v>15667</v>
      </c>
      <c r="L322" s="4">
        <f>ROUND(K322*0.0075,0)</f>
        <v>118</v>
      </c>
      <c r="M322" s="4">
        <f t="shared" ref="M322:M337" si="36">K322-L322</f>
        <v>15549</v>
      </c>
      <c r="N322" s="4">
        <f t="shared" ref="N322:N337" si="37">IFERROR(K322/J322,0)</f>
        <v>0.92202212806026362</v>
      </c>
      <c r="O322" s="4">
        <f t="shared" ref="O322:O337" si="38">IFERROR(I322/G322,0)</f>
        <v>0.98333333333333328</v>
      </c>
      <c r="P322" s="4">
        <f>IFERROR((K322/I322)/(INDEX(Dim_Machine!$E$2:$E$8,MATCH(D322,Dim_Machine!$A$2:$A$8,0))*INDEX(Dim_Machine!$D$2:$D$8,MATCH(D322,Dim_Machine!$A$2:$A$8,0))),0)</f>
        <v>0.92202212806026373</v>
      </c>
      <c r="Q322" s="4">
        <f t="shared" ref="Q322:Q337" si="39">IFERROR(M322/K322,0)</f>
        <v>0.99246824535648182</v>
      </c>
      <c r="R322" s="4">
        <f t="shared" ref="R322:R337" si="40">O322*P322*Q322</f>
        <v>0.89982638888888888</v>
      </c>
      <c r="S322" s="4">
        <f>T322/0.884</f>
        <v>4.3973416289592757</v>
      </c>
      <c r="T322" s="4">
        <f>M322*INDEX(Dim_Product!$C$2:$C$4,MATCH(F322,Dim_Product!$A$2:$A$4,0))/1000000</f>
        <v>3.8872499999999999</v>
      </c>
      <c r="U322" s="16">
        <f t="shared" ref="U322:U337" si="41">IFERROR(T322/S322,0)</f>
        <v>0.88400000000000001</v>
      </c>
    </row>
    <row r="323" spans="1:21" x14ac:dyDescent="0.25">
      <c r="A323" s="15" t="s">
        <v>464</v>
      </c>
      <c r="B323" s="4">
        <v>20260702</v>
      </c>
      <c r="C323" s="4">
        <v>21</v>
      </c>
      <c r="D323" s="4" t="s">
        <v>31</v>
      </c>
      <c r="E323" s="4" t="s">
        <v>20</v>
      </c>
      <c r="F323" s="4" t="s">
        <v>143</v>
      </c>
      <c r="G323" s="4">
        <v>60</v>
      </c>
      <c r="H323" s="4">
        <v>5.0999999999999996</v>
      </c>
      <c r="I323" s="4">
        <f t="shared" si="35"/>
        <v>54.9</v>
      </c>
      <c r="J323" s="4">
        <f>INDEX(Dim_Machine!$E$2:$E$8,MATCH(D323,Dim_Machine!$A$2:$A$8,0))*INDEX(Dim_Machine!$D$2:$D$8,MATCH(D323,Dim_Machine!$A$2:$A$8,0))*I323</f>
        <v>35575.199999999997</v>
      </c>
      <c r="K323" s="4">
        <f>ROUND(J323*0.846,0)</f>
        <v>30097</v>
      </c>
      <c r="L323" s="4">
        <f>ROUND(K323*0.0088,0)</f>
        <v>265</v>
      </c>
      <c r="M323" s="4">
        <f t="shared" si="36"/>
        <v>29832</v>
      </c>
      <c r="N323" s="4">
        <f t="shared" si="37"/>
        <v>0.84601070408599255</v>
      </c>
      <c r="O323" s="4">
        <f t="shared" si="38"/>
        <v>0.91499999999999992</v>
      </c>
      <c r="P323" s="4">
        <f>IFERROR((K323/I323)/(INDEX(Dim_Machine!$E$2:$E$8,MATCH(D323,Dim_Machine!$A$2:$A$8,0))*INDEX(Dim_Machine!$D$2:$D$8,MATCH(D323,Dim_Machine!$A$2:$A$8,0))),0)</f>
        <v>0.84601070408599244</v>
      </c>
      <c r="Q323" s="4">
        <f t="shared" si="39"/>
        <v>0.99119513572781337</v>
      </c>
      <c r="R323" s="4">
        <f t="shared" si="40"/>
        <v>0.76728395061728383</v>
      </c>
      <c r="S323" s="4">
        <f>T323/0.905</f>
        <v>6.5927071823204422</v>
      </c>
      <c r="T323" s="4">
        <f>M323*INDEX(Dim_Product!$C$2:$C$4,MATCH(F323,Dim_Product!$A$2:$A$4,0))/1000000</f>
        <v>5.9664000000000001</v>
      </c>
      <c r="U323" s="16">
        <f t="shared" si="41"/>
        <v>0.90500000000000003</v>
      </c>
    </row>
    <row r="324" spans="1:21" x14ac:dyDescent="0.25">
      <c r="A324" s="15" t="s">
        <v>465</v>
      </c>
      <c r="B324" s="4">
        <v>20260702</v>
      </c>
      <c r="C324" s="4">
        <v>22</v>
      </c>
      <c r="D324" s="4" t="s">
        <v>15</v>
      </c>
      <c r="E324" s="4" t="s">
        <v>20</v>
      </c>
      <c r="F324" s="4" t="s">
        <v>187</v>
      </c>
      <c r="G324" s="4">
        <v>60</v>
      </c>
      <c r="H324" s="4">
        <v>7.6</v>
      </c>
      <c r="I324" s="4">
        <f t="shared" si="35"/>
        <v>52.4</v>
      </c>
      <c r="J324" s="4">
        <f>INDEX(Dim_Machine!$E$2:$E$8,MATCH(D324,Dim_Machine!$A$2:$A$8,0))*INDEX(Dim_Machine!$D$2:$D$8,MATCH(D324,Dim_Machine!$A$2:$A$8,0))*I324</f>
        <v>20960</v>
      </c>
      <c r="K324" s="4">
        <f>ROUND(J324*0.979,0)</f>
        <v>20520</v>
      </c>
      <c r="L324" s="4">
        <f>ROUND(K324*0.0324,0)</f>
        <v>665</v>
      </c>
      <c r="M324" s="4">
        <f t="shared" si="36"/>
        <v>19855</v>
      </c>
      <c r="N324" s="4">
        <f t="shared" si="37"/>
        <v>0.97900763358778631</v>
      </c>
      <c r="O324" s="4">
        <f t="shared" si="38"/>
        <v>0.87333333333333329</v>
      </c>
      <c r="P324" s="4">
        <f>IFERROR((K324/I324)/(INDEX(Dim_Machine!$E$2:$E$8,MATCH(D324,Dim_Machine!$A$2:$A$8,0))*INDEX(Dim_Machine!$D$2:$D$8,MATCH(D324,Dim_Machine!$A$2:$A$8,0))),0)</f>
        <v>0.97900763358778631</v>
      </c>
      <c r="Q324" s="4">
        <f t="shared" si="39"/>
        <v>0.96759259259259256</v>
      </c>
      <c r="R324" s="4">
        <f t="shared" si="40"/>
        <v>0.82729166666666665</v>
      </c>
      <c r="S324" s="4">
        <f>T324/0.814</f>
        <v>7.3175675675675684</v>
      </c>
      <c r="T324" s="4">
        <f>M324*INDEX(Dim_Product!$C$2:$C$4,MATCH(F324,Dim_Product!$A$2:$A$4,0))/1000000</f>
        <v>5.9565000000000001</v>
      </c>
      <c r="U324" s="16">
        <f t="shared" si="41"/>
        <v>0.81399999999999995</v>
      </c>
    </row>
    <row r="325" spans="1:21" x14ac:dyDescent="0.25">
      <c r="A325" s="15" t="s">
        <v>466</v>
      </c>
      <c r="B325" s="4">
        <v>20260702</v>
      </c>
      <c r="C325" s="4">
        <v>22</v>
      </c>
      <c r="D325" s="4" t="s">
        <v>19</v>
      </c>
      <c r="E325" s="4" t="s">
        <v>20</v>
      </c>
      <c r="F325" s="4" t="s">
        <v>141</v>
      </c>
      <c r="G325" s="4">
        <v>60</v>
      </c>
      <c r="H325" s="4">
        <v>5.4</v>
      </c>
      <c r="I325" s="4">
        <f t="shared" si="35"/>
        <v>54.6</v>
      </c>
      <c r="J325" s="4">
        <f>INDEX(Dim_Machine!$E$2:$E$8,MATCH(D325,Dim_Machine!$A$2:$A$8,0))*INDEX(Dim_Machine!$D$2:$D$8,MATCH(D325,Dim_Machine!$A$2:$A$8,0))*I325</f>
        <v>36691.200000000004</v>
      </c>
      <c r="K325" s="4">
        <f>ROUND(J325*0.882,0)</f>
        <v>32362</v>
      </c>
      <c r="L325" s="4">
        <f>ROUND(K325*0.0055,0)</f>
        <v>178</v>
      </c>
      <c r="M325" s="4">
        <f t="shared" si="36"/>
        <v>32184</v>
      </c>
      <c r="N325" s="4">
        <f t="shared" si="37"/>
        <v>0.88200985522414088</v>
      </c>
      <c r="O325" s="4">
        <f t="shared" si="38"/>
        <v>0.91</v>
      </c>
      <c r="P325" s="4">
        <f>IFERROR((K325/I325)/(INDEX(Dim_Machine!$E$2:$E$8,MATCH(D325,Dim_Machine!$A$2:$A$8,0))*INDEX(Dim_Machine!$D$2:$D$8,MATCH(D325,Dim_Machine!$A$2:$A$8,0))),0)</f>
        <v>0.88200985522414099</v>
      </c>
      <c r="Q325" s="4">
        <f t="shared" si="39"/>
        <v>0.99449972189605096</v>
      </c>
      <c r="R325" s="4">
        <f t="shared" si="40"/>
        <v>0.79821428571428588</v>
      </c>
      <c r="S325" s="4">
        <f>T325/0.846</f>
        <v>9.5106382978723403</v>
      </c>
      <c r="T325" s="4">
        <f>M325*INDEX(Dim_Product!$C$2:$C$4,MATCH(F325,Dim_Product!$A$2:$A$4,0))/1000000</f>
        <v>8.0459999999999994</v>
      </c>
      <c r="U325" s="16">
        <f t="shared" si="41"/>
        <v>0.84599999999999997</v>
      </c>
    </row>
    <row r="326" spans="1:21" x14ac:dyDescent="0.25">
      <c r="A326" s="15" t="s">
        <v>467</v>
      </c>
      <c r="B326" s="4">
        <v>20260702</v>
      </c>
      <c r="C326" s="4">
        <v>22</v>
      </c>
      <c r="D326" s="4" t="s">
        <v>23</v>
      </c>
      <c r="E326" s="4" t="s">
        <v>20</v>
      </c>
      <c r="F326" s="4" t="s">
        <v>141</v>
      </c>
      <c r="G326" s="4">
        <v>60</v>
      </c>
      <c r="H326" s="4">
        <v>7.6</v>
      </c>
      <c r="I326" s="4">
        <f t="shared" si="35"/>
        <v>52.4</v>
      </c>
      <c r="J326" s="4">
        <f>INDEX(Dim_Machine!$E$2:$E$8,MATCH(D326,Dim_Machine!$A$2:$A$8,0))*INDEX(Dim_Machine!$D$2:$D$8,MATCH(D326,Dim_Machine!$A$2:$A$8,0))*I326</f>
        <v>13833.6</v>
      </c>
      <c r="K326" s="4">
        <f>ROUND(J326*0.848,0)</f>
        <v>11731</v>
      </c>
      <c r="L326" s="4">
        <f>ROUND(K326*0.028,0)</f>
        <v>328</v>
      </c>
      <c r="M326" s="4">
        <f t="shared" si="36"/>
        <v>11403</v>
      </c>
      <c r="N326" s="4">
        <f t="shared" si="37"/>
        <v>0.84800774924820721</v>
      </c>
      <c r="O326" s="4">
        <f t="shared" si="38"/>
        <v>0.87333333333333329</v>
      </c>
      <c r="P326" s="4">
        <f>IFERROR((K326/I326)/(INDEX(Dim_Machine!$E$2:$E$8,MATCH(D326,Dim_Machine!$A$2:$A$8,0))*INDEX(Dim_Machine!$D$2:$D$8,MATCH(D326,Dim_Machine!$A$2:$A$8,0))),0)</f>
        <v>0.84800774924820732</v>
      </c>
      <c r="Q326" s="4">
        <f t="shared" si="39"/>
        <v>0.97203989429716142</v>
      </c>
      <c r="R326" s="4">
        <f t="shared" si="40"/>
        <v>0.71988636363636371</v>
      </c>
      <c r="S326" s="4">
        <f>T326/0.829</f>
        <v>3.4387816646562128</v>
      </c>
      <c r="T326" s="4">
        <f>M326*INDEX(Dim_Product!$C$2:$C$4,MATCH(F326,Dim_Product!$A$2:$A$4,0))/1000000</f>
        <v>2.8507500000000001</v>
      </c>
      <c r="U326" s="16">
        <f t="shared" si="41"/>
        <v>0.82899999999999996</v>
      </c>
    </row>
    <row r="327" spans="1:21" x14ac:dyDescent="0.25">
      <c r="A327" s="15" t="s">
        <v>468</v>
      </c>
      <c r="B327" s="4">
        <v>20260702</v>
      </c>
      <c r="C327" s="4">
        <v>22</v>
      </c>
      <c r="D327" s="4" t="s">
        <v>25</v>
      </c>
      <c r="E327" s="4" t="s">
        <v>20</v>
      </c>
      <c r="F327" s="4" t="s">
        <v>143</v>
      </c>
      <c r="G327" s="4">
        <v>60</v>
      </c>
      <c r="H327" s="4">
        <v>8</v>
      </c>
      <c r="I327" s="4">
        <f t="shared" si="35"/>
        <v>52</v>
      </c>
      <c r="J327" s="4">
        <f>INDEX(Dim_Machine!$E$2:$E$8,MATCH(D327,Dim_Machine!$A$2:$A$8,0))*INDEX(Dim_Machine!$D$2:$D$8,MATCH(D327,Dim_Machine!$A$2:$A$8,0))*I327</f>
        <v>37440</v>
      </c>
      <c r="K327" s="4">
        <f>ROUND(J327*0.811,0)</f>
        <v>30364</v>
      </c>
      <c r="L327" s="4">
        <f>ROUND(K327*0.0139,0)</f>
        <v>422</v>
      </c>
      <c r="M327" s="4">
        <f t="shared" si="36"/>
        <v>29942</v>
      </c>
      <c r="N327" s="4">
        <f t="shared" si="37"/>
        <v>0.81100427350427351</v>
      </c>
      <c r="O327" s="4">
        <f t="shared" si="38"/>
        <v>0.8666666666666667</v>
      </c>
      <c r="P327" s="4">
        <f>IFERROR((K327/I327)/(INDEX(Dim_Machine!$E$2:$E$8,MATCH(D327,Dim_Machine!$A$2:$A$8,0))*INDEX(Dim_Machine!$D$2:$D$8,MATCH(D327,Dim_Machine!$A$2:$A$8,0))),0)</f>
        <v>0.81100427350427351</v>
      </c>
      <c r="Q327" s="4">
        <f t="shared" si="39"/>
        <v>0.98610196285074425</v>
      </c>
      <c r="R327" s="4">
        <f t="shared" si="40"/>
        <v>0.6931018518518518</v>
      </c>
      <c r="S327" s="4">
        <f>T327/0.918</f>
        <v>6.5233115468409588</v>
      </c>
      <c r="T327" s="4">
        <f>M327*INDEX(Dim_Product!$C$2:$C$4,MATCH(F327,Dim_Product!$A$2:$A$4,0))/1000000</f>
        <v>5.9884000000000004</v>
      </c>
      <c r="U327" s="16">
        <f t="shared" si="41"/>
        <v>0.91800000000000004</v>
      </c>
    </row>
    <row r="328" spans="1:21" x14ac:dyDescent="0.25">
      <c r="A328" s="15" t="s">
        <v>469</v>
      </c>
      <c r="B328" s="4">
        <v>20260702</v>
      </c>
      <c r="C328" s="4">
        <v>22</v>
      </c>
      <c r="D328" s="4" t="s">
        <v>27</v>
      </c>
      <c r="E328" s="4" t="s">
        <v>20</v>
      </c>
      <c r="F328" s="4" t="s">
        <v>141</v>
      </c>
      <c r="G328" s="4">
        <v>60</v>
      </c>
      <c r="H328" s="4">
        <v>4.0999999999999996</v>
      </c>
      <c r="I328" s="4">
        <f t="shared" si="35"/>
        <v>55.9</v>
      </c>
      <c r="J328" s="4">
        <f>INDEX(Dim_Machine!$E$2:$E$8,MATCH(D328,Dim_Machine!$A$2:$A$8,0))*INDEX(Dim_Machine!$D$2:$D$8,MATCH(D328,Dim_Machine!$A$2:$A$8,0))*I328</f>
        <v>23254.399999999998</v>
      </c>
      <c r="K328" s="4">
        <f>ROUND(J328*0.888,0)</f>
        <v>20650</v>
      </c>
      <c r="L328" s="4">
        <f>ROUND(K328*0.0272,0)</f>
        <v>562</v>
      </c>
      <c r="M328" s="4">
        <f t="shared" si="36"/>
        <v>20088</v>
      </c>
      <c r="N328" s="4">
        <f t="shared" si="37"/>
        <v>0.88800399064263114</v>
      </c>
      <c r="O328" s="4">
        <f t="shared" si="38"/>
        <v>0.93166666666666664</v>
      </c>
      <c r="P328" s="4">
        <f>IFERROR((K328/I328)/(INDEX(Dim_Machine!$E$2:$E$8,MATCH(D328,Dim_Machine!$A$2:$A$8,0))*INDEX(Dim_Machine!$D$2:$D$8,MATCH(D328,Dim_Machine!$A$2:$A$8,0))),0)</f>
        <v>0.88800399064263114</v>
      </c>
      <c r="Q328" s="4">
        <f t="shared" si="39"/>
        <v>0.97278450363196123</v>
      </c>
      <c r="R328" s="4">
        <f t="shared" si="40"/>
        <v>0.80480769230769234</v>
      </c>
      <c r="S328" s="4">
        <f>T328/0.879</f>
        <v>5.7133105802047783</v>
      </c>
      <c r="T328" s="4">
        <f>M328*INDEX(Dim_Product!$C$2:$C$4,MATCH(F328,Dim_Product!$A$2:$A$4,0))/1000000</f>
        <v>5.0220000000000002</v>
      </c>
      <c r="U328" s="16">
        <f t="shared" si="41"/>
        <v>0.879</v>
      </c>
    </row>
    <row r="329" spans="1:21" x14ac:dyDescent="0.25">
      <c r="A329" s="15" t="s">
        <v>470</v>
      </c>
      <c r="B329" s="4">
        <v>20260702</v>
      </c>
      <c r="C329" s="4">
        <v>22</v>
      </c>
      <c r="D329" s="4" t="s">
        <v>29</v>
      </c>
      <c r="E329" s="4" t="s">
        <v>20</v>
      </c>
      <c r="F329" s="4" t="s">
        <v>141</v>
      </c>
      <c r="G329" s="4">
        <v>60</v>
      </c>
      <c r="H329" s="4">
        <v>5.3</v>
      </c>
      <c r="I329" s="4">
        <f t="shared" si="35"/>
        <v>54.7</v>
      </c>
      <c r="J329" s="4">
        <f>INDEX(Dim_Machine!$E$2:$E$8,MATCH(D329,Dim_Machine!$A$2:$A$8,0))*INDEX(Dim_Machine!$D$2:$D$8,MATCH(D329,Dim_Machine!$A$2:$A$8,0))*I329</f>
        <v>15753.6</v>
      </c>
      <c r="K329" s="4">
        <f>ROUND(J329*0.955,0)</f>
        <v>15045</v>
      </c>
      <c r="L329" s="4">
        <f>ROUND(K329*0.0235,0)</f>
        <v>354</v>
      </c>
      <c r="M329" s="4">
        <f t="shared" si="36"/>
        <v>14691</v>
      </c>
      <c r="N329" s="4">
        <f t="shared" si="37"/>
        <v>0.95501980499695305</v>
      </c>
      <c r="O329" s="4">
        <f t="shared" si="38"/>
        <v>0.91166666666666674</v>
      </c>
      <c r="P329" s="4">
        <f>IFERROR((K329/I329)/(INDEX(Dim_Machine!$E$2:$E$8,MATCH(D329,Dim_Machine!$A$2:$A$8,0))*INDEX(Dim_Machine!$D$2:$D$8,MATCH(D329,Dim_Machine!$A$2:$A$8,0))),0)</f>
        <v>0.95501980499695316</v>
      </c>
      <c r="Q329" s="4">
        <f t="shared" si="39"/>
        <v>0.97647058823529409</v>
      </c>
      <c r="R329" s="4">
        <f t="shared" si="40"/>
        <v>0.85017361111111123</v>
      </c>
      <c r="S329" s="4">
        <f>T329/0.89</f>
        <v>4.1266853932584269</v>
      </c>
      <c r="T329" s="4">
        <f>M329*INDEX(Dim_Product!$C$2:$C$4,MATCH(F329,Dim_Product!$A$2:$A$4,0))/1000000</f>
        <v>3.6727500000000002</v>
      </c>
      <c r="U329" s="16">
        <f t="shared" si="41"/>
        <v>0.89</v>
      </c>
    </row>
    <row r="330" spans="1:21" x14ac:dyDescent="0.25">
      <c r="A330" s="15" t="s">
        <v>471</v>
      </c>
      <c r="B330" s="4">
        <v>20260702</v>
      </c>
      <c r="C330" s="4">
        <v>22</v>
      </c>
      <c r="D330" s="4" t="s">
        <v>31</v>
      </c>
      <c r="E330" s="4" t="s">
        <v>20</v>
      </c>
      <c r="F330" s="4" t="s">
        <v>143</v>
      </c>
      <c r="G330" s="4">
        <v>60</v>
      </c>
      <c r="H330" s="4">
        <v>1.2</v>
      </c>
      <c r="I330" s="4">
        <f t="shared" si="35"/>
        <v>58.8</v>
      </c>
      <c r="J330" s="4">
        <f>INDEX(Dim_Machine!$E$2:$E$8,MATCH(D330,Dim_Machine!$A$2:$A$8,0))*INDEX(Dim_Machine!$D$2:$D$8,MATCH(D330,Dim_Machine!$A$2:$A$8,0))*I330</f>
        <v>38102.400000000001</v>
      </c>
      <c r="K330" s="4">
        <f>ROUND(J330*0.816,0)</f>
        <v>31092</v>
      </c>
      <c r="L330" s="4">
        <f>ROUND(K330*0.0258,0)</f>
        <v>802</v>
      </c>
      <c r="M330" s="4">
        <f t="shared" si="36"/>
        <v>30290</v>
      </c>
      <c r="N330" s="4">
        <f t="shared" si="37"/>
        <v>0.81601158982111355</v>
      </c>
      <c r="O330" s="4">
        <f t="shared" si="38"/>
        <v>0.98</v>
      </c>
      <c r="P330" s="4">
        <f>IFERROR((K330/I330)/(INDEX(Dim_Machine!$E$2:$E$8,MATCH(D330,Dim_Machine!$A$2:$A$8,0))*INDEX(Dim_Machine!$D$2:$D$8,MATCH(D330,Dim_Machine!$A$2:$A$8,0))),0)</f>
        <v>0.81601158982111366</v>
      </c>
      <c r="Q330" s="4">
        <f t="shared" si="39"/>
        <v>0.97420558342982122</v>
      </c>
      <c r="R330" s="4">
        <f t="shared" si="40"/>
        <v>0.77906378600823056</v>
      </c>
      <c r="S330" s="4">
        <f>T330/0.894</f>
        <v>6.7762863534675608</v>
      </c>
      <c r="T330" s="4">
        <f>M330*INDEX(Dim_Product!$C$2:$C$4,MATCH(F330,Dim_Product!$A$2:$A$4,0))/1000000</f>
        <v>6.0579999999999998</v>
      </c>
      <c r="U330" s="16">
        <f t="shared" si="41"/>
        <v>0.89400000000000002</v>
      </c>
    </row>
    <row r="331" spans="1:21" x14ac:dyDescent="0.25">
      <c r="A331" s="15" t="s">
        <v>472</v>
      </c>
      <c r="B331" s="4">
        <v>20260702</v>
      </c>
      <c r="C331" s="4">
        <v>23</v>
      </c>
      <c r="D331" s="4" t="s">
        <v>15</v>
      </c>
      <c r="E331" s="4" t="s">
        <v>20</v>
      </c>
      <c r="F331" s="4" t="s">
        <v>187</v>
      </c>
      <c r="G331" s="4">
        <v>60</v>
      </c>
      <c r="H331" s="4">
        <v>7.2</v>
      </c>
      <c r="I331" s="4">
        <f t="shared" si="35"/>
        <v>52.8</v>
      </c>
      <c r="J331" s="4">
        <f>INDEX(Dim_Machine!$E$2:$E$8,MATCH(D331,Dim_Machine!$A$2:$A$8,0))*INDEX(Dim_Machine!$D$2:$D$8,MATCH(D331,Dim_Machine!$A$2:$A$8,0))*I331</f>
        <v>21120</v>
      </c>
      <c r="K331" s="4">
        <f>ROUND(J331*0.924,0)</f>
        <v>19515</v>
      </c>
      <c r="L331" s="4">
        <f>ROUND(K331*0.0063,0)</f>
        <v>123</v>
      </c>
      <c r="M331" s="4">
        <f t="shared" si="36"/>
        <v>19392</v>
      </c>
      <c r="N331" s="4">
        <f t="shared" si="37"/>
        <v>0.92400568181818177</v>
      </c>
      <c r="O331" s="4">
        <f t="shared" si="38"/>
        <v>0.88</v>
      </c>
      <c r="P331" s="4">
        <f>IFERROR((K331/I331)/(INDEX(Dim_Machine!$E$2:$E$8,MATCH(D331,Dim_Machine!$A$2:$A$8,0))*INDEX(Dim_Machine!$D$2:$D$8,MATCH(D331,Dim_Machine!$A$2:$A$8,0))),0)</f>
        <v>0.92400568181818188</v>
      </c>
      <c r="Q331" s="4">
        <f t="shared" si="39"/>
        <v>0.99369715603382014</v>
      </c>
      <c r="R331" s="4">
        <f t="shared" si="40"/>
        <v>0.80800000000000005</v>
      </c>
      <c r="S331" s="4">
        <f>T331/0.855</f>
        <v>6.8042105263157895</v>
      </c>
      <c r="T331" s="4">
        <f>M331*INDEX(Dim_Product!$C$2:$C$4,MATCH(F331,Dim_Product!$A$2:$A$4,0))/1000000</f>
        <v>5.8175999999999997</v>
      </c>
      <c r="U331" s="16">
        <f t="shared" si="41"/>
        <v>0.85499999999999998</v>
      </c>
    </row>
    <row r="332" spans="1:21" x14ac:dyDescent="0.25">
      <c r="A332" s="15" t="s">
        <v>473</v>
      </c>
      <c r="B332" s="4">
        <v>20260702</v>
      </c>
      <c r="C332" s="4">
        <v>23</v>
      </c>
      <c r="D332" s="4" t="s">
        <v>19</v>
      </c>
      <c r="E332" s="4" t="s">
        <v>20</v>
      </c>
      <c r="F332" s="4" t="s">
        <v>141</v>
      </c>
      <c r="G332" s="4">
        <v>60</v>
      </c>
      <c r="H332" s="4">
        <v>5.8</v>
      </c>
      <c r="I332" s="4">
        <f t="shared" si="35"/>
        <v>54.2</v>
      </c>
      <c r="J332" s="4">
        <f>INDEX(Dim_Machine!$E$2:$E$8,MATCH(D332,Dim_Machine!$A$2:$A$8,0))*INDEX(Dim_Machine!$D$2:$D$8,MATCH(D332,Dim_Machine!$A$2:$A$8,0))*I332</f>
        <v>36422.400000000001</v>
      </c>
      <c r="K332" s="4">
        <f>ROUND(J332*0.974,0)</f>
        <v>35475</v>
      </c>
      <c r="L332" s="4">
        <f>ROUND(K332*0.0233,0)</f>
        <v>827</v>
      </c>
      <c r="M332" s="4">
        <f t="shared" si="36"/>
        <v>34648</v>
      </c>
      <c r="N332" s="4">
        <f t="shared" si="37"/>
        <v>0.97398853452820233</v>
      </c>
      <c r="O332" s="4">
        <f t="shared" si="38"/>
        <v>0.90333333333333343</v>
      </c>
      <c r="P332" s="4">
        <f>IFERROR((K332/I332)/(INDEX(Dim_Machine!$E$2:$E$8,MATCH(D332,Dim_Machine!$A$2:$A$8,0))*INDEX(Dim_Machine!$D$2:$D$8,MATCH(D332,Dim_Machine!$A$2:$A$8,0))),0)</f>
        <v>0.97398853452820233</v>
      </c>
      <c r="Q332" s="4">
        <f t="shared" si="39"/>
        <v>0.97668780831571533</v>
      </c>
      <c r="R332" s="4">
        <f t="shared" si="40"/>
        <v>0.85932539682539688</v>
      </c>
      <c r="S332" s="4">
        <f>T332/0.913</f>
        <v>9.4874041621029583</v>
      </c>
      <c r="T332" s="4">
        <f>M332*INDEX(Dim_Product!$C$2:$C$4,MATCH(F332,Dim_Product!$A$2:$A$4,0))/1000000</f>
        <v>8.6620000000000008</v>
      </c>
      <c r="U332" s="16">
        <f t="shared" si="41"/>
        <v>0.91300000000000003</v>
      </c>
    </row>
    <row r="333" spans="1:21" x14ac:dyDescent="0.25">
      <c r="A333" s="15" t="s">
        <v>474</v>
      </c>
      <c r="B333" s="4">
        <v>20260702</v>
      </c>
      <c r="C333" s="4">
        <v>23</v>
      </c>
      <c r="D333" s="4" t="s">
        <v>23</v>
      </c>
      <c r="E333" s="4" t="s">
        <v>20</v>
      </c>
      <c r="F333" s="4" t="s">
        <v>141</v>
      </c>
      <c r="G333" s="4">
        <v>60</v>
      </c>
      <c r="H333" s="4">
        <v>6.3</v>
      </c>
      <c r="I333" s="4">
        <f t="shared" si="35"/>
        <v>53.7</v>
      </c>
      <c r="J333" s="4">
        <f>INDEX(Dim_Machine!$E$2:$E$8,MATCH(D333,Dim_Machine!$A$2:$A$8,0))*INDEX(Dim_Machine!$D$2:$D$8,MATCH(D333,Dim_Machine!$A$2:$A$8,0))*I333</f>
        <v>14176.800000000001</v>
      </c>
      <c r="K333" s="4">
        <f>ROUND(J333*0.827,0)</f>
        <v>11724</v>
      </c>
      <c r="L333" s="4">
        <f>ROUND(K333*0.0122,0)</f>
        <v>143</v>
      </c>
      <c r="M333" s="4">
        <f t="shared" si="36"/>
        <v>11581</v>
      </c>
      <c r="N333" s="4">
        <f t="shared" si="37"/>
        <v>0.82698493313018451</v>
      </c>
      <c r="O333" s="4">
        <f t="shared" si="38"/>
        <v>0.89500000000000002</v>
      </c>
      <c r="P333" s="4">
        <f>IFERROR((K333/I333)/(INDEX(Dim_Machine!$E$2:$E$8,MATCH(D333,Dim_Machine!$A$2:$A$8,0))*INDEX(Dim_Machine!$D$2:$D$8,MATCH(D333,Dim_Machine!$A$2:$A$8,0))),0)</f>
        <v>0.82698493313018451</v>
      </c>
      <c r="Q333" s="4">
        <f t="shared" si="39"/>
        <v>0.9878027976799727</v>
      </c>
      <c r="R333" s="4">
        <f t="shared" si="40"/>
        <v>0.73112373737373737</v>
      </c>
      <c r="S333" s="4">
        <f>T333/0.945</f>
        <v>3.0637566137566137</v>
      </c>
      <c r="T333" s="4">
        <f>M333*INDEX(Dim_Product!$C$2:$C$4,MATCH(F333,Dim_Product!$A$2:$A$4,0))/1000000</f>
        <v>2.8952499999999999</v>
      </c>
      <c r="U333" s="16">
        <f t="shared" si="41"/>
        <v>0.94499999999999995</v>
      </c>
    </row>
    <row r="334" spans="1:21" x14ac:dyDescent="0.25">
      <c r="A334" s="15" t="s">
        <v>475</v>
      </c>
      <c r="B334" s="4">
        <v>20260702</v>
      </c>
      <c r="C334" s="4">
        <v>23</v>
      </c>
      <c r="D334" s="4" t="s">
        <v>25</v>
      </c>
      <c r="E334" s="4" t="s">
        <v>20</v>
      </c>
      <c r="F334" s="4" t="s">
        <v>143</v>
      </c>
      <c r="G334" s="4">
        <v>60</v>
      </c>
      <c r="H334" s="4">
        <v>6.3</v>
      </c>
      <c r="I334" s="4">
        <f t="shared" si="35"/>
        <v>53.7</v>
      </c>
      <c r="J334" s="4">
        <f>INDEX(Dim_Machine!$E$2:$E$8,MATCH(D334,Dim_Machine!$A$2:$A$8,0))*INDEX(Dim_Machine!$D$2:$D$8,MATCH(D334,Dim_Machine!$A$2:$A$8,0))*I334</f>
        <v>38664</v>
      </c>
      <c r="K334" s="4">
        <f>ROUND(J334*0.961,0)</f>
        <v>37156</v>
      </c>
      <c r="L334" s="4">
        <f>ROUND(K334*0.0108,0)</f>
        <v>401</v>
      </c>
      <c r="M334" s="4">
        <f t="shared" si="36"/>
        <v>36755</v>
      </c>
      <c r="N334" s="4">
        <f t="shared" si="37"/>
        <v>0.96099731015932133</v>
      </c>
      <c r="O334" s="4">
        <f t="shared" si="38"/>
        <v>0.89500000000000002</v>
      </c>
      <c r="P334" s="4">
        <f>IFERROR((K334/I334)/(INDEX(Dim_Machine!$E$2:$E$8,MATCH(D334,Dim_Machine!$A$2:$A$8,0))*INDEX(Dim_Machine!$D$2:$D$8,MATCH(D334,Dim_Machine!$A$2:$A$8,0))),0)</f>
        <v>0.96099731015932122</v>
      </c>
      <c r="Q334" s="4">
        <f t="shared" si="39"/>
        <v>0.98920766498008394</v>
      </c>
      <c r="R334" s="4">
        <f t="shared" si="40"/>
        <v>0.85081018518518514</v>
      </c>
      <c r="S334" s="4">
        <f>T334/0.902</f>
        <v>8.1496674057649656</v>
      </c>
      <c r="T334" s="4">
        <f>M334*INDEX(Dim_Product!$C$2:$C$4,MATCH(F334,Dim_Product!$A$2:$A$4,0))/1000000</f>
        <v>7.351</v>
      </c>
      <c r="U334" s="16">
        <f t="shared" si="41"/>
        <v>0.90200000000000014</v>
      </c>
    </row>
    <row r="335" spans="1:21" x14ac:dyDescent="0.25">
      <c r="A335" s="15" t="s">
        <v>476</v>
      </c>
      <c r="B335" s="4">
        <v>20260702</v>
      </c>
      <c r="C335" s="4">
        <v>23</v>
      </c>
      <c r="D335" s="4" t="s">
        <v>27</v>
      </c>
      <c r="E335" s="4" t="s">
        <v>20</v>
      </c>
      <c r="F335" s="4" t="s">
        <v>141</v>
      </c>
      <c r="G335" s="4">
        <v>60</v>
      </c>
      <c r="H335" s="4">
        <v>4.5999999999999996</v>
      </c>
      <c r="I335" s="4">
        <f t="shared" si="35"/>
        <v>55.4</v>
      </c>
      <c r="J335" s="4">
        <f>INDEX(Dim_Machine!$E$2:$E$8,MATCH(D335,Dim_Machine!$A$2:$A$8,0))*INDEX(Dim_Machine!$D$2:$D$8,MATCH(D335,Dim_Machine!$A$2:$A$8,0))*I335</f>
        <v>23046.399999999998</v>
      </c>
      <c r="K335" s="4">
        <f>ROUND(J335*0.868,0)</f>
        <v>20004</v>
      </c>
      <c r="L335" s="4">
        <f>ROUND(K335*0.0281,0)</f>
        <v>562</v>
      </c>
      <c r="M335" s="4">
        <f t="shared" si="36"/>
        <v>19442</v>
      </c>
      <c r="N335" s="4">
        <f t="shared" si="37"/>
        <v>0.8679880588725355</v>
      </c>
      <c r="O335" s="4">
        <f t="shared" si="38"/>
        <v>0.92333333333333334</v>
      </c>
      <c r="P335" s="4">
        <f>IFERROR((K335/I335)/(INDEX(Dim_Machine!$E$2:$E$8,MATCH(D335,Dim_Machine!$A$2:$A$8,0))*INDEX(Dim_Machine!$D$2:$D$8,MATCH(D335,Dim_Machine!$A$2:$A$8,0))),0)</f>
        <v>0.8679880588725355</v>
      </c>
      <c r="Q335" s="4">
        <f t="shared" si="39"/>
        <v>0.97190561887622473</v>
      </c>
      <c r="R335" s="4">
        <f t="shared" si="40"/>
        <v>0.77892628205128212</v>
      </c>
      <c r="S335" s="4">
        <f>T335/0.917</f>
        <v>5.3004362050163571</v>
      </c>
      <c r="T335" s="4">
        <f>M335*INDEX(Dim_Product!$C$2:$C$4,MATCH(F335,Dim_Product!$A$2:$A$4,0))/1000000</f>
        <v>4.8605</v>
      </c>
      <c r="U335" s="16">
        <f t="shared" si="41"/>
        <v>0.91700000000000015</v>
      </c>
    </row>
    <row r="336" spans="1:21" x14ac:dyDescent="0.25">
      <c r="A336" s="15" t="s">
        <v>477</v>
      </c>
      <c r="B336" s="4">
        <v>20260702</v>
      </c>
      <c r="C336" s="4">
        <v>23</v>
      </c>
      <c r="D336" s="4" t="s">
        <v>29</v>
      </c>
      <c r="E336" s="4" t="s">
        <v>20</v>
      </c>
      <c r="F336" s="4" t="s">
        <v>141</v>
      </c>
      <c r="G336" s="4">
        <v>60</v>
      </c>
      <c r="H336" s="4">
        <v>4</v>
      </c>
      <c r="I336" s="4">
        <f t="shared" si="35"/>
        <v>56</v>
      </c>
      <c r="J336" s="4">
        <f>INDEX(Dim_Machine!$E$2:$E$8,MATCH(D336,Dim_Machine!$A$2:$A$8,0))*INDEX(Dim_Machine!$D$2:$D$8,MATCH(D336,Dim_Machine!$A$2:$A$8,0))*I336</f>
        <v>16128</v>
      </c>
      <c r="K336" s="4">
        <f>ROUND(J336*0.864,0)</f>
        <v>13935</v>
      </c>
      <c r="L336" s="4">
        <f>ROUND(K336*0.0099,0)</f>
        <v>138</v>
      </c>
      <c r="M336" s="4">
        <f t="shared" si="36"/>
        <v>13797</v>
      </c>
      <c r="N336" s="4">
        <f t="shared" si="37"/>
        <v>0.86402529761904767</v>
      </c>
      <c r="O336" s="4">
        <f t="shared" si="38"/>
        <v>0.93333333333333335</v>
      </c>
      <c r="P336" s="4">
        <f>IFERROR((K336/I336)/(INDEX(Dim_Machine!$E$2:$E$8,MATCH(D336,Dim_Machine!$A$2:$A$8,0))*INDEX(Dim_Machine!$D$2:$D$8,MATCH(D336,Dim_Machine!$A$2:$A$8,0))),0)</f>
        <v>0.86402529761904767</v>
      </c>
      <c r="Q336" s="4">
        <f t="shared" si="39"/>
        <v>0.99009687836383209</v>
      </c>
      <c r="R336" s="4">
        <f t="shared" si="40"/>
        <v>0.79843750000000002</v>
      </c>
      <c r="S336" s="4">
        <f>T336/0.83</f>
        <v>4.1557228915662652</v>
      </c>
      <c r="T336" s="4">
        <f>M336*INDEX(Dim_Product!$C$2:$C$4,MATCH(F336,Dim_Product!$A$2:$A$4,0))/1000000</f>
        <v>3.4492500000000001</v>
      </c>
      <c r="U336" s="16">
        <f t="shared" si="41"/>
        <v>0.83</v>
      </c>
    </row>
    <row r="337" spans="1:21" x14ac:dyDescent="0.25">
      <c r="A337" s="20" t="s">
        <v>478</v>
      </c>
      <c r="B337" s="21">
        <v>20260702</v>
      </c>
      <c r="C337" s="21">
        <v>23</v>
      </c>
      <c r="D337" s="21" t="s">
        <v>31</v>
      </c>
      <c r="E337" s="21" t="s">
        <v>20</v>
      </c>
      <c r="F337" s="21" t="s">
        <v>143</v>
      </c>
      <c r="G337" s="21">
        <v>60</v>
      </c>
      <c r="H337" s="21">
        <v>4.8</v>
      </c>
      <c r="I337" s="21">
        <f t="shared" si="35"/>
        <v>55.2</v>
      </c>
      <c r="J337" s="21">
        <f>INDEX(Dim_Machine!$E$2:$E$8,MATCH(D337,Dim_Machine!$A$2:$A$8,0))*INDEX(Dim_Machine!$D$2:$D$8,MATCH(D337,Dim_Machine!$A$2:$A$8,0))*I337</f>
        <v>35769.599999999999</v>
      </c>
      <c r="K337" s="21">
        <f>ROUND(J337*0.955,0)</f>
        <v>34160</v>
      </c>
      <c r="L337" s="21">
        <f>ROUND(K337*0.0066,0)</f>
        <v>225</v>
      </c>
      <c r="M337" s="21">
        <f t="shared" si="36"/>
        <v>33935</v>
      </c>
      <c r="N337" s="21">
        <f t="shared" si="37"/>
        <v>0.95500089461442117</v>
      </c>
      <c r="O337" s="21">
        <f t="shared" si="38"/>
        <v>0.92</v>
      </c>
      <c r="P337" s="21">
        <f>IFERROR((K337/I337)/(INDEX(Dim_Machine!$E$2:$E$8,MATCH(D337,Dim_Machine!$A$2:$A$8,0))*INDEX(Dim_Machine!$D$2:$D$8,MATCH(D337,Dim_Machine!$A$2:$A$8,0))),0)</f>
        <v>0.95500089461442106</v>
      </c>
      <c r="Q337" s="21">
        <f t="shared" si="39"/>
        <v>0.99341334894613587</v>
      </c>
      <c r="R337" s="21">
        <f t="shared" si="40"/>
        <v>0.87281378600823045</v>
      </c>
      <c r="S337" s="21">
        <f>T337/0.872</f>
        <v>7.7832568807339451</v>
      </c>
      <c r="T337" s="21">
        <f>M337*INDEX(Dim_Product!$C$2:$C$4,MATCH(F337,Dim_Product!$A$2:$A$4,0))/1000000</f>
        <v>6.7869999999999999</v>
      </c>
      <c r="U337" s="22">
        <f t="shared" si="41"/>
        <v>0.872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37"/>
  <sheetViews>
    <sheetView tabSelected="1" zoomScaleNormal="100" workbookViewId="0">
      <pane xSplit="5" ySplit="1" topLeftCell="F320" activePane="bottomRight" state="frozen"/>
      <selection pane="topRight" activeCell="F1" sqref="F1"/>
      <selection pane="bottomLeft" activeCell="A2" sqref="A2"/>
      <selection pane="bottomRight" activeCell="L1" sqref="L1"/>
    </sheetView>
  </sheetViews>
  <sheetFormatPr defaultColWidth="8.7109375" defaultRowHeight="15" x14ac:dyDescent="0.25"/>
  <cols>
    <col min="1" max="1" width="17.85546875" customWidth="1"/>
    <col min="2" max="2" width="14.85546875" customWidth="1"/>
    <col min="3" max="3" width="15" customWidth="1"/>
    <col min="4" max="4" width="18.42578125" customWidth="1"/>
    <col min="5" max="5" width="15" customWidth="1"/>
    <col min="6" max="6" width="17.7109375" customWidth="1"/>
    <col min="7" max="7" width="14.140625" customWidth="1"/>
    <col min="8" max="8" width="16.85546875" customWidth="1"/>
    <col min="9" max="9" width="15" customWidth="1"/>
    <col min="10" max="11" width="13.5703125" customWidth="1"/>
    <col min="12" max="12" width="21.140625" customWidth="1"/>
    <col min="13" max="13" width="15.140625" customWidth="1"/>
    <col min="14" max="14" width="18.5703125" customWidth="1"/>
    <col min="15" max="15" width="21.5703125" customWidth="1"/>
    <col min="16" max="16" width="19.28515625" customWidth="1"/>
    <col min="17" max="17" width="20.42578125" customWidth="1"/>
    <col min="18" max="18" width="23.42578125" customWidth="1"/>
    <col min="19" max="19" width="16.85546875" customWidth="1"/>
    <col min="20" max="20" width="18" customWidth="1"/>
    <col min="21" max="21" width="21" customWidth="1"/>
    <col min="22" max="22" width="15.85546875" customWidth="1"/>
    <col min="23" max="23" width="13" customWidth="1"/>
  </cols>
  <sheetData>
    <row r="1" spans="1:23" ht="30" customHeight="1" x14ac:dyDescent="0.25">
      <c r="A1" s="17" t="s">
        <v>479</v>
      </c>
      <c r="B1" s="18" t="s">
        <v>122</v>
      </c>
      <c r="C1" s="18" t="s">
        <v>123</v>
      </c>
      <c r="D1" s="18" t="s">
        <v>124</v>
      </c>
      <c r="E1" s="18" t="s">
        <v>125</v>
      </c>
      <c r="F1" s="18" t="s">
        <v>126</v>
      </c>
      <c r="G1" s="18" t="s">
        <v>480</v>
      </c>
      <c r="H1" s="18" t="s">
        <v>481</v>
      </c>
      <c r="I1" s="18" t="s">
        <v>482</v>
      </c>
      <c r="J1" s="18" t="s">
        <v>483</v>
      </c>
      <c r="K1" s="18" t="s">
        <v>484</v>
      </c>
      <c r="L1" s="18" t="s">
        <v>485</v>
      </c>
      <c r="M1" s="18" t="s">
        <v>486</v>
      </c>
      <c r="N1" s="18" t="s">
        <v>487</v>
      </c>
      <c r="O1" s="18" t="s">
        <v>488</v>
      </c>
      <c r="P1" s="18" t="s">
        <v>489</v>
      </c>
      <c r="Q1" s="18" t="s">
        <v>490</v>
      </c>
      <c r="R1" s="18" t="s">
        <v>491</v>
      </c>
      <c r="S1" s="18" t="s">
        <v>492</v>
      </c>
      <c r="T1" s="18" t="s">
        <v>493</v>
      </c>
      <c r="U1" s="18" t="s">
        <v>494</v>
      </c>
      <c r="V1" s="18" t="s">
        <v>495</v>
      </c>
      <c r="W1" s="19" t="s">
        <v>496</v>
      </c>
    </row>
    <row r="2" spans="1:23" x14ac:dyDescent="0.25">
      <c r="A2" s="15" t="s">
        <v>497</v>
      </c>
      <c r="B2" s="4">
        <f>Fact_Production_Hourly!B2</f>
        <v>20260701</v>
      </c>
      <c r="C2" s="4">
        <f>Fact_Production_Hourly!C2</f>
        <v>0</v>
      </c>
      <c r="D2" s="4" t="str">
        <f>Fact_Production_Hourly!D2</f>
        <v>M1</v>
      </c>
      <c r="E2" s="4" t="str">
        <f>Fact_Production_Hourly!E2</f>
        <v>B-PM</v>
      </c>
      <c r="F2" s="4" t="str">
        <f>Fact_Production_Hourly!F2</f>
        <v>A</v>
      </c>
      <c r="G2" s="4">
        <f>INDEX(Dim_Machine!$D$2:$D$8,MATCH(D2,Dim_Machine!$A$2:$A$8,0))*2</f>
        <v>32</v>
      </c>
      <c r="H2" s="4">
        <f>ROUND(G2*0.0323,0)</f>
        <v>1</v>
      </c>
      <c r="I2" s="4">
        <f t="shared" ref="I2:I65" si="0">ROUND(H2*0.15,0)</f>
        <v>0</v>
      </c>
      <c r="J2" s="4">
        <f t="shared" ref="J2:J65" si="1">ROUND(H2*0.45,0)</f>
        <v>0</v>
      </c>
      <c r="K2" s="4">
        <f t="shared" ref="K2:K65" si="2">MAX(H2-I2-J2,0)</f>
        <v>1</v>
      </c>
      <c r="L2" s="4" t="s">
        <v>498</v>
      </c>
      <c r="M2" s="4">
        <f>INDEX(Dim_Product!$C$2:$C$4,MATCH(F2,Dim_Product!$A$2:$A$4,0))+0.42</f>
        <v>250.42</v>
      </c>
      <c r="N2" s="4">
        <f>IF(AND(M2&gt;=INDEX(Dim_Product!$C$2:$C$4,MATCH(F2,Dim_Product!$A$2:$A$4,0))-INDEX(Dim_Product!$D$2:$D$4,MATCH(F2,Dim_Product!$A$2:$A$4,0)),M2&lt;=INDEX(Dim_Product!$C$2:$C$4,MATCH(F2,Dim_Product!$A$2:$A$4,0))+INDEX(Dim_Product!$D$2:$D$4,MATCH(F2,Dim_Product!$A$2:$A$4,0))),G2-H2,G2-H2-1)</f>
        <v>31</v>
      </c>
      <c r="O2" s="4">
        <f t="shared" ref="O2:O65" si="3">G2-N2</f>
        <v>1</v>
      </c>
      <c r="P2" s="4">
        <f>INDEX(Dim_Product!$G$2:$G$4,MATCH(F2,Dim_Product!$A$2:$A$4,0))+0.01</f>
        <v>70.010000000000005</v>
      </c>
      <c r="Q2" s="4">
        <f>IF(AND(P2&gt;=INDEX(Dim_Product!$G$2:$G$4,MATCH(F2,Dim_Product!$A$2:$A$4,0))-INDEX(Dim_Product!$H$2:$H$4,MATCH(F2,Dim_Product!$A$2:$A$4,0)),P2&lt;=INDEX(Dim_Product!$G$2:$G$4,MATCH(F2,Dim_Product!$A$2:$A$4,0))+INDEX(Dim_Product!$H$2:$H$4,MATCH(F2,Dim_Product!$A$2:$A$4,0))),G2-H2,G2-H2-1)</f>
        <v>31</v>
      </c>
      <c r="R2" s="4">
        <f t="shared" ref="R2:R65" si="4">G2-Q2</f>
        <v>1</v>
      </c>
      <c r="S2" s="4">
        <f>INDEX(Dim_Product!$K$2:$K$4,MATCH(F2,Dim_Product!$A$2:$A$4,0))+-0.3</f>
        <v>119.7</v>
      </c>
      <c r="T2" s="4">
        <f>IF(AND(S2&gt;=INDEX(Dim_Product!$K$2:$K$4,MATCH(F2,Dim_Product!$A$2:$A$4,0))-INDEX(Dim_Product!$L$2:$L$4,MATCH(F2,Dim_Product!$A$2:$A$4,0)),S2&lt;=INDEX(Dim_Product!$K$2:$K$4,MATCH(F2,Dim_Product!$A$2:$A$4,0))+INDEX(Dim_Product!$L$2:$L$4,MATCH(F2,Dim_Product!$A$2:$A$4,0))),G2-H2,G2-H2-1)</f>
        <v>31</v>
      </c>
      <c r="U2" s="4">
        <f t="shared" ref="U2:U65" si="5">G2-T2</f>
        <v>1</v>
      </c>
      <c r="V2" s="4">
        <f t="shared" ref="V2:V65" si="6">IFERROR(H2/G2,0)</f>
        <v>3.125E-2</v>
      </c>
      <c r="W2" s="16">
        <f t="shared" ref="W2:W65" si="7">1-V2</f>
        <v>0.96875</v>
      </c>
    </row>
    <row r="3" spans="1:23" x14ac:dyDescent="0.25">
      <c r="A3" s="15" t="s">
        <v>499</v>
      </c>
      <c r="B3" s="4">
        <f>Fact_Production_Hourly!B3</f>
        <v>20260701</v>
      </c>
      <c r="C3" s="4">
        <f>Fact_Production_Hourly!C3</f>
        <v>0</v>
      </c>
      <c r="D3" s="4" t="str">
        <f>Fact_Production_Hourly!D3</f>
        <v>M2</v>
      </c>
      <c r="E3" s="4" t="str">
        <f>Fact_Production_Hourly!E3</f>
        <v>B-PM</v>
      </c>
      <c r="F3" s="4" t="str">
        <f>Fact_Production_Hourly!F3</f>
        <v>C</v>
      </c>
      <c r="G3" s="4">
        <f>INDEX(Dim_Machine!$D$2:$D$8,MATCH(D3,Dim_Machine!$A$2:$A$8,0))*2</f>
        <v>48</v>
      </c>
      <c r="H3" s="4">
        <f>ROUND(G3*0.015,0)</f>
        <v>1</v>
      </c>
      <c r="I3" s="4">
        <f t="shared" si="0"/>
        <v>0</v>
      </c>
      <c r="J3" s="4">
        <f t="shared" si="1"/>
        <v>0</v>
      </c>
      <c r="K3" s="4">
        <f t="shared" si="2"/>
        <v>1</v>
      </c>
      <c r="L3" s="4" t="s">
        <v>500</v>
      </c>
      <c r="M3" s="4">
        <f>INDEX(Dim_Product!$C$2:$C$4,MATCH(F3,Dim_Product!$A$2:$A$4,0))+-0.45</f>
        <v>199.55</v>
      </c>
      <c r="N3" s="4">
        <f>IF(AND(M3&gt;=INDEX(Dim_Product!$C$2:$C$4,MATCH(F3,Dim_Product!$A$2:$A$4,0))-INDEX(Dim_Product!$D$2:$D$4,MATCH(F3,Dim_Product!$A$2:$A$4,0)),M3&lt;=INDEX(Dim_Product!$C$2:$C$4,MATCH(F3,Dim_Product!$A$2:$A$4,0))+INDEX(Dim_Product!$D$2:$D$4,MATCH(F3,Dim_Product!$A$2:$A$4,0))),G3-H3,G3-H3-1)</f>
        <v>47</v>
      </c>
      <c r="O3" s="4">
        <f t="shared" si="3"/>
        <v>1</v>
      </c>
      <c r="P3" s="4">
        <f>INDEX(Dim_Product!$G$2:$G$4,MATCH(F3,Dim_Product!$A$2:$A$4,0))+0.24</f>
        <v>65.239999999999995</v>
      </c>
      <c r="Q3" s="4">
        <f>IF(AND(P3&gt;=INDEX(Dim_Product!$G$2:$G$4,MATCH(F3,Dim_Product!$A$2:$A$4,0))-INDEX(Dim_Product!$H$2:$H$4,MATCH(F3,Dim_Product!$A$2:$A$4,0)),P3&lt;=INDEX(Dim_Product!$G$2:$G$4,MATCH(F3,Dim_Product!$A$2:$A$4,0))+INDEX(Dim_Product!$H$2:$H$4,MATCH(F3,Dim_Product!$A$2:$A$4,0))),G3-H3,G3-H3-1)</f>
        <v>47</v>
      </c>
      <c r="R3" s="4">
        <f t="shared" si="4"/>
        <v>1</v>
      </c>
      <c r="S3" s="4">
        <f>INDEX(Dim_Product!$K$2:$K$4,MATCH(F3,Dim_Product!$A$2:$A$4,0))+-0.28</f>
        <v>109.72</v>
      </c>
      <c r="T3" s="4">
        <f>IF(AND(S3&gt;=INDEX(Dim_Product!$K$2:$K$4,MATCH(F3,Dim_Product!$A$2:$A$4,0))-INDEX(Dim_Product!$L$2:$L$4,MATCH(F3,Dim_Product!$A$2:$A$4,0)),S3&lt;=INDEX(Dim_Product!$K$2:$K$4,MATCH(F3,Dim_Product!$A$2:$A$4,0))+INDEX(Dim_Product!$L$2:$L$4,MATCH(F3,Dim_Product!$A$2:$A$4,0))),G3-H3,G3-H3-1)</f>
        <v>47</v>
      </c>
      <c r="U3" s="4">
        <f t="shared" si="5"/>
        <v>1</v>
      </c>
      <c r="V3" s="4">
        <f t="shared" si="6"/>
        <v>2.0833333333333332E-2</v>
      </c>
      <c r="W3" s="16">
        <f t="shared" si="7"/>
        <v>0.97916666666666663</v>
      </c>
    </row>
    <row r="4" spans="1:23" x14ac:dyDescent="0.25">
      <c r="A4" s="15" t="s">
        <v>501</v>
      </c>
      <c r="B4" s="4">
        <f>Fact_Production_Hourly!B4</f>
        <v>20260701</v>
      </c>
      <c r="C4" s="4">
        <f>Fact_Production_Hourly!C4</f>
        <v>0</v>
      </c>
      <c r="D4" s="4" t="str">
        <f>Fact_Production_Hourly!D4</f>
        <v>M3</v>
      </c>
      <c r="E4" s="4" t="str">
        <f>Fact_Production_Hourly!E4</f>
        <v>B-PM</v>
      </c>
      <c r="F4" s="4" t="str">
        <f>Fact_Production_Hourly!F4</f>
        <v>A</v>
      </c>
      <c r="G4" s="4">
        <f>INDEX(Dim_Machine!$D$2:$D$8,MATCH(D4,Dim_Machine!$A$2:$A$8,0))*2</f>
        <v>24</v>
      </c>
      <c r="H4" s="4">
        <f>ROUND(G4*0.0362,0)</f>
        <v>1</v>
      </c>
      <c r="I4" s="4">
        <f t="shared" si="0"/>
        <v>0</v>
      </c>
      <c r="J4" s="4">
        <f t="shared" si="1"/>
        <v>0</v>
      </c>
      <c r="K4" s="4">
        <f t="shared" si="2"/>
        <v>1</v>
      </c>
      <c r="L4" s="4" t="s">
        <v>500</v>
      </c>
      <c r="M4" s="4">
        <f>INDEX(Dim_Product!$C$2:$C$4,MATCH(F4,Dim_Product!$A$2:$A$4,0))+0.63</f>
        <v>250.63</v>
      </c>
      <c r="N4" s="4">
        <f>IF(AND(M4&gt;=INDEX(Dim_Product!$C$2:$C$4,MATCH(F4,Dim_Product!$A$2:$A$4,0))-INDEX(Dim_Product!$D$2:$D$4,MATCH(F4,Dim_Product!$A$2:$A$4,0)),M4&lt;=INDEX(Dim_Product!$C$2:$C$4,MATCH(F4,Dim_Product!$A$2:$A$4,0))+INDEX(Dim_Product!$D$2:$D$4,MATCH(F4,Dim_Product!$A$2:$A$4,0))),G4-H4,G4-H4-1)</f>
        <v>23</v>
      </c>
      <c r="O4" s="4">
        <f t="shared" si="3"/>
        <v>1</v>
      </c>
      <c r="P4" s="4">
        <f>INDEX(Dim_Product!$G$2:$G$4,MATCH(F4,Dim_Product!$A$2:$A$4,0))+0.23</f>
        <v>70.23</v>
      </c>
      <c r="Q4" s="4">
        <f>IF(AND(P4&gt;=INDEX(Dim_Product!$G$2:$G$4,MATCH(F4,Dim_Product!$A$2:$A$4,0))-INDEX(Dim_Product!$H$2:$H$4,MATCH(F4,Dim_Product!$A$2:$A$4,0)),P4&lt;=INDEX(Dim_Product!$G$2:$G$4,MATCH(F4,Dim_Product!$A$2:$A$4,0))+INDEX(Dim_Product!$H$2:$H$4,MATCH(F4,Dim_Product!$A$2:$A$4,0))),G4-H4,G4-H4-1)</f>
        <v>23</v>
      </c>
      <c r="R4" s="4">
        <f t="shared" si="4"/>
        <v>1</v>
      </c>
      <c r="S4" s="4">
        <f>INDEX(Dim_Product!$K$2:$K$4,MATCH(F4,Dim_Product!$A$2:$A$4,0))+0.34</f>
        <v>120.34</v>
      </c>
      <c r="T4" s="4">
        <f>IF(AND(S4&gt;=INDEX(Dim_Product!$K$2:$K$4,MATCH(F4,Dim_Product!$A$2:$A$4,0))-INDEX(Dim_Product!$L$2:$L$4,MATCH(F4,Dim_Product!$A$2:$A$4,0)),S4&lt;=INDEX(Dim_Product!$K$2:$K$4,MATCH(F4,Dim_Product!$A$2:$A$4,0))+INDEX(Dim_Product!$L$2:$L$4,MATCH(F4,Dim_Product!$A$2:$A$4,0))),G4-H4,G4-H4-1)</f>
        <v>23</v>
      </c>
      <c r="U4" s="4">
        <f t="shared" si="5"/>
        <v>1</v>
      </c>
      <c r="V4" s="4">
        <f t="shared" si="6"/>
        <v>4.1666666666666664E-2</v>
      </c>
      <c r="W4" s="16">
        <f t="shared" si="7"/>
        <v>0.95833333333333337</v>
      </c>
    </row>
    <row r="5" spans="1:23" x14ac:dyDescent="0.25">
      <c r="A5" s="15" t="s">
        <v>502</v>
      </c>
      <c r="B5" s="4">
        <f>Fact_Production_Hourly!B5</f>
        <v>20260701</v>
      </c>
      <c r="C5" s="4">
        <f>Fact_Production_Hourly!C5</f>
        <v>0</v>
      </c>
      <c r="D5" s="4" t="str">
        <f>Fact_Production_Hourly!D5</f>
        <v>M4</v>
      </c>
      <c r="E5" s="4" t="str">
        <f>Fact_Production_Hourly!E5</f>
        <v>B-PM</v>
      </c>
      <c r="F5" s="4" t="str">
        <f>Fact_Production_Hourly!F5</f>
        <v>A</v>
      </c>
      <c r="G5" s="4">
        <f>INDEX(Dim_Machine!$D$2:$D$8,MATCH(D5,Dim_Machine!$A$2:$A$8,0))*2</f>
        <v>48</v>
      </c>
      <c r="H5" s="4">
        <f>ROUND(G5*0.0349,0)</f>
        <v>2</v>
      </c>
      <c r="I5" s="4">
        <f t="shared" si="0"/>
        <v>0</v>
      </c>
      <c r="J5" s="4">
        <f t="shared" si="1"/>
        <v>1</v>
      </c>
      <c r="K5" s="4">
        <f t="shared" si="2"/>
        <v>1</v>
      </c>
      <c r="L5" s="4" t="s">
        <v>503</v>
      </c>
      <c r="M5" s="4">
        <f>INDEX(Dim_Product!$C$2:$C$4,MATCH(F5,Dim_Product!$A$2:$A$4,0))+0</f>
        <v>250</v>
      </c>
      <c r="N5" s="4">
        <f>IF(AND(M5&gt;=INDEX(Dim_Product!$C$2:$C$4,MATCH(F5,Dim_Product!$A$2:$A$4,0))-INDEX(Dim_Product!$D$2:$D$4,MATCH(F5,Dim_Product!$A$2:$A$4,0)),M5&lt;=INDEX(Dim_Product!$C$2:$C$4,MATCH(F5,Dim_Product!$A$2:$A$4,0))+INDEX(Dim_Product!$D$2:$D$4,MATCH(F5,Dim_Product!$A$2:$A$4,0))),G5-H5,G5-H5-1)</f>
        <v>46</v>
      </c>
      <c r="O5" s="4">
        <f t="shared" si="3"/>
        <v>2</v>
      </c>
      <c r="P5" s="4">
        <f>INDEX(Dim_Product!$G$2:$G$4,MATCH(F5,Dim_Product!$A$2:$A$4,0))+-0.16</f>
        <v>69.84</v>
      </c>
      <c r="Q5" s="4">
        <f>IF(AND(P5&gt;=INDEX(Dim_Product!$G$2:$G$4,MATCH(F5,Dim_Product!$A$2:$A$4,0))-INDEX(Dim_Product!$H$2:$H$4,MATCH(F5,Dim_Product!$A$2:$A$4,0)),P5&lt;=INDEX(Dim_Product!$G$2:$G$4,MATCH(F5,Dim_Product!$A$2:$A$4,0))+INDEX(Dim_Product!$H$2:$H$4,MATCH(F5,Dim_Product!$A$2:$A$4,0))),G5-H5,G5-H5-1)</f>
        <v>46</v>
      </c>
      <c r="R5" s="4">
        <f t="shared" si="4"/>
        <v>2</v>
      </c>
      <c r="S5" s="4">
        <f>INDEX(Dim_Product!$K$2:$K$4,MATCH(F5,Dim_Product!$A$2:$A$4,0))+0.4</f>
        <v>120.4</v>
      </c>
      <c r="T5" s="4">
        <f>IF(AND(S5&gt;=INDEX(Dim_Product!$K$2:$K$4,MATCH(F5,Dim_Product!$A$2:$A$4,0))-INDEX(Dim_Product!$L$2:$L$4,MATCH(F5,Dim_Product!$A$2:$A$4,0)),S5&lt;=INDEX(Dim_Product!$K$2:$K$4,MATCH(F5,Dim_Product!$A$2:$A$4,0))+INDEX(Dim_Product!$L$2:$L$4,MATCH(F5,Dim_Product!$A$2:$A$4,0))),G5-H5,G5-H5-1)</f>
        <v>46</v>
      </c>
      <c r="U5" s="4">
        <f t="shared" si="5"/>
        <v>2</v>
      </c>
      <c r="V5" s="4">
        <f t="shared" si="6"/>
        <v>4.1666666666666664E-2</v>
      </c>
      <c r="W5" s="16">
        <f t="shared" si="7"/>
        <v>0.95833333333333337</v>
      </c>
    </row>
    <row r="6" spans="1:23" x14ac:dyDescent="0.25">
      <c r="A6" s="15" t="s">
        <v>504</v>
      </c>
      <c r="B6" s="4">
        <f>Fact_Production_Hourly!B6</f>
        <v>20260701</v>
      </c>
      <c r="C6" s="4">
        <f>Fact_Production_Hourly!C6</f>
        <v>0</v>
      </c>
      <c r="D6" s="4" t="str">
        <f>Fact_Production_Hourly!D6</f>
        <v>M5</v>
      </c>
      <c r="E6" s="4" t="str">
        <f>Fact_Production_Hourly!E6</f>
        <v>B-PM</v>
      </c>
      <c r="F6" s="4" t="str">
        <f>Fact_Production_Hourly!F6</f>
        <v>A</v>
      </c>
      <c r="G6" s="4">
        <f>INDEX(Dim_Machine!$D$2:$D$8,MATCH(D6,Dim_Machine!$A$2:$A$8,0))*2</f>
        <v>32</v>
      </c>
      <c r="H6" s="4">
        <f>ROUND(G6*0.0325,0)</f>
        <v>1</v>
      </c>
      <c r="I6" s="4">
        <f t="shared" si="0"/>
        <v>0</v>
      </c>
      <c r="J6" s="4">
        <f t="shared" si="1"/>
        <v>0</v>
      </c>
      <c r="K6" s="4">
        <f t="shared" si="2"/>
        <v>1</v>
      </c>
      <c r="L6" s="4" t="s">
        <v>498</v>
      </c>
      <c r="M6" s="4">
        <f>INDEX(Dim_Product!$C$2:$C$4,MATCH(F6,Dim_Product!$A$2:$A$4,0))+-0.36</f>
        <v>249.64</v>
      </c>
      <c r="N6" s="4">
        <f>IF(AND(M6&gt;=INDEX(Dim_Product!$C$2:$C$4,MATCH(F6,Dim_Product!$A$2:$A$4,0))-INDEX(Dim_Product!$D$2:$D$4,MATCH(F6,Dim_Product!$A$2:$A$4,0)),M6&lt;=INDEX(Dim_Product!$C$2:$C$4,MATCH(F6,Dim_Product!$A$2:$A$4,0))+INDEX(Dim_Product!$D$2:$D$4,MATCH(F6,Dim_Product!$A$2:$A$4,0))),G6-H6,G6-H6-1)</f>
        <v>31</v>
      </c>
      <c r="O6" s="4">
        <f t="shared" si="3"/>
        <v>1</v>
      </c>
      <c r="P6" s="4">
        <f>INDEX(Dim_Product!$G$2:$G$4,MATCH(F6,Dim_Product!$A$2:$A$4,0))+-0.24</f>
        <v>69.760000000000005</v>
      </c>
      <c r="Q6" s="4">
        <f>IF(AND(P6&gt;=INDEX(Dim_Product!$G$2:$G$4,MATCH(F6,Dim_Product!$A$2:$A$4,0))-INDEX(Dim_Product!$H$2:$H$4,MATCH(F6,Dim_Product!$A$2:$A$4,0)),P6&lt;=INDEX(Dim_Product!$G$2:$G$4,MATCH(F6,Dim_Product!$A$2:$A$4,0))+INDEX(Dim_Product!$H$2:$H$4,MATCH(F6,Dim_Product!$A$2:$A$4,0))),G6-H6,G6-H6-1)</f>
        <v>31</v>
      </c>
      <c r="R6" s="4">
        <f t="shared" si="4"/>
        <v>1</v>
      </c>
      <c r="S6" s="4">
        <f>INDEX(Dim_Product!$K$2:$K$4,MATCH(F6,Dim_Product!$A$2:$A$4,0))+0.17</f>
        <v>120.17</v>
      </c>
      <c r="T6" s="4">
        <f>IF(AND(S6&gt;=INDEX(Dim_Product!$K$2:$K$4,MATCH(F6,Dim_Product!$A$2:$A$4,0))-INDEX(Dim_Product!$L$2:$L$4,MATCH(F6,Dim_Product!$A$2:$A$4,0)),S6&lt;=INDEX(Dim_Product!$K$2:$K$4,MATCH(F6,Dim_Product!$A$2:$A$4,0))+INDEX(Dim_Product!$L$2:$L$4,MATCH(F6,Dim_Product!$A$2:$A$4,0))),G6-H6,G6-H6-1)</f>
        <v>31</v>
      </c>
      <c r="U6" s="4">
        <f t="shared" si="5"/>
        <v>1</v>
      </c>
      <c r="V6" s="4">
        <f t="shared" si="6"/>
        <v>3.125E-2</v>
      </c>
      <c r="W6" s="16">
        <f t="shared" si="7"/>
        <v>0.96875</v>
      </c>
    </row>
    <row r="7" spans="1:23" x14ac:dyDescent="0.25">
      <c r="A7" s="15" t="s">
        <v>505</v>
      </c>
      <c r="B7" s="4">
        <f>Fact_Production_Hourly!B7</f>
        <v>20260701</v>
      </c>
      <c r="C7" s="4">
        <f>Fact_Production_Hourly!C7</f>
        <v>0</v>
      </c>
      <c r="D7" s="4" t="str">
        <f>Fact_Production_Hourly!D7</f>
        <v>M6</v>
      </c>
      <c r="E7" s="4" t="str">
        <f>Fact_Production_Hourly!E7</f>
        <v>B-PM</v>
      </c>
      <c r="F7" s="4" t="str">
        <f>Fact_Production_Hourly!F7</f>
        <v>C</v>
      </c>
      <c r="G7" s="4">
        <f>INDEX(Dim_Machine!$D$2:$D$8,MATCH(D7,Dim_Machine!$A$2:$A$8,0))*2</f>
        <v>24</v>
      </c>
      <c r="H7" s="4">
        <f>ROUND(G7*0.0301,0)</f>
        <v>1</v>
      </c>
      <c r="I7" s="4">
        <f t="shared" si="0"/>
        <v>0</v>
      </c>
      <c r="J7" s="4">
        <f t="shared" si="1"/>
        <v>0</v>
      </c>
      <c r="K7" s="4">
        <f t="shared" si="2"/>
        <v>1</v>
      </c>
      <c r="L7" s="4" t="s">
        <v>500</v>
      </c>
      <c r="M7" s="4">
        <f>INDEX(Dim_Product!$C$2:$C$4,MATCH(F7,Dim_Product!$A$2:$A$4,0))+-0.72</f>
        <v>199.28</v>
      </c>
      <c r="N7" s="4">
        <f>IF(AND(M7&gt;=INDEX(Dim_Product!$C$2:$C$4,MATCH(F7,Dim_Product!$A$2:$A$4,0))-INDEX(Dim_Product!$D$2:$D$4,MATCH(F7,Dim_Product!$A$2:$A$4,0)),M7&lt;=INDEX(Dim_Product!$C$2:$C$4,MATCH(F7,Dim_Product!$A$2:$A$4,0))+INDEX(Dim_Product!$D$2:$D$4,MATCH(F7,Dim_Product!$A$2:$A$4,0))),G7-H7,G7-H7-1)</f>
        <v>23</v>
      </c>
      <c r="O7" s="4">
        <f t="shared" si="3"/>
        <v>1</v>
      </c>
      <c r="P7" s="4">
        <f>INDEX(Dim_Product!$G$2:$G$4,MATCH(F7,Dim_Product!$A$2:$A$4,0))+-0.13</f>
        <v>64.87</v>
      </c>
      <c r="Q7" s="4">
        <f>IF(AND(P7&gt;=INDEX(Dim_Product!$G$2:$G$4,MATCH(F7,Dim_Product!$A$2:$A$4,0))-INDEX(Dim_Product!$H$2:$H$4,MATCH(F7,Dim_Product!$A$2:$A$4,0)),P7&lt;=INDEX(Dim_Product!$G$2:$G$4,MATCH(F7,Dim_Product!$A$2:$A$4,0))+INDEX(Dim_Product!$H$2:$H$4,MATCH(F7,Dim_Product!$A$2:$A$4,0))),G7-H7,G7-H7-1)</f>
        <v>23</v>
      </c>
      <c r="R7" s="4">
        <f t="shared" si="4"/>
        <v>1</v>
      </c>
      <c r="S7" s="4">
        <f>INDEX(Dim_Product!$K$2:$K$4,MATCH(F7,Dim_Product!$A$2:$A$4,0))+0.26</f>
        <v>110.26</v>
      </c>
      <c r="T7" s="4">
        <f>IF(AND(S7&gt;=INDEX(Dim_Product!$K$2:$K$4,MATCH(F7,Dim_Product!$A$2:$A$4,0))-INDEX(Dim_Product!$L$2:$L$4,MATCH(F7,Dim_Product!$A$2:$A$4,0)),S7&lt;=INDEX(Dim_Product!$K$2:$K$4,MATCH(F7,Dim_Product!$A$2:$A$4,0))+INDEX(Dim_Product!$L$2:$L$4,MATCH(F7,Dim_Product!$A$2:$A$4,0))),G7-H7,G7-H7-1)</f>
        <v>23</v>
      </c>
      <c r="U7" s="4">
        <f t="shared" si="5"/>
        <v>1</v>
      </c>
      <c r="V7" s="4">
        <f t="shared" si="6"/>
        <v>4.1666666666666664E-2</v>
      </c>
      <c r="W7" s="16">
        <f t="shared" si="7"/>
        <v>0.95833333333333337</v>
      </c>
    </row>
    <row r="8" spans="1:23" x14ac:dyDescent="0.25">
      <c r="A8" s="15" t="s">
        <v>506</v>
      </c>
      <c r="B8" s="4">
        <f>Fact_Production_Hourly!B8</f>
        <v>20260701</v>
      </c>
      <c r="C8" s="4">
        <f>Fact_Production_Hourly!C8</f>
        <v>0</v>
      </c>
      <c r="D8" s="4" t="str">
        <f>Fact_Production_Hourly!D8</f>
        <v>M7</v>
      </c>
      <c r="E8" s="4" t="str">
        <f>Fact_Production_Hourly!E8</f>
        <v>B-PM</v>
      </c>
      <c r="F8" s="4" t="str">
        <f>Fact_Production_Hourly!F8</f>
        <v>A</v>
      </c>
      <c r="G8" s="4">
        <f>INDEX(Dim_Machine!$D$2:$D$8,MATCH(D8,Dim_Machine!$A$2:$A$8,0))*2</f>
        <v>48</v>
      </c>
      <c r="H8" s="4">
        <f>ROUND(G8*0.0518,0)</f>
        <v>2</v>
      </c>
      <c r="I8" s="4">
        <f t="shared" si="0"/>
        <v>0</v>
      </c>
      <c r="J8" s="4">
        <f t="shared" si="1"/>
        <v>1</v>
      </c>
      <c r="K8" s="4">
        <f t="shared" si="2"/>
        <v>1</v>
      </c>
      <c r="L8" s="4" t="s">
        <v>500</v>
      </c>
      <c r="M8" s="4">
        <f>INDEX(Dim_Product!$C$2:$C$4,MATCH(F8,Dim_Product!$A$2:$A$4,0))+0.52</f>
        <v>250.52</v>
      </c>
      <c r="N8" s="4">
        <f>IF(AND(M8&gt;=INDEX(Dim_Product!$C$2:$C$4,MATCH(F8,Dim_Product!$A$2:$A$4,0))-INDEX(Dim_Product!$D$2:$D$4,MATCH(F8,Dim_Product!$A$2:$A$4,0)),M8&lt;=INDEX(Dim_Product!$C$2:$C$4,MATCH(F8,Dim_Product!$A$2:$A$4,0))+INDEX(Dim_Product!$D$2:$D$4,MATCH(F8,Dim_Product!$A$2:$A$4,0))),G8-H8,G8-H8-1)</f>
        <v>46</v>
      </c>
      <c r="O8" s="4">
        <f t="shared" si="3"/>
        <v>2</v>
      </c>
      <c r="P8" s="4">
        <f>INDEX(Dim_Product!$G$2:$G$4,MATCH(F8,Dim_Product!$A$2:$A$4,0))+-0.02</f>
        <v>69.98</v>
      </c>
      <c r="Q8" s="4">
        <f>IF(AND(P8&gt;=INDEX(Dim_Product!$G$2:$G$4,MATCH(F8,Dim_Product!$A$2:$A$4,0))-INDEX(Dim_Product!$H$2:$H$4,MATCH(F8,Dim_Product!$A$2:$A$4,0)),P8&lt;=INDEX(Dim_Product!$G$2:$G$4,MATCH(F8,Dim_Product!$A$2:$A$4,0))+INDEX(Dim_Product!$H$2:$H$4,MATCH(F8,Dim_Product!$A$2:$A$4,0))),G8-H8,G8-H8-1)</f>
        <v>46</v>
      </c>
      <c r="R8" s="4">
        <f t="shared" si="4"/>
        <v>2</v>
      </c>
      <c r="S8" s="4">
        <f>INDEX(Dim_Product!$K$2:$K$4,MATCH(F8,Dim_Product!$A$2:$A$4,0))+0.09</f>
        <v>120.09</v>
      </c>
      <c r="T8" s="4">
        <f>IF(AND(S8&gt;=INDEX(Dim_Product!$K$2:$K$4,MATCH(F8,Dim_Product!$A$2:$A$4,0))-INDEX(Dim_Product!$L$2:$L$4,MATCH(F8,Dim_Product!$A$2:$A$4,0)),S8&lt;=INDEX(Dim_Product!$K$2:$K$4,MATCH(F8,Dim_Product!$A$2:$A$4,0))+INDEX(Dim_Product!$L$2:$L$4,MATCH(F8,Dim_Product!$A$2:$A$4,0))),G8-H8,G8-H8-1)</f>
        <v>46</v>
      </c>
      <c r="U8" s="4">
        <f t="shared" si="5"/>
        <v>2</v>
      </c>
      <c r="V8" s="4">
        <f t="shared" si="6"/>
        <v>4.1666666666666664E-2</v>
      </c>
      <c r="W8" s="16">
        <f t="shared" si="7"/>
        <v>0.95833333333333337</v>
      </c>
    </row>
    <row r="9" spans="1:23" x14ac:dyDescent="0.25">
      <c r="A9" s="15" t="s">
        <v>507</v>
      </c>
      <c r="B9" s="4">
        <f>Fact_Production_Hourly!B9</f>
        <v>20260701</v>
      </c>
      <c r="C9" s="4">
        <f>Fact_Production_Hourly!C9</f>
        <v>1</v>
      </c>
      <c r="D9" s="4" t="str">
        <f>Fact_Production_Hourly!D9</f>
        <v>M1</v>
      </c>
      <c r="E9" s="4" t="str">
        <f>Fact_Production_Hourly!E9</f>
        <v>B-PM</v>
      </c>
      <c r="F9" s="4" t="str">
        <f>Fact_Production_Hourly!F9</f>
        <v>A</v>
      </c>
      <c r="G9" s="4">
        <f>INDEX(Dim_Machine!$D$2:$D$8,MATCH(D9,Dim_Machine!$A$2:$A$8,0))*2</f>
        <v>32</v>
      </c>
      <c r="H9" s="4">
        <f>ROUND(G9*0.0644,0)</f>
        <v>2</v>
      </c>
      <c r="I9" s="4">
        <f t="shared" si="0"/>
        <v>0</v>
      </c>
      <c r="J9" s="4">
        <f t="shared" si="1"/>
        <v>1</v>
      </c>
      <c r="K9" s="4">
        <f t="shared" si="2"/>
        <v>1</v>
      </c>
      <c r="L9" s="4" t="s">
        <v>498</v>
      </c>
      <c r="M9" s="4">
        <f>INDEX(Dim_Product!$C$2:$C$4,MATCH(F9,Dim_Product!$A$2:$A$4,0))+-0.49</f>
        <v>249.51</v>
      </c>
      <c r="N9" s="4">
        <f>IF(AND(M9&gt;=INDEX(Dim_Product!$C$2:$C$4,MATCH(F9,Dim_Product!$A$2:$A$4,0))-INDEX(Dim_Product!$D$2:$D$4,MATCH(F9,Dim_Product!$A$2:$A$4,0)),M9&lt;=INDEX(Dim_Product!$C$2:$C$4,MATCH(F9,Dim_Product!$A$2:$A$4,0))+INDEX(Dim_Product!$D$2:$D$4,MATCH(F9,Dim_Product!$A$2:$A$4,0))),G9-H9,G9-H9-1)</f>
        <v>30</v>
      </c>
      <c r="O9" s="4">
        <f t="shared" si="3"/>
        <v>2</v>
      </c>
      <c r="P9" s="4">
        <f>INDEX(Dim_Product!$G$2:$G$4,MATCH(F9,Dim_Product!$A$2:$A$4,0))+0.2</f>
        <v>70.2</v>
      </c>
      <c r="Q9" s="4">
        <f>IF(AND(P9&gt;=INDEX(Dim_Product!$G$2:$G$4,MATCH(F9,Dim_Product!$A$2:$A$4,0))-INDEX(Dim_Product!$H$2:$H$4,MATCH(F9,Dim_Product!$A$2:$A$4,0)),P9&lt;=INDEX(Dim_Product!$G$2:$G$4,MATCH(F9,Dim_Product!$A$2:$A$4,0))+INDEX(Dim_Product!$H$2:$H$4,MATCH(F9,Dim_Product!$A$2:$A$4,0))),G9-H9,G9-H9-1)</f>
        <v>30</v>
      </c>
      <c r="R9" s="4">
        <f t="shared" si="4"/>
        <v>2</v>
      </c>
      <c r="S9" s="4">
        <f>INDEX(Dim_Product!$K$2:$K$4,MATCH(F9,Dim_Product!$A$2:$A$4,0))+0.04</f>
        <v>120.04</v>
      </c>
      <c r="T9" s="4">
        <f>IF(AND(S9&gt;=INDEX(Dim_Product!$K$2:$K$4,MATCH(F9,Dim_Product!$A$2:$A$4,0))-INDEX(Dim_Product!$L$2:$L$4,MATCH(F9,Dim_Product!$A$2:$A$4,0)),S9&lt;=INDEX(Dim_Product!$K$2:$K$4,MATCH(F9,Dim_Product!$A$2:$A$4,0))+INDEX(Dim_Product!$L$2:$L$4,MATCH(F9,Dim_Product!$A$2:$A$4,0))),G9-H9,G9-H9-1)</f>
        <v>30</v>
      </c>
      <c r="U9" s="4">
        <f t="shared" si="5"/>
        <v>2</v>
      </c>
      <c r="V9" s="4">
        <f t="shared" si="6"/>
        <v>6.25E-2</v>
      </c>
      <c r="W9" s="16">
        <f t="shared" si="7"/>
        <v>0.9375</v>
      </c>
    </row>
    <row r="10" spans="1:23" x14ac:dyDescent="0.25">
      <c r="A10" s="15" t="s">
        <v>508</v>
      </c>
      <c r="B10" s="4">
        <f>Fact_Production_Hourly!B10</f>
        <v>20260701</v>
      </c>
      <c r="C10" s="4">
        <f>Fact_Production_Hourly!C10</f>
        <v>1</v>
      </c>
      <c r="D10" s="4" t="str">
        <f>Fact_Production_Hourly!D10</f>
        <v>M2</v>
      </c>
      <c r="E10" s="4" t="str">
        <f>Fact_Production_Hourly!E10</f>
        <v>B-PM</v>
      </c>
      <c r="F10" s="4" t="str">
        <f>Fact_Production_Hourly!F10</f>
        <v>C</v>
      </c>
      <c r="G10" s="4">
        <f>INDEX(Dim_Machine!$D$2:$D$8,MATCH(D10,Dim_Machine!$A$2:$A$8,0))*2</f>
        <v>48</v>
      </c>
      <c r="H10" s="4">
        <f>ROUND(G10*0.0536,0)</f>
        <v>3</v>
      </c>
      <c r="I10" s="4">
        <f t="shared" si="0"/>
        <v>0</v>
      </c>
      <c r="J10" s="4">
        <f t="shared" si="1"/>
        <v>1</v>
      </c>
      <c r="K10" s="4">
        <f t="shared" si="2"/>
        <v>2</v>
      </c>
      <c r="L10" s="4" t="s">
        <v>509</v>
      </c>
      <c r="M10" s="4">
        <f>INDEX(Dim_Product!$C$2:$C$4,MATCH(F10,Dim_Product!$A$2:$A$4,0))+-0.15</f>
        <v>199.85</v>
      </c>
      <c r="N10" s="4">
        <f>IF(AND(M10&gt;=INDEX(Dim_Product!$C$2:$C$4,MATCH(F10,Dim_Product!$A$2:$A$4,0))-INDEX(Dim_Product!$D$2:$D$4,MATCH(F10,Dim_Product!$A$2:$A$4,0)),M10&lt;=INDEX(Dim_Product!$C$2:$C$4,MATCH(F10,Dim_Product!$A$2:$A$4,0))+INDEX(Dim_Product!$D$2:$D$4,MATCH(F10,Dim_Product!$A$2:$A$4,0))),G10-H10,G10-H10-1)</f>
        <v>45</v>
      </c>
      <c r="O10" s="4">
        <f t="shared" si="3"/>
        <v>3</v>
      </c>
      <c r="P10" s="4">
        <f>INDEX(Dim_Product!$G$2:$G$4,MATCH(F10,Dim_Product!$A$2:$A$4,0))+0.17</f>
        <v>65.17</v>
      </c>
      <c r="Q10" s="4">
        <f>IF(AND(P10&gt;=INDEX(Dim_Product!$G$2:$G$4,MATCH(F10,Dim_Product!$A$2:$A$4,0))-INDEX(Dim_Product!$H$2:$H$4,MATCH(F10,Dim_Product!$A$2:$A$4,0)),P10&lt;=INDEX(Dim_Product!$G$2:$G$4,MATCH(F10,Dim_Product!$A$2:$A$4,0))+INDEX(Dim_Product!$H$2:$H$4,MATCH(F10,Dim_Product!$A$2:$A$4,0))),G10-H10,G10-H10-1)</f>
        <v>45</v>
      </c>
      <c r="R10" s="4">
        <f t="shared" si="4"/>
        <v>3</v>
      </c>
      <c r="S10" s="4">
        <f>INDEX(Dim_Product!$K$2:$K$4,MATCH(F10,Dim_Product!$A$2:$A$4,0))+-0.21</f>
        <v>109.79</v>
      </c>
      <c r="T10" s="4">
        <f>IF(AND(S10&gt;=INDEX(Dim_Product!$K$2:$K$4,MATCH(F10,Dim_Product!$A$2:$A$4,0))-INDEX(Dim_Product!$L$2:$L$4,MATCH(F10,Dim_Product!$A$2:$A$4,0)),S10&lt;=INDEX(Dim_Product!$K$2:$K$4,MATCH(F10,Dim_Product!$A$2:$A$4,0))+INDEX(Dim_Product!$L$2:$L$4,MATCH(F10,Dim_Product!$A$2:$A$4,0))),G10-H10,G10-H10-1)</f>
        <v>45</v>
      </c>
      <c r="U10" s="4">
        <f t="shared" si="5"/>
        <v>3</v>
      </c>
      <c r="V10" s="4">
        <f t="shared" si="6"/>
        <v>6.25E-2</v>
      </c>
      <c r="W10" s="16">
        <f t="shared" si="7"/>
        <v>0.9375</v>
      </c>
    </row>
    <row r="11" spans="1:23" x14ac:dyDescent="0.25">
      <c r="A11" s="15" t="s">
        <v>510</v>
      </c>
      <c r="B11" s="4">
        <f>Fact_Production_Hourly!B11</f>
        <v>20260701</v>
      </c>
      <c r="C11" s="4">
        <f>Fact_Production_Hourly!C11</f>
        <v>1</v>
      </c>
      <c r="D11" s="4" t="str">
        <f>Fact_Production_Hourly!D11</f>
        <v>M3</v>
      </c>
      <c r="E11" s="4" t="str">
        <f>Fact_Production_Hourly!E11</f>
        <v>B-PM</v>
      </c>
      <c r="F11" s="4" t="str">
        <f>Fact_Production_Hourly!F11</f>
        <v>A</v>
      </c>
      <c r="G11" s="4">
        <f>INDEX(Dim_Machine!$D$2:$D$8,MATCH(D11,Dim_Machine!$A$2:$A$8,0))*2</f>
        <v>24</v>
      </c>
      <c r="H11" s="4">
        <f>ROUND(G11*0.0173,0)</f>
        <v>0</v>
      </c>
      <c r="I11" s="4">
        <f t="shared" si="0"/>
        <v>0</v>
      </c>
      <c r="J11" s="4">
        <f t="shared" si="1"/>
        <v>0</v>
      </c>
      <c r="K11" s="4">
        <f t="shared" si="2"/>
        <v>0</v>
      </c>
      <c r="L11" s="4" t="s">
        <v>500</v>
      </c>
      <c r="M11" s="4">
        <f>INDEX(Dim_Product!$C$2:$C$4,MATCH(F11,Dim_Product!$A$2:$A$4,0))+-0.16</f>
        <v>249.84</v>
      </c>
      <c r="N11" s="4">
        <f>IF(AND(M11&gt;=INDEX(Dim_Product!$C$2:$C$4,MATCH(F11,Dim_Product!$A$2:$A$4,0))-INDEX(Dim_Product!$D$2:$D$4,MATCH(F11,Dim_Product!$A$2:$A$4,0)),M11&lt;=INDEX(Dim_Product!$C$2:$C$4,MATCH(F11,Dim_Product!$A$2:$A$4,0))+INDEX(Dim_Product!$D$2:$D$4,MATCH(F11,Dim_Product!$A$2:$A$4,0))),G11-H11,G11-H11-1)</f>
        <v>24</v>
      </c>
      <c r="O11" s="4">
        <f t="shared" si="3"/>
        <v>0</v>
      </c>
      <c r="P11" s="4">
        <f>INDEX(Dim_Product!$G$2:$G$4,MATCH(F11,Dim_Product!$A$2:$A$4,0))+0.18</f>
        <v>70.180000000000007</v>
      </c>
      <c r="Q11" s="4">
        <f>IF(AND(P11&gt;=INDEX(Dim_Product!$G$2:$G$4,MATCH(F11,Dim_Product!$A$2:$A$4,0))-INDEX(Dim_Product!$H$2:$H$4,MATCH(F11,Dim_Product!$A$2:$A$4,0)),P11&lt;=INDEX(Dim_Product!$G$2:$G$4,MATCH(F11,Dim_Product!$A$2:$A$4,0))+INDEX(Dim_Product!$H$2:$H$4,MATCH(F11,Dim_Product!$A$2:$A$4,0))),G11-H11,G11-H11-1)</f>
        <v>24</v>
      </c>
      <c r="R11" s="4">
        <f t="shared" si="4"/>
        <v>0</v>
      </c>
      <c r="S11" s="4">
        <f>INDEX(Dim_Product!$K$2:$K$4,MATCH(F11,Dim_Product!$A$2:$A$4,0))+-0.03</f>
        <v>119.97</v>
      </c>
      <c r="T11" s="4">
        <f>IF(AND(S11&gt;=INDEX(Dim_Product!$K$2:$K$4,MATCH(F11,Dim_Product!$A$2:$A$4,0))-INDEX(Dim_Product!$L$2:$L$4,MATCH(F11,Dim_Product!$A$2:$A$4,0)),S11&lt;=INDEX(Dim_Product!$K$2:$K$4,MATCH(F11,Dim_Product!$A$2:$A$4,0))+INDEX(Dim_Product!$L$2:$L$4,MATCH(F11,Dim_Product!$A$2:$A$4,0))),G11-H11,G11-H11-1)</f>
        <v>24</v>
      </c>
      <c r="U11" s="4">
        <f t="shared" si="5"/>
        <v>0</v>
      </c>
      <c r="V11" s="4">
        <f t="shared" si="6"/>
        <v>0</v>
      </c>
      <c r="W11" s="16">
        <f t="shared" si="7"/>
        <v>1</v>
      </c>
    </row>
    <row r="12" spans="1:23" x14ac:dyDescent="0.25">
      <c r="A12" s="15" t="s">
        <v>511</v>
      </c>
      <c r="B12" s="4">
        <f>Fact_Production_Hourly!B12</f>
        <v>20260701</v>
      </c>
      <c r="C12" s="4">
        <f>Fact_Production_Hourly!C12</f>
        <v>1</v>
      </c>
      <c r="D12" s="4" t="str">
        <f>Fact_Production_Hourly!D12</f>
        <v>M4</v>
      </c>
      <c r="E12" s="4" t="str">
        <f>Fact_Production_Hourly!E12</f>
        <v>B-PM</v>
      </c>
      <c r="F12" s="4" t="str">
        <f>Fact_Production_Hourly!F12</f>
        <v>A</v>
      </c>
      <c r="G12" s="4">
        <f>INDEX(Dim_Machine!$D$2:$D$8,MATCH(D12,Dim_Machine!$A$2:$A$8,0))*2</f>
        <v>48</v>
      </c>
      <c r="H12" s="4">
        <f>ROUND(G12*0.0167,0)</f>
        <v>1</v>
      </c>
      <c r="I12" s="4">
        <f t="shared" si="0"/>
        <v>0</v>
      </c>
      <c r="J12" s="4">
        <f t="shared" si="1"/>
        <v>0</v>
      </c>
      <c r="K12" s="4">
        <f t="shared" si="2"/>
        <v>1</v>
      </c>
      <c r="L12" s="4" t="s">
        <v>503</v>
      </c>
      <c r="M12" s="4">
        <f>INDEX(Dim_Product!$C$2:$C$4,MATCH(F12,Dim_Product!$A$2:$A$4,0))+0.19</f>
        <v>250.19</v>
      </c>
      <c r="N12" s="4">
        <f>IF(AND(M12&gt;=INDEX(Dim_Product!$C$2:$C$4,MATCH(F12,Dim_Product!$A$2:$A$4,0))-INDEX(Dim_Product!$D$2:$D$4,MATCH(F12,Dim_Product!$A$2:$A$4,0)),M12&lt;=INDEX(Dim_Product!$C$2:$C$4,MATCH(F12,Dim_Product!$A$2:$A$4,0))+INDEX(Dim_Product!$D$2:$D$4,MATCH(F12,Dim_Product!$A$2:$A$4,0))),G12-H12,G12-H12-1)</f>
        <v>47</v>
      </c>
      <c r="O12" s="4">
        <f t="shared" si="3"/>
        <v>1</v>
      </c>
      <c r="P12" s="4">
        <f>INDEX(Dim_Product!$G$2:$G$4,MATCH(F12,Dim_Product!$A$2:$A$4,0))+-0.29</f>
        <v>69.709999999999994</v>
      </c>
      <c r="Q12" s="4">
        <f>IF(AND(P12&gt;=INDEX(Dim_Product!$G$2:$G$4,MATCH(F12,Dim_Product!$A$2:$A$4,0))-INDEX(Dim_Product!$H$2:$H$4,MATCH(F12,Dim_Product!$A$2:$A$4,0)),P12&lt;=INDEX(Dim_Product!$G$2:$G$4,MATCH(F12,Dim_Product!$A$2:$A$4,0))+INDEX(Dim_Product!$H$2:$H$4,MATCH(F12,Dim_Product!$A$2:$A$4,0))),G12-H12,G12-H12-1)</f>
        <v>47</v>
      </c>
      <c r="R12" s="4">
        <f t="shared" si="4"/>
        <v>1</v>
      </c>
      <c r="S12" s="4">
        <f>INDEX(Dim_Product!$K$2:$K$4,MATCH(F12,Dim_Product!$A$2:$A$4,0))+0.01</f>
        <v>120.01</v>
      </c>
      <c r="T12" s="4">
        <f>IF(AND(S12&gt;=INDEX(Dim_Product!$K$2:$K$4,MATCH(F12,Dim_Product!$A$2:$A$4,0))-INDEX(Dim_Product!$L$2:$L$4,MATCH(F12,Dim_Product!$A$2:$A$4,0)),S12&lt;=INDEX(Dim_Product!$K$2:$K$4,MATCH(F12,Dim_Product!$A$2:$A$4,0))+INDEX(Dim_Product!$L$2:$L$4,MATCH(F12,Dim_Product!$A$2:$A$4,0))),G12-H12,G12-H12-1)</f>
        <v>47</v>
      </c>
      <c r="U12" s="4">
        <f t="shared" si="5"/>
        <v>1</v>
      </c>
      <c r="V12" s="4">
        <f t="shared" si="6"/>
        <v>2.0833333333333332E-2</v>
      </c>
      <c r="W12" s="16">
        <f t="shared" si="7"/>
        <v>0.97916666666666663</v>
      </c>
    </row>
    <row r="13" spans="1:23" x14ac:dyDescent="0.25">
      <c r="A13" s="15" t="s">
        <v>512</v>
      </c>
      <c r="B13" s="4">
        <f>Fact_Production_Hourly!B13</f>
        <v>20260701</v>
      </c>
      <c r="C13" s="4">
        <f>Fact_Production_Hourly!C13</f>
        <v>1</v>
      </c>
      <c r="D13" s="4" t="str">
        <f>Fact_Production_Hourly!D13</f>
        <v>M5</v>
      </c>
      <c r="E13" s="4" t="str">
        <f>Fact_Production_Hourly!E13</f>
        <v>B-PM</v>
      </c>
      <c r="F13" s="4" t="str">
        <f>Fact_Production_Hourly!F13</f>
        <v>A</v>
      </c>
      <c r="G13" s="4">
        <f>INDEX(Dim_Machine!$D$2:$D$8,MATCH(D13,Dim_Machine!$A$2:$A$8,0))*2</f>
        <v>32</v>
      </c>
      <c r="H13" s="4">
        <f>ROUND(G13*0.0245,0)</f>
        <v>1</v>
      </c>
      <c r="I13" s="4">
        <f t="shared" si="0"/>
        <v>0</v>
      </c>
      <c r="J13" s="4">
        <f t="shared" si="1"/>
        <v>0</v>
      </c>
      <c r="K13" s="4">
        <f t="shared" si="2"/>
        <v>1</v>
      </c>
      <c r="L13" s="4" t="s">
        <v>500</v>
      </c>
      <c r="M13" s="4">
        <f>INDEX(Dim_Product!$C$2:$C$4,MATCH(F13,Dim_Product!$A$2:$A$4,0))+-0.42</f>
        <v>249.58</v>
      </c>
      <c r="N13" s="4">
        <f>IF(AND(M13&gt;=INDEX(Dim_Product!$C$2:$C$4,MATCH(F13,Dim_Product!$A$2:$A$4,0))-INDEX(Dim_Product!$D$2:$D$4,MATCH(F13,Dim_Product!$A$2:$A$4,0)),M13&lt;=INDEX(Dim_Product!$C$2:$C$4,MATCH(F13,Dim_Product!$A$2:$A$4,0))+INDEX(Dim_Product!$D$2:$D$4,MATCH(F13,Dim_Product!$A$2:$A$4,0))),G13-H13,G13-H13-1)</f>
        <v>31</v>
      </c>
      <c r="O13" s="4">
        <f t="shared" si="3"/>
        <v>1</v>
      </c>
      <c r="P13" s="4">
        <f>INDEX(Dim_Product!$G$2:$G$4,MATCH(F13,Dim_Product!$A$2:$A$4,0))+-0.3</f>
        <v>69.7</v>
      </c>
      <c r="Q13" s="4">
        <f>IF(AND(P13&gt;=INDEX(Dim_Product!$G$2:$G$4,MATCH(F13,Dim_Product!$A$2:$A$4,0))-INDEX(Dim_Product!$H$2:$H$4,MATCH(F13,Dim_Product!$A$2:$A$4,0)),P13&lt;=INDEX(Dim_Product!$G$2:$G$4,MATCH(F13,Dim_Product!$A$2:$A$4,0))+INDEX(Dim_Product!$H$2:$H$4,MATCH(F13,Dim_Product!$A$2:$A$4,0))),G13-H13,G13-H13-1)</f>
        <v>31</v>
      </c>
      <c r="R13" s="4">
        <f t="shared" si="4"/>
        <v>1</v>
      </c>
      <c r="S13" s="4">
        <f>INDEX(Dim_Product!$K$2:$K$4,MATCH(F13,Dim_Product!$A$2:$A$4,0))+-0.12</f>
        <v>119.88</v>
      </c>
      <c r="T13" s="4">
        <f>IF(AND(S13&gt;=INDEX(Dim_Product!$K$2:$K$4,MATCH(F13,Dim_Product!$A$2:$A$4,0))-INDEX(Dim_Product!$L$2:$L$4,MATCH(F13,Dim_Product!$A$2:$A$4,0)),S13&lt;=INDEX(Dim_Product!$K$2:$K$4,MATCH(F13,Dim_Product!$A$2:$A$4,0))+INDEX(Dim_Product!$L$2:$L$4,MATCH(F13,Dim_Product!$A$2:$A$4,0))),G13-H13,G13-H13-1)</f>
        <v>31</v>
      </c>
      <c r="U13" s="4">
        <f t="shared" si="5"/>
        <v>1</v>
      </c>
      <c r="V13" s="4">
        <f t="shared" si="6"/>
        <v>3.125E-2</v>
      </c>
      <c r="W13" s="16">
        <f t="shared" si="7"/>
        <v>0.96875</v>
      </c>
    </row>
    <row r="14" spans="1:23" x14ac:dyDescent="0.25">
      <c r="A14" s="15" t="s">
        <v>513</v>
      </c>
      <c r="B14" s="4">
        <f>Fact_Production_Hourly!B14</f>
        <v>20260701</v>
      </c>
      <c r="C14" s="4">
        <f>Fact_Production_Hourly!C14</f>
        <v>1</v>
      </c>
      <c r="D14" s="4" t="str">
        <f>Fact_Production_Hourly!D14</f>
        <v>M6</v>
      </c>
      <c r="E14" s="4" t="str">
        <f>Fact_Production_Hourly!E14</f>
        <v>B-PM</v>
      </c>
      <c r="F14" s="4" t="str">
        <f>Fact_Production_Hourly!F14</f>
        <v>C</v>
      </c>
      <c r="G14" s="4">
        <f>INDEX(Dim_Machine!$D$2:$D$8,MATCH(D14,Dim_Machine!$A$2:$A$8,0))*2</f>
        <v>24</v>
      </c>
      <c r="H14" s="4">
        <f>ROUND(G14*0.0442,0)</f>
        <v>1</v>
      </c>
      <c r="I14" s="4">
        <f t="shared" si="0"/>
        <v>0</v>
      </c>
      <c r="J14" s="4">
        <f t="shared" si="1"/>
        <v>0</v>
      </c>
      <c r="K14" s="4">
        <f t="shared" si="2"/>
        <v>1</v>
      </c>
      <c r="L14" s="4" t="s">
        <v>500</v>
      </c>
      <c r="M14" s="4">
        <f>INDEX(Dim_Product!$C$2:$C$4,MATCH(F14,Dim_Product!$A$2:$A$4,0))+0.33</f>
        <v>200.33</v>
      </c>
      <c r="N14" s="4">
        <f>IF(AND(M14&gt;=INDEX(Dim_Product!$C$2:$C$4,MATCH(F14,Dim_Product!$A$2:$A$4,0))-INDEX(Dim_Product!$D$2:$D$4,MATCH(F14,Dim_Product!$A$2:$A$4,0)),M14&lt;=INDEX(Dim_Product!$C$2:$C$4,MATCH(F14,Dim_Product!$A$2:$A$4,0))+INDEX(Dim_Product!$D$2:$D$4,MATCH(F14,Dim_Product!$A$2:$A$4,0))),G14-H14,G14-H14-1)</f>
        <v>23</v>
      </c>
      <c r="O14" s="4">
        <f t="shared" si="3"/>
        <v>1</v>
      </c>
      <c r="P14" s="4">
        <f>INDEX(Dim_Product!$G$2:$G$4,MATCH(F14,Dim_Product!$A$2:$A$4,0))+-0.25</f>
        <v>64.75</v>
      </c>
      <c r="Q14" s="4">
        <f>IF(AND(P14&gt;=INDEX(Dim_Product!$G$2:$G$4,MATCH(F14,Dim_Product!$A$2:$A$4,0))-INDEX(Dim_Product!$H$2:$H$4,MATCH(F14,Dim_Product!$A$2:$A$4,0)),P14&lt;=INDEX(Dim_Product!$G$2:$G$4,MATCH(F14,Dim_Product!$A$2:$A$4,0))+INDEX(Dim_Product!$H$2:$H$4,MATCH(F14,Dim_Product!$A$2:$A$4,0))),G14-H14,G14-H14-1)</f>
        <v>23</v>
      </c>
      <c r="R14" s="4">
        <f t="shared" si="4"/>
        <v>1</v>
      </c>
      <c r="S14" s="4">
        <f>INDEX(Dim_Product!$K$2:$K$4,MATCH(F14,Dim_Product!$A$2:$A$4,0))+0.38</f>
        <v>110.38</v>
      </c>
      <c r="T14" s="4">
        <f>IF(AND(S14&gt;=INDEX(Dim_Product!$K$2:$K$4,MATCH(F14,Dim_Product!$A$2:$A$4,0))-INDEX(Dim_Product!$L$2:$L$4,MATCH(F14,Dim_Product!$A$2:$A$4,0)),S14&lt;=INDEX(Dim_Product!$K$2:$K$4,MATCH(F14,Dim_Product!$A$2:$A$4,0))+INDEX(Dim_Product!$L$2:$L$4,MATCH(F14,Dim_Product!$A$2:$A$4,0))),G14-H14,G14-H14-1)</f>
        <v>23</v>
      </c>
      <c r="U14" s="4">
        <f t="shared" si="5"/>
        <v>1</v>
      </c>
      <c r="V14" s="4">
        <f t="shared" si="6"/>
        <v>4.1666666666666664E-2</v>
      </c>
      <c r="W14" s="16">
        <f t="shared" si="7"/>
        <v>0.95833333333333337</v>
      </c>
    </row>
    <row r="15" spans="1:23" x14ac:dyDescent="0.25">
      <c r="A15" s="15" t="s">
        <v>514</v>
      </c>
      <c r="B15" s="4">
        <f>Fact_Production_Hourly!B15</f>
        <v>20260701</v>
      </c>
      <c r="C15" s="4">
        <f>Fact_Production_Hourly!C15</f>
        <v>1</v>
      </c>
      <c r="D15" s="4" t="str">
        <f>Fact_Production_Hourly!D15</f>
        <v>M7</v>
      </c>
      <c r="E15" s="4" t="str">
        <f>Fact_Production_Hourly!E15</f>
        <v>B-PM</v>
      </c>
      <c r="F15" s="4" t="str">
        <f>Fact_Production_Hourly!F15</f>
        <v>A</v>
      </c>
      <c r="G15" s="4">
        <f>INDEX(Dim_Machine!$D$2:$D$8,MATCH(D15,Dim_Machine!$A$2:$A$8,0))*2</f>
        <v>48</v>
      </c>
      <c r="H15" s="4">
        <f>ROUND(G15*0.0141,0)</f>
        <v>1</v>
      </c>
      <c r="I15" s="4">
        <f t="shared" si="0"/>
        <v>0</v>
      </c>
      <c r="J15" s="4">
        <f t="shared" si="1"/>
        <v>0</v>
      </c>
      <c r="K15" s="4">
        <f t="shared" si="2"/>
        <v>1</v>
      </c>
      <c r="L15" s="4" t="s">
        <v>509</v>
      </c>
      <c r="M15" s="4">
        <f>INDEX(Dim_Product!$C$2:$C$4,MATCH(F15,Dim_Product!$A$2:$A$4,0))+0.09</f>
        <v>250.09</v>
      </c>
      <c r="N15" s="4">
        <f>IF(AND(M15&gt;=INDEX(Dim_Product!$C$2:$C$4,MATCH(F15,Dim_Product!$A$2:$A$4,0))-INDEX(Dim_Product!$D$2:$D$4,MATCH(F15,Dim_Product!$A$2:$A$4,0)),M15&lt;=INDEX(Dim_Product!$C$2:$C$4,MATCH(F15,Dim_Product!$A$2:$A$4,0))+INDEX(Dim_Product!$D$2:$D$4,MATCH(F15,Dim_Product!$A$2:$A$4,0))),G15-H15,G15-H15-1)</f>
        <v>47</v>
      </c>
      <c r="O15" s="4">
        <f t="shared" si="3"/>
        <v>1</v>
      </c>
      <c r="P15" s="4">
        <f>INDEX(Dim_Product!$G$2:$G$4,MATCH(F15,Dim_Product!$A$2:$A$4,0))+0.17</f>
        <v>70.17</v>
      </c>
      <c r="Q15" s="4">
        <f>IF(AND(P15&gt;=INDEX(Dim_Product!$G$2:$G$4,MATCH(F15,Dim_Product!$A$2:$A$4,0))-INDEX(Dim_Product!$H$2:$H$4,MATCH(F15,Dim_Product!$A$2:$A$4,0)),P15&lt;=INDEX(Dim_Product!$G$2:$G$4,MATCH(F15,Dim_Product!$A$2:$A$4,0))+INDEX(Dim_Product!$H$2:$H$4,MATCH(F15,Dim_Product!$A$2:$A$4,0))),G15-H15,G15-H15-1)</f>
        <v>47</v>
      </c>
      <c r="R15" s="4">
        <f t="shared" si="4"/>
        <v>1</v>
      </c>
      <c r="S15" s="4">
        <f>INDEX(Dim_Product!$K$2:$K$4,MATCH(F15,Dim_Product!$A$2:$A$4,0))+0.01</f>
        <v>120.01</v>
      </c>
      <c r="T15" s="4">
        <f>IF(AND(S15&gt;=INDEX(Dim_Product!$K$2:$K$4,MATCH(F15,Dim_Product!$A$2:$A$4,0))-INDEX(Dim_Product!$L$2:$L$4,MATCH(F15,Dim_Product!$A$2:$A$4,0)),S15&lt;=INDEX(Dim_Product!$K$2:$K$4,MATCH(F15,Dim_Product!$A$2:$A$4,0))+INDEX(Dim_Product!$L$2:$L$4,MATCH(F15,Dim_Product!$A$2:$A$4,0))),G15-H15,G15-H15-1)</f>
        <v>47</v>
      </c>
      <c r="U15" s="4">
        <f t="shared" si="5"/>
        <v>1</v>
      </c>
      <c r="V15" s="4">
        <f t="shared" si="6"/>
        <v>2.0833333333333332E-2</v>
      </c>
      <c r="W15" s="16">
        <f t="shared" si="7"/>
        <v>0.97916666666666663</v>
      </c>
    </row>
    <row r="16" spans="1:23" x14ac:dyDescent="0.25">
      <c r="A16" s="15" t="s">
        <v>515</v>
      </c>
      <c r="B16" s="4">
        <f>Fact_Production_Hourly!B16</f>
        <v>20260701</v>
      </c>
      <c r="C16" s="4">
        <f>Fact_Production_Hourly!C16</f>
        <v>2</v>
      </c>
      <c r="D16" s="4" t="str">
        <f>Fact_Production_Hourly!D16</f>
        <v>M1</v>
      </c>
      <c r="E16" s="4" t="str">
        <f>Fact_Production_Hourly!E16</f>
        <v>B-PM</v>
      </c>
      <c r="F16" s="4" t="str">
        <f>Fact_Production_Hourly!F16</f>
        <v>A</v>
      </c>
      <c r="G16" s="4">
        <f>INDEX(Dim_Machine!$D$2:$D$8,MATCH(D16,Dim_Machine!$A$2:$A$8,0))*2</f>
        <v>32</v>
      </c>
      <c r="H16" s="4">
        <f>ROUND(G16*0.0112,0)</f>
        <v>0</v>
      </c>
      <c r="I16" s="4">
        <f t="shared" si="0"/>
        <v>0</v>
      </c>
      <c r="J16" s="4">
        <f t="shared" si="1"/>
        <v>0</v>
      </c>
      <c r="K16" s="4">
        <f t="shared" si="2"/>
        <v>0</v>
      </c>
      <c r="L16" s="4" t="s">
        <v>503</v>
      </c>
      <c r="M16" s="4">
        <f>INDEX(Dim_Product!$C$2:$C$4,MATCH(F16,Dim_Product!$A$2:$A$4,0))+-0.91</f>
        <v>249.09</v>
      </c>
      <c r="N16" s="4">
        <f>IF(AND(M16&gt;=INDEX(Dim_Product!$C$2:$C$4,MATCH(F16,Dim_Product!$A$2:$A$4,0))-INDEX(Dim_Product!$D$2:$D$4,MATCH(F16,Dim_Product!$A$2:$A$4,0)),M16&lt;=INDEX(Dim_Product!$C$2:$C$4,MATCH(F16,Dim_Product!$A$2:$A$4,0))+INDEX(Dim_Product!$D$2:$D$4,MATCH(F16,Dim_Product!$A$2:$A$4,0))),G16-H16,G16-H16-1)</f>
        <v>32</v>
      </c>
      <c r="O16" s="4">
        <f t="shared" si="3"/>
        <v>0</v>
      </c>
      <c r="P16" s="4">
        <f>INDEX(Dim_Product!$G$2:$G$4,MATCH(F16,Dim_Product!$A$2:$A$4,0))+-0.07</f>
        <v>69.930000000000007</v>
      </c>
      <c r="Q16" s="4">
        <f>IF(AND(P16&gt;=INDEX(Dim_Product!$G$2:$G$4,MATCH(F16,Dim_Product!$A$2:$A$4,0))-INDEX(Dim_Product!$H$2:$H$4,MATCH(F16,Dim_Product!$A$2:$A$4,0)),P16&lt;=INDEX(Dim_Product!$G$2:$G$4,MATCH(F16,Dim_Product!$A$2:$A$4,0))+INDEX(Dim_Product!$H$2:$H$4,MATCH(F16,Dim_Product!$A$2:$A$4,0))),G16-H16,G16-H16-1)</f>
        <v>32</v>
      </c>
      <c r="R16" s="4">
        <f t="shared" si="4"/>
        <v>0</v>
      </c>
      <c r="S16" s="4">
        <f>INDEX(Dim_Product!$K$2:$K$4,MATCH(F16,Dim_Product!$A$2:$A$4,0))+-0.1</f>
        <v>119.9</v>
      </c>
      <c r="T16" s="4">
        <f>IF(AND(S16&gt;=INDEX(Dim_Product!$K$2:$K$4,MATCH(F16,Dim_Product!$A$2:$A$4,0))-INDEX(Dim_Product!$L$2:$L$4,MATCH(F16,Dim_Product!$A$2:$A$4,0)),S16&lt;=INDEX(Dim_Product!$K$2:$K$4,MATCH(F16,Dim_Product!$A$2:$A$4,0))+INDEX(Dim_Product!$L$2:$L$4,MATCH(F16,Dim_Product!$A$2:$A$4,0))),G16-H16,G16-H16-1)</f>
        <v>32</v>
      </c>
      <c r="U16" s="4">
        <f t="shared" si="5"/>
        <v>0</v>
      </c>
      <c r="V16" s="4">
        <f t="shared" si="6"/>
        <v>0</v>
      </c>
      <c r="W16" s="16">
        <f t="shared" si="7"/>
        <v>1</v>
      </c>
    </row>
    <row r="17" spans="1:23" x14ac:dyDescent="0.25">
      <c r="A17" s="15" t="s">
        <v>516</v>
      </c>
      <c r="B17" s="4">
        <f>Fact_Production_Hourly!B17</f>
        <v>20260701</v>
      </c>
      <c r="C17" s="4">
        <f>Fact_Production_Hourly!C17</f>
        <v>2</v>
      </c>
      <c r="D17" s="4" t="str">
        <f>Fact_Production_Hourly!D17</f>
        <v>M2</v>
      </c>
      <c r="E17" s="4" t="str">
        <f>Fact_Production_Hourly!E17</f>
        <v>B-PM</v>
      </c>
      <c r="F17" s="4" t="str">
        <f>Fact_Production_Hourly!F17</f>
        <v>C</v>
      </c>
      <c r="G17" s="4">
        <f>INDEX(Dim_Machine!$D$2:$D$8,MATCH(D17,Dim_Machine!$A$2:$A$8,0))*2</f>
        <v>48</v>
      </c>
      <c r="H17" s="4">
        <f>ROUND(G17*0.0548,0)</f>
        <v>3</v>
      </c>
      <c r="I17" s="4">
        <f t="shared" si="0"/>
        <v>0</v>
      </c>
      <c r="J17" s="4">
        <f t="shared" si="1"/>
        <v>1</v>
      </c>
      <c r="K17" s="4">
        <f t="shared" si="2"/>
        <v>2</v>
      </c>
      <c r="L17" s="4" t="s">
        <v>517</v>
      </c>
      <c r="M17" s="4">
        <f>INDEX(Dim_Product!$C$2:$C$4,MATCH(F17,Dim_Product!$A$2:$A$4,0))+0.58</f>
        <v>200.58</v>
      </c>
      <c r="N17" s="4">
        <f>IF(AND(M17&gt;=INDEX(Dim_Product!$C$2:$C$4,MATCH(F17,Dim_Product!$A$2:$A$4,0))-INDEX(Dim_Product!$D$2:$D$4,MATCH(F17,Dim_Product!$A$2:$A$4,0)),M17&lt;=INDEX(Dim_Product!$C$2:$C$4,MATCH(F17,Dim_Product!$A$2:$A$4,0))+INDEX(Dim_Product!$D$2:$D$4,MATCH(F17,Dim_Product!$A$2:$A$4,0))),G17-H17,G17-H17-1)</f>
        <v>45</v>
      </c>
      <c r="O17" s="4">
        <f t="shared" si="3"/>
        <v>3</v>
      </c>
      <c r="P17" s="4">
        <f>INDEX(Dim_Product!$G$2:$G$4,MATCH(F17,Dim_Product!$A$2:$A$4,0))+-0.09</f>
        <v>64.91</v>
      </c>
      <c r="Q17" s="4">
        <f>IF(AND(P17&gt;=INDEX(Dim_Product!$G$2:$G$4,MATCH(F17,Dim_Product!$A$2:$A$4,0))-INDEX(Dim_Product!$H$2:$H$4,MATCH(F17,Dim_Product!$A$2:$A$4,0)),P17&lt;=INDEX(Dim_Product!$G$2:$G$4,MATCH(F17,Dim_Product!$A$2:$A$4,0))+INDEX(Dim_Product!$H$2:$H$4,MATCH(F17,Dim_Product!$A$2:$A$4,0))),G17-H17,G17-H17-1)</f>
        <v>45</v>
      </c>
      <c r="R17" s="4">
        <f t="shared" si="4"/>
        <v>3</v>
      </c>
      <c r="S17" s="4">
        <f>INDEX(Dim_Product!$K$2:$K$4,MATCH(F17,Dim_Product!$A$2:$A$4,0))+0.19</f>
        <v>110.19</v>
      </c>
      <c r="T17" s="4">
        <f>IF(AND(S17&gt;=INDEX(Dim_Product!$K$2:$K$4,MATCH(F17,Dim_Product!$A$2:$A$4,0))-INDEX(Dim_Product!$L$2:$L$4,MATCH(F17,Dim_Product!$A$2:$A$4,0)),S17&lt;=INDEX(Dim_Product!$K$2:$K$4,MATCH(F17,Dim_Product!$A$2:$A$4,0))+INDEX(Dim_Product!$L$2:$L$4,MATCH(F17,Dim_Product!$A$2:$A$4,0))),G17-H17,G17-H17-1)</f>
        <v>45</v>
      </c>
      <c r="U17" s="4">
        <f t="shared" si="5"/>
        <v>3</v>
      </c>
      <c r="V17" s="4">
        <f t="shared" si="6"/>
        <v>6.25E-2</v>
      </c>
      <c r="W17" s="16">
        <f t="shared" si="7"/>
        <v>0.9375</v>
      </c>
    </row>
    <row r="18" spans="1:23" x14ac:dyDescent="0.25">
      <c r="A18" s="15" t="s">
        <v>518</v>
      </c>
      <c r="B18" s="4">
        <f>Fact_Production_Hourly!B18</f>
        <v>20260701</v>
      </c>
      <c r="C18" s="4">
        <f>Fact_Production_Hourly!C18</f>
        <v>2</v>
      </c>
      <c r="D18" s="4" t="str">
        <f>Fact_Production_Hourly!D18</f>
        <v>M3</v>
      </c>
      <c r="E18" s="4" t="str">
        <f>Fact_Production_Hourly!E18</f>
        <v>B-PM</v>
      </c>
      <c r="F18" s="4" t="str">
        <f>Fact_Production_Hourly!F18</f>
        <v>A</v>
      </c>
      <c r="G18" s="4">
        <f>INDEX(Dim_Machine!$D$2:$D$8,MATCH(D18,Dim_Machine!$A$2:$A$8,0))*2</f>
        <v>24</v>
      </c>
      <c r="H18" s="4">
        <f>ROUND(G18*0.0477,0)</f>
        <v>1</v>
      </c>
      <c r="I18" s="4">
        <f t="shared" si="0"/>
        <v>0</v>
      </c>
      <c r="J18" s="4">
        <f t="shared" si="1"/>
        <v>0</v>
      </c>
      <c r="K18" s="4">
        <f t="shared" si="2"/>
        <v>1</v>
      </c>
      <c r="L18" s="4" t="s">
        <v>509</v>
      </c>
      <c r="M18" s="4">
        <f>INDEX(Dim_Product!$C$2:$C$4,MATCH(F18,Dim_Product!$A$2:$A$4,0))+0.47</f>
        <v>250.47</v>
      </c>
      <c r="N18" s="4">
        <f>IF(AND(M18&gt;=INDEX(Dim_Product!$C$2:$C$4,MATCH(F18,Dim_Product!$A$2:$A$4,0))-INDEX(Dim_Product!$D$2:$D$4,MATCH(F18,Dim_Product!$A$2:$A$4,0)),M18&lt;=INDEX(Dim_Product!$C$2:$C$4,MATCH(F18,Dim_Product!$A$2:$A$4,0))+INDEX(Dim_Product!$D$2:$D$4,MATCH(F18,Dim_Product!$A$2:$A$4,0))),G18-H18,G18-H18-1)</f>
        <v>23</v>
      </c>
      <c r="O18" s="4">
        <f t="shared" si="3"/>
        <v>1</v>
      </c>
      <c r="P18" s="4">
        <f>INDEX(Dim_Product!$G$2:$G$4,MATCH(F18,Dim_Product!$A$2:$A$4,0))+-0.1</f>
        <v>69.900000000000006</v>
      </c>
      <c r="Q18" s="4">
        <f>IF(AND(P18&gt;=INDEX(Dim_Product!$G$2:$G$4,MATCH(F18,Dim_Product!$A$2:$A$4,0))-INDEX(Dim_Product!$H$2:$H$4,MATCH(F18,Dim_Product!$A$2:$A$4,0)),P18&lt;=INDEX(Dim_Product!$G$2:$G$4,MATCH(F18,Dim_Product!$A$2:$A$4,0))+INDEX(Dim_Product!$H$2:$H$4,MATCH(F18,Dim_Product!$A$2:$A$4,0))),G18-H18,G18-H18-1)</f>
        <v>23</v>
      </c>
      <c r="R18" s="4">
        <f t="shared" si="4"/>
        <v>1</v>
      </c>
      <c r="S18" s="4">
        <f>INDEX(Dim_Product!$K$2:$K$4,MATCH(F18,Dim_Product!$A$2:$A$4,0))+-0.36</f>
        <v>119.64</v>
      </c>
      <c r="T18" s="4">
        <f>IF(AND(S18&gt;=INDEX(Dim_Product!$K$2:$K$4,MATCH(F18,Dim_Product!$A$2:$A$4,0))-INDEX(Dim_Product!$L$2:$L$4,MATCH(F18,Dim_Product!$A$2:$A$4,0)),S18&lt;=INDEX(Dim_Product!$K$2:$K$4,MATCH(F18,Dim_Product!$A$2:$A$4,0))+INDEX(Dim_Product!$L$2:$L$4,MATCH(F18,Dim_Product!$A$2:$A$4,0))),G18-H18,G18-H18-1)</f>
        <v>23</v>
      </c>
      <c r="U18" s="4">
        <f t="shared" si="5"/>
        <v>1</v>
      </c>
      <c r="V18" s="4">
        <f t="shared" si="6"/>
        <v>4.1666666666666664E-2</v>
      </c>
      <c r="W18" s="16">
        <f t="shared" si="7"/>
        <v>0.95833333333333337</v>
      </c>
    </row>
    <row r="19" spans="1:23" x14ac:dyDescent="0.25">
      <c r="A19" s="15" t="s">
        <v>519</v>
      </c>
      <c r="B19" s="4">
        <f>Fact_Production_Hourly!B19</f>
        <v>20260701</v>
      </c>
      <c r="C19" s="4">
        <f>Fact_Production_Hourly!C19</f>
        <v>2</v>
      </c>
      <c r="D19" s="4" t="str">
        <f>Fact_Production_Hourly!D19</f>
        <v>M4</v>
      </c>
      <c r="E19" s="4" t="str">
        <f>Fact_Production_Hourly!E19</f>
        <v>B-PM</v>
      </c>
      <c r="F19" s="4" t="str">
        <f>Fact_Production_Hourly!F19</f>
        <v>A</v>
      </c>
      <c r="G19" s="4">
        <f>INDEX(Dim_Machine!$D$2:$D$8,MATCH(D19,Dim_Machine!$A$2:$A$8,0))*2</f>
        <v>48</v>
      </c>
      <c r="H19" s="4">
        <f>ROUND(G19*0.0428,0)</f>
        <v>2</v>
      </c>
      <c r="I19" s="4">
        <f t="shared" si="0"/>
        <v>0</v>
      </c>
      <c r="J19" s="4">
        <f t="shared" si="1"/>
        <v>1</v>
      </c>
      <c r="K19" s="4">
        <f t="shared" si="2"/>
        <v>1</v>
      </c>
      <c r="L19" s="4" t="s">
        <v>520</v>
      </c>
      <c r="M19" s="4">
        <f>INDEX(Dim_Product!$C$2:$C$4,MATCH(F19,Dim_Product!$A$2:$A$4,0))+-0.65</f>
        <v>249.35</v>
      </c>
      <c r="N19" s="4">
        <f>IF(AND(M19&gt;=INDEX(Dim_Product!$C$2:$C$4,MATCH(F19,Dim_Product!$A$2:$A$4,0))-INDEX(Dim_Product!$D$2:$D$4,MATCH(F19,Dim_Product!$A$2:$A$4,0)),M19&lt;=INDEX(Dim_Product!$C$2:$C$4,MATCH(F19,Dim_Product!$A$2:$A$4,0))+INDEX(Dim_Product!$D$2:$D$4,MATCH(F19,Dim_Product!$A$2:$A$4,0))),G19-H19,G19-H19-1)</f>
        <v>46</v>
      </c>
      <c r="O19" s="4">
        <f t="shared" si="3"/>
        <v>2</v>
      </c>
      <c r="P19" s="4">
        <f>INDEX(Dim_Product!$G$2:$G$4,MATCH(F19,Dim_Product!$A$2:$A$4,0))+0.17</f>
        <v>70.17</v>
      </c>
      <c r="Q19" s="4">
        <f>IF(AND(P19&gt;=INDEX(Dim_Product!$G$2:$G$4,MATCH(F19,Dim_Product!$A$2:$A$4,0))-INDEX(Dim_Product!$H$2:$H$4,MATCH(F19,Dim_Product!$A$2:$A$4,0)),P19&lt;=INDEX(Dim_Product!$G$2:$G$4,MATCH(F19,Dim_Product!$A$2:$A$4,0))+INDEX(Dim_Product!$H$2:$H$4,MATCH(F19,Dim_Product!$A$2:$A$4,0))),G19-H19,G19-H19-1)</f>
        <v>46</v>
      </c>
      <c r="R19" s="4">
        <f t="shared" si="4"/>
        <v>2</v>
      </c>
      <c r="S19" s="4">
        <f>INDEX(Dim_Product!$K$2:$K$4,MATCH(F19,Dim_Product!$A$2:$A$4,0))+-0.03</f>
        <v>119.97</v>
      </c>
      <c r="T19" s="4">
        <f>IF(AND(S19&gt;=INDEX(Dim_Product!$K$2:$K$4,MATCH(F19,Dim_Product!$A$2:$A$4,0))-INDEX(Dim_Product!$L$2:$L$4,MATCH(F19,Dim_Product!$A$2:$A$4,0)),S19&lt;=INDEX(Dim_Product!$K$2:$K$4,MATCH(F19,Dim_Product!$A$2:$A$4,0))+INDEX(Dim_Product!$L$2:$L$4,MATCH(F19,Dim_Product!$A$2:$A$4,0))),G19-H19,G19-H19-1)</f>
        <v>46</v>
      </c>
      <c r="U19" s="4">
        <f t="shared" si="5"/>
        <v>2</v>
      </c>
      <c r="V19" s="4">
        <f t="shared" si="6"/>
        <v>4.1666666666666664E-2</v>
      </c>
      <c r="W19" s="16">
        <f t="shared" si="7"/>
        <v>0.95833333333333337</v>
      </c>
    </row>
    <row r="20" spans="1:23" x14ac:dyDescent="0.25">
      <c r="A20" s="15" t="s">
        <v>521</v>
      </c>
      <c r="B20" s="4">
        <f>Fact_Production_Hourly!B20</f>
        <v>20260701</v>
      </c>
      <c r="C20" s="4">
        <f>Fact_Production_Hourly!C20</f>
        <v>2</v>
      </c>
      <c r="D20" s="4" t="str">
        <f>Fact_Production_Hourly!D20</f>
        <v>M5</v>
      </c>
      <c r="E20" s="4" t="str">
        <f>Fact_Production_Hourly!E20</f>
        <v>B-PM</v>
      </c>
      <c r="F20" s="4" t="str">
        <f>Fact_Production_Hourly!F20</f>
        <v>A</v>
      </c>
      <c r="G20" s="4">
        <f>INDEX(Dim_Machine!$D$2:$D$8,MATCH(D20,Dim_Machine!$A$2:$A$8,0))*2</f>
        <v>32</v>
      </c>
      <c r="H20" s="4">
        <f>ROUND(G20*0.0517,0)</f>
        <v>2</v>
      </c>
      <c r="I20" s="4">
        <f t="shared" si="0"/>
        <v>0</v>
      </c>
      <c r="J20" s="4">
        <f t="shared" si="1"/>
        <v>1</v>
      </c>
      <c r="K20" s="4">
        <f t="shared" si="2"/>
        <v>1</v>
      </c>
      <c r="L20" s="4" t="s">
        <v>520</v>
      </c>
      <c r="M20" s="4">
        <f>INDEX(Dim_Product!$C$2:$C$4,MATCH(F20,Dim_Product!$A$2:$A$4,0))+-0.64</f>
        <v>249.36</v>
      </c>
      <c r="N20" s="4">
        <f>IF(AND(M20&gt;=INDEX(Dim_Product!$C$2:$C$4,MATCH(F20,Dim_Product!$A$2:$A$4,0))-INDEX(Dim_Product!$D$2:$D$4,MATCH(F20,Dim_Product!$A$2:$A$4,0)),M20&lt;=INDEX(Dim_Product!$C$2:$C$4,MATCH(F20,Dim_Product!$A$2:$A$4,0))+INDEX(Dim_Product!$D$2:$D$4,MATCH(F20,Dim_Product!$A$2:$A$4,0))),G20-H20,G20-H20-1)</f>
        <v>30</v>
      </c>
      <c r="O20" s="4">
        <f t="shared" si="3"/>
        <v>2</v>
      </c>
      <c r="P20" s="4">
        <f>INDEX(Dim_Product!$G$2:$G$4,MATCH(F20,Dim_Product!$A$2:$A$4,0))+-0.22</f>
        <v>69.78</v>
      </c>
      <c r="Q20" s="4">
        <f>IF(AND(P20&gt;=INDEX(Dim_Product!$G$2:$G$4,MATCH(F20,Dim_Product!$A$2:$A$4,0))-INDEX(Dim_Product!$H$2:$H$4,MATCH(F20,Dim_Product!$A$2:$A$4,0)),P20&lt;=INDEX(Dim_Product!$G$2:$G$4,MATCH(F20,Dim_Product!$A$2:$A$4,0))+INDEX(Dim_Product!$H$2:$H$4,MATCH(F20,Dim_Product!$A$2:$A$4,0))),G20-H20,G20-H20-1)</f>
        <v>30</v>
      </c>
      <c r="R20" s="4">
        <f t="shared" si="4"/>
        <v>2</v>
      </c>
      <c r="S20" s="4">
        <f>INDEX(Dim_Product!$K$2:$K$4,MATCH(F20,Dim_Product!$A$2:$A$4,0))+0.17</f>
        <v>120.17</v>
      </c>
      <c r="T20" s="4">
        <f>IF(AND(S20&gt;=INDEX(Dim_Product!$K$2:$K$4,MATCH(F20,Dim_Product!$A$2:$A$4,0))-INDEX(Dim_Product!$L$2:$L$4,MATCH(F20,Dim_Product!$A$2:$A$4,0)),S20&lt;=INDEX(Dim_Product!$K$2:$K$4,MATCH(F20,Dim_Product!$A$2:$A$4,0))+INDEX(Dim_Product!$L$2:$L$4,MATCH(F20,Dim_Product!$A$2:$A$4,0))),G20-H20,G20-H20-1)</f>
        <v>30</v>
      </c>
      <c r="U20" s="4">
        <f t="shared" si="5"/>
        <v>2</v>
      </c>
      <c r="V20" s="4">
        <f t="shared" si="6"/>
        <v>6.25E-2</v>
      </c>
      <c r="W20" s="16">
        <f t="shared" si="7"/>
        <v>0.9375</v>
      </c>
    </row>
    <row r="21" spans="1:23" x14ac:dyDescent="0.25">
      <c r="A21" s="15" t="s">
        <v>522</v>
      </c>
      <c r="B21" s="4">
        <f>Fact_Production_Hourly!B21</f>
        <v>20260701</v>
      </c>
      <c r="C21" s="4">
        <f>Fact_Production_Hourly!C21</f>
        <v>2</v>
      </c>
      <c r="D21" s="4" t="str">
        <f>Fact_Production_Hourly!D21</f>
        <v>M6</v>
      </c>
      <c r="E21" s="4" t="str">
        <f>Fact_Production_Hourly!E21</f>
        <v>B-PM</v>
      </c>
      <c r="F21" s="4" t="str">
        <f>Fact_Production_Hourly!F21</f>
        <v>C</v>
      </c>
      <c r="G21" s="4">
        <f>INDEX(Dim_Machine!$D$2:$D$8,MATCH(D21,Dim_Machine!$A$2:$A$8,0))*2</f>
        <v>24</v>
      </c>
      <c r="H21" s="4">
        <f>ROUND(G21*0.0666,0)</f>
        <v>2</v>
      </c>
      <c r="I21" s="4">
        <f t="shared" si="0"/>
        <v>0</v>
      </c>
      <c r="J21" s="4">
        <f t="shared" si="1"/>
        <v>1</v>
      </c>
      <c r="K21" s="4">
        <f t="shared" si="2"/>
        <v>1</v>
      </c>
      <c r="L21" s="4" t="s">
        <v>498</v>
      </c>
      <c r="M21" s="4">
        <f>INDEX(Dim_Product!$C$2:$C$4,MATCH(F21,Dim_Product!$A$2:$A$4,0))+-0.41</f>
        <v>199.59</v>
      </c>
      <c r="N21" s="4">
        <f>IF(AND(M21&gt;=INDEX(Dim_Product!$C$2:$C$4,MATCH(F21,Dim_Product!$A$2:$A$4,0))-INDEX(Dim_Product!$D$2:$D$4,MATCH(F21,Dim_Product!$A$2:$A$4,0)),M21&lt;=INDEX(Dim_Product!$C$2:$C$4,MATCH(F21,Dim_Product!$A$2:$A$4,0))+INDEX(Dim_Product!$D$2:$D$4,MATCH(F21,Dim_Product!$A$2:$A$4,0))),G21-H21,G21-H21-1)</f>
        <v>22</v>
      </c>
      <c r="O21" s="4">
        <f t="shared" si="3"/>
        <v>2</v>
      </c>
      <c r="P21" s="4">
        <f>INDEX(Dim_Product!$G$2:$G$4,MATCH(F21,Dim_Product!$A$2:$A$4,0))+-0.27</f>
        <v>64.73</v>
      </c>
      <c r="Q21" s="4">
        <f>IF(AND(P21&gt;=INDEX(Dim_Product!$G$2:$G$4,MATCH(F21,Dim_Product!$A$2:$A$4,0))-INDEX(Dim_Product!$H$2:$H$4,MATCH(F21,Dim_Product!$A$2:$A$4,0)),P21&lt;=INDEX(Dim_Product!$G$2:$G$4,MATCH(F21,Dim_Product!$A$2:$A$4,0))+INDEX(Dim_Product!$H$2:$H$4,MATCH(F21,Dim_Product!$A$2:$A$4,0))),G21-H21,G21-H21-1)</f>
        <v>22</v>
      </c>
      <c r="R21" s="4">
        <f t="shared" si="4"/>
        <v>2</v>
      </c>
      <c r="S21" s="4">
        <f>INDEX(Dim_Product!$K$2:$K$4,MATCH(F21,Dim_Product!$A$2:$A$4,0))+-0.24</f>
        <v>109.76</v>
      </c>
      <c r="T21" s="4">
        <f>IF(AND(S21&gt;=INDEX(Dim_Product!$K$2:$K$4,MATCH(F21,Dim_Product!$A$2:$A$4,0))-INDEX(Dim_Product!$L$2:$L$4,MATCH(F21,Dim_Product!$A$2:$A$4,0)),S21&lt;=INDEX(Dim_Product!$K$2:$K$4,MATCH(F21,Dim_Product!$A$2:$A$4,0))+INDEX(Dim_Product!$L$2:$L$4,MATCH(F21,Dim_Product!$A$2:$A$4,0))),G21-H21,G21-H21-1)</f>
        <v>22</v>
      </c>
      <c r="U21" s="4">
        <f t="shared" si="5"/>
        <v>2</v>
      </c>
      <c r="V21" s="4">
        <f t="shared" si="6"/>
        <v>8.3333333333333329E-2</v>
      </c>
      <c r="W21" s="16">
        <f t="shared" si="7"/>
        <v>0.91666666666666663</v>
      </c>
    </row>
    <row r="22" spans="1:23" x14ac:dyDescent="0.25">
      <c r="A22" s="15" t="s">
        <v>523</v>
      </c>
      <c r="B22" s="4">
        <f>Fact_Production_Hourly!B22</f>
        <v>20260701</v>
      </c>
      <c r="C22" s="4">
        <f>Fact_Production_Hourly!C22</f>
        <v>2</v>
      </c>
      <c r="D22" s="4" t="str">
        <f>Fact_Production_Hourly!D22</f>
        <v>M7</v>
      </c>
      <c r="E22" s="4" t="str">
        <f>Fact_Production_Hourly!E22</f>
        <v>B-PM</v>
      </c>
      <c r="F22" s="4" t="str">
        <f>Fact_Production_Hourly!F22</f>
        <v>A</v>
      </c>
      <c r="G22" s="4">
        <f>INDEX(Dim_Machine!$D$2:$D$8,MATCH(D22,Dim_Machine!$A$2:$A$8,0))*2</f>
        <v>48</v>
      </c>
      <c r="H22" s="4">
        <f>ROUND(G22*0.0125,0)</f>
        <v>1</v>
      </c>
      <c r="I22" s="4">
        <f t="shared" si="0"/>
        <v>0</v>
      </c>
      <c r="J22" s="4">
        <f t="shared" si="1"/>
        <v>0</v>
      </c>
      <c r="K22" s="4">
        <f t="shared" si="2"/>
        <v>1</v>
      </c>
      <c r="L22" s="4" t="s">
        <v>517</v>
      </c>
      <c r="M22" s="4">
        <f>INDEX(Dim_Product!$C$2:$C$4,MATCH(F22,Dim_Product!$A$2:$A$4,0))+0.03</f>
        <v>250.03</v>
      </c>
      <c r="N22" s="4">
        <f>IF(AND(M22&gt;=INDEX(Dim_Product!$C$2:$C$4,MATCH(F22,Dim_Product!$A$2:$A$4,0))-INDEX(Dim_Product!$D$2:$D$4,MATCH(F22,Dim_Product!$A$2:$A$4,0)),M22&lt;=INDEX(Dim_Product!$C$2:$C$4,MATCH(F22,Dim_Product!$A$2:$A$4,0))+INDEX(Dim_Product!$D$2:$D$4,MATCH(F22,Dim_Product!$A$2:$A$4,0))),G22-H22,G22-H22-1)</f>
        <v>47</v>
      </c>
      <c r="O22" s="4">
        <f t="shared" si="3"/>
        <v>1</v>
      </c>
      <c r="P22" s="4">
        <f>INDEX(Dim_Product!$G$2:$G$4,MATCH(F22,Dim_Product!$A$2:$A$4,0))+0.29</f>
        <v>70.290000000000006</v>
      </c>
      <c r="Q22" s="4">
        <f>IF(AND(P22&gt;=INDEX(Dim_Product!$G$2:$G$4,MATCH(F22,Dim_Product!$A$2:$A$4,0))-INDEX(Dim_Product!$H$2:$H$4,MATCH(F22,Dim_Product!$A$2:$A$4,0)),P22&lt;=INDEX(Dim_Product!$G$2:$G$4,MATCH(F22,Dim_Product!$A$2:$A$4,0))+INDEX(Dim_Product!$H$2:$H$4,MATCH(F22,Dim_Product!$A$2:$A$4,0))),G22-H22,G22-H22-1)</f>
        <v>47</v>
      </c>
      <c r="R22" s="4">
        <f t="shared" si="4"/>
        <v>1</v>
      </c>
      <c r="S22" s="4">
        <f>INDEX(Dim_Product!$K$2:$K$4,MATCH(F22,Dim_Product!$A$2:$A$4,0))+0.03</f>
        <v>120.03</v>
      </c>
      <c r="T22" s="4">
        <f>IF(AND(S22&gt;=INDEX(Dim_Product!$K$2:$K$4,MATCH(F22,Dim_Product!$A$2:$A$4,0))-INDEX(Dim_Product!$L$2:$L$4,MATCH(F22,Dim_Product!$A$2:$A$4,0)),S22&lt;=INDEX(Dim_Product!$K$2:$K$4,MATCH(F22,Dim_Product!$A$2:$A$4,0))+INDEX(Dim_Product!$L$2:$L$4,MATCH(F22,Dim_Product!$A$2:$A$4,0))),G22-H22,G22-H22-1)</f>
        <v>47</v>
      </c>
      <c r="U22" s="4">
        <f t="shared" si="5"/>
        <v>1</v>
      </c>
      <c r="V22" s="4">
        <f t="shared" si="6"/>
        <v>2.0833333333333332E-2</v>
      </c>
      <c r="W22" s="16">
        <f t="shared" si="7"/>
        <v>0.97916666666666663</v>
      </c>
    </row>
    <row r="23" spans="1:23" x14ac:dyDescent="0.25">
      <c r="A23" s="15" t="s">
        <v>524</v>
      </c>
      <c r="B23" s="4">
        <f>Fact_Production_Hourly!B23</f>
        <v>20260701</v>
      </c>
      <c r="C23" s="4">
        <f>Fact_Production_Hourly!C23</f>
        <v>3</v>
      </c>
      <c r="D23" s="4" t="str">
        <f>Fact_Production_Hourly!D23</f>
        <v>M1</v>
      </c>
      <c r="E23" s="4" t="str">
        <f>Fact_Production_Hourly!E23</f>
        <v>B-PM</v>
      </c>
      <c r="F23" s="4" t="str">
        <f>Fact_Production_Hourly!F23</f>
        <v>A</v>
      </c>
      <c r="G23" s="4">
        <f>INDEX(Dim_Machine!$D$2:$D$8,MATCH(D23,Dim_Machine!$A$2:$A$8,0))*2</f>
        <v>32</v>
      </c>
      <c r="H23" s="4">
        <f>ROUND(G23*0.0252,0)</f>
        <v>1</v>
      </c>
      <c r="I23" s="4">
        <f t="shared" si="0"/>
        <v>0</v>
      </c>
      <c r="J23" s="4">
        <f t="shared" si="1"/>
        <v>0</v>
      </c>
      <c r="K23" s="4">
        <f t="shared" si="2"/>
        <v>1</v>
      </c>
      <c r="L23" s="4" t="s">
        <v>520</v>
      </c>
      <c r="M23" s="4">
        <f>INDEX(Dim_Product!$C$2:$C$4,MATCH(F23,Dim_Product!$A$2:$A$4,0))+-0.62</f>
        <v>249.38</v>
      </c>
      <c r="N23" s="4">
        <f>IF(AND(M23&gt;=INDEX(Dim_Product!$C$2:$C$4,MATCH(F23,Dim_Product!$A$2:$A$4,0))-INDEX(Dim_Product!$D$2:$D$4,MATCH(F23,Dim_Product!$A$2:$A$4,0)),M23&lt;=INDEX(Dim_Product!$C$2:$C$4,MATCH(F23,Dim_Product!$A$2:$A$4,0))+INDEX(Dim_Product!$D$2:$D$4,MATCH(F23,Dim_Product!$A$2:$A$4,0))),G23-H23,G23-H23-1)</f>
        <v>31</v>
      </c>
      <c r="O23" s="4">
        <f t="shared" si="3"/>
        <v>1</v>
      </c>
      <c r="P23" s="4">
        <f>INDEX(Dim_Product!$G$2:$G$4,MATCH(F23,Dim_Product!$A$2:$A$4,0))+-0.09</f>
        <v>69.91</v>
      </c>
      <c r="Q23" s="4">
        <f>IF(AND(P23&gt;=INDEX(Dim_Product!$G$2:$G$4,MATCH(F23,Dim_Product!$A$2:$A$4,0))-INDEX(Dim_Product!$H$2:$H$4,MATCH(F23,Dim_Product!$A$2:$A$4,0)),P23&lt;=INDEX(Dim_Product!$G$2:$G$4,MATCH(F23,Dim_Product!$A$2:$A$4,0))+INDEX(Dim_Product!$H$2:$H$4,MATCH(F23,Dim_Product!$A$2:$A$4,0))),G23-H23,G23-H23-1)</f>
        <v>31</v>
      </c>
      <c r="R23" s="4">
        <f t="shared" si="4"/>
        <v>1</v>
      </c>
      <c r="S23" s="4">
        <f>INDEX(Dim_Product!$K$2:$K$4,MATCH(F23,Dim_Product!$A$2:$A$4,0))+0.22</f>
        <v>120.22</v>
      </c>
      <c r="T23" s="4">
        <f>IF(AND(S23&gt;=INDEX(Dim_Product!$K$2:$K$4,MATCH(F23,Dim_Product!$A$2:$A$4,0))-INDEX(Dim_Product!$L$2:$L$4,MATCH(F23,Dim_Product!$A$2:$A$4,0)),S23&lt;=INDEX(Dim_Product!$K$2:$K$4,MATCH(F23,Dim_Product!$A$2:$A$4,0))+INDEX(Dim_Product!$L$2:$L$4,MATCH(F23,Dim_Product!$A$2:$A$4,0))),G23-H23,G23-H23-1)</f>
        <v>31</v>
      </c>
      <c r="U23" s="4">
        <f t="shared" si="5"/>
        <v>1</v>
      </c>
      <c r="V23" s="4">
        <f t="shared" si="6"/>
        <v>3.125E-2</v>
      </c>
      <c r="W23" s="16">
        <f t="shared" si="7"/>
        <v>0.96875</v>
      </c>
    </row>
    <row r="24" spans="1:23" x14ac:dyDescent="0.25">
      <c r="A24" s="15" t="s">
        <v>525</v>
      </c>
      <c r="B24" s="4">
        <f>Fact_Production_Hourly!B24</f>
        <v>20260701</v>
      </c>
      <c r="C24" s="4">
        <f>Fact_Production_Hourly!C24</f>
        <v>3</v>
      </c>
      <c r="D24" s="4" t="str">
        <f>Fact_Production_Hourly!D24</f>
        <v>M2</v>
      </c>
      <c r="E24" s="4" t="str">
        <f>Fact_Production_Hourly!E24</f>
        <v>B-PM</v>
      </c>
      <c r="F24" s="4" t="str">
        <f>Fact_Production_Hourly!F24</f>
        <v>C</v>
      </c>
      <c r="G24" s="4">
        <f>INDEX(Dim_Machine!$D$2:$D$8,MATCH(D24,Dim_Machine!$A$2:$A$8,0))*2</f>
        <v>48</v>
      </c>
      <c r="H24" s="4">
        <f>ROUND(G24*0.0619,0)</f>
        <v>3</v>
      </c>
      <c r="I24" s="4">
        <f t="shared" si="0"/>
        <v>0</v>
      </c>
      <c r="J24" s="4">
        <f t="shared" si="1"/>
        <v>1</v>
      </c>
      <c r="K24" s="4">
        <f t="shared" si="2"/>
        <v>2</v>
      </c>
      <c r="L24" s="4" t="s">
        <v>517</v>
      </c>
      <c r="M24" s="4">
        <f>INDEX(Dim_Product!$C$2:$C$4,MATCH(F24,Dim_Product!$A$2:$A$4,0))+-0.45</f>
        <v>199.55</v>
      </c>
      <c r="N24" s="4">
        <f>IF(AND(M24&gt;=INDEX(Dim_Product!$C$2:$C$4,MATCH(F24,Dim_Product!$A$2:$A$4,0))-INDEX(Dim_Product!$D$2:$D$4,MATCH(F24,Dim_Product!$A$2:$A$4,0)),M24&lt;=INDEX(Dim_Product!$C$2:$C$4,MATCH(F24,Dim_Product!$A$2:$A$4,0))+INDEX(Dim_Product!$D$2:$D$4,MATCH(F24,Dim_Product!$A$2:$A$4,0))),G24-H24,G24-H24-1)</f>
        <v>45</v>
      </c>
      <c r="O24" s="4">
        <f t="shared" si="3"/>
        <v>3</v>
      </c>
      <c r="P24" s="4">
        <f>INDEX(Dim_Product!$G$2:$G$4,MATCH(F24,Dim_Product!$A$2:$A$4,0))+0.18</f>
        <v>65.180000000000007</v>
      </c>
      <c r="Q24" s="4">
        <f>IF(AND(P24&gt;=INDEX(Dim_Product!$G$2:$G$4,MATCH(F24,Dim_Product!$A$2:$A$4,0))-INDEX(Dim_Product!$H$2:$H$4,MATCH(F24,Dim_Product!$A$2:$A$4,0)),P24&lt;=INDEX(Dim_Product!$G$2:$G$4,MATCH(F24,Dim_Product!$A$2:$A$4,0))+INDEX(Dim_Product!$H$2:$H$4,MATCH(F24,Dim_Product!$A$2:$A$4,0))),G24-H24,G24-H24-1)</f>
        <v>45</v>
      </c>
      <c r="R24" s="4">
        <f t="shared" si="4"/>
        <v>3</v>
      </c>
      <c r="S24" s="4">
        <f>INDEX(Dim_Product!$K$2:$K$4,MATCH(F24,Dim_Product!$A$2:$A$4,0))+-0.05</f>
        <v>109.95</v>
      </c>
      <c r="T24" s="4">
        <f>IF(AND(S24&gt;=INDEX(Dim_Product!$K$2:$K$4,MATCH(F24,Dim_Product!$A$2:$A$4,0))-INDEX(Dim_Product!$L$2:$L$4,MATCH(F24,Dim_Product!$A$2:$A$4,0)),S24&lt;=INDEX(Dim_Product!$K$2:$K$4,MATCH(F24,Dim_Product!$A$2:$A$4,0))+INDEX(Dim_Product!$L$2:$L$4,MATCH(F24,Dim_Product!$A$2:$A$4,0))),G24-H24,G24-H24-1)</f>
        <v>45</v>
      </c>
      <c r="U24" s="4">
        <f t="shared" si="5"/>
        <v>3</v>
      </c>
      <c r="V24" s="4">
        <f t="shared" si="6"/>
        <v>6.25E-2</v>
      </c>
      <c r="W24" s="16">
        <f t="shared" si="7"/>
        <v>0.9375</v>
      </c>
    </row>
    <row r="25" spans="1:23" x14ac:dyDescent="0.25">
      <c r="A25" s="15" t="s">
        <v>526</v>
      </c>
      <c r="B25" s="4">
        <f>Fact_Production_Hourly!B25</f>
        <v>20260701</v>
      </c>
      <c r="C25" s="4">
        <f>Fact_Production_Hourly!C25</f>
        <v>3</v>
      </c>
      <c r="D25" s="4" t="str">
        <f>Fact_Production_Hourly!D25</f>
        <v>M3</v>
      </c>
      <c r="E25" s="4" t="str">
        <f>Fact_Production_Hourly!E25</f>
        <v>B-PM</v>
      </c>
      <c r="F25" s="4" t="str">
        <f>Fact_Production_Hourly!F25</f>
        <v>A</v>
      </c>
      <c r="G25" s="4">
        <f>INDEX(Dim_Machine!$D$2:$D$8,MATCH(D25,Dim_Machine!$A$2:$A$8,0))*2</f>
        <v>24</v>
      </c>
      <c r="H25" s="4">
        <f>ROUND(G25*0.034,0)</f>
        <v>1</v>
      </c>
      <c r="I25" s="4">
        <f t="shared" si="0"/>
        <v>0</v>
      </c>
      <c r="J25" s="4">
        <f t="shared" si="1"/>
        <v>0</v>
      </c>
      <c r="K25" s="4">
        <f t="shared" si="2"/>
        <v>1</v>
      </c>
      <c r="L25" s="4" t="s">
        <v>503</v>
      </c>
      <c r="M25" s="4">
        <f>INDEX(Dim_Product!$C$2:$C$4,MATCH(F25,Dim_Product!$A$2:$A$4,0))+0.79</f>
        <v>250.79</v>
      </c>
      <c r="N25" s="4">
        <f>IF(AND(M25&gt;=INDEX(Dim_Product!$C$2:$C$4,MATCH(F25,Dim_Product!$A$2:$A$4,0))-INDEX(Dim_Product!$D$2:$D$4,MATCH(F25,Dim_Product!$A$2:$A$4,0)),M25&lt;=INDEX(Dim_Product!$C$2:$C$4,MATCH(F25,Dim_Product!$A$2:$A$4,0))+INDEX(Dim_Product!$D$2:$D$4,MATCH(F25,Dim_Product!$A$2:$A$4,0))),G25-H25,G25-H25-1)</f>
        <v>23</v>
      </c>
      <c r="O25" s="4">
        <f t="shared" si="3"/>
        <v>1</v>
      </c>
      <c r="P25" s="4">
        <f>INDEX(Dim_Product!$G$2:$G$4,MATCH(F25,Dim_Product!$A$2:$A$4,0))+-0.07</f>
        <v>69.930000000000007</v>
      </c>
      <c r="Q25" s="4">
        <f>IF(AND(P25&gt;=INDEX(Dim_Product!$G$2:$G$4,MATCH(F25,Dim_Product!$A$2:$A$4,0))-INDEX(Dim_Product!$H$2:$H$4,MATCH(F25,Dim_Product!$A$2:$A$4,0)),P25&lt;=INDEX(Dim_Product!$G$2:$G$4,MATCH(F25,Dim_Product!$A$2:$A$4,0))+INDEX(Dim_Product!$H$2:$H$4,MATCH(F25,Dim_Product!$A$2:$A$4,0))),G25-H25,G25-H25-1)</f>
        <v>23</v>
      </c>
      <c r="R25" s="4">
        <f t="shared" si="4"/>
        <v>1</v>
      </c>
      <c r="S25" s="4">
        <f>INDEX(Dim_Product!$K$2:$K$4,MATCH(F25,Dim_Product!$A$2:$A$4,0))+0.38</f>
        <v>120.38</v>
      </c>
      <c r="T25" s="4">
        <f>IF(AND(S25&gt;=INDEX(Dim_Product!$K$2:$K$4,MATCH(F25,Dim_Product!$A$2:$A$4,0))-INDEX(Dim_Product!$L$2:$L$4,MATCH(F25,Dim_Product!$A$2:$A$4,0)),S25&lt;=INDEX(Dim_Product!$K$2:$K$4,MATCH(F25,Dim_Product!$A$2:$A$4,0))+INDEX(Dim_Product!$L$2:$L$4,MATCH(F25,Dim_Product!$A$2:$A$4,0))),G25-H25,G25-H25-1)</f>
        <v>23</v>
      </c>
      <c r="U25" s="4">
        <f t="shared" si="5"/>
        <v>1</v>
      </c>
      <c r="V25" s="4">
        <f t="shared" si="6"/>
        <v>4.1666666666666664E-2</v>
      </c>
      <c r="W25" s="16">
        <f t="shared" si="7"/>
        <v>0.95833333333333337</v>
      </c>
    </row>
    <row r="26" spans="1:23" x14ac:dyDescent="0.25">
      <c r="A26" s="15" t="s">
        <v>527</v>
      </c>
      <c r="B26" s="4">
        <f>Fact_Production_Hourly!B26</f>
        <v>20260701</v>
      </c>
      <c r="C26" s="4">
        <f>Fact_Production_Hourly!C26</f>
        <v>3</v>
      </c>
      <c r="D26" s="4" t="str">
        <f>Fact_Production_Hourly!D26</f>
        <v>M4</v>
      </c>
      <c r="E26" s="4" t="str">
        <f>Fact_Production_Hourly!E26</f>
        <v>B-PM</v>
      </c>
      <c r="F26" s="4" t="str">
        <f>Fact_Production_Hourly!F26</f>
        <v>A</v>
      </c>
      <c r="G26" s="4">
        <f>INDEX(Dim_Machine!$D$2:$D$8,MATCH(D26,Dim_Machine!$A$2:$A$8,0))*2</f>
        <v>48</v>
      </c>
      <c r="H26" s="4">
        <f>ROUND(G26*0.0398,0)</f>
        <v>2</v>
      </c>
      <c r="I26" s="4">
        <f t="shared" si="0"/>
        <v>0</v>
      </c>
      <c r="J26" s="4">
        <f t="shared" si="1"/>
        <v>1</v>
      </c>
      <c r="K26" s="4">
        <f t="shared" si="2"/>
        <v>1</v>
      </c>
      <c r="L26" s="4" t="s">
        <v>503</v>
      </c>
      <c r="M26" s="4">
        <f>INDEX(Dim_Product!$C$2:$C$4,MATCH(F26,Dim_Product!$A$2:$A$4,0))+-0.27</f>
        <v>249.73</v>
      </c>
      <c r="N26" s="4">
        <f>IF(AND(M26&gt;=INDEX(Dim_Product!$C$2:$C$4,MATCH(F26,Dim_Product!$A$2:$A$4,0))-INDEX(Dim_Product!$D$2:$D$4,MATCH(F26,Dim_Product!$A$2:$A$4,0)),M26&lt;=INDEX(Dim_Product!$C$2:$C$4,MATCH(F26,Dim_Product!$A$2:$A$4,0))+INDEX(Dim_Product!$D$2:$D$4,MATCH(F26,Dim_Product!$A$2:$A$4,0))),G26-H26,G26-H26-1)</f>
        <v>46</v>
      </c>
      <c r="O26" s="4">
        <f t="shared" si="3"/>
        <v>2</v>
      </c>
      <c r="P26" s="4">
        <f>INDEX(Dim_Product!$G$2:$G$4,MATCH(F26,Dim_Product!$A$2:$A$4,0))+0.18</f>
        <v>70.180000000000007</v>
      </c>
      <c r="Q26" s="4">
        <f>IF(AND(P26&gt;=INDEX(Dim_Product!$G$2:$G$4,MATCH(F26,Dim_Product!$A$2:$A$4,0))-INDEX(Dim_Product!$H$2:$H$4,MATCH(F26,Dim_Product!$A$2:$A$4,0)),P26&lt;=INDEX(Dim_Product!$G$2:$G$4,MATCH(F26,Dim_Product!$A$2:$A$4,0))+INDEX(Dim_Product!$H$2:$H$4,MATCH(F26,Dim_Product!$A$2:$A$4,0))),G26-H26,G26-H26-1)</f>
        <v>46</v>
      </c>
      <c r="R26" s="4">
        <f t="shared" si="4"/>
        <v>2</v>
      </c>
      <c r="S26" s="4">
        <f>INDEX(Dim_Product!$K$2:$K$4,MATCH(F26,Dim_Product!$A$2:$A$4,0))+-0.19</f>
        <v>119.81</v>
      </c>
      <c r="T26" s="4">
        <f>IF(AND(S26&gt;=INDEX(Dim_Product!$K$2:$K$4,MATCH(F26,Dim_Product!$A$2:$A$4,0))-INDEX(Dim_Product!$L$2:$L$4,MATCH(F26,Dim_Product!$A$2:$A$4,0)),S26&lt;=INDEX(Dim_Product!$K$2:$K$4,MATCH(F26,Dim_Product!$A$2:$A$4,0))+INDEX(Dim_Product!$L$2:$L$4,MATCH(F26,Dim_Product!$A$2:$A$4,0))),G26-H26,G26-H26-1)</f>
        <v>46</v>
      </c>
      <c r="U26" s="4">
        <f t="shared" si="5"/>
        <v>2</v>
      </c>
      <c r="V26" s="4">
        <f t="shared" si="6"/>
        <v>4.1666666666666664E-2</v>
      </c>
      <c r="W26" s="16">
        <f t="shared" si="7"/>
        <v>0.95833333333333337</v>
      </c>
    </row>
    <row r="27" spans="1:23" x14ac:dyDescent="0.25">
      <c r="A27" s="15" t="s">
        <v>528</v>
      </c>
      <c r="B27" s="4">
        <f>Fact_Production_Hourly!B27</f>
        <v>20260701</v>
      </c>
      <c r="C27" s="4">
        <f>Fact_Production_Hourly!C27</f>
        <v>3</v>
      </c>
      <c r="D27" s="4" t="str">
        <f>Fact_Production_Hourly!D27</f>
        <v>M5</v>
      </c>
      <c r="E27" s="4" t="str">
        <f>Fact_Production_Hourly!E27</f>
        <v>B-PM</v>
      </c>
      <c r="F27" s="4" t="str">
        <f>Fact_Production_Hourly!F27</f>
        <v>A</v>
      </c>
      <c r="G27" s="4">
        <f>INDEX(Dim_Machine!$D$2:$D$8,MATCH(D27,Dim_Machine!$A$2:$A$8,0))*2</f>
        <v>32</v>
      </c>
      <c r="H27" s="4">
        <f>ROUND(G27*0.015,0)</f>
        <v>0</v>
      </c>
      <c r="I27" s="4">
        <f t="shared" si="0"/>
        <v>0</v>
      </c>
      <c r="J27" s="4">
        <f t="shared" si="1"/>
        <v>0</v>
      </c>
      <c r="K27" s="4">
        <f t="shared" si="2"/>
        <v>0</v>
      </c>
      <c r="L27" s="4" t="s">
        <v>503</v>
      </c>
      <c r="M27" s="4">
        <f>INDEX(Dim_Product!$C$2:$C$4,MATCH(F27,Dim_Product!$A$2:$A$4,0))+-0.84</f>
        <v>249.16</v>
      </c>
      <c r="N27" s="4">
        <f>IF(AND(M27&gt;=INDEX(Dim_Product!$C$2:$C$4,MATCH(F27,Dim_Product!$A$2:$A$4,0))-INDEX(Dim_Product!$D$2:$D$4,MATCH(F27,Dim_Product!$A$2:$A$4,0)),M27&lt;=INDEX(Dim_Product!$C$2:$C$4,MATCH(F27,Dim_Product!$A$2:$A$4,0))+INDEX(Dim_Product!$D$2:$D$4,MATCH(F27,Dim_Product!$A$2:$A$4,0))),G27-H27,G27-H27-1)</f>
        <v>32</v>
      </c>
      <c r="O27" s="4">
        <f t="shared" si="3"/>
        <v>0</v>
      </c>
      <c r="P27" s="4">
        <f>INDEX(Dim_Product!$G$2:$G$4,MATCH(F27,Dim_Product!$A$2:$A$4,0))+0.06</f>
        <v>70.06</v>
      </c>
      <c r="Q27" s="4">
        <f>IF(AND(P27&gt;=INDEX(Dim_Product!$G$2:$G$4,MATCH(F27,Dim_Product!$A$2:$A$4,0))-INDEX(Dim_Product!$H$2:$H$4,MATCH(F27,Dim_Product!$A$2:$A$4,0)),P27&lt;=INDEX(Dim_Product!$G$2:$G$4,MATCH(F27,Dim_Product!$A$2:$A$4,0))+INDEX(Dim_Product!$H$2:$H$4,MATCH(F27,Dim_Product!$A$2:$A$4,0))),G27-H27,G27-H27-1)</f>
        <v>32</v>
      </c>
      <c r="R27" s="4">
        <f t="shared" si="4"/>
        <v>0</v>
      </c>
      <c r="S27" s="4">
        <f>INDEX(Dim_Product!$K$2:$K$4,MATCH(F27,Dim_Product!$A$2:$A$4,0))+0.26</f>
        <v>120.26</v>
      </c>
      <c r="T27" s="4">
        <f>IF(AND(S27&gt;=INDEX(Dim_Product!$K$2:$K$4,MATCH(F27,Dim_Product!$A$2:$A$4,0))-INDEX(Dim_Product!$L$2:$L$4,MATCH(F27,Dim_Product!$A$2:$A$4,0)),S27&lt;=INDEX(Dim_Product!$K$2:$K$4,MATCH(F27,Dim_Product!$A$2:$A$4,0))+INDEX(Dim_Product!$L$2:$L$4,MATCH(F27,Dim_Product!$A$2:$A$4,0))),G27-H27,G27-H27-1)</f>
        <v>32</v>
      </c>
      <c r="U27" s="4">
        <f t="shared" si="5"/>
        <v>0</v>
      </c>
      <c r="V27" s="4">
        <f t="shared" si="6"/>
        <v>0</v>
      </c>
      <c r="W27" s="16">
        <f t="shared" si="7"/>
        <v>1</v>
      </c>
    </row>
    <row r="28" spans="1:23" x14ac:dyDescent="0.25">
      <c r="A28" s="15" t="s">
        <v>529</v>
      </c>
      <c r="B28" s="4">
        <f>Fact_Production_Hourly!B28</f>
        <v>20260701</v>
      </c>
      <c r="C28" s="4">
        <f>Fact_Production_Hourly!C28</f>
        <v>3</v>
      </c>
      <c r="D28" s="4" t="str">
        <f>Fact_Production_Hourly!D28</f>
        <v>M6</v>
      </c>
      <c r="E28" s="4" t="str">
        <f>Fact_Production_Hourly!E28</f>
        <v>B-PM</v>
      </c>
      <c r="F28" s="4" t="str">
        <f>Fact_Production_Hourly!F28</f>
        <v>C</v>
      </c>
      <c r="G28" s="4">
        <f>INDEX(Dim_Machine!$D$2:$D$8,MATCH(D28,Dim_Machine!$A$2:$A$8,0))*2</f>
        <v>24</v>
      </c>
      <c r="H28" s="4">
        <f>ROUND(G28*0.0427,0)</f>
        <v>1</v>
      </c>
      <c r="I28" s="4">
        <f t="shared" si="0"/>
        <v>0</v>
      </c>
      <c r="J28" s="4">
        <f t="shared" si="1"/>
        <v>0</v>
      </c>
      <c r="K28" s="4">
        <f t="shared" si="2"/>
        <v>1</v>
      </c>
      <c r="L28" s="4" t="s">
        <v>517</v>
      </c>
      <c r="M28" s="4">
        <f>INDEX(Dim_Product!$C$2:$C$4,MATCH(F28,Dim_Product!$A$2:$A$4,0))+-0.79</f>
        <v>199.21</v>
      </c>
      <c r="N28" s="4">
        <f>IF(AND(M28&gt;=INDEX(Dim_Product!$C$2:$C$4,MATCH(F28,Dim_Product!$A$2:$A$4,0))-INDEX(Dim_Product!$D$2:$D$4,MATCH(F28,Dim_Product!$A$2:$A$4,0)),M28&lt;=INDEX(Dim_Product!$C$2:$C$4,MATCH(F28,Dim_Product!$A$2:$A$4,0))+INDEX(Dim_Product!$D$2:$D$4,MATCH(F28,Dim_Product!$A$2:$A$4,0))),G28-H28,G28-H28-1)</f>
        <v>23</v>
      </c>
      <c r="O28" s="4">
        <f t="shared" si="3"/>
        <v>1</v>
      </c>
      <c r="P28" s="4">
        <f>INDEX(Dim_Product!$G$2:$G$4,MATCH(F28,Dim_Product!$A$2:$A$4,0))+-0.1</f>
        <v>64.900000000000006</v>
      </c>
      <c r="Q28" s="4">
        <f>IF(AND(P28&gt;=INDEX(Dim_Product!$G$2:$G$4,MATCH(F28,Dim_Product!$A$2:$A$4,0))-INDEX(Dim_Product!$H$2:$H$4,MATCH(F28,Dim_Product!$A$2:$A$4,0)),P28&lt;=INDEX(Dim_Product!$G$2:$G$4,MATCH(F28,Dim_Product!$A$2:$A$4,0))+INDEX(Dim_Product!$H$2:$H$4,MATCH(F28,Dim_Product!$A$2:$A$4,0))),G28-H28,G28-H28-1)</f>
        <v>23</v>
      </c>
      <c r="R28" s="4">
        <f t="shared" si="4"/>
        <v>1</v>
      </c>
      <c r="S28" s="4">
        <f>INDEX(Dim_Product!$K$2:$K$4,MATCH(F28,Dim_Product!$A$2:$A$4,0))+-0.16</f>
        <v>109.84</v>
      </c>
      <c r="T28" s="4">
        <f>IF(AND(S28&gt;=INDEX(Dim_Product!$K$2:$K$4,MATCH(F28,Dim_Product!$A$2:$A$4,0))-INDEX(Dim_Product!$L$2:$L$4,MATCH(F28,Dim_Product!$A$2:$A$4,0)),S28&lt;=INDEX(Dim_Product!$K$2:$K$4,MATCH(F28,Dim_Product!$A$2:$A$4,0))+INDEX(Dim_Product!$L$2:$L$4,MATCH(F28,Dim_Product!$A$2:$A$4,0))),G28-H28,G28-H28-1)</f>
        <v>23</v>
      </c>
      <c r="U28" s="4">
        <f t="shared" si="5"/>
        <v>1</v>
      </c>
      <c r="V28" s="4">
        <f t="shared" si="6"/>
        <v>4.1666666666666664E-2</v>
      </c>
      <c r="W28" s="16">
        <f t="shared" si="7"/>
        <v>0.95833333333333337</v>
      </c>
    </row>
    <row r="29" spans="1:23" x14ac:dyDescent="0.25">
      <c r="A29" s="15" t="s">
        <v>530</v>
      </c>
      <c r="B29" s="4">
        <f>Fact_Production_Hourly!B29</f>
        <v>20260701</v>
      </c>
      <c r="C29" s="4">
        <f>Fact_Production_Hourly!C29</f>
        <v>3</v>
      </c>
      <c r="D29" s="4" t="str">
        <f>Fact_Production_Hourly!D29</f>
        <v>M7</v>
      </c>
      <c r="E29" s="4" t="str">
        <f>Fact_Production_Hourly!E29</f>
        <v>B-PM</v>
      </c>
      <c r="F29" s="4" t="str">
        <f>Fact_Production_Hourly!F29</f>
        <v>A</v>
      </c>
      <c r="G29" s="4">
        <f>INDEX(Dim_Machine!$D$2:$D$8,MATCH(D29,Dim_Machine!$A$2:$A$8,0))*2</f>
        <v>48</v>
      </c>
      <c r="H29" s="4">
        <f>ROUND(G29*0.0368,0)</f>
        <v>2</v>
      </c>
      <c r="I29" s="4">
        <f t="shared" si="0"/>
        <v>0</v>
      </c>
      <c r="J29" s="4">
        <f t="shared" si="1"/>
        <v>1</v>
      </c>
      <c r="K29" s="4">
        <f t="shared" si="2"/>
        <v>1</v>
      </c>
      <c r="L29" s="4" t="s">
        <v>520</v>
      </c>
      <c r="M29" s="4">
        <f>INDEX(Dim_Product!$C$2:$C$4,MATCH(F29,Dim_Product!$A$2:$A$4,0))+-0.15</f>
        <v>249.85</v>
      </c>
      <c r="N29" s="4">
        <f>IF(AND(M29&gt;=INDEX(Dim_Product!$C$2:$C$4,MATCH(F29,Dim_Product!$A$2:$A$4,0))-INDEX(Dim_Product!$D$2:$D$4,MATCH(F29,Dim_Product!$A$2:$A$4,0)),M29&lt;=INDEX(Dim_Product!$C$2:$C$4,MATCH(F29,Dim_Product!$A$2:$A$4,0))+INDEX(Dim_Product!$D$2:$D$4,MATCH(F29,Dim_Product!$A$2:$A$4,0))),G29-H29,G29-H29-1)</f>
        <v>46</v>
      </c>
      <c r="O29" s="4">
        <f t="shared" si="3"/>
        <v>2</v>
      </c>
      <c r="P29" s="4">
        <f>INDEX(Dim_Product!$G$2:$G$4,MATCH(F29,Dim_Product!$A$2:$A$4,0))+0.11</f>
        <v>70.11</v>
      </c>
      <c r="Q29" s="4">
        <f>IF(AND(P29&gt;=INDEX(Dim_Product!$G$2:$G$4,MATCH(F29,Dim_Product!$A$2:$A$4,0))-INDEX(Dim_Product!$H$2:$H$4,MATCH(F29,Dim_Product!$A$2:$A$4,0)),P29&lt;=INDEX(Dim_Product!$G$2:$G$4,MATCH(F29,Dim_Product!$A$2:$A$4,0))+INDEX(Dim_Product!$H$2:$H$4,MATCH(F29,Dim_Product!$A$2:$A$4,0))),G29-H29,G29-H29-1)</f>
        <v>46</v>
      </c>
      <c r="R29" s="4">
        <f t="shared" si="4"/>
        <v>2</v>
      </c>
      <c r="S29" s="4">
        <f>INDEX(Dim_Product!$K$2:$K$4,MATCH(F29,Dim_Product!$A$2:$A$4,0))+-0.12</f>
        <v>119.88</v>
      </c>
      <c r="T29" s="4">
        <f>IF(AND(S29&gt;=INDEX(Dim_Product!$K$2:$K$4,MATCH(F29,Dim_Product!$A$2:$A$4,0))-INDEX(Dim_Product!$L$2:$L$4,MATCH(F29,Dim_Product!$A$2:$A$4,0)),S29&lt;=INDEX(Dim_Product!$K$2:$K$4,MATCH(F29,Dim_Product!$A$2:$A$4,0))+INDEX(Dim_Product!$L$2:$L$4,MATCH(F29,Dim_Product!$A$2:$A$4,0))),G29-H29,G29-H29-1)</f>
        <v>46</v>
      </c>
      <c r="U29" s="4">
        <f t="shared" si="5"/>
        <v>2</v>
      </c>
      <c r="V29" s="4">
        <f t="shared" si="6"/>
        <v>4.1666666666666664E-2</v>
      </c>
      <c r="W29" s="16">
        <f t="shared" si="7"/>
        <v>0.95833333333333337</v>
      </c>
    </row>
    <row r="30" spans="1:23" x14ac:dyDescent="0.25">
      <c r="A30" s="15" t="s">
        <v>531</v>
      </c>
      <c r="B30" s="4">
        <f>Fact_Production_Hourly!B30</f>
        <v>20260701</v>
      </c>
      <c r="C30" s="4">
        <f>Fact_Production_Hourly!C30</f>
        <v>4</v>
      </c>
      <c r="D30" s="4" t="str">
        <f>Fact_Production_Hourly!D30</f>
        <v>M1</v>
      </c>
      <c r="E30" s="4" t="str">
        <f>Fact_Production_Hourly!E30</f>
        <v>B-PM</v>
      </c>
      <c r="F30" s="4" t="str">
        <f>Fact_Production_Hourly!F30</f>
        <v>A</v>
      </c>
      <c r="G30" s="4">
        <f>INDEX(Dim_Machine!$D$2:$D$8,MATCH(D30,Dim_Machine!$A$2:$A$8,0))*2</f>
        <v>32</v>
      </c>
      <c r="H30" s="4">
        <f>ROUND(G30*0.0125,0)</f>
        <v>0</v>
      </c>
      <c r="I30" s="4">
        <f t="shared" si="0"/>
        <v>0</v>
      </c>
      <c r="J30" s="4">
        <f t="shared" si="1"/>
        <v>0</v>
      </c>
      <c r="K30" s="4">
        <f t="shared" si="2"/>
        <v>0</v>
      </c>
      <c r="L30" s="4" t="s">
        <v>517</v>
      </c>
      <c r="M30" s="4">
        <f>INDEX(Dim_Product!$C$2:$C$4,MATCH(F30,Dim_Product!$A$2:$A$4,0))+0.23</f>
        <v>250.23</v>
      </c>
      <c r="N30" s="4">
        <f>IF(AND(M30&gt;=INDEX(Dim_Product!$C$2:$C$4,MATCH(F30,Dim_Product!$A$2:$A$4,0))-INDEX(Dim_Product!$D$2:$D$4,MATCH(F30,Dim_Product!$A$2:$A$4,0)),M30&lt;=INDEX(Dim_Product!$C$2:$C$4,MATCH(F30,Dim_Product!$A$2:$A$4,0))+INDEX(Dim_Product!$D$2:$D$4,MATCH(F30,Dim_Product!$A$2:$A$4,0))),G30-H30,G30-H30-1)</f>
        <v>32</v>
      </c>
      <c r="O30" s="4">
        <f t="shared" si="3"/>
        <v>0</v>
      </c>
      <c r="P30" s="4">
        <f>INDEX(Dim_Product!$G$2:$G$4,MATCH(F30,Dim_Product!$A$2:$A$4,0))+-0.04</f>
        <v>69.959999999999994</v>
      </c>
      <c r="Q30" s="4">
        <f>IF(AND(P30&gt;=INDEX(Dim_Product!$G$2:$G$4,MATCH(F30,Dim_Product!$A$2:$A$4,0))-INDEX(Dim_Product!$H$2:$H$4,MATCH(F30,Dim_Product!$A$2:$A$4,0)),P30&lt;=INDEX(Dim_Product!$G$2:$G$4,MATCH(F30,Dim_Product!$A$2:$A$4,0))+INDEX(Dim_Product!$H$2:$H$4,MATCH(F30,Dim_Product!$A$2:$A$4,0))),G30-H30,G30-H30-1)</f>
        <v>32</v>
      </c>
      <c r="R30" s="4">
        <f t="shared" si="4"/>
        <v>0</v>
      </c>
      <c r="S30" s="4">
        <f>INDEX(Dim_Product!$K$2:$K$4,MATCH(F30,Dim_Product!$A$2:$A$4,0))+0.11</f>
        <v>120.11</v>
      </c>
      <c r="T30" s="4">
        <f>IF(AND(S30&gt;=INDEX(Dim_Product!$K$2:$K$4,MATCH(F30,Dim_Product!$A$2:$A$4,0))-INDEX(Dim_Product!$L$2:$L$4,MATCH(F30,Dim_Product!$A$2:$A$4,0)),S30&lt;=INDEX(Dim_Product!$K$2:$K$4,MATCH(F30,Dim_Product!$A$2:$A$4,0))+INDEX(Dim_Product!$L$2:$L$4,MATCH(F30,Dim_Product!$A$2:$A$4,0))),G30-H30,G30-H30-1)</f>
        <v>32</v>
      </c>
      <c r="U30" s="4">
        <f t="shared" si="5"/>
        <v>0</v>
      </c>
      <c r="V30" s="4">
        <f t="shared" si="6"/>
        <v>0</v>
      </c>
      <c r="W30" s="16">
        <f t="shared" si="7"/>
        <v>1</v>
      </c>
    </row>
    <row r="31" spans="1:23" x14ac:dyDescent="0.25">
      <c r="A31" s="15" t="s">
        <v>532</v>
      </c>
      <c r="B31" s="4">
        <f>Fact_Production_Hourly!B31</f>
        <v>20260701</v>
      </c>
      <c r="C31" s="4">
        <f>Fact_Production_Hourly!C31</f>
        <v>4</v>
      </c>
      <c r="D31" s="4" t="str">
        <f>Fact_Production_Hourly!D31</f>
        <v>M2</v>
      </c>
      <c r="E31" s="4" t="str">
        <f>Fact_Production_Hourly!E31</f>
        <v>B-PM</v>
      </c>
      <c r="F31" s="4" t="str">
        <f>Fact_Production_Hourly!F31</f>
        <v>C</v>
      </c>
      <c r="G31" s="4">
        <f>INDEX(Dim_Machine!$D$2:$D$8,MATCH(D31,Dim_Machine!$A$2:$A$8,0))*2</f>
        <v>48</v>
      </c>
      <c r="H31" s="4">
        <f>ROUND(G31*0.0575,0)</f>
        <v>3</v>
      </c>
      <c r="I31" s="4">
        <f t="shared" si="0"/>
        <v>0</v>
      </c>
      <c r="J31" s="4">
        <f t="shared" si="1"/>
        <v>1</v>
      </c>
      <c r="K31" s="4">
        <f t="shared" si="2"/>
        <v>2</v>
      </c>
      <c r="L31" s="4" t="s">
        <v>498</v>
      </c>
      <c r="M31" s="4">
        <f>INDEX(Dim_Product!$C$2:$C$4,MATCH(F31,Dim_Product!$A$2:$A$4,0))+-0.85</f>
        <v>199.15</v>
      </c>
      <c r="N31" s="4">
        <f>IF(AND(M31&gt;=INDEX(Dim_Product!$C$2:$C$4,MATCH(F31,Dim_Product!$A$2:$A$4,0))-INDEX(Dim_Product!$D$2:$D$4,MATCH(F31,Dim_Product!$A$2:$A$4,0)),M31&lt;=INDEX(Dim_Product!$C$2:$C$4,MATCH(F31,Dim_Product!$A$2:$A$4,0))+INDEX(Dim_Product!$D$2:$D$4,MATCH(F31,Dim_Product!$A$2:$A$4,0))),G31-H31,G31-H31-1)</f>
        <v>45</v>
      </c>
      <c r="O31" s="4">
        <f t="shared" si="3"/>
        <v>3</v>
      </c>
      <c r="P31" s="4">
        <f>INDEX(Dim_Product!$G$2:$G$4,MATCH(F31,Dim_Product!$A$2:$A$4,0))+0.08</f>
        <v>65.08</v>
      </c>
      <c r="Q31" s="4">
        <f>IF(AND(P31&gt;=INDEX(Dim_Product!$G$2:$G$4,MATCH(F31,Dim_Product!$A$2:$A$4,0))-INDEX(Dim_Product!$H$2:$H$4,MATCH(F31,Dim_Product!$A$2:$A$4,0)),P31&lt;=INDEX(Dim_Product!$G$2:$G$4,MATCH(F31,Dim_Product!$A$2:$A$4,0))+INDEX(Dim_Product!$H$2:$H$4,MATCH(F31,Dim_Product!$A$2:$A$4,0))),G31-H31,G31-H31-1)</f>
        <v>45</v>
      </c>
      <c r="R31" s="4">
        <f t="shared" si="4"/>
        <v>3</v>
      </c>
      <c r="S31" s="4">
        <f>INDEX(Dim_Product!$K$2:$K$4,MATCH(F31,Dim_Product!$A$2:$A$4,0))+-0.11</f>
        <v>109.89</v>
      </c>
      <c r="T31" s="4">
        <f>IF(AND(S31&gt;=INDEX(Dim_Product!$K$2:$K$4,MATCH(F31,Dim_Product!$A$2:$A$4,0))-INDEX(Dim_Product!$L$2:$L$4,MATCH(F31,Dim_Product!$A$2:$A$4,0)),S31&lt;=INDEX(Dim_Product!$K$2:$K$4,MATCH(F31,Dim_Product!$A$2:$A$4,0))+INDEX(Dim_Product!$L$2:$L$4,MATCH(F31,Dim_Product!$A$2:$A$4,0))),G31-H31,G31-H31-1)</f>
        <v>45</v>
      </c>
      <c r="U31" s="4">
        <f t="shared" si="5"/>
        <v>3</v>
      </c>
      <c r="V31" s="4">
        <f t="shared" si="6"/>
        <v>6.25E-2</v>
      </c>
      <c r="W31" s="16">
        <f t="shared" si="7"/>
        <v>0.9375</v>
      </c>
    </row>
    <row r="32" spans="1:23" x14ac:dyDescent="0.25">
      <c r="A32" s="15" t="s">
        <v>533</v>
      </c>
      <c r="B32" s="4">
        <f>Fact_Production_Hourly!B32</f>
        <v>20260701</v>
      </c>
      <c r="C32" s="4">
        <f>Fact_Production_Hourly!C32</f>
        <v>4</v>
      </c>
      <c r="D32" s="4" t="str">
        <f>Fact_Production_Hourly!D32</f>
        <v>M3</v>
      </c>
      <c r="E32" s="4" t="str">
        <f>Fact_Production_Hourly!E32</f>
        <v>B-PM</v>
      </c>
      <c r="F32" s="4" t="str">
        <f>Fact_Production_Hourly!F32</f>
        <v>A</v>
      </c>
      <c r="G32" s="4">
        <f>INDEX(Dim_Machine!$D$2:$D$8,MATCH(D32,Dim_Machine!$A$2:$A$8,0))*2</f>
        <v>24</v>
      </c>
      <c r="H32" s="4">
        <f>ROUND(G32*0.0581,0)</f>
        <v>1</v>
      </c>
      <c r="I32" s="4">
        <f t="shared" si="0"/>
        <v>0</v>
      </c>
      <c r="J32" s="4">
        <f t="shared" si="1"/>
        <v>0</v>
      </c>
      <c r="K32" s="4">
        <f t="shared" si="2"/>
        <v>1</v>
      </c>
      <c r="L32" s="4" t="s">
        <v>520</v>
      </c>
      <c r="M32" s="4">
        <f>INDEX(Dim_Product!$C$2:$C$4,MATCH(F32,Dim_Product!$A$2:$A$4,0))+-0.68</f>
        <v>249.32</v>
      </c>
      <c r="N32" s="4">
        <f>IF(AND(M32&gt;=INDEX(Dim_Product!$C$2:$C$4,MATCH(F32,Dim_Product!$A$2:$A$4,0))-INDEX(Dim_Product!$D$2:$D$4,MATCH(F32,Dim_Product!$A$2:$A$4,0)),M32&lt;=INDEX(Dim_Product!$C$2:$C$4,MATCH(F32,Dim_Product!$A$2:$A$4,0))+INDEX(Dim_Product!$D$2:$D$4,MATCH(F32,Dim_Product!$A$2:$A$4,0))),G32-H32,G32-H32-1)</f>
        <v>23</v>
      </c>
      <c r="O32" s="4">
        <f t="shared" si="3"/>
        <v>1</v>
      </c>
      <c r="P32" s="4">
        <f>INDEX(Dim_Product!$G$2:$G$4,MATCH(F32,Dim_Product!$A$2:$A$4,0))+-0.28</f>
        <v>69.72</v>
      </c>
      <c r="Q32" s="4">
        <f>IF(AND(P32&gt;=INDEX(Dim_Product!$G$2:$G$4,MATCH(F32,Dim_Product!$A$2:$A$4,0))-INDEX(Dim_Product!$H$2:$H$4,MATCH(F32,Dim_Product!$A$2:$A$4,0)),P32&lt;=INDEX(Dim_Product!$G$2:$G$4,MATCH(F32,Dim_Product!$A$2:$A$4,0))+INDEX(Dim_Product!$H$2:$H$4,MATCH(F32,Dim_Product!$A$2:$A$4,0))),G32-H32,G32-H32-1)</f>
        <v>23</v>
      </c>
      <c r="R32" s="4">
        <f t="shared" si="4"/>
        <v>1</v>
      </c>
      <c r="S32" s="4">
        <f>INDEX(Dim_Product!$K$2:$K$4,MATCH(F32,Dim_Product!$A$2:$A$4,0))+0.28</f>
        <v>120.28</v>
      </c>
      <c r="T32" s="4">
        <f>IF(AND(S32&gt;=INDEX(Dim_Product!$K$2:$K$4,MATCH(F32,Dim_Product!$A$2:$A$4,0))-INDEX(Dim_Product!$L$2:$L$4,MATCH(F32,Dim_Product!$A$2:$A$4,0)),S32&lt;=INDEX(Dim_Product!$K$2:$K$4,MATCH(F32,Dim_Product!$A$2:$A$4,0))+INDEX(Dim_Product!$L$2:$L$4,MATCH(F32,Dim_Product!$A$2:$A$4,0))),G32-H32,G32-H32-1)</f>
        <v>23</v>
      </c>
      <c r="U32" s="4">
        <f t="shared" si="5"/>
        <v>1</v>
      </c>
      <c r="V32" s="4">
        <f t="shared" si="6"/>
        <v>4.1666666666666664E-2</v>
      </c>
      <c r="W32" s="16">
        <f t="shared" si="7"/>
        <v>0.95833333333333337</v>
      </c>
    </row>
    <row r="33" spans="1:23" x14ac:dyDescent="0.25">
      <c r="A33" s="15" t="s">
        <v>534</v>
      </c>
      <c r="B33" s="4">
        <f>Fact_Production_Hourly!B33</f>
        <v>20260701</v>
      </c>
      <c r="C33" s="4">
        <f>Fact_Production_Hourly!C33</f>
        <v>4</v>
      </c>
      <c r="D33" s="4" t="str">
        <f>Fact_Production_Hourly!D33</f>
        <v>M4</v>
      </c>
      <c r="E33" s="4" t="str">
        <f>Fact_Production_Hourly!E33</f>
        <v>B-PM</v>
      </c>
      <c r="F33" s="4" t="str">
        <f>Fact_Production_Hourly!F33</f>
        <v>A</v>
      </c>
      <c r="G33" s="4">
        <f>INDEX(Dim_Machine!$D$2:$D$8,MATCH(D33,Dim_Machine!$A$2:$A$8,0))*2</f>
        <v>48</v>
      </c>
      <c r="H33" s="4">
        <f>ROUND(G33*0.0507,0)</f>
        <v>2</v>
      </c>
      <c r="I33" s="4">
        <f t="shared" si="0"/>
        <v>0</v>
      </c>
      <c r="J33" s="4">
        <f t="shared" si="1"/>
        <v>1</v>
      </c>
      <c r="K33" s="4">
        <f t="shared" si="2"/>
        <v>1</v>
      </c>
      <c r="L33" s="4" t="s">
        <v>503</v>
      </c>
      <c r="M33" s="4">
        <f>INDEX(Dim_Product!$C$2:$C$4,MATCH(F33,Dim_Product!$A$2:$A$4,0))+-0.93</f>
        <v>249.07</v>
      </c>
      <c r="N33" s="4">
        <f>IF(AND(M33&gt;=INDEX(Dim_Product!$C$2:$C$4,MATCH(F33,Dim_Product!$A$2:$A$4,0))-INDEX(Dim_Product!$D$2:$D$4,MATCH(F33,Dim_Product!$A$2:$A$4,0)),M33&lt;=INDEX(Dim_Product!$C$2:$C$4,MATCH(F33,Dim_Product!$A$2:$A$4,0))+INDEX(Dim_Product!$D$2:$D$4,MATCH(F33,Dim_Product!$A$2:$A$4,0))),G33-H33,G33-H33-1)</f>
        <v>46</v>
      </c>
      <c r="O33" s="4">
        <f t="shared" si="3"/>
        <v>2</v>
      </c>
      <c r="P33" s="4">
        <f>INDEX(Dim_Product!$G$2:$G$4,MATCH(F33,Dim_Product!$A$2:$A$4,0))+-0.26</f>
        <v>69.739999999999995</v>
      </c>
      <c r="Q33" s="4">
        <f>IF(AND(P33&gt;=INDEX(Dim_Product!$G$2:$G$4,MATCH(F33,Dim_Product!$A$2:$A$4,0))-INDEX(Dim_Product!$H$2:$H$4,MATCH(F33,Dim_Product!$A$2:$A$4,0)),P33&lt;=INDEX(Dim_Product!$G$2:$G$4,MATCH(F33,Dim_Product!$A$2:$A$4,0))+INDEX(Dim_Product!$H$2:$H$4,MATCH(F33,Dim_Product!$A$2:$A$4,0))),G33-H33,G33-H33-1)</f>
        <v>46</v>
      </c>
      <c r="R33" s="4">
        <f t="shared" si="4"/>
        <v>2</v>
      </c>
      <c r="S33" s="4">
        <f>INDEX(Dim_Product!$K$2:$K$4,MATCH(F33,Dim_Product!$A$2:$A$4,0))+0.22</f>
        <v>120.22</v>
      </c>
      <c r="T33" s="4">
        <f>IF(AND(S33&gt;=INDEX(Dim_Product!$K$2:$K$4,MATCH(F33,Dim_Product!$A$2:$A$4,0))-INDEX(Dim_Product!$L$2:$L$4,MATCH(F33,Dim_Product!$A$2:$A$4,0)),S33&lt;=INDEX(Dim_Product!$K$2:$K$4,MATCH(F33,Dim_Product!$A$2:$A$4,0))+INDEX(Dim_Product!$L$2:$L$4,MATCH(F33,Dim_Product!$A$2:$A$4,0))),G33-H33,G33-H33-1)</f>
        <v>46</v>
      </c>
      <c r="U33" s="4">
        <f t="shared" si="5"/>
        <v>2</v>
      </c>
      <c r="V33" s="4">
        <f t="shared" si="6"/>
        <v>4.1666666666666664E-2</v>
      </c>
      <c r="W33" s="16">
        <f t="shared" si="7"/>
        <v>0.95833333333333337</v>
      </c>
    </row>
    <row r="34" spans="1:23" x14ac:dyDescent="0.25">
      <c r="A34" s="15" t="s">
        <v>535</v>
      </c>
      <c r="B34" s="4">
        <f>Fact_Production_Hourly!B34</f>
        <v>20260701</v>
      </c>
      <c r="C34" s="4">
        <f>Fact_Production_Hourly!C34</f>
        <v>4</v>
      </c>
      <c r="D34" s="4" t="str">
        <f>Fact_Production_Hourly!D34</f>
        <v>M5</v>
      </c>
      <c r="E34" s="4" t="str">
        <f>Fact_Production_Hourly!E34</f>
        <v>B-PM</v>
      </c>
      <c r="F34" s="4" t="str">
        <f>Fact_Production_Hourly!F34</f>
        <v>A</v>
      </c>
      <c r="G34" s="4">
        <f>INDEX(Dim_Machine!$D$2:$D$8,MATCH(D34,Dim_Machine!$A$2:$A$8,0))*2</f>
        <v>32</v>
      </c>
      <c r="H34" s="4">
        <f>ROUND(G34*0.032,0)</f>
        <v>1</v>
      </c>
      <c r="I34" s="4">
        <f t="shared" si="0"/>
        <v>0</v>
      </c>
      <c r="J34" s="4">
        <f t="shared" si="1"/>
        <v>0</v>
      </c>
      <c r="K34" s="4">
        <f t="shared" si="2"/>
        <v>1</v>
      </c>
      <c r="L34" s="4" t="s">
        <v>503</v>
      </c>
      <c r="M34" s="4">
        <f>INDEX(Dim_Product!$C$2:$C$4,MATCH(F34,Dim_Product!$A$2:$A$4,0))+0.9</f>
        <v>250.9</v>
      </c>
      <c r="N34" s="4">
        <f>IF(AND(M34&gt;=INDEX(Dim_Product!$C$2:$C$4,MATCH(F34,Dim_Product!$A$2:$A$4,0))-INDEX(Dim_Product!$D$2:$D$4,MATCH(F34,Dim_Product!$A$2:$A$4,0)),M34&lt;=INDEX(Dim_Product!$C$2:$C$4,MATCH(F34,Dim_Product!$A$2:$A$4,0))+INDEX(Dim_Product!$D$2:$D$4,MATCH(F34,Dim_Product!$A$2:$A$4,0))),G34-H34,G34-H34-1)</f>
        <v>31</v>
      </c>
      <c r="O34" s="4">
        <f t="shared" si="3"/>
        <v>1</v>
      </c>
      <c r="P34" s="4">
        <f>INDEX(Dim_Product!$G$2:$G$4,MATCH(F34,Dim_Product!$A$2:$A$4,0))+-0.28</f>
        <v>69.72</v>
      </c>
      <c r="Q34" s="4">
        <f>IF(AND(P34&gt;=INDEX(Dim_Product!$G$2:$G$4,MATCH(F34,Dim_Product!$A$2:$A$4,0))-INDEX(Dim_Product!$H$2:$H$4,MATCH(F34,Dim_Product!$A$2:$A$4,0)),P34&lt;=INDEX(Dim_Product!$G$2:$G$4,MATCH(F34,Dim_Product!$A$2:$A$4,0))+INDEX(Dim_Product!$H$2:$H$4,MATCH(F34,Dim_Product!$A$2:$A$4,0))),G34-H34,G34-H34-1)</f>
        <v>31</v>
      </c>
      <c r="R34" s="4">
        <f t="shared" si="4"/>
        <v>1</v>
      </c>
      <c r="S34" s="4">
        <f>INDEX(Dim_Product!$K$2:$K$4,MATCH(F34,Dim_Product!$A$2:$A$4,0))+-0.28</f>
        <v>119.72</v>
      </c>
      <c r="T34" s="4">
        <f>IF(AND(S34&gt;=INDEX(Dim_Product!$K$2:$K$4,MATCH(F34,Dim_Product!$A$2:$A$4,0))-INDEX(Dim_Product!$L$2:$L$4,MATCH(F34,Dim_Product!$A$2:$A$4,0)),S34&lt;=INDEX(Dim_Product!$K$2:$K$4,MATCH(F34,Dim_Product!$A$2:$A$4,0))+INDEX(Dim_Product!$L$2:$L$4,MATCH(F34,Dim_Product!$A$2:$A$4,0))),G34-H34,G34-H34-1)</f>
        <v>31</v>
      </c>
      <c r="U34" s="4">
        <f t="shared" si="5"/>
        <v>1</v>
      </c>
      <c r="V34" s="4">
        <f t="shared" si="6"/>
        <v>3.125E-2</v>
      </c>
      <c r="W34" s="16">
        <f t="shared" si="7"/>
        <v>0.96875</v>
      </c>
    </row>
    <row r="35" spans="1:23" x14ac:dyDescent="0.25">
      <c r="A35" s="15" t="s">
        <v>536</v>
      </c>
      <c r="B35" s="4">
        <f>Fact_Production_Hourly!B35</f>
        <v>20260701</v>
      </c>
      <c r="C35" s="4">
        <f>Fact_Production_Hourly!C35</f>
        <v>4</v>
      </c>
      <c r="D35" s="4" t="str">
        <f>Fact_Production_Hourly!D35</f>
        <v>M6</v>
      </c>
      <c r="E35" s="4" t="str">
        <f>Fact_Production_Hourly!E35</f>
        <v>B-PM</v>
      </c>
      <c r="F35" s="4" t="str">
        <f>Fact_Production_Hourly!F35</f>
        <v>C</v>
      </c>
      <c r="G35" s="4">
        <f>INDEX(Dim_Machine!$D$2:$D$8,MATCH(D35,Dim_Machine!$A$2:$A$8,0))*2</f>
        <v>24</v>
      </c>
      <c r="H35" s="4">
        <f>ROUND(G35*0.037,0)</f>
        <v>1</v>
      </c>
      <c r="I35" s="4">
        <f t="shared" si="0"/>
        <v>0</v>
      </c>
      <c r="J35" s="4">
        <f t="shared" si="1"/>
        <v>0</v>
      </c>
      <c r="K35" s="4">
        <f t="shared" si="2"/>
        <v>1</v>
      </c>
      <c r="L35" s="4" t="s">
        <v>517</v>
      </c>
      <c r="M35" s="4">
        <f>INDEX(Dim_Product!$C$2:$C$4,MATCH(F35,Dim_Product!$A$2:$A$4,0))+-0.26</f>
        <v>199.74</v>
      </c>
      <c r="N35" s="4">
        <f>IF(AND(M35&gt;=INDEX(Dim_Product!$C$2:$C$4,MATCH(F35,Dim_Product!$A$2:$A$4,0))-INDEX(Dim_Product!$D$2:$D$4,MATCH(F35,Dim_Product!$A$2:$A$4,0)),M35&lt;=INDEX(Dim_Product!$C$2:$C$4,MATCH(F35,Dim_Product!$A$2:$A$4,0))+INDEX(Dim_Product!$D$2:$D$4,MATCH(F35,Dim_Product!$A$2:$A$4,0))),G35-H35,G35-H35-1)</f>
        <v>23</v>
      </c>
      <c r="O35" s="4">
        <f t="shared" si="3"/>
        <v>1</v>
      </c>
      <c r="P35" s="4">
        <f>INDEX(Dim_Product!$G$2:$G$4,MATCH(F35,Dim_Product!$A$2:$A$4,0))+0.16</f>
        <v>65.16</v>
      </c>
      <c r="Q35" s="4">
        <f>IF(AND(P35&gt;=INDEX(Dim_Product!$G$2:$G$4,MATCH(F35,Dim_Product!$A$2:$A$4,0))-INDEX(Dim_Product!$H$2:$H$4,MATCH(F35,Dim_Product!$A$2:$A$4,0)),P35&lt;=INDEX(Dim_Product!$G$2:$G$4,MATCH(F35,Dim_Product!$A$2:$A$4,0))+INDEX(Dim_Product!$H$2:$H$4,MATCH(F35,Dim_Product!$A$2:$A$4,0))),G35-H35,G35-H35-1)</f>
        <v>23</v>
      </c>
      <c r="R35" s="4">
        <f t="shared" si="4"/>
        <v>1</v>
      </c>
      <c r="S35" s="4">
        <f>INDEX(Dim_Product!$K$2:$K$4,MATCH(F35,Dim_Product!$A$2:$A$4,0))+0.06</f>
        <v>110.06</v>
      </c>
      <c r="T35" s="4">
        <f>IF(AND(S35&gt;=INDEX(Dim_Product!$K$2:$K$4,MATCH(F35,Dim_Product!$A$2:$A$4,0))-INDEX(Dim_Product!$L$2:$L$4,MATCH(F35,Dim_Product!$A$2:$A$4,0)),S35&lt;=INDEX(Dim_Product!$K$2:$K$4,MATCH(F35,Dim_Product!$A$2:$A$4,0))+INDEX(Dim_Product!$L$2:$L$4,MATCH(F35,Dim_Product!$A$2:$A$4,0))),G35-H35,G35-H35-1)</f>
        <v>23</v>
      </c>
      <c r="U35" s="4">
        <f t="shared" si="5"/>
        <v>1</v>
      </c>
      <c r="V35" s="4">
        <f t="shared" si="6"/>
        <v>4.1666666666666664E-2</v>
      </c>
      <c r="W35" s="16">
        <f t="shared" si="7"/>
        <v>0.95833333333333337</v>
      </c>
    </row>
    <row r="36" spans="1:23" x14ac:dyDescent="0.25">
      <c r="A36" s="15" t="s">
        <v>537</v>
      </c>
      <c r="B36" s="4">
        <f>Fact_Production_Hourly!B36</f>
        <v>20260701</v>
      </c>
      <c r="C36" s="4">
        <f>Fact_Production_Hourly!C36</f>
        <v>4</v>
      </c>
      <c r="D36" s="4" t="str">
        <f>Fact_Production_Hourly!D36</f>
        <v>M7</v>
      </c>
      <c r="E36" s="4" t="str">
        <f>Fact_Production_Hourly!E36</f>
        <v>B-PM</v>
      </c>
      <c r="F36" s="4" t="str">
        <f>Fact_Production_Hourly!F36</f>
        <v>A</v>
      </c>
      <c r="G36" s="4">
        <f>INDEX(Dim_Machine!$D$2:$D$8,MATCH(D36,Dim_Machine!$A$2:$A$8,0))*2</f>
        <v>48</v>
      </c>
      <c r="H36" s="4">
        <f>ROUND(G36*0.0418,0)</f>
        <v>2</v>
      </c>
      <c r="I36" s="4">
        <f t="shared" si="0"/>
        <v>0</v>
      </c>
      <c r="J36" s="4">
        <f t="shared" si="1"/>
        <v>1</v>
      </c>
      <c r="K36" s="4">
        <f t="shared" si="2"/>
        <v>1</v>
      </c>
      <c r="L36" s="4" t="s">
        <v>503</v>
      </c>
      <c r="M36" s="4">
        <f>INDEX(Dim_Product!$C$2:$C$4,MATCH(F36,Dim_Product!$A$2:$A$4,0))+-0.37</f>
        <v>249.63</v>
      </c>
      <c r="N36" s="4">
        <f>IF(AND(M36&gt;=INDEX(Dim_Product!$C$2:$C$4,MATCH(F36,Dim_Product!$A$2:$A$4,0))-INDEX(Dim_Product!$D$2:$D$4,MATCH(F36,Dim_Product!$A$2:$A$4,0)),M36&lt;=INDEX(Dim_Product!$C$2:$C$4,MATCH(F36,Dim_Product!$A$2:$A$4,0))+INDEX(Dim_Product!$D$2:$D$4,MATCH(F36,Dim_Product!$A$2:$A$4,0))),G36-H36,G36-H36-1)</f>
        <v>46</v>
      </c>
      <c r="O36" s="4">
        <f t="shared" si="3"/>
        <v>2</v>
      </c>
      <c r="P36" s="4">
        <f>INDEX(Dim_Product!$G$2:$G$4,MATCH(F36,Dim_Product!$A$2:$A$4,0))+-0.13</f>
        <v>69.87</v>
      </c>
      <c r="Q36" s="4">
        <f>IF(AND(P36&gt;=INDEX(Dim_Product!$G$2:$G$4,MATCH(F36,Dim_Product!$A$2:$A$4,0))-INDEX(Dim_Product!$H$2:$H$4,MATCH(F36,Dim_Product!$A$2:$A$4,0)),P36&lt;=INDEX(Dim_Product!$G$2:$G$4,MATCH(F36,Dim_Product!$A$2:$A$4,0))+INDEX(Dim_Product!$H$2:$H$4,MATCH(F36,Dim_Product!$A$2:$A$4,0))),G36-H36,G36-H36-1)</f>
        <v>46</v>
      </c>
      <c r="R36" s="4">
        <f t="shared" si="4"/>
        <v>2</v>
      </c>
      <c r="S36" s="4">
        <f>INDEX(Dim_Product!$K$2:$K$4,MATCH(F36,Dim_Product!$A$2:$A$4,0))+0.37</f>
        <v>120.37</v>
      </c>
      <c r="T36" s="4">
        <f>IF(AND(S36&gt;=INDEX(Dim_Product!$K$2:$K$4,MATCH(F36,Dim_Product!$A$2:$A$4,0))-INDEX(Dim_Product!$L$2:$L$4,MATCH(F36,Dim_Product!$A$2:$A$4,0)),S36&lt;=INDEX(Dim_Product!$K$2:$K$4,MATCH(F36,Dim_Product!$A$2:$A$4,0))+INDEX(Dim_Product!$L$2:$L$4,MATCH(F36,Dim_Product!$A$2:$A$4,0))),G36-H36,G36-H36-1)</f>
        <v>46</v>
      </c>
      <c r="U36" s="4">
        <f t="shared" si="5"/>
        <v>2</v>
      </c>
      <c r="V36" s="4">
        <f t="shared" si="6"/>
        <v>4.1666666666666664E-2</v>
      </c>
      <c r="W36" s="16">
        <f t="shared" si="7"/>
        <v>0.95833333333333337</v>
      </c>
    </row>
    <row r="37" spans="1:23" x14ac:dyDescent="0.25">
      <c r="A37" s="15" t="s">
        <v>538</v>
      </c>
      <c r="B37" s="4">
        <f>Fact_Production_Hourly!B37</f>
        <v>20260701</v>
      </c>
      <c r="C37" s="4">
        <f>Fact_Production_Hourly!C37</f>
        <v>5</v>
      </c>
      <c r="D37" s="4" t="str">
        <f>Fact_Production_Hourly!D37</f>
        <v>M1</v>
      </c>
      <c r="E37" s="4" t="str">
        <f>Fact_Production_Hourly!E37</f>
        <v>B-PM</v>
      </c>
      <c r="F37" s="4" t="str">
        <f>Fact_Production_Hourly!F37</f>
        <v>A</v>
      </c>
      <c r="G37" s="4">
        <f>INDEX(Dim_Machine!$D$2:$D$8,MATCH(D37,Dim_Machine!$A$2:$A$8,0))*2</f>
        <v>32</v>
      </c>
      <c r="H37" s="4">
        <f>ROUND(G37*0.0116,0)</f>
        <v>0</v>
      </c>
      <c r="I37" s="4">
        <f t="shared" si="0"/>
        <v>0</v>
      </c>
      <c r="J37" s="4">
        <f t="shared" si="1"/>
        <v>0</v>
      </c>
      <c r="K37" s="4">
        <f t="shared" si="2"/>
        <v>0</v>
      </c>
      <c r="L37" s="4" t="s">
        <v>500</v>
      </c>
      <c r="M37" s="4">
        <f>INDEX(Dim_Product!$C$2:$C$4,MATCH(F37,Dim_Product!$A$2:$A$4,0))+0</f>
        <v>250</v>
      </c>
      <c r="N37" s="4">
        <f>IF(AND(M37&gt;=INDEX(Dim_Product!$C$2:$C$4,MATCH(F37,Dim_Product!$A$2:$A$4,0))-INDEX(Dim_Product!$D$2:$D$4,MATCH(F37,Dim_Product!$A$2:$A$4,0)),M37&lt;=INDEX(Dim_Product!$C$2:$C$4,MATCH(F37,Dim_Product!$A$2:$A$4,0))+INDEX(Dim_Product!$D$2:$D$4,MATCH(F37,Dim_Product!$A$2:$A$4,0))),G37-H37,G37-H37-1)</f>
        <v>32</v>
      </c>
      <c r="O37" s="4">
        <f t="shared" si="3"/>
        <v>0</v>
      </c>
      <c r="P37" s="4">
        <f>INDEX(Dim_Product!$G$2:$G$4,MATCH(F37,Dim_Product!$A$2:$A$4,0))+-0.07</f>
        <v>69.930000000000007</v>
      </c>
      <c r="Q37" s="4">
        <f>IF(AND(P37&gt;=INDEX(Dim_Product!$G$2:$G$4,MATCH(F37,Dim_Product!$A$2:$A$4,0))-INDEX(Dim_Product!$H$2:$H$4,MATCH(F37,Dim_Product!$A$2:$A$4,0)),P37&lt;=INDEX(Dim_Product!$G$2:$G$4,MATCH(F37,Dim_Product!$A$2:$A$4,0))+INDEX(Dim_Product!$H$2:$H$4,MATCH(F37,Dim_Product!$A$2:$A$4,0))),G37-H37,G37-H37-1)</f>
        <v>32</v>
      </c>
      <c r="R37" s="4">
        <f t="shared" si="4"/>
        <v>0</v>
      </c>
      <c r="S37" s="4">
        <f>INDEX(Dim_Product!$K$2:$K$4,MATCH(F37,Dim_Product!$A$2:$A$4,0))+0.05</f>
        <v>120.05</v>
      </c>
      <c r="T37" s="4">
        <f>IF(AND(S37&gt;=INDEX(Dim_Product!$K$2:$K$4,MATCH(F37,Dim_Product!$A$2:$A$4,0))-INDEX(Dim_Product!$L$2:$L$4,MATCH(F37,Dim_Product!$A$2:$A$4,0)),S37&lt;=INDEX(Dim_Product!$K$2:$K$4,MATCH(F37,Dim_Product!$A$2:$A$4,0))+INDEX(Dim_Product!$L$2:$L$4,MATCH(F37,Dim_Product!$A$2:$A$4,0))),G37-H37,G37-H37-1)</f>
        <v>32</v>
      </c>
      <c r="U37" s="4">
        <f t="shared" si="5"/>
        <v>0</v>
      </c>
      <c r="V37" s="4">
        <f t="shared" si="6"/>
        <v>0</v>
      </c>
      <c r="W37" s="16">
        <f t="shared" si="7"/>
        <v>1</v>
      </c>
    </row>
    <row r="38" spans="1:23" x14ac:dyDescent="0.25">
      <c r="A38" s="15" t="s">
        <v>539</v>
      </c>
      <c r="B38" s="4">
        <f>Fact_Production_Hourly!B38</f>
        <v>20260701</v>
      </c>
      <c r="C38" s="4">
        <f>Fact_Production_Hourly!C38</f>
        <v>5</v>
      </c>
      <c r="D38" s="4" t="str">
        <f>Fact_Production_Hourly!D38</f>
        <v>M2</v>
      </c>
      <c r="E38" s="4" t="str">
        <f>Fact_Production_Hourly!E38</f>
        <v>B-PM</v>
      </c>
      <c r="F38" s="4" t="str">
        <f>Fact_Production_Hourly!F38</f>
        <v>C</v>
      </c>
      <c r="G38" s="4">
        <f>INDEX(Dim_Machine!$D$2:$D$8,MATCH(D38,Dim_Machine!$A$2:$A$8,0))*2</f>
        <v>48</v>
      </c>
      <c r="H38" s="4">
        <f>ROUND(G38*0.0257,0)</f>
        <v>1</v>
      </c>
      <c r="I38" s="4">
        <f t="shared" si="0"/>
        <v>0</v>
      </c>
      <c r="J38" s="4">
        <f t="shared" si="1"/>
        <v>0</v>
      </c>
      <c r="K38" s="4">
        <f t="shared" si="2"/>
        <v>1</v>
      </c>
      <c r="L38" s="4" t="s">
        <v>517</v>
      </c>
      <c r="M38" s="4">
        <f>INDEX(Dim_Product!$C$2:$C$4,MATCH(F38,Dim_Product!$A$2:$A$4,0))+0.41</f>
        <v>200.41</v>
      </c>
      <c r="N38" s="4">
        <f>IF(AND(M38&gt;=INDEX(Dim_Product!$C$2:$C$4,MATCH(F38,Dim_Product!$A$2:$A$4,0))-INDEX(Dim_Product!$D$2:$D$4,MATCH(F38,Dim_Product!$A$2:$A$4,0)),M38&lt;=INDEX(Dim_Product!$C$2:$C$4,MATCH(F38,Dim_Product!$A$2:$A$4,0))+INDEX(Dim_Product!$D$2:$D$4,MATCH(F38,Dim_Product!$A$2:$A$4,0))),G38-H38,G38-H38-1)</f>
        <v>47</v>
      </c>
      <c r="O38" s="4">
        <f t="shared" si="3"/>
        <v>1</v>
      </c>
      <c r="P38" s="4">
        <f>INDEX(Dim_Product!$G$2:$G$4,MATCH(F38,Dim_Product!$A$2:$A$4,0))+-0.17</f>
        <v>64.83</v>
      </c>
      <c r="Q38" s="4">
        <f>IF(AND(P38&gt;=INDEX(Dim_Product!$G$2:$G$4,MATCH(F38,Dim_Product!$A$2:$A$4,0))-INDEX(Dim_Product!$H$2:$H$4,MATCH(F38,Dim_Product!$A$2:$A$4,0)),P38&lt;=INDEX(Dim_Product!$G$2:$G$4,MATCH(F38,Dim_Product!$A$2:$A$4,0))+INDEX(Dim_Product!$H$2:$H$4,MATCH(F38,Dim_Product!$A$2:$A$4,0))),G38-H38,G38-H38-1)</f>
        <v>47</v>
      </c>
      <c r="R38" s="4">
        <f t="shared" si="4"/>
        <v>1</v>
      </c>
      <c r="S38" s="4">
        <f>INDEX(Dim_Product!$K$2:$K$4,MATCH(F38,Dim_Product!$A$2:$A$4,0))+0.09</f>
        <v>110.09</v>
      </c>
      <c r="T38" s="4">
        <f>IF(AND(S38&gt;=INDEX(Dim_Product!$K$2:$K$4,MATCH(F38,Dim_Product!$A$2:$A$4,0))-INDEX(Dim_Product!$L$2:$L$4,MATCH(F38,Dim_Product!$A$2:$A$4,0)),S38&lt;=INDEX(Dim_Product!$K$2:$K$4,MATCH(F38,Dim_Product!$A$2:$A$4,0))+INDEX(Dim_Product!$L$2:$L$4,MATCH(F38,Dim_Product!$A$2:$A$4,0))),G38-H38,G38-H38-1)</f>
        <v>47</v>
      </c>
      <c r="U38" s="4">
        <f t="shared" si="5"/>
        <v>1</v>
      </c>
      <c r="V38" s="4">
        <f t="shared" si="6"/>
        <v>2.0833333333333332E-2</v>
      </c>
      <c r="W38" s="16">
        <f t="shared" si="7"/>
        <v>0.97916666666666663</v>
      </c>
    </row>
    <row r="39" spans="1:23" x14ac:dyDescent="0.25">
      <c r="A39" s="15" t="s">
        <v>540</v>
      </c>
      <c r="B39" s="4">
        <f>Fact_Production_Hourly!B39</f>
        <v>20260701</v>
      </c>
      <c r="C39" s="4">
        <f>Fact_Production_Hourly!C39</f>
        <v>5</v>
      </c>
      <c r="D39" s="4" t="str">
        <f>Fact_Production_Hourly!D39</f>
        <v>M3</v>
      </c>
      <c r="E39" s="4" t="str">
        <f>Fact_Production_Hourly!E39</f>
        <v>B-PM</v>
      </c>
      <c r="F39" s="4" t="str">
        <f>Fact_Production_Hourly!F39</f>
        <v>A</v>
      </c>
      <c r="G39" s="4">
        <f>INDEX(Dim_Machine!$D$2:$D$8,MATCH(D39,Dim_Machine!$A$2:$A$8,0))*2</f>
        <v>24</v>
      </c>
      <c r="H39" s="4">
        <f>ROUND(G39*0.0516,0)</f>
        <v>1</v>
      </c>
      <c r="I39" s="4">
        <f t="shared" si="0"/>
        <v>0</v>
      </c>
      <c r="J39" s="4">
        <f t="shared" si="1"/>
        <v>0</v>
      </c>
      <c r="K39" s="4">
        <f t="shared" si="2"/>
        <v>1</v>
      </c>
      <c r="L39" s="4" t="s">
        <v>503</v>
      </c>
      <c r="M39" s="4">
        <f>INDEX(Dim_Product!$C$2:$C$4,MATCH(F39,Dim_Product!$A$2:$A$4,0))+-0.6</f>
        <v>249.4</v>
      </c>
      <c r="N39" s="4">
        <f>IF(AND(M39&gt;=INDEX(Dim_Product!$C$2:$C$4,MATCH(F39,Dim_Product!$A$2:$A$4,0))-INDEX(Dim_Product!$D$2:$D$4,MATCH(F39,Dim_Product!$A$2:$A$4,0)),M39&lt;=INDEX(Dim_Product!$C$2:$C$4,MATCH(F39,Dim_Product!$A$2:$A$4,0))+INDEX(Dim_Product!$D$2:$D$4,MATCH(F39,Dim_Product!$A$2:$A$4,0))),G39-H39,G39-H39-1)</f>
        <v>23</v>
      </c>
      <c r="O39" s="4">
        <f t="shared" si="3"/>
        <v>1</v>
      </c>
      <c r="P39" s="4">
        <f>INDEX(Dim_Product!$G$2:$G$4,MATCH(F39,Dim_Product!$A$2:$A$4,0))+-0.22</f>
        <v>69.78</v>
      </c>
      <c r="Q39" s="4">
        <f>IF(AND(P39&gt;=INDEX(Dim_Product!$G$2:$G$4,MATCH(F39,Dim_Product!$A$2:$A$4,0))-INDEX(Dim_Product!$H$2:$H$4,MATCH(F39,Dim_Product!$A$2:$A$4,0)),P39&lt;=INDEX(Dim_Product!$G$2:$G$4,MATCH(F39,Dim_Product!$A$2:$A$4,0))+INDEX(Dim_Product!$H$2:$H$4,MATCH(F39,Dim_Product!$A$2:$A$4,0))),G39-H39,G39-H39-1)</f>
        <v>23</v>
      </c>
      <c r="R39" s="4">
        <f t="shared" si="4"/>
        <v>1</v>
      </c>
      <c r="S39" s="4">
        <f>INDEX(Dim_Product!$K$2:$K$4,MATCH(F39,Dim_Product!$A$2:$A$4,0))+-0.34</f>
        <v>119.66</v>
      </c>
      <c r="T39" s="4">
        <f>IF(AND(S39&gt;=INDEX(Dim_Product!$K$2:$K$4,MATCH(F39,Dim_Product!$A$2:$A$4,0))-INDEX(Dim_Product!$L$2:$L$4,MATCH(F39,Dim_Product!$A$2:$A$4,0)),S39&lt;=INDEX(Dim_Product!$K$2:$K$4,MATCH(F39,Dim_Product!$A$2:$A$4,0))+INDEX(Dim_Product!$L$2:$L$4,MATCH(F39,Dim_Product!$A$2:$A$4,0))),G39-H39,G39-H39-1)</f>
        <v>23</v>
      </c>
      <c r="U39" s="4">
        <f t="shared" si="5"/>
        <v>1</v>
      </c>
      <c r="V39" s="4">
        <f t="shared" si="6"/>
        <v>4.1666666666666664E-2</v>
      </c>
      <c r="W39" s="16">
        <f t="shared" si="7"/>
        <v>0.95833333333333337</v>
      </c>
    </row>
    <row r="40" spans="1:23" x14ac:dyDescent="0.25">
      <c r="A40" s="15" t="s">
        <v>541</v>
      </c>
      <c r="B40" s="4">
        <f>Fact_Production_Hourly!B40</f>
        <v>20260701</v>
      </c>
      <c r="C40" s="4">
        <f>Fact_Production_Hourly!C40</f>
        <v>5</v>
      </c>
      <c r="D40" s="4" t="str">
        <f>Fact_Production_Hourly!D40</f>
        <v>M4</v>
      </c>
      <c r="E40" s="4" t="str">
        <f>Fact_Production_Hourly!E40</f>
        <v>B-PM</v>
      </c>
      <c r="F40" s="4" t="str">
        <f>Fact_Production_Hourly!F40</f>
        <v>A</v>
      </c>
      <c r="G40" s="4">
        <f>INDEX(Dim_Machine!$D$2:$D$8,MATCH(D40,Dim_Machine!$A$2:$A$8,0))*2</f>
        <v>48</v>
      </c>
      <c r="H40" s="4">
        <f>ROUND(G40*0.0204,0)</f>
        <v>1</v>
      </c>
      <c r="I40" s="4">
        <f t="shared" si="0"/>
        <v>0</v>
      </c>
      <c r="J40" s="4">
        <f t="shared" si="1"/>
        <v>0</v>
      </c>
      <c r="K40" s="4">
        <f t="shared" si="2"/>
        <v>1</v>
      </c>
      <c r="L40" s="4" t="s">
        <v>520</v>
      </c>
      <c r="M40" s="4">
        <f>INDEX(Dim_Product!$C$2:$C$4,MATCH(F40,Dim_Product!$A$2:$A$4,0))+-0.11</f>
        <v>249.89</v>
      </c>
      <c r="N40" s="4">
        <f>IF(AND(M40&gt;=INDEX(Dim_Product!$C$2:$C$4,MATCH(F40,Dim_Product!$A$2:$A$4,0))-INDEX(Dim_Product!$D$2:$D$4,MATCH(F40,Dim_Product!$A$2:$A$4,0)),M40&lt;=INDEX(Dim_Product!$C$2:$C$4,MATCH(F40,Dim_Product!$A$2:$A$4,0))+INDEX(Dim_Product!$D$2:$D$4,MATCH(F40,Dim_Product!$A$2:$A$4,0))),G40-H40,G40-H40-1)</f>
        <v>47</v>
      </c>
      <c r="O40" s="4">
        <f t="shared" si="3"/>
        <v>1</v>
      </c>
      <c r="P40" s="4">
        <f>INDEX(Dim_Product!$G$2:$G$4,MATCH(F40,Dim_Product!$A$2:$A$4,0))+-0.25</f>
        <v>69.75</v>
      </c>
      <c r="Q40" s="4">
        <f>IF(AND(P40&gt;=INDEX(Dim_Product!$G$2:$G$4,MATCH(F40,Dim_Product!$A$2:$A$4,0))-INDEX(Dim_Product!$H$2:$H$4,MATCH(F40,Dim_Product!$A$2:$A$4,0)),P40&lt;=INDEX(Dim_Product!$G$2:$G$4,MATCH(F40,Dim_Product!$A$2:$A$4,0))+INDEX(Dim_Product!$H$2:$H$4,MATCH(F40,Dim_Product!$A$2:$A$4,0))),G40-H40,G40-H40-1)</f>
        <v>47</v>
      </c>
      <c r="R40" s="4">
        <f t="shared" si="4"/>
        <v>1</v>
      </c>
      <c r="S40" s="4">
        <f>INDEX(Dim_Product!$K$2:$K$4,MATCH(F40,Dim_Product!$A$2:$A$4,0))+0.15</f>
        <v>120.15</v>
      </c>
      <c r="T40" s="4">
        <f>IF(AND(S40&gt;=INDEX(Dim_Product!$K$2:$K$4,MATCH(F40,Dim_Product!$A$2:$A$4,0))-INDEX(Dim_Product!$L$2:$L$4,MATCH(F40,Dim_Product!$A$2:$A$4,0)),S40&lt;=INDEX(Dim_Product!$K$2:$K$4,MATCH(F40,Dim_Product!$A$2:$A$4,0))+INDEX(Dim_Product!$L$2:$L$4,MATCH(F40,Dim_Product!$A$2:$A$4,0))),G40-H40,G40-H40-1)</f>
        <v>47</v>
      </c>
      <c r="U40" s="4">
        <f t="shared" si="5"/>
        <v>1</v>
      </c>
      <c r="V40" s="4">
        <f t="shared" si="6"/>
        <v>2.0833333333333332E-2</v>
      </c>
      <c r="W40" s="16">
        <f t="shared" si="7"/>
        <v>0.97916666666666663</v>
      </c>
    </row>
    <row r="41" spans="1:23" x14ac:dyDescent="0.25">
      <c r="A41" s="15" t="s">
        <v>542</v>
      </c>
      <c r="B41" s="4">
        <f>Fact_Production_Hourly!B41</f>
        <v>20260701</v>
      </c>
      <c r="C41" s="4">
        <f>Fact_Production_Hourly!C41</f>
        <v>5</v>
      </c>
      <c r="D41" s="4" t="str">
        <f>Fact_Production_Hourly!D41</f>
        <v>M5</v>
      </c>
      <c r="E41" s="4" t="str">
        <f>Fact_Production_Hourly!E41</f>
        <v>B-PM</v>
      </c>
      <c r="F41" s="4" t="str">
        <f>Fact_Production_Hourly!F41</f>
        <v>A</v>
      </c>
      <c r="G41" s="4">
        <f>INDEX(Dim_Machine!$D$2:$D$8,MATCH(D41,Dim_Machine!$A$2:$A$8,0))*2</f>
        <v>32</v>
      </c>
      <c r="H41" s="4">
        <f>ROUND(G41*0.0607,0)</f>
        <v>2</v>
      </c>
      <c r="I41" s="4">
        <f t="shared" si="0"/>
        <v>0</v>
      </c>
      <c r="J41" s="4">
        <f t="shared" si="1"/>
        <v>1</v>
      </c>
      <c r="K41" s="4">
        <f t="shared" si="2"/>
        <v>1</v>
      </c>
      <c r="L41" s="4" t="s">
        <v>517</v>
      </c>
      <c r="M41" s="4">
        <f>INDEX(Dim_Product!$C$2:$C$4,MATCH(F41,Dim_Product!$A$2:$A$4,0))+0.34</f>
        <v>250.34</v>
      </c>
      <c r="N41" s="4">
        <f>IF(AND(M41&gt;=INDEX(Dim_Product!$C$2:$C$4,MATCH(F41,Dim_Product!$A$2:$A$4,0))-INDEX(Dim_Product!$D$2:$D$4,MATCH(F41,Dim_Product!$A$2:$A$4,0)),M41&lt;=INDEX(Dim_Product!$C$2:$C$4,MATCH(F41,Dim_Product!$A$2:$A$4,0))+INDEX(Dim_Product!$D$2:$D$4,MATCH(F41,Dim_Product!$A$2:$A$4,0))),G41-H41,G41-H41-1)</f>
        <v>30</v>
      </c>
      <c r="O41" s="4">
        <f t="shared" si="3"/>
        <v>2</v>
      </c>
      <c r="P41" s="4">
        <f>INDEX(Dim_Product!$G$2:$G$4,MATCH(F41,Dim_Product!$A$2:$A$4,0))+0.13</f>
        <v>70.13</v>
      </c>
      <c r="Q41" s="4">
        <f>IF(AND(P41&gt;=INDEX(Dim_Product!$G$2:$G$4,MATCH(F41,Dim_Product!$A$2:$A$4,0))-INDEX(Dim_Product!$H$2:$H$4,MATCH(F41,Dim_Product!$A$2:$A$4,0)),P41&lt;=INDEX(Dim_Product!$G$2:$G$4,MATCH(F41,Dim_Product!$A$2:$A$4,0))+INDEX(Dim_Product!$H$2:$H$4,MATCH(F41,Dim_Product!$A$2:$A$4,0))),G41-H41,G41-H41-1)</f>
        <v>30</v>
      </c>
      <c r="R41" s="4">
        <f t="shared" si="4"/>
        <v>2</v>
      </c>
      <c r="S41" s="4">
        <f>INDEX(Dim_Product!$K$2:$K$4,MATCH(F41,Dim_Product!$A$2:$A$4,0))+0.04</f>
        <v>120.04</v>
      </c>
      <c r="T41" s="4">
        <f>IF(AND(S41&gt;=INDEX(Dim_Product!$K$2:$K$4,MATCH(F41,Dim_Product!$A$2:$A$4,0))-INDEX(Dim_Product!$L$2:$L$4,MATCH(F41,Dim_Product!$A$2:$A$4,0)),S41&lt;=INDEX(Dim_Product!$K$2:$K$4,MATCH(F41,Dim_Product!$A$2:$A$4,0))+INDEX(Dim_Product!$L$2:$L$4,MATCH(F41,Dim_Product!$A$2:$A$4,0))),G41-H41,G41-H41-1)</f>
        <v>30</v>
      </c>
      <c r="U41" s="4">
        <f t="shared" si="5"/>
        <v>2</v>
      </c>
      <c r="V41" s="4">
        <f t="shared" si="6"/>
        <v>6.25E-2</v>
      </c>
      <c r="W41" s="16">
        <f t="shared" si="7"/>
        <v>0.9375</v>
      </c>
    </row>
    <row r="42" spans="1:23" x14ac:dyDescent="0.25">
      <c r="A42" s="15" t="s">
        <v>543</v>
      </c>
      <c r="B42" s="4">
        <f>Fact_Production_Hourly!B42</f>
        <v>20260701</v>
      </c>
      <c r="C42" s="4">
        <f>Fact_Production_Hourly!C42</f>
        <v>5</v>
      </c>
      <c r="D42" s="4" t="str">
        <f>Fact_Production_Hourly!D42</f>
        <v>M6</v>
      </c>
      <c r="E42" s="4" t="str">
        <f>Fact_Production_Hourly!E42</f>
        <v>B-PM</v>
      </c>
      <c r="F42" s="4" t="str">
        <f>Fact_Production_Hourly!F42</f>
        <v>C</v>
      </c>
      <c r="G42" s="4">
        <f>INDEX(Dim_Machine!$D$2:$D$8,MATCH(D42,Dim_Machine!$A$2:$A$8,0))*2</f>
        <v>24</v>
      </c>
      <c r="H42" s="4">
        <f>ROUND(G42*0.0274,0)</f>
        <v>1</v>
      </c>
      <c r="I42" s="4">
        <f t="shared" si="0"/>
        <v>0</v>
      </c>
      <c r="J42" s="4">
        <f t="shared" si="1"/>
        <v>0</v>
      </c>
      <c r="K42" s="4">
        <f t="shared" si="2"/>
        <v>1</v>
      </c>
      <c r="L42" s="4" t="s">
        <v>517</v>
      </c>
      <c r="M42" s="4">
        <f>INDEX(Dim_Product!$C$2:$C$4,MATCH(F42,Dim_Product!$A$2:$A$4,0))+0.7</f>
        <v>200.7</v>
      </c>
      <c r="N42" s="4">
        <f>IF(AND(M42&gt;=INDEX(Dim_Product!$C$2:$C$4,MATCH(F42,Dim_Product!$A$2:$A$4,0))-INDEX(Dim_Product!$D$2:$D$4,MATCH(F42,Dim_Product!$A$2:$A$4,0)),M42&lt;=INDEX(Dim_Product!$C$2:$C$4,MATCH(F42,Dim_Product!$A$2:$A$4,0))+INDEX(Dim_Product!$D$2:$D$4,MATCH(F42,Dim_Product!$A$2:$A$4,0))),G42-H42,G42-H42-1)</f>
        <v>23</v>
      </c>
      <c r="O42" s="4">
        <f t="shared" si="3"/>
        <v>1</v>
      </c>
      <c r="P42" s="4">
        <f>INDEX(Dim_Product!$G$2:$G$4,MATCH(F42,Dim_Product!$A$2:$A$4,0))+0.13</f>
        <v>65.13</v>
      </c>
      <c r="Q42" s="4">
        <f>IF(AND(P42&gt;=INDEX(Dim_Product!$G$2:$G$4,MATCH(F42,Dim_Product!$A$2:$A$4,0))-INDEX(Dim_Product!$H$2:$H$4,MATCH(F42,Dim_Product!$A$2:$A$4,0)),P42&lt;=INDEX(Dim_Product!$G$2:$G$4,MATCH(F42,Dim_Product!$A$2:$A$4,0))+INDEX(Dim_Product!$H$2:$H$4,MATCH(F42,Dim_Product!$A$2:$A$4,0))),G42-H42,G42-H42-1)</f>
        <v>23</v>
      </c>
      <c r="R42" s="4">
        <f t="shared" si="4"/>
        <v>1</v>
      </c>
      <c r="S42" s="4">
        <f>INDEX(Dim_Product!$K$2:$K$4,MATCH(F42,Dim_Product!$A$2:$A$4,0))+0.34</f>
        <v>110.34</v>
      </c>
      <c r="T42" s="4">
        <f>IF(AND(S42&gt;=INDEX(Dim_Product!$K$2:$K$4,MATCH(F42,Dim_Product!$A$2:$A$4,0))-INDEX(Dim_Product!$L$2:$L$4,MATCH(F42,Dim_Product!$A$2:$A$4,0)),S42&lt;=INDEX(Dim_Product!$K$2:$K$4,MATCH(F42,Dim_Product!$A$2:$A$4,0))+INDEX(Dim_Product!$L$2:$L$4,MATCH(F42,Dim_Product!$A$2:$A$4,0))),G42-H42,G42-H42-1)</f>
        <v>23</v>
      </c>
      <c r="U42" s="4">
        <f t="shared" si="5"/>
        <v>1</v>
      </c>
      <c r="V42" s="4">
        <f t="shared" si="6"/>
        <v>4.1666666666666664E-2</v>
      </c>
      <c r="W42" s="16">
        <f t="shared" si="7"/>
        <v>0.95833333333333337</v>
      </c>
    </row>
    <row r="43" spans="1:23" x14ac:dyDescent="0.25">
      <c r="A43" s="15" t="s">
        <v>544</v>
      </c>
      <c r="B43" s="4">
        <f>Fact_Production_Hourly!B43</f>
        <v>20260701</v>
      </c>
      <c r="C43" s="4">
        <f>Fact_Production_Hourly!C43</f>
        <v>5</v>
      </c>
      <c r="D43" s="4" t="str">
        <f>Fact_Production_Hourly!D43</f>
        <v>M7</v>
      </c>
      <c r="E43" s="4" t="str">
        <f>Fact_Production_Hourly!E43</f>
        <v>B-PM</v>
      </c>
      <c r="F43" s="4" t="str">
        <f>Fact_Production_Hourly!F43</f>
        <v>A</v>
      </c>
      <c r="G43" s="4">
        <f>INDEX(Dim_Machine!$D$2:$D$8,MATCH(D43,Dim_Machine!$A$2:$A$8,0))*2</f>
        <v>48</v>
      </c>
      <c r="H43" s="4">
        <f>ROUND(G43*0.0483,0)</f>
        <v>2</v>
      </c>
      <c r="I43" s="4">
        <f t="shared" si="0"/>
        <v>0</v>
      </c>
      <c r="J43" s="4">
        <f t="shared" si="1"/>
        <v>1</v>
      </c>
      <c r="K43" s="4">
        <f t="shared" si="2"/>
        <v>1</v>
      </c>
      <c r="L43" s="4" t="s">
        <v>517</v>
      </c>
      <c r="M43" s="4">
        <f>INDEX(Dim_Product!$C$2:$C$4,MATCH(F43,Dim_Product!$A$2:$A$4,0))+0.02</f>
        <v>250.02</v>
      </c>
      <c r="N43" s="4">
        <f>IF(AND(M43&gt;=INDEX(Dim_Product!$C$2:$C$4,MATCH(F43,Dim_Product!$A$2:$A$4,0))-INDEX(Dim_Product!$D$2:$D$4,MATCH(F43,Dim_Product!$A$2:$A$4,0)),M43&lt;=INDEX(Dim_Product!$C$2:$C$4,MATCH(F43,Dim_Product!$A$2:$A$4,0))+INDEX(Dim_Product!$D$2:$D$4,MATCH(F43,Dim_Product!$A$2:$A$4,0))),G43-H43,G43-H43-1)</f>
        <v>46</v>
      </c>
      <c r="O43" s="4">
        <f t="shared" si="3"/>
        <v>2</v>
      </c>
      <c r="P43" s="4">
        <f>INDEX(Dim_Product!$G$2:$G$4,MATCH(F43,Dim_Product!$A$2:$A$4,0))+-0.23</f>
        <v>69.77</v>
      </c>
      <c r="Q43" s="4">
        <f>IF(AND(P43&gt;=INDEX(Dim_Product!$G$2:$G$4,MATCH(F43,Dim_Product!$A$2:$A$4,0))-INDEX(Dim_Product!$H$2:$H$4,MATCH(F43,Dim_Product!$A$2:$A$4,0)),P43&lt;=INDEX(Dim_Product!$G$2:$G$4,MATCH(F43,Dim_Product!$A$2:$A$4,0))+INDEX(Dim_Product!$H$2:$H$4,MATCH(F43,Dim_Product!$A$2:$A$4,0))),G43-H43,G43-H43-1)</f>
        <v>46</v>
      </c>
      <c r="R43" s="4">
        <f t="shared" si="4"/>
        <v>2</v>
      </c>
      <c r="S43" s="4">
        <f>INDEX(Dim_Product!$K$2:$K$4,MATCH(F43,Dim_Product!$A$2:$A$4,0))+-0.24</f>
        <v>119.76</v>
      </c>
      <c r="T43" s="4">
        <f>IF(AND(S43&gt;=INDEX(Dim_Product!$K$2:$K$4,MATCH(F43,Dim_Product!$A$2:$A$4,0))-INDEX(Dim_Product!$L$2:$L$4,MATCH(F43,Dim_Product!$A$2:$A$4,0)),S43&lt;=INDEX(Dim_Product!$K$2:$K$4,MATCH(F43,Dim_Product!$A$2:$A$4,0))+INDEX(Dim_Product!$L$2:$L$4,MATCH(F43,Dim_Product!$A$2:$A$4,0))),G43-H43,G43-H43-1)</f>
        <v>46</v>
      </c>
      <c r="U43" s="4">
        <f t="shared" si="5"/>
        <v>2</v>
      </c>
      <c r="V43" s="4">
        <f t="shared" si="6"/>
        <v>4.1666666666666664E-2</v>
      </c>
      <c r="W43" s="16">
        <f t="shared" si="7"/>
        <v>0.95833333333333337</v>
      </c>
    </row>
    <row r="44" spans="1:23" x14ac:dyDescent="0.25">
      <c r="A44" s="15" t="s">
        <v>545</v>
      </c>
      <c r="B44" s="4">
        <f>Fact_Production_Hourly!B44</f>
        <v>20260701</v>
      </c>
      <c r="C44" s="4">
        <f>Fact_Production_Hourly!C44</f>
        <v>6</v>
      </c>
      <c r="D44" s="4" t="str">
        <f>Fact_Production_Hourly!D44</f>
        <v>M1</v>
      </c>
      <c r="E44" s="4" t="str">
        <f>Fact_Production_Hourly!E44</f>
        <v>A-AM</v>
      </c>
      <c r="F44" s="4" t="str">
        <f>Fact_Production_Hourly!F44</f>
        <v>C</v>
      </c>
      <c r="G44" s="4">
        <f>INDEX(Dim_Machine!$D$2:$D$8,MATCH(D44,Dim_Machine!$A$2:$A$8,0))*2</f>
        <v>32</v>
      </c>
      <c r="H44" s="4">
        <f>ROUND(G44*0.0183,0)</f>
        <v>1</v>
      </c>
      <c r="I44" s="4">
        <f t="shared" si="0"/>
        <v>0</v>
      </c>
      <c r="J44" s="4">
        <f t="shared" si="1"/>
        <v>0</v>
      </c>
      <c r="K44" s="4">
        <f t="shared" si="2"/>
        <v>1</v>
      </c>
      <c r="L44" s="4" t="s">
        <v>503</v>
      </c>
      <c r="M44" s="4">
        <f>INDEX(Dim_Product!$C$2:$C$4,MATCH(F44,Dim_Product!$A$2:$A$4,0))+-0.95</f>
        <v>199.05</v>
      </c>
      <c r="N44" s="4">
        <f>IF(AND(M44&gt;=INDEX(Dim_Product!$C$2:$C$4,MATCH(F44,Dim_Product!$A$2:$A$4,0))-INDEX(Dim_Product!$D$2:$D$4,MATCH(F44,Dim_Product!$A$2:$A$4,0)),M44&lt;=INDEX(Dim_Product!$C$2:$C$4,MATCH(F44,Dim_Product!$A$2:$A$4,0))+INDEX(Dim_Product!$D$2:$D$4,MATCH(F44,Dim_Product!$A$2:$A$4,0))),G44-H44,G44-H44-1)</f>
        <v>31</v>
      </c>
      <c r="O44" s="4">
        <f t="shared" si="3"/>
        <v>1</v>
      </c>
      <c r="P44" s="4">
        <f>INDEX(Dim_Product!$G$2:$G$4,MATCH(F44,Dim_Product!$A$2:$A$4,0))+0.03</f>
        <v>65.03</v>
      </c>
      <c r="Q44" s="4">
        <f>IF(AND(P44&gt;=INDEX(Dim_Product!$G$2:$G$4,MATCH(F44,Dim_Product!$A$2:$A$4,0))-INDEX(Dim_Product!$H$2:$H$4,MATCH(F44,Dim_Product!$A$2:$A$4,0)),P44&lt;=INDEX(Dim_Product!$G$2:$G$4,MATCH(F44,Dim_Product!$A$2:$A$4,0))+INDEX(Dim_Product!$H$2:$H$4,MATCH(F44,Dim_Product!$A$2:$A$4,0))),G44-H44,G44-H44-1)</f>
        <v>31</v>
      </c>
      <c r="R44" s="4">
        <f t="shared" si="4"/>
        <v>1</v>
      </c>
      <c r="S44" s="4">
        <f>INDEX(Dim_Product!$K$2:$K$4,MATCH(F44,Dim_Product!$A$2:$A$4,0))+-0.1</f>
        <v>109.9</v>
      </c>
      <c r="T44" s="4">
        <f>IF(AND(S44&gt;=INDEX(Dim_Product!$K$2:$K$4,MATCH(F44,Dim_Product!$A$2:$A$4,0))-INDEX(Dim_Product!$L$2:$L$4,MATCH(F44,Dim_Product!$A$2:$A$4,0)),S44&lt;=INDEX(Dim_Product!$K$2:$K$4,MATCH(F44,Dim_Product!$A$2:$A$4,0))+INDEX(Dim_Product!$L$2:$L$4,MATCH(F44,Dim_Product!$A$2:$A$4,0))),G44-H44,G44-H44-1)</f>
        <v>31</v>
      </c>
      <c r="U44" s="4">
        <f t="shared" si="5"/>
        <v>1</v>
      </c>
      <c r="V44" s="4">
        <f t="shared" si="6"/>
        <v>3.125E-2</v>
      </c>
      <c r="W44" s="16">
        <f t="shared" si="7"/>
        <v>0.96875</v>
      </c>
    </row>
    <row r="45" spans="1:23" x14ac:dyDescent="0.25">
      <c r="A45" s="15" t="s">
        <v>546</v>
      </c>
      <c r="B45" s="4">
        <f>Fact_Production_Hourly!B45</f>
        <v>20260701</v>
      </c>
      <c r="C45" s="4">
        <f>Fact_Production_Hourly!C45</f>
        <v>6</v>
      </c>
      <c r="D45" s="4" t="str">
        <f>Fact_Production_Hourly!D45</f>
        <v>M2</v>
      </c>
      <c r="E45" s="4" t="str">
        <f>Fact_Production_Hourly!E45</f>
        <v>A-AM</v>
      </c>
      <c r="F45" s="4" t="str">
        <f>Fact_Production_Hourly!F45</f>
        <v>A</v>
      </c>
      <c r="G45" s="4">
        <f>INDEX(Dim_Machine!$D$2:$D$8,MATCH(D45,Dim_Machine!$A$2:$A$8,0))*2</f>
        <v>48</v>
      </c>
      <c r="H45" s="4">
        <f>ROUND(G45*0.0582,0)</f>
        <v>3</v>
      </c>
      <c r="I45" s="4">
        <f t="shared" si="0"/>
        <v>0</v>
      </c>
      <c r="J45" s="4">
        <f t="shared" si="1"/>
        <v>1</v>
      </c>
      <c r="K45" s="4">
        <f t="shared" si="2"/>
        <v>2</v>
      </c>
      <c r="L45" s="4" t="s">
        <v>509</v>
      </c>
      <c r="M45" s="4">
        <f>INDEX(Dim_Product!$C$2:$C$4,MATCH(F45,Dim_Product!$A$2:$A$4,0))+-0.74</f>
        <v>249.26</v>
      </c>
      <c r="N45" s="4">
        <f>IF(AND(M45&gt;=INDEX(Dim_Product!$C$2:$C$4,MATCH(F45,Dim_Product!$A$2:$A$4,0))-INDEX(Dim_Product!$D$2:$D$4,MATCH(F45,Dim_Product!$A$2:$A$4,0)),M45&lt;=INDEX(Dim_Product!$C$2:$C$4,MATCH(F45,Dim_Product!$A$2:$A$4,0))+INDEX(Dim_Product!$D$2:$D$4,MATCH(F45,Dim_Product!$A$2:$A$4,0))),G45-H45,G45-H45-1)</f>
        <v>45</v>
      </c>
      <c r="O45" s="4">
        <f t="shared" si="3"/>
        <v>3</v>
      </c>
      <c r="P45" s="4">
        <f>INDEX(Dim_Product!$G$2:$G$4,MATCH(F45,Dim_Product!$A$2:$A$4,0))+0.23</f>
        <v>70.23</v>
      </c>
      <c r="Q45" s="4">
        <f>IF(AND(P45&gt;=INDEX(Dim_Product!$G$2:$G$4,MATCH(F45,Dim_Product!$A$2:$A$4,0))-INDEX(Dim_Product!$H$2:$H$4,MATCH(F45,Dim_Product!$A$2:$A$4,0)),P45&lt;=INDEX(Dim_Product!$G$2:$G$4,MATCH(F45,Dim_Product!$A$2:$A$4,0))+INDEX(Dim_Product!$H$2:$H$4,MATCH(F45,Dim_Product!$A$2:$A$4,0))),G45-H45,G45-H45-1)</f>
        <v>45</v>
      </c>
      <c r="R45" s="4">
        <f t="shared" si="4"/>
        <v>3</v>
      </c>
      <c r="S45" s="4">
        <f>INDEX(Dim_Product!$K$2:$K$4,MATCH(F45,Dim_Product!$A$2:$A$4,0))+-0.35</f>
        <v>119.65</v>
      </c>
      <c r="T45" s="4">
        <f>IF(AND(S45&gt;=INDEX(Dim_Product!$K$2:$K$4,MATCH(F45,Dim_Product!$A$2:$A$4,0))-INDEX(Dim_Product!$L$2:$L$4,MATCH(F45,Dim_Product!$A$2:$A$4,0)),S45&lt;=INDEX(Dim_Product!$K$2:$K$4,MATCH(F45,Dim_Product!$A$2:$A$4,0))+INDEX(Dim_Product!$L$2:$L$4,MATCH(F45,Dim_Product!$A$2:$A$4,0))),G45-H45,G45-H45-1)</f>
        <v>45</v>
      </c>
      <c r="U45" s="4">
        <f t="shared" si="5"/>
        <v>3</v>
      </c>
      <c r="V45" s="4">
        <f t="shared" si="6"/>
        <v>6.25E-2</v>
      </c>
      <c r="W45" s="16">
        <f t="shared" si="7"/>
        <v>0.9375</v>
      </c>
    </row>
    <row r="46" spans="1:23" x14ac:dyDescent="0.25">
      <c r="A46" s="15" t="s">
        <v>547</v>
      </c>
      <c r="B46" s="4">
        <f>Fact_Production_Hourly!B46</f>
        <v>20260701</v>
      </c>
      <c r="C46" s="4">
        <f>Fact_Production_Hourly!C46</f>
        <v>6</v>
      </c>
      <c r="D46" s="4" t="str">
        <f>Fact_Production_Hourly!D46</f>
        <v>M3</v>
      </c>
      <c r="E46" s="4" t="str">
        <f>Fact_Production_Hourly!E46</f>
        <v>A-AM</v>
      </c>
      <c r="F46" s="4" t="str">
        <f>Fact_Production_Hourly!F46</f>
        <v>B</v>
      </c>
      <c r="G46" s="4">
        <f>INDEX(Dim_Machine!$D$2:$D$8,MATCH(D46,Dim_Machine!$A$2:$A$8,0))*2</f>
        <v>24</v>
      </c>
      <c r="H46" s="4">
        <f>ROUND(G46*0.0339,0)</f>
        <v>1</v>
      </c>
      <c r="I46" s="4">
        <f t="shared" si="0"/>
        <v>0</v>
      </c>
      <c r="J46" s="4">
        <f t="shared" si="1"/>
        <v>0</v>
      </c>
      <c r="K46" s="4">
        <f t="shared" si="2"/>
        <v>1</v>
      </c>
      <c r="L46" s="4" t="s">
        <v>520</v>
      </c>
      <c r="M46" s="4">
        <f>INDEX(Dim_Product!$C$2:$C$4,MATCH(F46,Dim_Product!$A$2:$A$4,0))+0.44</f>
        <v>300.44</v>
      </c>
      <c r="N46" s="4">
        <f>IF(AND(M46&gt;=INDEX(Dim_Product!$C$2:$C$4,MATCH(F46,Dim_Product!$A$2:$A$4,0))-INDEX(Dim_Product!$D$2:$D$4,MATCH(F46,Dim_Product!$A$2:$A$4,0)),M46&lt;=INDEX(Dim_Product!$C$2:$C$4,MATCH(F46,Dim_Product!$A$2:$A$4,0))+INDEX(Dim_Product!$D$2:$D$4,MATCH(F46,Dim_Product!$A$2:$A$4,0))),G46-H46,G46-H46-1)</f>
        <v>23</v>
      </c>
      <c r="O46" s="4">
        <f t="shared" si="3"/>
        <v>1</v>
      </c>
      <c r="P46" s="4">
        <f>INDEX(Dim_Product!$G$2:$G$4,MATCH(F46,Dim_Product!$A$2:$A$4,0))+0.02</f>
        <v>75.02</v>
      </c>
      <c r="Q46" s="4">
        <f>IF(AND(P46&gt;=INDEX(Dim_Product!$G$2:$G$4,MATCH(F46,Dim_Product!$A$2:$A$4,0))-INDEX(Dim_Product!$H$2:$H$4,MATCH(F46,Dim_Product!$A$2:$A$4,0)),P46&lt;=INDEX(Dim_Product!$G$2:$G$4,MATCH(F46,Dim_Product!$A$2:$A$4,0))+INDEX(Dim_Product!$H$2:$H$4,MATCH(F46,Dim_Product!$A$2:$A$4,0))),G46-H46,G46-H46-1)</f>
        <v>23</v>
      </c>
      <c r="R46" s="4">
        <f t="shared" si="4"/>
        <v>1</v>
      </c>
      <c r="S46" s="4">
        <f>INDEX(Dim_Product!$K$2:$K$4,MATCH(F46,Dim_Product!$A$2:$A$4,0))+0.22</f>
        <v>130.22</v>
      </c>
      <c r="T46" s="4">
        <f>IF(AND(S46&gt;=INDEX(Dim_Product!$K$2:$K$4,MATCH(F46,Dim_Product!$A$2:$A$4,0))-INDEX(Dim_Product!$L$2:$L$4,MATCH(F46,Dim_Product!$A$2:$A$4,0)),S46&lt;=INDEX(Dim_Product!$K$2:$K$4,MATCH(F46,Dim_Product!$A$2:$A$4,0))+INDEX(Dim_Product!$L$2:$L$4,MATCH(F46,Dim_Product!$A$2:$A$4,0))),G46-H46,G46-H46-1)</f>
        <v>23</v>
      </c>
      <c r="U46" s="4">
        <f t="shared" si="5"/>
        <v>1</v>
      </c>
      <c r="V46" s="4">
        <f t="shared" si="6"/>
        <v>4.1666666666666664E-2</v>
      </c>
      <c r="W46" s="16">
        <f t="shared" si="7"/>
        <v>0.95833333333333337</v>
      </c>
    </row>
    <row r="47" spans="1:23" x14ac:dyDescent="0.25">
      <c r="A47" s="15" t="s">
        <v>548</v>
      </c>
      <c r="B47" s="4">
        <f>Fact_Production_Hourly!B47</f>
        <v>20260701</v>
      </c>
      <c r="C47" s="4">
        <f>Fact_Production_Hourly!C47</f>
        <v>6</v>
      </c>
      <c r="D47" s="4" t="str">
        <f>Fact_Production_Hourly!D47</f>
        <v>M4</v>
      </c>
      <c r="E47" s="4" t="str">
        <f>Fact_Production_Hourly!E47</f>
        <v>A-AM</v>
      </c>
      <c r="F47" s="4" t="str">
        <f>Fact_Production_Hourly!F47</f>
        <v>A</v>
      </c>
      <c r="G47" s="4">
        <f>INDEX(Dim_Machine!$D$2:$D$8,MATCH(D47,Dim_Machine!$A$2:$A$8,0))*2</f>
        <v>48</v>
      </c>
      <c r="H47" s="4">
        <f>ROUND(G47*0.0594,0)</f>
        <v>3</v>
      </c>
      <c r="I47" s="4">
        <f t="shared" si="0"/>
        <v>0</v>
      </c>
      <c r="J47" s="4">
        <f t="shared" si="1"/>
        <v>1</v>
      </c>
      <c r="K47" s="4">
        <f t="shared" si="2"/>
        <v>2</v>
      </c>
      <c r="L47" s="4" t="s">
        <v>498</v>
      </c>
      <c r="M47" s="4">
        <f>INDEX(Dim_Product!$C$2:$C$4,MATCH(F47,Dim_Product!$A$2:$A$4,0))+-0.75</f>
        <v>249.25</v>
      </c>
      <c r="N47" s="4">
        <f>IF(AND(M47&gt;=INDEX(Dim_Product!$C$2:$C$4,MATCH(F47,Dim_Product!$A$2:$A$4,0))-INDEX(Dim_Product!$D$2:$D$4,MATCH(F47,Dim_Product!$A$2:$A$4,0)),M47&lt;=INDEX(Dim_Product!$C$2:$C$4,MATCH(F47,Dim_Product!$A$2:$A$4,0))+INDEX(Dim_Product!$D$2:$D$4,MATCH(F47,Dim_Product!$A$2:$A$4,0))),G47-H47,G47-H47-1)</f>
        <v>45</v>
      </c>
      <c r="O47" s="4">
        <f t="shared" si="3"/>
        <v>3</v>
      </c>
      <c r="P47" s="4">
        <f>INDEX(Dim_Product!$G$2:$G$4,MATCH(F47,Dim_Product!$A$2:$A$4,0))+-0.11</f>
        <v>69.89</v>
      </c>
      <c r="Q47" s="4">
        <f>IF(AND(P47&gt;=INDEX(Dim_Product!$G$2:$G$4,MATCH(F47,Dim_Product!$A$2:$A$4,0))-INDEX(Dim_Product!$H$2:$H$4,MATCH(F47,Dim_Product!$A$2:$A$4,0)),P47&lt;=INDEX(Dim_Product!$G$2:$G$4,MATCH(F47,Dim_Product!$A$2:$A$4,0))+INDEX(Dim_Product!$H$2:$H$4,MATCH(F47,Dim_Product!$A$2:$A$4,0))),G47-H47,G47-H47-1)</f>
        <v>45</v>
      </c>
      <c r="R47" s="4">
        <f t="shared" si="4"/>
        <v>3</v>
      </c>
      <c r="S47" s="4">
        <f>INDEX(Dim_Product!$K$2:$K$4,MATCH(F47,Dim_Product!$A$2:$A$4,0))+-0.34</f>
        <v>119.66</v>
      </c>
      <c r="T47" s="4">
        <f>IF(AND(S47&gt;=INDEX(Dim_Product!$K$2:$K$4,MATCH(F47,Dim_Product!$A$2:$A$4,0))-INDEX(Dim_Product!$L$2:$L$4,MATCH(F47,Dim_Product!$A$2:$A$4,0)),S47&lt;=INDEX(Dim_Product!$K$2:$K$4,MATCH(F47,Dim_Product!$A$2:$A$4,0))+INDEX(Dim_Product!$L$2:$L$4,MATCH(F47,Dim_Product!$A$2:$A$4,0))),G47-H47,G47-H47-1)</f>
        <v>45</v>
      </c>
      <c r="U47" s="4">
        <f t="shared" si="5"/>
        <v>3</v>
      </c>
      <c r="V47" s="4">
        <f t="shared" si="6"/>
        <v>6.25E-2</v>
      </c>
      <c r="W47" s="16">
        <f t="shared" si="7"/>
        <v>0.9375</v>
      </c>
    </row>
    <row r="48" spans="1:23" x14ac:dyDescent="0.25">
      <c r="A48" s="15" t="s">
        <v>549</v>
      </c>
      <c r="B48" s="4">
        <f>Fact_Production_Hourly!B48</f>
        <v>20260701</v>
      </c>
      <c r="C48" s="4">
        <f>Fact_Production_Hourly!C48</f>
        <v>6</v>
      </c>
      <c r="D48" s="4" t="str">
        <f>Fact_Production_Hourly!D48</f>
        <v>M5</v>
      </c>
      <c r="E48" s="4" t="str">
        <f>Fact_Production_Hourly!E48</f>
        <v>A-AM</v>
      </c>
      <c r="F48" s="4" t="str">
        <f>Fact_Production_Hourly!F48</f>
        <v>C</v>
      </c>
      <c r="G48" s="4">
        <f>INDEX(Dim_Machine!$D$2:$D$8,MATCH(D48,Dim_Machine!$A$2:$A$8,0))*2</f>
        <v>32</v>
      </c>
      <c r="H48" s="4">
        <f>ROUND(G48*0.0379,0)</f>
        <v>1</v>
      </c>
      <c r="I48" s="4">
        <f t="shared" si="0"/>
        <v>0</v>
      </c>
      <c r="J48" s="4">
        <f t="shared" si="1"/>
        <v>0</v>
      </c>
      <c r="K48" s="4">
        <f t="shared" si="2"/>
        <v>1</v>
      </c>
      <c r="L48" s="4" t="s">
        <v>509</v>
      </c>
      <c r="M48" s="4">
        <f>INDEX(Dim_Product!$C$2:$C$4,MATCH(F48,Dim_Product!$A$2:$A$4,0))+-0.31</f>
        <v>199.69</v>
      </c>
      <c r="N48" s="4">
        <f>IF(AND(M48&gt;=INDEX(Dim_Product!$C$2:$C$4,MATCH(F48,Dim_Product!$A$2:$A$4,0))-INDEX(Dim_Product!$D$2:$D$4,MATCH(F48,Dim_Product!$A$2:$A$4,0)),M48&lt;=INDEX(Dim_Product!$C$2:$C$4,MATCH(F48,Dim_Product!$A$2:$A$4,0))+INDEX(Dim_Product!$D$2:$D$4,MATCH(F48,Dim_Product!$A$2:$A$4,0))),G48-H48,G48-H48-1)</f>
        <v>31</v>
      </c>
      <c r="O48" s="4">
        <f t="shared" si="3"/>
        <v>1</v>
      </c>
      <c r="P48" s="4">
        <f>INDEX(Dim_Product!$G$2:$G$4,MATCH(F48,Dim_Product!$A$2:$A$4,0))+0.23</f>
        <v>65.23</v>
      </c>
      <c r="Q48" s="4">
        <f>IF(AND(P48&gt;=INDEX(Dim_Product!$G$2:$G$4,MATCH(F48,Dim_Product!$A$2:$A$4,0))-INDEX(Dim_Product!$H$2:$H$4,MATCH(F48,Dim_Product!$A$2:$A$4,0)),P48&lt;=INDEX(Dim_Product!$G$2:$G$4,MATCH(F48,Dim_Product!$A$2:$A$4,0))+INDEX(Dim_Product!$H$2:$H$4,MATCH(F48,Dim_Product!$A$2:$A$4,0))),G48-H48,G48-H48-1)</f>
        <v>31</v>
      </c>
      <c r="R48" s="4">
        <f t="shared" si="4"/>
        <v>1</v>
      </c>
      <c r="S48" s="4">
        <f>INDEX(Dim_Product!$K$2:$K$4,MATCH(F48,Dim_Product!$A$2:$A$4,0))+0.22</f>
        <v>110.22</v>
      </c>
      <c r="T48" s="4">
        <f>IF(AND(S48&gt;=INDEX(Dim_Product!$K$2:$K$4,MATCH(F48,Dim_Product!$A$2:$A$4,0))-INDEX(Dim_Product!$L$2:$L$4,MATCH(F48,Dim_Product!$A$2:$A$4,0)),S48&lt;=INDEX(Dim_Product!$K$2:$K$4,MATCH(F48,Dim_Product!$A$2:$A$4,0))+INDEX(Dim_Product!$L$2:$L$4,MATCH(F48,Dim_Product!$A$2:$A$4,0))),G48-H48,G48-H48-1)</f>
        <v>31</v>
      </c>
      <c r="U48" s="4">
        <f t="shared" si="5"/>
        <v>1</v>
      </c>
      <c r="V48" s="4">
        <f t="shared" si="6"/>
        <v>3.125E-2</v>
      </c>
      <c r="W48" s="16">
        <f t="shared" si="7"/>
        <v>0.96875</v>
      </c>
    </row>
    <row r="49" spans="1:23" x14ac:dyDescent="0.25">
      <c r="A49" s="15" t="s">
        <v>550</v>
      </c>
      <c r="B49" s="4">
        <f>Fact_Production_Hourly!B49</f>
        <v>20260701</v>
      </c>
      <c r="C49" s="4">
        <f>Fact_Production_Hourly!C49</f>
        <v>6</v>
      </c>
      <c r="D49" s="4" t="str">
        <f>Fact_Production_Hourly!D49</f>
        <v>M6</v>
      </c>
      <c r="E49" s="4" t="str">
        <f>Fact_Production_Hourly!E49</f>
        <v>A-AM</v>
      </c>
      <c r="F49" s="4" t="str">
        <f>Fact_Production_Hourly!F49</f>
        <v>C</v>
      </c>
      <c r="G49" s="4">
        <f>INDEX(Dim_Machine!$D$2:$D$8,MATCH(D49,Dim_Machine!$A$2:$A$8,0))*2</f>
        <v>24</v>
      </c>
      <c r="H49" s="4">
        <f>ROUND(G49*0.0484,0)</f>
        <v>1</v>
      </c>
      <c r="I49" s="4">
        <f t="shared" si="0"/>
        <v>0</v>
      </c>
      <c r="J49" s="4">
        <f t="shared" si="1"/>
        <v>0</v>
      </c>
      <c r="K49" s="4">
        <f t="shared" si="2"/>
        <v>1</v>
      </c>
      <c r="L49" s="4" t="s">
        <v>500</v>
      </c>
      <c r="M49" s="4">
        <f>INDEX(Dim_Product!$C$2:$C$4,MATCH(F49,Dim_Product!$A$2:$A$4,0))+0.54</f>
        <v>200.54</v>
      </c>
      <c r="N49" s="4">
        <f>IF(AND(M49&gt;=INDEX(Dim_Product!$C$2:$C$4,MATCH(F49,Dim_Product!$A$2:$A$4,0))-INDEX(Dim_Product!$D$2:$D$4,MATCH(F49,Dim_Product!$A$2:$A$4,0)),M49&lt;=INDEX(Dim_Product!$C$2:$C$4,MATCH(F49,Dim_Product!$A$2:$A$4,0))+INDEX(Dim_Product!$D$2:$D$4,MATCH(F49,Dim_Product!$A$2:$A$4,0))),G49-H49,G49-H49-1)</f>
        <v>23</v>
      </c>
      <c r="O49" s="4">
        <f t="shared" si="3"/>
        <v>1</v>
      </c>
      <c r="P49" s="4">
        <f>INDEX(Dim_Product!$G$2:$G$4,MATCH(F49,Dim_Product!$A$2:$A$4,0))+-0.22</f>
        <v>64.78</v>
      </c>
      <c r="Q49" s="4">
        <f>IF(AND(P49&gt;=INDEX(Dim_Product!$G$2:$G$4,MATCH(F49,Dim_Product!$A$2:$A$4,0))-INDEX(Dim_Product!$H$2:$H$4,MATCH(F49,Dim_Product!$A$2:$A$4,0)),P49&lt;=INDEX(Dim_Product!$G$2:$G$4,MATCH(F49,Dim_Product!$A$2:$A$4,0))+INDEX(Dim_Product!$H$2:$H$4,MATCH(F49,Dim_Product!$A$2:$A$4,0))),G49-H49,G49-H49-1)</f>
        <v>23</v>
      </c>
      <c r="R49" s="4">
        <f t="shared" si="4"/>
        <v>1</v>
      </c>
      <c r="S49" s="4">
        <f>INDEX(Dim_Product!$K$2:$K$4,MATCH(F49,Dim_Product!$A$2:$A$4,0))+0</f>
        <v>110</v>
      </c>
      <c r="T49" s="4">
        <f>IF(AND(S49&gt;=INDEX(Dim_Product!$K$2:$K$4,MATCH(F49,Dim_Product!$A$2:$A$4,0))-INDEX(Dim_Product!$L$2:$L$4,MATCH(F49,Dim_Product!$A$2:$A$4,0)),S49&lt;=INDEX(Dim_Product!$K$2:$K$4,MATCH(F49,Dim_Product!$A$2:$A$4,0))+INDEX(Dim_Product!$L$2:$L$4,MATCH(F49,Dim_Product!$A$2:$A$4,0))),G49-H49,G49-H49-1)</f>
        <v>23</v>
      </c>
      <c r="U49" s="4">
        <f t="shared" si="5"/>
        <v>1</v>
      </c>
      <c r="V49" s="4">
        <f t="shared" si="6"/>
        <v>4.1666666666666664E-2</v>
      </c>
      <c r="W49" s="16">
        <f t="shared" si="7"/>
        <v>0.95833333333333337</v>
      </c>
    </row>
    <row r="50" spans="1:23" x14ac:dyDescent="0.25">
      <c r="A50" s="15" t="s">
        <v>551</v>
      </c>
      <c r="B50" s="4">
        <f>Fact_Production_Hourly!B50</f>
        <v>20260701</v>
      </c>
      <c r="C50" s="4">
        <f>Fact_Production_Hourly!C50</f>
        <v>6</v>
      </c>
      <c r="D50" s="4" t="str">
        <f>Fact_Production_Hourly!D50</f>
        <v>M7</v>
      </c>
      <c r="E50" s="4" t="str">
        <f>Fact_Production_Hourly!E50</f>
        <v>A-AM</v>
      </c>
      <c r="F50" s="4" t="str">
        <f>Fact_Production_Hourly!F50</f>
        <v>C</v>
      </c>
      <c r="G50" s="4">
        <f>INDEX(Dim_Machine!$D$2:$D$8,MATCH(D50,Dim_Machine!$A$2:$A$8,0))*2</f>
        <v>48</v>
      </c>
      <c r="H50" s="4">
        <f>ROUND(G50*0.0621,0)</f>
        <v>3</v>
      </c>
      <c r="I50" s="4">
        <f t="shared" si="0"/>
        <v>0</v>
      </c>
      <c r="J50" s="4">
        <f t="shared" si="1"/>
        <v>1</v>
      </c>
      <c r="K50" s="4">
        <f t="shared" si="2"/>
        <v>2</v>
      </c>
      <c r="L50" s="4" t="s">
        <v>498</v>
      </c>
      <c r="M50" s="4">
        <f>INDEX(Dim_Product!$C$2:$C$4,MATCH(F50,Dim_Product!$A$2:$A$4,0))+0.04</f>
        <v>200.04</v>
      </c>
      <c r="N50" s="4">
        <f>IF(AND(M50&gt;=INDEX(Dim_Product!$C$2:$C$4,MATCH(F50,Dim_Product!$A$2:$A$4,0))-INDEX(Dim_Product!$D$2:$D$4,MATCH(F50,Dim_Product!$A$2:$A$4,0)),M50&lt;=INDEX(Dim_Product!$C$2:$C$4,MATCH(F50,Dim_Product!$A$2:$A$4,0))+INDEX(Dim_Product!$D$2:$D$4,MATCH(F50,Dim_Product!$A$2:$A$4,0))),G50-H50,G50-H50-1)</f>
        <v>45</v>
      </c>
      <c r="O50" s="4">
        <f t="shared" si="3"/>
        <v>3</v>
      </c>
      <c r="P50" s="4">
        <f>INDEX(Dim_Product!$G$2:$G$4,MATCH(F50,Dim_Product!$A$2:$A$4,0))+-0.12</f>
        <v>64.88</v>
      </c>
      <c r="Q50" s="4">
        <f>IF(AND(P50&gt;=INDEX(Dim_Product!$G$2:$G$4,MATCH(F50,Dim_Product!$A$2:$A$4,0))-INDEX(Dim_Product!$H$2:$H$4,MATCH(F50,Dim_Product!$A$2:$A$4,0)),P50&lt;=INDEX(Dim_Product!$G$2:$G$4,MATCH(F50,Dim_Product!$A$2:$A$4,0))+INDEX(Dim_Product!$H$2:$H$4,MATCH(F50,Dim_Product!$A$2:$A$4,0))),G50-H50,G50-H50-1)</f>
        <v>45</v>
      </c>
      <c r="R50" s="4">
        <f t="shared" si="4"/>
        <v>3</v>
      </c>
      <c r="S50" s="4">
        <f>INDEX(Dim_Product!$K$2:$K$4,MATCH(F50,Dim_Product!$A$2:$A$4,0))+-0.27</f>
        <v>109.73</v>
      </c>
      <c r="T50" s="4">
        <f>IF(AND(S50&gt;=INDEX(Dim_Product!$K$2:$K$4,MATCH(F50,Dim_Product!$A$2:$A$4,0))-INDEX(Dim_Product!$L$2:$L$4,MATCH(F50,Dim_Product!$A$2:$A$4,0)),S50&lt;=INDEX(Dim_Product!$K$2:$K$4,MATCH(F50,Dim_Product!$A$2:$A$4,0))+INDEX(Dim_Product!$L$2:$L$4,MATCH(F50,Dim_Product!$A$2:$A$4,0))),G50-H50,G50-H50-1)</f>
        <v>45</v>
      </c>
      <c r="U50" s="4">
        <f t="shared" si="5"/>
        <v>3</v>
      </c>
      <c r="V50" s="4">
        <f t="shared" si="6"/>
        <v>6.25E-2</v>
      </c>
      <c r="W50" s="16">
        <f t="shared" si="7"/>
        <v>0.9375</v>
      </c>
    </row>
    <row r="51" spans="1:23" x14ac:dyDescent="0.25">
      <c r="A51" s="15" t="s">
        <v>552</v>
      </c>
      <c r="B51" s="4">
        <f>Fact_Production_Hourly!B51</f>
        <v>20260701</v>
      </c>
      <c r="C51" s="4">
        <f>Fact_Production_Hourly!C51</f>
        <v>7</v>
      </c>
      <c r="D51" s="4" t="str">
        <f>Fact_Production_Hourly!D51</f>
        <v>M1</v>
      </c>
      <c r="E51" s="4" t="str">
        <f>Fact_Production_Hourly!E51</f>
        <v>A-AM</v>
      </c>
      <c r="F51" s="4" t="str">
        <f>Fact_Production_Hourly!F51</f>
        <v>C</v>
      </c>
      <c r="G51" s="4">
        <f>INDEX(Dim_Machine!$D$2:$D$8,MATCH(D51,Dim_Machine!$A$2:$A$8,0))*2</f>
        <v>32</v>
      </c>
      <c r="H51" s="4">
        <f>ROUND(G51*0.0661,0)</f>
        <v>2</v>
      </c>
      <c r="I51" s="4">
        <f t="shared" si="0"/>
        <v>0</v>
      </c>
      <c r="J51" s="4">
        <f t="shared" si="1"/>
        <v>1</v>
      </c>
      <c r="K51" s="4">
        <f t="shared" si="2"/>
        <v>1</v>
      </c>
      <c r="L51" s="4" t="s">
        <v>500</v>
      </c>
      <c r="M51" s="4">
        <f>INDEX(Dim_Product!$C$2:$C$4,MATCH(F51,Dim_Product!$A$2:$A$4,0))+-0.31</f>
        <v>199.69</v>
      </c>
      <c r="N51" s="4">
        <f>IF(AND(M51&gt;=INDEX(Dim_Product!$C$2:$C$4,MATCH(F51,Dim_Product!$A$2:$A$4,0))-INDEX(Dim_Product!$D$2:$D$4,MATCH(F51,Dim_Product!$A$2:$A$4,0)),M51&lt;=INDEX(Dim_Product!$C$2:$C$4,MATCH(F51,Dim_Product!$A$2:$A$4,0))+INDEX(Dim_Product!$D$2:$D$4,MATCH(F51,Dim_Product!$A$2:$A$4,0))),G51-H51,G51-H51-1)</f>
        <v>30</v>
      </c>
      <c r="O51" s="4">
        <f t="shared" si="3"/>
        <v>2</v>
      </c>
      <c r="P51" s="4">
        <f>INDEX(Dim_Product!$G$2:$G$4,MATCH(F51,Dim_Product!$A$2:$A$4,0))+0.26</f>
        <v>65.260000000000005</v>
      </c>
      <c r="Q51" s="4">
        <f>IF(AND(P51&gt;=INDEX(Dim_Product!$G$2:$G$4,MATCH(F51,Dim_Product!$A$2:$A$4,0))-INDEX(Dim_Product!$H$2:$H$4,MATCH(F51,Dim_Product!$A$2:$A$4,0)),P51&lt;=INDEX(Dim_Product!$G$2:$G$4,MATCH(F51,Dim_Product!$A$2:$A$4,0))+INDEX(Dim_Product!$H$2:$H$4,MATCH(F51,Dim_Product!$A$2:$A$4,0))),G51-H51,G51-H51-1)</f>
        <v>30</v>
      </c>
      <c r="R51" s="4">
        <f t="shared" si="4"/>
        <v>2</v>
      </c>
      <c r="S51" s="4">
        <f>INDEX(Dim_Product!$K$2:$K$4,MATCH(F51,Dim_Product!$A$2:$A$4,0))+0.32</f>
        <v>110.32</v>
      </c>
      <c r="T51" s="4">
        <f>IF(AND(S51&gt;=INDEX(Dim_Product!$K$2:$K$4,MATCH(F51,Dim_Product!$A$2:$A$4,0))-INDEX(Dim_Product!$L$2:$L$4,MATCH(F51,Dim_Product!$A$2:$A$4,0)),S51&lt;=INDEX(Dim_Product!$K$2:$K$4,MATCH(F51,Dim_Product!$A$2:$A$4,0))+INDEX(Dim_Product!$L$2:$L$4,MATCH(F51,Dim_Product!$A$2:$A$4,0))),G51-H51,G51-H51-1)</f>
        <v>30</v>
      </c>
      <c r="U51" s="4">
        <f t="shared" si="5"/>
        <v>2</v>
      </c>
      <c r="V51" s="4">
        <f t="shared" si="6"/>
        <v>6.25E-2</v>
      </c>
      <c r="W51" s="16">
        <f t="shared" si="7"/>
        <v>0.9375</v>
      </c>
    </row>
    <row r="52" spans="1:23" x14ac:dyDescent="0.25">
      <c r="A52" s="15" t="s">
        <v>553</v>
      </c>
      <c r="B52" s="4">
        <f>Fact_Production_Hourly!B52</f>
        <v>20260701</v>
      </c>
      <c r="C52" s="4">
        <f>Fact_Production_Hourly!C52</f>
        <v>7</v>
      </c>
      <c r="D52" s="4" t="str">
        <f>Fact_Production_Hourly!D52</f>
        <v>M2</v>
      </c>
      <c r="E52" s="4" t="str">
        <f>Fact_Production_Hourly!E52</f>
        <v>A-AM</v>
      </c>
      <c r="F52" s="4" t="str">
        <f>Fact_Production_Hourly!F52</f>
        <v>A</v>
      </c>
      <c r="G52" s="4">
        <f>INDEX(Dim_Machine!$D$2:$D$8,MATCH(D52,Dim_Machine!$A$2:$A$8,0))*2</f>
        <v>48</v>
      </c>
      <c r="H52" s="4">
        <f>ROUND(G52*0.0608,0)</f>
        <v>3</v>
      </c>
      <c r="I52" s="4">
        <f t="shared" si="0"/>
        <v>0</v>
      </c>
      <c r="J52" s="4">
        <f t="shared" si="1"/>
        <v>1</v>
      </c>
      <c r="K52" s="4">
        <f t="shared" si="2"/>
        <v>2</v>
      </c>
      <c r="L52" s="4" t="s">
        <v>517</v>
      </c>
      <c r="M52" s="4">
        <f>INDEX(Dim_Product!$C$2:$C$4,MATCH(F52,Dim_Product!$A$2:$A$4,0))+-0.61</f>
        <v>249.39</v>
      </c>
      <c r="N52" s="4">
        <f>IF(AND(M52&gt;=INDEX(Dim_Product!$C$2:$C$4,MATCH(F52,Dim_Product!$A$2:$A$4,0))-INDEX(Dim_Product!$D$2:$D$4,MATCH(F52,Dim_Product!$A$2:$A$4,0)),M52&lt;=INDEX(Dim_Product!$C$2:$C$4,MATCH(F52,Dim_Product!$A$2:$A$4,0))+INDEX(Dim_Product!$D$2:$D$4,MATCH(F52,Dim_Product!$A$2:$A$4,0))),G52-H52,G52-H52-1)</f>
        <v>45</v>
      </c>
      <c r="O52" s="4">
        <f t="shared" si="3"/>
        <v>3</v>
      </c>
      <c r="P52" s="4">
        <f>INDEX(Dim_Product!$G$2:$G$4,MATCH(F52,Dim_Product!$A$2:$A$4,0))+0.27</f>
        <v>70.27</v>
      </c>
      <c r="Q52" s="4">
        <f>IF(AND(P52&gt;=INDEX(Dim_Product!$G$2:$G$4,MATCH(F52,Dim_Product!$A$2:$A$4,0))-INDEX(Dim_Product!$H$2:$H$4,MATCH(F52,Dim_Product!$A$2:$A$4,0)),P52&lt;=INDEX(Dim_Product!$G$2:$G$4,MATCH(F52,Dim_Product!$A$2:$A$4,0))+INDEX(Dim_Product!$H$2:$H$4,MATCH(F52,Dim_Product!$A$2:$A$4,0))),G52-H52,G52-H52-1)</f>
        <v>45</v>
      </c>
      <c r="R52" s="4">
        <f t="shared" si="4"/>
        <v>3</v>
      </c>
      <c r="S52" s="4">
        <f>INDEX(Dim_Product!$K$2:$K$4,MATCH(F52,Dim_Product!$A$2:$A$4,0))+-0.18</f>
        <v>119.82</v>
      </c>
      <c r="T52" s="4">
        <f>IF(AND(S52&gt;=INDEX(Dim_Product!$K$2:$K$4,MATCH(F52,Dim_Product!$A$2:$A$4,0))-INDEX(Dim_Product!$L$2:$L$4,MATCH(F52,Dim_Product!$A$2:$A$4,0)),S52&lt;=INDEX(Dim_Product!$K$2:$K$4,MATCH(F52,Dim_Product!$A$2:$A$4,0))+INDEX(Dim_Product!$L$2:$L$4,MATCH(F52,Dim_Product!$A$2:$A$4,0))),G52-H52,G52-H52-1)</f>
        <v>45</v>
      </c>
      <c r="U52" s="4">
        <f t="shared" si="5"/>
        <v>3</v>
      </c>
      <c r="V52" s="4">
        <f t="shared" si="6"/>
        <v>6.25E-2</v>
      </c>
      <c r="W52" s="16">
        <f t="shared" si="7"/>
        <v>0.9375</v>
      </c>
    </row>
    <row r="53" spans="1:23" x14ac:dyDescent="0.25">
      <c r="A53" s="15" t="s">
        <v>554</v>
      </c>
      <c r="B53" s="4">
        <f>Fact_Production_Hourly!B53</f>
        <v>20260701</v>
      </c>
      <c r="C53" s="4">
        <f>Fact_Production_Hourly!C53</f>
        <v>7</v>
      </c>
      <c r="D53" s="4" t="str">
        <f>Fact_Production_Hourly!D53</f>
        <v>M3</v>
      </c>
      <c r="E53" s="4" t="str">
        <f>Fact_Production_Hourly!E53</f>
        <v>A-AM</v>
      </c>
      <c r="F53" s="4" t="str">
        <f>Fact_Production_Hourly!F53</f>
        <v>B</v>
      </c>
      <c r="G53" s="4">
        <f>INDEX(Dim_Machine!$D$2:$D$8,MATCH(D53,Dim_Machine!$A$2:$A$8,0))*2</f>
        <v>24</v>
      </c>
      <c r="H53" s="4">
        <f>ROUND(G53*0.0475,0)</f>
        <v>1</v>
      </c>
      <c r="I53" s="4">
        <f t="shared" si="0"/>
        <v>0</v>
      </c>
      <c r="J53" s="4">
        <f t="shared" si="1"/>
        <v>0</v>
      </c>
      <c r="K53" s="4">
        <f t="shared" si="2"/>
        <v>1</v>
      </c>
      <c r="L53" s="4" t="s">
        <v>509</v>
      </c>
      <c r="M53" s="4">
        <f>INDEX(Dim_Product!$C$2:$C$4,MATCH(F53,Dim_Product!$A$2:$A$4,0))+0.07</f>
        <v>300.07</v>
      </c>
      <c r="N53" s="4">
        <f>IF(AND(M53&gt;=INDEX(Dim_Product!$C$2:$C$4,MATCH(F53,Dim_Product!$A$2:$A$4,0))-INDEX(Dim_Product!$D$2:$D$4,MATCH(F53,Dim_Product!$A$2:$A$4,0)),M53&lt;=INDEX(Dim_Product!$C$2:$C$4,MATCH(F53,Dim_Product!$A$2:$A$4,0))+INDEX(Dim_Product!$D$2:$D$4,MATCH(F53,Dim_Product!$A$2:$A$4,0))),G53-H53,G53-H53-1)</f>
        <v>23</v>
      </c>
      <c r="O53" s="4">
        <f t="shared" si="3"/>
        <v>1</v>
      </c>
      <c r="P53" s="4">
        <f>INDEX(Dim_Product!$G$2:$G$4,MATCH(F53,Dim_Product!$A$2:$A$4,0))+0</f>
        <v>75</v>
      </c>
      <c r="Q53" s="4">
        <f>IF(AND(P53&gt;=INDEX(Dim_Product!$G$2:$G$4,MATCH(F53,Dim_Product!$A$2:$A$4,0))-INDEX(Dim_Product!$H$2:$H$4,MATCH(F53,Dim_Product!$A$2:$A$4,0)),P53&lt;=INDEX(Dim_Product!$G$2:$G$4,MATCH(F53,Dim_Product!$A$2:$A$4,0))+INDEX(Dim_Product!$H$2:$H$4,MATCH(F53,Dim_Product!$A$2:$A$4,0))),G53-H53,G53-H53-1)</f>
        <v>23</v>
      </c>
      <c r="R53" s="4">
        <f t="shared" si="4"/>
        <v>1</v>
      </c>
      <c r="S53" s="4">
        <f>INDEX(Dim_Product!$K$2:$K$4,MATCH(F53,Dim_Product!$A$2:$A$4,0))+-0.27</f>
        <v>129.72999999999999</v>
      </c>
      <c r="T53" s="4">
        <f>IF(AND(S53&gt;=INDEX(Dim_Product!$K$2:$K$4,MATCH(F53,Dim_Product!$A$2:$A$4,0))-INDEX(Dim_Product!$L$2:$L$4,MATCH(F53,Dim_Product!$A$2:$A$4,0)),S53&lt;=INDEX(Dim_Product!$K$2:$K$4,MATCH(F53,Dim_Product!$A$2:$A$4,0))+INDEX(Dim_Product!$L$2:$L$4,MATCH(F53,Dim_Product!$A$2:$A$4,0))),G53-H53,G53-H53-1)</f>
        <v>23</v>
      </c>
      <c r="U53" s="4">
        <f t="shared" si="5"/>
        <v>1</v>
      </c>
      <c r="V53" s="4">
        <f t="shared" si="6"/>
        <v>4.1666666666666664E-2</v>
      </c>
      <c r="W53" s="16">
        <f t="shared" si="7"/>
        <v>0.95833333333333337</v>
      </c>
    </row>
    <row r="54" spans="1:23" x14ac:dyDescent="0.25">
      <c r="A54" s="15" t="s">
        <v>555</v>
      </c>
      <c r="B54" s="4">
        <f>Fact_Production_Hourly!B54</f>
        <v>20260701</v>
      </c>
      <c r="C54" s="4">
        <f>Fact_Production_Hourly!C54</f>
        <v>7</v>
      </c>
      <c r="D54" s="4" t="str">
        <f>Fact_Production_Hourly!D54</f>
        <v>M4</v>
      </c>
      <c r="E54" s="4" t="str">
        <f>Fact_Production_Hourly!E54</f>
        <v>A-AM</v>
      </c>
      <c r="F54" s="4" t="str">
        <f>Fact_Production_Hourly!F54</f>
        <v>A</v>
      </c>
      <c r="G54" s="4">
        <f>INDEX(Dim_Machine!$D$2:$D$8,MATCH(D54,Dim_Machine!$A$2:$A$8,0))*2</f>
        <v>48</v>
      </c>
      <c r="H54" s="4">
        <f>ROUND(G54*0.0665,0)</f>
        <v>3</v>
      </c>
      <c r="I54" s="4">
        <f t="shared" si="0"/>
        <v>0</v>
      </c>
      <c r="J54" s="4">
        <f t="shared" si="1"/>
        <v>1</v>
      </c>
      <c r="K54" s="4">
        <f t="shared" si="2"/>
        <v>2</v>
      </c>
      <c r="L54" s="4" t="s">
        <v>500</v>
      </c>
      <c r="M54" s="4">
        <f>INDEX(Dim_Product!$C$2:$C$4,MATCH(F54,Dim_Product!$A$2:$A$4,0))+-0.66</f>
        <v>249.34</v>
      </c>
      <c r="N54" s="4">
        <f>IF(AND(M54&gt;=INDEX(Dim_Product!$C$2:$C$4,MATCH(F54,Dim_Product!$A$2:$A$4,0))-INDEX(Dim_Product!$D$2:$D$4,MATCH(F54,Dim_Product!$A$2:$A$4,0)),M54&lt;=INDEX(Dim_Product!$C$2:$C$4,MATCH(F54,Dim_Product!$A$2:$A$4,0))+INDEX(Dim_Product!$D$2:$D$4,MATCH(F54,Dim_Product!$A$2:$A$4,0))),G54-H54,G54-H54-1)</f>
        <v>45</v>
      </c>
      <c r="O54" s="4">
        <f t="shared" si="3"/>
        <v>3</v>
      </c>
      <c r="P54" s="4">
        <f>INDEX(Dim_Product!$G$2:$G$4,MATCH(F54,Dim_Product!$A$2:$A$4,0))+0.07</f>
        <v>70.069999999999993</v>
      </c>
      <c r="Q54" s="4">
        <f>IF(AND(P54&gt;=INDEX(Dim_Product!$G$2:$G$4,MATCH(F54,Dim_Product!$A$2:$A$4,0))-INDEX(Dim_Product!$H$2:$H$4,MATCH(F54,Dim_Product!$A$2:$A$4,0)),P54&lt;=INDEX(Dim_Product!$G$2:$G$4,MATCH(F54,Dim_Product!$A$2:$A$4,0))+INDEX(Dim_Product!$H$2:$H$4,MATCH(F54,Dim_Product!$A$2:$A$4,0))),G54-H54,G54-H54-1)</f>
        <v>45</v>
      </c>
      <c r="R54" s="4">
        <f t="shared" si="4"/>
        <v>3</v>
      </c>
      <c r="S54" s="4">
        <f>INDEX(Dim_Product!$K$2:$K$4,MATCH(F54,Dim_Product!$A$2:$A$4,0))+0.32</f>
        <v>120.32</v>
      </c>
      <c r="T54" s="4">
        <f>IF(AND(S54&gt;=INDEX(Dim_Product!$K$2:$K$4,MATCH(F54,Dim_Product!$A$2:$A$4,0))-INDEX(Dim_Product!$L$2:$L$4,MATCH(F54,Dim_Product!$A$2:$A$4,0)),S54&lt;=INDEX(Dim_Product!$K$2:$K$4,MATCH(F54,Dim_Product!$A$2:$A$4,0))+INDEX(Dim_Product!$L$2:$L$4,MATCH(F54,Dim_Product!$A$2:$A$4,0))),G54-H54,G54-H54-1)</f>
        <v>45</v>
      </c>
      <c r="U54" s="4">
        <f t="shared" si="5"/>
        <v>3</v>
      </c>
      <c r="V54" s="4">
        <f t="shared" si="6"/>
        <v>6.25E-2</v>
      </c>
      <c r="W54" s="16">
        <f t="shared" si="7"/>
        <v>0.9375</v>
      </c>
    </row>
    <row r="55" spans="1:23" x14ac:dyDescent="0.25">
      <c r="A55" s="15" t="s">
        <v>556</v>
      </c>
      <c r="B55" s="4">
        <f>Fact_Production_Hourly!B55</f>
        <v>20260701</v>
      </c>
      <c r="C55" s="4">
        <f>Fact_Production_Hourly!C55</f>
        <v>7</v>
      </c>
      <c r="D55" s="4" t="str">
        <f>Fact_Production_Hourly!D55</f>
        <v>M5</v>
      </c>
      <c r="E55" s="4" t="str">
        <f>Fact_Production_Hourly!E55</f>
        <v>A-AM</v>
      </c>
      <c r="F55" s="4" t="str">
        <f>Fact_Production_Hourly!F55</f>
        <v>C</v>
      </c>
      <c r="G55" s="4">
        <f>INDEX(Dim_Machine!$D$2:$D$8,MATCH(D55,Dim_Machine!$A$2:$A$8,0))*2</f>
        <v>32</v>
      </c>
      <c r="H55" s="4">
        <f>ROUND(G55*0.0303,0)</f>
        <v>1</v>
      </c>
      <c r="I55" s="4">
        <f t="shared" si="0"/>
        <v>0</v>
      </c>
      <c r="J55" s="4">
        <f t="shared" si="1"/>
        <v>0</v>
      </c>
      <c r="K55" s="4">
        <f t="shared" si="2"/>
        <v>1</v>
      </c>
      <c r="L55" s="4" t="s">
        <v>509</v>
      </c>
      <c r="M55" s="4">
        <f>INDEX(Dim_Product!$C$2:$C$4,MATCH(F55,Dim_Product!$A$2:$A$4,0))+-0.92</f>
        <v>199.08</v>
      </c>
      <c r="N55" s="4">
        <f>IF(AND(M55&gt;=INDEX(Dim_Product!$C$2:$C$4,MATCH(F55,Dim_Product!$A$2:$A$4,0))-INDEX(Dim_Product!$D$2:$D$4,MATCH(F55,Dim_Product!$A$2:$A$4,0)),M55&lt;=INDEX(Dim_Product!$C$2:$C$4,MATCH(F55,Dim_Product!$A$2:$A$4,0))+INDEX(Dim_Product!$D$2:$D$4,MATCH(F55,Dim_Product!$A$2:$A$4,0))),G55-H55,G55-H55-1)</f>
        <v>31</v>
      </c>
      <c r="O55" s="4">
        <f t="shared" si="3"/>
        <v>1</v>
      </c>
      <c r="P55" s="4">
        <f>INDEX(Dim_Product!$G$2:$G$4,MATCH(F55,Dim_Product!$A$2:$A$4,0))+0.22</f>
        <v>65.22</v>
      </c>
      <c r="Q55" s="4">
        <f>IF(AND(P55&gt;=INDEX(Dim_Product!$G$2:$G$4,MATCH(F55,Dim_Product!$A$2:$A$4,0))-INDEX(Dim_Product!$H$2:$H$4,MATCH(F55,Dim_Product!$A$2:$A$4,0)),P55&lt;=INDEX(Dim_Product!$G$2:$G$4,MATCH(F55,Dim_Product!$A$2:$A$4,0))+INDEX(Dim_Product!$H$2:$H$4,MATCH(F55,Dim_Product!$A$2:$A$4,0))),G55-H55,G55-H55-1)</f>
        <v>31</v>
      </c>
      <c r="R55" s="4">
        <f t="shared" si="4"/>
        <v>1</v>
      </c>
      <c r="S55" s="4">
        <f>INDEX(Dim_Product!$K$2:$K$4,MATCH(F55,Dim_Product!$A$2:$A$4,0))+-0.34</f>
        <v>109.66</v>
      </c>
      <c r="T55" s="4">
        <f>IF(AND(S55&gt;=INDEX(Dim_Product!$K$2:$K$4,MATCH(F55,Dim_Product!$A$2:$A$4,0))-INDEX(Dim_Product!$L$2:$L$4,MATCH(F55,Dim_Product!$A$2:$A$4,0)),S55&lt;=INDEX(Dim_Product!$K$2:$K$4,MATCH(F55,Dim_Product!$A$2:$A$4,0))+INDEX(Dim_Product!$L$2:$L$4,MATCH(F55,Dim_Product!$A$2:$A$4,0))),G55-H55,G55-H55-1)</f>
        <v>31</v>
      </c>
      <c r="U55" s="4">
        <f t="shared" si="5"/>
        <v>1</v>
      </c>
      <c r="V55" s="4">
        <f t="shared" si="6"/>
        <v>3.125E-2</v>
      </c>
      <c r="W55" s="16">
        <f t="shared" si="7"/>
        <v>0.96875</v>
      </c>
    </row>
    <row r="56" spans="1:23" x14ac:dyDescent="0.25">
      <c r="A56" s="15" t="s">
        <v>557</v>
      </c>
      <c r="B56" s="4">
        <f>Fact_Production_Hourly!B56</f>
        <v>20260701</v>
      </c>
      <c r="C56" s="4">
        <f>Fact_Production_Hourly!C56</f>
        <v>7</v>
      </c>
      <c r="D56" s="4" t="str">
        <f>Fact_Production_Hourly!D56</f>
        <v>M6</v>
      </c>
      <c r="E56" s="4" t="str">
        <f>Fact_Production_Hourly!E56</f>
        <v>A-AM</v>
      </c>
      <c r="F56" s="4" t="str">
        <f>Fact_Production_Hourly!F56</f>
        <v>C</v>
      </c>
      <c r="G56" s="4">
        <f>INDEX(Dim_Machine!$D$2:$D$8,MATCH(D56,Dim_Machine!$A$2:$A$8,0))*2</f>
        <v>24</v>
      </c>
      <c r="H56" s="4">
        <f>ROUND(G56*0.0669,0)</f>
        <v>2</v>
      </c>
      <c r="I56" s="4">
        <f t="shared" si="0"/>
        <v>0</v>
      </c>
      <c r="J56" s="4">
        <f t="shared" si="1"/>
        <v>1</v>
      </c>
      <c r="K56" s="4">
        <f t="shared" si="2"/>
        <v>1</v>
      </c>
      <c r="L56" s="4" t="s">
        <v>509</v>
      </c>
      <c r="M56" s="4">
        <f>INDEX(Dim_Product!$C$2:$C$4,MATCH(F56,Dim_Product!$A$2:$A$4,0))+-0.47</f>
        <v>199.53</v>
      </c>
      <c r="N56" s="4">
        <f>IF(AND(M56&gt;=INDEX(Dim_Product!$C$2:$C$4,MATCH(F56,Dim_Product!$A$2:$A$4,0))-INDEX(Dim_Product!$D$2:$D$4,MATCH(F56,Dim_Product!$A$2:$A$4,0)),M56&lt;=INDEX(Dim_Product!$C$2:$C$4,MATCH(F56,Dim_Product!$A$2:$A$4,0))+INDEX(Dim_Product!$D$2:$D$4,MATCH(F56,Dim_Product!$A$2:$A$4,0))),G56-H56,G56-H56-1)</f>
        <v>22</v>
      </c>
      <c r="O56" s="4">
        <f t="shared" si="3"/>
        <v>2</v>
      </c>
      <c r="P56" s="4">
        <f>INDEX(Dim_Product!$G$2:$G$4,MATCH(F56,Dim_Product!$A$2:$A$4,0))+-0.17</f>
        <v>64.83</v>
      </c>
      <c r="Q56" s="4">
        <f>IF(AND(P56&gt;=INDEX(Dim_Product!$G$2:$G$4,MATCH(F56,Dim_Product!$A$2:$A$4,0))-INDEX(Dim_Product!$H$2:$H$4,MATCH(F56,Dim_Product!$A$2:$A$4,0)),P56&lt;=INDEX(Dim_Product!$G$2:$G$4,MATCH(F56,Dim_Product!$A$2:$A$4,0))+INDEX(Dim_Product!$H$2:$H$4,MATCH(F56,Dim_Product!$A$2:$A$4,0))),G56-H56,G56-H56-1)</f>
        <v>22</v>
      </c>
      <c r="R56" s="4">
        <f t="shared" si="4"/>
        <v>2</v>
      </c>
      <c r="S56" s="4">
        <f>INDEX(Dim_Product!$K$2:$K$4,MATCH(F56,Dim_Product!$A$2:$A$4,0))+0.06</f>
        <v>110.06</v>
      </c>
      <c r="T56" s="4">
        <f>IF(AND(S56&gt;=INDEX(Dim_Product!$K$2:$K$4,MATCH(F56,Dim_Product!$A$2:$A$4,0))-INDEX(Dim_Product!$L$2:$L$4,MATCH(F56,Dim_Product!$A$2:$A$4,0)),S56&lt;=INDEX(Dim_Product!$K$2:$K$4,MATCH(F56,Dim_Product!$A$2:$A$4,0))+INDEX(Dim_Product!$L$2:$L$4,MATCH(F56,Dim_Product!$A$2:$A$4,0))),G56-H56,G56-H56-1)</f>
        <v>22</v>
      </c>
      <c r="U56" s="4">
        <f t="shared" si="5"/>
        <v>2</v>
      </c>
      <c r="V56" s="4">
        <f t="shared" si="6"/>
        <v>8.3333333333333329E-2</v>
      </c>
      <c r="W56" s="16">
        <f t="shared" si="7"/>
        <v>0.91666666666666663</v>
      </c>
    </row>
    <row r="57" spans="1:23" x14ac:dyDescent="0.25">
      <c r="A57" s="15" t="s">
        <v>558</v>
      </c>
      <c r="B57" s="4">
        <f>Fact_Production_Hourly!B57</f>
        <v>20260701</v>
      </c>
      <c r="C57" s="4">
        <f>Fact_Production_Hourly!C57</f>
        <v>7</v>
      </c>
      <c r="D57" s="4" t="str">
        <f>Fact_Production_Hourly!D57</f>
        <v>M7</v>
      </c>
      <c r="E57" s="4" t="str">
        <f>Fact_Production_Hourly!E57</f>
        <v>A-AM</v>
      </c>
      <c r="F57" s="4" t="str">
        <f>Fact_Production_Hourly!F57</f>
        <v>C</v>
      </c>
      <c r="G57" s="4">
        <f>INDEX(Dim_Machine!$D$2:$D$8,MATCH(D57,Dim_Machine!$A$2:$A$8,0))*2</f>
        <v>48</v>
      </c>
      <c r="H57" s="4">
        <f>ROUND(G57*0.0471,0)</f>
        <v>2</v>
      </c>
      <c r="I57" s="4">
        <f t="shared" si="0"/>
        <v>0</v>
      </c>
      <c r="J57" s="4">
        <f t="shared" si="1"/>
        <v>1</v>
      </c>
      <c r="K57" s="4">
        <f t="shared" si="2"/>
        <v>1</v>
      </c>
      <c r="L57" s="4" t="s">
        <v>498</v>
      </c>
      <c r="M57" s="4">
        <f>INDEX(Dim_Product!$C$2:$C$4,MATCH(F57,Dim_Product!$A$2:$A$4,0))+0</f>
        <v>200</v>
      </c>
      <c r="N57" s="4">
        <f>IF(AND(M57&gt;=INDEX(Dim_Product!$C$2:$C$4,MATCH(F57,Dim_Product!$A$2:$A$4,0))-INDEX(Dim_Product!$D$2:$D$4,MATCH(F57,Dim_Product!$A$2:$A$4,0)),M57&lt;=INDEX(Dim_Product!$C$2:$C$4,MATCH(F57,Dim_Product!$A$2:$A$4,0))+INDEX(Dim_Product!$D$2:$D$4,MATCH(F57,Dim_Product!$A$2:$A$4,0))),G57-H57,G57-H57-1)</f>
        <v>46</v>
      </c>
      <c r="O57" s="4">
        <f t="shared" si="3"/>
        <v>2</v>
      </c>
      <c r="P57" s="4">
        <f>INDEX(Dim_Product!$G$2:$G$4,MATCH(F57,Dim_Product!$A$2:$A$4,0))+0.08</f>
        <v>65.08</v>
      </c>
      <c r="Q57" s="4">
        <f>IF(AND(P57&gt;=INDEX(Dim_Product!$G$2:$G$4,MATCH(F57,Dim_Product!$A$2:$A$4,0))-INDEX(Dim_Product!$H$2:$H$4,MATCH(F57,Dim_Product!$A$2:$A$4,0)),P57&lt;=INDEX(Dim_Product!$G$2:$G$4,MATCH(F57,Dim_Product!$A$2:$A$4,0))+INDEX(Dim_Product!$H$2:$H$4,MATCH(F57,Dim_Product!$A$2:$A$4,0))),G57-H57,G57-H57-1)</f>
        <v>46</v>
      </c>
      <c r="R57" s="4">
        <f t="shared" si="4"/>
        <v>2</v>
      </c>
      <c r="S57" s="4">
        <f>INDEX(Dim_Product!$K$2:$K$4,MATCH(F57,Dim_Product!$A$2:$A$4,0))+-0.17</f>
        <v>109.83</v>
      </c>
      <c r="T57" s="4">
        <f>IF(AND(S57&gt;=INDEX(Dim_Product!$K$2:$K$4,MATCH(F57,Dim_Product!$A$2:$A$4,0))-INDEX(Dim_Product!$L$2:$L$4,MATCH(F57,Dim_Product!$A$2:$A$4,0)),S57&lt;=INDEX(Dim_Product!$K$2:$K$4,MATCH(F57,Dim_Product!$A$2:$A$4,0))+INDEX(Dim_Product!$L$2:$L$4,MATCH(F57,Dim_Product!$A$2:$A$4,0))),G57-H57,G57-H57-1)</f>
        <v>46</v>
      </c>
      <c r="U57" s="4">
        <f t="shared" si="5"/>
        <v>2</v>
      </c>
      <c r="V57" s="4">
        <f t="shared" si="6"/>
        <v>4.1666666666666664E-2</v>
      </c>
      <c r="W57" s="16">
        <f t="shared" si="7"/>
        <v>0.95833333333333337</v>
      </c>
    </row>
    <row r="58" spans="1:23" x14ac:dyDescent="0.25">
      <c r="A58" s="15" t="s">
        <v>559</v>
      </c>
      <c r="B58" s="4">
        <f>Fact_Production_Hourly!B58</f>
        <v>20260701</v>
      </c>
      <c r="C58" s="4">
        <f>Fact_Production_Hourly!C58</f>
        <v>8</v>
      </c>
      <c r="D58" s="4" t="str">
        <f>Fact_Production_Hourly!D58</f>
        <v>M1</v>
      </c>
      <c r="E58" s="4" t="str">
        <f>Fact_Production_Hourly!E58</f>
        <v>A-AM</v>
      </c>
      <c r="F58" s="4" t="str">
        <f>Fact_Production_Hourly!F58</f>
        <v>C</v>
      </c>
      <c r="G58" s="4">
        <f>INDEX(Dim_Machine!$D$2:$D$8,MATCH(D58,Dim_Machine!$A$2:$A$8,0))*2</f>
        <v>32</v>
      </c>
      <c r="H58" s="4">
        <f>ROUND(G58*0.0674,0)</f>
        <v>2</v>
      </c>
      <c r="I58" s="4">
        <f t="shared" si="0"/>
        <v>0</v>
      </c>
      <c r="J58" s="4">
        <f t="shared" si="1"/>
        <v>1</v>
      </c>
      <c r="K58" s="4">
        <f t="shared" si="2"/>
        <v>1</v>
      </c>
      <c r="L58" s="4" t="s">
        <v>503</v>
      </c>
      <c r="M58" s="4">
        <f>INDEX(Dim_Product!$C$2:$C$4,MATCH(F58,Dim_Product!$A$2:$A$4,0))+-0.51</f>
        <v>199.49</v>
      </c>
      <c r="N58" s="4">
        <f>IF(AND(M58&gt;=INDEX(Dim_Product!$C$2:$C$4,MATCH(F58,Dim_Product!$A$2:$A$4,0))-INDEX(Dim_Product!$D$2:$D$4,MATCH(F58,Dim_Product!$A$2:$A$4,0)),M58&lt;=INDEX(Dim_Product!$C$2:$C$4,MATCH(F58,Dim_Product!$A$2:$A$4,0))+INDEX(Dim_Product!$D$2:$D$4,MATCH(F58,Dim_Product!$A$2:$A$4,0))),G58-H58,G58-H58-1)</f>
        <v>30</v>
      </c>
      <c r="O58" s="4">
        <f t="shared" si="3"/>
        <v>2</v>
      </c>
      <c r="P58" s="4">
        <f>INDEX(Dim_Product!$G$2:$G$4,MATCH(F58,Dim_Product!$A$2:$A$4,0))+0.18</f>
        <v>65.180000000000007</v>
      </c>
      <c r="Q58" s="4">
        <f>IF(AND(P58&gt;=INDEX(Dim_Product!$G$2:$G$4,MATCH(F58,Dim_Product!$A$2:$A$4,0))-INDEX(Dim_Product!$H$2:$H$4,MATCH(F58,Dim_Product!$A$2:$A$4,0)),P58&lt;=INDEX(Dim_Product!$G$2:$G$4,MATCH(F58,Dim_Product!$A$2:$A$4,0))+INDEX(Dim_Product!$H$2:$H$4,MATCH(F58,Dim_Product!$A$2:$A$4,0))),G58-H58,G58-H58-1)</f>
        <v>30</v>
      </c>
      <c r="R58" s="4">
        <f t="shared" si="4"/>
        <v>2</v>
      </c>
      <c r="S58" s="4">
        <f>INDEX(Dim_Product!$K$2:$K$4,MATCH(F58,Dim_Product!$A$2:$A$4,0))+-0.08</f>
        <v>109.92</v>
      </c>
      <c r="T58" s="4">
        <f>IF(AND(S58&gt;=INDEX(Dim_Product!$K$2:$K$4,MATCH(F58,Dim_Product!$A$2:$A$4,0))-INDEX(Dim_Product!$L$2:$L$4,MATCH(F58,Dim_Product!$A$2:$A$4,0)),S58&lt;=INDEX(Dim_Product!$K$2:$K$4,MATCH(F58,Dim_Product!$A$2:$A$4,0))+INDEX(Dim_Product!$L$2:$L$4,MATCH(F58,Dim_Product!$A$2:$A$4,0))),G58-H58,G58-H58-1)</f>
        <v>30</v>
      </c>
      <c r="U58" s="4">
        <f t="shared" si="5"/>
        <v>2</v>
      </c>
      <c r="V58" s="4">
        <f t="shared" si="6"/>
        <v>6.25E-2</v>
      </c>
      <c r="W58" s="16">
        <f t="shared" si="7"/>
        <v>0.9375</v>
      </c>
    </row>
    <row r="59" spans="1:23" x14ac:dyDescent="0.25">
      <c r="A59" s="15" t="s">
        <v>560</v>
      </c>
      <c r="B59" s="4">
        <f>Fact_Production_Hourly!B59</f>
        <v>20260701</v>
      </c>
      <c r="C59" s="4">
        <f>Fact_Production_Hourly!C59</f>
        <v>8</v>
      </c>
      <c r="D59" s="4" t="str">
        <f>Fact_Production_Hourly!D59</f>
        <v>M2</v>
      </c>
      <c r="E59" s="4" t="str">
        <f>Fact_Production_Hourly!E59</f>
        <v>A-AM</v>
      </c>
      <c r="F59" s="4" t="str">
        <f>Fact_Production_Hourly!F59</f>
        <v>A</v>
      </c>
      <c r="G59" s="4">
        <f>INDEX(Dim_Machine!$D$2:$D$8,MATCH(D59,Dim_Machine!$A$2:$A$8,0))*2</f>
        <v>48</v>
      </c>
      <c r="H59" s="4">
        <f>ROUND(G59*0.0372,0)</f>
        <v>2</v>
      </c>
      <c r="I59" s="4">
        <f t="shared" si="0"/>
        <v>0</v>
      </c>
      <c r="J59" s="4">
        <f t="shared" si="1"/>
        <v>1</v>
      </c>
      <c r="K59" s="4">
        <f t="shared" si="2"/>
        <v>1</v>
      </c>
      <c r="L59" s="4" t="s">
        <v>520</v>
      </c>
      <c r="M59" s="4">
        <f>INDEX(Dim_Product!$C$2:$C$4,MATCH(F59,Dim_Product!$A$2:$A$4,0))+-0.88</f>
        <v>249.12</v>
      </c>
      <c r="N59" s="4">
        <f>IF(AND(M59&gt;=INDEX(Dim_Product!$C$2:$C$4,MATCH(F59,Dim_Product!$A$2:$A$4,0))-INDEX(Dim_Product!$D$2:$D$4,MATCH(F59,Dim_Product!$A$2:$A$4,0)),M59&lt;=INDEX(Dim_Product!$C$2:$C$4,MATCH(F59,Dim_Product!$A$2:$A$4,0))+INDEX(Dim_Product!$D$2:$D$4,MATCH(F59,Dim_Product!$A$2:$A$4,0))),G59-H59,G59-H59-1)</f>
        <v>46</v>
      </c>
      <c r="O59" s="4">
        <f t="shared" si="3"/>
        <v>2</v>
      </c>
      <c r="P59" s="4">
        <f>INDEX(Dim_Product!$G$2:$G$4,MATCH(F59,Dim_Product!$A$2:$A$4,0))+-0.04</f>
        <v>69.959999999999994</v>
      </c>
      <c r="Q59" s="4">
        <f>IF(AND(P59&gt;=INDEX(Dim_Product!$G$2:$G$4,MATCH(F59,Dim_Product!$A$2:$A$4,0))-INDEX(Dim_Product!$H$2:$H$4,MATCH(F59,Dim_Product!$A$2:$A$4,0)),P59&lt;=INDEX(Dim_Product!$G$2:$G$4,MATCH(F59,Dim_Product!$A$2:$A$4,0))+INDEX(Dim_Product!$H$2:$H$4,MATCH(F59,Dim_Product!$A$2:$A$4,0))),G59-H59,G59-H59-1)</f>
        <v>46</v>
      </c>
      <c r="R59" s="4">
        <f t="shared" si="4"/>
        <v>2</v>
      </c>
      <c r="S59" s="4">
        <f>INDEX(Dim_Product!$K$2:$K$4,MATCH(F59,Dim_Product!$A$2:$A$4,0))+-0.01</f>
        <v>119.99</v>
      </c>
      <c r="T59" s="4">
        <f>IF(AND(S59&gt;=INDEX(Dim_Product!$K$2:$K$4,MATCH(F59,Dim_Product!$A$2:$A$4,0))-INDEX(Dim_Product!$L$2:$L$4,MATCH(F59,Dim_Product!$A$2:$A$4,0)),S59&lt;=INDEX(Dim_Product!$K$2:$K$4,MATCH(F59,Dim_Product!$A$2:$A$4,0))+INDEX(Dim_Product!$L$2:$L$4,MATCH(F59,Dim_Product!$A$2:$A$4,0))),G59-H59,G59-H59-1)</f>
        <v>46</v>
      </c>
      <c r="U59" s="4">
        <f t="shared" si="5"/>
        <v>2</v>
      </c>
      <c r="V59" s="4">
        <f t="shared" si="6"/>
        <v>4.1666666666666664E-2</v>
      </c>
      <c r="W59" s="16">
        <f t="shared" si="7"/>
        <v>0.95833333333333337</v>
      </c>
    </row>
    <row r="60" spans="1:23" x14ac:dyDescent="0.25">
      <c r="A60" s="15" t="s">
        <v>561</v>
      </c>
      <c r="B60" s="4">
        <f>Fact_Production_Hourly!B60</f>
        <v>20260701</v>
      </c>
      <c r="C60" s="4">
        <f>Fact_Production_Hourly!C60</f>
        <v>8</v>
      </c>
      <c r="D60" s="4" t="str">
        <f>Fact_Production_Hourly!D60</f>
        <v>M3</v>
      </c>
      <c r="E60" s="4" t="str">
        <f>Fact_Production_Hourly!E60</f>
        <v>A-AM</v>
      </c>
      <c r="F60" s="4" t="str">
        <f>Fact_Production_Hourly!F60</f>
        <v>B</v>
      </c>
      <c r="G60" s="4">
        <f>INDEX(Dim_Machine!$D$2:$D$8,MATCH(D60,Dim_Machine!$A$2:$A$8,0))*2</f>
        <v>24</v>
      </c>
      <c r="H60" s="4">
        <f>ROUND(G60*0.0222,0)</f>
        <v>1</v>
      </c>
      <c r="I60" s="4">
        <f t="shared" si="0"/>
        <v>0</v>
      </c>
      <c r="J60" s="4">
        <f t="shared" si="1"/>
        <v>0</v>
      </c>
      <c r="K60" s="4">
        <f t="shared" si="2"/>
        <v>1</v>
      </c>
      <c r="L60" s="4" t="s">
        <v>509</v>
      </c>
      <c r="M60" s="4">
        <f>INDEX(Dim_Product!$C$2:$C$4,MATCH(F60,Dim_Product!$A$2:$A$4,0))+-0.71</f>
        <v>299.29000000000002</v>
      </c>
      <c r="N60" s="4">
        <f>IF(AND(M60&gt;=INDEX(Dim_Product!$C$2:$C$4,MATCH(F60,Dim_Product!$A$2:$A$4,0))-INDEX(Dim_Product!$D$2:$D$4,MATCH(F60,Dim_Product!$A$2:$A$4,0)),M60&lt;=INDEX(Dim_Product!$C$2:$C$4,MATCH(F60,Dim_Product!$A$2:$A$4,0))+INDEX(Dim_Product!$D$2:$D$4,MATCH(F60,Dim_Product!$A$2:$A$4,0))),G60-H60,G60-H60-1)</f>
        <v>23</v>
      </c>
      <c r="O60" s="4">
        <f t="shared" si="3"/>
        <v>1</v>
      </c>
      <c r="P60" s="4">
        <f>INDEX(Dim_Product!$G$2:$G$4,MATCH(F60,Dim_Product!$A$2:$A$4,0))+0.22</f>
        <v>75.22</v>
      </c>
      <c r="Q60" s="4">
        <f>IF(AND(P60&gt;=INDEX(Dim_Product!$G$2:$G$4,MATCH(F60,Dim_Product!$A$2:$A$4,0))-INDEX(Dim_Product!$H$2:$H$4,MATCH(F60,Dim_Product!$A$2:$A$4,0)),P60&lt;=INDEX(Dim_Product!$G$2:$G$4,MATCH(F60,Dim_Product!$A$2:$A$4,0))+INDEX(Dim_Product!$H$2:$H$4,MATCH(F60,Dim_Product!$A$2:$A$4,0))),G60-H60,G60-H60-1)</f>
        <v>23</v>
      </c>
      <c r="R60" s="4">
        <f t="shared" si="4"/>
        <v>1</v>
      </c>
      <c r="S60" s="4">
        <f>INDEX(Dim_Product!$K$2:$K$4,MATCH(F60,Dim_Product!$A$2:$A$4,0))+-0.14</f>
        <v>129.86000000000001</v>
      </c>
      <c r="T60" s="4">
        <f>IF(AND(S60&gt;=INDEX(Dim_Product!$K$2:$K$4,MATCH(F60,Dim_Product!$A$2:$A$4,0))-INDEX(Dim_Product!$L$2:$L$4,MATCH(F60,Dim_Product!$A$2:$A$4,0)),S60&lt;=INDEX(Dim_Product!$K$2:$K$4,MATCH(F60,Dim_Product!$A$2:$A$4,0))+INDEX(Dim_Product!$L$2:$L$4,MATCH(F60,Dim_Product!$A$2:$A$4,0))),G60-H60,G60-H60-1)</f>
        <v>23</v>
      </c>
      <c r="U60" s="4">
        <f t="shared" si="5"/>
        <v>1</v>
      </c>
      <c r="V60" s="4">
        <f t="shared" si="6"/>
        <v>4.1666666666666664E-2</v>
      </c>
      <c r="W60" s="16">
        <f t="shared" si="7"/>
        <v>0.95833333333333337</v>
      </c>
    </row>
    <row r="61" spans="1:23" x14ac:dyDescent="0.25">
      <c r="A61" s="15" t="s">
        <v>562</v>
      </c>
      <c r="B61" s="4">
        <f>Fact_Production_Hourly!B61</f>
        <v>20260701</v>
      </c>
      <c r="C61" s="4">
        <f>Fact_Production_Hourly!C61</f>
        <v>8</v>
      </c>
      <c r="D61" s="4" t="str">
        <f>Fact_Production_Hourly!D61</f>
        <v>M4</v>
      </c>
      <c r="E61" s="4" t="str">
        <f>Fact_Production_Hourly!E61</f>
        <v>A-AM</v>
      </c>
      <c r="F61" s="4" t="str">
        <f>Fact_Production_Hourly!F61</f>
        <v>A</v>
      </c>
      <c r="G61" s="4">
        <f>INDEX(Dim_Machine!$D$2:$D$8,MATCH(D61,Dim_Machine!$A$2:$A$8,0))*2</f>
        <v>48</v>
      </c>
      <c r="H61" s="4">
        <f>ROUND(G61*0.0693,0)</f>
        <v>3</v>
      </c>
      <c r="I61" s="4">
        <f t="shared" si="0"/>
        <v>0</v>
      </c>
      <c r="J61" s="4">
        <f t="shared" si="1"/>
        <v>1</v>
      </c>
      <c r="K61" s="4">
        <f t="shared" si="2"/>
        <v>2</v>
      </c>
      <c r="L61" s="4" t="s">
        <v>517</v>
      </c>
      <c r="M61" s="4">
        <f>INDEX(Dim_Product!$C$2:$C$4,MATCH(F61,Dim_Product!$A$2:$A$4,0))+0.95</f>
        <v>250.95</v>
      </c>
      <c r="N61" s="4">
        <f>IF(AND(M61&gt;=INDEX(Dim_Product!$C$2:$C$4,MATCH(F61,Dim_Product!$A$2:$A$4,0))-INDEX(Dim_Product!$D$2:$D$4,MATCH(F61,Dim_Product!$A$2:$A$4,0)),M61&lt;=INDEX(Dim_Product!$C$2:$C$4,MATCH(F61,Dim_Product!$A$2:$A$4,0))+INDEX(Dim_Product!$D$2:$D$4,MATCH(F61,Dim_Product!$A$2:$A$4,0))),G61-H61,G61-H61-1)</f>
        <v>45</v>
      </c>
      <c r="O61" s="4">
        <f t="shared" si="3"/>
        <v>3</v>
      </c>
      <c r="P61" s="4">
        <f>INDEX(Dim_Product!$G$2:$G$4,MATCH(F61,Dim_Product!$A$2:$A$4,0))+-0.22</f>
        <v>69.78</v>
      </c>
      <c r="Q61" s="4">
        <f>IF(AND(P61&gt;=INDEX(Dim_Product!$G$2:$G$4,MATCH(F61,Dim_Product!$A$2:$A$4,0))-INDEX(Dim_Product!$H$2:$H$4,MATCH(F61,Dim_Product!$A$2:$A$4,0)),P61&lt;=INDEX(Dim_Product!$G$2:$G$4,MATCH(F61,Dim_Product!$A$2:$A$4,0))+INDEX(Dim_Product!$H$2:$H$4,MATCH(F61,Dim_Product!$A$2:$A$4,0))),G61-H61,G61-H61-1)</f>
        <v>45</v>
      </c>
      <c r="R61" s="4">
        <f t="shared" si="4"/>
        <v>3</v>
      </c>
      <c r="S61" s="4">
        <f>INDEX(Dim_Product!$K$2:$K$4,MATCH(F61,Dim_Product!$A$2:$A$4,0))+-0.1</f>
        <v>119.9</v>
      </c>
      <c r="T61" s="4">
        <f>IF(AND(S61&gt;=INDEX(Dim_Product!$K$2:$K$4,MATCH(F61,Dim_Product!$A$2:$A$4,0))-INDEX(Dim_Product!$L$2:$L$4,MATCH(F61,Dim_Product!$A$2:$A$4,0)),S61&lt;=INDEX(Dim_Product!$K$2:$K$4,MATCH(F61,Dim_Product!$A$2:$A$4,0))+INDEX(Dim_Product!$L$2:$L$4,MATCH(F61,Dim_Product!$A$2:$A$4,0))),G61-H61,G61-H61-1)</f>
        <v>45</v>
      </c>
      <c r="U61" s="4">
        <f t="shared" si="5"/>
        <v>3</v>
      </c>
      <c r="V61" s="4">
        <f t="shared" si="6"/>
        <v>6.25E-2</v>
      </c>
      <c r="W61" s="16">
        <f t="shared" si="7"/>
        <v>0.9375</v>
      </c>
    </row>
    <row r="62" spans="1:23" x14ac:dyDescent="0.25">
      <c r="A62" s="15" t="s">
        <v>563</v>
      </c>
      <c r="B62" s="4">
        <f>Fact_Production_Hourly!B62</f>
        <v>20260701</v>
      </c>
      <c r="C62" s="4">
        <f>Fact_Production_Hourly!C62</f>
        <v>8</v>
      </c>
      <c r="D62" s="4" t="str">
        <f>Fact_Production_Hourly!D62</f>
        <v>M5</v>
      </c>
      <c r="E62" s="4" t="str">
        <f>Fact_Production_Hourly!E62</f>
        <v>A-AM</v>
      </c>
      <c r="F62" s="4" t="str">
        <f>Fact_Production_Hourly!F62</f>
        <v>C</v>
      </c>
      <c r="G62" s="4">
        <f>INDEX(Dim_Machine!$D$2:$D$8,MATCH(D62,Dim_Machine!$A$2:$A$8,0))*2</f>
        <v>32</v>
      </c>
      <c r="H62" s="4">
        <f>ROUND(G62*0.0437,0)</f>
        <v>1</v>
      </c>
      <c r="I62" s="4">
        <f t="shared" si="0"/>
        <v>0</v>
      </c>
      <c r="J62" s="4">
        <f t="shared" si="1"/>
        <v>0</v>
      </c>
      <c r="K62" s="4">
        <f t="shared" si="2"/>
        <v>1</v>
      </c>
      <c r="L62" s="4" t="s">
        <v>517</v>
      </c>
      <c r="M62" s="4">
        <f>INDEX(Dim_Product!$C$2:$C$4,MATCH(F62,Dim_Product!$A$2:$A$4,0))+-0.52</f>
        <v>199.48</v>
      </c>
      <c r="N62" s="4">
        <f>IF(AND(M62&gt;=INDEX(Dim_Product!$C$2:$C$4,MATCH(F62,Dim_Product!$A$2:$A$4,0))-INDEX(Dim_Product!$D$2:$D$4,MATCH(F62,Dim_Product!$A$2:$A$4,0)),M62&lt;=INDEX(Dim_Product!$C$2:$C$4,MATCH(F62,Dim_Product!$A$2:$A$4,0))+INDEX(Dim_Product!$D$2:$D$4,MATCH(F62,Dim_Product!$A$2:$A$4,0))),G62-H62,G62-H62-1)</f>
        <v>31</v>
      </c>
      <c r="O62" s="4">
        <f t="shared" si="3"/>
        <v>1</v>
      </c>
      <c r="P62" s="4">
        <f>INDEX(Dim_Product!$G$2:$G$4,MATCH(F62,Dim_Product!$A$2:$A$4,0))+-0.23</f>
        <v>64.77</v>
      </c>
      <c r="Q62" s="4">
        <f>IF(AND(P62&gt;=INDEX(Dim_Product!$G$2:$G$4,MATCH(F62,Dim_Product!$A$2:$A$4,0))-INDEX(Dim_Product!$H$2:$H$4,MATCH(F62,Dim_Product!$A$2:$A$4,0)),P62&lt;=INDEX(Dim_Product!$G$2:$G$4,MATCH(F62,Dim_Product!$A$2:$A$4,0))+INDEX(Dim_Product!$H$2:$H$4,MATCH(F62,Dim_Product!$A$2:$A$4,0))),G62-H62,G62-H62-1)</f>
        <v>31</v>
      </c>
      <c r="R62" s="4">
        <f t="shared" si="4"/>
        <v>1</v>
      </c>
      <c r="S62" s="4">
        <f>INDEX(Dim_Product!$K$2:$K$4,MATCH(F62,Dim_Product!$A$2:$A$4,0))+-0.04</f>
        <v>109.96</v>
      </c>
      <c r="T62" s="4">
        <f>IF(AND(S62&gt;=INDEX(Dim_Product!$K$2:$K$4,MATCH(F62,Dim_Product!$A$2:$A$4,0))-INDEX(Dim_Product!$L$2:$L$4,MATCH(F62,Dim_Product!$A$2:$A$4,0)),S62&lt;=INDEX(Dim_Product!$K$2:$K$4,MATCH(F62,Dim_Product!$A$2:$A$4,0))+INDEX(Dim_Product!$L$2:$L$4,MATCH(F62,Dim_Product!$A$2:$A$4,0))),G62-H62,G62-H62-1)</f>
        <v>31</v>
      </c>
      <c r="U62" s="4">
        <f t="shared" si="5"/>
        <v>1</v>
      </c>
      <c r="V62" s="4">
        <f t="shared" si="6"/>
        <v>3.125E-2</v>
      </c>
      <c r="W62" s="16">
        <f t="shared" si="7"/>
        <v>0.96875</v>
      </c>
    </row>
    <row r="63" spans="1:23" x14ac:dyDescent="0.25">
      <c r="A63" s="15" t="s">
        <v>564</v>
      </c>
      <c r="B63" s="4">
        <f>Fact_Production_Hourly!B63</f>
        <v>20260701</v>
      </c>
      <c r="C63" s="4">
        <f>Fact_Production_Hourly!C63</f>
        <v>8</v>
      </c>
      <c r="D63" s="4" t="str">
        <f>Fact_Production_Hourly!D63</f>
        <v>M6</v>
      </c>
      <c r="E63" s="4" t="str">
        <f>Fact_Production_Hourly!E63</f>
        <v>A-AM</v>
      </c>
      <c r="F63" s="4" t="str">
        <f>Fact_Production_Hourly!F63</f>
        <v>C</v>
      </c>
      <c r="G63" s="4">
        <f>INDEX(Dim_Machine!$D$2:$D$8,MATCH(D63,Dim_Machine!$A$2:$A$8,0))*2</f>
        <v>24</v>
      </c>
      <c r="H63" s="4">
        <f>ROUND(G63*0.0185,0)</f>
        <v>0</v>
      </c>
      <c r="I63" s="4">
        <f t="shared" si="0"/>
        <v>0</v>
      </c>
      <c r="J63" s="4">
        <f t="shared" si="1"/>
        <v>0</v>
      </c>
      <c r="K63" s="4">
        <f t="shared" si="2"/>
        <v>0</v>
      </c>
      <c r="L63" s="4" t="s">
        <v>498</v>
      </c>
      <c r="M63" s="4">
        <f>INDEX(Dim_Product!$C$2:$C$4,MATCH(F63,Dim_Product!$A$2:$A$4,0))+-0.42</f>
        <v>199.58</v>
      </c>
      <c r="N63" s="4">
        <f>IF(AND(M63&gt;=INDEX(Dim_Product!$C$2:$C$4,MATCH(F63,Dim_Product!$A$2:$A$4,0))-INDEX(Dim_Product!$D$2:$D$4,MATCH(F63,Dim_Product!$A$2:$A$4,0)),M63&lt;=INDEX(Dim_Product!$C$2:$C$4,MATCH(F63,Dim_Product!$A$2:$A$4,0))+INDEX(Dim_Product!$D$2:$D$4,MATCH(F63,Dim_Product!$A$2:$A$4,0))),G63-H63,G63-H63-1)</f>
        <v>24</v>
      </c>
      <c r="O63" s="4">
        <f t="shared" si="3"/>
        <v>0</v>
      </c>
      <c r="P63" s="4">
        <f>INDEX(Dim_Product!$G$2:$G$4,MATCH(F63,Dim_Product!$A$2:$A$4,0))+-0.07</f>
        <v>64.930000000000007</v>
      </c>
      <c r="Q63" s="4">
        <f>IF(AND(P63&gt;=INDEX(Dim_Product!$G$2:$G$4,MATCH(F63,Dim_Product!$A$2:$A$4,0))-INDEX(Dim_Product!$H$2:$H$4,MATCH(F63,Dim_Product!$A$2:$A$4,0)),P63&lt;=INDEX(Dim_Product!$G$2:$G$4,MATCH(F63,Dim_Product!$A$2:$A$4,0))+INDEX(Dim_Product!$H$2:$H$4,MATCH(F63,Dim_Product!$A$2:$A$4,0))),G63-H63,G63-H63-1)</f>
        <v>24</v>
      </c>
      <c r="R63" s="4">
        <f t="shared" si="4"/>
        <v>0</v>
      </c>
      <c r="S63" s="4">
        <f>INDEX(Dim_Product!$K$2:$K$4,MATCH(F63,Dim_Product!$A$2:$A$4,0))+0.09</f>
        <v>110.09</v>
      </c>
      <c r="T63" s="4">
        <f>IF(AND(S63&gt;=INDEX(Dim_Product!$K$2:$K$4,MATCH(F63,Dim_Product!$A$2:$A$4,0))-INDEX(Dim_Product!$L$2:$L$4,MATCH(F63,Dim_Product!$A$2:$A$4,0)),S63&lt;=INDEX(Dim_Product!$K$2:$K$4,MATCH(F63,Dim_Product!$A$2:$A$4,0))+INDEX(Dim_Product!$L$2:$L$4,MATCH(F63,Dim_Product!$A$2:$A$4,0))),G63-H63,G63-H63-1)</f>
        <v>24</v>
      </c>
      <c r="U63" s="4">
        <f t="shared" si="5"/>
        <v>0</v>
      </c>
      <c r="V63" s="4">
        <f t="shared" si="6"/>
        <v>0</v>
      </c>
      <c r="W63" s="16">
        <f t="shared" si="7"/>
        <v>1</v>
      </c>
    </row>
    <row r="64" spans="1:23" x14ac:dyDescent="0.25">
      <c r="A64" s="15" t="s">
        <v>565</v>
      </c>
      <c r="B64" s="4">
        <f>Fact_Production_Hourly!B64</f>
        <v>20260701</v>
      </c>
      <c r="C64" s="4">
        <f>Fact_Production_Hourly!C64</f>
        <v>8</v>
      </c>
      <c r="D64" s="4" t="str">
        <f>Fact_Production_Hourly!D64</f>
        <v>M7</v>
      </c>
      <c r="E64" s="4" t="str">
        <f>Fact_Production_Hourly!E64</f>
        <v>A-AM</v>
      </c>
      <c r="F64" s="4" t="str">
        <f>Fact_Production_Hourly!F64</f>
        <v>C</v>
      </c>
      <c r="G64" s="4">
        <f>INDEX(Dim_Machine!$D$2:$D$8,MATCH(D64,Dim_Machine!$A$2:$A$8,0))*2</f>
        <v>48</v>
      </c>
      <c r="H64" s="4">
        <f>ROUND(G64*0.0249,0)</f>
        <v>1</v>
      </c>
      <c r="I64" s="4">
        <f t="shared" si="0"/>
        <v>0</v>
      </c>
      <c r="J64" s="4">
        <f t="shared" si="1"/>
        <v>0</v>
      </c>
      <c r="K64" s="4">
        <f t="shared" si="2"/>
        <v>1</v>
      </c>
      <c r="L64" s="4" t="s">
        <v>500</v>
      </c>
      <c r="M64" s="4">
        <f>INDEX(Dim_Product!$C$2:$C$4,MATCH(F64,Dim_Product!$A$2:$A$4,0))+0.63</f>
        <v>200.63</v>
      </c>
      <c r="N64" s="4">
        <f>IF(AND(M64&gt;=INDEX(Dim_Product!$C$2:$C$4,MATCH(F64,Dim_Product!$A$2:$A$4,0))-INDEX(Dim_Product!$D$2:$D$4,MATCH(F64,Dim_Product!$A$2:$A$4,0)),M64&lt;=INDEX(Dim_Product!$C$2:$C$4,MATCH(F64,Dim_Product!$A$2:$A$4,0))+INDEX(Dim_Product!$D$2:$D$4,MATCH(F64,Dim_Product!$A$2:$A$4,0))),G64-H64,G64-H64-1)</f>
        <v>47</v>
      </c>
      <c r="O64" s="4">
        <f t="shared" si="3"/>
        <v>1</v>
      </c>
      <c r="P64" s="4">
        <f>INDEX(Dim_Product!$G$2:$G$4,MATCH(F64,Dim_Product!$A$2:$A$4,0))+0.26</f>
        <v>65.260000000000005</v>
      </c>
      <c r="Q64" s="4">
        <f>IF(AND(P64&gt;=INDEX(Dim_Product!$G$2:$G$4,MATCH(F64,Dim_Product!$A$2:$A$4,0))-INDEX(Dim_Product!$H$2:$H$4,MATCH(F64,Dim_Product!$A$2:$A$4,0)),P64&lt;=INDEX(Dim_Product!$G$2:$G$4,MATCH(F64,Dim_Product!$A$2:$A$4,0))+INDEX(Dim_Product!$H$2:$H$4,MATCH(F64,Dim_Product!$A$2:$A$4,0))),G64-H64,G64-H64-1)</f>
        <v>47</v>
      </c>
      <c r="R64" s="4">
        <f t="shared" si="4"/>
        <v>1</v>
      </c>
      <c r="S64" s="4">
        <f>INDEX(Dim_Product!$K$2:$K$4,MATCH(F64,Dim_Product!$A$2:$A$4,0))+0.18</f>
        <v>110.18</v>
      </c>
      <c r="T64" s="4">
        <f>IF(AND(S64&gt;=INDEX(Dim_Product!$K$2:$K$4,MATCH(F64,Dim_Product!$A$2:$A$4,0))-INDEX(Dim_Product!$L$2:$L$4,MATCH(F64,Dim_Product!$A$2:$A$4,0)),S64&lt;=INDEX(Dim_Product!$K$2:$K$4,MATCH(F64,Dim_Product!$A$2:$A$4,0))+INDEX(Dim_Product!$L$2:$L$4,MATCH(F64,Dim_Product!$A$2:$A$4,0))),G64-H64,G64-H64-1)</f>
        <v>47</v>
      </c>
      <c r="U64" s="4">
        <f t="shared" si="5"/>
        <v>1</v>
      </c>
      <c r="V64" s="4">
        <f t="shared" si="6"/>
        <v>2.0833333333333332E-2</v>
      </c>
      <c r="W64" s="16">
        <f t="shared" si="7"/>
        <v>0.97916666666666663</v>
      </c>
    </row>
    <row r="65" spans="1:23" x14ac:dyDescent="0.25">
      <c r="A65" s="15" t="s">
        <v>566</v>
      </c>
      <c r="B65" s="4">
        <f>Fact_Production_Hourly!B65</f>
        <v>20260701</v>
      </c>
      <c r="C65" s="4">
        <f>Fact_Production_Hourly!C65</f>
        <v>9</v>
      </c>
      <c r="D65" s="4" t="str">
        <f>Fact_Production_Hourly!D65</f>
        <v>M1</v>
      </c>
      <c r="E65" s="4" t="str">
        <f>Fact_Production_Hourly!E65</f>
        <v>A-AM</v>
      </c>
      <c r="F65" s="4" t="str">
        <f>Fact_Production_Hourly!F65</f>
        <v>C</v>
      </c>
      <c r="G65" s="4">
        <f>INDEX(Dim_Machine!$D$2:$D$8,MATCH(D65,Dim_Machine!$A$2:$A$8,0))*2</f>
        <v>32</v>
      </c>
      <c r="H65" s="4">
        <f>ROUND(G65*0.0214,0)</f>
        <v>1</v>
      </c>
      <c r="I65" s="4">
        <f t="shared" si="0"/>
        <v>0</v>
      </c>
      <c r="J65" s="4">
        <f t="shared" si="1"/>
        <v>0</v>
      </c>
      <c r="K65" s="4">
        <f t="shared" si="2"/>
        <v>1</v>
      </c>
      <c r="L65" s="4" t="s">
        <v>500</v>
      </c>
      <c r="M65" s="4">
        <f>INDEX(Dim_Product!$C$2:$C$4,MATCH(F65,Dim_Product!$A$2:$A$4,0))+0</f>
        <v>200</v>
      </c>
      <c r="N65" s="4">
        <f>IF(AND(M65&gt;=INDEX(Dim_Product!$C$2:$C$4,MATCH(F65,Dim_Product!$A$2:$A$4,0))-INDEX(Dim_Product!$D$2:$D$4,MATCH(F65,Dim_Product!$A$2:$A$4,0)),M65&lt;=INDEX(Dim_Product!$C$2:$C$4,MATCH(F65,Dim_Product!$A$2:$A$4,0))+INDEX(Dim_Product!$D$2:$D$4,MATCH(F65,Dim_Product!$A$2:$A$4,0))),G65-H65,G65-H65-1)</f>
        <v>31</v>
      </c>
      <c r="O65" s="4">
        <f t="shared" si="3"/>
        <v>1</v>
      </c>
      <c r="P65" s="4">
        <f>INDEX(Dim_Product!$G$2:$G$4,MATCH(F65,Dim_Product!$A$2:$A$4,0))+0.01</f>
        <v>65.010000000000005</v>
      </c>
      <c r="Q65" s="4">
        <f>IF(AND(P65&gt;=INDEX(Dim_Product!$G$2:$G$4,MATCH(F65,Dim_Product!$A$2:$A$4,0))-INDEX(Dim_Product!$H$2:$H$4,MATCH(F65,Dim_Product!$A$2:$A$4,0)),P65&lt;=INDEX(Dim_Product!$G$2:$G$4,MATCH(F65,Dim_Product!$A$2:$A$4,0))+INDEX(Dim_Product!$H$2:$H$4,MATCH(F65,Dim_Product!$A$2:$A$4,0))),G65-H65,G65-H65-1)</f>
        <v>31</v>
      </c>
      <c r="R65" s="4">
        <f t="shared" si="4"/>
        <v>1</v>
      </c>
      <c r="S65" s="4">
        <f>INDEX(Dim_Product!$K$2:$K$4,MATCH(F65,Dim_Product!$A$2:$A$4,0))+0</f>
        <v>110</v>
      </c>
      <c r="T65" s="4">
        <f>IF(AND(S65&gt;=INDEX(Dim_Product!$K$2:$K$4,MATCH(F65,Dim_Product!$A$2:$A$4,0))-INDEX(Dim_Product!$L$2:$L$4,MATCH(F65,Dim_Product!$A$2:$A$4,0)),S65&lt;=INDEX(Dim_Product!$K$2:$K$4,MATCH(F65,Dim_Product!$A$2:$A$4,0))+INDEX(Dim_Product!$L$2:$L$4,MATCH(F65,Dim_Product!$A$2:$A$4,0))),G65-H65,G65-H65-1)</f>
        <v>31</v>
      </c>
      <c r="U65" s="4">
        <f t="shared" si="5"/>
        <v>1</v>
      </c>
      <c r="V65" s="4">
        <f t="shared" si="6"/>
        <v>3.125E-2</v>
      </c>
      <c r="W65" s="16">
        <f t="shared" si="7"/>
        <v>0.96875</v>
      </c>
    </row>
    <row r="66" spans="1:23" x14ac:dyDescent="0.25">
      <c r="A66" s="15" t="s">
        <v>567</v>
      </c>
      <c r="B66" s="4">
        <f>Fact_Production_Hourly!B66</f>
        <v>20260701</v>
      </c>
      <c r="C66" s="4">
        <f>Fact_Production_Hourly!C66</f>
        <v>9</v>
      </c>
      <c r="D66" s="4" t="str">
        <f>Fact_Production_Hourly!D66</f>
        <v>M2</v>
      </c>
      <c r="E66" s="4" t="str">
        <f>Fact_Production_Hourly!E66</f>
        <v>A-AM</v>
      </c>
      <c r="F66" s="4" t="str">
        <f>Fact_Production_Hourly!F66</f>
        <v>A</v>
      </c>
      <c r="G66" s="4">
        <f>INDEX(Dim_Machine!$D$2:$D$8,MATCH(D66,Dim_Machine!$A$2:$A$8,0))*2</f>
        <v>48</v>
      </c>
      <c r="H66" s="4">
        <f>ROUND(G66*0.0285,0)</f>
        <v>1</v>
      </c>
      <c r="I66" s="4">
        <f t="shared" ref="I66:I129" si="8">ROUND(H66*0.15,0)</f>
        <v>0</v>
      </c>
      <c r="J66" s="4">
        <f t="shared" ref="J66:J129" si="9">ROUND(H66*0.45,0)</f>
        <v>0</v>
      </c>
      <c r="K66" s="4">
        <f t="shared" ref="K66:K129" si="10">MAX(H66-I66-J66,0)</f>
        <v>1</v>
      </c>
      <c r="L66" s="4" t="s">
        <v>498</v>
      </c>
      <c r="M66" s="4">
        <f>INDEX(Dim_Product!$C$2:$C$4,MATCH(F66,Dim_Product!$A$2:$A$4,0))+-0.82</f>
        <v>249.18</v>
      </c>
      <c r="N66" s="4">
        <f>IF(AND(M66&gt;=INDEX(Dim_Product!$C$2:$C$4,MATCH(F66,Dim_Product!$A$2:$A$4,0))-INDEX(Dim_Product!$D$2:$D$4,MATCH(F66,Dim_Product!$A$2:$A$4,0)),M66&lt;=INDEX(Dim_Product!$C$2:$C$4,MATCH(F66,Dim_Product!$A$2:$A$4,0))+INDEX(Dim_Product!$D$2:$D$4,MATCH(F66,Dim_Product!$A$2:$A$4,0))),G66-H66,G66-H66-1)</f>
        <v>47</v>
      </c>
      <c r="O66" s="4">
        <f t="shared" ref="O66:O129" si="11">G66-N66</f>
        <v>1</v>
      </c>
      <c r="P66" s="4">
        <f>INDEX(Dim_Product!$G$2:$G$4,MATCH(F66,Dim_Product!$A$2:$A$4,0))+-0.06</f>
        <v>69.94</v>
      </c>
      <c r="Q66" s="4">
        <f>IF(AND(P66&gt;=INDEX(Dim_Product!$G$2:$G$4,MATCH(F66,Dim_Product!$A$2:$A$4,0))-INDEX(Dim_Product!$H$2:$H$4,MATCH(F66,Dim_Product!$A$2:$A$4,0)),P66&lt;=INDEX(Dim_Product!$G$2:$G$4,MATCH(F66,Dim_Product!$A$2:$A$4,0))+INDEX(Dim_Product!$H$2:$H$4,MATCH(F66,Dim_Product!$A$2:$A$4,0))),G66-H66,G66-H66-1)</f>
        <v>47</v>
      </c>
      <c r="R66" s="4">
        <f t="shared" ref="R66:R129" si="12">G66-Q66</f>
        <v>1</v>
      </c>
      <c r="S66" s="4">
        <f>INDEX(Dim_Product!$K$2:$K$4,MATCH(F66,Dim_Product!$A$2:$A$4,0))+-0.03</f>
        <v>119.97</v>
      </c>
      <c r="T66" s="4">
        <f>IF(AND(S66&gt;=INDEX(Dim_Product!$K$2:$K$4,MATCH(F66,Dim_Product!$A$2:$A$4,0))-INDEX(Dim_Product!$L$2:$L$4,MATCH(F66,Dim_Product!$A$2:$A$4,0)),S66&lt;=INDEX(Dim_Product!$K$2:$K$4,MATCH(F66,Dim_Product!$A$2:$A$4,0))+INDEX(Dim_Product!$L$2:$L$4,MATCH(F66,Dim_Product!$A$2:$A$4,0))),G66-H66,G66-H66-1)</f>
        <v>47</v>
      </c>
      <c r="U66" s="4">
        <f t="shared" ref="U66:U129" si="13">G66-T66</f>
        <v>1</v>
      </c>
      <c r="V66" s="4">
        <f t="shared" ref="V66:V129" si="14">IFERROR(H66/G66,0)</f>
        <v>2.0833333333333332E-2</v>
      </c>
      <c r="W66" s="16">
        <f t="shared" ref="W66:W129" si="15">1-V66</f>
        <v>0.97916666666666663</v>
      </c>
    </row>
    <row r="67" spans="1:23" x14ac:dyDescent="0.25">
      <c r="A67" s="15" t="s">
        <v>568</v>
      </c>
      <c r="B67" s="4">
        <f>Fact_Production_Hourly!B67</f>
        <v>20260701</v>
      </c>
      <c r="C67" s="4">
        <f>Fact_Production_Hourly!C67</f>
        <v>9</v>
      </c>
      <c r="D67" s="4" t="str">
        <f>Fact_Production_Hourly!D67</f>
        <v>M3</v>
      </c>
      <c r="E67" s="4" t="str">
        <f>Fact_Production_Hourly!E67</f>
        <v>A-AM</v>
      </c>
      <c r="F67" s="4" t="str">
        <f>Fact_Production_Hourly!F67</f>
        <v>B</v>
      </c>
      <c r="G67" s="4">
        <f>INDEX(Dim_Machine!$D$2:$D$8,MATCH(D67,Dim_Machine!$A$2:$A$8,0))*2</f>
        <v>24</v>
      </c>
      <c r="H67" s="4">
        <f>ROUND(G67*0.0244,0)</f>
        <v>1</v>
      </c>
      <c r="I67" s="4">
        <f t="shared" si="8"/>
        <v>0</v>
      </c>
      <c r="J67" s="4">
        <f t="shared" si="9"/>
        <v>0</v>
      </c>
      <c r="K67" s="4">
        <f t="shared" si="10"/>
        <v>1</v>
      </c>
      <c r="L67" s="4" t="s">
        <v>509</v>
      </c>
      <c r="M67" s="4">
        <f>INDEX(Dim_Product!$C$2:$C$4,MATCH(F67,Dim_Product!$A$2:$A$4,0))+-0.29</f>
        <v>299.70999999999998</v>
      </c>
      <c r="N67" s="4">
        <f>IF(AND(M67&gt;=INDEX(Dim_Product!$C$2:$C$4,MATCH(F67,Dim_Product!$A$2:$A$4,0))-INDEX(Dim_Product!$D$2:$D$4,MATCH(F67,Dim_Product!$A$2:$A$4,0)),M67&lt;=INDEX(Dim_Product!$C$2:$C$4,MATCH(F67,Dim_Product!$A$2:$A$4,0))+INDEX(Dim_Product!$D$2:$D$4,MATCH(F67,Dim_Product!$A$2:$A$4,0))),G67-H67,G67-H67-1)</f>
        <v>23</v>
      </c>
      <c r="O67" s="4">
        <f t="shared" si="11"/>
        <v>1</v>
      </c>
      <c r="P67" s="4">
        <f>INDEX(Dim_Product!$G$2:$G$4,MATCH(F67,Dim_Product!$A$2:$A$4,0))+-0.27</f>
        <v>74.73</v>
      </c>
      <c r="Q67" s="4">
        <f>IF(AND(P67&gt;=INDEX(Dim_Product!$G$2:$G$4,MATCH(F67,Dim_Product!$A$2:$A$4,0))-INDEX(Dim_Product!$H$2:$H$4,MATCH(F67,Dim_Product!$A$2:$A$4,0)),P67&lt;=INDEX(Dim_Product!$G$2:$G$4,MATCH(F67,Dim_Product!$A$2:$A$4,0))+INDEX(Dim_Product!$H$2:$H$4,MATCH(F67,Dim_Product!$A$2:$A$4,0))),G67-H67,G67-H67-1)</f>
        <v>23</v>
      </c>
      <c r="R67" s="4">
        <f t="shared" si="12"/>
        <v>1</v>
      </c>
      <c r="S67" s="4">
        <f>INDEX(Dim_Product!$K$2:$K$4,MATCH(F67,Dim_Product!$A$2:$A$4,0))+0</f>
        <v>130</v>
      </c>
      <c r="T67" s="4">
        <f>IF(AND(S67&gt;=INDEX(Dim_Product!$K$2:$K$4,MATCH(F67,Dim_Product!$A$2:$A$4,0))-INDEX(Dim_Product!$L$2:$L$4,MATCH(F67,Dim_Product!$A$2:$A$4,0)),S67&lt;=INDEX(Dim_Product!$K$2:$K$4,MATCH(F67,Dim_Product!$A$2:$A$4,0))+INDEX(Dim_Product!$L$2:$L$4,MATCH(F67,Dim_Product!$A$2:$A$4,0))),G67-H67,G67-H67-1)</f>
        <v>23</v>
      </c>
      <c r="U67" s="4">
        <f t="shared" si="13"/>
        <v>1</v>
      </c>
      <c r="V67" s="4">
        <f t="shared" si="14"/>
        <v>4.1666666666666664E-2</v>
      </c>
      <c r="W67" s="16">
        <f t="shared" si="15"/>
        <v>0.95833333333333337</v>
      </c>
    </row>
    <row r="68" spans="1:23" x14ac:dyDescent="0.25">
      <c r="A68" s="15" t="s">
        <v>569</v>
      </c>
      <c r="B68" s="4">
        <f>Fact_Production_Hourly!B68</f>
        <v>20260701</v>
      </c>
      <c r="C68" s="4">
        <f>Fact_Production_Hourly!C68</f>
        <v>9</v>
      </c>
      <c r="D68" s="4" t="str">
        <f>Fact_Production_Hourly!D68</f>
        <v>M4</v>
      </c>
      <c r="E68" s="4" t="str">
        <f>Fact_Production_Hourly!E68</f>
        <v>A-AM</v>
      </c>
      <c r="F68" s="4" t="str">
        <f>Fact_Production_Hourly!F68</f>
        <v>A</v>
      </c>
      <c r="G68" s="4">
        <f>INDEX(Dim_Machine!$D$2:$D$8,MATCH(D68,Dim_Machine!$A$2:$A$8,0))*2</f>
        <v>48</v>
      </c>
      <c r="H68" s="4">
        <f>ROUND(G68*0.0629,0)</f>
        <v>3</v>
      </c>
      <c r="I68" s="4">
        <f t="shared" si="8"/>
        <v>0</v>
      </c>
      <c r="J68" s="4">
        <f t="shared" si="9"/>
        <v>1</v>
      </c>
      <c r="K68" s="4">
        <f t="shared" si="10"/>
        <v>2</v>
      </c>
      <c r="L68" s="4" t="s">
        <v>520</v>
      </c>
      <c r="M68" s="4">
        <f>INDEX(Dim_Product!$C$2:$C$4,MATCH(F68,Dim_Product!$A$2:$A$4,0))+0.35</f>
        <v>250.35</v>
      </c>
      <c r="N68" s="4">
        <f>IF(AND(M68&gt;=INDEX(Dim_Product!$C$2:$C$4,MATCH(F68,Dim_Product!$A$2:$A$4,0))-INDEX(Dim_Product!$D$2:$D$4,MATCH(F68,Dim_Product!$A$2:$A$4,0)),M68&lt;=INDEX(Dim_Product!$C$2:$C$4,MATCH(F68,Dim_Product!$A$2:$A$4,0))+INDEX(Dim_Product!$D$2:$D$4,MATCH(F68,Dim_Product!$A$2:$A$4,0))),G68-H68,G68-H68-1)</f>
        <v>45</v>
      </c>
      <c r="O68" s="4">
        <f t="shared" si="11"/>
        <v>3</v>
      </c>
      <c r="P68" s="4">
        <f>INDEX(Dim_Product!$G$2:$G$4,MATCH(F68,Dim_Product!$A$2:$A$4,0))+-0.13</f>
        <v>69.87</v>
      </c>
      <c r="Q68" s="4">
        <f>IF(AND(P68&gt;=INDEX(Dim_Product!$G$2:$G$4,MATCH(F68,Dim_Product!$A$2:$A$4,0))-INDEX(Dim_Product!$H$2:$H$4,MATCH(F68,Dim_Product!$A$2:$A$4,0)),P68&lt;=INDEX(Dim_Product!$G$2:$G$4,MATCH(F68,Dim_Product!$A$2:$A$4,0))+INDEX(Dim_Product!$H$2:$H$4,MATCH(F68,Dim_Product!$A$2:$A$4,0))),G68-H68,G68-H68-1)</f>
        <v>45</v>
      </c>
      <c r="R68" s="4">
        <f t="shared" si="12"/>
        <v>3</v>
      </c>
      <c r="S68" s="4">
        <f>INDEX(Dim_Product!$K$2:$K$4,MATCH(F68,Dim_Product!$A$2:$A$4,0))+-0.39</f>
        <v>119.61</v>
      </c>
      <c r="T68" s="4">
        <f>IF(AND(S68&gt;=INDEX(Dim_Product!$K$2:$K$4,MATCH(F68,Dim_Product!$A$2:$A$4,0))-INDEX(Dim_Product!$L$2:$L$4,MATCH(F68,Dim_Product!$A$2:$A$4,0)),S68&lt;=INDEX(Dim_Product!$K$2:$K$4,MATCH(F68,Dim_Product!$A$2:$A$4,0))+INDEX(Dim_Product!$L$2:$L$4,MATCH(F68,Dim_Product!$A$2:$A$4,0))),G68-H68,G68-H68-1)</f>
        <v>45</v>
      </c>
      <c r="U68" s="4">
        <f t="shared" si="13"/>
        <v>3</v>
      </c>
      <c r="V68" s="4">
        <f t="shared" si="14"/>
        <v>6.25E-2</v>
      </c>
      <c r="W68" s="16">
        <f t="shared" si="15"/>
        <v>0.9375</v>
      </c>
    </row>
    <row r="69" spans="1:23" x14ac:dyDescent="0.25">
      <c r="A69" s="15" t="s">
        <v>570</v>
      </c>
      <c r="B69" s="4">
        <f>Fact_Production_Hourly!B69</f>
        <v>20260701</v>
      </c>
      <c r="C69" s="4">
        <f>Fact_Production_Hourly!C69</f>
        <v>9</v>
      </c>
      <c r="D69" s="4" t="str">
        <f>Fact_Production_Hourly!D69</f>
        <v>M5</v>
      </c>
      <c r="E69" s="4" t="str">
        <f>Fact_Production_Hourly!E69</f>
        <v>A-AM</v>
      </c>
      <c r="F69" s="4" t="str">
        <f>Fact_Production_Hourly!F69</f>
        <v>C</v>
      </c>
      <c r="G69" s="4">
        <f>INDEX(Dim_Machine!$D$2:$D$8,MATCH(D69,Dim_Machine!$A$2:$A$8,0))*2</f>
        <v>32</v>
      </c>
      <c r="H69" s="4">
        <f>ROUND(G69*0.0164,0)</f>
        <v>1</v>
      </c>
      <c r="I69" s="4">
        <f t="shared" si="8"/>
        <v>0</v>
      </c>
      <c r="J69" s="4">
        <f t="shared" si="9"/>
        <v>0</v>
      </c>
      <c r="K69" s="4">
        <f t="shared" si="10"/>
        <v>1</v>
      </c>
      <c r="L69" s="4" t="s">
        <v>500</v>
      </c>
      <c r="M69" s="4">
        <f>INDEX(Dim_Product!$C$2:$C$4,MATCH(F69,Dim_Product!$A$2:$A$4,0))+0.76</f>
        <v>200.76</v>
      </c>
      <c r="N69" s="4">
        <f>IF(AND(M69&gt;=INDEX(Dim_Product!$C$2:$C$4,MATCH(F69,Dim_Product!$A$2:$A$4,0))-INDEX(Dim_Product!$D$2:$D$4,MATCH(F69,Dim_Product!$A$2:$A$4,0)),M69&lt;=INDEX(Dim_Product!$C$2:$C$4,MATCH(F69,Dim_Product!$A$2:$A$4,0))+INDEX(Dim_Product!$D$2:$D$4,MATCH(F69,Dim_Product!$A$2:$A$4,0))),G69-H69,G69-H69-1)</f>
        <v>31</v>
      </c>
      <c r="O69" s="4">
        <f t="shared" si="11"/>
        <v>1</v>
      </c>
      <c r="P69" s="4">
        <f>INDEX(Dim_Product!$G$2:$G$4,MATCH(F69,Dim_Product!$A$2:$A$4,0))+0.14</f>
        <v>65.14</v>
      </c>
      <c r="Q69" s="4">
        <f>IF(AND(P69&gt;=INDEX(Dim_Product!$G$2:$G$4,MATCH(F69,Dim_Product!$A$2:$A$4,0))-INDEX(Dim_Product!$H$2:$H$4,MATCH(F69,Dim_Product!$A$2:$A$4,0)),P69&lt;=INDEX(Dim_Product!$G$2:$G$4,MATCH(F69,Dim_Product!$A$2:$A$4,0))+INDEX(Dim_Product!$H$2:$H$4,MATCH(F69,Dim_Product!$A$2:$A$4,0))),G69-H69,G69-H69-1)</f>
        <v>31</v>
      </c>
      <c r="R69" s="4">
        <f t="shared" si="12"/>
        <v>1</v>
      </c>
      <c r="S69" s="4">
        <f>INDEX(Dim_Product!$K$2:$K$4,MATCH(F69,Dim_Product!$A$2:$A$4,0))+0.21</f>
        <v>110.21</v>
      </c>
      <c r="T69" s="4">
        <f>IF(AND(S69&gt;=INDEX(Dim_Product!$K$2:$K$4,MATCH(F69,Dim_Product!$A$2:$A$4,0))-INDEX(Dim_Product!$L$2:$L$4,MATCH(F69,Dim_Product!$A$2:$A$4,0)),S69&lt;=INDEX(Dim_Product!$K$2:$K$4,MATCH(F69,Dim_Product!$A$2:$A$4,0))+INDEX(Dim_Product!$L$2:$L$4,MATCH(F69,Dim_Product!$A$2:$A$4,0))),G69-H69,G69-H69-1)</f>
        <v>31</v>
      </c>
      <c r="U69" s="4">
        <f t="shared" si="13"/>
        <v>1</v>
      </c>
      <c r="V69" s="4">
        <f t="shared" si="14"/>
        <v>3.125E-2</v>
      </c>
      <c r="W69" s="16">
        <f t="shared" si="15"/>
        <v>0.96875</v>
      </c>
    </row>
    <row r="70" spans="1:23" x14ac:dyDescent="0.25">
      <c r="A70" s="15" t="s">
        <v>571</v>
      </c>
      <c r="B70" s="4">
        <f>Fact_Production_Hourly!B70</f>
        <v>20260701</v>
      </c>
      <c r="C70" s="4">
        <f>Fact_Production_Hourly!C70</f>
        <v>9</v>
      </c>
      <c r="D70" s="4" t="str">
        <f>Fact_Production_Hourly!D70</f>
        <v>M6</v>
      </c>
      <c r="E70" s="4" t="str">
        <f>Fact_Production_Hourly!E70</f>
        <v>A-AM</v>
      </c>
      <c r="F70" s="4" t="str">
        <f>Fact_Production_Hourly!F70</f>
        <v>C</v>
      </c>
      <c r="G70" s="4">
        <f>INDEX(Dim_Machine!$D$2:$D$8,MATCH(D70,Dim_Machine!$A$2:$A$8,0))*2</f>
        <v>24</v>
      </c>
      <c r="H70" s="4">
        <f>ROUND(G70*0.032,0)</f>
        <v>1</v>
      </c>
      <c r="I70" s="4">
        <f t="shared" si="8"/>
        <v>0</v>
      </c>
      <c r="J70" s="4">
        <f t="shared" si="9"/>
        <v>0</v>
      </c>
      <c r="K70" s="4">
        <f t="shared" si="10"/>
        <v>1</v>
      </c>
      <c r="L70" s="4" t="s">
        <v>503</v>
      </c>
      <c r="M70" s="4">
        <f>INDEX(Dim_Product!$C$2:$C$4,MATCH(F70,Dim_Product!$A$2:$A$4,0))+-0.9</f>
        <v>199.1</v>
      </c>
      <c r="N70" s="4">
        <f>IF(AND(M70&gt;=INDEX(Dim_Product!$C$2:$C$4,MATCH(F70,Dim_Product!$A$2:$A$4,0))-INDEX(Dim_Product!$D$2:$D$4,MATCH(F70,Dim_Product!$A$2:$A$4,0)),M70&lt;=INDEX(Dim_Product!$C$2:$C$4,MATCH(F70,Dim_Product!$A$2:$A$4,0))+INDEX(Dim_Product!$D$2:$D$4,MATCH(F70,Dim_Product!$A$2:$A$4,0))),G70-H70,G70-H70-1)</f>
        <v>23</v>
      </c>
      <c r="O70" s="4">
        <f t="shared" si="11"/>
        <v>1</v>
      </c>
      <c r="P70" s="4">
        <f>INDEX(Dim_Product!$G$2:$G$4,MATCH(F70,Dim_Product!$A$2:$A$4,0))+0.04</f>
        <v>65.040000000000006</v>
      </c>
      <c r="Q70" s="4">
        <f>IF(AND(P70&gt;=INDEX(Dim_Product!$G$2:$G$4,MATCH(F70,Dim_Product!$A$2:$A$4,0))-INDEX(Dim_Product!$H$2:$H$4,MATCH(F70,Dim_Product!$A$2:$A$4,0)),P70&lt;=INDEX(Dim_Product!$G$2:$G$4,MATCH(F70,Dim_Product!$A$2:$A$4,0))+INDEX(Dim_Product!$H$2:$H$4,MATCH(F70,Dim_Product!$A$2:$A$4,0))),G70-H70,G70-H70-1)</f>
        <v>23</v>
      </c>
      <c r="R70" s="4">
        <f t="shared" si="12"/>
        <v>1</v>
      </c>
      <c r="S70" s="4">
        <f>INDEX(Dim_Product!$K$2:$K$4,MATCH(F70,Dim_Product!$A$2:$A$4,0))+-0.11</f>
        <v>109.89</v>
      </c>
      <c r="T70" s="4">
        <f>IF(AND(S70&gt;=INDEX(Dim_Product!$K$2:$K$4,MATCH(F70,Dim_Product!$A$2:$A$4,0))-INDEX(Dim_Product!$L$2:$L$4,MATCH(F70,Dim_Product!$A$2:$A$4,0)),S70&lt;=INDEX(Dim_Product!$K$2:$K$4,MATCH(F70,Dim_Product!$A$2:$A$4,0))+INDEX(Dim_Product!$L$2:$L$4,MATCH(F70,Dim_Product!$A$2:$A$4,0))),G70-H70,G70-H70-1)</f>
        <v>23</v>
      </c>
      <c r="U70" s="4">
        <f t="shared" si="13"/>
        <v>1</v>
      </c>
      <c r="V70" s="4">
        <f t="shared" si="14"/>
        <v>4.1666666666666664E-2</v>
      </c>
      <c r="W70" s="16">
        <f t="shared" si="15"/>
        <v>0.95833333333333337</v>
      </c>
    </row>
    <row r="71" spans="1:23" x14ac:dyDescent="0.25">
      <c r="A71" s="15" t="s">
        <v>572</v>
      </c>
      <c r="B71" s="4">
        <f>Fact_Production_Hourly!B71</f>
        <v>20260701</v>
      </c>
      <c r="C71" s="4">
        <f>Fact_Production_Hourly!C71</f>
        <v>9</v>
      </c>
      <c r="D71" s="4" t="str">
        <f>Fact_Production_Hourly!D71</f>
        <v>M7</v>
      </c>
      <c r="E71" s="4" t="str">
        <f>Fact_Production_Hourly!E71</f>
        <v>A-AM</v>
      </c>
      <c r="F71" s="4" t="str">
        <f>Fact_Production_Hourly!F71</f>
        <v>C</v>
      </c>
      <c r="G71" s="4">
        <f>INDEX(Dim_Machine!$D$2:$D$8,MATCH(D71,Dim_Machine!$A$2:$A$8,0))*2</f>
        <v>48</v>
      </c>
      <c r="H71" s="4">
        <f>ROUND(G71*0.0273,0)</f>
        <v>1</v>
      </c>
      <c r="I71" s="4">
        <f t="shared" si="8"/>
        <v>0</v>
      </c>
      <c r="J71" s="4">
        <f t="shared" si="9"/>
        <v>0</v>
      </c>
      <c r="K71" s="4">
        <f t="shared" si="10"/>
        <v>1</v>
      </c>
      <c r="L71" s="4" t="s">
        <v>503</v>
      </c>
      <c r="M71" s="4">
        <f>INDEX(Dim_Product!$C$2:$C$4,MATCH(F71,Dim_Product!$A$2:$A$4,0))+0.01</f>
        <v>200.01</v>
      </c>
      <c r="N71" s="4">
        <f>IF(AND(M71&gt;=INDEX(Dim_Product!$C$2:$C$4,MATCH(F71,Dim_Product!$A$2:$A$4,0))-INDEX(Dim_Product!$D$2:$D$4,MATCH(F71,Dim_Product!$A$2:$A$4,0)),M71&lt;=INDEX(Dim_Product!$C$2:$C$4,MATCH(F71,Dim_Product!$A$2:$A$4,0))+INDEX(Dim_Product!$D$2:$D$4,MATCH(F71,Dim_Product!$A$2:$A$4,0))),G71-H71,G71-H71-1)</f>
        <v>47</v>
      </c>
      <c r="O71" s="4">
        <f t="shared" si="11"/>
        <v>1</v>
      </c>
      <c r="P71" s="4">
        <f>INDEX(Dim_Product!$G$2:$G$4,MATCH(F71,Dim_Product!$A$2:$A$4,0))+0.16</f>
        <v>65.16</v>
      </c>
      <c r="Q71" s="4">
        <f>IF(AND(P71&gt;=INDEX(Dim_Product!$G$2:$G$4,MATCH(F71,Dim_Product!$A$2:$A$4,0))-INDEX(Dim_Product!$H$2:$H$4,MATCH(F71,Dim_Product!$A$2:$A$4,0)),P71&lt;=INDEX(Dim_Product!$G$2:$G$4,MATCH(F71,Dim_Product!$A$2:$A$4,0))+INDEX(Dim_Product!$H$2:$H$4,MATCH(F71,Dim_Product!$A$2:$A$4,0))),G71-H71,G71-H71-1)</f>
        <v>47</v>
      </c>
      <c r="R71" s="4">
        <f t="shared" si="12"/>
        <v>1</v>
      </c>
      <c r="S71" s="4">
        <f>INDEX(Dim_Product!$K$2:$K$4,MATCH(F71,Dim_Product!$A$2:$A$4,0))+-0.18</f>
        <v>109.82</v>
      </c>
      <c r="T71" s="4">
        <f>IF(AND(S71&gt;=INDEX(Dim_Product!$K$2:$K$4,MATCH(F71,Dim_Product!$A$2:$A$4,0))-INDEX(Dim_Product!$L$2:$L$4,MATCH(F71,Dim_Product!$A$2:$A$4,0)),S71&lt;=INDEX(Dim_Product!$K$2:$K$4,MATCH(F71,Dim_Product!$A$2:$A$4,0))+INDEX(Dim_Product!$L$2:$L$4,MATCH(F71,Dim_Product!$A$2:$A$4,0))),G71-H71,G71-H71-1)</f>
        <v>47</v>
      </c>
      <c r="U71" s="4">
        <f t="shared" si="13"/>
        <v>1</v>
      </c>
      <c r="V71" s="4">
        <f t="shared" si="14"/>
        <v>2.0833333333333332E-2</v>
      </c>
      <c r="W71" s="16">
        <f t="shared" si="15"/>
        <v>0.97916666666666663</v>
      </c>
    </row>
    <row r="72" spans="1:23" x14ac:dyDescent="0.25">
      <c r="A72" s="15" t="s">
        <v>573</v>
      </c>
      <c r="B72" s="4">
        <f>Fact_Production_Hourly!B72</f>
        <v>20260701</v>
      </c>
      <c r="C72" s="4">
        <f>Fact_Production_Hourly!C72</f>
        <v>10</v>
      </c>
      <c r="D72" s="4" t="str">
        <f>Fact_Production_Hourly!D72</f>
        <v>M1</v>
      </c>
      <c r="E72" s="4" t="str">
        <f>Fact_Production_Hourly!E72</f>
        <v>A-AM</v>
      </c>
      <c r="F72" s="4" t="str">
        <f>Fact_Production_Hourly!F72</f>
        <v>C</v>
      </c>
      <c r="G72" s="4">
        <f>INDEX(Dim_Machine!$D$2:$D$8,MATCH(D72,Dim_Machine!$A$2:$A$8,0))*2</f>
        <v>32</v>
      </c>
      <c r="H72" s="4">
        <f>ROUND(G72*0.0693,0)</f>
        <v>2</v>
      </c>
      <c r="I72" s="4">
        <f t="shared" si="8"/>
        <v>0</v>
      </c>
      <c r="J72" s="4">
        <f t="shared" si="9"/>
        <v>1</v>
      </c>
      <c r="K72" s="4">
        <f t="shared" si="10"/>
        <v>1</v>
      </c>
      <c r="L72" s="4" t="s">
        <v>520</v>
      </c>
      <c r="M72" s="4">
        <f>INDEX(Dim_Product!$C$2:$C$4,MATCH(F72,Dim_Product!$A$2:$A$4,0))+0.22</f>
        <v>200.22</v>
      </c>
      <c r="N72" s="4">
        <f>IF(AND(M72&gt;=INDEX(Dim_Product!$C$2:$C$4,MATCH(F72,Dim_Product!$A$2:$A$4,0))-INDEX(Dim_Product!$D$2:$D$4,MATCH(F72,Dim_Product!$A$2:$A$4,0)),M72&lt;=INDEX(Dim_Product!$C$2:$C$4,MATCH(F72,Dim_Product!$A$2:$A$4,0))+INDEX(Dim_Product!$D$2:$D$4,MATCH(F72,Dim_Product!$A$2:$A$4,0))),G72-H72,G72-H72-1)</f>
        <v>30</v>
      </c>
      <c r="O72" s="4">
        <f t="shared" si="11"/>
        <v>2</v>
      </c>
      <c r="P72" s="4">
        <f>INDEX(Dim_Product!$G$2:$G$4,MATCH(F72,Dim_Product!$A$2:$A$4,0))+-0.22</f>
        <v>64.78</v>
      </c>
      <c r="Q72" s="4">
        <f>IF(AND(P72&gt;=INDEX(Dim_Product!$G$2:$G$4,MATCH(F72,Dim_Product!$A$2:$A$4,0))-INDEX(Dim_Product!$H$2:$H$4,MATCH(F72,Dim_Product!$A$2:$A$4,0)),P72&lt;=INDEX(Dim_Product!$G$2:$G$4,MATCH(F72,Dim_Product!$A$2:$A$4,0))+INDEX(Dim_Product!$H$2:$H$4,MATCH(F72,Dim_Product!$A$2:$A$4,0))),G72-H72,G72-H72-1)</f>
        <v>30</v>
      </c>
      <c r="R72" s="4">
        <f t="shared" si="12"/>
        <v>2</v>
      </c>
      <c r="S72" s="4">
        <f>INDEX(Dim_Product!$K$2:$K$4,MATCH(F72,Dim_Product!$A$2:$A$4,0))+-0.32</f>
        <v>109.68</v>
      </c>
      <c r="T72" s="4">
        <f>IF(AND(S72&gt;=INDEX(Dim_Product!$K$2:$K$4,MATCH(F72,Dim_Product!$A$2:$A$4,0))-INDEX(Dim_Product!$L$2:$L$4,MATCH(F72,Dim_Product!$A$2:$A$4,0)),S72&lt;=INDEX(Dim_Product!$K$2:$K$4,MATCH(F72,Dim_Product!$A$2:$A$4,0))+INDEX(Dim_Product!$L$2:$L$4,MATCH(F72,Dim_Product!$A$2:$A$4,0))),G72-H72,G72-H72-1)</f>
        <v>30</v>
      </c>
      <c r="U72" s="4">
        <f t="shared" si="13"/>
        <v>2</v>
      </c>
      <c r="V72" s="4">
        <f t="shared" si="14"/>
        <v>6.25E-2</v>
      </c>
      <c r="W72" s="16">
        <f t="shared" si="15"/>
        <v>0.9375</v>
      </c>
    </row>
    <row r="73" spans="1:23" x14ac:dyDescent="0.25">
      <c r="A73" s="15" t="s">
        <v>574</v>
      </c>
      <c r="B73" s="4">
        <f>Fact_Production_Hourly!B73</f>
        <v>20260701</v>
      </c>
      <c r="C73" s="4">
        <f>Fact_Production_Hourly!C73</f>
        <v>10</v>
      </c>
      <c r="D73" s="4" t="str">
        <f>Fact_Production_Hourly!D73</f>
        <v>M2</v>
      </c>
      <c r="E73" s="4" t="str">
        <f>Fact_Production_Hourly!E73</f>
        <v>A-AM</v>
      </c>
      <c r="F73" s="4" t="str">
        <f>Fact_Production_Hourly!F73</f>
        <v>A</v>
      </c>
      <c r="G73" s="4">
        <f>INDEX(Dim_Machine!$D$2:$D$8,MATCH(D73,Dim_Machine!$A$2:$A$8,0))*2</f>
        <v>48</v>
      </c>
      <c r="H73" s="4">
        <f>ROUND(G73*0.0324,0)</f>
        <v>2</v>
      </c>
      <c r="I73" s="4">
        <f t="shared" si="8"/>
        <v>0</v>
      </c>
      <c r="J73" s="4">
        <f t="shared" si="9"/>
        <v>1</v>
      </c>
      <c r="K73" s="4">
        <f t="shared" si="10"/>
        <v>1</v>
      </c>
      <c r="L73" s="4" t="s">
        <v>517</v>
      </c>
      <c r="M73" s="4">
        <f>INDEX(Dim_Product!$C$2:$C$4,MATCH(F73,Dim_Product!$A$2:$A$4,0))+0.12</f>
        <v>250.12</v>
      </c>
      <c r="N73" s="4">
        <f>IF(AND(M73&gt;=INDEX(Dim_Product!$C$2:$C$4,MATCH(F73,Dim_Product!$A$2:$A$4,0))-INDEX(Dim_Product!$D$2:$D$4,MATCH(F73,Dim_Product!$A$2:$A$4,0)),M73&lt;=INDEX(Dim_Product!$C$2:$C$4,MATCH(F73,Dim_Product!$A$2:$A$4,0))+INDEX(Dim_Product!$D$2:$D$4,MATCH(F73,Dim_Product!$A$2:$A$4,0))),G73-H73,G73-H73-1)</f>
        <v>46</v>
      </c>
      <c r="O73" s="4">
        <f t="shared" si="11"/>
        <v>2</v>
      </c>
      <c r="P73" s="4">
        <f>INDEX(Dim_Product!$G$2:$G$4,MATCH(F73,Dim_Product!$A$2:$A$4,0))+-0.08</f>
        <v>69.92</v>
      </c>
      <c r="Q73" s="4">
        <f>IF(AND(P73&gt;=INDEX(Dim_Product!$G$2:$G$4,MATCH(F73,Dim_Product!$A$2:$A$4,0))-INDEX(Dim_Product!$H$2:$H$4,MATCH(F73,Dim_Product!$A$2:$A$4,0)),P73&lt;=INDEX(Dim_Product!$G$2:$G$4,MATCH(F73,Dim_Product!$A$2:$A$4,0))+INDEX(Dim_Product!$H$2:$H$4,MATCH(F73,Dim_Product!$A$2:$A$4,0))),G73-H73,G73-H73-1)</f>
        <v>46</v>
      </c>
      <c r="R73" s="4">
        <f t="shared" si="12"/>
        <v>2</v>
      </c>
      <c r="S73" s="4">
        <f>INDEX(Dim_Product!$K$2:$K$4,MATCH(F73,Dim_Product!$A$2:$A$4,0))+-0.28</f>
        <v>119.72</v>
      </c>
      <c r="T73" s="4">
        <f>IF(AND(S73&gt;=INDEX(Dim_Product!$K$2:$K$4,MATCH(F73,Dim_Product!$A$2:$A$4,0))-INDEX(Dim_Product!$L$2:$L$4,MATCH(F73,Dim_Product!$A$2:$A$4,0)),S73&lt;=INDEX(Dim_Product!$K$2:$K$4,MATCH(F73,Dim_Product!$A$2:$A$4,0))+INDEX(Dim_Product!$L$2:$L$4,MATCH(F73,Dim_Product!$A$2:$A$4,0))),G73-H73,G73-H73-1)</f>
        <v>46</v>
      </c>
      <c r="U73" s="4">
        <f t="shared" si="13"/>
        <v>2</v>
      </c>
      <c r="V73" s="4">
        <f t="shared" si="14"/>
        <v>4.1666666666666664E-2</v>
      </c>
      <c r="W73" s="16">
        <f t="shared" si="15"/>
        <v>0.95833333333333337</v>
      </c>
    </row>
    <row r="74" spans="1:23" x14ac:dyDescent="0.25">
      <c r="A74" s="15" t="s">
        <v>575</v>
      </c>
      <c r="B74" s="4">
        <f>Fact_Production_Hourly!B74</f>
        <v>20260701</v>
      </c>
      <c r="C74" s="4">
        <f>Fact_Production_Hourly!C74</f>
        <v>10</v>
      </c>
      <c r="D74" s="4" t="str">
        <f>Fact_Production_Hourly!D74</f>
        <v>M3</v>
      </c>
      <c r="E74" s="4" t="str">
        <f>Fact_Production_Hourly!E74</f>
        <v>A-AM</v>
      </c>
      <c r="F74" s="4" t="str">
        <f>Fact_Production_Hourly!F74</f>
        <v>B</v>
      </c>
      <c r="G74" s="4">
        <f>INDEX(Dim_Machine!$D$2:$D$8,MATCH(D74,Dim_Machine!$A$2:$A$8,0))*2</f>
        <v>24</v>
      </c>
      <c r="H74" s="4">
        <f>ROUND(G74*0.0461,0)</f>
        <v>1</v>
      </c>
      <c r="I74" s="4">
        <f t="shared" si="8"/>
        <v>0</v>
      </c>
      <c r="J74" s="4">
        <f t="shared" si="9"/>
        <v>0</v>
      </c>
      <c r="K74" s="4">
        <f t="shared" si="10"/>
        <v>1</v>
      </c>
      <c r="L74" s="4" t="s">
        <v>503</v>
      </c>
      <c r="M74" s="4">
        <f>INDEX(Dim_Product!$C$2:$C$4,MATCH(F74,Dim_Product!$A$2:$A$4,0))+0</f>
        <v>300</v>
      </c>
      <c r="N74" s="4">
        <f>IF(AND(M74&gt;=INDEX(Dim_Product!$C$2:$C$4,MATCH(F74,Dim_Product!$A$2:$A$4,0))-INDEX(Dim_Product!$D$2:$D$4,MATCH(F74,Dim_Product!$A$2:$A$4,0)),M74&lt;=INDEX(Dim_Product!$C$2:$C$4,MATCH(F74,Dim_Product!$A$2:$A$4,0))+INDEX(Dim_Product!$D$2:$D$4,MATCH(F74,Dim_Product!$A$2:$A$4,0))),G74-H74,G74-H74-1)</f>
        <v>23</v>
      </c>
      <c r="O74" s="4">
        <f t="shared" si="11"/>
        <v>1</v>
      </c>
      <c r="P74" s="4">
        <f>INDEX(Dim_Product!$G$2:$G$4,MATCH(F74,Dim_Product!$A$2:$A$4,0))+-0.27</f>
        <v>74.73</v>
      </c>
      <c r="Q74" s="4">
        <f>IF(AND(P74&gt;=INDEX(Dim_Product!$G$2:$G$4,MATCH(F74,Dim_Product!$A$2:$A$4,0))-INDEX(Dim_Product!$H$2:$H$4,MATCH(F74,Dim_Product!$A$2:$A$4,0)),P74&lt;=INDEX(Dim_Product!$G$2:$G$4,MATCH(F74,Dim_Product!$A$2:$A$4,0))+INDEX(Dim_Product!$H$2:$H$4,MATCH(F74,Dim_Product!$A$2:$A$4,0))),G74-H74,G74-H74-1)</f>
        <v>23</v>
      </c>
      <c r="R74" s="4">
        <f t="shared" si="12"/>
        <v>1</v>
      </c>
      <c r="S74" s="4">
        <f>INDEX(Dim_Product!$K$2:$K$4,MATCH(F74,Dim_Product!$A$2:$A$4,0))+-0.29</f>
        <v>129.71</v>
      </c>
      <c r="T74" s="4">
        <f>IF(AND(S74&gt;=INDEX(Dim_Product!$K$2:$K$4,MATCH(F74,Dim_Product!$A$2:$A$4,0))-INDEX(Dim_Product!$L$2:$L$4,MATCH(F74,Dim_Product!$A$2:$A$4,0)),S74&lt;=INDEX(Dim_Product!$K$2:$K$4,MATCH(F74,Dim_Product!$A$2:$A$4,0))+INDEX(Dim_Product!$L$2:$L$4,MATCH(F74,Dim_Product!$A$2:$A$4,0))),G74-H74,G74-H74-1)</f>
        <v>23</v>
      </c>
      <c r="U74" s="4">
        <f t="shared" si="13"/>
        <v>1</v>
      </c>
      <c r="V74" s="4">
        <f t="shared" si="14"/>
        <v>4.1666666666666664E-2</v>
      </c>
      <c r="W74" s="16">
        <f t="shared" si="15"/>
        <v>0.95833333333333337</v>
      </c>
    </row>
    <row r="75" spans="1:23" x14ac:dyDescent="0.25">
      <c r="A75" s="15" t="s">
        <v>576</v>
      </c>
      <c r="B75" s="4">
        <f>Fact_Production_Hourly!B75</f>
        <v>20260701</v>
      </c>
      <c r="C75" s="4">
        <f>Fact_Production_Hourly!C75</f>
        <v>10</v>
      </c>
      <c r="D75" s="4" t="str">
        <f>Fact_Production_Hourly!D75</f>
        <v>M4</v>
      </c>
      <c r="E75" s="4" t="str">
        <f>Fact_Production_Hourly!E75</f>
        <v>A-AM</v>
      </c>
      <c r="F75" s="4" t="str">
        <f>Fact_Production_Hourly!F75</f>
        <v>A</v>
      </c>
      <c r="G75" s="4">
        <f>INDEX(Dim_Machine!$D$2:$D$8,MATCH(D75,Dim_Machine!$A$2:$A$8,0))*2</f>
        <v>48</v>
      </c>
      <c r="H75" s="4">
        <f>ROUND(G75*0.03,0)</f>
        <v>1</v>
      </c>
      <c r="I75" s="4">
        <f t="shared" si="8"/>
        <v>0</v>
      </c>
      <c r="J75" s="4">
        <f t="shared" si="9"/>
        <v>0</v>
      </c>
      <c r="K75" s="4">
        <f t="shared" si="10"/>
        <v>1</v>
      </c>
      <c r="L75" s="4" t="s">
        <v>503</v>
      </c>
      <c r="M75" s="4">
        <f>INDEX(Dim_Product!$C$2:$C$4,MATCH(F75,Dim_Product!$A$2:$A$4,0))+0.04</f>
        <v>250.04</v>
      </c>
      <c r="N75" s="4">
        <f>IF(AND(M75&gt;=INDEX(Dim_Product!$C$2:$C$4,MATCH(F75,Dim_Product!$A$2:$A$4,0))-INDEX(Dim_Product!$D$2:$D$4,MATCH(F75,Dim_Product!$A$2:$A$4,0)),M75&lt;=INDEX(Dim_Product!$C$2:$C$4,MATCH(F75,Dim_Product!$A$2:$A$4,0))+INDEX(Dim_Product!$D$2:$D$4,MATCH(F75,Dim_Product!$A$2:$A$4,0))),G75-H75,G75-H75-1)</f>
        <v>47</v>
      </c>
      <c r="O75" s="4">
        <f t="shared" si="11"/>
        <v>1</v>
      </c>
      <c r="P75" s="4">
        <f>INDEX(Dim_Product!$G$2:$G$4,MATCH(F75,Dim_Product!$A$2:$A$4,0))+-0.21</f>
        <v>69.790000000000006</v>
      </c>
      <c r="Q75" s="4">
        <f>IF(AND(P75&gt;=INDEX(Dim_Product!$G$2:$G$4,MATCH(F75,Dim_Product!$A$2:$A$4,0))-INDEX(Dim_Product!$H$2:$H$4,MATCH(F75,Dim_Product!$A$2:$A$4,0)),P75&lt;=INDEX(Dim_Product!$G$2:$G$4,MATCH(F75,Dim_Product!$A$2:$A$4,0))+INDEX(Dim_Product!$H$2:$H$4,MATCH(F75,Dim_Product!$A$2:$A$4,0))),G75-H75,G75-H75-1)</f>
        <v>47</v>
      </c>
      <c r="R75" s="4">
        <f t="shared" si="12"/>
        <v>1</v>
      </c>
      <c r="S75" s="4">
        <f>INDEX(Dim_Product!$K$2:$K$4,MATCH(F75,Dim_Product!$A$2:$A$4,0))+0.31</f>
        <v>120.31</v>
      </c>
      <c r="T75" s="4">
        <f>IF(AND(S75&gt;=INDEX(Dim_Product!$K$2:$K$4,MATCH(F75,Dim_Product!$A$2:$A$4,0))-INDEX(Dim_Product!$L$2:$L$4,MATCH(F75,Dim_Product!$A$2:$A$4,0)),S75&lt;=INDEX(Dim_Product!$K$2:$K$4,MATCH(F75,Dim_Product!$A$2:$A$4,0))+INDEX(Dim_Product!$L$2:$L$4,MATCH(F75,Dim_Product!$A$2:$A$4,0))),G75-H75,G75-H75-1)</f>
        <v>47</v>
      </c>
      <c r="U75" s="4">
        <f t="shared" si="13"/>
        <v>1</v>
      </c>
      <c r="V75" s="4">
        <f t="shared" si="14"/>
        <v>2.0833333333333332E-2</v>
      </c>
      <c r="W75" s="16">
        <f t="shared" si="15"/>
        <v>0.97916666666666663</v>
      </c>
    </row>
    <row r="76" spans="1:23" x14ac:dyDescent="0.25">
      <c r="A76" s="15" t="s">
        <v>577</v>
      </c>
      <c r="B76" s="4">
        <f>Fact_Production_Hourly!B76</f>
        <v>20260701</v>
      </c>
      <c r="C76" s="4">
        <f>Fact_Production_Hourly!C76</f>
        <v>10</v>
      </c>
      <c r="D76" s="4" t="str">
        <f>Fact_Production_Hourly!D76</f>
        <v>M5</v>
      </c>
      <c r="E76" s="4" t="str">
        <f>Fact_Production_Hourly!E76</f>
        <v>A-AM</v>
      </c>
      <c r="F76" s="4" t="str">
        <f>Fact_Production_Hourly!F76</f>
        <v>C</v>
      </c>
      <c r="G76" s="4">
        <f>INDEX(Dim_Machine!$D$2:$D$8,MATCH(D76,Dim_Machine!$A$2:$A$8,0))*2</f>
        <v>32</v>
      </c>
      <c r="H76" s="4">
        <f>ROUND(G76*0.0184,0)</f>
        <v>1</v>
      </c>
      <c r="I76" s="4">
        <f t="shared" si="8"/>
        <v>0</v>
      </c>
      <c r="J76" s="4">
        <f t="shared" si="9"/>
        <v>0</v>
      </c>
      <c r="K76" s="4">
        <f t="shared" si="10"/>
        <v>1</v>
      </c>
      <c r="L76" s="4" t="s">
        <v>509</v>
      </c>
      <c r="M76" s="4">
        <f>INDEX(Dim_Product!$C$2:$C$4,MATCH(F76,Dim_Product!$A$2:$A$4,0))+-0.36</f>
        <v>199.64</v>
      </c>
      <c r="N76" s="4">
        <f>IF(AND(M76&gt;=INDEX(Dim_Product!$C$2:$C$4,MATCH(F76,Dim_Product!$A$2:$A$4,0))-INDEX(Dim_Product!$D$2:$D$4,MATCH(F76,Dim_Product!$A$2:$A$4,0)),M76&lt;=INDEX(Dim_Product!$C$2:$C$4,MATCH(F76,Dim_Product!$A$2:$A$4,0))+INDEX(Dim_Product!$D$2:$D$4,MATCH(F76,Dim_Product!$A$2:$A$4,0))),G76-H76,G76-H76-1)</f>
        <v>31</v>
      </c>
      <c r="O76" s="4">
        <f t="shared" si="11"/>
        <v>1</v>
      </c>
      <c r="P76" s="4">
        <f>INDEX(Dim_Product!$G$2:$G$4,MATCH(F76,Dim_Product!$A$2:$A$4,0))+-0.06</f>
        <v>64.94</v>
      </c>
      <c r="Q76" s="4">
        <f>IF(AND(P76&gt;=INDEX(Dim_Product!$G$2:$G$4,MATCH(F76,Dim_Product!$A$2:$A$4,0))-INDEX(Dim_Product!$H$2:$H$4,MATCH(F76,Dim_Product!$A$2:$A$4,0)),P76&lt;=INDEX(Dim_Product!$G$2:$G$4,MATCH(F76,Dim_Product!$A$2:$A$4,0))+INDEX(Dim_Product!$H$2:$H$4,MATCH(F76,Dim_Product!$A$2:$A$4,0))),G76-H76,G76-H76-1)</f>
        <v>31</v>
      </c>
      <c r="R76" s="4">
        <f t="shared" si="12"/>
        <v>1</v>
      </c>
      <c r="S76" s="4">
        <f>INDEX(Dim_Product!$K$2:$K$4,MATCH(F76,Dim_Product!$A$2:$A$4,0))+0.09</f>
        <v>110.09</v>
      </c>
      <c r="T76" s="4">
        <f>IF(AND(S76&gt;=INDEX(Dim_Product!$K$2:$K$4,MATCH(F76,Dim_Product!$A$2:$A$4,0))-INDEX(Dim_Product!$L$2:$L$4,MATCH(F76,Dim_Product!$A$2:$A$4,0)),S76&lt;=INDEX(Dim_Product!$K$2:$K$4,MATCH(F76,Dim_Product!$A$2:$A$4,0))+INDEX(Dim_Product!$L$2:$L$4,MATCH(F76,Dim_Product!$A$2:$A$4,0))),G76-H76,G76-H76-1)</f>
        <v>31</v>
      </c>
      <c r="U76" s="4">
        <f t="shared" si="13"/>
        <v>1</v>
      </c>
      <c r="V76" s="4">
        <f t="shared" si="14"/>
        <v>3.125E-2</v>
      </c>
      <c r="W76" s="16">
        <f t="shared" si="15"/>
        <v>0.96875</v>
      </c>
    </row>
    <row r="77" spans="1:23" x14ac:dyDescent="0.25">
      <c r="A77" s="15" t="s">
        <v>578</v>
      </c>
      <c r="B77" s="4">
        <f>Fact_Production_Hourly!B77</f>
        <v>20260701</v>
      </c>
      <c r="C77" s="4">
        <f>Fact_Production_Hourly!C77</f>
        <v>10</v>
      </c>
      <c r="D77" s="4" t="str">
        <f>Fact_Production_Hourly!D77</f>
        <v>M6</v>
      </c>
      <c r="E77" s="4" t="str">
        <f>Fact_Production_Hourly!E77</f>
        <v>A-AM</v>
      </c>
      <c r="F77" s="4" t="str">
        <f>Fact_Production_Hourly!F77</f>
        <v>C</v>
      </c>
      <c r="G77" s="4">
        <f>INDEX(Dim_Machine!$D$2:$D$8,MATCH(D77,Dim_Machine!$A$2:$A$8,0))*2</f>
        <v>24</v>
      </c>
      <c r="H77" s="4">
        <f>ROUND(G77*0.0606,0)</f>
        <v>1</v>
      </c>
      <c r="I77" s="4">
        <f t="shared" si="8"/>
        <v>0</v>
      </c>
      <c r="J77" s="4">
        <f t="shared" si="9"/>
        <v>0</v>
      </c>
      <c r="K77" s="4">
        <f t="shared" si="10"/>
        <v>1</v>
      </c>
      <c r="L77" s="4" t="s">
        <v>509</v>
      </c>
      <c r="M77" s="4">
        <f>INDEX(Dim_Product!$C$2:$C$4,MATCH(F77,Dim_Product!$A$2:$A$4,0))+-0.33</f>
        <v>199.67</v>
      </c>
      <c r="N77" s="4">
        <f>IF(AND(M77&gt;=INDEX(Dim_Product!$C$2:$C$4,MATCH(F77,Dim_Product!$A$2:$A$4,0))-INDEX(Dim_Product!$D$2:$D$4,MATCH(F77,Dim_Product!$A$2:$A$4,0)),M77&lt;=INDEX(Dim_Product!$C$2:$C$4,MATCH(F77,Dim_Product!$A$2:$A$4,0))+INDEX(Dim_Product!$D$2:$D$4,MATCH(F77,Dim_Product!$A$2:$A$4,0))),G77-H77,G77-H77-1)</f>
        <v>23</v>
      </c>
      <c r="O77" s="4">
        <f t="shared" si="11"/>
        <v>1</v>
      </c>
      <c r="P77" s="4">
        <f>INDEX(Dim_Product!$G$2:$G$4,MATCH(F77,Dim_Product!$A$2:$A$4,0))+0.2</f>
        <v>65.2</v>
      </c>
      <c r="Q77" s="4">
        <f>IF(AND(P77&gt;=INDEX(Dim_Product!$G$2:$G$4,MATCH(F77,Dim_Product!$A$2:$A$4,0))-INDEX(Dim_Product!$H$2:$H$4,MATCH(F77,Dim_Product!$A$2:$A$4,0)),P77&lt;=INDEX(Dim_Product!$G$2:$G$4,MATCH(F77,Dim_Product!$A$2:$A$4,0))+INDEX(Dim_Product!$H$2:$H$4,MATCH(F77,Dim_Product!$A$2:$A$4,0))),G77-H77,G77-H77-1)</f>
        <v>23</v>
      </c>
      <c r="R77" s="4">
        <f t="shared" si="12"/>
        <v>1</v>
      </c>
      <c r="S77" s="4">
        <f>INDEX(Dim_Product!$K$2:$K$4,MATCH(F77,Dim_Product!$A$2:$A$4,0))+0.03</f>
        <v>110.03</v>
      </c>
      <c r="T77" s="4">
        <f>IF(AND(S77&gt;=INDEX(Dim_Product!$K$2:$K$4,MATCH(F77,Dim_Product!$A$2:$A$4,0))-INDEX(Dim_Product!$L$2:$L$4,MATCH(F77,Dim_Product!$A$2:$A$4,0)),S77&lt;=INDEX(Dim_Product!$K$2:$K$4,MATCH(F77,Dim_Product!$A$2:$A$4,0))+INDEX(Dim_Product!$L$2:$L$4,MATCH(F77,Dim_Product!$A$2:$A$4,0))),G77-H77,G77-H77-1)</f>
        <v>23</v>
      </c>
      <c r="U77" s="4">
        <f t="shared" si="13"/>
        <v>1</v>
      </c>
      <c r="V77" s="4">
        <f t="shared" si="14"/>
        <v>4.1666666666666664E-2</v>
      </c>
      <c r="W77" s="16">
        <f t="shared" si="15"/>
        <v>0.95833333333333337</v>
      </c>
    </row>
    <row r="78" spans="1:23" x14ac:dyDescent="0.25">
      <c r="A78" s="15" t="s">
        <v>579</v>
      </c>
      <c r="B78" s="4">
        <f>Fact_Production_Hourly!B78</f>
        <v>20260701</v>
      </c>
      <c r="C78" s="4">
        <f>Fact_Production_Hourly!C78</f>
        <v>10</v>
      </c>
      <c r="D78" s="4" t="str">
        <f>Fact_Production_Hourly!D78</f>
        <v>M7</v>
      </c>
      <c r="E78" s="4" t="str">
        <f>Fact_Production_Hourly!E78</f>
        <v>A-AM</v>
      </c>
      <c r="F78" s="4" t="str">
        <f>Fact_Production_Hourly!F78</f>
        <v>C</v>
      </c>
      <c r="G78" s="4">
        <f>INDEX(Dim_Machine!$D$2:$D$8,MATCH(D78,Dim_Machine!$A$2:$A$8,0))*2</f>
        <v>48</v>
      </c>
      <c r="H78" s="4">
        <f>ROUND(G78*0.0525,0)</f>
        <v>3</v>
      </c>
      <c r="I78" s="4">
        <f t="shared" si="8"/>
        <v>0</v>
      </c>
      <c r="J78" s="4">
        <f t="shared" si="9"/>
        <v>1</v>
      </c>
      <c r="K78" s="4">
        <f t="shared" si="10"/>
        <v>2</v>
      </c>
      <c r="L78" s="4" t="s">
        <v>517</v>
      </c>
      <c r="M78" s="4">
        <f>INDEX(Dim_Product!$C$2:$C$4,MATCH(F78,Dim_Product!$A$2:$A$4,0))+-0.05</f>
        <v>199.95</v>
      </c>
      <c r="N78" s="4">
        <f>IF(AND(M78&gt;=INDEX(Dim_Product!$C$2:$C$4,MATCH(F78,Dim_Product!$A$2:$A$4,0))-INDEX(Dim_Product!$D$2:$D$4,MATCH(F78,Dim_Product!$A$2:$A$4,0)),M78&lt;=INDEX(Dim_Product!$C$2:$C$4,MATCH(F78,Dim_Product!$A$2:$A$4,0))+INDEX(Dim_Product!$D$2:$D$4,MATCH(F78,Dim_Product!$A$2:$A$4,0))),G78-H78,G78-H78-1)</f>
        <v>45</v>
      </c>
      <c r="O78" s="4">
        <f t="shared" si="11"/>
        <v>3</v>
      </c>
      <c r="P78" s="4">
        <f>INDEX(Dim_Product!$G$2:$G$4,MATCH(F78,Dim_Product!$A$2:$A$4,0))+-0.29</f>
        <v>64.709999999999994</v>
      </c>
      <c r="Q78" s="4">
        <f>IF(AND(P78&gt;=INDEX(Dim_Product!$G$2:$G$4,MATCH(F78,Dim_Product!$A$2:$A$4,0))-INDEX(Dim_Product!$H$2:$H$4,MATCH(F78,Dim_Product!$A$2:$A$4,0)),P78&lt;=INDEX(Dim_Product!$G$2:$G$4,MATCH(F78,Dim_Product!$A$2:$A$4,0))+INDEX(Dim_Product!$H$2:$H$4,MATCH(F78,Dim_Product!$A$2:$A$4,0))),G78-H78,G78-H78-1)</f>
        <v>45</v>
      </c>
      <c r="R78" s="4">
        <f t="shared" si="12"/>
        <v>3</v>
      </c>
      <c r="S78" s="4">
        <f>INDEX(Dim_Product!$K$2:$K$4,MATCH(F78,Dim_Product!$A$2:$A$4,0))+-0.14</f>
        <v>109.86</v>
      </c>
      <c r="T78" s="4">
        <f>IF(AND(S78&gt;=INDEX(Dim_Product!$K$2:$K$4,MATCH(F78,Dim_Product!$A$2:$A$4,0))-INDEX(Dim_Product!$L$2:$L$4,MATCH(F78,Dim_Product!$A$2:$A$4,0)),S78&lt;=INDEX(Dim_Product!$K$2:$K$4,MATCH(F78,Dim_Product!$A$2:$A$4,0))+INDEX(Dim_Product!$L$2:$L$4,MATCH(F78,Dim_Product!$A$2:$A$4,0))),G78-H78,G78-H78-1)</f>
        <v>45</v>
      </c>
      <c r="U78" s="4">
        <f t="shared" si="13"/>
        <v>3</v>
      </c>
      <c r="V78" s="4">
        <f t="shared" si="14"/>
        <v>6.25E-2</v>
      </c>
      <c r="W78" s="16">
        <f t="shared" si="15"/>
        <v>0.9375</v>
      </c>
    </row>
    <row r="79" spans="1:23" x14ac:dyDescent="0.25">
      <c r="A79" s="15" t="s">
        <v>580</v>
      </c>
      <c r="B79" s="4">
        <f>Fact_Production_Hourly!B79</f>
        <v>20260701</v>
      </c>
      <c r="C79" s="4">
        <f>Fact_Production_Hourly!C79</f>
        <v>11</v>
      </c>
      <c r="D79" s="4" t="str">
        <f>Fact_Production_Hourly!D79</f>
        <v>M1</v>
      </c>
      <c r="E79" s="4" t="str">
        <f>Fact_Production_Hourly!E79</f>
        <v>A-AM</v>
      </c>
      <c r="F79" s="4" t="str">
        <f>Fact_Production_Hourly!F79</f>
        <v>C</v>
      </c>
      <c r="G79" s="4">
        <f>INDEX(Dim_Machine!$D$2:$D$8,MATCH(D79,Dim_Machine!$A$2:$A$8,0))*2</f>
        <v>32</v>
      </c>
      <c r="H79" s="4">
        <f>ROUND(G79*0.0166,0)</f>
        <v>1</v>
      </c>
      <c r="I79" s="4">
        <f t="shared" si="8"/>
        <v>0</v>
      </c>
      <c r="J79" s="4">
        <f t="shared" si="9"/>
        <v>0</v>
      </c>
      <c r="K79" s="4">
        <f t="shared" si="10"/>
        <v>1</v>
      </c>
      <c r="L79" s="4" t="s">
        <v>503</v>
      </c>
      <c r="M79" s="4">
        <f>INDEX(Dim_Product!$C$2:$C$4,MATCH(F79,Dim_Product!$A$2:$A$4,0))+0.17</f>
        <v>200.17</v>
      </c>
      <c r="N79" s="4">
        <f>IF(AND(M79&gt;=INDEX(Dim_Product!$C$2:$C$4,MATCH(F79,Dim_Product!$A$2:$A$4,0))-INDEX(Dim_Product!$D$2:$D$4,MATCH(F79,Dim_Product!$A$2:$A$4,0)),M79&lt;=INDEX(Dim_Product!$C$2:$C$4,MATCH(F79,Dim_Product!$A$2:$A$4,0))+INDEX(Dim_Product!$D$2:$D$4,MATCH(F79,Dim_Product!$A$2:$A$4,0))),G79-H79,G79-H79-1)</f>
        <v>31</v>
      </c>
      <c r="O79" s="4">
        <f t="shared" si="11"/>
        <v>1</v>
      </c>
      <c r="P79" s="4">
        <f>INDEX(Dim_Product!$G$2:$G$4,MATCH(F79,Dim_Product!$A$2:$A$4,0))+0.18</f>
        <v>65.180000000000007</v>
      </c>
      <c r="Q79" s="4">
        <f>IF(AND(P79&gt;=INDEX(Dim_Product!$G$2:$G$4,MATCH(F79,Dim_Product!$A$2:$A$4,0))-INDEX(Dim_Product!$H$2:$H$4,MATCH(F79,Dim_Product!$A$2:$A$4,0)),P79&lt;=INDEX(Dim_Product!$G$2:$G$4,MATCH(F79,Dim_Product!$A$2:$A$4,0))+INDEX(Dim_Product!$H$2:$H$4,MATCH(F79,Dim_Product!$A$2:$A$4,0))),G79-H79,G79-H79-1)</f>
        <v>31</v>
      </c>
      <c r="R79" s="4">
        <f t="shared" si="12"/>
        <v>1</v>
      </c>
      <c r="S79" s="4">
        <f>INDEX(Dim_Product!$K$2:$K$4,MATCH(F79,Dim_Product!$A$2:$A$4,0))+0.18</f>
        <v>110.18</v>
      </c>
      <c r="T79" s="4">
        <f>IF(AND(S79&gt;=INDEX(Dim_Product!$K$2:$K$4,MATCH(F79,Dim_Product!$A$2:$A$4,0))-INDEX(Dim_Product!$L$2:$L$4,MATCH(F79,Dim_Product!$A$2:$A$4,0)),S79&lt;=INDEX(Dim_Product!$K$2:$K$4,MATCH(F79,Dim_Product!$A$2:$A$4,0))+INDEX(Dim_Product!$L$2:$L$4,MATCH(F79,Dim_Product!$A$2:$A$4,0))),G79-H79,G79-H79-1)</f>
        <v>31</v>
      </c>
      <c r="U79" s="4">
        <f t="shared" si="13"/>
        <v>1</v>
      </c>
      <c r="V79" s="4">
        <f t="shared" si="14"/>
        <v>3.125E-2</v>
      </c>
      <c r="W79" s="16">
        <f t="shared" si="15"/>
        <v>0.96875</v>
      </c>
    </row>
    <row r="80" spans="1:23" x14ac:dyDescent="0.25">
      <c r="A80" s="15" t="s">
        <v>581</v>
      </c>
      <c r="B80" s="4">
        <f>Fact_Production_Hourly!B80</f>
        <v>20260701</v>
      </c>
      <c r="C80" s="4">
        <f>Fact_Production_Hourly!C80</f>
        <v>11</v>
      </c>
      <c r="D80" s="4" t="str">
        <f>Fact_Production_Hourly!D80</f>
        <v>M2</v>
      </c>
      <c r="E80" s="4" t="str">
        <f>Fact_Production_Hourly!E80</f>
        <v>A-AM</v>
      </c>
      <c r="F80" s="4" t="str">
        <f>Fact_Production_Hourly!F80</f>
        <v>A</v>
      </c>
      <c r="G80" s="4">
        <f>INDEX(Dim_Machine!$D$2:$D$8,MATCH(D80,Dim_Machine!$A$2:$A$8,0))*2</f>
        <v>48</v>
      </c>
      <c r="H80" s="4">
        <f>ROUND(G80*0.0513,0)</f>
        <v>2</v>
      </c>
      <c r="I80" s="4">
        <f t="shared" si="8"/>
        <v>0</v>
      </c>
      <c r="J80" s="4">
        <f t="shared" si="9"/>
        <v>1</v>
      </c>
      <c r="K80" s="4">
        <f t="shared" si="10"/>
        <v>1</v>
      </c>
      <c r="L80" s="4" t="s">
        <v>498</v>
      </c>
      <c r="M80" s="4">
        <f>INDEX(Dim_Product!$C$2:$C$4,MATCH(F80,Dim_Product!$A$2:$A$4,0))+0.19</f>
        <v>250.19</v>
      </c>
      <c r="N80" s="4">
        <f>IF(AND(M80&gt;=INDEX(Dim_Product!$C$2:$C$4,MATCH(F80,Dim_Product!$A$2:$A$4,0))-INDEX(Dim_Product!$D$2:$D$4,MATCH(F80,Dim_Product!$A$2:$A$4,0)),M80&lt;=INDEX(Dim_Product!$C$2:$C$4,MATCH(F80,Dim_Product!$A$2:$A$4,0))+INDEX(Dim_Product!$D$2:$D$4,MATCH(F80,Dim_Product!$A$2:$A$4,0))),G80-H80,G80-H80-1)</f>
        <v>46</v>
      </c>
      <c r="O80" s="4">
        <f t="shared" si="11"/>
        <v>2</v>
      </c>
      <c r="P80" s="4">
        <f>INDEX(Dim_Product!$G$2:$G$4,MATCH(F80,Dim_Product!$A$2:$A$4,0))+-0.14</f>
        <v>69.86</v>
      </c>
      <c r="Q80" s="4">
        <f>IF(AND(P80&gt;=INDEX(Dim_Product!$G$2:$G$4,MATCH(F80,Dim_Product!$A$2:$A$4,0))-INDEX(Dim_Product!$H$2:$H$4,MATCH(F80,Dim_Product!$A$2:$A$4,0)),P80&lt;=INDEX(Dim_Product!$G$2:$G$4,MATCH(F80,Dim_Product!$A$2:$A$4,0))+INDEX(Dim_Product!$H$2:$H$4,MATCH(F80,Dim_Product!$A$2:$A$4,0))),G80-H80,G80-H80-1)</f>
        <v>46</v>
      </c>
      <c r="R80" s="4">
        <f t="shared" si="12"/>
        <v>2</v>
      </c>
      <c r="S80" s="4">
        <f>INDEX(Dim_Product!$K$2:$K$4,MATCH(F80,Dim_Product!$A$2:$A$4,0))+0.12</f>
        <v>120.12</v>
      </c>
      <c r="T80" s="4">
        <f>IF(AND(S80&gt;=INDEX(Dim_Product!$K$2:$K$4,MATCH(F80,Dim_Product!$A$2:$A$4,0))-INDEX(Dim_Product!$L$2:$L$4,MATCH(F80,Dim_Product!$A$2:$A$4,0)),S80&lt;=INDEX(Dim_Product!$K$2:$K$4,MATCH(F80,Dim_Product!$A$2:$A$4,0))+INDEX(Dim_Product!$L$2:$L$4,MATCH(F80,Dim_Product!$A$2:$A$4,0))),G80-H80,G80-H80-1)</f>
        <v>46</v>
      </c>
      <c r="U80" s="4">
        <f t="shared" si="13"/>
        <v>2</v>
      </c>
      <c r="V80" s="4">
        <f t="shared" si="14"/>
        <v>4.1666666666666664E-2</v>
      </c>
      <c r="W80" s="16">
        <f t="shared" si="15"/>
        <v>0.95833333333333337</v>
      </c>
    </row>
    <row r="81" spans="1:23" x14ac:dyDescent="0.25">
      <c r="A81" s="15" t="s">
        <v>582</v>
      </c>
      <c r="B81" s="4">
        <f>Fact_Production_Hourly!B81</f>
        <v>20260701</v>
      </c>
      <c r="C81" s="4">
        <f>Fact_Production_Hourly!C81</f>
        <v>11</v>
      </c>
      <c r="D81" s="4" t="str">
        <f>Fact_Production_Hourly!D81</f>
        <v>M3</v>
      </c>
      <c r="E81" s="4" t="str">
        <f>Fact_Production_Hourly!E81</f>
        <v>A-AM</v>
      </c>
      <c r="F81" s="4" t="str">
        <f>Fact_Production_Hourly!F81</f>
        <v>B</v>
      </c>
      <c r="G81" s="4">
        <f>INDEX(Dim_Machine!$D$2:$D$8,MATCH(D81,Dim_Machine!$A$2:$A$8,0))*2</f>
        <v>24</v>
      </c>
      <c r="H81" s="4">
        <f>ROUND(G81*0.0683,0)</f>
        <v>2</v>
      </c>
      <c r="I81" s="4">
        <f t="shared" si="8"/>
        <v>0</v>
      </c>
      <c r="J81" s="4">
        <f t="shared" si="9"/>
        <v>1</v>
      </c>
      <c r="K81" s="4">
        <f t="shared" si="10"/>
        <v>1</v>
      </c>
      <c r="L81" s="4" t="s">
        <v>509</v>
      </c>
      <c r="M81" s="4">
        <f>INDEX(Dim_Product!$C$2:$C$4,MATCH(F81,Dim_Product!$A$2:$A$4,0))+0.16</f>
        <v>300.16000000000003</v>
      </c>
      <c r="N81" s="4">
        <f>IF(AND(M81&gt;=INDEX(Dim_Product!$C$2:$C$4,MATCH(F81,Dim_Product!$A$2:$A$4,0))-INDEX(Dim_Product!$D$2:$D$4,MATCH(F81,Dim_Product!$A$2:$A$4,0)),M81&lt;=INDEX(Dim_Product!$C$2:$C$4,MATCH(F81,Dim_Product!$A$2:$A$4,0))+INDEX(Dim_Product!$D$2:$D$4,MATCH(F81,Dim_Product!$A$2:$A$4,0))),G81-H81,G81-H81-1)</f>
        <v>22</v>
      </c>
      <c r="O81" s="4">
        <f t="shared" si="11"/>
        <v>2</v>
      </c>
      <c r="P81" s="4">
        <f>INDEX(Dim_Product!$G$2:$G$4,MATCH(F81,Dim_Product!$A$2:$A$4,0))+0.13</f>
        <v>75.13</v>
      </c>
      <c r="Q81" s="4">
        <f>IF(AND(P81&gt;=INDEX(Dim_Product!$G$2:$G$4,MATCH(F81,Dim_Product!$A$2:$A$4,0))-INDEX(Dim_Product!$H$2:$H$4,MATCH(F81,Dim_Product!$A$2:$A$4,0)),P81&lt;=INDEX(Dim_Product!$G$2:$G$4,MATCH(F81,Dim_Product!$A$2:$A$4,0))+INDEX(Dim_Product!$H$2:$H$4,MATCH(F81,Dim_Product!$A$2:$A$4,0))),G81-H81,G81-H81-1)</f>
        <v>22</v>
      </c>
      <c r="R81" s="4">
        <f t="shared" si="12"/>
        <v>2</v>
      </c>
      <c r="S81" s="4">
        <f>INDEX(Dim_Product!$K$2:$K$4,MATCH(F81,Dim_Product!$A$2:$A$4,0))+0.07</f>
        <v>130.07</v>
      </c>
      <c r="T81" s="4">
        <f>IF(AND(S81&gt;=INDEX(Dim_Product!$K$2:$K$4,MATCH(F81,Dim_Product!$A$2:$A$4,0))-INDEX(Dim_Product!$L$2:$L$4,MATCH(F81,Dim_Product!$A$2:$A$4,0)),S81&lt;=INDEX(Dim_Product!$K$2:$K$4,MATCH(F81,Dim_Product!$A$2:$A$4,0))+INDEX(Dim_Product!$L$2:$L$4,MATCH(F81,Dim_Product!$A$2:$A$4,0))),G81-H81,G81-H81-1)</f>
        <v>22</v>
      </c>
      <c r="U81" s="4">
        <f t="shared" si="13"/>
        <v>2</v>
      </c>
      <c r="V81" s="4">
        <f t="shared" si="14"/>
        <v>8.3333333333333329E-2</v>
      </c>
      <c r="W81" s="16">
        <f t="shared" si="15"/>
        <v>0.91666666666666663</v>
      </c>
    </row>
    <row r="82" spans="1:23" x14ac:dyDescent="0.25">
      <c r="A82" s="15" t="s">
        <v>583</v>
      </c>
      <c r="B82" s="4">
        <f>Fact_Production_Hourly!B82</f>
        <v>20260701</v>
      </c>
      <c r="C82" s="4">
        <f>Fact_Production_Hourly!C82</f>
        <v>11</v>
      </c>
      <c r="D82" s="4" t="str">
        <f>Fact_Production_Hourly!D82</f>
        <v>M4</v>
      </c>
      <c r="E82" s="4" t="str">
        <f>Fact_Production_Hourly!E82</f>
        <v>A-AM</v>
      </c>
      <c r="F82" s="4" t="str">
        <f>Fact_Production_Hourly!F82</f>
        <v>A</v>
      </c>
      <c r="G82" s="4">
        <f>INDEX(Dim_Machine!$D$2:$D$8,MATCH(D82,Dim_Machine!$A$2:$A$8,0))*2</f>
        <v>48</v>
      </c>
      <c r="H82" s="4">
        <f>ROUND(G82*0.0202,0)</f>
        <v>1</v>
      </c>
      <c r="I82" s="4">
        <f t="shared" si="8"/>
        <v>0</v>
      </c>
      <c r="J82" s="4">
        <f t="shared" si="9"/>
        <v>0</v>
      </c>
      <c r="K82" s="4">
        <f t="shared" si="10"/>
        <v>1</v>
      </c>
      <c r="L82" s="4" t="s">
        <v>520</v>
      </c>
      <c r="M82" s="4">
        <f>INDEX(Dim_Product!$C$2:$C$4,MATCH(F82,Dim_Product!$A$2:$A$4,0))+0.44</f>
        <v>250.44</v>
      </c>
      <c r="N82" s="4">
        <f>IF(AND(M82&gt;=INDEX(Dim_Product!$C$2:$C$4,MATCH(F82,Dim_Product!$A$2:$A$4,0))-INDEX(Dim_Product!$D$2:$D$4,MATCH(F82,Dim_Product!$A$2:$A$4,0)),M82&lt;=INDEX(Dim_Product!$C$2:$C$4,MATCH(F82,Dim_Product!$A$2:$A$4,0))+INDEX(Dim_Product!$D$2:$D$4,MATCH(F82,Dim_Product!$A$2:$A$4,0))),G82-H82,G82-H82-1)</f>
        <v>47</v>
      </c>
      <c r="O82" s="4">
        <f t="shared" si="11"/>
        <v>1</v>
      </c>
      <c r="P82" s="4">
        <f>INDEX(Dim_Product!$G$2:$G$4,MATCH(F82,Dim_Product!$A$2:$A$4,0))+0.16</f>
        <v>70.16</v>
      </c>
      <c r="Q82" s="4">
        <f>IF(AND(P82&gt;=INDEX(Dim_Product!$G$2:$G$4,MATCH(F82,Dim_Product!$A$2:$A$4,0))-INDEX(Dim_Product!$H$2:$H$4,MATCH(F82,Dim_Product!$A$2:$A$4,0)),P82&lt;=INDEX(Dim_Product!$G$2:$G$4,MATCH(F82,Dim_Product!$A$2:$A$4,0))+INDEX(Dim_Product!$H$2:$H$4,MATCH(F82,Dim_Product!$A$2:$A$4,0))),G82-H82,G82-H82-1)</f>
        <v>47</v>
      </c>
      <c r="R82" s="4">
        <f t="shared" si="12"/>
        <v>1</v>
      </c>
      <c r="S82" s="4">
        <f>INDEX(Dim_Product!$K$2:$K$4,MATCH(F82,Dim_Product!$A$2:$A$4,0))+-0.1</f>
        <v>119.9</v>
      </c>
      <c r="T82" s="4">
        <f>IF(AND(S82&gt;=INDEX(Dim_Product!$K$2:$K$4,MATCH(F82,Dim_Product!$A$2:$A$4,0))-INDEX(Dim_Product!$L$2:$L$4,MATCH(F82,Dim_Product!$A$2:$A$4,0)),S82&lt;=INDEX(Dim_Product!$K$2:$K$4,MATCH(F82,Dim_Product!$A$2:$A$4,0))+INDEX(Dim_Product!$L$2:$L$4,MATCH(F82,Dim_Product!$A$2:$A$4,0))),G82-H82,G82-H82-1)</f>
        <v>47</v>
      </c>
      <c r="U82" s="4">
        <f t="shared" si="13"/>
        <v>1</v>
      </c>
      <c r="V82" s="4">
        <f t="shared" si="14"/>
        <v>2.0833333333333332E-2</v>
      </c>
      <c r="W82" s="16">
        <f t="shared" si="15"/>
        <v>0.97916666666666663</v>
      </c>
    </row>
    <row r="83" spans="1:23" x14ac:dyDescent="0.25">
      <c r="A83" s="15" t="s">
        <v>584</v>
      </c>
      <c r="B83" s="4">
        <f>Fact_Production_Hourly!B83</f>
        <v>20260701</v>
      </c>
      <c r="C83" s="4">
        <f>Fact_Production_Hourly!C83</f>
        <v>11</v>
      </c>
      <c r="D83" s="4" t="str">
        <f>Fact_Production_Hourly!D83</f>
        <v>M5</v>
      </c>
      <c r="E83" s="4" t="str">
        <f>Fact_Production_Hourly!E83</f>
        <v>A-AM</v>
      </c>
      <c r="F83" s="4" t="str">
        <f>Fact_Production_Hourly!F83</f>
        <v>C</v>
      </c>
      <c r="G83" s="4">
        <f>INDEX(Dim_Machine!$D$2:$D$8,MATCH(D83,Dim_Machine!$A$2:$A$8,0))*2</f>
        <v>32</v>
      </c>
      <c r="H83" s="4">
        <f>ROUND(G83*0.0593,0)</f>
        <v>2</v>
      </c>
      <c r="I83" s="4">
        <f t="shared" si="8"/>
        <v>0</v>
      </c>
      <c r="J83" s="4">
        <f t="shared" si="9"/>
        <v>1</v>
      </c>
      <c r="K83" s="4">
        <f t="shared" si="10"/>
        <v>1</v>
      </c>
      <c r="L83" s="4" t="s">
        <v>500</v>
      </c>
      <c r="M83" s="4">
        <f>INDEX(Dim_Product!$C$2:$C$4,MATCH(F83,Dim_Product!$A$2:$A$4,0))+-0.94</f>
        <v>199.06</v>
      </c>
      <c r="N83" s="4">
        <f>IF(AND(M83&gt;=INDEX(Dim_Product!$C$2:$C$4,MATCH(F83,Dim_Product!$A$2:$A$4,0))-INDEX(Dim_Product!$D$2:$D$4,MATCH(F83,Dim_Product!$A$2:$A$4,0)),M83&lt;=INDEX(Dim_Product!$C$2:$C$4,MATCH(F83,Dim_Product!$A$2:$A$4,0))+INDEX(Dim_Product!$D$2:$D$4,MATCH(F83,Dim_Product!$A$2:$A$4,0))),G83-H83,G83-H83-1)</f>
        <v>30</v>
      </c>
      <c r="O83" s="4">
        <f t="shared" si="11"/>
        <v>2</v>
      </c>
      <c r="P83" s="4">
        <f>INDEX(Dim_Product!$G$2:$G$4,MATCH(F83,Dim_Product!$A$2:$A$4,0))+0.27</f>
        <v>65.27</v>
      </c>
      <c r="Q83" s="4">
        <f>IF(AND(P83&gt;=INDEX(Dim_Product!$G$2:$G$4,MATCH(F83,Dim_Product!$A$2:$A$4,0))-INDEX(Dim_Product!$H$2:$H$4,MATCH(F83,Dim_Product!$A$2:$A$4,0)),P83&lt;=INDEX(Dim_Product!$G$2:$G$4,MATCH(F83,Dim_Product!$A$2:$A$4,0))+INDEX(Dim_Product!$H$2:$H$4,MATCH(F83,Dim_Product!$A$2:$A$4,0))),G83-H83,G83-H83-1)</f>
        <v>30</v>
      </c>
      <c r="R83" s="4">
        <f t="shared" si="12"/>
        <v>2</v>
      </c>
      <c r="S83" s="4">
        <f>INDEX(Dim_Product!$K$2:$K$4,MATCH(F83,Dim_Product!$A$2:$A$4,0))+-0.31</f>
        <v>109.69</v>
      </c>
      <c r="T83" s="4">
        <f>IF(AND(S83&gt;=INDEX(Dim_Product!$K$2:$K$4,MATCH(F83,Dim_Product!$A$2:$A$4,0))-INDEX(Dim_Product!$L$2:$L$4,MATCH(F83,Dim_Product!$A$2:$A$4,0)),S83&lt;=INDEX(Dim_Product!$K$2:$K$4,MATCH(F83,Dim_Product!$A$2:$A$4,0))+INDEX(Dim_Product!$L$2:$L$4,MATCH(F83,Dim_Product!$A$2:$A$4,0))),G83-H83,G83-H83-1)</f>
        <v>30</v>
      </c>
      <c r="U83" s="4">
        <f t="shared" si="13"/>
        <v>2</v>
      </c>
      <c r="V83" s="4">
        <f t="shared" si="14"/>
        <v>6.25E-2</v>
      </c>
      <c r="W83" s="16">
        <f t="shared" si="15"/>
        <v>0.9375</v>
      </c>
    </row>
    <row r="84" spans="1:23" x14ac:dyDescent="0.25">
      <c r="A84" s="15" t="s">
        <v>585</v>
      </c>
      <c r="B84" s="4">
        <f>Fact_Production_Hourly!B84</f>
        <v>20260701</v>
      </c>
      <c r="C84" s="4">
        <f>Fact_Production_Hourly!C84</f>
        <v>11</v>
      </c>
      <c r="D84" s="4" t="str">
        <f>Fact_Production_Hourly!D84</f>
        <v>M6</v>
      </c>
      <c r="E84" s="4" t="str">
        <f>Fact_Production_Hourly!E84</f>
        <v>A-AM</v>
      </c>
      <c r="F84" s="4" t="str">
        <f>Fact_Production_Hourly!F84</f>
        <v>C</v>
      </c>
      <c r="G84" s="4">
        <f>INDEX(Dim_Machine!$D$2:$D$8,MATCH(D84,Dim_Machine!$A$2:$A$8,0))*2</f>
        <v>24</v>
      </c>
      <c r="H84" s="4">
        <f>ROUND(G84*0.0111,0)</f>
        <v>0</v>
      </c>
      <c r="I84" s="4">
        <f t="shared" si="8"/>
        <v>0</v>
      </c>
      <c r="J84" s="4">
        <f t="shared" si="9"/>
        <v>0</v>
      </c>
      <c r="K84" s="4">
        <f t="shared" si="10"/>
        <v>0</v>
      </c>
      <c r="L84" s="4" t="s">
        <v>517</v>
      </c>
      <c r="M84" s="4">
        <f>INDEX(Dim_Product!$C$2:$C$4,MATCH(F84,Dim_Product!$A$2:$A$4,0))+-0.16</f>
        <v>199.84</v>
      </c>
      <c r="N84" s="4">
        <f>IF(AND(M84&gt;=INDEX(Dim_Product!$C$2:$C$4,MATCH(F84,Dim_Product!$A$2:$A$4,0))-INDEX(Dim_Product!$D$2:$D$4,MATCH(F84,Dim_Product!$A$2:$A$4,0)),M84&lt;=INDEX(Dim_Product!$C$2:$C$4,MATCH(F84,Dim_Product!$A$2:$A$4,0))+INDEX(Dim_Product!$D$2:$D$4,MATCH(F84,Dim_Product!$A$2:$A$4,0))),G84-H84,G84-H84-1)</f>
        <v>24</v>
      </c>
      <c r="O84" s="4">
        <f t="shared" si="11"/>
        <v>0</v>
      </c>
      <c r="P84" s="4">
        <f>INDEX(Dim_Product!$G$2:$G$4,MATCH(F84,Dim_Product!$A$2:$A$4,0))+-0.05</f>
        <v>64.95</v>
      </c>
      <c r="Q84" s="4">
        <f>IF(AND(P84&gt;=INDEX(Dim_Product!$G$2:$G$4,MATCH(F84,Dim_Product!$A$2:$A$4,0))-INDEX(Dim_Product!$H$2:$H$4,MATCH(F84,Dim_Product!$A$2:$A$4,0)),P84&lt;=INDEX(Dim_Product!$G$2:$G$4,MATCH(F84,Dim_Product!$A$2:$A$4,0))+INDEX(Dim_Product!$H$2:$H$4,MATCH(F84,Dim_Product!$A$2:$A$4,0))),G84-H84,G84-H84-1)</f>
        <v>24</v>
      </c>
      <c r="R84" s="4">
        <f t="shared" si="12"/>
        <v>0</v>
      </c>
      <c r="S84" s="4">
        <f>INDEX(Dim_Product!$K$2:$K$4,MATCH(F84,Dim_Product!$A$2:$A$4,0))+-0.24</f>
        <v>109.76</v>
      </c>
      <c r="T84" s="4">
        <f>IF(AND(S84&gt;=INDEX(Dim_Product!$K$2:$K$4,MATCH(F84,Dim_Product!$A$2:$A$4,0))-INDEX(Dim_Product!$L$2:$L$4,MATCH(F84,Dim_Product!$A$2:$A$4,0)),S84&lt;=INDEX(Dim_Product!$K$2:$K$4,MATCH(F84,Dim_Product!$A$2:$A$4,0))+INDEX(Dim_Product!$L$2:$L$4,MATCH(F84,Dim_Product!$A$2:$A$4,0))),G84-H84,G84-H84-1)</f>
        <v>24</v>
      </c>
      <c r="U84" s="4">
        <f t="shared" si="13"/>
        <v>0</v>
      </c>
      <c r="V84" s="4">
        <f t="shared" si="14"/>
        <v>0</v>
      </c>
      <c r="W84" s="16">
        <f t="shared" si="15"/>
        <v>1</v>
      </c>
    </row>
    <row r="85" spans="1:23" x14ac:dyDescent="0.25">
      <c r="A85" s="15" t="s">
        <v>586</v>
      </c>
      <c r="B85" s="4">
        <f>Fact_Production_Hourly!B85</f>
        <v>20260701</v>
      </c>
      <c r="C85" s="4">
        <f>Fact_Production_Hourly!C85</f>
        <v>11</v>
      </c>
      <c r="D85" s="4" t="str">
        <f>Fact_Production_Hourly!D85</f>
        <v>M7</v>
      </c>
      <c r="E85" s="4" t="str">
        <f>Fact_Production_Hourly!E85</f>
        <v>A-AM</v>
      </c>
      <c r="F85" s="4" t="str">
        <f>Fact_Production_Hourly!F85</f>
        <v>C</v>
      </c>
      <c r="G85" s="4">
        <f>INDEX(Dim_Machine!$D$2:$D$8,MATCH(D85,Dim_Machine!$A$2:$A$8,0))*2</f>
        <v>48</v>
      </c>
      <c r="H85" s="4">
        <f>ROUND(G85*0.0401,0)</f>
        <v>2</v>
      </c>
      <c r="I85" s="4">
        <f t="shared" si="8"/>
        <v>0</v>
      </c>
      <c r="J85" s="4">
        <f t="shared" si="9"/>
        <v>1</v>
      </c>
      <c r="K85" s="4">
        <f t="shared" si="10"/>
        <v>1</v>
      </c>
      <c r="L85" s="4" t="s">
        <v>509</v>
      </c>
      <c r="M85" s="4">
        <f>INDEX(Dim_Product!$C$2:$C$4,MATCH(F85,Dim_Product!$A$2:$A$4,0))+0.84</f>
        <v>200.84</v>
      </c>
      <c r="N85" s="4">
        <f>IF(AND(M85&gt;=INDEX(Dim_Product!$C$2:$C$4,MATCH(F85,Dim_Product!$A$2:$A$4,0))-INDEX(Dim_Product!$D$2:$D$4,MATCH(F85,Dim_Product!$A$2:$A$4,0)),M85&lt;=INDEX(Dim_Product!$C$2:$C$4,MATCH(F85,Dim_Product!$A$2:$A$4,0))+INDEX(Dim_Product!$D$2:$D$4,MATCH(F85,Dim_Product!$A$2:$A$4,0))),G85-H85,G85-H85-1)</f>
        <v>46</v>
      </c>
      <c r="O85" s="4">
        <f t="shared" si="11"/>
        <v>2</v>
      </c>
      <c r="P85" s="4">
        <f>INDEX(Dim_Product!$G$2:$G$4,MATCH(F85,Dim_Product!$A$2:$A$4,0))+0.22</f>
        <v>65.22</v>
      </c>
      <c r="Q85" s="4">
        <f>IF(AND(P85&gt;=INDEX(Dim_Product!$G$2:$G$4,MATCH(F85,Dim_Product!$A$2:$A$4,0))-INDEX(Dim_Product!$H$2:$H$4,MATCH(F85,Dim_Product!$A$2:$A$4,0)),P85&lt;=INDEX(Dim_Product!$G$2:$G$4,MATCH(F85,Dim_Product!$A$2:$A$4,0))+INDEX(Dim_Product!$H$2:$H$4,MATCH(F85,Dim_Product!$A$2:$A$4,0))),G85-H85,G85-H85-1)</f>
        <v>46</v>
      </c>
      <c r="R85" s="4">
        <f t="shared" si="12"/>
        <v>2</v>
      </c>
      <c r="S85" s="4">
        <f>INDEX(Dim_Product!$K$2:$K$4,MATCH(F85,Dim_Product!$A$2:$A$4,0))+0.19</f>
        <v>110.19</v>
      </c>
      <c r="T85" s="4">
        <f>IF(AND(S85&gt;=INDEX(Dim_Product!$K$2:$K$4,MATCH(F85,Dim_Product!$A$2:$A$4,0))-INDEX(Dim_Product!$L$2:$L$4,MATCH(F85,Dim_Product!$A$2:$A$4,0)),S85&lt;=INDEX(Dim_Product!$K$2:$K$4,MATCH(F85,Dim_Product!$A$2:$A$4,0))+INDEX(Dim_Product!$L$2:$L$4,MATCH(F85,Dim_Product!$A$2:$A$4,0))),G85-H85,G85-H85-1)</f>
        <v>46</v>
      </c>
      <c r="U85" s="4">
        <f t="shared" si="13"/>
        <v>2</v>
      </c>
      <c r="V85" s="4">
        <f t="shared" si="14"/>
        <v>4.1666666666666664E-2</v>
      </c>
      <c r="W85" s="16">
        <f t="shared" si="15"/>
        <v>0.95833333333333337</v>
      </c>
    </row>
    <row r="86" spans="1:23" x14ac:dyDescent="0.25">
      <c r="A86" s="15" t="s">
        <v>587</v>
      </c>
      <c r="B86" s="4">
        <f>Fact_Production_Hourly!B86</f>
        <v>20260701</v>
      </c>
      <c r="C86" s="4">
        <f>Fact_Production_Hourly!C86</f>
        <v>12</v>
      </c>
      <c r="D86" s="4" t="str">
        <f>Fact_Production_Hourly!D86</f>
        <v>M1</v>
      </c>
      <c r="E86" s="4" t="str">
        <f>Fact_Production_Hourly!E86</f>
        <v>A-AM</v>
      </c>
      <c r="F86" s="4" t="str">
        <f>Fact_Production_Hourly!F86</f>
        <v>C</v>
      </c>
      <c r="G86" s="4">
        <f>INDEX(Dim_Machine!$D$2:$D$8,MATCH(D86,Dim_Machine!$A$2:$A$8,0))*2</f>
        <v>32</v>
      </c>
      <c r="H86" s="4">
        <f>ROUND(G86*0.0137,0)</f>
        <v>0</v>
      </c>
      <c r="I86" s="4">
        <f t="shared" si="8"/>
        <v>0</v>
      </c>
      <c r="J86" s="4">
        <f t="shared" si="9"/>
        <v>0</v>
      </c>
      <c r="K86" s="4">
        <f t="shared" si="10"/>
        <v>0</v>
      </c>
      <c r="L86" s="4" t="s">
        <v>500</v>
      </c>
      <c r="M86" s="4">
        <f>INDEX(Dim_Product!$C$2:$C$4,MATCH(F86,Dim_Product!$A$2:$A$4,0))+0.04</f>
        <v>200.04</v>
      </c>
      <c r="N86" s="4">
        <f>IF(AND(M86&gt;=INDEX(Dim_Product!$C$2:$C$4,MATCH(F86,Dim_Product!$A$2:$A$4,0))-INDEX(Dim_Product!$D$2:$D$4,MATCH(F86,Dim_Product!$A$2:$A$4,0)),M86&lt;=INDEX(Dim_Product!$C$2:$C$4,MATCH(F86,Dim_Product!$A$2:$A$4,0))+INDEX(Dim_Product!$D$2:$D$4,MATCH(F86,Dim_Product!$A$2:$A$4,0))),G86-H86,G86-H86-1)</f>
        <v>32</v>
      </c>
      <c r="O86" s="4">
        <f t="shared" si="11"/>
        <v>0</v>
      </c>
      <c r="P86" s="4">
        <f>INDEX(Dim_Product!$G$2:$G$4,MATCH(F86,Dim_Product!$A$2:$A$4,0))+0.04</f>
        <v>65.040000000000006</v>
      </c>
      <c r="Q86" s="4">
        <f>IF(AND(P86&gt;=INDEX(Dim_Product!$G$2:$G$4,MATCH(F86,Dim_Product!$A$2:$A$4,0))-INDEX(Dim_Product!$H$2:$H$4,MATCH(F86,Dim_Product!$A$2:$A$4,0)),P86&lt;=INDEX(Dim_Product!$G$2:$G$4,MATCH(F86,Dim_Product!$A$2:$A$4,0))+INDEX(Dim_Product!$H$2:$H$4,MATCH(F86,Dim_Product!$A$2:$A$4,0))),G86-H86,G86-H86-1)</f>
        <v>32</v>
      </c>
      <c r="R86" s="4">
        <f t="shared" si="12"/>
        <v>0</v>
      </c>
      <c r="S86" s="4">
        <f>INDEX(Dim_Product!$K$2:$K$4,MATCH(F86,Dim_Product!$A$2:$A$4,0))+0.4</f>
        <v>110.4</v>
      </c>
      <c r="T86" s="4">
        <f>IF(AND(S86&gt;=INDEX(Dim_Product!$K$2:$K$4,MATCH(F86,Dim_Product!$A$2:$A$4,0))-INDEX(Dim_Product!$L$2:$L$4,MATCH(F86,Dim_Product!$A$2:$A$4,0)),S86&lt;=INDEX(Dim_Product!$K$2:$K$4,MATCH(F86,Dim_Product!$A$2:$A$4,0))+INDEX(Dim_Product!$L$2:$L$4,MATCH(F86,Dim_Product!$A$2:$A$4,0))),G86-H86,G86-H86-1)</f>
        <v>32</v>
      </c>
      <c r="U86" s="4">
        <f t="shared" si="13"/>
        <v>0</v>
      </c>
      <c r="V86" s="4">
        <f t="shared" si="14"/>
        <v>0</v>
      </c>
      <c r="W86" s="16">
        <f t="shared" si="15"/>
        <v>1</v>
      </c>
    </row>
    <row r="87" spans="1:23" x14ac:dyDescent="0.25">
      <c r="A87" s="15" t="s">
        <v>588</v>
      </c>
      <c r="B87" s="4">
        <f>Fact_Production_Hourly!B87</f>
        <v>20260701</v>
      </c>
      <c r="C87" s="4">
        <f>Fact_Production_Hourly!C87</f>
        <v>12</v>
      </c>
      <c r="D87" s="4" t="str">
        <f>Fact_Production_Hourly!D87</f>
        <v>M2</v>
      </c>
      <c r="E87" s="4" t="str">
        <f>Fact_Production_Hourly!E87</f>
        <v>A-AM</v>
      </c>
      <c r="F87" s="4" t="str">
        <f>Fact_Production_Hourly!F87</f>
        <v>A</v>
      </c>
      <c r="G87" s="4">
        <f>INDEX(Dim_Machine!$D$2:$D$8,MATCH(D87,Dim_Machine!$A$2:$A$8,0))*2</f>
        <v>48</v>
      </c>
      <c r="H87" s="4">
        <f>ROUND(G87*0.0387,0)</f>
        <v>2</v>
      </c>
      <c r="I87" s="4">
        <f t="shared" si="8"/>
        <v>0</v>
      </c>
      <c r="J87" s="4">
        <f t="shared" si="9"/>
        <v>1</v>
      </c>
      <c r="K87" s="4">
        <f t="shared" si="10"/>
        <v>1</v>
      </c>
      <c r="L87" s="4" t="s">
        <v>503</v>
      </c>
      <c r="M87" s="4">
        <f>INDEX(Dim_Product!$C$2:$C$4,MATCH(F87,Dim_Product!$A$2:$A$4,0))+-0.37</f>
        <v>249.63</v>
      </c>
      <c r="N87" s="4">
        <f>IF(AND(M87&gt;=INDEX(Dim_Product!$C$2:$C$4,MATCH(F87,Dim_Product!$A$2:$A$4,0))-INDEX(Dim_Product!$D$2:$D$4,MATCH(F87,Dim_Product!$A$2:$A$4,0)),M87&lt;=INDEX(Dim_Product!$C$2:$C$4,MATCH(F87,Dim_Product!$A$2:$A$4,0))+INDEX(Dim_Product!$D$2:$D$4,MATCH(F87,Dim_Product!$A$2:$A$4,0))),G87-H87,G87-H87-1)</f>
        <v>46</v>
      </c>
      <c r="O87" s="4">
        <f t="shared" si="11"/>
        <v>2</v>
      </c>
      <c r="P87" s="4">
        <f>INDEX(Dim_Product!$G$2:$G$4,MATCH(F87,Dim_Product!$A$2:$A$4,0))+-0.2</f>
        <v>69.8</v>
      </c>
      <c r="Q87" s="4">
        <f>IF(AND(P87&gt;=INDEX(Dim_Product!$G$2:$G$4,MATCH(F87,Dim_Product!$A$2:$A$4,0))-INDEX(Dim_Product!$H$2:$H$4,MATCH(F87,Dim_Product!$A$2:$A$4,0)),P87&lt;=INDEX(Dim_Product!$G$2:$G$4,MATCH(F87,Dim_Product!$A$2:$A$4,0))+INDEX(Dim_Product!$H$2:$H$4,MATCH(F87,Dim_Product!$A$2:$A$4,0))),G87-H87,G87-H87-1)</f>
        <v>46</v>
      </c>
      <c r="R87" s="4">
        <f t="shared" si="12"/>
        <v>2</v>
      </c>
      <c r="S87" s="4">
        <f>INDEX(Dim_Product!$K$2:$K$4,MATCH(F87,Dim_Product!$A$2:$A$4,0))+0.33</f>
        <v>120.33</v>
      </c>
      <c r="T87" s="4">
        <f>IF(AND(S87&gt;=INDEX(Dim_Product!$K$2:$K$4,MATCH(F87,Dim_Product!$A$2:$A$4,0))-INDEX(Dim_Product!$L$2:$L$4,MATCH(F87,Dim_Product!$A$2:$A$4,0)),S87&lt;=INDEX(Dim_Product!$K$2:$K$4,MATCH(F87,Dim_Product!$A$2:$A$4,0))+INDEX(Dim_Product!$L$2:$L$4,MATCH(F87,Dim_Product!$A$2:$A$4,0))),G87-H87,G87-H87-1)</f>
        <v>46</v>
      </c>
      <c r="U87" s="4">
        <f t="shared" si="13"/>
        <v>2</v>
      </c>
      <c r="V87" s="4">
        <f t="shared" si="14"/>
        <v>4.1666666666666664E-2</v>
      </c>
      <c r="W87" s="16">
        <f t="shared" si="15"/>
        <v>0.95833333333333337</v>
      </c>
    </row>
    <row r="88" spans="1:23" x14ac:dyDescent="0.25">
      <c r="A88" s="15" t="s">
        <v>589</v>
      </c>
      <c r="B88" s="4">
        <f>Fact_Production_Hourly!B88</f>
        <v>20260701</v>
      </c>
      <c r="C88" s="4">
        <f>Fact_Production_Hourly!C88</f>
        <v>12</v>
      </c>
      <c r="D88" s="4" t="str">
        <f>Fact_Production_Hourly!D88</f>
        <v>M3</v>
      </c>
      <c r="E88" s="4" t="str">
        <f>Fact_Production_Hourly!E88</f>
        <v>A-AM</v>
      </c>
      <c r="F88" s="4" t="str">
        <f>Fact_Production_Hourly!F88</f>
        <v>B</v>
      </c>
      <c r="G88" s="4">
        <f>INDEX(Dim_Machine!$D$2:$D$8,MATCH(D88,Dim_Machine!$A$2:$A$8,0))*2</f>
        <v>24</v>
      </c>
      <c r="H88" s="4">
        <f>ROUND(G88*0.0305,0)</f>
        <v>1</v>
      </c>
      <c r="I88" s="4">
        <f t="shared" si="8"/>
        <v>0</v>
      </c>
      <c r="J88" s="4">
        <f t="shared" si="9"/>
        <v>0</v>
      </c>
      <c r="K88" s="4">
        <f t="shared" si="10"/>
        <v>1</v>
      </c>
      <c r="L88" s="4" t="s">
        <v>517</v>
      </c>
      <c r="M88" s="4">
        <f>INDEX(Dim_Product!$C$2:$C$4,MATCH(F88,Dim_Product!$A$2:$A$4,0))+0.35</f>
        <v>300.35000000000002</v>
      </c>
      <c r="N88" s="4">
        <f>IF(AND(M88&gt;=INDEX(Dim_Product!$C$2:$C$4,MATCH(F88,Dim_Product!$A$2:$A$4,0))-INDEX(Dim_Product!$D$2:$D$4,MATCH(F88,Dim_Product!$A$2:$A$4,0)),M88&lt;=INDEX(Dim_Product!$C$2:$C$4,MATCH(F88,Dim_Product!$A$2:$A$4,0))+INDEX(Dim_Product!$D$2:$D$4,MATCH(F88,Dim_Product!$A$2:$A$4,0))),G88-H88,G88-H88-1)</f>
        <v>23</v>
      </c>
      <c r="O88" s="4">
        <f t="shared" si="11"/>
        <v>1</v>
      </c>
      <c r="P88" s="4">
        <f>INDEX(Dim_Product!$G$2:$G$4,MATCH(F88,Dim_Product!$A$2:$A$4,0))+0.22</f>
        <v>75.22</v>
      </c>
      <c r="Q88" s="4">
        <f>IF(AND(P88&gt;=INDEX(Dim_Product!$G$2:$G$4,MATCH(F88,Dim_Product!$A$2:$A$4,0))-INDEX(Dim_Product!$H$2:$H$4,MATCH(F88,Dim_Product!$A$2:$A$4,0)),P88&lt;=INDEX(Dim_Product!$G$2:$G$4,MATCH(F88,Dim_Product!$A$2:$A$4,0))+INDEX(Dim_Product!$H$2:$H$4,MATCH(F88,Dim_Product!$A$2:$A$4,0))),G88-H88,G88-H88-1)</f>
        <v>23</v>
      </c>
      <c r="R88" s="4">
        <f t="shared" si="12"/>
        <v>1</v>
      </c>
      <c r="S88" s="4">
        <f>INDEX(Dim_Product!$K$2:$K$4,MATCH(F88,Dim_Product!$A$2:$A$4,0))+0.14</f>
        <v>130.13999999999999</v>
      </c>
      <c r="T88" s="4">
        <f>IF(AND(S88&gt;=INDEX(Dim_Product!$K$2:$K$4,MATCH(F88,Dim_Product!$A$2:$A$4,0))-INDEX(Dim_Product!$L$2:$L$4,MATCH(F88,Dim_Product!$A$2:$A$4,0)),S88&lt;=INDEX(Dim_Product!$K$2:$K$4,MATCH(F88,Dim_Product!$A$2:$A$4,0))+INDEX(Dim_Product!$L$2:$L$4,MATCH(F88,Dim_Product!$A$2:$A$4,0))),G88-H88,G88-H88-1)</f>
        <v>23</v>
      </c>
      <c r="U88" s="4">
        <f t="shared" si="13"/>
        <v>1</v>
      </c>
      <c r="V88" s="4">
        <f t="shared" si="14"/>
        <v>4.1666666666666664E-2</v>
      </c>
      <c r="W88" s="16">
        <f t="shared" si="15"/>
        <v>0.95833333333333337</v>
      </c>
    </row>
    <row r="89" spans="1:23" x14ac:dyDescent="0.25">
      <c r="A89" s="15" t="s">
        <v>590</v>
      </c>
      <c r="B89" s="4">
        <f>Fact_Production_Hourly!B89</f>
        <v>20260701</v>
      </c>
      <c r="C89" s="4">
        <f>Fact_Production_Hourly!C89</f>
        <v>12</v>
      </c>
      <c r="D89" s="4" t="str">
        <f>Fact_Production_Hourly!D89</f>
        <v>M4</v>
      </c>
      <c r="E89" s="4" t="str">
        <f>Fact_Production_Hourly!E89</f>
        <v>A-AM</v>
      </c>
      <c r="F89" s="4" t="str">
        <f>Fact_Production_Hourly!F89</f>
        <v>A</v>
      </c>
      <c r="G89" s="4">
        <f>INDEX(Dim_Machine!$D$2:$D$8,MATCH(D89,Dim_Machine!$A$2:$A$8,0))*2</f>
        <v>48</v>
      </c>
      <c r="H89" s="4">
        <f>ROUND(G89*0.0582,0)</f>
        <v>3</v>
      </c>
      <c r="I89" s="4">
        <f t="shared" si="8"/>
        <v>0</v>
      </c>
      <c r="J89" s="4">
        <f t="shared" si="9"/>
        <v>1</v>
      </c>
      <c r="K89" s="4">
        <f t="shared" si="10"/>
        <v>2</v>
      </c>
      <c r="L89" s="4" t="s">
        <v>517</v>
      </c>
      <c r="M89" s="4">
        <f>INDEX(Dim_Product!$C$2:$C$4,MATCH(F89,Dim_Product!$A$2:$A$4,0))+0.22</f>
        <v>250.22</v>
      </c>
      <c r="N89" s="4">
        <f>IF(AND(M89&gt;=INDEX(Dim_Product!$C$2:$C$4,MATCH(F89,Dim_Product!$A$2:$A$4,0))-INDEX(Dim_Product!$D$2:$D$4,MATCH(F89,Dim_Product!$A$2:$A$4,0)),M89&lt;=INDEX(Dim_Product!$C$2:$C$4,MATCH(F89,Dim_Product!$A$2:$A$4,0))+INDEX(Dim_Product!$D$2:$D$4,MATCH(F89,Dim_Product!$A$2:$A$4,0))),G89-H89,G89-H89-1)</f>
        <v>45</v>
      </c>
      <c r="O89" s="4">
        <f t="shared" si="11"/>
        <v>3</v>
      </c>
      <c r="P89" s="4">
        <f>INDEX(Dim_Product!$G$2:$G$4,MATCH(F89,Dim_Product!$A$2:$A$4,0))+-0.18</f>
        <v>69.819999999999993</v>
      </c>
      <c r="Q89" s="4">
        <f>IF(AND(P89&gt;=INDEX(Dim_Product!$G$2:$G$4,MATCH(F89,Dim_Product!$A$2:$A$4,0))-INDEX(Dim_Product!$H$2:$H$4,MATCH(F89,Dim_Product!$A$2:$A$4,0)),P89&lt;=INDEX(Dim_Product!$G$2:$G$4,MATCH(F89,Dim_Product!$A$2:$A$4,0))+INDEX(Dim_Product!$H$2:$H$4,MATCH(F89,Dim_Product!$A$2:$A$4,0))),G89-H89,G89-H89-1)</f>
        <v>45</v>
      </c>
      <c r="R89" s="4">
        <f t="shared" si="12"/>
        <v>3</v>
      </c>
      <c r="S89" s="4">
        <f>INDEX(Dim_Product!$K$2:$K$4,MATCH(F89,Dim_Product!$A$2:$A$4,0))+-0.2</f>
        <v>119.8</v>
      </c>
      <c r="T89" s="4">
        <f>IF(AND(S89&gt;=INDEX(Dim_Product!$K$2:$K$4,MATCH(F89,Dim_Product!$A$2:$A$4,0))-INDEX(Dim_Product!$L$2:$L$4,MATCH(F89,Dim_Product!$A$2:$A$4,0)),S89&lt;=INDEX(Dim_Product!$K$2:$K$4,MATCH(F89,Dim_Product!$A$2:$A$4,0))+INDEX(Dim_Product!$L$2:$L$4,MATCH(F89,Dim_Product!$A$2:$A$4,0))),G89-H89,G89-H89-1)</f>
        <v>45</v>
      </c>
      <c r="U89" s="4">
        <f t="shared" si="13"/>
        <v>3</v>
      </c>
      <c r="V89" s="4">
        <f t="shared" si="14"/>
        <v>6.25E-2</v>
      </c>
      <c r="W89" s="16">
        <f t="shared" si="15"/>
        <v>0.9375</v>
      </c>
    </row>
    <row r="90" spans="1:23" x14ac:dyDescent="0.25">
      <c r="A90" s="15" t="s">
        <v>591</v>
      </c>
      <c r="B90" s="4">
        <f>Fact_Production_Hourly!B90</f>
        <v>20260701</v>
      </c>
      <c r="C90" s="4">
        <f>Fact_Production_Hourly!C90</f>
        <v>12</v>
      </c>
      <c r="D90" s="4" t="str">
        <f>Fact_Production_Hourly!D90</f>
        <v>M5</v>
      </c>
      <c r="E90" s="4" t="str">
        <f>Fact_Production_Hourly!E90</f>
        <v>A-AM</v>
      </c>
      <c r="F90" s="4" t="str">
        <f>Fact_Production_Hourly!F90</f>
        <v>C</v>
      </c>
      <c r="G90" s="4">
        <f>INDEX(Dim_Machine!$D$2:$D$8,MATCH(D90,Dim_Machine!$A$2:$A$8,0))*2</f>
        <v>32</v>
      </c>
      <c r="H90" s="4">
        <f>ROUND(G90*0.0435,0)</f>
        <v>1</v>
      </c>
      <c r="I90" s="4">
        <f t="shared" si="8"/>
        <v>0</v>
      </c>
      <c r="J90" s="4">
        <f t="shared" si="9"/>
        <v>0</v>
      </c>
      <c r="K90" s="4">
        <f t="shared" si="10"/>
        <v>1</v>
      </c>
      <c r="L90" s="4" t="s">
        <v>500</v>
      </c>
      <c r="M90" s="4">
        <f>INDEX(Dim_Product!$C$2:$C$4,MATCH(F90,Dim_Product!$A$2:$A$4,0))+0.88</f>
        <v>200.88</v>
      </c>
      <c r="N90" s="4">
        <f>IF(AND(M90&gt;=INDEX(Dim_Product!$C$2:$C$4,MATCH(F90,Dim_Product!$A$2:$A$4,0))-INDEX(Dim_Product!$D$2:$D$4,MATCH(F90,Dim_Product!$A$2:$A$4,0)),M90&lt;=INDEX(Dim_Product!$C$2:$C$4,MATCH(F90,Dim_Product!$A$2:$A$4,0))+INDEX(Dim_Product!$D$2:$D$4,MATCH(F90,Dim_Product!$A$2:$A$4,0))),G90-H90,G90-H90-1)</f>
        <v>31</v>
      </c>
      <c r="O90" s="4">
        <f t="shared" si="11"/>
        <v>1</v>
      </c>
      <c r="P90" s="4">
        <f>INDEX(Dim_Product!$G$2:$G$4,MATCH(F90,Dim_Product!$A$2:$A$4,0))+0.29</f>
        <v>65.290000000000006</v>
      </c>
      <c r="Q90" s="4">
        <f>IF(AND(P90&gt;=INDEX(Dim_Product!$G$2:$G$4,MATCH(F90,Dim_Product!$A$2:$A$4,0))-INDEX(Dim_Product!$H$2:$H$4,MATCH(F90,Dim_Product!$A$2:$A$4,0)),P90&lt;=INDEX(Dim_Product!$G$2:$G$4,MATCH(F90,Dim_Product!$A$2:$A$4,0))+INDEX(Dim_Product!$H$2:$H$4,MATCH(F90,Dim_Product!$A$2:$A$4,0))),G90-H90,G90-H90-1)</f>
        <v>31</v>
      </c>
      <c r="R90" s="4">
        <f t="shared" si="12"/>
        <v>1</v>
      </c>
      <c r="S90" s="4">
        <f>INDEX(Dim_Product!$K$2:$K$4,MATCH(F90,Dim_Product!$A$2:$A$4,0))+0.22</f>
        <v>110.22</v>
      </c>
      <c r="T90" s="4">
        <f>IF(AND(S90&gt;=INDEX(Dim_Product!$K$2:$K$4,MATCH(F90,Dim_Product!$A$2:$A$4,0))-INDEX(Dim_Product!$L$2:$L$4,MATCH(F90,Dim_Product!$A$2:$A$4,0)),S90&lt;=INDEX(Dim_Product!$K$2:$K$4,MATCH(F90,Dim_Product!$A$2:$A$4,0))+INDEX(Dim_Product!$L$2:$L$4,MATCH(F90,Dim_Product!$A$2:$A$4,0))),G90-H90,G90-H90-1)</f>
        <v>31</v>
      </c>
      <c r="U90" s="4">
        <f t="shared" si="13"/>
        <v>1</v>
      </c>
      <c r="V90" s="4">
        <f t="shared" si="14"/>
        <v>3.125E-2</v>
      </c>
      <c r="W90" s="16">
        <f t="shared" si="15"/>
        <v>0.96875</v>
      </c>
    </row>
    <row r="91" spans="1:23" x14ac:dyDescent="0.25">
      <c r="A91" s="15" t="s">
        <v>592</v>
      </c>
      <c r="B91" s="4">
        <f>Fact_Production_Hourly!B91</f>
        <v>20260701</v>
      </c>
      <c r="C91" s="4">
        <f>Fact_Production_Hourly!C91</f>
        <v>12</v>
      </c>
      <c r="D91" s="4" t="str">
        <f>Fact_Production_Hourly!D91</f>
        <v>M6</v>
      </c>
      <c r="E91" s="4" t="str">
        <f>Fact_Production_Hourly!E91</f>
        <v>A-AM</v>
      </c>
      <c r="F91" s="4" t="str">
        <f>Fact_Production_Hourly!F91</f>
        <v>C</v>
      </c>
      <c r="G91" s="4">
        <f>INDEX(Dim_Machine!$D$2:$D$8,MATCH(D91,Dim_Machine!$A$2:$A$8,0))*2</f>
        <v>24</v>
      </c>
      <c r="H91" s="4">
        <f>ROUND(G91*0.0523,0)</f>
        <v>1</v>
      </c>
      <c r="I91" s="4">
        <f t="shared" si="8"/>
        <v>0</v>
      </c>
      <c r="J91" s="4">
        <f t="shared" si="9"/>
        <v>0</v>
      </c>
      <c r="K91" s="4">
        <f t="shared" si="10"/>
        <v>1</v>
      </c>
      <c r="L91" s="4" t="s">
        <v>520</v>
      </c>
      <c r="M91" s="4">
        <f>INDEX(Dim_Product!$C$2:$C$4,MATCH(F91,Dim_Product!$A$2:$A$4,0))+0.41</f>
        <v>200.41</v>
      </c>
      <c r="N91" s="4">
        <f>IF(AND(M91&gt;=INDEX(Dim_Product!$C$2:$C$4,MATCH(F91,Dim_Product!$A$2:$A$4,0))-INDEX(Dim_Product!$D$2:$D$4,MATCH(F91,Dim_Product!$A$2:$A$4,0)),M91&lt;=INDEX(Dim_Product!$C$2:$C$4,MATCH(F91,Dim_Product!$A$2:$A$4,0))+INDEX(Dim_Product!$D$2:$D$4,MATCH(F91,Dim_Product!$A$2:$A$4,0))),G91-H91,G91-H91-1)</f>
        <v>23</v>
      </c>
      <c r="O91" s="4">
        <f t="shared" si="11"/>
        <v>1</v>
      </c>
      <c r="P91" s="4">
        <f>INDEX(Dim_Product!$G$2:$G$4,MATCH(F91,Dim_Product!$A$2:$A$4,0))+-0.11</f>
        <v>64.89</v>
      </c>
      <c r="Q91" s="4">
        <f>IF(AND(P91&gt;=INDEX(Dim_Product!$G$2:$G$4,MATCH(F91,Dim_Product!$A$2:$A$4,0))-INDEX(Dim_Product!$H$2:$H$4,MATCH(F91,Dim_Product!$A$2:$A$4,0)),P91&lt;=INDEX(Dim_Product!$G$2:$G$4,MATCH(F91,Dim_Product!$A$2:$A$4,0))+INDEX(Dim_Product!$H$2:$H$4,MATCH(F91,Dim_Product!$A$2:$A$4,0))),G91-H91,G91-H91-1)</f>
        <v>23</v>
      </c>
      <c r="R91" s="4">
        <f t="shared" si="12"/>
        <v>1</v>
      </c>
      <c r="S91" s="4">
        <f>INDEX(Dim_Product!$K$2:$K$4,MATCH(F91,Dim_Product!$A$2:$A$4,0))+-0.12</f>
        <v>109.88</v>
      </c>
      <c r="T91" s="4">
        <f>IF(AND(S91&gt;=INDEX(Dim_Product!$K$2:$K$4,MATCH(F91,Dim_Product!$A$2:$A$4,0))-INDEX(Dim_Product!$L$2:$L$4,MATCH(F91,Dim_Product!$A$2:$A$4,0)),S91&lt;=INDEX(Dim_Product!$K$2:$K$4,MATCH(F91,Dim_Product!$A$2:$A$4,0))+INDEX(Dim_Product!$L$2:$L$4,MATCH(F91,Dim_Product!$A$2:$A$4,0))),G91-H91,G91-H91-1)</f>
        <v>23</v>
      </c>
      <c r="U91" s="4">
        <f t="shared" si="13"/>
        <v>1</v>
      </c>
      <c r="V91" s="4">
        <f t="shared" si="14"/>
        <v>4.1666666666666664E-2</v>
      </c>
      <c r="W91" s="16">
        <f t="shared" si="15"/>
        <v>0.95833333333333337</v>
      </c>
    </row>
    <row r="92" spans="1:23" x14ac:dyDescent="0.25">
      <c r="A92" s="15" t="s">
        <v>593</v>
      </c>
      <c r="B92" s="4">
        <f>Fact_Production_Hourly!B92</f>
        <v>20260701</v>
      </c>
      <c r="C92" s="4">
        <f>Fact_Production_Hourly!C92</f>
        <v>12</v>
      </c>
      <c r="D92" s="4" t="str">
        <f>Fact_Production_Hourly!D92</f>
        <v>M7</v>
      </c>
      <c r="E92" s="4" t="str">
        <f>Fact_Production_Hourly!E92</f>
        <v>A-AM</v>
      </c>
      <c r="F92" s="4" t="str">
        <f>Fact_Production_Hourly!F92</f>
        <v>C</v>
      </c>
      <c r="G92" s="4">
        <f>INDEX(Dim_Machine!$D$2:$D$8,MATCH(D92,Dim_Machine!$A$2:$A$8,0))*2</f>
        <v>48</v>
      </c>
      <c r="H92" s="4">
        <f>ROUND(G92*0.066,0)</f>
        <v>3</v>
      </c>
      <c r="I92" s="4">
        <f t="shared" si="8"/>
        <v>0</v>
      </c>
      <c r="J92" s="4">
        <f t="shared" si="9"/>
        <v>1</v>
      </c>
      <c r="K92" s="4">
        <f t="shared" si="10"/>
        <v>2</v>
      </c>
      <c r="L92" s="4" t="s">
        <v>520</v>
      </c>
      <c r="M92" s="4">
        <f>INDEX(Dim_Product!$C$2:$C$4,MATCH(F92,Dim_Product!$A$2:$A$4,0))+-0.45</f>
        <v>199.55</v>
      </c>
      <c r="N92" s="4">
        <f>IF(AND(M92&gt;=INDEX(Dim_Product!$C$2:$C$4,MATCH(F92,Dim_Product!$A$2:$A$4,0))-INDEX(Dim_Product!$D$2:$D$4,MATCH(F92,Dim_Product!$A$2:$A$4,0)),M92&lt;=INDEX(Dim_Product!$C$2:$C$4,MATCH(F92,Dim_Product!$A$2:$A$4,0))+INDEX(Dim_Product!$D$2:$D$4,MATCH(F92,Dim_Product!$A$2:$A$4,0))),G92-H92,G92-H92-1)</f>
        <v>45</v>
      </c>
      <c r="O92" s="4">
        <f t="shared" si="11"/>
        <v>3</v>
      </c>
      <c r="P92" s="4">
        <f>INDEX(Dim_Product!$G$2:$G$4,MATCH(F92,Dim_Product!$A$2:$A$4,0))+-0.23</f>
        <v>64.77</v>
      </c>
      <c r="Q92" s="4">
        <f>IF(AND(P92&gt;=INDEX(Dim_Product!$G$2:$G$4,MATCH(F92,Dim_Product!$A$2:$A$4,0))-INDEX(Dim_Product!$H$2:$H$4,MATCH(F92,Dim_Product!$A$2:$A$4,0)),P92&lt;=INDEX(Dim_Product!$G$2:$G$4,MATCH(F92,Dim_Product!$A$2:$A$4,0))+INDEX(Dim_Product!$H$2:$H$4,MATCH(F92,Dim_Product!$A$2:$A$4,0))),G92-H92,G92-H92-1)</f>
        <v>45</v>
      </c>
      <c r="R92" s="4">
        <f t="shared" si="12"/>
        <v>3</v>
      </c>
      <c r="S92" s="4">
        <f>INDEX(Dim_Product!$K$2:$K$4,MATCH(F92,Dim_Product!$A$2:$A$4,0))+0.14</f>
        <v>110.14</v>
      </c>
      <c r="T92" s="4">
        <f>IF(AND(S92&gt;=INDEX(Dim_Product!$K$2:$K$4,MATCH(F92,Dim_Product!$A$2:$A$4,0))-INDEX(Dim_Product!$L$2:$L$4,MATCH(F92,Dim_Product!$A$2:$A$4,0)),S92&lt;=INDEX(Dim_Product!$K$2:$K$4,MATCH(F92,Dim_Product!$A$2:$A$4,0))+INDEX(Dim_Product!$L$2:$L$4,MATCH(F92,Dim_Product!$A$2:$A$4,0))),G92-H92,G92-H92-1)</f>
        <v>45</v>
      </c>
      <c r="U92" s="4">
        <f t="shared" si="13"/>
        <v>3</v>
      </c>
      <c r="V92" s="4">
        <f t="shared" si="14"/>
        <v>6.25E-2</v>
      </c>
      <c r="W92" s="16">
        <f t="shared" si="15"/>
        <v>0.9375</v>
      </c>
    </row>
    <row r="93" spans="1:23" x14ac:dyDescent="0.25">
      <c r="A93" s="15" t="s">
        <v>594</v>
      </c>
      <c r="B93" s="4">
        <f>Fact_Production_Hourly!B93</f>
        <v>20260701</v>
      </c>
      <c r="C93" s="4">
        <f>Fact_Production_Hourly!C93</f>
        <v>13</v>
      </c>
      <c r="D93" s="4" t="str">
        <f>Fact_Production_Hourly!D93</f>
        <v>M1</v>
      </c>
      <c r="E93" s="4" t="str">
        <f>Fact_Production_Hourly!E93</f>
        <v>A-AM</v>
      </c>
      <c r="F93" s="4" t="str">
        <f>Fact_Production_Hourly!F93</f>
        <v>C</v>
      </c>
      <c r="G93" s="4">
        <f>INDEX(Dim_Machine!$D$2:$D$8,MATCH(D93,Dim_Machine!$A$2:$A$8,0))*2</f>
        <v>32</v>
      </c>
      <c r="H93" s="4">
        <f>ROUND(G93*0.0328,0)</f>
        <v>1</v>
      </c>
      <c r="I93" s="4">
        <f t="shared" si="8"/>
        <v>0</v>
      </c>
      <c r="J93" s="4">
        <f t="shared" si="9"/>
        <v>0</v>
      </c>
      <c r="K93" s="4">
        <f t="shared" si="10"/>
        <v>1</v>
      </c>
      <c r="L93" s="4" t="s">
        <v>503</v>
      </c>
      <c r="M93" s="4">
        <f>INDEX(Dim_Product!$C$2:$C$4,MATCH(F93,Dim_Product!$A$2:$A$4,0))+0.64</f>
        <v>200.64</v>
      </c>
      <c r="N93" s="4">
        <f>IF(AND(M93&gt;=INDEX(Dim_Product!$C$2:$C$4,MATCH(F93,Dim_Product!$A$2:$A$4,0))-INDEX(Dim_Product!$D$2:$D$4,MATCH(F93,Dim_Product!$A$2:$A$4,0)),M93&lt;=INDEX(Dim_Product!$C$2:$C$4,MATCH(F93,Dim_Product!$A$2:$A$4,0))+INDEX(Dim_Product!$D$2:$D$4,MATCH(F93,Dim_Product!$A$2:$A$4,0))),G93-H93,G93-H93-1)</f>
        <v>31</v>
      </c>
      <c r="O93" s="4">
        <f t="shared" si="11"/>
        <v>1</v>
      </c>
      <c r="P93" s="4">
        <f>INDEX(Dim_Product!$G$2:$G$4,MATCH(F93,Dim_Product!$A$2:$A$4,0))+0.27</f>
        <v>65.27</v>
      </c>
      <c r="Q93" s="4">
        <f>IF(AND(P93&gt;=INDEX(Dim_Product!$G$2:$G$4,MATCH(F93,Dim_Product!$A$2:$A$4,0))-INDEX(Dim_Product!$H$2:$H$4,MATCH(F93,Dim_Product!$A$2:$A$4,0)),P93&lt;=INDEX(Dim_Product!$G$2:$G$4,MATCH(F93,Dim_Product!$A$2:$A$4,0))+INDEX(Dim_Product!$H$2:$H$4,MATCH(F93,Dim_Product!$A$2:$A$4,0))),G93-H93,G93-H93-1)</f>
        <v>31</v>
      </c>
      <c r="R93" s="4">
        <f t="shared" si="12"/>
        <v>1</v>
      </c>
      <c r="S93" s="4">
        <f>INDEX(Dim_Product!$K$2:$K$4,MATCH(F93,Dim_Product!$A$2:$A$4,0))+0.24</f>
        <v>110.24</v>
      </c>
      <c r="T93" s="4">
        <f>IF(AND(S93&gt;=INDEX(Dim_Product!$K$2:$K$4,MATCH(F93,Dim_Product!$A$2:$A$4,0))-INDEX(Dim_Product!$L$2:$L$4,MATCH(F93,Dim_Product!$A$2:$A$4,0)),S93&lt;=INDEX(Dim_Product!$K$2:$K$4,MATCH(F93,Dim_Product!$A$2:$A$4,0))+INDEX(Dim_Product!$L$2:$L$4,MATCH(F93,Dim_Product!$A$2:$A$4,0))),G93-H93,G93-H93-1)</f>
        <v>31</v>
      </c>
      <c r="U93" s="4">
        <f t="shared" si="13"/>
        <v>1</v>
      </c>
      <c r="V93" s="4">
        <f t="shared" si="14"/>
        <v>3.125E-2</v>
      </c>
      <c r="W93" s="16">
        <f t="shared" si="15"/>
        <v>0.96875</v>
      </c>
    </row>
    <row r="94" spans="1:23" x14ac:dyDescent="0.25">
      <c r="A94" s="15" t="s">
        <v>595</v>
      </c>
      <c r="B94" s="4">
        <f>Fact_Production_Hourly!B94</f>
        <v>20260701</v>
      </c>
      <c r="C94" s="4">
        <f>Fact_Production_Hourly!C94</f>
        <v>13</v>
      </c>
      <c r="D94" s="4" t="str">
        <f>Fact_Production_Hourly!D94</f>
        <v>M2</v>
      </c>
      <c r="E94" s="4" t="str">
        <f>Fact_Production_Hourly!E94</f>
        <v>A-AM</v>
      </c>
      <c r="F94" s="4" t="str">
        <f>Fact_Production_Hourly!F94</f>
        <v>A</v>
      </c>
      <c r="G94" s="4">
        <f>INDEX(Dim_Machine!$D$2:$D$8,MATCH(D94,Dim_Machine!$A$2:$A$8,0))*2</f>
        <v>48</v>
      </c>
      <c r="H94" s="4">
        <f>ROUND(G94*0.0274,0)</f>
        <v>1</v>
      </c>
      <c r="I94" s="4">
        <f t="shared" si="8"/>
        <v>0</v>
      </c>
      <c r="J94" s="4">
        <f t="shared" si="9"/>
        <v>0</v>
      </c>
      <c r="K94" s="4">
        <f t="shared" si="10"/>
        <v>1</v>
      </c>
      <c r="L94" s="4" t="s">
        <v>517</v>
      </c>
      <c r="M94" s="4">
        <f>INDEX(Dim_Product!$C$2:$C$4,MATCH(F94,Dim_Product!$A$2:$A$4,0))+0.91</f>
        <v>250.91</v>
      </c>
      <c r="N94" s="4">
        <f>IF(AND(M94&gt;=INDEX(Dim_Product!$C$2:$C$4,MATCH(F94,Dim_Product!$A$2:$A$4,0))-INDEX(Dim_Product!$D$2:$D$4,MATCH(F94,Dim_Product!$A$2:$A$4,0)),M94&lt;=INDEX(Dim_Product!$C$2:$C$4,MATCH(F94,Dim_Product!$A$2:$A$4,0))+INDEX(Dim_Product!$D$2:$D$4,MATCH(F94,Dim_Product!$A$2:$A$4,0))),G94-H94,G94-H94-1)</f>
        <v>47</v>
      </c>
      <c r="O94" s="4">
        <f t="shared" si="11"/>
        <v>1</v>
      </c>
      <c r="P94" s="4">
        <f>INDEX(Dim_Product!$G$2:$G$4,MATCH(F94,Dim_Product!$A$2:$A$4,0))+-0.25</f>
        <v>69.75</v>
      </c>
      <c r="Q94" s="4">
        <f>IF(AND(P94&gt;=INDEX(Dim_Product!$G$2:$G$4,MATCH(F94,Dim_Product!$A$2:$A$4,0))-INDEX(Dim_Product!$H$2:$H$4,MATCH(F94,Dim_Product!$A$2:$A$4,0)),P94&lt;=INDEX(Dim_Product!$G$2:$G$4,MATCH(F94,Dim_Product!$A$2:$A$4,0))+INDEX(Dim_Product!$H$2:$H$4,MATCH(F94,Dim_Product!$A$2:$A$4,0))),G94-H94,G94-H94-1)</f>
        <v>47</v>
      </c>
      <c r="R94" s="4">
        <f t="shared" si="12"/>
        <v>1</v>
      </c>
      <c r="S94" s="4">
        <f>INDEX(Dim_Product!$K$2:$K$4,MATCH(F94,Dim_Product!$A$2:$A$4,0))+0.34</f>
        <v>120.34</v>
      </c>
      <c r="T94" s="4">
        <f>IF(AND(S94&gt;=INDEX(Dim_Product!$K$2:$K$4,MATCH(F94,Dim_Product!$A$2:$A$4,0))-INDEX(Dim_Product!$L$2:$L$4,MATCH(F94,Dim_Product!$A$2:$A$4,0)),S94&lt;=INDEX(Dim_Product!$K$2:$K$4,MATCH(F94,Dim_Product!$A$2:$A$4,0))+INDEX(Dim_Product!$L$2:$L$4,MATCH(F94,Dim_Product!$A$2:$A$4,0))),G94-H94,G94-H94-1)</f>
        <v>47</v>
      </c>
      <c r="U94" s="4">
        <f t="shared" si="13"/>
        <v>1</v>
      </c>
      <c r="V94" s="4">
        <f t="shared" si="14"/>
        <v>2.0833333333333332E-2</v>
      </c>
      <c r="W94" s="16">
        <f t="shared" si="15"/>
        <v>0.97916666666666663</v>
      </c>
    </row>
    <row r="95" spans="1:23" x14ac:dyDescent="0.25">
      <c r="A95" s="15" t="s">
        <v>596</v>
      </c>
      <c r="B95" s="4">
        <f>Fact_Production_Hourly!B95</f>
        <v>20260701</v>
      </c>
      <c r="C95" s="4">
        <f>Fact_Production_Hourly!C95</f>
        <v>13</v>
      </c>
      <c r="D95" s="4" t="str">
        <f>Fact_Production_Hourly!D95</f>
        <v>M3</v>
      </c>
      <c r="E95" s="4" t="str">
        <f>Fact_Production_Hourly!E95</f>
        <v>A-AM</v>
      </c>
      <c r="F95" s="4" t="str">
        <f>Fact_Production_Hourly!F95</f>
        <v>B</v>
      </c>
      <c r="G95" s="4">
        <f>INDEX(Dim_Machine!$D$2:$D$8,MATCH(D95,Dim_Machine!$A$2:$A$8,0))*2</f>
        <v>24</v>
      </c>
      <c r="H95" s="4">
        <f>ROUND(G95*0.0494,0)</f>
        <v>1</v>
      </c>
      <c r="I95" s="4">
        <f t="shared" si="8"/>
        <v>0</v>
      </c>
      <c r="J95" s="4">
        <f t="shared" si="9"/>
        <v>0</v>
      </c>
      <c r="K95" s="4">
        <f t="shared" si="10"/>
        <v>1</v>
      </c>
      <c r="L95" s="4" t="s">
        <v>520</v>
      </c>
      <c r="M95" s="4">
        <f>INDEX(Dim_Product!$C$2:$C$4,MATCH(F95,Dim_Product!$A$2:$A$4,0))+-0.04</f>
        <v>299.95999999999998</v>
      </c>
      <c r="N95" s="4">
        <f>IF(AND(M95&gt;=INDEX(Dim_Product!$C$2:$C$4,MATCH(F95,Dim_Product!$A$2:$A$4,0))-INDEX(Dim_Product!$D$2:$D$4,MATCH(F95,Dim_Product!$A$2:$A$4,0)),M95&lt;=INDEX(Dim_Product!$C$2:$C$4,MATCH(F95,Dim_Product!$A$2:$A$4,0))+INDEX(Dim_Product!$D$2:$D$4,MATCH(F95,Dim_Product!$A$2:$A$4,0))),G95-H95,G95-H95-1)</f>
        <v>23</v>
      </c>
      <c r="O95" s="4">
        <f t="shared" si="11"/>
        <v>1</v>
      </c>
      <c r="P95" s="4">
        <f>INDEX(Dim_Product!$G$2:$G$4,MATCH(F95,Dim_Product!$A$2:$A$4,0))+-0.18</f>
        <v>74.819999999999993</v>
      </c>
      <c r="Q95" s="4">
        <f>IF(AND(P95&gt;=INDEX(Dim_Product!$G$2:$G$4,MATCH(F95,Dim_Product!$A$2:$A$4,0))-INDEX(Dim_Product!$H$2:$H$4,MATCH(F95,Dim_Product!$A$2:$A$4,0)),P95&lt;=INDEX(Dim_Product!$G$2:$G$4,MATCH(F95,Dim_Product!$A$2:$A$4,0))+INDEX(Dim_Product!$H$2:$H$4,MATCH(F95,Dim_Product!$A$2:$A$4,0))),G95-H95,G95-H95-1)</f>
        <v>23</v>
      </c>
      <c r="R95" s="4">
        <f t="shared" si="12"/>
        <v>1</v>
      </c>
      <c r="S95" s="4">
        <f>INDEX(Dim_Product!$K$2:$K$4,MATCH(F95,Dim_Product!$A$2:$A$4,0))+0.03</f>
        <v>130.03</v>
      </c>
      <c r="T95" s="4">
        <f>IF(AND(S95&gt;=INDEX(Dim_Product!$K$2:$K$4,MATCH(F95,Dim_Product!$A$2:$A$4,0))-INDEX(Dim_Product!$L$2:$L$4,MATCH(F95,Dim_Product!$A$2:$A$4,0)),S95&lt;=INDEX(Dim_Product!$K$2:$K$4,MATCH(F95,Dim_Product!$A$2:$A$4,0))+INDEX(Dim_Product!$L$2:$L$4,MATCH(F95,Dim_Product!$A$2:$A$4,0))),G95-H95,G95-H95-1)</f>
        <v>23</v>
      </c>
      <c r="U95" s="4">
        <f t="shared" si="13"/>
        <v>1</v>
      </c>
      <c r="V95" s="4">
        <f t="shared" si="14"/>
        <v>4.1666666666666664E-2</v>
      </c>
      <c r="W95" s="16">
        <f t="shared" si="15"/>
        <v>0.95833333333333337</v>
      </c>
    </row>
    <row r="96" spans="1:23" x14ac:dyDescent="0.25">
      <c r="A96" s="15" t="s">
        <v>597</v>
      </c>
      <c r="B96" s="4">
        <f>Fact_Production_Hourly!B96</f>
        <v>20260701</v>
      </c>
      <c r="C96" s="4">
        <f>Fact_Production_Hourly!C96</f>
        <v>13</v>
      </c>
      <c r="D96" s="4" t="str">
        <f>Fact_Production_Hourly!D96</f>
        <v>M4</v>
      </c>
      <c r="E96" s="4" t="str">
        <f>Fact_Production_Hourly!E96</f>
        <v>A-AM</v>
      </c>
      <c r="F96" s="4" t="str">
        <f>Fact_Production_Hourly!F96</f>
        <v>A</v>
      </c>
      <c r="G96" s="4">
        <f>INDEX(Dim_Machine!$D$2:$D$8,MATCH(D96,Dim_Machine!$A$2:$A$8,0))*2</f>
        <v>48</v>
      </c>
      <c r="H96" s="4">
        <f>ROUND(G96*0.066,0)</f>
        <v>3</v>
      </c>
      <c r="I96" s="4">
        <f t="shared" si="8"/>
        <v>0</v>
      </c>
      <c r="J96" s="4">
        <f t="shared" si="9"/>
        <v>1</v>
      </c>
      <c r="K96" s="4">
        <f t="shared" si="10"/>
        <v>2</v>
      </c>
      <c r="L96" s="4" t="s">
        <v>520</v>
      </c>
      <c r="M96" s="4">
        <f>INDEX(Dim_Product!$C$2:$C$4,MATCH(F96,Dim_Product!$A$2:$A$4,0))+-0.46</f>
        <v>249.54</v>
      </c>
      <c r="N96" s="4">
        <f>IF(AND(M96&gt;=INDEX(Dim_Product!$C$2:$C$4,MATCH(F96,Dim_Product!$A$2:$A$4,0))-INDEX(Dim_Product!$D$2:$D$4,MATCH(F96,Dim_Product!$A$2:$A$4,0)),M96&lt;=INDEX(Dim_Product!$C$2:$C$4,MATCH(F96,Dim_Product!$A$2:$A$4,0))+INDEX(Dim_Product!$D$2:$D$4,MATCH(F96,Dim_Product!$A$2:$A$4,0))),G96-H96,G96-H96-1)</f>
        <v>45</v>
      </c>
      <c r="O96" s="4">
        <f t="shared" si="11"/>
        <v>3</v>
      </c>
      <c r="P96" s="4">
        <f>INDEX(Dim_Product!$G$2:$G$4,MATCH(F96,Dim_Product!$A$2:$A$4,0))+-0.23</f>
        <v>69.77</v>
      </c>
      <c r="Q96" s="4">
        <f>IF(AND(P96&gt;=INDEX(Dim_Product!$G$2:$G$4,MATCH(F96,Dim_Product!$A$2:$A$4,0))-INDEX(Dim_Product!$H$2:$H$4,MATCH(F96,Dim_Product!$A$2:$A$4,0)),P96&lt;=INDEX(Dim_Product!$G$2:$G$4,MATCH(F96,Dim_Product!$A$2:$A$4,0))+INDEX(Dim_Product!$H$2:$H$4,MATCH(F96,Dim_Product!$A$2:$A$4,0))),G96-H96,G96-H96-1)</f>
        <v>45</v>
      </c>
      <c r="R96" s="4">
        <f t="shared" si="12"/>
        <v>3</v>
      </c>
      <c r="S96" s="4">
        <f>INDEX(Dim_Product!$K$2:$K$4,MATCH(F96,Dim_Product!$A$2:$A$4,0))+0.19</f>
        <v>120.19</v>
      </c>
      <c r="T96" s="4">
        <f>IF(AND(S96&gt;=INDEX(Dim_Product!$K$2:$K$4,MATCH(F96,Dim_Product!$A$2:$A$4,0))-INDEX(Dim_Product!$L$2:$L$4,MATCH(F96,Dim_Product!$A$2:$A$4,0)),S96&lt;=INDEX(Dim_Product!$K$2:$K$4,MATCH(F96,Dim_Product!$A$2:$A$4,0))+INDEX(Dim_Product!$L$2:$L$4,MATCH(F96,Dim_Product!$A$2:$A$4,0))),G96-H96,G96-H96-1)</f>
        <v>45</v>
      </c>
      <c r="U96" s="4">
        <f t="shared" si="13"/>
        <v>3</v>
      </c>
      <c r="V96" s="4">
        <f t="shared" si="14"/>
        <v>6.25E-2</v>
      </c>
      <c r="W96" s="16">
        <f t="shared" si="15"/>
        <v>0.9375</v>
      </c>
    </row>
    <row r="97" spans="1:23" x14ac:dyDescent="0.25">
      <c r="A97" s="15" t="s">
        <v>598</v>
      </c>
      <c r="B97" s="4">
        <f>Fact_Production_Hourly!B97</f>
        <v>20260701</v>
      </c>
      <c r="C97" s="4">
        <f>Fact_Production_Hourly!C97</f>
        <v>13</v>
      </c>
      <c r="D97" s="4" t="str">
        <f>Fact_Production_Hourly!D97</f>
        <v>M5</v>
      </c>
      <c r="E97" s="4" t="str">
        <f>Fact_Production_Hourly!E97</f>
        <v>A-AM</v>
      </c>
      <c r="F97" s="4" t="str">
        <f>Fact_Production_Hourly!F97</f>
        <v>C</v>
      </c>
      <c r="G97" s="4">
        <f>INDEX(Dim_Machine!$D$2:$D$8,MATCH(D97,Dim_Machine!$A$2:$A$8,0))*2</f>
        <v>32</v>
      </c>
      <c r="H97" s="4">
        <f>ROUND(G97*0.0244,0)</f>
        <v>1</v>
      </c>
      <c r="I97" s="4">
        <f t="shared" si="8"/>
        <v>0</v>
      </c>
      <c r="J97" s="4">
        <f t="shared" si="9"/>
        <v>0</v>
      </c>
      <c r="K97" s="4">
        <f t="shared" si="10"/>
        <v>1</v>
      </c>
      <c r="L97" s="4" t="s">
        <v>498</v>
      </c>
      <c r="M97" s="4">
        <f>INDEX(Dim_Product!$C$2:$C$4,MATCH(F97,Dim_Product!$A$2:$A$4,0))+0.34</f>
        <v>200.34</v>
      </c>
      <c r="N97" s="4">
        <f>IF(AND(M97&gt;=INDEX(Dim_Product!$C$2:$C$4,MATCH(F97,Dim_Product!$A$2:$A$4,0))-INDEX(Dim_Product!$D$2:$D$4,MATCH(F97,Dim_Product!$A$2:$A$4,0)),M97&lt;=INDEX(Dim_Product!$C$2:$C$4,MATCH(F97,Dim_Product!$A$2:$A$4,0))+INDEX(Dim_Product!$D$2:$D$4,MATCH(F97,Dim_Product!$A$2:$A$4,0))),G97-H97,G97-H97-1)</f>
        <v>31</v>
      </c>
      <c r="O97" s="4">
        <f t="shared" si="11"/>
        <v>1</v>
      </c>
      <c r="P97" s="4">
        <f>INDEX(Dim_Product!$G$2:$G$4,MATCH(F97,Dim_Product!$A$2:$A$4,0))+0.02</f>
        <v>65.02</v>
      </c>
      <c r="Q97" s="4">
        <f>IF(AND(P97&gt;=INDEX(Dim_Product!$G$2:$G$4,MATCH(F97,Dim_Product!$A$2:$A$4,0))-INDEX(Dim_Product!$H$2:$H$4,MATCH(F97,Dim_Product!$A$2:$A$4,0)),P97&lt;=INDEX(Dim_Product!$G$2:$G$4,MATCH(F97,Dim_Product!$A$2:$A$4,0))+INDEX(Dim_Product!$H$2:$H$4,MATCH(F97,Dim_Product!$A$2:$A$4,0))),G97-H97,G97-H97-1)</f>
        <v>31</v>
      </c>
      <c r="R97" s="4">
        <f t="shared" si="12"/>
        <v>1</v>
      </c>
      <c r="S97" s="4">
        <f>INDEX(Dim_Product!$K$2:$K$4,MATCH(F97,Dim_Product!$A$2:$A$4,0))+0.11</f>
        <v>110.11</v>
      </c>
      <c r="T97" s="4">
        <f>IF(AND(S97&gt;=INDEX(Dim_Product!$K$2:$K$4,MATCH(F97,Dim_Product!$A$2:$A$4,0))-INDEX(Dim_Product!$L$2:$L$4,MATCH(F97,Dim_Product!$A$2:$A$4,0)),S97&lt;=INDEX(Dim_Product!$K$2:$K$4,MATCH(F97,Dim_Product!$A$2:$A$4,0))+INDEX(Dim_Product!$L$2:$L$4,MATCH(F97,Dim_Product!$A$2:$A$4,0))),G97-H97,G97-H97-1)</f>
        <v>31</v>
      </c>
      <c r="U97" s="4">
        <f t="shared" si="13"/>
        <v>1</v>
      </c>
      <c r="V97" s="4">
        <f t="shared" si="14"/>
        <v>3.125E-2</v>
      </c>
      <c r="W97" s="16">
        <f t="shared" si="15"/>
        <v>0.96875</v>
      </c>
    </row>
    <row r="98" spans="1:23" x14ac:dyDescent="0.25">
      <c r="A98" s="15" t="s">
        <v>599</v>
      </c>
      <c r="B98" s="4">
        <f>Fact_Production_Hourly!B98</f>
        <v>20260701</v>
      </c>
      <c r="C98" s="4">
        <f>Fact_Production_Hourly!C98</f>
        <v>13</v>
      </c>
      <c r="D98" s="4" t="str">
        <f>Fact_Production_Hourly!D98</f>
        <v>M6</v>
      </c>
      <c r="E98" s="4" t="str">
        <f>Fact_Production_Hourly!E98</f>
        <v>A-AM</v>
      </c>
      <c r="F98" s="4" t="str">
        <f>Fact_Production_Hourly!F98</f>
        <v>C</v>
      </c>
      <c r="G98" s="4">
        <f>INDEX(Dim_Machine!$D$2:$D$8,MATCH(D98,Dim_Machine!$A$2:$A$8,0))*2</f>
        <v>24</v>
      </c>
      <c r="H98" s="4">
        <f>ROUND(G98*0.0131,0)</f>
        <v>0</v>
      </c>
      <c r="I98" s="4">
        <f t="shared" si="8"/>
        <v>0</v>
      </c>
      <c r="J98" s="4">
        <f t="shared" si="9"/>
        <v>0</v>
      </c>
      <c r="K98" s="4">
        <f t="shared" si="10"/>
        <v>0</v>
      </c>
      <c r="L98" s="4" t="s">
        <v>503</v>
      </c>
      <c r="M98" s="4">
        <f>INDEX(Dim_Product!$C$2:$C$4,MATCH(F98,Dim_Product!$A$2:$A$4,0))+-0.34</f>
        <v>199.66</v>
      </c>
      <c r="N98" s="4">
        <f>IF(AND(M98&gt;=INDEX(Dim_Product!$C$2:$C$4,MATCH(F98,Dim_Product!$A$2:$A$4,0))-INDEX(Dim_Product!$D$2:$D$4,MATCH(F98,Dim_Product!$A$2:$A$4,0)),M98&lt;=INDEX(Dim_Product!$C$2:$C$4,MATCH(F98,Dim_Product!$A$2:$A$4,0))+INDEX(Dim_Product!$D$2:$D$4,MATCH(F98,Dim_Product!$A$2:$A$4,0))),G98-H98,G98-H98-1)</f>
        <v>24</v>
      </c>
      <c r="O98" s="4">
        <f t="shared" si="11"/>
        <v>0</v>
      </c>
      <c r="P98" s="4">
        <f>INDEX(Dim_Product!$G$2:$G$4,MATCH(F98,Dim_Product!$A$2:$A$4,0))+-0.02</f>
        <v>64.98</v>
      </c>
      <c r="Q98" s="4">
        <f>IF(AND(P98&gt;=INDEX(Dim_Product!$G$2:$G$4,MATCH(F98,Dim_Product!$A$2:$A$4,0))-INDEX(Dim_Product!$H$2:$H$4,MATCH(F98,Dim_Product!$A$2:$A$4,0)),P98&lt;=INDEX(Dim_Product!$G$2:$G$4,MATCH(F98,Dim_Product!$A$2:$A$4,0))+INDEX(Dim_Product!$H$2:$H$4,MATCH(F98,Dim_Product!$A$2:$A$4,0))),G98-H98,G98-H98-1)</f>
        <v>24</v>
      </c>
      <c r="R98" s="4">
        <f t="shared" si="12"/>
        <v>0</v>
      </c>
      <c r="S98" s="4">
        <f>INDEX(Dim_Product!$K$2:$K$4,MATCH(F98,Dim_Product!$A$2:$A$4,0))+0.14</f>
        <v>110.14</v>
      </c>
      <c r="T98" s="4">
        <f>IF(AND(S98&gt;=INDEX(Dim_Product!$K$2:$K$4,MATCH(F98,Dim_Product!$A$2:$A$4,0))-INDEX(Dim_Product!$L$2:$L$4,MATCH(F98,Dim_Product!$A$2:$A$4,0)),S98&lt;=INDEX(Dim_Product!$K$2:$K$4,MATCH(F98,Dim_Product!$A$2:$A$4,0))+INDEX(Dim_Product!$L$2:$L$4,MATCH(F98,Dim_Product!$A$2:$A$4,0))),G98-H98,G98-H98-1)</f>
        <v>24</v>
      </c>
      <c r="U98" s="4">
        <f t="shared" si="13"/>
        <v>0</v>
      </c>
      <c r="V98" s="4">
        <f t="shared" si="14"/>
        <v>0</v>
      </c>
      <c r="W98" s="16">
        <f t="shared" si="15"/>
        <v>1</v>
      </c>
    </row>
    <row r="99" spans="1:23" x14ac:dyDescent="0.25">
      <c r="A99" s="15" t="s">
        <v>600</v>
      </c>
      <c r="B99" s="4">
        <f>Fact_Production_Hourly!B99</f>
        <v>20260701</v>
      </c>
      <c r="C99" s="4">
        <f>Fact_Production_Hourly!C99</f>
        <v>13</v>
      </c>
      <c r="D99" s="4" t="str">
        <f>Fact_Production_Hourly!D99</f>
        <v>M7</v>
      </c>
      <c r="E99" s="4" t="str">
        <f>Fact_Production_Hourly!E99</f>
        <v>A-AM</v>
      </c>
      <c r="F99" s="4" t="str">
        <f>Fact_Production_Hourly!F99</f>
        <v>C</v>
      </c>
      <c r="G99" s="4">
        <f>INDEX(Dim_Machine!$D$2:$D$8,MATCH(D99,Dim_Machine!$A$2:$A$8,0))*2</f>
        <v>48</v>
      </c>
      <c r="H99" s="4">
        <f>ROUND(G99*0.0182,0)</f>
        <v>1</v>
      </c>
      <c r="I99" s="4">
        <f t="shared" si="8"/>
        <v>0</v>
      </c>
      <c r="J99" s="4">
        <f t="shared" si="9"/>
        <v>0</v>
      </c>
      <c r="K99" s="4">
        <f t="shared" si="10"/>
        <v>1</v>
      </c>
      <c r="L99" s="4" t="s">
        <v>509</v>
      </c>
      <c r="M99" s="4">
        <f>INDEX(Dim_Product!$C$2:$C$4,MATCH(F99,Dim_Product!$A$2:$A$4,0))+0.96</f>
        <v>200.96</v>
      </c>
      <c r="N99" s="4">
        <f>IF(AND(M99&gt;=INDEX(Dim_Product!$C$2:$C$4,MATCH(F99,Dim_Product!$A$2:$A$4,0))-INDEX(Dim_Product!$D$2:$D$4,MATCH(F99,Dim_Product!$A$2:$A$4,0)),M99&lt;=INDEX(Dim_Product!$C$2:$C$4,MATCH(F99,Dim_Product!$A$2:$A$4,0))+INDEX(Dim_Product!$D$2:$D$4,MATCH(F99,Dim_Product!$A$2:$A$4,0))),G99-H99,G99-H99-1)</f>
        <v>47</v>
      </c>
      <c r="O99" s="4">
        <f t="shared" si="11"/>
        <v>1</v>
      </c>
      <c r="P99" s="4">
        <f>INDEX(Dim_Product!$G$2:$G$4,MATCH(F99,Dim_Product!$A$2:$A$4,0))+-0.21</f>
        <v>64.790000000000006</v>
      </c>
      <c r="Q99" s="4">
        <f>IF(AND(P99&gt;=INDEX(Dim_Product!$G$2:$G$4,MATCH(F99,Dim_Product!$A$2:$A$4,0))-INDEX(Dim_Product!$H$2:$H$4,MATCH(F99,Dim_Product!$A$2:$A$4,0)),P99&lt;=INDEX(Dim_Product!$G$2:$G$4,MATCH(F99,Dim_Product!$A$2:$A$4,0))+INDEX(Dim_Product!$H$2:$H$4,MATCH(F99,Dim_Product!$A$2:$A$4,0))),G99-H99,G99-H99-1)</f>
        <v>47</v>
      </c>
      <c r="R99" s="4">
        <f t="shared" si="12"/>
        <v>1</v>
      </c>
      <c r="S99" s="4">
        <f>INDEX(Dim_Product!$K$2:$K$4,MATCH(F99,Dim_Product!$A$2:$A$4,0))+0.12</f>
        <v>110.12</v>
      </c>
      <c r="T99" s="4">
        <f>IF(AND(S99&gt;=INDEX(Dim_Product!$K$2:$K$4,MATCH(F99,Dim_Product!$A$2:$A$4,0))-INDEX(Dim_Product!$L$2:$L$4,MATCH(F99,Dim_Product!$A$2:$A$4,0)),S99&lt;=INDEX(Dim_Product!$K$2:$K$4,MATCH(F99,Dim_Product!$A$2:$A$4,0))+INDEX(Dim_Product!$L$2:$L$4,MATCH(F99,Dim_Product!$A$2:$A$4,0))),G99-H99,G99-H99-1)</f>
        <v>47</v>
      </c>
      <c r="U99" s="4">
        <f t="shared" si="13"/>
        <v>1</v>
      </c>
      <c r="V99" s="4">
        <f t="shared" si="14"/>
        <v>2.0833333333333332E-2</v>
      </c>
      <c r="W99" s="16">
        <f t="shared" si="15"/>
        <v>0.97916666666666663</v>
      </c>
    </row>
    <row r="100" spans="1:23" x14ac:dyDescent="0.25">
      <c r="A100" s="15" t="s">
        <v>601</v>
      </c>
      <c r="B100" s="4">
        <f>Fact_Production_Hourly!B100</f>
        <v>20260701</v>
      </c>
      <c r="C100" s="4">
        <f>Fact_Production_Hourly!C100</f>
        <v>14</v>
      </c>
      <c r="D100" s="4" t="str">
        <f>Fact_Production_Hourly!D100</f>
        <v>M1</v>
      </c>
      <c r="E100" s="4" t="str">
        <f>Fact_Production_Hourly!E100</f>
        <v>A-AM</v>
      </c>
      <c r="F100" s="4" t="str">
        <f>Fact_Production_Hourly!F100</f>
        <v>C</v>
      </c>
      <c r="G100" s="4">
        <f>INDEX(Dim_Machine!$D$2:$D$8,MATCH(D100,Dim_Machine!$A$2:$A$8,0))*2</f>
        <v>32</v>
      </c>
      <c r="H100" s="4">
        <f>ROUND(G100*0.0628,0)</f>
        <v>2</v>
      </c>
      <c r="I100" s="4">
        <f t="shared" si="8"/>
        <v>0</v>
      </c>
      <c r="J100" s="4">
        <f t="shared" si="9"/>
        <v>1</v>
      </c>
      <c r="K100" s="4">
        <f t="shared" si="10"/>
        <v>1</v>
      </c>
      <c r="L100" s="4" t="s">
        <v>503</v>
      </c>
      <c r="M100" s="4">
        <f>INDEX(Dim_Product!$C$2:$C$4,MATCH(F100,Dim_Product!$A$2:$A$4,0))+-0.05</f>
        <v>199.95</v>
      </c>
      <c r="N100" s="4">
        <f>IF(AND(M100&gt;=INDEX(Dim_Product!$C$2:$C$4,MATCH(F100,Dim_Product!$A$2:$A$4,0))-INDEX(Dim_Product!$D$2:$D$4,MATCH(F100,Dim_Product!$A$2:$A$4,0)),M100&lt;=INDEX(Dim_Product!$C$2:$C$4,MATCH(F100,Dim_Product!$A$2:$A$4,0))+INDEX(Dim_Product!$D$2:$D$4,MATCH(F100,Dim_Product!$A$2:$A$4,0))),G100-H100,G100-H100-1)</f>
        <v>30</v>
      </c>
      <c r="O100" s="4">
        <f t="shared" si="11"/>
        <v>2</v>
      </c>
      <c r="P100" s="4">
        <f>INDEX(Dim_Product!$G$2:$G$4,MATCH(F100,Dim_Product!$A$2:$A$4,0))+-0.18</f>
        <v>64.819999999999993</v>
      </c>
      <c r="Q100" s="4">
        <f>IF(AND(P100&gt;=INDEX(Dim_Product!$G$2:$G$4,MATCH(F100,Dim_Product!$A$2:$A$4,0))-INDEX(Dim_Product!$H$2:$H$4,MATCH(F100,Dim_Product!$A$2:$A$4,0)),P100&lt;=INDEX(Dim_Product!$G$2:$G$4,MATCH(F100,Dim_Product!$A$2:$A$4,0))+INDEX(Dim_Product!$H$2:$H$4,MATCH(F100,Dim_Product!$A$2:$A$4,0))),G100-H100,G100-H100-1)</f>
        <v>30</v>
      </c>
      <c r="R100" s="4">
        <f t="shared" si="12"/>
        <v>2</v>
      </c>
      <c r="S100" s="4">
        <f>INDEX(Dim_Product!$K$2:$K$4,MATCH(F100,Dim_Product!$A$2:$A$4,0))+0.37</f>
        <v>110.37</v>
      </c>
      <c r="T100" s="4">
        <f>IF(AND(S100&gt;=INDEX(Dim_Product!$K$2:$K$4,MATCH(F100,Dim_Product!$A$2:$A$4,0))-INDEX(Dim_Product!$L$2:$L$4,MATCH(F100,Dim_Product!$A$2:$A$4,0)),S100&lt;=INDEX(Dim_Product!$K$2:$K$4,MATCH(F100,Dim_Product!$A$2:$A$4,0))+INDEX(Dim_Product!$L$2:$L$4,MATCH(F100,Dim_Product!$A$2:$A$4,0))),G100-H100,G100-H100-1)</f>
        <v>30</v>
      </c>
      <c r="U100" s="4">
        <f t="shared" si="13"/>
        <v>2</v>
      </c>
      <c r="V100" s="4">
        <f t="shared" si="14"/>
        <v>6.25E-2</v>
      </c>
      <c r="W100" s="16">
        <f t="shared" si="15"/>
        <v>0.9375</v>
      </c>
    </row>
    <row r="101" spans="1:23" x14ac:dyDescent="0.25">
      <c r="A101" s="15" t="s">
        <v>602</v>
      </c>
      <c r="B101" s="4">
        <f>Fact_Production_Hourly!B101</f>
        <v>20260701</v>
      </c>
      <c r="C101" s="4">
        <f>Fact_Production_Hourly!C101</f>
        <v>14</v>
      </c>
      <c r="D101" s="4" t="str">
        <f>Fact_Production_Hourly!D101</f>
        <v>M2</v>
      </c>
      <c r="E101" s="4" t="str">
        <f>Fact_Production_Hourly!E101</f>
        <v>A-AM</v>
      </c>
      <c r="F101" s="4" t="str">
        <f>Fact_Production_Hourly!F101</f>
        <v>A</v>
      </c>
      <c r="G101" s="4">
        <f>INDEX(Dim_Machine!$D$2:$D$8,MATCH(D101,Dim_Machine!$A$2:$A$8,0))*2</f>
        <v>48</v>
      </c>
      <c r="H101" s="4">
        <f>ROUND(G101*0.0293,0)</f>
        <v>1</v>
      </c>
      <c r="I101" s="4">
        <f t="shared" si="8"/>
        <v>0</v>
      </c>
      <c r="J101" s="4">
        <f t="shared" si="9"/>
        <v>0</v>
      </c>
      <c r="K101" s="4">
        <f t="shared" si="10"/>
        <v>1</v>
      </c>
      <c r="L101" s="4" t="s">
        <v>520</v>
      </c>
      <c r="M101" s="4">
        <f>INDEX(Dim_Product!$C$2:$C$4,MATCH(F101,Dim_Product!$A$2:$A$4,0))+-0.88</f>
        <v>249.12</v>
      </c>
      <c r="N101" s="4">
        <f>IF(AND(M101&gt;=INDEX(Dim_Product!$C$2:$C$4,MATCH(F101,Dim_Product!$A$2:$A$4,0))-INDEX(Dim_Product!$D$2:$D$4,MATCH(F101,Dim_Product!$A$2:$A$4,0)),M101&lt;=INDEX(Dim_Product!$C$2:$C$4,MATCH(F101,Dim_Product!$A$2:$A$4,0))+INDEX(Dim_Product!$D$2:$D$4,MATCH(F101,Dim_Product!$A$2:$A$4,0))),G101-H101,G101-H101-1)</f>
        <v>47</v>
      </c>
      <c r="O101" s="4">
        <f t="shared" si="11"/>
        <v>1</v>
      </c>
      <c r="P101" s="4">
        <f>INDEX(Dim_Product!$G$2:$G$4,MATCH(F101,Dim_Product!$A$2:$A$4,0))+0.16</f>
        <v>70.16</v>
      </c>
      <c r="Q101" s="4">
        <f>IF(AND(P101&gt;=INDEX(Dim_Product!$G$2:$G$4,MATCH(F101,Dim_Product!$A$2:$A$4,0))-INDEX(Dim_Product!$H$2:$H$4,MATCH(F101,Dim_Product!$A$2:$A$4,0)),P101&lt;=INDEX(Dim_Product!$G$2:$G$4,MATCH(F101,Dim_Product!$A$2:$A$4,0))+INDEX(Dim_Product!$H$2:$H$4,MATCH(F101,Dim_Product!$A$2:$A$4,0))),G101-H101,G101-H101-1)</f>
        <v>47</v>
      </c>
      <c r="R101" s="4">
        <f t="shared" si="12"/>
        <v>1</v>
      </c>
      <c r="S101" s="4">
        <f>INDEX(Dim_Product!$K$2:$K$4,MATCH(F101,Dim_Product!$A$2:$A$4,0))+0.12</f>
        <v>120.12</v>
      </c>
      <c r="T101" s="4">
        <f>IF(AND(S101&gt;=INDEX(Dim_Product!$K$2:$K$4,MATCH(F101,Dim_Product!$A$2:$A$4,0))-INDEX(Dim_Product!$L$2:$L$4,MATCH(F101,Dim_Product!$A$2:$A$4,0)),S101&lt;=INDEX(Dim_Product!$K$2:$K$4,MATCH(F101,Dim_Product!$A$2:$A$4,0))+INDEX(Dim_Product!$L$2:$L$4,MATCH(F101,Dim_Product!$A$2:$A$4,0))),G101-H101,G101-H101-1)</f>
        <v>47</v>
      </c>
      <c r="U101" s="4">
        <f t="shared" si="13"/>
        <v>1</v>
      </c>
      <c r="V101" s="4">
        <f t="shared" si="14"/>
        <v>2.0833333333333332E-2</v>
      </c>
      <c r="W101" s="16">
        <f t="shared" si="15"/>
        <v>0.97916666666666663</v>
      </c>
    </row>
    <row r="102" spans="1:23" x14ac:dyDescent="0.25">
      <c r="A102" s="15" t="s">
        <v>603</v>
      </c>
      <c r="B102" s="4">
        <f>Fact_Production_Hourly!B102</f>
        <v>20260701</v>
      </c>
      <c r="C102" s="4">
        <f>Fact_Production_Hourly!C102</f>
        <v>14</v>
      </c>
      <c r="D102" s="4" t="str">
        <f>Fact_Production_Hourly!D102</f>
        <v>M3</v>
      </c>
      <c r="E102" s="4" t="str">
        <f>Fact_Production_Hourly!E102</f>
        <v>A-AM</v>
      </c>
      <c r="F102" s="4" t="str">
        <f>Fact_Production_Hourly!F102</f>
        <v>B</v>
      </c>
      <c r="G102" s="4">
        <f>INDEX(Dim_Machine!$D$2:$D$8,MATCH(D102,Dim_Machine!$A$2:$A$8,0))*2</f>
        <v>24</v>
      </c>
      <c r="H102" s="4">
        <f>ROUND(G102*0.0239,0)</f>
        <v>1</v>
      </c>
      <c r="I102" s="4">
        <f t="shared" si="8"/>
        <v>0</v>
      </c>
      <c r="J102" s="4">
        <f t="shared" si="9"/>
        <v>0</v>
      </c>
      <c r="K102" s="4">
        <f t="shared" si="10"/>
        <v>1</v>
      </c>
      <c r="L102" s="4" t="s">
        <v>520</v>
      </c>
      <c r="M102" s="4">
        <f>INDEX(Dim_Product!$C$2:$C$4,MATCH(F102,Dim_Product!$A$2:$A$4,0))+0.45</f>
        <v>300.45</v>
      </c>
      <c r="N102" s="4">
        <f>IF(AND(M102&gt;=INDEX(Dim_Product!$C$2:$C$4,MATCH(F102,Dim_Product!$A$2:$A$4,0))-INDEX(Dim_Product!$D$2:$D$4,MATCH(F102,Dim_Product!$A$2:$A$4,0)),M102&lt;=INDEX(Dim_Product!$C$2:$C$4,MATCH(F102,Dim_Product!$A$2:$A$4,0))+INDEX(Dim_Product!$D$2:$D$4,MATCH(F102,Dim_Product!$A$2:$A$4,0))),G102-H102,G102-H102-1)</f>
        <v>23</v>
      </c>
      <c r="O102" s="4">
        <f t="shared" si="11"/>
        <v>1</v>
      </c>
      <c r="P102" s="4">
        <f>INDEX(Dim_Product!$G$2:$G$4,MATCH(F102,Dim_Product!$A$2:$A$4,0))+0.26</f>
        <v>75.260000000000005</v>
      </c>
      <c r="Q102" s="4">
        <f>IF(AND(P102&gt;=INDEX(Dim_Product!$G$2:$G$4,MATCH(F102,Dim_Product!$A$2:$A$4,0))-INDEX(Dim_Product!$H$2:$H$4,MATCH(F102,Dim_Product!$A$2:$A$4,0)),P102&lt;=INDEX(Dim_Product!$G$2:$G$4,MATCH(F102,Dim_Product!$A$2:$A$4,0))+INDEX(Dim_Product!$H$2:$H$4,MATCH(F102,Dim_Product!$A$2:$A$4,0))),G102-H102,G102-H102-1)</f>
        <v>23</v>
      </c>
      <c r="R102" s="4">
        <f t="shared" si="12"/>
        <v>1</v>
      </c>
      <c r="S102" s="4">
        <f>INDEX(Dim_Product!$K$2:$K$4,MATCH(F102,Dim_Product!$A$2:$A$4,0))+0.33</f>
        <v>130.33000000000001</v>
      </c>
      <c r="T102" s="4">
        <f>IF(AND(S102&gt;=INDEX(Dim_Product!$K$2:$K$4,MATCH(F102,Dim_Product!$A$2:$A$4,0))-INDEX(Dim_Product!$L$2:$L$4,MATCH(F102,Dim_Product!$A$2:$A$4,0)),S102&lt;=INDEX(Dim_Product!$K$2:$K$4,MATCH(F102,Dim_Product!$A$2:$A$4,0))+INDEX(Dim_Product!$L$2:$L$4,MATCH(F102,Dim_Product!$A$2:$A$4,0))),G102-H102,G102-H102-1)</f>
        <v>23</v>
      </c>
      <c r="U102" s="4">
        <f t="shared" si="13"/>
        <v>1</v>
      </c>
      <c r="V102" s="4">
        <f t="shared" si="14"/>
        <v>4.1666666666666664E-2</v>
      </c>
      <c r="W102" s="16">
        <f t="shared" si="15"/>
        <v>0.95833333333333337</v>
      </c>
    </row>
    <row r="103" spans="1:23" x14ac:dyDescent="0.25">
      <c r="A103" s="15" t="s">
        <v>604</v>
      </c>
      <c r="B103" s="4">
        <f>Fact_Production_Hourly!B103</f>
        <v>20260701</v>
      </c>
      <c r="C103" s="4">
        <f>Fact_Production_Hourly!C103</f>
        <v>14</v>
      </c>
      <c r="D103" s="4" t="str">
        <f>Fact_Production_Hourly!D103</f>
        <v>M4</v>
      </c>
      <c r="E103" s="4" t="str">
        <f>Fact_Production_Hourly!E103</f>
        <v>A-AM</v>
      </c>
      <c r="F103" s="4" t="str">
        <f>Fact_Production_Hourly!F103</f>
        <v>A</v>
      </c>
      <c r="G103" s="4">
        <f>INDEX(Dim_Machine!$D$2:$D$8,MATCH(D103,Dim_Machine!$A$2:$A$8,0))*2</f>
        <v>48</v>
      </c>
      <c r="H103" s="4">
        <f>ROUND(G103*0.0205,0)</f>
        <v>1</v>
      </c>
      <c r="I103" s="4">
        <f t="shared" si="8"/>
        <v>0</v>
      </c>
      <c r="J103" s="4">
        <f t="shared" si="9"/>
        <v>0</v>
      </c>
      <c r="K103" s="4">
        <f t="shared" si="10"/>
        <v>1</v>
      </c>
      <c r="L103" s="4" t="s">
        <v>500</v>
      </c>
      <c r="M103" s="4">
        <f>INDEX(Dim_Product!$C$2:$C$4,MATCH(F103,Dim_Product!$A$2:$A$4,0))+0.87</f>
        <v>250.87</v>
      </c>
      <c r="N103" s="4">
        <f>IF(AND(M103&gt;=INDEX(Dim_Product!$C$2:$C$4,MATCH(F103,Dim_Product!$A$2:$A$4,0))-INDEX(Dim_Product!$D$2:$D$4,MATCH(F103,Dim_Product!$A$2:$A$4,0)),M103&lt;=INDEX(Dim_Product!$C$2:$C$4,MATCH(F103,Dim_Product!$A$2:$A$4,0))+INDEX(Dim_Product!$D$2:$D$4,MATCH(F103,Dim_Product!$A$2:$A$4,0))),G103-H103,G103-H103-1)</f>
        <v>47</v>
      </c>
      <c r="O103" s="4">
        <f t="shared" si="11"/>
        <v>1</v>
      </c>
      <c r="P103" s="4">
        <f>INDEX(Dim_Product!$G$2:$G$4,MATCH(F103,Dim_Product!$A$2:$A$4,0))+-0.28</f>
        <v>69.72</v>
      </c>
      <c r="Q103" s="4">
        <f>IF(AND(P103&gt;=INDEX(Dim_Product!$G$2:$G$4,MATCH(F103,Dim_Product!$A$2:$A$4,0))-INDEX(Dim_Product!$H$2:$H$4,MATCH(F103,Dim_Product!$A$2:$A$4,0)),P103&lt;=INDEX(Dim_Product!$G$2:$G$4,MATCH(F103,Dim_Product!$A$2:$A$4,0))+INDEX(Dim_Product!$H$2:$H$4,MATCH(F103,Dim_Product!$A$2:$A$4,0))),G103-H103,G103-H103-1)</f>
        <v>47</v>
      </c>
      <c r="R103" s="4">
        <f t="shared" si="12"/>
        <v>1</v>
      </c>
      <c r="S103" s="4">
        <f>INDEX(Dim_Product!$K$2:$K$4,MATCH(F103,Dim_Product!$A$2:$A$4,0))+0.27</f>
        <v>120.27</v>
      </c>
      <c r="T103" s="4">
        <f>IF(AND(S103&gt;=INDEX(Dim_Product!$K$2:$K$4,MATCH(F103,Dim_Product!$A$2:$A$4,0))-INDEX(Dim_Product!$L$2:$L$4,MATCH(F103,Dim_Product!$A$2:$A$4,0)),S103&lt;=INDEX(Dim_Product!$K$2:$K$4,MATCH(F103,Dim_Product!$A$2:$A$4,0))+INDEX(Dim_Product!$L$2:$L$4,MATCH(F103,Dim_Product!$A$2:$A$4,0))),G103-H103,G103-H103-1)</f>
        <v>47</v>
      </c>
      <c r="U103" s="4">
        <f t="shared" si="13"/>
        <v>1</v>
      </c>
      <c r="V103" s="4">
        <f t="shared" si="14"/>
        <v>2.0833333333333332E-2</v>
      </c>
      <c r="W103" s="16">
        <f t="shared" si="15"/>
        <v>0.97916666666666663</v>
      </c>
    </row>
    <row r="104" spans="1:23" x14ac:dyDescent="0.25">
      <c r="A104" s="15" t="s">
        <v>605</v>
      </c>
      <c r="B104" s="4">
        <f>Fact_Production_Hourly!B104</f>
        <v>20260701</v>
      </c>
      <c r="C104" s="4">
        <f>Fact_Production_Hourly!C104</f>
        <v>14</v>
      </c>
      <c r="D104" s="4" t="str">
        <f>Fact_Production_Hourly!D104</f>
        <v>M5</v>
      </c>
      <c r="E104" s="4" t="str">
        <f>Fact_Production_Hourly!E104</f>
        <v>A-AM</v>
      </c>
      <c r="F104" s="4" t="str">
        <f>Fact_Production_Hourly!F104</f>
        <v>C</v>
      </c>
      <c r="G104" s="4">
        <f>INDEX(Dim_Machine!$D$2:$D$8,MATCH(D104,Dim_Machine!$A$2:$A$8,0))*2</f>
        <v>32</v>
      </c>
      <c r="H104" s="4">
        <f>ROUND(G104*0.0573,0)</f>
        <v>2</v>
      </c>
      <c r="I104" s="4">
        <f t="shared" si="8"/>
        <v>0</v>
      </c>
      <c r="J104" s="4">
        <f t="shared" si="9"/>
        <v>1</v>
      </c>
      <c r="K104" s="4">
        <f t="shared" si="10"/>
        <v>1</v>
      </c>
      <c r="L104" s="4" t="s">
        <v>500</v>
      </c>
      <c r="M104" s="4">
        <f>INDEX(Dim_Product!$C$2:$C$4,MATCH(F104,Dim_Product!$A$2:$A$4,0))+0.87</f>
        <v>200.87</v>
      </c>
      <c r="N104" s="4">
        <f>IF(AND(M104&gt;=INDEX(Dim_Product!$C$2:$C$4,MATCH(F104,Dim_Product!$A$2:$A$4,0))-INDEX(Dim_Product!$D$2:$D$4,MATCH(F104,Dim_Product!$A$2:$A$4,0)),M104&lt;=INDEX(Dim_Product!$C$2:$C$4,MATCH(F104,Dim_Product!$A$2:$A$4,0))+INDEX(Dim_Product!$D$2:$D$4,MATCH(F104,Dim_Product!$A$2:$A$4,0))),G104-H104,G104-H104-1)</f>
        <v>30</v>
      </c>
      <c r="O104" s="4">
        <f t="shared" si="11"/>
        <v>2</v>
      </c>
      <c r="P104" s="4">
        <f>INDEX(Dim_Product!$G$2:$G$4,MATCH(F104,Dim_Product!$A$2:$A$4,0))+0.28</f>
        <v>65.28</v>
      </c>
      <c r="Q104" s="4">
        <f>IF(AND(P104&gt;=INDEX(Dim_Product!$G$2:$G$4,MATCH(F104,Dim_Product!$A$2:$A$4,0))-INDEX(Dim_Product!$H$2:$H$4,MATCH(F104,Dim_Product!$A$2:$A$4,0)),P104&lt;=INDEX(Dim_Product!$G$2:$G$4,MATCH(F104,Dim_Product!$A$2:$A$4,0))+INDEX(Dim_Product!$H$2:$H$4,MATCH(F104,Dim_Product!$A$2:$A$4,0))),G104-H104,G104-H104-1)</f>
        <v>30</v>
      </c>
      <c r="R104" s="4">
        <f t="shared" si="12"/>
        <v>2</v>
      </c>
      <c r="S104" s="4">
        <f>INDEX(Dim_Product!$K$2:$K$4,MATCH(F104,Dim_Product!$A$2:$A$4,0))+0.34</f>
        <v>110.34</v>
      </c>
      <c r="T104" s="4">
        <f>IF(AND(S104&gt;=INDEX(Dim_Product!$K$2:$K$4,MATCH(F104,Dim_Product!$A$2:$A$4,0))-INDEX(Dim_Product!$L$2:$L$4,MATCH(F104,Dim_Product!$A$2:$A$4,0)),S104&lt;=INDEX(Dim_Product!$K$2:$K$4,MATCH(F104,Dim_Product!$A$2:$A$4,0))+INDEX(Dim_Product!$L$2:$L$4,MATCH(F104,Dim_Product!$A$2:$A$4,0))),G104-H104,G104-H104-1)</f>
        <v>30</v>
      </c>
      <c r="U104" s="4">
        <f t="shared" si="13"/>
        <v>2</v>
      </c>
      <c r="V104" s="4">
        <f t="shared" si="14"/>
        <v>6.25E-2</v>
      </c>
      <c r="W104" s="16">
        <f t="shared" si="15"/>
        <v>0.9375</v>
      </c>
    </row>
    <row r="105" spans="1:23" x14ac:dyDescent="0.25">
      <c r="A105" s="15" t="s">
        <v>606</v>
      </c>
      <c r="B105" s="4">
        <f>Fact_Production_Hourly!B105</f>
        <v>20260701</v>
      </c>
      <c r="C105" s="4">
        <f>Fact_Production_Hourly!C105</f>
        <v>14</v>
      </c>
      <c r="D105" s="4" t="str">
        <f>Fact_Production_Hourly!D105</f>
        <v>M6</v>
      </c>
      <c r="E105" s="4" t="str">
        <f>Fact_Production_Hourly!E105</f>
        <v>A-AM</v>
      </c>
      <c r="F105" s="4" t="str">
        <f>Fact_Production_Hourly!F105</f>
        <v>C</v>
      </c>
      <c r="G105" s="4">
        <f>INDEX(Dim_Machine!$D$2:$D$8,MATCH(D105,Dim_Machine!$A$2:$A$8,0))*2</f>
        <v>24</v>
      </c>
      <c r="H105" s="4">
        <f>ROUND(G105*0.0626,0)</f>
        <v>2</v>
      </c>
      <c r="I105" s="4">
        <f t="shared" si="8"/>
        <v>0</v>
      </c>
      <c r="J105" s="4">
        <f t="shared" si="9"/>
        <v>1</v>
      </c>
      <c r="K105" s="4">
        <f t="shared" si="10"/>
        <v>1</v>
      </c>
      <c r="L105" s="4" t="s">
        <v>498</v>
      </c>
      <c r="M105" s="4">
        <f>INDEX(Dim_Product!$C$2:$C$4,MATCH(F105,Dim_Product!$A$2:$A$4,0))+-0.4</f>
        <v>199.6</v>
      </c>
      <c r="N105" s="4">
        <f>IF(AND(M105&gt;=INDEX(Dim_Product!$C$2:$C$4,MATCH(F105,Dim_Product!$A$2:$A$4,0))-INDEX(Dim_Product!$D$2:$D$4,MATCH(F105,Dim_Product!$A$2:$A$4,0)),M105&lt;=INDEX(Dim_Product!$C$2:$C$4,MATCH(F105,Dim_Product!$A$2:$A$4,0))+INDEX(Dim_Product!$D$2:$D$4,MATCH(F105,Dim_Product!$A$2:$A$4,0))),G105-H105,G105-H105-1)</f>
        <v>22</v>
      </c>
      <c r="O105" s="4">
        <f t="shared" si="11"/>
        <v>2</v>
      </c>
      <c r="P105" s="4">
        <f>INDEX(Dim_Product!$G$2:$G$4,MATCH(F105,Dim_Product!$A$2:$A$4,0))+0.06</f>
        <v>65.06</v>
      </c>
      <c r="Q105" s="4">
        <f>IF(AND(P105&gt;=INDEX(Dim_Product!$G$2:$G$4,MATCH(F105,Dim_Product!$A$2:$A$4,0))-INDEX(Dim_Product!$H$2:$H$4,MATCH(F105,Dim_Product!$A$2:$A$4,0)),P105&lt;=INDEX(Dim_Product!$G$2:$G$4,MATCH(F105,Dim_Product!$A$2:$A$4,0))+INDEX(Dim_Product!$H$2:$H$4,MATCH(F105,Dim_Product!$A$2:$A$4,0))),G105-H105,G105-H105-1)</f>
        <v>22</v>
      </c>
      <c r="R105" s="4">
        <f t="shared" si="12"/>
        <v>2</v>
      </c>
      <c r="S105" s="4">
        <f>INDEX(Dim_Product!$K$2:$K$4,MATCH(F105,Dim_Product!$A$2:$A$4,0))+0.34</f>
        <v>110.34</v>
      </c>
      <c r="T105" s="4">
        <f>IF(AND(S105&gt;=INDEX(Dim_Product!$K$2:$K$4,MATCH(F105,Dim_Product!$A$2:$A$4,0))-INDEX(Dim_Product!$L$2:$L$4,MATCH(F105,Dim_Product!$A$2:$A$4,0)),S105&lt;=INDEX(Dim_Product!$K$2:$K$4,MATCH(F105,Dim_Product!$A$2:$A$4,0))+INDEX(Dim_Product!$L$2:$L$4,MATCH(F105,Dim_Product!$A$2:$A$4,0))),G105-H105,G105-H105-1)</f>
        <v>22</v>
      </c>
      <c r="U105" s="4">
        <f t="shared" si="13"/>
        <v>2</v>
      </c>
      <c r="V105" s="4">
        <f t="shared" si="14"/>
        <v>8.3333333333333329E-2</v>
      </c>
      <c r="W105" s="16">
        <f t="shared" si="15"/>
        <v>0.91666666666666663</v>
      </c>
    </row>
    <row r="106" spans="1:23" x14ac:dyDescent="0.25">
      <c r="A106" s="15" t="s">
        <v>607</v>
      </c>
      <c r="B106" s="4">
        <f>Fact_Production_Hourly!B106</f>
        <v>20260701</v>
      </c>
      <c r="C106" s="4">
        <f>Fact_Production_Hourly!C106</f>
        <v>14</v>
      </c>
      <c r="D106" s="4" t="str">
        <f>Fact_Production_Hourly!D106</f>
        <v>M7</v>
      </c>
      <c r="E106" s="4" t="str">
        <f>Fact_Production_Hourly!E106</f>
        <v>A-AM</v>
      </c>
      <c r="F106" s="4" t="str">
        <f>Fact_Production_Hourly!F106</f>
        <v>C</v>
      </c>
      <c r="G106" s="4">
        <f>INDEX(Dim_Machine!$D$2:$D$8,MATCH(D106,Dim_Machine!$A$2:$A$8,0))*2</f>
        <v>48</v>
      </c>
      <c r="H106" s="4">
        <f>ROUND(G106*0.0301,0)</f>
        <v>1</v>
      </c>
      <c r="I106" s="4">
        <f t="shared" si="8"/>
        <v>0</v>
      </c>
      <c r="J106" s="4">
        <f t="shared" si="9"/>
        <v>0</v>
      </c>
      <c r="K106" s="4">
        <f t="shared" si="10"/>
        <v>1</v>
      </c>
      <c r="L106" s="4" t="s">
        <v>503</v>
      </c>
      <c r="M106" s="4">
        <f>INDEX(Dim_Product!$C$2:$C$4,MATCH(F106,Dim_Product!$A$2:$A$4,0))+0.98</f>
        <v>200.98</v>
      </c>
      <c r="N106" s="4">
        <f>IF(AND(M106&gt;=INDEX(Dim_Product!$C$2:$C$4,MATCH(F106,Dim_Product!$A$2:$A$4,0))-INDEX(Dim_Product!$D$2:$D$4,MATCH(F106,Dim_Product!$A$2:$A$4,0)),M106&lt;=INDEX(Dim_Product!$C$2:$C$4,MATCH(F106,Dim_Product!$A$2:$A$4,0))+INDEX(Dim_Product!$D$2:$D$4,MATCH(F106,Dim_Product!$A$2:$A$4,0))),G106-H106,G106-H106-1)</f>
        <v>47</v>
      </c>
      <c r="O106" s="4">
        <f t="shared" si="11"/>
        <v>1</v>
      </c>
      <c r="P106" s="4">
        <f>INDEX(Dim_Product!$G$2:$G$4,MATCH(F106,Dim_Product!$A$2:$A$4,0))+0.03</f>
        <v>65.03</v>
      </c>
      <c r="Q106" s="4">
        <f>IF(AND(P106&gt;=INDEX(Dim_Product!$G$2:$G$4,MATCH(F106,Dim_Product!$A$2:$A$4,0))-INDEX(Dim_Product!$H$2:$H$4,MATCH(F106,Dim_Product!$A$2:$A$4,0)),P106&lt;=INDEX(Dim_Product!$G$2:$G$4,MATCH(F106,Dim_Product!$A$2:$A$4,0))+INDEX(Dim_Product!$H$2:$H$4,MATCH(F106,Dim_Product!$A$2:$A$4,0))),G106-H106,G106-H106-1)</f>
        <v>47</v>
      </c>
      <c r="R106" s="4">
        <f t="shared" si="12"/>
        <v>1</v>
      </c>
      <c r="S106" s="4">
        <f>INDEX(Dim_Product!$K$2:$K$4,MATCH(F106,Dim_Product!$A$2:$A$4,0))+0</f>
        <v>110</v>
      </c>
      <c r="T106" s="4">
        <f>IF(AND(S106&gt;=INDEX(Dim_Product!$K$2:$K$4,MATCH(F106,Dim_Product!$A$2:$A$4,0))-INDEX(Dim_Product!$L$2:$L$4,MATCH(F106,Dim_Product!$A$2:$A$4,0)),S106&lt;=INDEX(Dim_Product!$K$2:$K$4,MATCH(F106,Dim_Product!$A$2:$A$4,0))+INDEX(Dim_Product!$L$2:$L$4,MATCH(F106,Dim_Product!$A$2:$A$4,0))),G106-H106,G106-H106-1)</f>
        <v>47</v>
      </c>
      <c r="U106" s="4">
        <f t="shared" si="13"/>
        <v>1</v>
      </c>
      <c r="V106" s="4">
        <f t="shared" si="14"/>
        <v>2.0833333333333332E-2</v>
      </c>
      <c r="W106" s="16">
        <f t="shared" si="15"/>
        <v>0.97916666666666663</v>
      </c>
    </row>
    <row r="107" spans="1:23" x14ac:dyDescent="0.25">
      <c r="A107" s="15" t="s">
        <v>608</v>
      </c>
      <c r="B107" s="4">
        <f>Fact_Production_Hourly!B107</f>
        <v>20260701</v>
      </c>
      <c r="C107" s="4">
        <f>Fact_Production_Hourly!C107</f>
        <v>15</v>
      </c>
      <c r="D107" s="4" t="str">
        <f>Fact_Production_Hourly!D107</f>
        <v>M1</v>
      </c>
      <c r="E107" s="4" t="str">
        <f>Fact_Production_Hourly!E107</f>
        <v>A-AM</v>
      </c>
      <c r="F107" s="4" t="str">
        <f>Fact_Production_Hourly!F107</f>
        <v>C</v>
      </c>
      <c r="G107" s="4">
        <f>INDEX(Dim_Machine!$D$2:$D$8,MATCH(D107,Dim_Machine!$A$2:$A$8,0))*2</f>
        <v>32</v>
      </c>
      <c r="H107" s="4">
        <f>ROUND(G107*0.0663,0)</f>
        <v>2</v>
      </c>
      <c r="I107" s="4">
        <f t="shared" si="8"/>
        <v>0</v>
      </c>
      <c r="J107" s="4">
        <f t="shared" si="9"/>
        <v>1</v>
      </c>
      <c r="K107" s="4">
        <f t="shared" si="10"/>
        <v>1</v>
      </c>
      <c r="L107" s="4" t="s">
        <v>509</v>
      </c>
      <c r="M107" s="4">
        <f>INDEX(Dim_Product!$C$2:$C$4,MATCH(F107,Dim_Product!$A$2:$A$4,0))+-0.06</f>
        <v>199.94</v>
      </c>
      <c r="N107" s="4">
        <f>IF(AND(M107&gt;=INDEX(Dim_Product!$C$2:$C$4,MATCH(F107,Dim_Product!$A$2:$A$4,0))-INDEX(Dim_Product!$D$2:$D$4,MATCH(F107,Dim_Product!$A$2:$A$4,0)),M107&lt;=INDEX(Dim_Product!$C$2:$C$4,MATCH(F107,Dim_Product!$A$2:$A$4,0))+INDEX(Dim_Product!$D$2:$D$4,MATCH(F107,Dim_Product!$A$2:$A$4,0))),G107-H107,G107-H107-1)</f>
        <v>30</v>
      </c>
      <c r="O107" s="4">
        <f t="shared" si="11"/>
        <v>2</v>
      </c>
      <c r="P107" s="4">
        <f>INDEX(Dim_Product!$G$2:$G$4,MATCH(F107,Dim_Product!$A$2:$A$4,0))+-0.18</f>
        <v>64.819999999999993</v>
      </c>
      <c r="Q107" s="4">
        <f>IF(AND(P107&gt;=INDEX(Dim_Product!$G$2:$G$4,MATCH(F107,Dim_Product!$A$2:$A$4,0))-INDEX(Dim_Product!$H$2:$H$4,MATCH(F107,Dim_Product!$A$2:$A$4,0)),P107&lt;=INDEX(Dim_Product!$G$2:$G$4,MATCH(F107,Dim_Product!$A$2:$A$4,0))+INDEX(Dim_Product!$H$2:$H$4,MATCH(F107,Dim_Product!$A$2:$A$4,0))),G107-H107,G107-H107-1)</f>
        <v>30</v>
      </c>
      <c r="R107" s="4">
        <f t="shared" si="12"/>
        <v>2</v>
      </c>
      <c r="S107" s="4">
        <f>INDEX(Dim_Product!$K$2:$K$4,MATCH(F107,Dim_Product!$A$2:$A$4,0))+-0.31</f>
        <v>109.69</v>
      </c>
      <c r="T107" s="4">
        <f>IF(AND(S107&gt;=INDEX(Dim_Product!$K$2:$K$4,MATCH(F107,Dim_Product!$A$2:$A$4,0))-INDEX(Dim_Product!$L$2:$L$4,MATCH(F107,Dim_Product!$A$2:$A$4,0)),S107&lt;=INDEX(Dim_Product!$K$2:$K$4,MATCH(F107,Dim_Product!$A$2:$A$4,0))+INDEX(Dim_Product!$L$2:$L$4,MATCH(F107,Dim_Product!$A$2:$A$4,0))),G107-H107,G107-H107-1)</f>
        <v>30</v>
      </c>
      <c r="U107" s="4">
        <f t="shared" si="13"/>
        <v>2</v>
      </c>
      <c r="V107" s="4">
        <f t="shared" si="14"/>
        <v>6.25E-2</v>
      </c>
      <c r="W107" s="16">
        <f t="shared" si="15"/>
        <v>0.9375</v>
      </c>
    </row>
    <row r="108" spans="1:23" x14ac:dyDescent="0.25">
      <c r="A108" s="15" t="s">
        <v>609</v>
      </c>
      <c r="B108" s="4">
        <f>Fact_Production_Hourly!B108</f>
        <v>20260701</v>
      </c>
      <c r="C108" s="4">
        <f>Fact_Production_Hourly!C108</f>
        <v>15</v>
      </c>
      <c r="D108" s="4" t="str">
        <f>Fact_Production_Hourly!D108</f>
        <v>M2</v>
      </c>
      <c r="E108" s="4" t="str">
        <f>Fact_Production_Hourly!E108</f>
        <v>A-AM</v>
      </c>
      <c r="F108" s="4" t="str">
        <f>Fact_Production_Hourly!F108</f>
        <v>A</v>
      </c>
      <c r="G108" s="4">
        <f>INDEX(Dim_Machine!$D$2:$D$8,MATCH(D108,Dim_Machine!$A$2:$A$8,0))*2</f>
        <v>48</v>
      </c>
      <c r="H108" s="4">
        <f>ROUND(G108*0.0197,0)</f>
        <v>1</v>
      </c>
      <c r="I108" s="4">
        <f t="shared" si="8"/>
        <v>0</v>
      </c>
      <c r="J108" s="4">
        <f t="shared" si="9"/>
        <v>0</v>
      </c>
      <c r="K108" s="4">
        <f t="shared" si="10"/>
        <v>1</v>
      </c>
      <c r="L108" s="4" t="s">
        <v>503</v>
      </c>
      <c r="M108" s="4">
        <f>INDEX(Dim_Product!$C$2:$C$4,MATCH(F108,Dim_Product!$A$2:$A$4,0))+0.3</f>
        <v>250.3</v>
      </c>
      <c r="N108" s="4">
        <f>IF(AND(M108&gt;=INDEX(Dim_Product!$C$2:$C$4,MATCH(F108,Dim_Product!$A$2:$A$4,0))-INDEX(Dim_Product!$D$2:$D$4,MATCH(F108,Dim_Product!$A$2:$A$4,0)),M108&lt;=INDEX(Dim_Product!$C$2:$C$4,MATCH(F108,Dim_Product!$A$2:$A$4,0))+INDEX(Dim_Product!$D$2:$D$4,MATCH(F108,Dim_Product!$A$2:$A$4,0))),G108-H108,G108-H108-1)</f>
        <v>47</v>
      </c>
      <c r="O108" s="4">
        <f t="shared" si="11"/>
        <v>1</v>
      </c>
      <c r="P108" s="4">
        <f>INDEX(Dim_Product!$G$2:$G$4,MATCH(F108,Dim_Product!$A$2:$A$4,0))+0.13</f>
        <v>70.13</v>
      </c>
      <c r="Q108" s="4">
        <f>IF(AND(P108&gt;=INDEX(Dim_Product!$G$2:$G$4,MATCH(F108,Dim_Product!$A$2:$A$4,0))-INDEX(Dim_Product!$H$2:$H$4,MATCH(F108,Dim_Product!$A$2:$A$4,0)),P108&lt;=INDEX(Dim_Product!$G$2:$G$4,MATCH(F108,Dim_Product!$A$2:$A$4,0))+INDEX(Dim_Product!$H$2:$H$4,MATCH(F108,Dim_Product!$A$2:$A$4,0))),G108-H108,G108-H108-1)</f>
        <v>47</v>
      </c>
      <c r="R108" s="4">
        <f t="shared" si="12"/>
        <v>1</v>
      </c>
      <c r="S108" s="4">
        <f>INDEX(Dim_Product!$K$2:$K$4,MATCH(F108,Dim_Product!$A$2:$A$4,0))+-0.39</f>
        <v>119.61</v>
      </c>
      <c r="T108" s="4">
        <f>IF(AND(S108&gt;=INDEX(Dim_Product!$K$2:$K$4,MATCH(F108,Dim_Product!$A$2:$A$4,0))-INDEX(Dim_Product!$L$2:$L$4,MATCH(F108,Dim_Product!$A$2:$A$4,0)),S108&lt;=INDEX(Dim_Product!$K$2:$K$4,MATCH(F108,Dim_Product!$A$2:$A$4,0))+INDEX(Dim_Product!$L$2:$L$4,MATCH(F108,Dim_Product!$A$2:$A$4,0))),G108-H108,G108-H108-1)</f>
        <v>47</v>
      </c>
      <c r="U108" s="4">
        <f t="shared" si="13"/>
        <v>1</v>
      </c>
      <c r="V108" s="4">
        <f t="shared" si="14"/>
        <v>2.0833333333333332E-2</v>
      </c>
      <c r="W108" s="16">
        <f t="shared" si="15"/>
        <v>0.97916666666666663</v>
      </c>
    </row>
    <row r="109" spans="1:23" x14ac:dyDescent="0.25">
      <c r="A109" s="15" t="s">
        <v>610</v>
      </c>
      <c r="B109" s="4">
        <f>Fact_Production_Hourly!B109</f>
        <v>20260701</v>
      </c>
      <c r="C109" s="4">
        <f>Fact_Production_Hourly!C109</f>
        <v>15</v>
      </c>
      <c r="D109" s="4" t="str">
        <f>Fact_Production_Hourly!D109</f>
        <v>M3</v>
      </c>
      <c r="E109" s="4" t="str">
        <f>Fact_Production_Hourly!E109</f>
        <v>A-AM</v>
      </c>
      <c r="F109" s="4" t="str">
        <f>Fact_Production_Hourly!F109</f>
        <v>B</v>
      </c>
      <c r="G109" s="4">
        <f>INDEX(Dim_Machine!$D$2:$D$8,MATCH(D109,Dim_Machine!$A$2:$A$8,0))*2</f>
        <v>24</v>
      </c>
      <c r="H109" s="4">
        <f>ROUND(G109*0.0302,0)</f>
        <v>1</v>
      </c>
      <c r="I109" s="4">
        <f t="shared" si="8"/>
        <v>0</v>
      </c>
      <c r="J109" s="4">
        <f t="shared" si="9"/>
        <v>0</v>
      </c>
      <c r="K109" s="4">
        <f t="shared" si="10"/>
        <v>1</v>
      </c>
      <c r="L109" s="4" t="s">
        <v>517</v>
      </c>
      <c r="M109" s="4">
        <f>INDEX(Dim_Product!$C$2:$C$4,MATCH(F109,Dim_Product!$A$2:$A$4,0))+0.14</f>
        <v>300.14</v>
      </c>
      <c r="N109" s="4">
        <f>IF(AND(M109&gt;=INDEX(Dim_Product!$C$2:$C$4,MATCH(F109,Dim_Product!$A$2:$A$4,0))-INDEX(Dim_Product!$D$2:$D$4,MATCH(F109,Dim_Product!$A$2:$A$4,0)),M109&lt;=INDEX(Dim_Product!$C$2:$C$4,MATCH(F109,Dim_Product!$A$2:$A$4,0))+INDEX(Dim_Product!$D$2:$D$4,MATCH(F109,Dim_Product!$A$2:$A$4,0))),G109-H109,G109-H109-1)</f>
        <v>23</v>
      </c>
      <c r="O109" s="4">
        <f t="shared" si="11"/>
        <v>1</v>
      </c>
      <c r="P109" s="4">
        <f>INDEX(Dim_Product!$G$2:$G$4,MATCH(F109,Dim_Product!$A$2:$A$4,0))+0.15</f>
        <v>75.150000000000006</v>
      </c>
      <c r="Q109" s="4">
        <f>IF(AND(P109&gt;=INDEX(Dim_Product!$G$2:$G$4,MATCH(F109,Dim_Product!$A$2:$A$4,0))-INDEX(Dim_Product!$H$2:$H$4,MATCH(F109,Dim_Product!$A$2:$A$4,0)),P109&lt;=INDEX(Dim_Product!$G$2:$G$4,MATCH(F109,Dim_Product!$A$2:$A$4,0))+INDEX(Dim_Product!$H$2:$H$4,MATCH(F109,Dim_Product!$A$2:$A$4,0))),G109-H109,G109-H109-1)</f>
        <v>23</v>
      </c>
      <c r="R109" s="4">
        <f t="shared" si="12"/>
        <v>1</v>
      </c>
      <c r="S109" s="4">
        <f>INDEX(Dim_Product!$K$2:$K$4,MATCH(F109,Dim_Product!$A$2:$A$4,0))+-0.26</f>
        <v>129.74</v>
      </c>
      <c r="T109" s="4">
        <f>IF(AND(S109&gt;=INDEX(Dim_Product!$K$2:$K$4,MATCH(F109,Dim_Product!$A$2:$A$4,0))-INDEX(Dim_Product!$L$2:$L$4,MATCH(F109,Dim_Product!$A$2:$A$4,0)),S109&lt;=INDEX(Dim_Product!$K$2:$K$4,MATCH(F109,Dim_Product!$A$2:$A$4,0))+INDEX(Dim_Product!$L$2:$L$4,MATCH(F109,Dim_Product!$A$2:$A$4,0))),G109-H109,G109-H109-1)</f>
        <v>23</v>
      </c>
      <c r="U109" s="4">
        <f t="shared" si="13"/>
        <v>1</v>
      </c>
      <c r="V109" s="4">
        <f t="shared" si="14"/>
        <v>4.1666666666666664E-2</v>
      </c>
      <c r="W109" s="16">
        <f t="shared" si="15"/>
        <v>0.95833333333333337</v>
      </c>
    </row>
    <row r="110" spans="1:23" x14ac:dyDescent="0.25">
      <c r="A110" s="15" t="s">
        <v>611</v>
      </c>
      <c r="B110" s="4">
        <f>Fact_Production_Hourly!B110</f>
        <v>20260701</v>
      </c>
      <c r="C110" s="4">
        <f>Fact_Production_Hourly!C110</f>
        <v>15</v>
      </c>
      <c r="D110" s="4" t="str">
        <f>Fact_Production_Hourly!D110</f>
        <v>M4</v>
      </c>
      <c r="E110" s="4" t="str">
        <f>Fact_Production_Hourly!E110</f>
        <v>A-AM</v>
      </c>
      <c r="F110" s="4" t="str">
        <f>Fact_Production_Hourly!F110</f>
        <v>A</v>
      </c>
      <c r="G110" s="4">
        <f>INDEX(Dim_Machine!$D$2:$D$8,MATCH(D110,Dim_Machine!$A$2:$A$8,0))*2</f>
        <v>48</v>
      </c>
      <c r="H110" s="4">
        <f>ROUND(G110*0.0614,0)</f>
        <v>3</v>
      </c>
      <c r="I110" s="4">
        <f t="shared" si="8"/>
        <v>0</v>
      </c>
      <c r="J110" s="4">
        <f t="shared" si="9"/>
        <v>1</v>
      </c>
      <c r="K110" s="4">
        <f t="shared" si="10"/>
        <v>2</v>
      </c>
      <c r="L110" s="4" t="s">
        <v>503</v>
      </c>
      <c r="M110" s="4">
        <f>INDEX(Dim_Product!$C$2:$C$4,MATCH(F110,Dim_Product!$A$2:$A$4,0))+0.65</f>
        <v>250.65</v>
      </c>
      <c r="N110" s="4">
        <f>IF(AND(M110&gt;=INDEX(Dim_Product!$C$2:$C$4,MATCH(F110,Dim_Product!$A$2:$A$4,0))-INDEX(Dim_Product!$D$2:$D$4,MATCH(F110,Dim_Product!$A$2:$A$4,0)),M110&lt;=INDEX(Dim_Product!$C$2:$C$4,MATCH(F110,Dim_Product!$A$2:$A$4,0))+INDEX(Dim_Product!$D$2:$D$4,MATCH(F110,Dim_Product!$A$2:$A$4,0))),G110-H110,G110-H110-1)</f>
        <v>45</v>
      </c>
      <c r="O110" s="4">
        <f t="shared" si="11"/>
        <v>3</v>
      </c>
      <c r="P110" s="4">
        <f>INDEX(Dim_Product!$G$2:$G$4,MATCH(F110,Dim_Product!$A$2:$A$4,0))+0.01</f>
        <v>70.010000000000005</v>
      </c>
      <c r="Q110" s="4">
        <f>IF(AND(P110&gt;=INDEX(Dim_Product!$G$2:$G$4,MATCH(F110,Dim_Product!$A$2:$A$4,0))-INDEX(Dim_Product!$H$2:$H$4,MATCH(F110,Dim_Product!$A$2:$A$4,0)),P110&lt;=INDEX(Dim_Product!$G$2:$G$4,MATCH(F110,Dim_Product!$A$2:$A$4,0))+INDEX(Dim_Product!$H$2:$H$4,MATCH(F110,Dim_Product!$A$2:$A$4,0))),G110-H110,G110-H110-1)</f>
        <v>45</v>
      </c>
      <c r="R110" s="4">
        <f t="shared" si="12"/>
        <v>3</v>
      </c>
      <c r="S110" s="4">
        <f>INDEX(Dim_Product!$K$2:$K$4,MATCH(F110,Dim_Product!$A$2:$A$4,0))+-0.33</f>
        <v>119.67</v>
      </c>
      <c r="T110" s="4">
        <f>IF(AND(S110&gt;=INDEX(Dim_Product!$K$2:$K$4,MATCH(F110,Dim_Product!$A$2:$A$4,0))-INDEX(Dim_Product!$L$2:$L$4,MATCH(F110,Dim_Product!$A$2:$A$4,0)),S110&lt;=INDEX(Dim_Product!$K$2:$K$4,MATCH(F110,Dim_Product!$A$2:$A$4,0))+INDEX(Dim_Product!$L$2:$L$4,MATCH(F110,Dim_Product!$A$2:$A$4,0))),G110-H110,G110-H110-1)</f>
        <v>45</v>
      </c>
      <c r="U110" s="4">
        <f t="shared" si="13"/>
        <v>3</v>
      </c>
      <c r="V110" s="4">
        <f t="shared" si="14"/>
        <v>6.25E-2</v>
      </c>
      <c r="W110" s="16">
        <f t="shared" si="15"/>
        <v>0.9375</v>
      </c>
    </row>
    <row r="111" spans="1:23" x14ac:dyDescent="0.25">
      <c r="A111" s="15" t="s">
        <v>612</v>
      </c>
      <c r="B111" s="4">
        <f>Fact_Production_Hourly!B111</f>
        <v>20260701</v>
      </c>
      <c r="C111" s="4">
        <f>Fact_Production_Hourly!C111</f>
        <v>15</v>
      </c>
      <c r="D111" s="4" t="str">
        <f>Fact_Production_Hourly!D111</f>
        <v>M5</v>
      </c>
      <c r="E111" s="4" t="str">
        <f>Fact_Production_Hourly!E111</f>
        <v>A-AM</v>
      </c>
      <c r="F111" s="4" t="str">
        <f>Fact_Production_Hourly!F111</f>
        <v>C</v>
      </c>
      <c r="G111" s="4">
        <f>INDEX(Dim_Machine!$D$2:$D$8,MATCH(D111,Dim_Machine!$A$2:$A$8,0))*2</f>
        <v>32</v>
      </c>
      <c r="H111" s="4">
        <f>ROUND(G111*0.0502,0)</f>
        <v>2</v>
      </c>
      <c r="I111" s="4">
        <f t="shared" si="8"/>
        <v>0</v>
      </c>
      <c r="J111" s="4">
        <f t="shared" si="9"/>
        <v>1</v>
      </c>
      <c r="K111" s="4">
        <f t="shared" si="10"/>
        <v>1</v>
      </c>
      <c r="L111" s="4" t="s">
        <v>500</v>
      </c>
      <c r="M111" s="4">
        <f>INDEX(Dim_Product!$C$2:$C$4,MATCH(F111,Dim_Product!$A$2:$A$4,0))+0.96</f>
        <v>200.96</v>
      </c>
      <c r="N111" s="4">
        <f>IF(AND(M111&gt;=INDEX(Dim_Product!$C$2:$C$4,MATCH(F111,Dim_Product!$A$2:$A$4,0))-INDEX(Dim_Product!$D$2:$D$4,MATCH(F111,Dim_Product!$A$2:$A$4,0)),M111&lt;=INDEX(Dim_Product!$C$2:$C$4,MATCH(F111,Dim_Product!$A$2:$A$4,0))+INDEX(Dim_Product!$D$2:$D$4,MATCH(F111,Dim_Product!$A$2:$A$4,0))),G111-H111,G111-H111-1)</f>
        <v>30</v>
      </c>
      <c r="O111" s="4">
        <f t="shared" si="11"/>
        <v>2</v>
      </c>
      <c r="P111" s="4">
        <f>INDEX(Dim_Product!$G$2:$G$4,MATCH(F111,Dim_Product!$A$2:$A$4,0))+-0.01</f>
        <v>64.989999999999995</v>
      </c>
      <c r="Q111" s="4">
        <f>IF(AND(P111&gt;=INDEX(Dim_Product!$G$2:$G$4,MATCH(F111,Dim_Product!$A$2:$A$4,0))-INDEX(Dim_Product!$H$2:$H$4,MATCH(F111,Dim_Product!$A$2:$A$4,0)),P111&lt;=INDEX(Dim_Product!$G$2:$G$4,MATCH(F111,Dim_Product!$A$2:$A$4,0))+INDEX(Dim_Product!$H$2:$H$4,MATCH(F111,Dim_Product!$A$2:$A$4,0))),G111-H111,G111-H111-1)</f>
        <v>30</v>
      </c>
      <c r="R111" s="4">
        <f t="shared" si="12"/>
        <v>2</v>
      </c>
      <c r="S111" s="4">
        <f>INDEX(Dim_Product!$K$2:$K$4,MATCH(F111,Dim_Product!$A$2:$A$4,0))+0.35</f>
        <v>110.35</v>
      </c>
      <c r="T111" s="4">
        <f>IF(AND(S111&gt;=INDEX(Dim_Product!$K$2:$K$4,MATCH(F111,Dim_Product!$A$2:$A$4,0))-INDEX(Dim_Product!$L$2:$L$4,MATCH(F111,Dim_Product!$A$2:$A$4,0)),S111&lt;=INDEX(Dim_Product!$K$2:$K$4,MATCH(F111,Dim_Product!$A$2:$A$4,0))+INDEX(Dim_Product!$L$2:$L$4,MATCH(F111,Dim_Product!$A$2:$A$4,0))),G111-H111,G111-H111-1)</f>
        <v>30</v>
      </c>
      <c r="U111" s="4">
        <f t="shared" si="13"/>
        <v>2</v>
      </c>
      <c r="V111" s="4">
        <f t="shared" si="14"/>
        <v>6.25E-2</v>
      </c>
      <c r="W111" s="16">
        <f t="shared" si="15"/>
        <v>0.9375</v>
      </c>
    </row>
    <row r="112" spans="1:23" x14ac:dyDescent="0.25">
      <c r="A112" s="15" t="s">
        <v>613</v>
      </c>
      <c r="B112" s="4">
        <f>Fact_Production_Hourly!B112</f>
        <v>20260701</v>
      </c>
      <c r="C112" s="4">
        <f>Fact_Production_Hourly!C112</f>
        <v>15</v>
      </c>
      <c r="D112" s="4" t="str">
        <f>Fact_Production_Hourly!D112</f>
        <v>M6</v>
      </c>
      <c r="E112" s="4" t="str">
        <f>Fact_Production_Hourly!E112</f>
        <v>A-AM</v>
      </c>
      <c r="F112" s="4" t="str">
        <f>Fact_Production_Hourly!F112</f>
        <v>C</v>
      </c>
      <c r="G112" s="4">
        <f>INDEX(Dim_Machine!$D$2:$D$8,MATCH(D112,Dim_Machine!$A$2:$A$8,0))*2</f>
        <v>24</v>
      </c>
      <c r="H112" s="4">
        <f>ROUND(G112*0.0104,0)</f>
        <v>0</v>
      </c>
      <c r="I112" s="4">
        <f t="shared" si="8"/>
        <v>0</v>
      </c>
      <c r="J112" s="4">
        <f t="shared" si="9"/>
        <v>0</v>
      </c>
      <c r="K112" s="4">
        <f t="shared" si="10"/>
        <v>0</v>
      </c>
      <c r="L112" s="4" t="s">
        <v>503</v>
      </c>
      <c r="M112" s="4">
        <f>INDEX(Dim_Product!$C$2:$C$4,MATCH(F112,Dim_Product!$A$2:$A$4,0))+-0.53</f>
        <v>199.47</v>
      </c>
      <c r="N112" s="4">
        <f>IF(AND(M112&gt;=INDEX(Dim_Product!$C$2:$C$4,MATCH(F112,Dim_Product!$A$2:$A$4,0))-INDEX(Dim_Product!$D$2:$D$4,MATCH(F112,Dim_Product!$A$2:$A$4,0)),M112&lt;=INDEX(Dim_Product!$C$2:$C$4,MATCH(F112,Dim_Product!$A$2:$A$4,0))+INDEX(Dim_Product!$D$2:$D$4,MATCH(F112,Dim_Product!$A$2:$A$4,0))),G112-H112,G112-H112-1)</f>
        <v>24</v>
      </c>
      <c r="O112" s="4">
        <f t="shared" si="11"/>
        <v>0</v>
      </c>
      <c r="P112" s="4">
        <f>INDEX(Dim_Product!$G$2:$G$4,MATCH(F112,Dim_Product!$A$2:$A$4,0))+0.15</f>
        <v>65.150000000000006</v>
      </c>
      <c r="Q112" s="4">
        <f>IF(AND(P112&gt;=INDEX(Dim_Product!$G$2:$G$4,MATCH(F112,Dim_Product!$A$2:$A$4,0))-INDEX(Dim_Product!$H$2:$H$4,MATCH(F112,Dim_Product!$A$2:$A$4,0)),P112&lt;=INDEX(Dim_Product!$G$2:$G$4,MATCH(F112,Dim_Product!$A$2:$A$4,0))+INDEX(Dim_Product!$H$2:$H$4,MATCH(F112,Dim_Product!$A$2:$A$4,0))),G112-H112,G112-H112-1)</f>
        <v>24</v>
      </c>
      <c r="R112" s="4">
        <f t="shared" si="12"/>
        <v>0</v>
      </c>
      <c r="S112" s="4">
        <f>INDEX(Dim_Product!$K$2:$K$4,MATCH(F112,Dim_Product!$A$2:$A$4,0))+0.36</f>
        <v>110.36</v>
      </c>
      <c r="T112" s="4">
        <f>IF(AND(S112&gt;=INDEX(Dim_Product!$K$2:$K$4,MATCH(F112,Dim_Product!$A$2:$A$4,0))-INDEX(Dim_Product!$L$2:$L$4,MATCH(F112,Dim_Product!$A$2:$A$4,0)),S112&lt;=INDEX(Dim_Product!$K$2:$K$4,MATCH(F112,Dim_Product!$A$2:$A$4,0))+INDEX(Dim_Product!$L$2:$L$4,MATCH(F112,Dim_Product!$A$2:$A$4,0))),G112-H112,G112-H112-1)</f>
        <v>24</v>
      </c>
      <c r="U112" s="4">
        <f t="shared" si="13"/>
        <v>0</v>
      </c>
      <c r="V112" s="4">
        <f t="shared" si="14"/>
        <v>0</v>
      </c>
      <c r="W112" s="16">
        <f t="shared" si="15"/>
        <v>1</v>
      </c>
    </row>
    <row r="113" spans="1:23" x14ac:dyDescent="0.25">
      <c r="A113" s="15" t="s">
        <v>614</v>
      </c>
      <c r="B113" s="4">
        <f>Fact_Production_Hourly!B113</f>
        <v>20260701</v>
      </c>
      <c r="C113" s="4">
        <f>Fact_Production_Hourly!C113</f>
        <v>15</v>
      </c>
      <c r="D113" s="4" t="str">
        <f>Fact_Production_Hourly!D113</f>
        <v>M7</v>
      </c>
      <c r="E113" s="4" t="str">
        <f>Fact_Production_Hourly!E113</f>
        <v>A-AM</v>
      </c>
      <c r="F113" s="4" t="str">
        <f>Fact_Production_Hourly!F113</f>
        <v>C</v>
      </c>
      <c r="G113" s="4">
        <f>INDEX(Dim_Machine!$D$2:$D$8,MATCH(D113,Dim_Machine!$A$2:$A$8,0))*2</f>
        <v>48</v>
      </c>
      <c r="H113" s="4">
        <f>ROUND(G113*0.0281,0)</f>
        <v>1</v>
      </c>
      <c r="I113" s="4">
        <f t="shared" si="8"/>
        <v>0</v>
      </c>
      <c r="J113" s="4">
        <f t="shared" si="9"/>
        <v>0</v>
      </c>
      <c r="K113" s="4">
        <f t="shared" si="10"/>
        <v>1</v>
      </c>
      <c r="L113" s="4" t="s">
        <v>520</v>
      </c>
      <c r="M113" s="4">
        <f>INDEX(Dim_Product!$C$2:$C$4,MATCH(F113,Dim_Product!$A$2:$A$4,0))+0.15</f>
        <v>200.15</v>
      </c>
      <c r="N113" s="4">
        <f>IF(AND(M113&gt;=INDEX(Dim_Product!$C$2:$C$4,MATCH(F113,Dim_Product!$A$2:$A$4,0))-INDEX(Dim_Product!$D$2:$D$4,MATCH(F113,Dim_Product!$A$2:$A$4,0)),M113&lt;=INDEX(Dim_Product!$C$2:$C$4,MATCH(F113,Dim_Product!$A$2:$A$4,0))+INDEX(Dim_Product!$D$2:$D$4,MATCH(F113,Dim_Product!$A$2:$A$4,0))),G113-H113,G113-H113-1)</f>
        <v>47</v>
      </c>
      <c r="O113" s="4">
        <f t="shared" si="11"/>
        <v>1</v>
      </c>
      <c r="P113" s="4">
        <f>INDEX(Dim_Product!$G$2:$G$4,MATCH(F113,Dim_Product!$A$2:$A$4,0))+-0.14</f>
        <v>64.86</v>
      </c>
      <c r="Q113" s="4">
        <f>IF(AND(P113&gt;=INDEX(Dim_Product!$G$2:$G$4,MATCH(F113,Dim_Product!$A$2:$A$4,0))-INDEX(Dim_Product!$H$2:$H$4,MATCH(F113,Dim_Product!$A$2:$A$4,0)),P113&lt;=INDEX(Dim_Product!$G$2:$G$4,MATCH(F113,Dim_Product!$A$2:$A$4,0))+INDEX(Dim_Product!$H$2:$H$4,MATCH(F113,Dim_Product!$A$2:$A$4,0))),G113-H113,G113-H113-1)</f>
        <v>47</v>
      </c>
      <c r="R113" s="4">
        <f t="shared" si="12"/>
        <v>1</v>
      </c>
      <c r="S113" s="4">
        <f>INDEX(Dim_Product!$K$2:$K$4,MATCH(F113,Dim_Product!$A$2:$A$4,0))+-0.11</f>
        <v>109.89</v>
      </c>
      <c r="T113" s="4">
        <f>IF(AND(S113&gt;=INDEX(Dim_Product!$K$2:$K$4,MATCH(F113,Dim_Product!$A$2:$A$4,0))-INDEX(Dim_Product!$L$2:$L$4,MATCH(F113,Dim_Product!$A$2:$A$4,0)),S113&lt;=INDEX(Dim_Product!$K$2:$K$4,MATCH(F113,Dim_Product!$A$2:$A$4,0))+INDEX(Dim_Product!$L$2:$L$4,MATCH(F113,Dim_Product!$A$2:$A$4,0))),G113-H113,G113-H113-1)</f>
        <v>47</v>
      </c>
      <c r="U113" s="4">
        <f t="shared" si="13"/>
        <v>1</v>
      </c>
      <c r="V113" s="4">
        <f t="shared" si="14"/>
        <v>2.0833333333333332E-2</v>
      </c>
      <c r="W113" s="16">
        <f t="shared" si="15"/>
        <v>0.97916666666666663</v>
      </c>
    </row>
    <row r="114" spans="1:23" x14ac:dyDescent="0.25">
      <c r="A114" s="15" t="s">
        <v>615</v>
      </c>
      <c r="B114" s="4">
        <f>Fact_Production_Hourly!B114</f>
        <v>20260701</v>
      </c>
      <c r="C114" s="4">
        <f>Fact_Production_Hourly!C114</f>
        <v>16</v>
      </c>
      <c r="D114" s="4" t="str">
        <f>Fact_Production_Hourly!D114</f>
        <v>M1</v>
      </c>
      <c r="E114" s="4" t="str">
        <f>Fact_Production_Hourly!E114</f>
        <v>A-AM</v>
      </c>
      <c r="F114" s="4" t="str">
        <f>Fact_Production_Hourly!F114</f>
        <v>C</v>
      </c>
      <c r="G114" s="4">
        <f>INDEX(Dim_Machine!$D$2:$D$8,MATCH(D114,Dim_Machine!$A$2:$A$8,0))*2</f>
        <v>32</v>
      </c>
      <c r="H114" s="4">
        <f>ROUND(G114*0.0242,0)</f>
        <v>1</v>
      </c>
      <c r="I114" s="4">
        <f t="shared" si="8"/>
        <v>0</v>
      </c>
      <c r="J114" s="4">
        <f t="shared" si="9"/>
        <v>0</v>
      </c>
      <c r="K114" s="4">
        <f t="shared" si="10"/>
        <v>1</v>
      </c>
      <c r="L114" s="4" t="s">
        <v>520</v>
      </c>
      <c r="M114" s="4">
        <f>INDEX(Dim_Product!$C$2:$C$4,MATCH(F114,Dim_Product!$A$2:$A$4,0))+-0.76</f>
        <v>199.24</v>
      </c>
      <c r="N114" s="4">
        <f>IF(AND(M114&gt;=INDEX(Dim_Product!$C$2:$C$4,MATCH(F114,Dim_Product!$A$2:$A$4,0))-INDEX(Dim_Product!$D$2:$D$4,MATCH(F114,Dim_Product!$A$2:$A$4,0)),M114&lt;=INDEX(Dim_Product!$C$2:$C$4,MATCH(F114,Dim_Product!$A$2:$A$4,0))+INDEX(Dim_Product!$D$2:$D$4,MATCH(F114,Dim_Product!$A$2:$A$4,0))),G114-H114,G114-H114-1)</f>
        <v>31</v>
      </c>
      <c r="O114" s="4">
        <f t="shared" si="11"/>
        <v>1</v>
      </c>
      <c r="P114" s="4">
        <f>INDEX(Dim_Product!$G$2:$G$4,MATCH(F114,Dim_Product!$A$2:$A$4,0))+-0.12</f>
        <v>64.88</v>
      </c>
      <c r="Q114" s="4">
        <f>IF(AND(P114&gt;=INDEX(Dim_Product!$G$2:$G$4,MATCH(F114,Dim_Product!$A$2:$A$4,0))-INDEX(Dim_Product!$H$2:$H$4,MATCH(F114,Dim_Product!$A$2:$A$4,0)),P114&lt;=INDEX(Dim_Product!$G$2:$G$4,MATCH(F114,Dim_Product!$A$2:$A$4,0))+INDEX(Dim_Product!$H$2:$H$4,MATCH(F114,Dim_Product!$A$2:$A$4,0))),G114-H114,G114-H114-1)</f>
        <v>31</v>
      </c>
      <c r="R114" s="4">
        <f t="shared" si="12"/>
        <v>1</v>
      </c>
      <c r="S114" s="4">
        <f>INDEX(Dim_Product!$K$2:$K$4,MATCH(F114,Dim_Product!$A$2:$A$4,0))+-0.08</f>
        <v>109.92</v>
      </c>
      <c r="T114" s="4">
        <f>IF(AND(S114&gt;=INDEX(Dim_Product!$K$2:$K$4,MATCH(F114,Dim_Product!$A$2:$A$4,0))-INDEX(Dim_Product!$L$2:$L$4,MATCH(F114,Dim_Product!$A$2:$A$4,0)),S114&lt;=INDEX(Dim_Product!$K$2:$K$4,MATCH(F114,Dim_Product!$A$2:$A$4,0))+INDEX(Dim_Product!$L$2:$L$4,MATCH(F114,Dim_Product!$A$2:$A$4,0))),G114-H114,G114-H114-1)</f>
        <v>31</v>
      </c>
      <c r="U114" s="4">
        <f t="shared" si="13"/>
        <v>1</v>
      </c>
      <c r="V114" s="4">
        <f t="shared" si="14"/>
        <v>3.125E-2</v>
      </c>
      <c r="W114" s="16">
        <f t="shared" si="15"/>
        <v>0.96875</v>
      </c>
    </row>
    <row r="115" spans="1:23" x14ac:dyDescent="0.25">
      <c r="A115" s="15" t="s">
        <v>616</v>
      </c>
      <c r="B115" s="4">
        <f>Fact_Production_Hourly!B115</f>
        <v>20260701</v>
      </c>
      <c r="C115" s="4">
        <f>Fact_Production_Hourly!C115</f>
        <v>16</v>
      </c>
      <c r="D115" s="4" t="str">
        <f>Fact_Production_Hourly!D115</f>
        <v>M2</v>
      </c>
      <c r="E115" s="4" t="str">
        <f>Fact_Production_Hourly!E115</f>
        <v>A-AM</v>
      </c>
      <c r="F115" s="4" t="str">
        <f>Fact_Production_Hourly!F115</f>
        <v>A</v>
      </c>
      <c r="G115" s="4">
        <f>INDEX(Dim_Machine!$D$2:$D$8,MATCH(D115,Dim_Machine!$A$2:$A$8,0))*2</f>
        <v>48</v>
      </c>
      <c r="H115" s="4">
        <f>ROUND(G115*0.0402,0)</f>
        <v>2</v>
      </c>
      <c r="I115" s="4">
        <f t="shared" si="8"/>
        <v>0</v>
      </c>
      <c r="J115" s="4">
        <f t="shared" si="9"/>
        <v>1</v>
      </c>
      <c r="K115" s="4">
        <f t="shared" si="10"/>
        <v>1</v>
      </c>
      <c r="L115" s="4" t="s">
        <v>520</v>
      </c>
      <c r="M115" s="4">
        <f>INDEX(Dim_Product!$C$2:$C$4,MATCH(F115,Dim_Product!$A$2:$A$4,0))+0.54</f>
        <v>250.54</v>
      </c>
      <c r="N115" s="4">
        <f>IF(AND(M115&gt;=INDEX(Dim_Product!$C$2:$C$4,MATCH(F115,Dim_Product!$A$2:$A$4,0))-INDEX(Dim_Product!$D$2:$D$4,MATCH(F115,Dim_Product!$A$2:$A$4,0)),M115&lt;=INDEX(Dim_Product!$C$2:$C$4,MATCH(F115,Dim_Product!$A$2:$A$4,0))+INDEX(Dim_Product!$D$2:$D$4,MATCH(F115,Dim_Product!$A$2:$A$4,0))),G115-H115,G115-H115-1)</f>
        <v>46</v>
      </c>
      <c r="O115" s="4">
        <f t="shared" si="11"/>
        <v>2</v>
      </c>
      <c r="P115" s="4">
        <f>INDEX(Dim_Product!$G$2:$G$4,MATCH(F115,Dim_Product!$A$2:$A$4,0))+0.11</f>
        <v>70.11</v>
      </c>
      <c r="Q115" s="4">
        <f>IF(AND(P115&gt;=INDEX(Dim_Product!$G$2:$G$4,MATCH(F115,Dim_Product!$A$2:$A$4,0))-INDEX(Dim_Product!$H$2:$H$4,MATCH(F115,Dim_Product!$A$2:$A$4,0)),P115&lt;=INDEX(Dim_Product!$G$2:$G$4,MATCH(F115,Dim_Product!$A$2:$A$4,0))+INDEX(Dim_Product!$H$2:$H$4,MATCH(F115,Dim_Product!$A$2:$A$4,0))),G115-H115,G115-H115-1)</f>
        <v>46</v>
      </c>
      <c r="R115" s="4">
        <f t="shared" si="12"/>
        <v>2</v>
      </c>
      <c r="S115" s="4">
        <f>INDEX(Dim_Product!$K$2:$K$4,MATCH(F115,Dim_Product!$A$2:$A$4,0))+0.11</f>
        <v>120.11</v>
      </c>
      <c r="T115" s="4">
        <f>IF(AND(S115&gt;=INDEX(Dim_Product!$K$2:$K$4,MATCH(F115,Dim_Product!$A$2:$A$4,0))-INDEX(Dim_Product!$L$2:$L$4,MATCH(F115,Dim_Product!$A$2:$A$4,0)),S115&lt;=INDEX(Dim_Product!$K$2:$K$4,MATCH(F115,Dim_Product!$A$2:$A$4,0))+INDEX(Dim_Product!$L$2:$L$4,MATCH(F115,Dim_Product!$A$2:$A$4,0))),G115-H115,G115-H115-1)</f>
        <v>46</v>
      </c>
      <c r="U115" s="4">
        <f t="shared" si="13"/>
        <v>2</v>
      </c>
      <c r="V115" s="4">
        <f t="shared" si="14"/>
        <v>4.1666666666666664E-2</v>
      </c>
      <c r="W115" s="16">
        <f t="shared" si="15"/>
        <v>0.95833333333333337</v>
      </c>
    </row>
    <row r="116" spans="1:23" x14ac:dyDescent="0.25">
      <c r="A116" s="15" t="s">
        <v>617</v>
      </c>
      <c r="B116" s="4">
        <f>Fact_Production_Hourly!B116</f>
        <v>20260701</v>
      </c>
      <c r="C116" s="4">
        <f>Fact_Production_Hourly!C116</f>
        <v>16</v>
      </c>
      <c r="D116" s="4" t="str">
        <f>Fact_Production_Hourly!D116</f>
        <v>M3</v>
      </c>
      <c r="E116" s="4" t="str">
        <f>Fact_Production_Hourly!E116</f>
        <v>A-AM</v>
      </c>
      <c r="F116" s="4" t="str">
        <f>Fact_Production_Hourly!F116</f>
        <v>B</v>
      </c>
      <c r="G116" s="4">
        <f>INDEX(Dim_Machine!$D$2:$D$8,MATCH(D116,Dim_Machine!$A$2:$A$8,0))*2</f>
        <v>24</v>
      </c>
      <c r="H116" s="4">
        <f>ROUND(G116*0.0664,0)</f>
        <v>2</v>
      </c>
      <c r="I116" s="4">
        <f t="shared" si="8"/>
        <v>0</v>
      </c>
      <c r="J116" s="4">
        <f t="shared" si="9"/>
        <v>1</v>
      </c>
      <c r="K116" s="4">
        <f t="shared" si="10"/>
        <v>1</v>
      </c>
      <c r="L116" s="4" t="s">
        <v>517</v>
      </c>
      <c r="M116" s="4">
        <f>INDEX(Dim_Product!$C$2:$C$4,MATCH(F116,Dim_Product!$A$2:$A$4,0))+0.23</f>
        <v>300.23</v>
      </c>
      <c r="N116" s="4">
        <f>IF(AND(M116&gt;=INDEX(Dim_Product!$C$2:$C$4,MATCH(F116,Dim_Product!$A$2:$A$4,0))-INDEX(Dim_Product!$D$2:$D$4,MATCH(F116,Dim_Product!$A$2:$A$4,0)),M116&lt;=INDEX(Dim_Product!$C$2:$C$4,MATCH(F116,Dim_Product!$A$2:$A$4,0))+INDEX(Dim_Product!$D$2:$D$4,MATCH(F116,Dim_Product!$A$2:$A$4,0))),G116-H116,G116-H116-1)</f>
        <v>22</v>
      </c>
      <c r="O116" s="4">
        <f t="shared" si="11"/>
        <v>2</v>
      </c>
      <c r="P116" s="4">
        <f>INDEX(Dim_Product!$G$2:$G$4,MATCH(F116,Dim_Product!$A$2:$A$4,0))+-0.17</f>
        <v>74.83</v>
      </c>
      <c r="Q116" s="4">
        <f>IF(AND(P116&gt;=INDEX(Dim_Product!$G$2:$G$4,MATCH(F116,Dim_Product!$A$2:$A$4,0))-INDEX(Dim_Product!$H$2:$H$4,MATCH(F116,Dim_Product!$A$2:$A$4,0)),P116&lt;=INDEX(Dim_Product!$G$2:$G$4,MATCH(F116,Dim_Product!$A$2:$A$4,0))+INDEX(Dim_Product!$H$2:$H$4,MATCH(F116,Dim_Product!$A$2:$A$4,0))),G116-H116,G116-H116-1)</f>
        <v>22</v>
      </c>
      <c r="R116" s="4">
        <f t="shared" si="12"/>
        <v>2</v>
      </c>
      <c r="S116" s="4">
        <f>INDEX(Dim_Product!$K$2:$K$4,MATCH(F116,Dim_Product!$A$2:$A$4,0))+-0.29</f>
        <v>129.71</v>
      </c>
      <c r="T116" s="4">
        <f>IF(AND(S116&gt;=INDEX(Dim_Product!$K$2:$K$4,MATCH(F116,Dim_Product!$A$2:$A$4,0))-INDEX(Dim_Product!$L$2:$L$4,MATCH(F116,Dim_Product!$A$2:$A$4,0)),S116&lt;=INDEX(Dim_Product!$K$2:$K$4,MATCH(F116,Dim_Product!$A$2:$A$4,0))+INDEX(Dim_Product!$L$2:$L$4,MATCH(F116,Dim_Product!$A$2:$A$4,0))),G116-H116,G116-H116-1)</f>
        <v>22</v>
      </c>
      <c r="U116" s="4">
        <f t="shared" si="13"/>
        <v>2</v>
      </c>
      <c r="V116" s="4">
        <f t="shared" si="14"/>
        <v>8.3333333333333329E-2</v>
      </c>
      <c r="W116" s="16">
        <f t="shared" si="15"/>
        <v>0.91666666666666663</v>
      </c>
    </row>
    <row r="117" spans="1:23" x14ac:dyDescent="0.25">
      <c r="A117" s="15" t="s">
        <v>618</v>
      </c>
      <c r="B117" s="4">
        <f>Fact_Production_Hourly!B117</f>
        <v>20260701</v>
      </c>
      <c r="C117" s="4">
        <f>Fact_Production_Hourly!C117</f>
        <v>16</v>
      </c>
      <c r="D117" s="4" t="str">
        <f>Fact_Production_Hourly!D117</f>
        <v>M4</v>
      </c>
      <c r="E117" s="4" t="str">
        <f>Fact_Production_Hourly!E117</f>
        <v>A-AM</v>
      </c>
      <c r="F117" s="4" t="str">
        <f>Fact_Production_Hourly!F117</f>
        <v>A</v>
      </c>
      <c r="G117" s="4">
        <f>INDEX(Dim_Machine!$D$2:$D$8,MATCH(D117,Dim_Machine!$A$2:$A$8,0))*2</f>
        <v>48</v>
      </c>
      <c r="H117" s="4">
        <f>ROUND(G117*0.0192,0)</f>
        <v>1</v>
      </c>
      <c r="I117" s="4">
        <f t="shared" si="8"/>
        <v>0</v>
      </c>
      <c r="J117" s="4">
        <f t="shared" si="9"/>
        <v>0</v>
      </c>
      <c r="K117" s="4">
        <f t="shared" si="10"/>
        <v>1</v>
      </c>
      <c r="L117" s="4" t="s">
        <v>520</v>
      </c>
      <c r="M117" s="4">
        <f>INDEX(Dim_Product!$C$2:$C$4,MATCH(F117,Dim_Product!$A$2:$A$4,0))+0.98</f>
        <v>250.98</v>
      </c>
      <c r="N117" s="4">
        <f>IF(AND(M117&gt;=INDEX(Dim_Product!$C$2:$C$4,MATCH(F117,Dim_Product!$A$2:$A$4,0))-INDEX(Dim_Product!$D$2:$D$4,MATCH(F117,Dim_Product!$A$2:$A$4,0)),M117&lt;=INDEX(Dim_Product!$C$2:$C$4,MATCH(F117,Dim_Product!$A$2:$A$4,0))+INDEX(Dim_Product!$D$2:$D$4,MATCH(F117,Dim_Product!$A$2:$A$4,0))),G117-H117,G117-H117-1)</f>
        <v>47</v>
      </c>
      <c r="O117" s="4">
        <f t="shared" si="11"/>
        <v>1</v>
      </c>
      <c r="P117" s="4">
        <f>INDEX(Dim_Product!$G$2:$G$4,MATCH(F117,Dim_Product!$A$2:$A$4,0))+-0.08</f>
        <v>69.92</v>
      </c>
      <c r="Q117" s="4">
        <f>IF(AND(P117&gt;=INDEX(Dim_Product!$G$2:$G$4,MATCH(F117,Dim_Product!$A$2:$A$4,0))-INDEX(Dim_Product!$H$2:$H$4,MATCH(F117,Dim_Product!$A$2:$A$4,0)),P117&lt;=INDEX(Dim_Product!$G$2:$G$4,MATCH(F117,Dim_Product!$A$2:$A$4,0))+INDEX(Dim_Product!$H$2:$H$4,MATCH(F117,Dim_Product!$A$2:$A$4,0))),G117-H117,G117-H117-1)</f>
        <v>47</v>
      </c>
      <c r="R117" s="4">
        <f t="shared" si="12"/>
        <v>1</v>
      </c>
      <c r="S117" s="4">
        <f>INDEX(Dim_Product!$K$2:$K$4,MATCH(F117,Dim_Product!$A$2:$A$4,0))+0.16</f>
        <v>120.16</v>
      </c>
      <c r="T117" s="4">
        <f>IF(AND(S117&gt;=INDEX(Dim_Product!$K$2:$K$4,MATCH(F117,Dim_Product!$A$2:$A$4,0))-INDEX(Dim_Product!$L$2:$L$4,MATCH(F117,Dim_Product!$A$2:$A$4,0)),S117&lt;=INDEX(Dim_Product!$K$2:$K$4,MATCH(F117,Dim_Product!$A$2:$A$4,0))+INDEX(Dim_Product!$L$2:$L$4,MATCH(F117,Dim_Product!$A$2:$A$4,0))),G117-H117,G117-H117-1)</f>
        <v>47</v>
      </c>
      <c r="U117" s="4">
        <f t="shared" si="13"/>
        <v>1</v>
      </c>
      <c r="V117" s="4">
        <f t="shared" si="14"/>
        <v>2.0833333333333332E-2</v>
      </c>
      <c r="W117" s="16">
        <f t="shared" si="15"/>
        <v>0.97916666666666663</v>
      </c>
    </row>
    <row r="118" spans="1:23" x14ac:dyDescent="0.25">
      <c r="A118" s="15" t="s">
        <v>619</v>
      </c>
      <c r="B118" s="4">
        <f>Fact_Production_Hourly!B118</f>
        <v>20260701</v>
      </c>
      <c r="C118" s="4">
        <f>Fact_Production_Hourly!C118</f>
        <v>16</v>
      </c>
      <c r="D118" s="4" t="str">
        <f>Fact_Production_Hourly!D118</f>
        <v>M5</v>
      </c>
      <c r="E118" s="4" t="str">
        <f>Fact_Production_Hourly!E118</f>
        <v>A-AM</v>
      </c>
      <c r="F118" s="4" t="str">
        <f>Fact_Production_Hourly!F118</f>
        <v>C</v>
      </c>
      <c r="G118" s="4">
        <f>INDEX(Dim_Machine!$D$2:$D$8,MATCH(D118,Dim_Machine!$A$2:$A$8,0))*2</f>
        <v>32</v>
      </c>
      <c r="H118" s="4">
        <f>ROUND(G118*0.0648,0)</f>
        <v>2</v>
      </c>
      <c r="I118" s="4">
        <f t="shared" si="8"/>
        <v>0</v>
      </c>
      <c r="J118" s="4">
        <f t="shared" si="9"/>
        <v>1</v>
      </c>
      <c r="K118" s="4">
        <f t="shared" si="10"/>
        <v>1</v>
      </c>
      <c r="L118" s="4" t="s">
        <v>509</v>
      </c>
      <c r="M118" s="4">
        <f>INDEX(Dim_Product!$C$2:$C$4,MATCH(F118,Dim_Product!$A$2:$A$4,0))+0.6</f>
        <v>200.6</v>
      </c>
      <c r="N118" s="4">
        <f>IF(AND(M118&gt;=INDEX(Dim_Product!$C$2:$C$4,MATCH(F118,Dim_Product!$A$2:$A$4,0))-INDEX(Dim_Product!$D$2:$D$4,MATCH(F118,Dim_Product!$A$2:$A$4,0)),M118&lt;=INDEX(Dim_Product!$C$2:$C$4,MATCH(F118,Dim_Product!$A$2:$A$4,0))+INDEX(Dim_Product!$D$2:$D$4,MATCH(F118,Dim_Product!$A$2:$A$4,0))),G118-H118,G118-H118-1)</f>
        <v>30</v>
      </c>
      <c r="O118" s="4">
        <f t="shared" si="11"/>
        <v>2</v>
      </c>
      <c r="P118" s="4">
        <f>INDEX(Dim_Product!$G$2:$G$4,MATCH(F118,Dim_Product!$A$2:$A$4,0))+0.2</f>
        <v>65.2</v>
      </c>
      <c r="Q118" s="4">
        <f>IF(AND(P118&gt;=INDEX(Dim_Product!$G$2:$G$4,MATCH(F118,Dim_Product!$A$2:$A$4,0))-INDEX(Dim_Product!$H$2:$H$4,MATCH(F118,Dim_Product!$A$2:$A$4,0)),P118&lt;=INDEX(Dim_Product!$G$2:$G$4,MATCH(F118,Dim_Product!$A$2:$A$4,0))+INDEX(Dim_Product!$H$2:$H$4,MATCH(F118,Dim_Product!$A$2:$A$4,0))),G118-H118,G118-H118-1)</f>
        <v>30</v>
      </c>
      <c r="R118" s="4">
        <f t="shared" si="12"/>
        <v>2</v>
      </c>
      <c r="S118" s="4">
        <f>INDEX(Dim_Product!$K$2:$K$4,MATCH(F118,Dim_Product!$A$2:$A$4,0))+0.21</f>
        <v>110.21</v>
      </c>
      <c r="T118" s="4">
        <f>IF(AND(S118&gt;=INDEX(Dim_Product!$K$2:$K$4,MATCH(F118,Dim_Product!$A$2:$A$4,0))-INDEX(Dim_Product!$L$2:$L$4,MATCH(F118,Dim_Product!$A$2:$A$4,0)),S118&lt;=INDEX(Dim_Product!$K$2:$K$4,MATCH(F118,Dim_Product!$A$2:$A$4,0))+INDEX(Dim_Product!$L$2:$L$4,MATCH(F118,Dim_Product!$A$2:$A$4,0))),G118-H118,G118-H118-1)</f>
        <v>30</v>
      </c>
      <c r="U118" s="4">
        <f t="shared" si="13"/>
        <v>2</v>
      </c>
      <c r="V118" s="4">
        <f t="shared" si="14"/>
        <v>6.25E-2</v>
      </c>
      <c r="W118" s="16">
        <f t="shared" si="15"/>
        <v>0.9375</v>
      </c>
    </row>
    <row r="119" spans="1:23" x14ac:dyDescent="0.25">
      <c r="A119" s="15" t="s">
        <v>620</v>
      </c>
      <c r="B119" s="4">
        <f>Fact_Production_Hourly!B119</f>
        <v>20260701</v>
      </c>
      <c r="C119" s="4">
        <f>Fact_Production_Hourly!C119</f>
        <v>16</v>
      </c>
      <c r="D119" s="4" t="str">
        <f>Fact_Production_Hourly!D119</f>
        <v>M6</v>
      </c>
      <c r="E119" s="4" t="str">
        <f>Fact_Production_Hourly!E119</f>
        <v>A-AM</v>
      </c>
      <c r="F119" s="4" t="str">
        <f>Fact_Production_Hourly!F119</f>
        <v>C</v>
      </c>
      <c r="G119" s="4">
        <f>INDEX(Dim_Machine!$D$2:$D$8,MATCH(D119,Dim_Machine!$A$2:$A$8,0))*2</f>
        <v>24</v>
      </c>
      <c r="H119" s="4">
        <f>ROUND(G119*0.0508,0)</f>
        <v>1</v>
      </c>
      <c r="I119" s="4">
        <f t="shared" si="8"/>
        <v>0</v>
      </c>
      <c r="J119" s="4">
        <f t="shared" si="9"/>
        <v>0</v>
      </c>
      <c r="K119" s="4">
        <f t="shared" si="10"/>
        <v>1</v>
      </c>
      <c r="L119" s="4" t="s">
        <v>509</v>
      </c>
      <c r="M119" s="4">
        <f>INDEX(Dim_Product!$C$2:$C$4,MATCH(F119,Dim_Product!$A$2:$A$4,0))+0.75</f>
        <v>200.75</v>
      </c>
      <c r="N119" s="4">
        <f>IF(AND(M119&gt;=INDEX(Dim_Product!$C$2:$C$4,MATCH(F119,Dim_Product!$A$2:$A$4,0))-INDEX(Dim_Product!$D$2:$D$4,MATCH(F119,Dim_Product!$A$2:$A$4,0)),M119&lt;=INDEX(Dim_Product!$C$2:$C$4,MATCH(F119,Dim_Product!$A$2:$A$4,0))+INDEX(Dim_Product!$D$2:$D$4,MATCH(F119,Dim_Product!$A$2:$A$4,0))),G119-H119,G119-H119-1)</f>
        <v>23</v>
      </c>
      <c r="O119" s="4">
        <f t="shared" si="11"/>
        <v>1</v>
      </c>
      <c r="P119" s="4">
        <f>INDEX(Dim_Product!$G$2:$G$4,MATCH(F119,Dim_Product!$A$2:$A$4,0))+-0.25</f>
        <v>64.75</v>
      </c>
      <c r="Q119" s="4">
        <f>IF(AND(P119&gt;=INDEX(Dim_Product!$G$2:$G$4,MATCH(F119,Dim_Product!$A$2:$A$4,0))-INDEX(Dim_Product!$H$2:$H$4,MATCH(F119,Dim_Product!$A$2:$A$4,0)),P119&lt;=INDEX(Dim_Product!$G$2:$G$4,MATCH(F119,Dim_Product!$A$2:$A$4,0))+INDEX(Dim_Product!$H$2:$H$4,MATCH(F119,Dim_Product!$A$2:$A$4,0))),G119-H119,G119-H119-1)</f>
        <v>23</v>
      </c>
      <c r="R119" s="4">
        <f t="shared" si="12"/>
        <v>1</v>
      </c>
      <c r="S119" s="4">
        <f>INDEX(Dim_Product!$K$2:$K$4,MATCH(F119,Dim_Product!$A$2:$A$4,0))+-0.04</f>
        <v>109.96</v>
      </c>
      <c r="T119" s="4">
        <f>IF(AND(S119&gt;=INDEX(Dim_Product!$K$2:$K$4,MATCH(F119,Dim_Product!$A$2:$A$4,0))-INDEX(Dim_Product!$L$2:$L$4,MATCH(F119,Dim_Product!$A$2:$A$4,0)),S119&lt;=INDEX(Dim_Product!$K$2:$K$4,MATCH(F119,Dim_Product!$A$2:$A$4,0))+INDEX(Dim_Product!$L$2:$L$4,MATCH(F119,Dim_Product!$A$2:$A$4,0))),G119-H119,G119-H119-1)</f>
        <v>23</v>
      </c>
      <c r="U119" s="4">
        <f t="shared" si="13"/>
        <v>1</v>
      </c>
      <c r="V119" s="4">
        <f t="shared" si="14"/>
        <v>4.1666666666666664E-2</v>
      </c>
      <c r="W119" s="16">
        <f t="shared" si="15"/>
        <v>0.95833333333333337</v>
      </c>
    </row>
    <row r="120" spans="1:23" x14ac:dyDescent="0.25">
      <c r="A120" s="15" t="s">
        <v>621</v>
      </c>
      <c r="B120" s="4">
        <f>Fact_Production_Hourly!B120</f>
        <v>20260701</v>
      </c>
      <c r="C120" s="4">
        <f>Fact_Production_Hourly!C120</f>
        <v>16</v>
      </c>
      <c r="D120" s="4" t="str">
        <f>Fact_Production_Hourly!D120</f>
        <v>M7</v>
      </c>
      <c r="E120" s="4" t="str">
        <f>Fact_Production_Hourly!E120</f>
        <v>A-AM</v>
      </c>
      <c r="F120" s="4" t="str">
        <f>Fact_Production_Hourly!F120</f>
        <v>C</v>
      </c>
      <c r="G120" s="4">
        <f>INDEX(Dim_Machine!$D$2:$D$8,MATCH(D120,Dim_Machine!$A$2:$A$8,0))*2</f>
        <v>48</v>
      </c>
      <c r="H120" s="4">
        <f>ROUND(G120*0.0522,0)</f>
        <v>3</v>
      </c>
      <c r="I120" s="4">
        <f t="shared" si="8"/>
        <v>0</v>
      </c>
      <c r="J120" s="4">
        <f t="shared" si="9"/>
        <v>1</v>
      </c>
      <c r="K120" s="4">
        <f t="shared" si="10"/>
        <v>2</v>
      </c>
      <c r="L120" s="4" t="s">
        <v>498</v>
      </c>
      <c r="M120" s="4">
        <f>INDEX(Dim_Product!$C$2:$C$4,MATCH(F120,Dim_Product!$A$2:$A$4,0))+0.83</f>
        <v>200.83</v>
      </c>
      <c r="N120" s="4">
        <f>IF(AND(M120&gt;=INDEX(Dim_Product!$C$2:$C$4,MATCH(F120,Dim_Product!$A$2:$A$4,0))-INDEX(Dim_Product!$D$2:$D$4,MATCH(F120,Dim_Product!$A$2:$A$4,0)),M120&lt;=INDEX(Dim_Product!$C$2:$C$4,MATCH(F120,Dim_Product!$A$2:$A$4,0))+INDEX(Dim_Product!$D$2:$D$4,MATCH(F120,Dim_Product!$A$2:$A$4,0))),G120-H120,G120-H120-1)</f>
        <v>45</v>
      </c>
      <c r="O120" s="4">
        <f t="shared" si="11"/>
        <v>3</v>
      </c>
      <c r="P120" s="4">
        <f>INDEX(Dim_Product!$G$2:$G$4,MATCH(F120,Dim_Product!$A$2:$A$4,0))+-0.23</f>
        <v>64.77</v>
      </c>
      <c r="Q120" s="4">
        <f>IF(AND(P120&gt;=INDEX(Dim_Product!$G$2:$G$4,MATCH(F120,Dim_Product!$A$2:$A$4,0))-INDEX(Dim_Product!$H$2:$H$4,MATCH(F120,Dim_Product!$A$2:$A$4,0)),P120&lt;=INDEX(Dim_Product!$G$2:$G$4,MATCH(F120,Dim_Product!$A$2:$A$4,0))+INDEX(Dim_Product!$H$2:$H$4,MATCH(F120,Dim_Product!$A$2:$A$4,0))),G120-H120,G120-H120-1)</f>
        <v>45</v>
      </c>
      <c r="R120" s="4">
        <f t="shared" si="12"/>
        <v>3</v>
      </c>
      <c r="S120" s="4">
        <f>INDEX(Dim_Product!$K$2:$K$4,MATCH(F120,Dim_Product!$A$2:$A$4,0))+0.26</f>
        <v>110.26</v>
      </c>
      <c r="T120" s="4">
        <f>IF(AND(S120&gt;=INDEX(Dim_Product!$K$2:$K$4,MATCH(F120,Dim_Product!$A$2:$A$4,0))-INDEX(Dim_Product!$L$2:$L$4,MATCH(F120,Dim_Product!$A$2:$A$4,0)),S120&lt;=INDEX(Dim_Product!$K$2:$K$4,MATCH(F120,Dim_Product!$A$2:$A$4,0))+INDEX(Dim_Product!$L$2:$L$4,MATCH(F120,Dim_Product!$A$2:$A$4,0))),G120-H120,G120-H120-1)</f>
        <v>45</v>
      </c>
      <c r="U120" s="4">
        <f t="shared" si="13"/>
        <v>3</v>
      </c>
      <c r="V120" s="4">
        <f t="shared" si="14"/>
        <v>6.25E-2</v>
      </c>
      <c r="W120" s="16">
        <f t="shared" si="15"/>
        <v>0.9375</v>
      </c>
    </row>
    <row r="121" spans="1:23" x14ac:dyDescent="0.25">
      <c r="A121" s="15" t="s">
        <v>622</v>
      </c>
      <c r="B121" s="4">
        <f>Fact_Production_Hourly!B121</f>
        <v>20260701</v>
      </c>
      <c r="C121" s="4">
        <f>Fact_Production_Hourly!C121</f>
        <v>17</v>
      </c>
      <c r="D121" s="4" t="str">
        <f>Fact_Production_Hourly!D121</f>
        <v>M1</v>
      </c>
      <c r="E121" s="4" t="str">
        <f>Fact_Production_Hourly!E121</f>
        <v>A-AM</v>
      </c>
      <c r="F121" s="4" t="str">
        <f>Fact_Production_Hourly!F121</f>
        <v>C</v>
      </c>
      <c r="G121" s="4">
        <f>INDEX(Dim_Machine!$D$2:$D$8,MATCH(D121,Dim_Machine!$A$2:$A$8,0))*2</f>
        <v>32</v>
      </c>
      <c r="H121" s="4">
        <f>ROUND(G121*0.0642,0)</f>
        <v>2</v>
      </c>
      <c r="I121" s="4">
        <f t="shared" si="8"/>
        <v>0</v>
      </c>
      <c r="J121" s="4">
        <f t="shared" si="9"/>
        <v>1</v>
      </c>
      <c r="K121" s="4">
        <f t="shared" si="10"/>
        <v>1</v>
      </c>
      <c r="L121" s="4" t="s">
        <v>500</v>
      </c>
      <c r="M121" s="4">
        <f>INDEX(Dim_Product!$C$2:$C$4,MATCH(F121,Dim_Product!$A$2:$A$4,0))+0.15</f>
        <v>200.15</v>
      </c>
      <c r="N121" s="4">
        <f>IF(AND(M121&gt;=INDEX(Dim_Product!$C$2:$C$4,MATCH(F121,Dim_Product!$A$2:$A$4,0))-INDEX(Dim_Product!$D$2:$D$4,MATCH(F121,Dim_Product!$A$2:$A$4,0)),M121&lt;=INDEX(Dim_Product!$C$2:$C$4,MATCH(F121,Dim_Product!$A$2:$A$4,0))+INDEX(Dim_Product!$D$2:$D$4,MATCH(F121,Dim_Product!$A$2:$A$4,0))),G121-H121,G121-H121-1)</f>
        <v>30</v>
      </c>
      <c r="O121" s="4">
        <f t="shared" si="11"/>
        <v>2</v>
      </c>
      <c r="P121" s="4">
        <f>INDEX(Dim_Product!$G$2:$G$4,MATCH(F121,Dim_Product!$A$2:$A$4,0))+-0.21</f>
        <v>64.790000000000006</v>
      </c>
      <c r="Q121" s="4">
        <f>IF(AND(P121&gt;=INDEX(Dim_Product!$G$2:$G$4,MATCH(F121,Dim_Product!$A$2:$A$4,0))-INDEX(Dim_Product!$H$2:$H$4,MATCH(F121,Dim_Product!$A$2:$A$4,0)),P121&lt;=INDEX(Dim_Product!$G$2:$G$4,MATCH(F121,Dim_Product!$A$2:$A$4,0))+INDEX(Dim_Product!$H$2:$H$4,MATCH(F121,Dim_Product!$A$2:$A$4,0))),G121-H121,G121-H121-1)</f>
        <v>30</v>
      </c>
      <c r="R121" s="4">
        <f t="shared" si="12"/>
        <v>2</v>
      </c>
      <c r="S121" s="4">
        <f>INDEX(Dim_Product!$K$2:$K$4,MATCH(F121,Dim_Product!$A$2:$A$4,0))+-0.14</f>
        <v>109.86</v>
      </c>
      <c r="T121" s="4">
        <f>IF(AND(S121&gt;=INDEX(Dim_Product!$K$2:$K$4,MATCH(F121,Dim_Product!$A$2:$A$4,0))-INDEX(Dim_Product!$L$2:$L$4,MATCH(F121,Dim_Product!$A$2:$A$4,0)),S121&lt;=INDEX(Dim_Product!$K$2:$K$4,MATCH(F121,Dim_Product!$A$2:$A$4,0))+INDEX(Dim_Product!$L$2:$L$4,MATCH(F121,Dim_Product!$A$2:$A$4,0))),G121-H121,G121-H121-1)</f>
        <v>30</v>
      </c>
      <c r="U121" s="4">
        <f t="shared" si="13"/>
        <v>2</v>
      </c>
      <c r="V121" s="4">
        <f t="shared" si="14"/>
        <v>6.25E-2</v>
      </c>
      <c r="W121" s="16">
        <f t="shared" si="15"/>
        <v>0.9375</v>
      </c>
    </row>
    <row r="122" spans="1:23" x14ac:dyDescent="0.25">
      <c r="A122" s="15" t="s">
        <v>623</v>
      </c>
      <c r="B122" s="4">
        <f>Fact_Production_Hourly!B122</f>
        <v>20260701</v>
      </c>
      <c r="C122" s="4">
        <f>Fact_Production_Hourly!C122</f>
        <v>17</v>
      </c>
      <c r="D122" s="4" t="str">
        <f>Fact_Production_Hourly!D122</f>
        <v>M2</v>
      </c>
      <c r="E122" s="4" t="str">
        <f>Fact_Production_Hourly!E122</f>
        <v>A-AM</v>
      </c>
      <c r="F122" s="4" t="str">
        <f>Fact_Production_Hourly!F122</f>
        <v>A</v>
      </c>
      <c r="G122" s="4">
        <f>INDEX(Dim_Machine!$D$2:$D$8,MATCH(D122,Dim_Machine!$A$2:$A$8,0))*2</f>
        <v>48</v>
      </c>
      <c r="H122" s="4">
        <f>ROUND(G122*0.0412,0)</f>
        <v>2</v>
      </c>
      <c r="I122" s="4">
        <f t="shared" si="8"/>
        <v>0</v>
      </c>
      <c r="J122" s="4">
        <f t="shared" si="9"/>
        <v>1</v>
      </c>
      <c r="K122" s="4">
        <f t="shared" si="10"/>
        <v>1</v>
      </c>
      <c r="L122" s="4" t="s">
        <v>498</v>
      </c>
      <c r="M122" s="4">
        <f>INDEX(Dim_Product!$C$2:$C$4,MATCH(F122,Dim_Product!$A$2:$A$4,0))+0.36</f>
        <v>250.36</v>
      </c>
      <c r="N122" s="4">
        <f>IF(AND(M122&gt;=INDEX(Dim_Product!$C$2:$C$4,MATCH(F122,Dim_Product!$A$2:$A$4,0))-INDEX(Dim_Product!$D$2:$D$4,MATCH(F122,Dim_Product!$A$2:$A$4,0)),M122&lt;=INDEX(Dim_Product!$C$2:$C$4,MATCH(F122,Dim_Product!$A$2:$A$4,0))+INDEX(Dim_Product!$D$2:$D$4,MATCH(F122,Dim_Product!$A$2:$A$4,0))),G122-H122,G122-H122-1)</f>
        <v>46</v>
      </c>
      <c r="O122" s="4">
        <f t="shared" si="11"/>
        <v>2</v>
      </c>
      <c r="P122" s="4">
        <f>INDEX(Dim_Product!$G$2:$G$4,MATCH(F122,Dim_Product!$A$2:$A$4,0))+0.13</f>
        <v>70.13</v>
      </c>
      <c r="Q122" s="4">
        <f>IF(AND(P122&gt;=INDEX(Dim_Product!$G$2:$G$4,MATCH(F122,Dim_Product!$A$2:$A$4,0))-INDEX(Dim_Product!$H$2:$H$4,MATCH(F122,Dim_Product!$A$2:$A$4,0)),P122&lt;=INDEX(Dim_Product!$G$2:$G$4,MATCH(F122,Dim_Product!$A$2:$A$4,0))+INDEX(Dim_Product!$H$2:$H$4,MATCH(F122,Dim_Product!$A$2:$A$4,0))),G122-H122,G122-H122-1)</f>
        <v>46</v>
      </c>
      <c r="R122" s="4">
        <f t="shared" si="12"/>
        <v>2</v>
      </c>
      <c r="S122" s="4">
        <f>INDEX(Dim_Product!$K$2:$K$4,MATCH(F122,Dim_Product!$A$2:$A$4,0))+-0.01</f>
        <v>119.99</v>
      </c>
      <c r="T122" s="4">
        <f>IF(AND(S122&gt;=INDEX(Dim_Product!$K$2:$K$4,MATCH(F122,Dim_Product!$A$2:$A$4,0))-INDEX(Dim_Product!$L$2:$L$4,MATCH(F122,Dim_Product!$A$2:$A$4,0)),S122&lt;=INDEX(Dim_Product!$K$2:$K$4,MATCH(F122,Dim_Product!$A$2:$A$4,0))+INDEX(Dim_Product!$L$2:$L$4,MATCH(F122,Dim_Product!$A$2:$A$4,0))),G122-H122,G122-H122-1)</f>
        <v>46</v>
      </c>
      <c r="U122" s="4">
        <f t="shared" si="13"/>
        <v>2</v>
      </c>
      <c r="V122" s="4">
        <f t="shared" si="14"/>
        <v>4.1666666666666664E-2</v>
      </c>
      <c r="W122" s="16">
        <f t="shared" si="15"/>
        <v>0.95833333333333337</v>
      </c>
    </row>
    <row r="123" spans="1:23" x14ac:dyDescent="0.25">
      <c r="A123" s="15" t="s">
        <v>624</v>
      </c>
      <c r="B123" s="4">
        <f>Fact_Production_Hourly!B123</f>
        <v>20260701</v>
      </c>
      <c r="C123" s="4">
        <f>Fact_Production_Hourly!C123</f>
        <v>17</v>
      </c>
      <c r="D123" s="4" t="str">
        <f>Fact_Production_Hourly!D123</f>
        <v>M3</v>
      </c>
      <c r="E123" s="4" t="str">
        <f>Fact_Production_Hourly!E123</f>
        <v>A-AM</v>
      </c>
      <c r="F123" s="4" t="str">
        <f>Fact_Production_Hourly!F123</f>
        <v>B</v>
      </c>
      <c r="G123" s="4">
        <f>INDEX(Dim_Machine!$D$2:$D$8,MATCH(D123,Dim_Machine!$A$2:$A$8,0))*2</f>
        <v>24</v>
      </c>
      <c r="H123" s="4">
        <f>ROUND(G123*0.0639,0)</f>
        <v>2</v>
      </c>
      <c r="I123" s="4">
        <f t="shared" si="8"/>
        <v>0</v>
      </c>
      <c r="J123" s="4">
        <f t="shared" si="9"/>
        <v>1</v>
      </c>
      <c r="K123" s="4">
        <f t="shared" si="10"/>
        <v>1</v>
      </c>
      <c r="L123" s="4" t="s">
        <v>503</v>
      </c>
      <c r="M123" s="4">
        <f>INDEX(Dim_Product!$C$2:$C$4,MATCH(F123,Dim_Product!$A$2:$A$4,0))+0.62</f>
        <v>300.62</v>
      </c>
      <c r="N123" s="4">
        <f>IF(AND(M123&gt;=INDEX(Dim_Product!$C$2:$C$4,MATCH(F123,Dim_Product!$A$2:$A$4,0))-INDEX(Dim_Product!$D$2:$D$4,MATCH(F123,Dim_Product!$A$2:$A$4,0)),M123&lt;=INDEX(Dim_Product!$C$2:$C$4,MATCH(F123,Dim_Product!$A$2:$A$4,0))+INDEX(Dim_Product!$D$2:$D$4,MATCH(F123,Dim_Product!$A$2:$A$4,0))),G123-H123,G123-H123-1)</f>
        <v>22</v>
      </c>
      <c r="O123" s="4">
        <f t="shared" si="11"/>
        <v>2</v>
      </c>
      <c r="P123" s="4">
        <f>INDEX(Dim_Product!$G$2:$G$4,MATCH(F123,Dim_Product!$A$2:$A$4,0))+-0.03</f>
        <v>74.97</v>
      </c>
      <c r="Q123" s="4">
        <f>IF(AND(P123&gt;=INDEX(Dim_Product!$G$2:$G$4,MATCH(F123,Dim_Product!$A$2:$A$4,0))-INDEX(Dim_Product!$H$2:$H$4,MATCH(F123,Dim_Product!$A$2:$A$4,0)),P123&lt;=INDEX(Dim_Product!$G$2:$G$4,MATCH(F123,Dim_Product!$A$2:$A$4,0))+INDEX(Dim_Product!$H$2:$H$4,MATCH(F123,Dim_Product!$A$2:$A$4,0))),G123-H123,G123-H123-1)</f>
        <v>22</v>
      </c>
      <c r="R123" s="4">
        <f t="shared" si="12"/>
        <v>2</v>
      </c>
      <c r="S123" s="4">
        <f>INDEX(Dim_Product!$K$2:$K$4,MATCH(F123,Dim_Product!$A$2:$A$4,0))+0.01</f>
        <v>130.01</v>
      </c>
      <c r="T123" s="4">
        <f>IF(AND(S123&gt;=INDEX(Dim_Product!$K$2:$K$4,MATCH(F123,Dim_Product!$A$2:$A$4,0))-INDEX(Dim_Product!$L$2:$L$4,MATCH(F123,Dim_Product!$A$2:$A$4,0)),S123&lt;=INDEX(Dim_Product!$K$2:$K$4,MATCH(F123,Dim_Product!$A$2:$A$4,0))+INDEX(Dim_Product!$L$2:$L$4,MATCH(F123,Dim_Product!$A$2:$A$4,0))),G123-H123,G123-H123-1)</f>
        <v>22</v>
      </c>
      <c r="U123" s="4">
        <f t="shared" si="13"/>
        <v>2</v>
      </c>
      <c r="V123" s="4">
        <f t="shared" si="14"/>
        <v>8.3333333333333329E-2</v>
      </c>
      <c r="W123" s="16">
        <f t="shared" si="15"/>
        <v>0.91666666666666663</v>
      </c>
    </row>
    <row r="124" spans="1:23" x14ac:dyDescent="0.25">
      <c r="A124" s="15" t="s">
        <v>625</v>
      </c>
      <c r="B124" s="4">
        <f>Fact_Production_Hourly!B124</f>
        <v>20260701</v>
      </c>
      <c r="C124" s="4">
        <f>Fact_Production_Hourly!C124</f>
        <v>17</v>
      </c>
      <c r="D124" s="4" t="str">
        <f>Fact_Production_Hourly!D124</f>
        <v>M4</v>
      </c>
      <c r="E124" s="4" t="str">
        <f>Fact_Production_Hourly!E124</f>
        <v>A-AM</v>
      </c>
      <c r="F124" s="4" t="str">
        <f>Fact_Production_Hourly!F124</f>
        <v>A</v>
      </c>
      <c r="G124" s="4">
        <f>INDEX(Dim_Machine!$D$2:$D$8,MATCH(D124,Dim_Machine!$A$2:$A$8,0))*2</f>
        <v>48</v>
      </c>
      <c r="H124" s="4">
        <f>ROUND(G124*0.0374,0)</f>
        <v>2</v>
      </c>
      <c r="I124" s="4">
        <f t="shared" si="8"/>
        <v>0</v>
      </c>
      <c r="J124" s="4">
        <f t="shared" si="9"/>
        <v>1</v>
      </c>
      <c r="K124" s="4">
        <f t="shared" si="10"/>
        <v>1</v>
      </c>
      <c r="L124" s="4" t="s">
        <v>498</v>
      </c>
      <c r="M124" s="4">
        <f>INDEX(Dim_Product!$C$2:$C$4,MATCH(F124,Dim_Product!$A$2:$A$4,0))+0.12</f>
        <v>250.12</v>
      </c>
      <c r="N124" s="4">
        <f>IF(AND(M124&gt;=INDEX(Dim_Product!$C$2:$C$4,MATCH(F124,Dim_Product!$A$2:$A$4,0))-INDEX(Dim_Product!$D$2:$D$4,MATCH(F124,Dim_Product!$A$2:$A$4,0)),M124&lt;=INDEX(Dim_Product!$C$2:$C$4,MATCH(F124,Dim_Product!$A$2:$A$4,0))+INDEX(Dim_Product!$D$2:$D$4,MATCH(F124,Dim_Product!$A$2:$A$4,0))),G124-H124,G124-H124-1)</f>
        <v>46</v>
      </c>
      <c r="O124" s="4">
        <f t="shared" si="11"/>
        <v>2</v>
      </c>
      <c r="P124" s="4">
        <f>INDEX(Dim_Product!$G$2:$G$4,MATCH(F124,Dim_Product!$A$2:$A$4,0))+0.1</f>
        <v>70.099999999999994</v>
      </c>
      <c r="Q124" s="4">
        <f>IF(AND(P124&gt;=INDEX(Dim_Product!$G$2:$G$4,MATCH(F124,Dim_Product!$A$2:$A$4,0))-INDEX(Dim_Product!$H$2:$H$4,MATCH(F124,Dim_Product!$A$2:$A$4,0)),P124&lt;=INDEX(Dim_Product!$G$2:$G$4,MATCH(F124,Dim_Product!$A$2:$A$4,0))+INDEX(Dim_Product!$H$2:$H$4,MATCH(F124,Dim_Product!$A$2:$A$4,0))),G124-H124,G124-H124-1)</f>
        <v>46</v>
      </c>
      <c r="R124" s="4">
        <f t="shared" si="12"/>
        <v>2</v>
      </c>
      <c r="S124" s="4">
        <f>INDEX(Dim_Product!$K$2:$K$4,MATCH(F124,Dim_Product!$A$2:$A$4,0))+-0.15</f>
        <v>119.85</v>
      </c>
      <c r="T124" s="4">
        <f>IF(AND(S124&gt;=INDEX(Dim_Product!$K$2:$K$4,MATCH(F124,Dim_Product!$A$2:$A$4,0))-INDEX(Dim_Product!$L$2:$L$4,MATCH(F124,Dim_Product!$A$2:$A$4,0)),S124&lt;=INDEX(Dim_Product!$K$2:$K$4,MATCH(F124,Dim_Product!$A$2:$A$4,0))+INDEX(Dim_Product!$L$2:$L$4,MATCH(F124,Dim_Product!$A$2:$A$4,0))),G124-H124,G124-H124-1)</f>
        <v>46</v>
      </c>
      <c r="U124" s="4">
        <f t="shared" si="13"/>
        <v>2</v>
      </c>
      <c r="V124" s="4">
        <f t="shared" si="14"/>
        <v>4.1666666666666664E-2</v>
      </c>
      <c r="W124" s="16">
        <f t="shared" si="15"/>
        <v>0.95833333333333337</v>
      </c>
    </row>
    <row r="125" spans="1:23" x14ac:dyDescent="0.25">
      <c r="A125" s="15" t="s">
        <v>626</v>
      </c>
      <c r="B125" s="4">
        <f>Fact_Production_Hourly!B125</f>
        <v>20260701</v>
      </c>
      <c r="C125" s="4">
        <f>Fact_Production_Hourly!C125</f>
        <v>17</v>
      </c>
      <c r="D125" s="4" t="str">
        <f>Fact_Production_Hourly!D125</f>
        <v>M5</v>
      </c>
      <c r="E125" s="4" t="str">
        <f>Fact_Production_Hourly!E125</f>
        <v>A-AM</v>
      </c>
      <c r="F125" s="4" t="str">
        <f>Fact_Production_Hourly!F125</f>
        <v>C</v>
      </c>
      <c r="G125" s="4">
        <f>INDEX(Dim_Machine!$D$2:$D$8,MATCH(D125,Dim_Machine!$A$2:$A$8,0))*2</f>
        <v>32</v>
      </c>
      <c r="H125" s="4">
        <f>ROUND(G125*0.0113,0)</f>
        <v>0</v>
      </c>
      <c r="I125" s="4">
        <f t="shared" si="8"/>
        <v>0</v>
      </c>
      <c r="J125" s="4">
        <f t="shared" si="9"/>
        <v>0</v>
      </c>
      <c r="K125" s="4">
        <f t="shared" si="10"/>
        <v>0</v>
      </c>
      <c r="L125" s="4" t="s">
        <v>517</v>
      </c>
      <c r="M125" s="4">
        <f>INDEX(Dim_Product!$C$2:$C$4,MATCH(F125,Dim_Product!$A$2:$A$4,0))+0.63</f>
        <v>200.63</v>
      </c>
      <c r="N125" s="4">
        <f>IF(AND(M125&gt;=INDEX(Dim_Product!$C$2:$C$4,MATCH(F125,Dim_Product!$A$2:$A$4,0))-INDEX(Dim_Product!$D$2:$D$4,MATCH(F125,Dim_Product!$A$2:$A$4,0)),M125&lt;=INDEX(Dim_Product!$C$2:$C$4,MATCH(F125,Dim_Product!$A$2:$A$4,0))+INDEX(Dim_Product!$D$2:$D$4,MATCH(F125,Dim_Product!$A$2:$A$4,0))),G125-H125,G125-H125-1)</f>
        <v>32</v>
      </c>
      <c r="O125" s="4">
        <f t="shared" si="11"/>
        <v>0</v>
      </c>
      <c r="P125" s="4">
        <f>INDEX(Dim_Product!$G$2:$G$4,MATCH(F125,Dim_Product!$A$2:$A$4,0))+0.15</f>
        <v>65.150000000000006</v>
      </c>
      <c r="Q125" s="4">
        <f>IF(AND(P125&gt;=INDEX(Dim_Product!$G$2:$G$4,MATCH(F125,Dim_Product!$A$2:$A$4,0))-INDEX(Dim_Product!$H$2:$H$4,MATCH(F125,Dim_Product!$A$2:$A$4,0)),P125&lt;=INDEX(Dim_Product!$G$2:$G$4,MATCH(F125,Dim_Product!$A$2:$A$4,0))+INDEX(Dim_Product!$H$2:$H$4,MATCH(F125,Dim_Product!$A$2:$A$4,0))),G125-H125,G125-H125-1)</f>
        <v>32</v>
      </c>
      <c r="R125" s="4">
        <f t="shared" si="12"/>
        <v>0</v>
      </c>
      <c r="S125" s="4">
        <f>INDEX(Dim_Product!$K$2:$K$4,MATCH(F125,Dim_Product!$A$2:$A$4,0))+0.06</f>
        <v>110.06</v>
      </c>
      <c r="T125" s="4">
        <f>IF(AND(S125&gt;=INDEX(Dim_Product!$K$2:$K$4,MATCH(F125,Dim_Product!$A$2:$A$4,0))-INDEX(Dim_Product!$L$2:$L$4,MATCH(F125,Dim_Product!$A$2:$A$4,0)),S125&lt;=INDEX(Dim_Product!$K$2:$K$4,MATCH(F125,Dim_Product!$A$2:$A$4,0))+INDEX(Dim_Product!$L$2:$L$4,MATCH(F125,Dim_Product!$A$2:$A$4,0))),G125-H125,G125-H125-1)</f>
        <v>32</v>
      </c>
      <c r="U125" s="4">
        <f t="shared" si="13"/>
        <v>0</v>
      </c>
      <c r="V125" s="4">
        <f t="shared" si="14"/>
        <v>0</v>
      </c>
      <c r="W125" s="16">
        <f t="shared" si="15"/>
        <v>1</v>
      </c>
    </row>
    <row r="126" spans="1:23" x14ac:dyDescent="0.25">
      <c r="A126" s="15" t="s">
        <v>627</v>
      </c>
      <c r="B126" s="4">
        <f>Fact_Production_Hourly!B126</f>
        <v>20260701</v>
      </c>
      <c r="C126" s="4">
        <f>Fact_Production_Hourly!C126</f>
        <v>17</v>
      </c>
      <c r="D126" s="4" t="str">
        <f>Fact_Production_Hourly!D126</f>
        <v>M6</v>
      </c>
      <c r="E126" s="4" t="str">
        <f>Fact_Production_Hourly!E126</f>
        <v>A-AM</v>
      </c>
      <c r="F126" s="4" t="str">
        <f>Fact_Production_Hourly!F126</f>
        <v>C</v>
      </c>
      <c r="G126" s="4">
        <f>INDEX(Dim_Machine!$D$2:$D$8,MATCH(D126,Dim_Machine!$A$2:$A$8,0))*2</f>
        <v>24</v>
      </c>
      <c r="H126" s="4">
        <f>ROUND(G126*0.0127,0)</f>
        <v>0</v>
      </c>
      <c r="I126" s="4">
        <f t="shared" si="8"/>
        <v>0</v>
      </c>
      <c r="J126" s="4">
        <f t="shared" si="9"/>
        <v>0</v>
      </c>
      <c r="K126" s="4">
        <f t="shared" si="10"/>
        <v>0</v>
      </c>
      <c r="L126" s="4" t="s">
        <v>517</v>
      </c>
      <c r="M126" s="4">
        <f>INDEX(Dim_Product!$C$2:$C$4,MATCH(F126,Dim_Product!$A$2:$A$4,0))+0.4</f>
        <v>200.4</v>
      </c>
      <c r="N126" s="4">
        <f>IF(AND(M126&gt;=INDEX(Dim_Product!$C$2:$C$4,MATCH(F126,Dim_Product!$A$2:$A$4,0))-INDEX(Dim_Product!$D$2:$D$4,MATCH(F126,Dim_Product!$A$2:$A$4,0)),M126&lt;=INDEX(Dim_Product!$C$2:$C$4,MATCH(F126,Dim_Product!$A$2:$A$4,0))+INDEX(Dim_Product!$D$2:$D$4,MATCH(F126,Dim_Product!$A$2:$A$4,0))),G126-H126,G126-H126-1)</f>
        <v>24</v>
      </c>
      <c r="O126" s="4">
        <f t="shared" si="11"/>
        <v>0</v>
      </c>
      <c r="P126" s="4">
        <f>INDEX(Dim_Product!$G$2:$G$4,MATCH(F126,Dim_Product!$A$2:$A$4,0))+0.02</f>
        <v>65.02</v>
      </c>
      <c r="Q126" s="4">
        <f>IF(AND(P126&gt;=INDEX(Dim_Product!$G$2:$G$4,MATCH(F126,Dim_Product!$A$2:$A$4,0))-INDEX(Dim_Product!$H$2:$H$4,MATCH(F126,Dim_Product!$A$2:$A$4,0)),P126&lt;=INDEX(Dim_Product!$G$2:$G$4,MATCH(F126,Dim_Product!$A$2:$A$4,0))+INDEX(Dim_Product!$H$2:$H$4,MATCH(F126,Dim_Product!$A$2:$A$4,0))),G126-H126,G126-H126-1)</f>
        <v>24</v>
      </c>
      <c r="R126" s="4">
        <f t="shared" si="12"/>
        <v>0</v>
      </c>
      <c r="S126" s="4">
        <f>INDEX(Dim_Product!$K$2:$K$4,MATCH(F126,Dim_Product!$A$2:$A$4,0))+-0.35</f>
        <v>109.65</v>
      </c>
      <c r="T126" s="4">
        <f>IF(AND(S126&gt;=INDEX(Dim_Product!$K$2:$K$4,MATCH(F126,Dim_Product!$A$2:$A$4,0))-INDEX(Dim_Product!$L$2:$L$4,MATCH(F126,Dim_Product!$A$2:$A$4,0)),S126&lt;=INDEX(Dim_Product!$K$2:$K$4,MATCH(F126,Dim_Product!$A$2:$A$4,0))+INDEX(Dim_Product!$L$2:$L$4,MATCH(F126,Dim_Product!$A$2:$A$4,0))),G126-H126,G126-H126-1)</f>
        <v>24</v>
      </c>
      <c r="U126" s="4">
        <f t="shared" si="13"/>
        <v>0</v>
      </c>
      <c r="V126" s="4">
        <f t="shared" si="14"/>
        <v>0</v>
      </c>
      <c r="W126" s="16">
        <f t="shared" si="15"/>
        <v>1</v>
      </c>
    </row>
    <row r="127" spans="1:23" x14ac:dyDescent="0.25">
      <c r="A127" s="15" t="s">
        <v>628</v>
      </c>
      <c r="B127" s="4">
        <f>Fact_Production_Hourly!B127</f>
        <v>20260701</v>
      </c>
      <c r="C127" s="4">
        <f>Fact_Production_Hourly!C127</f>
        <v>17</v>
      </c>
      <c r="D127" s="4" t="str">
        <f>Fact_Production_Hourly!D127</f>
        <v>M7</v>
      </c>
      <c r="E127" s="4" t="str">
        <f>Fact_Production_Hourly!E127</f>
        <v>A-AM</v>
      </c>
      <c r="F127" s="4" t="str">
        <f>Fact_Production_Hourly!F127</f>
        <v>C</v>
      </c>
      <c r="G127" s="4">
        <f>INDEX(Dim_Machine!$D$2:$D$8,MATCH(D127,Dim_Machine!$A$2:$A$8,0))*2</f>
        <v>48</v>
      </c>
      <c r="H127" s="4">
        <f>ROUND(G127*0.0637,0)</f>
        <v>3</v>
      </c>
      <c r="I127" s="4">
        <f t="shared" si="8"/>
        <v>0</v>
      </c>
      <c r="J127" s="4">
        <f t="shared" si="9"/>
        <v>1</v>
      </c>
      <c r="K127" s="4">
        <f t="shared" si="10"/>
        <v>2</v>
      </c>
      <c r="L127" s="4" t="s">
        <v>503</v>
      </c>
      <c r="M127" s="4">
        <f>INDEX(Dim_Product!$C$2:$C$4,MATCH(F127,Dim_Product!$A$2:$A$4,0))+-0.94</f>
        <v>199.06</v>
      </c>
      <c r="N127" s="4">
        <f>IF(AND(M127&gt;=INDEX(Dim_Product!$C$2:$C$4,MATCH(F127,Dim_Product!$A$2:$A$4,0))-INDEX(Dim_Product!$D$2:$D$4,MATCH(F127,Dim_Product!$A$2:$A$4,0)),M127&lt;=INDEX(Dim_Product!$C$2:$C$4,MATCH(F127,Dim_Product!$A$2:$A$4,0))+INDEX(Dim_Product!$D$2:$D$4,MATCH(F127,Dim_Product!$A$2:$A$4,0))),G127-H127,G127-H127-1)</f>
        <v>45</v>
      </c>
      <c r="O127" s="4">
        <f t="shared" si="11"/>
        <v>3</v>
      </c>
      <c r="P127" s="4">
        <f>INDEX(Dim_Product!$G$2:$G$4,MATCH(F127,Dim_Product!$A$2:$A$4,0))+-0.05</f>
        <v>64.95</v>
      </c>
      <c r="Q127" s="4">
        <f>IF(AND(P127&gt;=INDEX(Dim_Product!$G$2:$G$4,MATCH(F127,Dim_Product!$A$2:$A$4,0))-INDEX(Dim_Product!$H$2:$H$4,MATCH(F127,Dim_Product!$A$2:$A$4,0)),P127&lt;=INDEX(Dim_Product!$G$2:$G$4,MATCH(F127,Dim_Product!$A$2:$A$4,0))+INDEX(Dim_Product!$H$2:$H$4,MATCH(F127,Dim_Product!$A$2:$A$4,0))),G127-H127,G127-H127-1)</f>
        <v>45</v>
      </c>
      <c r="R127" s="4">
        <f t="shared" si="12"/>
        <v>3</v>
      </c>
      <c r="S127" s="4">
        <f>INDEX(Dim_Product!$K$2:$K$4,MATCH(F127,Dim_Product!$A$2:$A$4,0))+0.22</f>
        <v>110.22</v>
      </c>
      <c r="T127" s="4">
        <f>IF(AND(S127&gt;=INDEX(Dim_Product!$K$2:$K$4,MATCH(F127,Dim_Product!$A$2:$A$4,0))-INDEX(Dim_Product!$L$2:$L$4,MATCH(F127,Dim_Product!$A$2:$A$4,0)),S127&lt;=INDEX(Dim_Product!$K$2:$K$4,MATCH(F127,Dim_Product!$A$2:$A$4,0))+INDEX(Dim_Product!$L$2:$L$4,MATCH(F127,Dim_Product!$A$2:$A$4,0))),G127-H127,G127-H127-1)</f>
        <v>45</v>
      </c>
      <c r="U127" s="4">
        <f t="shared" si="13"/>
        <v>3</v>
      </c>
      <c r="V127" s="4">
        <f t="shared" si="14"/>
        <v>6.25E-2</v>
      </c>
      <c r="W127" s="16">
        <f t="shared" si="15"/>
        <v>0.9375</v>
      </c>
    </row>
    <row r="128" spans="1:23" x14ac:dyDescent="0.25">
      <c r="A128" s="15" t="s">
        <v>629</v>
      </c>
      <c r="B128" s="4">
        <f>Fact_Production_Hourly!B128</f>
        <v>20260701</v>
      </c>
      <c r="C128" s="4">
        <f>Fact_Production_Hourly!C128</f>
        <v>18</v>
      </c>
      <c r="D128" s="4" t="str">
        <f>Fact_Production_Hourly!D128</f>
        <v>M1</v>
      </c>
      <c r="E128" s="4" t="str">
        <f>Fact_Production_Hourly!E128</f>
        <v>B-PM</v>
      </c>
      <c r="F128" s="4" t="str">
        <f>Fact_Production_Hourly!F128</f>
        <v>A</v>
      </c>
      <c r="G128" s="4">
        <f>INDEX(Dim_Machine!$D$2:$D$8,MATCH(D128,Dim_Machine!$A$2:$A$8,0))*2</f>
        <v>32</v>
      </c>
      <c r="H128" s="4">
        <f>ROUND(G128*0.0559,0)</f>
        <v>2</v>
      </c>
      <c r="I128" s="4">
        <f t="shared" si="8"/>
        <v>0</v>
      </c>
      <c r="J128" s="4">
        <f t="shared" si="9"/>
        <v>1</v>
      </c>
      <c r="K128" s="4">
        <f t="shared" si="10"/>
        <v>1</v>
      </c>
      <c r="L128" s="4" t="s">
        <v>520</v>
      </c>
      <c r="M128" s="4">
        <f>INDEX(Dim_Product!$C$2:$C$4,MATCH(F128,Dim_Product!$A$2:$A$4,0))+0.29</f>
        <v>250.29</v>
      </c>
      <c r="N128" s="4">
        <f>IF(AND(M128&gt;=INDEX(Dim_Product!$C$2:$C$4,MATCH(F128,Dim_Product!$A$2:$A$4,0))-INDEX(Dim_Product!$D$2:$D$4,MATCH(F128,Dim_Product!$A$2:$A$4,0)),M128&lt;=INDEX(Dim_Product!$C$2:$C$4,MATCH(F128,Dim_Product!$A$2:$A$4,0))+INDEX(Dim_Product!$D$2:$D$4,MATCH(F128,Dim_Product!$A$2:$A$4,0))),G128-H128,G128-H128-1)</f>
        <v>30</v>
      </c>
      <c r="O128" s="4">
        <f t="shared" si="11"/>
        <v>2</v>
      </c>
      <c r="P128" s="4">
        <f>INDEX(Dim_Product!$G$2:$G$4,MATCH(F128,Dim_Product!$A$2:$A$4,0))+-0.05</f>
        <v>69.95</v>
      </c>
      <c r="Q128" s="4">
        <f>IF(AND(P128&gt;=INDEX(Dim_Product!$G$2:$G$4,MATCH(F128,Dim_Product!$A$2:$A$4,0))-INDEX(Dim_Product!$H$2:$H$4,MATCH(F128,Dim_Product!$A$2:$A$4,0)),P128&lt;=INDEX(Dim_Product!$G$2:$G$4,MATCH(F128,Dim_Product!$A$2:$A$4,0))+INDEX(Dim_Product!$H$2:$H$4,MATCH(F128,Dim_Product!$A$2:$A$4,0))),G128-H128,G128-H128-1)</f>
        <v>30</v>
      </c>
      <c r="R128" s="4">
        <f t="shared" si="12"/>
        <v>2</v>
      </c>
      <c r="S128" s="4">
        <f>INDEX(Dim_Product!$K$2:$K$4,MATCH(F128,Dim_Product!$A$2:$A$4,0))+0.39</f>
        <v>120.39</v>
      </c>
      <c r="T128" s="4">
        <f>IF(AND(S128&gt;=INDEX(Dim_Product!$K$2:$K$4,MATCH(F128,Dim_Product!$A$2:$A$4,0))-INDEX(Dim_Product!$L$2:$L$4,MATCH(F128,Dim_Product!$A$2:$A$4,0)),S128&lt;=INDEX(Dim_Product!$K$2:$K$4,MATCH(F128,Dim_Product!$A$2:$A$4,0))+INDEX(Dim_Product!$L$2:$L$4,MATCH(F128,Dim_Product!$A$2:$A$4,0))),G128-H128,G128-H128-1)</f>
        <v>30</v>
      </c>
      <c r="U128" s="4">
        <f t="shared" si="13"/>
        <v>2</v>
      </c>
      <c r="V128" s="4">
        <f t="shared" si="14"/>
        <v>6.25E-2</v>
      </c>
      <c r="W128" s="16">
        <f t="shared" si="15"/>
        <v>0.9375</v>
      </c>
    </row>
    <row r="129" spans="1:23" x14ac:dyDescent="0.25">
      <c r="A129" s="15" t="s">
        <v>630</v>
      </c>
      <c r="B129" s="4">
        <f>Fact_Production_Hourly!B129</f>
        <v>20260701</v>
      </c>
      <c r="C129" s="4">
        <f>Fact_Production_Hourly!C129</f>
        <v>18</v>
      </c>
      <c r="D129" s="4" t="str">
        <f>Fact_Production_Hourly!D129</f>
        <v>M2</v>
      </c>
      <c r="E129" s="4" t="str">
        <f>Fact_Production_Hourly!E129</f>
        <v>B-PM</v>
      </c>
      <c r="F129" s="4" t="str">
        <f>Fact_Production_Hourly!F129</f>
        <v>C</v>
      </c>
      <c r="G129" s="4">
        <f>INDEX(Dim_Machine!$D$2:$D$8,MATCH(D129,Dim_Machine!$A$2:$A$8,0))*2</f>
        <v>48</v>
      </c>
      <c r="H129" s="4">
        <f>ROUND(G129*0.0329,0)</f>
        <v>2</v>
      </c>
      <c r="I129" s="4">
        <f t="shared" si="8"/>
        <v>0</v>
      </c>
      <c r="J129" s="4">
        <f t="shared" si="9"/>
        <v>1</v>
      </c>
      <c r="K129" s="4">
        <f t="shared" si="10"/>
        <v>1</v>
      </c>
      <c r="L129" s="4" t="s">
        <v>503</v>
      </c>
      <c r="M129" s="4">
        <f>INDEX(Dim_Product!$C$2:$C$4,MATCH(F129,Dim_Product!$A$2:$A$4,0))+-0.25</f>
        <v>199.75</v>
      </c>
      <c r="N129" s="4">
        <f>IF(AND(M129&gt;=INDEX(Dim_Product!$C$2:$C$4,MATCH(F129,Dim_Product!$A$2:$A$4,0))-INDEX(Dim_Product!$D$2:$D$4,MATCH(F129,Dim_Product!$A$2:$A$4,0)),M129&lt;=INDEX(Dim_Product!$C$2:$C$4,MATCH(F129,Dim_Product!$A$2:$A$4,0))+INDEX(Dim_Product!$D$2:$D$4,MATCH(F129,Dim_Product!$A$2:$A$4,0))),G129-H129,G129-H129-1)</f>
        <v>46</v>
      </c>
      <c r="O129" s="4">
        <f t="shared" si="11"/>
        <v>2</v>
      </c>
      <c r="P129" s="4">
        <f>INDEX(Dim_Product!$G$2:$G$4,MATCH(F129,Dim_Product!$A$2:$A$4,0))+0.11</f>
        <v>65.11</v>
      </c>
      <c r="Q129" s="4">
        <f>IF(AND(P129&gt;=INDEX(Dim_Product!$G$2:$G$4,MATCH(F129,Dim_Product!$A$2:$A$4,0))-INDEX(Dim_Product!$H$2:$H$4,MATCH(F129,Dim_Product!$A$2:$A$4,0)),P129&lt;=INDEX(Dim_Product!$G$2:$G$4,MATCH(F129,Dim_Product!$A$2:$A$4,0))+INDEX(Dim_Product!$H$2:$H$4,MATCH(F129,Dim_Product!$A$2:$A$4,0))),G129-H129,G129-H129-1)</f>
        <v>46</v>
      </c>
      <c r="R129" s="4">
        <f t="shared" si="12"/>
        <v>2</v>
      </c>
      <c r="S129" s="4">
        <f>INDEX(Dim_Product!$K$2:$K$4,MATCH(F129,Dim_Product!$A$2:$A$4,0))+0.13</f>
        <v>110.13</v>
      </c>
      <c r="T129" s="4">
        <f>IF(AND(S129&gt;=INDEX(Dim_Product!$K$2:$K$4,MATCH(F129,Dim_Product!$A$2:$A$4,0))-INDEX(Dim_Product!$L$2:$L$4,MATCH(F129,Dim_Product!$A$2:$A$4,0)),S129&lt;=INDEX(Dim_Product!$K$2:$K$4,MATCH(F129,Dim_Product!$A$2:$A$4,0))+INDEX(Dim_Product!$L$2:$L$4,MATCH(F129,Dim_Product!$A$2:$A$4,0))),G129-H129,G129-H129-1)</f>
        <v>46</v>
      </c>
      <c r="U129" s="4">
        <f t="shared" si="13"/>
        <v>2</v>
      </c>
      <c r="V129" s="4">
        <f t="shared" si="14"/>
        <v>4.1666666666666664E-2</v>
      </c>
      <c r="W129" s="16">
        <f t="shared" si="15"/>
        <v>0.95833333333333337</v>
      </c>
    </row>
    <row r="130" spans="1:23" x14ac:dyDescent="0.25">
      <c r="A130" s="15" t="s">
        <v>631</v>
      </c>
      <c r="B130" s="4">
        <f>Fact_Production_Hourly!B130</f>
        <v>20260701</v>
      </c>
      <c r="C130" s="4">
        <f>Fact_Production_Hourly!C130</f>
        <v>18</v>
      </c>
      <c r="D130" s="4" t="str">
        <f>Fact_Production_Hourly!D130</f>
        <v>M3</v>
      </c>
      <c r="E130" s="4" t="str">
        <f>Fact_Production_Hourly!E130</f>
        <v>B-PM</v>
      </c>
      <c r="F130" s="4" t="str">
        <f>Fact_Production_Hourly!F130</f>
        <v>A</v>
      </c>
      <c r="G130" s="4">
        <f>INDEX(Dim_Machine!$D$2:$D$8,MATCH(D130,Dim_Machine!$A$2:$A$8,0))*2</f>
        <v>24</v>
      </c>
      <c r="H130" s="4">
        <f>ROUND(G130*0.0424,0)</f>
        <v>1</v>
      </c>
      <c r="I130" s="4">
        <f t="shared" ref="I130:I193" si="16">ROUND(H130*0.15,0)</f>
        <v>0</v>
      </c>
      <c r="J130" s="4">
        <f t="shared" ref="J130:J193" si="17">ROUND(H130*0.45,0)</f>
        <v>0</v>
      </c>
      <c r="K130" s="4">
        <f t="shared" ref="K130:K193" si="18">MAX(H130-I130-J130,0)</f>
        <v>1</v>
      </c>
      <c r="L130" s="4" t="s">
        <v>520</v>
      </c>
      <c r="M130" s="4">
        <f>INDEX(Dim_Product!$C$2:$C$4,MATCH(F130,Dim_Product!$A$2:$A$4,0))+0.72</f>
        <v>250.72</v>
      </c>
      <c r="N130" s="4">
        <f>IF(AND(M130&gt;=INDEX(Dim_Product!$C$2:$C$4,MATCH(F130,Dim_Product!$A$2:$A$4,0))-INDEX(Dim_Product!$D$2:$D$4,MATCH(F130,Dim_Product!$A$2:$A$4,0)),M130&lt;=INDEX(Dim_Product!$C$2:$C$4,MATCH(F130,Dim_Product!$A$2:$A$4,0))+INDEX(Dim_Product!$D$2:$D$4,MATCH(F130,Dim_Product!$A$2:$A$4,0))),G130-H130,G130-H130-1)</f>
        <v>23</v>
      </c>
      <c r="O130" s="4">
        <f t="shared" ref="O130:O193" si="19">G130-N130</f>
        <v>1</v>
      </c>
      <c r="P130" s="4">
        <f>INDEX(Dim_Product!$G$2:$G$4,MATCH(F130,Dim_Product!$A$2:$A$4,0))+-0.23</f>
        <v>69.77</v>
      </c>
      <c r="Q130" s="4">
        <f>IF(AND(P130&gt;=INDEX(Dim_Product!$G$2:$G$4,MATCH(F130,Dim_Product!$A$2:$A$4,0))-INDEX(Dim_Product!$H$2:$H$4,MATCH(F130,Dim_Product!$A$2:$A$4,0)),P130&lt;=INDEX(Dim_Product!$G$2:$G$4,MATCH(F130,Dim_Product!$A$2:$A$4,0))+INDEX(Dim_Product!$H$2:$H$4,MATCH(F130,Dim_Product!$A$2:$A$4,0))),G130-H130,G130-H130-1)</f>
        <v>23</v>
      </c>
      <c r="R130" s="4">
        <f t="shared" ref="R130:R193" si="20">G130-Q130</f>
        <v>1</v>
      </c>
      <c r="S130" s="4">
        <f>INDEX(Dim_Product!$K$2:$K$4,MATCH(F130,Dim_Product!$A$2:$A$4,0))+0.39</f>
        <v>120.39</v>
      </c>
      <c r="T130" s="4">
        <f>IF(AND(S130&gt;=INDEX(Dim_Product!$K$2:$K$4,MATCH(F130,Dim_Product!$A$2:$A$4,0))-INDEX(Dim_Product!$L$2:$L$4,MATCH(F130,Dim_Product!$A$2:$A$4,0)),S130&lt;=INDEX(Dim_Product!$K$2:$K$4,MATCH(F130,Dim_Product!$A$2:$A$4,0))+INDEX(Dim_Product!$L$2:$L$4,MATCH(F130,Dim_Product!$A$2:$A$4,0))),G130-H130,G130-H130-1)</f>
        <v>23</v>
      </c>
      <c r="U130" s="4">
        <f t="shared" ref="U130:U193" si="21">G130-T130</f>
        <v>1</v>
      </c>
      <c r="V130" s="4">
        <f t="shared" ref="V130:V193" si="22">IFERROR(H130/G130,0)</f>
        <v>4.1666666666666664E-2</v>
      </c>
      <c r="W130" s="16">
        <f t="shared" ref="W130:W193" si="23">1-V130</f>
        <v>0.95833333333333337</v>
      </c>
    </row>
    <row r="131" spans="1:23" x14ac:dyDescent="0.25">
      <c r="A131" s="15" t="s">
        <v>632</v>
      </c>
      <c r="B131" s="4">
        <f>Fact_Production_Hourly!B131</f>
        <v>20260701</v>
      </c>
      <c r="C131" s="4">
        <f>Fact_Production_Hourly!C131</f>
        <v>18</v>
      </c>
      <c r="D131" s="4" t="str">
        <f>Fact_Production_Hourly!D131</f>
        <v>M4</v>
      </c>
      <c r="E131" s="4" t="str">
        <f>Fact_Production_Hourly!E131</f>
        <v>B-PM</v>
      </c>
      <c r="F131" s="4" t="str">
        <f>Fact_Production_Hourly!F131</f>
        <v>A</v>
      </c>
      <c r="G131" s="4">
        <f>INDEX(Dim_Machine!$D$2:$D$8,MATCH(D131,Dim_Machine!$A$2:$A$8,0))*2</f>
        <v>48</v>
      </c>
      <c r="H131" s="4">
        <f>ROUND(G131*0.0336,0)</f>
        <v>2</v>
      </c>
      <c r="I131" s="4">
        <f t="shared" si="16"/>
        <v>0</v>
      </c>
      <c r="J131" s="4">
        <f t="shared" si="17"/>
        <v>1</v>
      </c>
      <c r="K131" s="4">
        <f t="shared" si="18"/>
        <v>1</v>
      </c>
      <c r="L131" s="4" t="s">
        <v>500</v>
      </c>
      <c r="M131" s="4">
        <f>INDEX(Dim_Product!$C$2:$C$4,MATCH(F131,Dim_Product!$A$2:$A$4,0))+0.46</f>
        <v>250.46</v>
      </c>
      <c r="N131" s="4">
        <f>IF(AND(M131&gt;=INDEX(Dim_Product!$C$2:$C$4,MATCH(F131,Dim_Product!$A$2:$A$4,0))-INDEX(Dim_Product!$D$2:$D$4,MATCH(F131,Dim_Product!$A$2:$A$4,0)),M131&lt;=INDEX(Dim_Product!$C$2:$C$4,MATCH(F131,Dim_Product!$A$2:$A$4,0))+INDEX(Dim_Product!$D$2:$D$4,MATCH(F131,Dim_Product!$A$2:$A$4,0))),G131-H131,G131-H131-1)</f>
        <v>46</v>
      </c>
      <c r="O131" s="4">
        <f t="shared" si="19"/>
        <v>2</v>
      </c>
      <c r="P131" s="4">
        <f>INDEX(Dim_Product!$G$2:$G$4,MATCH(F131,Dim_Product!$A$2:$A$4,0))+-0.17</f>
        <v>69.83</v>
      </c>
      <c r="Q131" s="4">
        <f>IF(AND(P131&gt;=INDEX(Dim_Product!$G$2:$G$4,MATCH(F131,Dim_Product!$A$2:$A$4,0))-INDEX(Dim_Product!$H$2:$H$4,MATCH(F131,Dim_Product!$A$2:$A$4,0)),P131&lt;=INDEX(Dim_Product!$G$2:$G$4,MATCH(F131,Dim_Product!$A$2:$A$4,0))+INDEX(Dim_Product!$H$2:$H$4,MATCH(F131,Dim_Product!$A$2:$A$4,0))),G131-H131,G131-H131-1)</f>
        <v>46</v>
      </c>
      <c r="R131" s="4">
        <f t="shared" si="20"/>
        <v>2</v>
      </c>
      <c r="S131" s="4">
        <f>INDEX(Dim_Product!$K$2:$K$4,MATCH(F131,Dim_Product!$A$2:$A$4,0))+-0.4</f>
        <v>119.6</v>
      </c>
      <c r="T131" s="4">
        <f>IF(AND(S131&gt;=INDEX(Dim_Product!$K$2:$K$4,MATCH(F131,Dim_Product!$A$2:$A$4,0))-INDEX(Dim_Product!$L$2:$L$4,MATCH(F131,Dim_Product!$A$2:$A$4,0)),S131&lt;=INDEX(Dim_Product!$K$2:$K$4,MATCH(F131,Dim_Product!$A$2:$A$4,0))+INDEX(Dim_Product!$L$2:$L$4,MATCH(F131,Dim_Product!$A$2:$A$4,0))),G131-H131,G131-H131-1)</f>
        <v>46</v>
      </c>
      <c r="U131" s="4">
        <f t="shared" si="21"/>
        <v>2</v>
      </c>
      <c r="V131" s="4">
        <f t="shared" si="22"/>
        <v>4.1666666666666664E-2</v>
      </c>
      <c r="W131" s="16">
        <f t="shared" si="23"/>
        <v>0.95833333333333337</v>
      </c>
    </row>
    <row r="132" spans="1:23" x14ac:dyDescent="0.25">
      <c r="A132" s="15" t="s">
        <v>633</v>
      </c>
      <c r="B132" s="4">
        <f>Fact_Production_Hourly!B132</f>
        <v>20260701</v>
      </c>
      <c r="C132" s="4">
        <f>Fact_Production_Hourly!C132</f>
        <v>18</v>
      </c>
      <c r="D132" s="4" t="str">
        <f>Fact_Production_Hourly!D132</f>
        <v>M5</v>
      </c>
      <c r="E132" s="4" t="str">
        <f>Fact_Production_Hourly!E132</f>
        <v>B-PM</v>
      </c>
      <c r="F132" s="4" t="str">
        <f>Fact_Production_Hourly!F132</f>
        <v>A</v>
      </c>
      <c r="G132" s="4">
        <f>INDEX(Dim_Machine!$D$2:$D$8,MATCH(D132,Dim_Machine!$A$2:$A$8,0))*2</f>
        <v>32</v>
      </c>
      <c r="H132" s="4">
        <f>ROUND(G132*0.0114,0)</f>
        <v>0</v>
      </c>
      <c r="I132" s="4">
        <f t="shared" si="16"/>
        <v>0</v>
      </c>
      <c r="J132" s="4">
        <f t="shared" si="17"/>
        <v>0</v>
      </c>
      <c r="K132" s="4">
        <f t="shared" si="18"/>
        <v>0</v>
      </c>
      <c r="L132" s="4" t="s">
        <v>517</v>
      </c>
      <c r="M132" s="4">
        <f>INDEX(Dim_Product!$C$2:$C$4,MATCH(F132,Dim_Product!$A$2:$A$4,0))+-0.07</f>
        <v>249.93</v>
      </c>
      <c r="N132" s="4">
        <f>IF(AND(M132&gt;=INDEX(Dim_Product!$C$2:$C$4,MATCH(F132,Dim_Product!$A$2:$A$4,0))-INDEX(Dim_Product!$D$2:$D$4,MATCH(F132,Dim_Product!$A$2:$A$4,0)),M132&lt;=INDEX(Dim_Product!$C$2:$C$4,MATCH(F132,Dim_Product!$A$2:$A$4,0))+INDEX(Dim_Product!$D$2:$D$4,MATCH(F132,Dim_Product!$A$2:$A$4,0))),G132-H132,G132-H132-1)</f>
        <v>32</v>
      </c>
      <c r="O132" s="4">
        <f t="shared" si="19"/>
        <v>0</v>
      </c>
      <c r="P132" s="4">
        <f>INDEX(Dim_Product!$G$2:$G$4,MATCH(F132,Dim_Product!$A$2:$A$4,0))+0.13</f>
        <v>70.13</v>
      </c>
      <c r="Q132" s="4">
        <f>IF(AND(P132&gt;=INDEX(Dim_Product!$G$2:$G$4,MATCH(F132,Dim_Product!$A$2:$A$4,0))-INDEX(Dim_Product!$H$2:$H$4,MATCH(F132,Dim_Product!$A$2:$A$4,0)),P132&lt;=INDEX(Dim_Product!$G$2:$G$4,MATCH(F132,Dim_Product!$A$2:$A$4,0))+INDEX(Dim_Product!$H$2:$H$4,MATCH(F132,Dim_Product!$A$2:$A$4,0))),G132-H132,G132-H132-1)</f>
        <v>32</v>
      </c>
      <c r="R132" s="4">
        <f t="shared" si="20"/>
        <v>0</v>
      </c>
      <c r="S132" s="4">
        <f>INDEX(Dim_Product!$K$2:$K$4,MATCH(F132,Dim_Product!$A$2:$A$4,0))+-0.06</f>
        <v>119.94</v>
      </c>
      <c r="T132" s="4">
        <f>IF(AND(S132&gt;=INDEX(Dim_Product!$K$2:$K$4,MATCH(F132,Dim_Product!$A$2:$A$4,0))-INDEX(Dim_Product!$L$2:$L$4,MATCH(F132,Dim_Product!$A$2:$A$4,0)),S132&lt;=INDEX(Dim_Product!$K$2:$K$4,MATCH(F132,Dim_Product!$A$2:$A$4,0))+INDEX(Dim_Product!$L$2:$L$4,MATCH(F132,Dim_Product!$A$2:$A$4,0))),G132-H132,G132-H132-1)</f>
        <v>32</v>
      </c>
      <c r="U132" s="4">
        <f t="shared" si="21"/>
        <v>0</v>
      </c>
      <c r="V132" s="4">
        <f t="shared" si="22"/>
        <v>0</v>
      </c>
      <c r="W132" s="16">
        <f t="shared" si="23"/>
        <v>1</v>
      </c>
    </row>
    <row r="133" spans="1:23" x14ac:dyDescent="0.25">
      <c r="A133" s="15" t="s">
        <v>634</v>
      </c>
      <c r="B133" s="4">
        <f>Fact_Production_Hourly!B133</f>
        <v>20260701</v>
      </c>
      <c r="C133" s="4">
        <f>Fact_Production_Hourly!C133</f>
        <v>18</v>
      </c>
      <c r="D133" s="4" t="str">
        <f>Fact_Production_Hourly!D133</f>
        <v>M6</v>
      </c>
      <c r="E133" s="4" t="str">
        <f>Fact_Production_Hourly!E133</f>
        <v>B-PM</v>
      </c>
      <c r="F133" s="4" t="str">
        <f>Fact_Production_Hourly!F133</f>
        <v>C</v>
      </c>
      <c r="G133" s="4">
        <f>INDEX(Dim_Machine!$D$2:$D$8,MATCH(D133,Dim_Machine!$A$2:$A$8,0))*2</f>
        <v>24</v>
      </c>
      <c r="H133" s="4">
        <f>ROUND(G133*0.0328,0)</f>
        <v>1</v>
      </c>
      <c r="I133" s="4">
        <f t="shared" si="16"/>
        <v>0</v>
      </c>
      <c r="J133" s="4">
        <f t="shared" si="17"/>
        <v>0</v>
      </c>
      <c r="K133" s="4">
        <f t="shared" si="18"/>
        <v>1</v>
      </c>
      <c r="L133" s="4" t="s">
        <v>500</v>
      </c>
      <c r="M133" s="4">
        <f>INDEX(Dim_Product!$C$2:$C$4,MATCH(F133,Dim_Product!$A$2:$A$4,0))+-0.5</f>
        <v>199.5</v>
      </c>
      <c r="N133" s="4">
        <f>IF(AND(M133&gt;=INDEX(Dim_Product!$C$2:$C$4,MATCH(F133,Dim_Product!$A$2:$A$4,0))-INDEX(Dim_Product!$D$2:$D$4,MATCH(F133,Dim_Product!$A$2:$A$4,0)),M133&lt;=INDEX(Dim_Product!$C$2:$C$4,MATCH(F133,Dim_Product!$A$2:$A$4,0))+INDEX(Dim_Product!$D$2:$D$4,MATCH(F133,Dim_Product!$A$2:$A$4,0))),G133-H133,G133-H133-1)</f>
        <v>23</v>
      </c>
      <c r="O133" s="4">
        <f t="shared" si="19"/>
        <v>1</v>
      </c>
      <c r="P133" s="4">
        <f>INDEX(Dim_Product!$G$2:$G$4,MATCH(F133,Dim_Product!$A$2:$A$4,0))+-0.09</f>
        <v>64.91</v>
      </c>
      <c r="Q133" s="4">
        <f>IF(AND(P133&gt;=INDEX(Dim_Product!$G$2:$G$4,MATCH(F133,Dim_Product!$A$2:$A$4,0))-INDEX(Dim_Product!$H$2:$H$4,MATCH(F133,Dim_Product!$A$2:$A$4,0)),P133&lt;=INDEX(Dim_Product!$G$2:$G$4,MATCH(F133,Dim_Product!$A$2:$A$4,0))+INDEX(Dim_Product!$H$2:$H$4,MATCH(F133,Dim_Product!$A$2:$A$4,0))),G133-H133,G133-H133-1)</f>
        <v>23</v>
      </c>
      <c r="R133" s="4">
        <f t="shared" si="20"/>
        <v>1</v>
      </c>
      <c r="S133" s="4">
        <f>INDEX(Dim_Product!$K$2:$K$4,MATCH(F133,Dim_Product!$A$2:$A$4,0))+-0.18</f>
        <v>109.82</v>
      </c>
      <c r="T133" s="4">
        <f>IF(AND(S133&gt;=INDEX(Dim_Product!$K$2:$K$4,MATCH(F133,Dim_Product!$A$2:$A$4,0))-INDEX(Dim_Product!$L$2:$L$4,MATCH(F133,Dim_Product!$A$2:$A$4,0)),S133&lt;=INDEX(Dim_Product!$K$2:$K$4,MATCH(F133,Dim_Product!$A$2:$A$4,0))+INDEX(Dim_Product!$L$2:$L$4,MATCH(F133,Dim_Product!$A$2:$A$4,0))),G133-H133,G133-H133-1)</f>
        <v>23</v>
      </c>
      <c r="U133" s="4">
        <f t="shared" si="21"/>
        <v>1</v>
      </c>
      <c r="V133" s="4">
        <f t="shared" si="22"/>
        <v>4.1666666666666664E-2</v>
      </c>
      <c r="W133" s="16">
        <f t="shared" si="23"/>
        <v>0.95833333333333337</v>
      </c>
    </row>
    <row r="134" spans="1:23" x14ac:dyDescent="0.25">
      <c r="A134" s="15" t="s">
        <v>635</v>
      </c>
      <c r="B134" s="4">
        <f>Fact_Production_Hourly!B134</f>
        <v>20260701</v>
      </c>
      <c r="C134" s="4">
        <f>Fact_Production_Hourly!C134</f>
        <v>18</v>
      </c>
      <c r="D134" s="4" t="str">
        <f>Fact_Production_Hourly!D134</f>
        <v>M7</v>
      </c>
      <c r="E134" s="4" t="str">
        <f>Fact_Production_Hourly!E134</f>
        <v>B-PM</v>
      </c>
      <c r="F134" s="4" t="str">
        <f>Fact_Production_Hourly!F134</f>
        <v>A</v>
      </c>
      <c r="G134" s="4">
        <f>INDEX(Dim_Machine!$D$2:$D$8,MATCH(D134,Dim_Machine!$A$2:$A$8,0))*2</f>
        <v>48</v>
      </c>
      <c r="H134" s="4">
        <f>ROUND(G134*0.0662,0)</f>
        <v>3</v>
      </c>
      <c r="I134" s="4">
        <f t="shared" si="16"/>
        <v>0</v>
      </c>
      <c r="J134" s="4">
        <f t="shared" si="17"/>
        <v>1</v>
      </c>
      <c r="K134" s="4">
        <f t="shared" si="18"/>
        <v>2</v>
      </c>
      <c r="L134" s="4" t="s">
        <v>520</v>
      </c>
      <c r="M134" s="4">
        <f>INDEX(Dim_Product!$C$2:$C$4,MATCH(F134,Dim_Product!$A$2:$A$4,0))+0.53</f>
        <v>250.53</v>
      </c>
      <c r="N134" s="4">
        <f>IF(AND(M134&gt;=INDEX(Dim_Product!$C$2:$C$4,MATCH(F134,Dim_Product!$A$2:$A$4,0))-INDEX(Dim_Product!$D$2:$D$4,MATCH(F134,Dim_Product!$A$2:$A$4,0)),M134&lt;=INDEX(Dim_Product!$C$2:$C$4,MATCH(F134,Dim_Product!$A$2:$A$4,0))+INDEX(Dim_Product!$D$2:$D$4,MATCH(F134,Dim_Product!$A$2:$A$4,0))),G134-H134,G134-H134-1)</f>
        <v>45</v>
      </c>
      <c r="O134" s="4">
        <f t="shared" si="19"/>
        <v>3</v>
      </c>
      <c r="P134" s="4">
        <f>INDEX(Dim_Product!$G$2:$G$4,MATCH(F134,Dim_Product!$A$2:$A$4,0))+-0.28</f>
        <v>69.72</v>
      </c>
      <c r="Q134" s="4">
        <f>IF(AND(P134&gt;=INDEX(Dim_Product!$G$2:$G$4,MATCH(F134,Dim_Product!$A$2:$A$4,0))-INDEX(Dim_Product!$H$2:$H$4,MATCH(F134,Dim_Product!$A$2:$A$4,0)),P134&lt;=INDEX(Dim_Product!$G$2:$G$4,MATCH(F134,Dim_Product!$A$2:$A$4,0))+INDEX(Dim_Product!$H$2:$H$4,MATCH(F134,Dim_Product!$A$2:$A$4,0))),G134-H134,G134-H134-1)</f>
        <v>45</v>
      </c>
      <c r="R134" s="4">
        <f t="shared" si="20"/>
        <v>3</v>
      </c>
      <c r="S134" s="4">
        <f>INDEX(Dim_Product!$K$2:$K$4,MATCH(F134,Dim_Product!$A$2:$A$4,0))+0.13</f>
        <v>120.13</v>
      </c>
      <c r="T134" s="4">
        <f>IF(AND(S134&gt;=INDEX(Dim_Product!$K$2:$K$4,MATCH(F134,Dim_Product!$A$2:$A$4,0))-INDEX(Dim_Product!$L$2:$L$4,MATCH(F134,Dim_Product!$A$2:$A$4,0)),S134&lt;=INDEX(Dim_Product!$K$2:$K$4,MATCH(F134,Dim_Product!$A$2:$A$4,0))+INDEX(Dim_Product!$L$2:$L$4,MATCH(F134,Dim_Product!$A$2:$A$4,0))),G134-H134,G134-H134-1)</f>
        <v>45</v>
      </c>
      <c r="U134" s="4">
        <f t="shared" si="21"/>
        <v>3</v>
      </c>
      <c r="V134" s="4">
        <f t="shared" si="22"/>
        <v>6.25E-2</v>
      </c>
      <c r="W134" s="16">
        <f t="shared" si="23"/>
        <v>0.9375</v>
      </c>
    </row>
    <row r="135" spans="1:23" x14ac:dyDescent="0.25">
      <c r="A135" s="15" t="s">
        <v>636</v>
      </c>
      <c r="B135" s="4">
        <f>Fact_Production_Hourly!B135</f>
        <v>20260701</v>
      </c>
      <c r="C135" s="4">
        <f>Fact_Production_Hourly!C135</f>
        <v>19</v>
      </c>
      <c r="D135" s="4" t="str">
        <f>Fact_Production_Hourly!D135</f>
        <v>M1</v>
      </c>
      <c r="E135" s="4" t="str">
        <f>Fact_Production_Hourly!E135</f>
        <v>B-PM</v>
      </c>
      <c r="F135" s="4" t="str">
        <f>Fact_Production_Hourly!F135</f>
        <v>A</v>
      </c>
      <c r="G135" s="4">
        <f>INDEX(Dim_Machine!$D$2:$D$8,MATCH(D135,Dim_Machine!$A$2:$A$8,0))*2</f>
        <v>32</v>
      </c>
      <c r="H135" s="4">
        <f>ROUND(G135*0.0469,0)</f>
        <v>2</v>
      </c>
      <c r="I135" s="4">
        <f t="shared" si="16"/>
        <v>0</v>
      </c>
      <c r="J135" s="4">
        <f t="shared" si="17"/>
        <v>1</v>
      </c>
      <c r="K135" s="4">
        <f t="shared" si="18"/>
        <v>1</v>
      </c>
      <c r="L135" s="4" t="s">
        <v>498</v>
      </c>
      <c r="M135" s="4">
        <f>INDEX(Dim_Product!$C$2:$C$4,MATCH(F135,Dim_Product!$A$2:$A$4,0))+-0.52</f>
        <v>249.48</v>
      </c>
      <c r="N135" s="4">
        <f>IF(AND(M135&gt;=INDEX(Dim_Product!$C$2:$C$4,MATCH(F135,Dim_Product!$A$2:$A$4,0))-INDEX(Dim_Product!$D$2:$D$4,MATCH(F135,Dim_Product!$A$2:$A$4,0)),M135&lt;=INDEX(Dim_Product!$C$2:$C$4,MATCH(F135,Dim_Product!$A$2:$A$4,0))+INDEX(Dim_Product!$D$2:$D$4,MATCH(F135,Dim_Product!$A$2:$A$4,0))),G135-H135,G135-H135-1)</f>
        <v>30</v>
      </c>
      <c r="O135" s="4">
        <f t="shared" si="19"/>
        <v>2</v>
      </c>
      <c r="P135" s="4">
        <f>INDEX(Dim_Product!$G$2:$G$4,MATCH(F135,Dim_Product!$A$2:$A$4,0))+-0.26</f>
        <v>69.739999999999995</v>
      </c>
      <c r="Q135" s="4">
        <f>IF(AND(P135&gt;=INDEX(Dim_Product!$G$2:$G$4,MATCH(F135,Dim_Product!$A$2:$A$4,0))-INDEX(Dim_Product!$H$2:$H$4,MATCH(F135,Dim_Product!$A$2:$A$4,0)),P135&lt;=INDEX(Dim_Product!$G$2:$G$4,MATCH(F135,Dim_Product!$A$2:$A$4,0))+INDEX(Dim_Product!$H$2:$H$4,MATCH(F135,Dim_Product!$A$2:$A$4,0))),G135-H135,G135-H135-1)</f>
        <v>30</v>
      </c>
      <c r="R135" s="4">
        <f t="shared" si="20"/>
        <v>2</v>
      </c>
      <c r="S135" s="4">
        <f>INDEX(Dim_Product!$K$2:$K$4,MATCH(F135,Dim_Product!$A$2:$A$4,0))+0.08</f>
        <v>120.08</v>
      </c>
      <c r="T135" s="4">
        <f>IF(AND(S135&gt;=INDEX(Dim_Product!$K$2:$K$4,MATCH(F135,Dim_Product!$A$2:$A$4,0))-INDEX(Dim_Product!$L$2:$L$4,MATCH(F135,Dim_Product!$A$2:$A$4,0)),S135&lt;=INDEX(Dim_Product!$K$2:$K$4,MATCH(F135,Dim_Product!$A$2:$A$4,0))+INDEX(Dim_Product!$L$2:$L$4,MATCH(F135,Dim_Product!$A$2:$A$4,0))),G135-H135,G135-H135-1)</f>
        <v>30</v>
      </c>
      <c r="U135" s="4">
        <f t="shared" si="21"/>
        <v>2</v>
      </c>
      <c r="V135" s="4">
        <f t="shared" si="22"/>
        <v>6.25E-2</v>
      </c>
      <c r="W135" s="16">
        <f t="shared" si="23"/>
        <v>0.9375</v>
      </c>
    </row>
    <row r="136" spans="1:23" x14ac:dyDescent="0.25">
      <c r="A136" s="15" t="s">
        <v>637</v>
      </c>
      <c r="B136" s="4">
        <f>Fact_Production_Hourly!B136</f>
        <v>20260701</v>
      </c>
      <c r="C136" s="4">
        <f>Fact_Production_Hourly!C136</f>
        <v>19</v>
      </c>
      <c r="D136" s="4" t="str">
        <f>Fact_Production_Hourly!D136</f>
        <v>M2</v>
      </c>
      <c r="E136" s="4" t="str">
        <f>Fact_Production_Hourly!E136</f>
        <v>B-PM</v>
      </c>
      <c r="F136" s="4" t="str">
        <f>Fact_Production_Hourly!F136</f>
        <v>C</v>
      </c>
      <c r="G136" s="4">
        <f>INDEX(Dim_Machine!$D$2:$D$8,MATCH(D136,Dim_Machine!$A$2:$A$8,0))*2</f>
        <v>48</v>
      </c>
      <c r="H136" s="4">
        <f>ROUND(G136*0.0368,0)</f>
        <v>2</v>
      </c>
      <c r="I136" s="4">
        <f t="shared" si="16"/>
        <v>0</v>
      </c>
      <c r="J136" s="4">
        <f t="shared" si="17"/>
        <v>1</v>
      </c>
      <c r="K136" s="4">
        <f t="shared" si="18"/>
        <v>1</v>
      </c>
      <c r="L136" s="4" t="s">
        <v>520</v>
      </c>
      <c r="M136" s="4">
        <f>INDEX(Dim_Product!$C$2:$C$4,MATCH(F136,Dim_Product!$A$2:$A$4,0))+0.41</f>
        <v>200.41</v>
      </c>
      <c r="N136" s="4">
        <f>IF(AND(M136&gt;=INDEX(Dim_Product!$C$2:$C$4,MATCH(F136,Dim_Product!$A$2:$A$4,0))-INDEX(Dim_Product!$D$2:$D$4,MATCH(F136,Dim_Product!$A$2:$A$4,0)),M136&lt;=INDEX(Dim_Product!$C$2:$C$4,MATCH(F136,Dim_Product!$A$2:$A$4,0))+INDEX(Dim_Product!$D$2:$D$4,MATCH(F136,Dim_Product!$A$2:$A$4,0))),G136-H136,G136-H136-1)</f>
        <v>46</v>
      </c>
      <c r="O136" s="4">
        <f t="shared" si="19"/>
        <v>2</v>
      </c>
      <c r="P136" s="4">
        <f>INDEX(Dim_Product!$G$2:$G$4,MATCH(F136,Dim_Product!$A$2:$A$4,0))+-0.27</f>
        <v>64.73</v>
      </c>
      <c r="Q136" s="4">
        <f>IF(AND(P136&gt;=INDEX(Dim_Product!$G$2:$G$4,MATCH(F136,Dim_Product!$A$2:$A$4,0))-INDEX(Dim_Product!$H$2:$H$4,MATCH(F136,Dim_Product!$A$2:$A$4,0)),P136&lt;=INDEX(Dim_Product!$G$2:$G$4,MATCH(F136,Dim_Product!$A$2:$A$4,0))+INDEX(Dim_Product!$H$2:$H$4,MATCH(F136,Dim_Product!$A$2:$A$4,0))),G136-H136,G136-H136-1)</f>
        <v>46</v>
      </c>
      <c r="R136" s="4">
        <f t="shared" si="20"/>
        <v>2</v>
      </c>
      <c r="S136" s="4">
        <f>INDEX(Dim_Product!$K$2:$K$4,MATCH(F136,Dim_Product!$A$2:$A$4,0))+0.19</f>
        <v>110.19</v>
      </c>
      <c r="T136" s="4">
        <f>IF(AND(S136&gt;=INDEX(Dim_Product!$K$2:$K$4,MATCH(F136,Dim_Product!$A$2:$A$4,0))-INDEX(Dim_Product!$L$2:$L$4,MATCH(F136,Dim_Product!$A$2:$A$4,0)),S136&lt;=INDEX(Dim_Product!$K$2:$K$4,MATCH(F136,Dim_Product!$A$2:$A$4,0))+INDEX(Dim_Product!$L$2:$L$4,MATCH(F136,Dim_Product!$A$2:$A$4,0))),G136-H136,G136-H136-1)</f>
        <v>46</v>
      </c>
      <c r="U136" s="4">
        <f t="shared" si="21"/>
        <v>2</v>
      </c>
      <c r="V136" s="4">
        <f t="shared" si="22"/>
        <v>4.1666666666666664E-2</v>
      </c>
      <c r="W136" s="16">
        <f t="shared" si="23"/>
        <v>0.95833333333333337</v>
      </c>
    </row>
    <row r="137" spans="1:23" x14ac:dyDescent="0.25">
      <c r="A137" s="15" t="s">
        <v>638</v>
      </c>
      <c r="B137" s="4">
        <f>Fact_Production_Hourly!B137</f>
        <v>20260701</v>
      </c>
      <c r="C137" s="4">
        <f>Fact_Production_Hourly!C137</f>
        <v>19</v>
      </c>
      <c r="D137" s="4" t="str">
        <f>Fact_Production_Hourly!D137</f>
        <v>M3</v>
      </c>
      <c r="E137" s="4" t="str">
        <f>Fact_Production_Hourly!E137</f>
        <v>B-PM</v>
      </c>
      <c r="F137" s="4" t="str">
        <f>Fact_Production_Hourly!F137</f>
        <v>A</v>
      </c>
      <c r="G137" s="4">
        <f>INDEX(Dim_Machine!$D$2:$D$8,MATCH(D137,Dim_Machine!$A$2:$A$8,0))*2</f>
        <v>24</v>
      </c>
      <c r="H137" s="4">
        <f>ROUND(G137*0.0341,0)</f>
        <v>1</v>
      </c>
      <c r="I137" s="4">
        <f t="shared" si="16"/>
        <v>0</v>
      </c>
      <c r="J137" s="4">
        <f t="shared" si="17"/>
        <v>0</v>
      </c>
      <c r="K137" s="4">
        <f t="shared" si="18"/>
        <v>1</v>
      </c>
      <c r="L137" s="4" t="s">
        <v>500</v>
      </c>
      <c r="M137" s="4">
        <f>INDEX(Dim_Product!$C$2:$C$4,MATCH(F137,Dim_Product!$A$2:$A$4,0))+0.08</f>
        <v>250.08</v>
      </c>
      <c r="N137" s="4">
        <f>IF(AND(M137&gt;=INDEX(Dim_Product!$C$2:$C$4,MATCH(F137,Dim_Product!$A$2:$A$4,0))-INDEX(Dim_Product!$D$2:$D$4,MATCH(F137,Dim_Product!$A$2:$A$4,0)),M137&lt;=INDEX(Dim_Product!$C$2:$C$4,MATCH(F137,Dim_Product!$A$2:$A$4,0))+INDEX(Dim_Product!$D$2:$D$4,MATCH(F137,Dim_Product!$A$2:$A$4,0))),G137-H137,G137-H137-1)</f>
        <v>23</v>
      </c>
      <c r="O137" s="4">
        <f t="shared" si="19"/>
        <v>1</v>
      </c>
      <c r="P137" s="4">
        <f>INDEX(Dim_Product!$G$2:$G$4,MATCH(F137,Dim_Product!$A$2:$A$4,0))+0.15</f>
        <v>70.150000000000006</v>
      </c>
      <c r="Q137" s="4">
        <f>IF(AND(P137&gt;=INDEX(Dim_Product!$G$2:$G$4,MATCH(F137,Dim_Product!$A$2:$A$4,0))-INDEX(Dim_Product!$H$2:$H$4,MATCH(F137,Dim_Product!$A$2:$A$4,0)),P137&lt;=INDEX(Dim_Product!$G$2:$G$4,MATCH(F137,Dim_Product!$A$2:$A$4,0))+INDEX(Dim_Product!$H$2:$H$4,MATCH(F137,Dim_Product!$A$2:$A$4,0))),G137-H137,G137-H137-1)</f>
        <v>23</v>
      </c>
      <c r="R137" s="4">
        <f t="shared" si="20"/>
        <v>1</v>
      </c>
      <c r="S137" s="4">
        <f>INDEX(Dim_Product!$K$2:$K$4,MATCH(F137,Dim_Product!$A$2:$A$4,0))+0.22</f>
        <v>120.22</v>
      </c>
      <c r="T137" s="4">
        <f>IF(AND(S137&gt;=INDEX(Dim_Product!$K$2:$K$4,MATCH(F137,Dim_Product!$A$2:$A$4,0))-INDEX(Dim_Product!$L$2:$L$4,MATCH(F137,Dim_Product!$A$2:$A$4,0)),S137&lt;=INDEX(Dim_Product!$K$2:$K$4,MATCH(F137,Dim_Product!$A$2:$A$4,0))+INDEX(Dim_Product!$L$2:$L$4,MATCH(F137,Dim_Product!$A$2:$A$4,0))),G137-H137,G137-H137-1)</f>
        <v>23</v>
      </c>
      <c r="U137" s="4">
        <f t="shared" si="21"/>
        <v>1</v>
      </c>
      <c r="V137" s="4">
        <f t="shared" si="22"/>
        <v>4.1666666666666664E-2</v>
      </c>
      <c r="W137" s="16">
        <f t="shared" si="23"/>
        <v>0.95833333333333337</v>
      </c>
    </row>
    <row r="138" spans="1:23" x14ac:dyDescent="0.25">
      <c r="A138" s="15" t="s">
        <v>639</v>
      </c>
      <c r="B138" s="4">
        <f>Fact_Production_Hourly!B138</f>
        <v>20260701</v>
      </c>
      <c r="C138" s="4">
        <f>Fact_Production_Hourly!C138</f>
        <v>19</v>
      </c>
      <c r="D138" s="4" t="str">
        <f>Fact_Production_Hourly!D138</f>
        <v>M4</v>
      </c>
      <c r="E138" s="4" t="str">
        <f>Fact_Production_Hourly!E138</f>
        <v>B-PM</v>
      </c>
      <c r="F138" s="4" t="str">
        <f>Fact_Production_Hourly!F138</f>
        <v>A</v>
      </c>
      <c r="G138" s="4">
        <f>INDEX(Dim_Machine!$D$2:$D$8,MATCH(D138,Dim_Machine!$A$2:$A$8,0))*2</f>
        <v>48</v>
      </c>
      <c r="H138" s="4">
        <f>ROUND(G138*0.0184,0)</f>
        <v>1</v>
      </c>
      <c r="I138" s="4">
        <f t="shared" si="16"/>
        <v>0</v>
      </c>
      <c r="J138" s="4">
        <f t="shared" si="17"/>
        <v>0</v>
      </c>
      <c r="K138" s="4">
        <f t="shared" si="18"/>
        <v>1</v>
      </c>
      <c r="L138" s="4" t="s">
        <v>517</v>
      </c>
      <c r="M138" s="4">
        <f>INDEX(Dim_Product!$C$2:$C$4,MATCH(F138,Dim_Product!$A$2:$A$4,0))+-0.53</f>
        <v>249.47</v>
      </c>
      <c r="N138" s="4">
        <f>IF(AND(M138&gt;=INDEX(Dim_Product!$C$2:$C$4,MATCH(F138,Dim_Product!$A$2:$A$4,0))-INDEX(Dim_Product!$D$2:$D$4,MATCH(F138,Dim_Product!$A$2:$A$4,0)),M138&lt;=INDEX(Dim_Product!$C$2:$C$4,MATCH(F138,Dim_Product!$A$2:$A$4,0))+INDEX(Dim_Product!$D$2:$D$4,MATCH(F138,Dim_Product!$A$2:$A$4,0))),G138-H138,G138-H138-1)</f>
        <v>47</v>
      </c>
      <c r="O138" s="4">
        <f t="shared" si="19"/>
        <v>1</v>
      </c>
      <c r="P138" s="4">
        <f>INDEX(Dim_Product!$G$2:$G$4,MATCH(F138,Dim_Product!$A$2:$A$4,0))+0.25</f>
        <v>70.25</v>
      </c>
      <c r="Q138" s="4">
        <f>IF(AND(P138&gt;=INDEX(Dim_Product!$G$2:$G$4,MATCH(F138,Dim_Product!$A$2:$A$4,0))-INDEX(Dim_Product!$H$2:$H$4,MATCH(F138,Dim_Product!$A$2:$A$4,0)),P138&lt;=INDEX(Dim_Product!$G$2:$G$4,MATCH(F138,Dim_Product!$A$2:$A$4,0))+INDEX(Dim_Product!$H$2:$H$4,MATCH(F138,Dim_Product!$A$2:$A$4,0))),G138-H138,G138-H138-1)</f>
        <v>47</v>
      </c>
      <c r="R138" s="4">
        <f t="shared" si="20"/>
        <v>1</v>
      </c>
      <c r="S138" s="4">
        <f>INDEX(Dim_Product!$K$2:$K$4,MATCH(F138,Dim_Product!$A$2:$A$4,0))+0.06</f>
        <v>120.06</v>
      </c>
      <c r="T138" s="4">
        <f>IF(AND(S138&gt;=INDEX(Dim_Product!$K$2:$K$4,MATCH(F138,Dim_Product!$A$2:$A$4,0))-INDEX(Dim_Product!$L$2:$L$4,MATCH(F138,Dim_Product!$A$2:$A$4,0)),S138&lt;=INDEX(Dim_Product!$K$2:$K$4,MATCH(F138,Dim_Product!$A$2:$A$4,0))+INDEX(Dim_Product!$L$2:$L$4,MATCH(F138,Dim_Product!$A$2:$A$4,0))),G138-H138,G138-H138-1)</f>
        <v>47</v>
      </c>
      <c r="U138" s="4">
        <f t="shared" si="21"/>
        <v>1</v>
      </c>
      <c r="V138" s="4">
        <f t="shared" si="22"/>
        <v>2.0833333333333332E-2</v>
      </c>
      <c r="W138" s="16">
        <f t="shared" si="23"/>
        <v>0.97916666666666663</v>
      </c>
    </row>
    <row r="139" spans="1:23" x14ac:dyDescent="0.25">
      <c r="A139" s="15" t="s">
        <v>640</v>
      </c>
      <c r="B139" s="4">
        <f>Fact_Production_Hourly!B139</f>
        <v>20260701</v>
      </c>
      <c r="C139" s="4">
        <f>Fact_Production_Hourly!C139</f>
        <v>19</v>
      </c>
      <c r="D139" s="4" t="str">
        <f>Fact_Production_Hourly!D139</f>
        <v>M5</v>
      </c>
      <c r="E139" s="4" t="str">
        <f>Fact_Production_Hourly!E139</f>
        <v>B-PM</v>
      </c>
      <c r="F139" s="4" t="str">
        <f>Fact_Production_Hourly!F139</f>
        <v>A</v>
      </c>
      <c r="G139" s="4">
        <f>INDEX(Dim_Machine!$D$2:$D$8,MATCH(D139,Dim_Machine!$A$2:$A$8,0))*2</f>
        <v>32</v>
      </c>
      <c r="H139" s="4">
        <f>ROUND(G139*0.0446,0)</f>
        <v>1</v>
      </c>
      <c r="I139" s="4">
        <f t="shared" si="16"/>
        <v>0</v>
      </c>
      <c r="J139" s="4">
        <f t="shared" si="17"/>
        <v>0</v>
      </c>
      <c r="K139" s="4">
        <f t="shared" si="18"/>
        <v>1</v>
      </c>
      <c r="L139" s="4" t="s">
        <v>520</v>
      </c>
      <c r="M139" s="4">
        <f>INDEX(Dim_Product!$C$2:$C$4,MATCH(F139,Dim_Product!$A$2:$A$4,0))+0.64</f>
        <v>250.64</v>
      </c>
      <c r="N139" s="4">
        <f>IF(AND(M139&gt;=INDEX(Dim_Product!$C$2:$C$4,MATCH(F139,Dim_Product!$A$2:$A$4,0))-INDEX(Dim_Product!$D$2:$D$4,MATCH(F139,Dim_Product!$A$2:$A$4,0)),M139&lt;=INDEX(Dim_Product!$C$2:$C$4,MATCH(F139,Dim_Product!$A$2:$A$4,0))+INDEX(Dim_Product!$D$2:$D$4,MATCH(F139,Dim_Product!$A$2:$A$4,0))),G139-H139,G139-H139-1)</f>
        <v>31</v>
      </c>
      <c r="O139" s="4">
        <f t="shared" si="19"/>
        <v>1</v>
      </c>
      <c r="P139" s="4">
        <f>INDEX(Dim_Product!$G$2:$G$4,MATCH(F139,Dim_Product!$A$2:$A$4,0))+-0.16</f>
        <v>69.84</v>
      </c>
      <c r="Q139" s="4">
        <f>IF(AND(P139&gt;=INDEX(Dim_Product!$G$2:$G$4,MATCH(F139,Dim_Product!$A$2:$A$4,0))-INDEX(Dim_Product!$H$2:$H$4,MATCH(F139,Dim_Product!$A$2:$A$4,0)),P139&lt;=INDEX(Dim_Product!$G$2:$G$4,MATCH(F139,Dim_Product!$A$2:$A$4,0))+INDEX(Dim_Product!$H$2:$H$4,MATCH(F139,Dim_Product!$A$2:$A$4,0))),G139-H139,G139-H139-1)</f>
        <v>31</v>
      </c>
      <c r="R139" s="4">
        <f t="shared" si="20"/>
        <v>1</v>
      </c>
      <c r="S139" s="4">
        <f>INDEX(Dim_Product!$K$2:$K$4,MATCH(F139,Dim_Product!$A$2:$A$4,0))+0.3</f>
        <v>120.3</v>
      </c>
      <c r="T139" s="4">
        <f>IF(AND(S139&gt;=INDEX(Dim_Product!$K$2:$K$4,MATCH(F139,Dim_Product!$A$2:$A$4,0))-INDEX(Dim_Product!$L$2:$L$4,MATCH(F139,Dim_Product!$A$2:$A$4,0)),S139&lt;=INDEX(Dim_Product!$K$2:$K$4,MATCH(F139,Dim_Product!$A$2:$A$4,0))+INDEX(Dim_Product!$L$2:$L$4,MATCH(F139,Dim_Product!$A$2:$A$4,0))),G139-H139,G139-H139-1)</f>
        <v>31</v>
      </c>
      <c r="U139" s="4">
        <f t="shared" si="21"/>
        <v>1</v>
      </c>
      <c r="V139" s="4">
        <f t="shared" si="22"/>
        <v>3.125E-2</v>
      </c>
      <c r="W139" s="16">
        <f t="shared" si="23"/>
        <v>0.96875</v>
      </c>
    </row>
    <row r="140" spans="1:23" x14ac:dyDescent="0.25">
      <c r="A140" s="15" t="s">
        <v>641</v>
      </c>
      <c r="B140" s="4">
        <f>Fact_Production_Hourly!B140</f>
        <v>20260701</v>
      </c>
      <c r="C140" s="4">
        <f>Fact_Production_Hourly!C140</f>
        <v>19</v>
      </c>
      <c r="D140" s="4" t="str">
        <f>Fact_Production_Hourly!D140</f>
        <v>M6</v>
      </c>
      <c r="E140" s="4" t="str">
        <f>Fact_Production_Hourly!E140</f>
        <v>B-PM</v>
      </c>
      <c r="F140" s="4" t="str">
        <f>Fact_Production_Hourly!F140</f>
        <v>C</v>
      </c>
      <c r="G140" s="4">
        <f>INDEX(Dim_Machine!$D$2:$D$8,MATCH(D140,Dim_Machine!$A$2:$A$8,0))*2</f>
        <v>24</v>
      </c>
      <c r="H140" s="4">
        <f>ROUND(G140*0.0691,0)</f>
        <v>2</v>
      </c>
      <c r="I140" s="4">
        <f t="shared" si="16"/>
        <v>0</v>
      </c>
      <c r="J140" s="4">
        <f t="shared" si="17"/>
        <v>1</v>
      </c>
      <c r="K140" s="4">
        <f t="shared" si="18"/>
        <v>1</v>
      </c>
      <c r="L140" s="4" t="s">
        <v>509</v>
      </c>
      <c r="M140" s="4">
        <f>INDEX(Dim_Product!$C$2:$C$4,MATCH(F140,Dim_Product!$A$2:$A$4,0))+-0.56</f>
        <v>199.44</v>
      </c>
      <c r="N140" s="4">
        <f>IF(AND(M140&gt;=INDEX(Dim_Product!$C$2:$C$4,MATCH(F140,Dim_Product!$A$2:$A$4,0))-INDEX(Dim_Product!$D$2:$D$4,MATCH(F140,Dim_Product!$A$2:$A$4,0)),M140&lt;=INDEX(Dim_Product!$C$2:$C$4,MATCH(F140,Dim_Product!$A$2:$A$4,0))+INDEX(Dim_Product!$D$2:$D$4,MATCH(F140,Dim_Product!$A$2:$A$4,0))),G140-H140,G140-H140-1)</f>
        <v>22</v>
      </c>
      <c r="O140" s="4">
        <f t="shared" si="19"/>
        <v>2</v>
      </c>
      <c r="P140" s="4">
        <f>INDEX(Dim_Product!$G$2:$G$4,MATCH(F140,Dim_Product!$A$2:$A$4,0))+-0.12</f>
        <v>64.88</v>
      </c>
      <c r="Q140" s="4">
        <f>IF(AND(P140&gt;=INDEX(Dim_Product!$G$2:$G$4,MATCH(F140,Dim_Product!$A$2:$A$4,0))-INDEX(Dim_Product!$H$2:$H$4,MATCH(F140,Dim_Product!$A$2:$A$4,0)),P140&lt;=INDEX(Dim_Product!$G$2:$G$4,MATCH(F140,Dim_Product!$A$2:$A$4,0))+INDEX(Dim_Product!$H$2:$H$4,MATCH(F140,Dim_Product!$A$2:$A$4,0))),G140-H140,G140-H140-1)</f>
        <v>22</v>
      </c>
      <c r="R140" s="4">
        <f t="shared" si="20"/>
        <v>2</v>
      </c>
      <c r="S140" s="4">
        <f>INDEX(Dim_Product!$K$2:$K$4,MATCH(F140,Dim_Product!$A$2:$A$4,0))+-0.35</f>
        <v>109.65</v>
      </c>
      <c r="T140" s="4">
        <f>IF(AND(S140&gt;=INDEX(Dim_Product!$K$2:$K$4,MATCH(F140,Dim_Product!$A$2:$A$4,0))-INDEX(Dim_Product!$L$2:$L$4,MATCH(F140,Dim_Product!$A$2:$A$4,0)),S140&lt;=INDEX(Dim_Product!$K$2:$K$4,MATCH(F140,Dim_Product!$A$2:$A$4,0))+INDEX(Dim_Product!$L$2:$L$4,MATCH(F140,Dim_Product!$A$2:$A$4,0))),G140-H140,G140-H140-1)</f>
        <v>22</v>
      </c>
      <c r="U140" s="4">
        <f t="shared" si="21"/>
        <v>2</v>
      </c>
      <c r="V140" s="4">
        <f t="shared" si="22"/>
        <v>8.3333333333333329E-2</v>
      </c>
      <c r="W140" s="16">
        <f t="shared" si="23"/>
        <v>0.91666666666666663</v>
      </c>
    </row>
    <row r="141" spans="1:23" x14ac:dyDescent="0.25">
      <c r="A141" s="15" t="s">
        <v>642</v>
      </c>
      <c r="B141" s="4">
        <f>Fact_Production_Hourly!B141</f>
        <v>20260701</v>
      </c>
      <c r="C141" s="4">
        <f>Fact_Production_Hourly!C141</f>
        <v>19</v>
      </c>
      <c r="D141" s="4" t="str">
        <f>Fact_Production_Hourly!D141</f>
        <v>M7</v>
      </c>
      <c r="E141" s="4" t="str">
        <f>Fact_Production_Hourly!E141</f>
        <v>B-PM</v>
      </c>
      <c r="F141" s="4" t="str">
        <f>Fact_Production_Hourly!F141</f>
        <v>A</v>
      </c>
      <c r="G141" s="4">
        <f>INDEX(Dim_Machine!$D$2:$D$8,MATCH(D141,Dim_Machine!$A$2:$A$8,0))*2</f>
        <v>48</v>
      </c>
      <c r="H141" s="4">
        <f>ROUND(G141*0.0669,0)</f>
        <v>3</v>
      </c>
      <c r="I141" s="4">
        <f t="shared" si="16"/>
        <v>0</v>
      </c>
      <c r="J141" s="4">
        <f t="shared" si="17"/>
        <v>1</v>
      </c>
      <c r="K141" s="4">
        <f t="shared" si="18"/>
        <v>2</v>
      </c>
      <c r="L141" s="4" t="s">
        <v>520</v>
      </c>
      <c r="M141" s="4">
        <f>INDEX(Dim_Product!$C$2:$C$4,MATCH(F141,Dim_Product!$A$2:$A$4,0))+0.82</f>
        <v>250.82</v>
      </c>
      <c r="N141" s="4">
        <f>IF(AND(M141&gt;=INDEX(Dim_Product!$C$2:$C$4,MATCH(F141,Dim_Product!$A$2:$A$4,0))-INDEX(Dim_Product!$D$2:$D$4,MATCH(F141,Dim_Product!$A$2:$A$4,0)),M141&lt;=INDEX(Dim_Product!$C$2:$C$4,MATCH(F141,Dim_Product!$A$2:$A$4,0))+INDEX(Dim_Product!$D$2:$D$4,MATCH(F141,Dim_Product!$A$2:$A$4,0))),G141-H141,G141-H141-1)</f>
        <v>45</v>
      </c>
      <c r="O141" s="4">
        <f t="shared" si="19"/>
        <v>3</v>
      </c>
      <c r="P141" s="4">
        <f>INDEX(Dim_Product!$G$2:$G$4,MATCH(F141,Dim_Product!$A$2:$A$4,0))+0.08</f>
        <v>70.08</v>
      </c>
      <c r="Q141" s="4">
        <f>IF(AND(P141&gt;=INDEX(Dim_Product!$G$2:$G$4,MATCH(F141,Dim_Product!$A$2:$A$4,0))-INDEX(Dim_Product!$H$2:$H$4,MATCH(F141,Dim_Product!$A$2:$A$4,0)),P141&lt;=INDEX(Dim_Product!$G$2:$G$4,MATCH(F141,Dim_Product!$A$2:$A$4,0))+INDEX(Dim_Product!$H$2:$H$4,MATCH(F141,Dim_Product!$A$2:$A$4,0))),G141-H141,G141-H141-1)</f>
        <v>45</v>
      </c>
      <c r="R141" s="4">
        <f t="shared" si="20"/>
        <v>3</v>
      </c>
      <c r="S141" s="4">
        <f>INDEX(Dim_Product!$K$2:$K$4,MATCH(F141,Dim_Product!$A$2:$A$4,0))+-0.06</f>
        <v>119.94</v>
      </c>
      <c r="T141" s="4">
        <f>IF(AND(S141&gt;=INDEX(Dim_Product!$K$2:$K$4,MATCH(F141,Dim_Product!$A$2:$A$4,0))-INDEX(Dim_Product!$L$2:$L$4,MATCH(F141,Dim_Product!$A$2:$A$4,0)),S141&lt;=INDEX(Dim_Product!$K$2:$K$4,MATCH(F141,Dim_Product!$A$2:$A$4,0))+INDEX(Dim_Product!$L$2:$L$4,MATCH(F141,Dim_Product!$A$2:$A$4,0))),G141-H141,G141-H141-1)</f>
        <v>45</v>
      </c>
      <c r="U141" s="4">
        <f t="shared" si="21"/>
        <v>3</v>
      </c>
      <c r="V141" s="4">
        <f t="shared" si="22"/>
        <v>6.25E-2</v>
      </c>
      <c r="W141" s="16">
        <f t="shared" si="23"/>
        <v>0.9375</v>
      </c>
    </row>
    <row r="142" spans="1:23" x14ac:dyDescent="0.25">
      <c r="A142" s="15" t="s">
        <v>643</v>
      </c>
      <c r="B142" s="4">
        <f>Fact_Production_Hourly!B142</f>
        <v>20260701</v>
      </c>
      <c r="C142" s="4">
        <f>Fact_Production_Hourly!C142</f>
        <v>20</v>
      </c>
      <c r="D142" s="4" t="str">
        <f>Fact_Production_Hourly!D142</f>
        <v>M1</v>
      </c>
      <c r="E142" s="4" t="str">
        <f>Fact_Production_Hourly!E142</f>
        <v>B-PM</v>
      </c>
      <c r="F142" s="4" t="str">
        <f>Fact_Production_Hourly!F142</f>
        <v>A</v>
      </c>
      <c r="G142" s="4">
        <f>INDEX(Dim_Machine!$D$2:$D$8,MATCH(D142,Dim_Machine!$A$2:$A$8,0))*2</f>
        <v>32</v>
      </c>
      <c r="H142" s="4">
        <f>ROUND(G142*0.0397,0)</f>
        <v>1</v>
      </c>
      <c r="I142" s="4">
        <f t="shared" si="16"/>
        <v>0</v>
      </c>
      <c r="J142" s="4">
        <f t="shared" si="17"/>
        <v>0</v>
      </c>
      <c r="K142" s="4">
        <f t="shared" si="18"/>
        <v>1</v>
      </c>
      <c r="L142" s="4" t="s">
        <v>517</v>
      </c>
      <c r="M142" s="4">
        <f>INDEX(Dim_Product!$C$2:$C$4,MATCH(F142,Dim_Product!$A$2:$A$4,0))+0.88</f>
        <v>250.88</v>
      </c>
      <c r="N142" s="4">
        <f>IF(AND(M142&gt;=INDEX(Dim_Product!$C$2:$C$4,MATCH(F142,Dim_Product!$A$2:$A$4,0))-INDEX(Dim_Product!$D$2:$D$4,MATCH(F142,Dim_Product!$A$2:$A$4,0)),M142&lt;=INDEX(Dim_Product!$C$2:$C$4,MATCH(F142,Dim_Product!$A$2:$A$4,0))+INDEX(Dim_Product!$D$2:$D$4,MATCH(F142,Dim_Product!$A$2:$A$4,0))),G142-H142,G142-H142-1)</f>
        <v>31</v>
      </c>
      <c r="O142" s="4">
        <f t="shared" si="19"/>
        <v>1</v>
      </c>
      <c r="P142" s="4">
        <f>INDEX(Dim_Product!$G$2:$G$4,MATCH(F142,Dim_Product!$A$2:$A$4,0))+0.1</f>
        <v>70.099999999999994</v>
      </c>
      <c r="Q142" s="4">
        <f>IF(AND(P142&gt;=INDEX(Dim_Product!$G$2:$G$4,MATCH(F142,Dim_Product!$A$2:$A$4,0))-INDEX(Dim_Product!$H$2:$H$4,MATCH(F142,Dim_Product!$A$2:$A$4,0)),P142&lt;=INDEX(Dim_Product!$G$2:$G$4,MATCH(F142,Dim_Product!$A$2:$A$4,0))+INDEX(Dim_Product!$H$2:$H$4,MATCH(F142,Dim_Product!$A$2:$A$4,0))),G142-H142,G142-H142-1)</f>
        <v>31</v>
      </c>
      <c r="R142" s="4">
        <f t="shared" si="20"/>
        <v>1</v>
      </c>
      <c r="S142" s="4">
        <f>INDEX(Dim_Product!$K$2:$K$4,MATCH(F142,Dim_Product!$A$2:$A$4,0))+0.23</f>
        <v>120.23</v>
      </c>
      <c r="T142" s="4">
        <f>IF(AND(S142&gt;=INDEX(Dim_Product!$K$2:$K$4,MATCH(F142,Dim_Product!$A$2:$A$4,0))-INDEX(Dim_Product!$L$2:$L$4,MATCH(F142,Dim_Product!$A$2:$A$4,0)),S142&lt;=INDEX(Dim_Product!$K$2:$K$4,MATCH(F142,Dim_Product!$A$2:$A$4,0))+INDEX(Dim_Product!$L$2:$L$4,MATCH(F142,Dim_Product!$A$2:$A$4,0))),G142-H142,G142-H142-1)</f>
        <v>31</v>
      </c>
      <c r="U142" s="4">
        <f t="shared" si="21"/>
        <v>1</v>
      </c>
      <c r="V142" s="4">
        <f t="shared" si="22"/>
        <v>3.125E-2</v>
      </c>
      <c r="W142" s="16">
        <f t="shared" si="23"/>
        <v>0.96875</v>
      </c>
    </row>
    <row r="143" spans="1:23" x14ac:dyDescent="0.25">
      <c r="A143" s="15" t="s">
        <v>644</v>
      </c>
      <c r="B143" s="4">
        <f>Fact_Production_Hourly!B143</f>
        <v>20260701</v>
      </c>
      <c r="C143" s="4">
        <f>Fact_Production_Hourly!C143</f>
        <v>20</v>
      </c>
      <c r="D143" s="4" t="str">
        <f>Fact_Production_Hourly!D143</f>
        <v>M2</v>
      </c>
      <c r="E143" s="4" t="str">
        <f>Fact_Production_Hourly!E143</f>
        <v>B-PM</v>
      </c>
      <c r="F143" s="4" t="str">
        <f>Fact_Production_Hourly!F143</f>
        <v>C</v>
      </c>
      <c r="G143" s="4">
        <f>INDEX(Dim_Machine!$D$2:$D$8,MATCH(D143,Dim_Machine!$A$2:$A$8,0))*2</f>
        <v>48</v>
      </c>
      <c r="H143" s="4">
        <f>ROUND(G143*0.0291,0)</f>
        <v>1</v>
      </c>
      <c r="I143" s="4">
        <f t="shared" si="16"/>
        <v>0</v>
      </c>
      <c r="J143" s="4">
        <f t="shared" si="17"/>
        <v>0</v>
      </c>
      <c r="K143" s="4">
        <f t="shared" si="18"/>
        <v>1</v>
      </c>
      <c r="L143" s="4" t="s">
        <v>503</v>
      </c>
      <c r="M143" s="4">
        <f>INDEX(Dim_Product!$C$2:$C$4,MATCH(F143,Dim_Product!$A$2:$A$4,0))+-0.18</f>
        <v>199.82</v>
      </c>
      <c r="N143" s="4">
        <f>IF(AND(M143&gt;=INDEX(Dim_Product!$C$2:$C$4,MATCH(F143,Dim_Product!$A$2:$A$4,0))-INDEX(Dim_Product!$D$2:$D$4,MATCH(F143,Dim_Product!$A$2:$A$4,0)),M143&lt;=INDEX(Dim_Product!$C$2:$C$4,MATCH(F143,Dim_Product!$A$2:$A$4,0))+INDEX(Dim_Product!$D$2:$D$4,MATCH(F143,Dim_Product!$A$2:$A$4,0))),G143-H143,G143-H143-1)</f>
        <v>47</v>
      </c>
      <c r="O143" s="4">
        <f t="shared" si="19"/>
        <v>1</v>
      </c>
      <c r="P143" s="4">
        <f>INDEX(Dim_Product!$G$2:$G$4,MATCH(F143,Dim_Product!$A$2:$A$4,0))+-0.12</f>
        <v>64.88</v>
      </c>
      <c r="Q143" s="4">
        <f>IF(AND(P143&gt;=INDEX(Dim_Product!$G$2:$G$4,MATCH(F143,Dim_Product!$A$2:$A$4,0))-INDEX(Dim_Product!$H$2:$H$4,MATCH(F143,Dim_Product!$A$2:$A$4,0)),P143&lt;=INDEX(Dim_Product!$G$2:$G$4,MATCH(F143,Dim_Product!$A$2:$A$4,0))+INDEX(Dim_Product!$H$2:$H$4,MATCH(F143,Dim_Product!$A$2:$A$4,0))),G143-H143,G143-H143-1)</f>
        <v>47</v>
      </c>
      <c r="R143" s="4">
        <f t="shared" si="20"/>
        <v>1</v>
      </c>
      <c r="S143" s="4">
        <f>INDEX(Dim_Product!$K$2:$K$4,MATCH(F143,Dim_Product!$A$2:$A$4,0))+-0.25</f>
        <v>109.75</v>
      </c>
      <c r="T143" s="4">
        <f>IF(AND(S143&gt;=INDEX(Dim_Product!$K$2:$K$4,MATCH(F143,Dim_Product!$A$2:$A$4,0))-INDEX(Dim_Product!$L$2:$L$4,MATCH(F143,Dim_Product!$A$2:$A$4,0)),S143&lt;=INDEX(Dim_Product!$K$2:$K$4,MATCH(F143,Dim_Product!$A$2:$A$4,0))+INDEX(Dim_Product!$L$2:$L$4,MATCH(F143,Dim_Product!$A$2:$A$4,0))),G143-H143,G143-H143-1)</f>
        <v>47</v>
      </c>
      <c r="U143" s="4">
        <f t="shared" si="21"/>
        <v>1</v>
      </c>
      <c r="V143" s="4">
        <f t="shared" si="22"/>
        <v>2.0833333333333332E-2</v>
      </c>
      <c r="W143" s="16">
        <f t="shared" si="23"/>
        <v>0.97916666666666663</v>
      </c>
    </row>
    <row r="144" spans="1:23" x14ac:dyDescent="0.25">
      <c r="A144" s="15" t="s">
        <v>645</v>
      </c>
      <c r="B144" s="4">
        <f>Fact_Production_Hourly!B144</f>
        <v>20260701</v>
      </c>
      <c r="C144" s="4">
        <f>Fact_Production_Hourly!C144</f>
        <v>20</v>
      </c>
      <c r="D144" s="4" t="str">
        <f>Fact_Production_Hourly!D144</f>
        <v>M3</v>
      </c>
      <c r="E144" s="4" t="str">
        <f>Fact_Production_Hourly!E144</f>
        <v>B-PM</v>
      </c>
      <c r="F144" s="4" t="str">
        <f>Fact_Production_Hourly!F144</f>
        <v>A</v>
      </c>
      <c r="G144" s="4">
        <f>INDEX(Dim_Machine!$D$2:$D$8,MATCH(D144,Dim_Machine!$A$2:$A$8,0))*2</f>
        <v>24</v>
      </c>
      <c r="H144" s="4">
        <f>ROUND(G144*0.0423,0)</f>
        <v>1</v>
      </c>
      <c r="I144" s="4">
        <f t="shared" si="16"/>
        <v>0</v>
      </c>
      <c r="J144" s="4">
        <f t="shared" si="17"/>
        <v>0</v>
      </c>
      <c r="K144" s="4">
        <f t="shared" si="18"/>
        <v>1</v>
      </c>
      <c r="L144" s="4" t="s">
        <v>500</v>
      </c>
      <c r="M144" s="4">
        <f>INDEX(Dim_Product!$C$2:$C$4,MATCH(F144,Dim_Product!$A$2:$A$4,0))+0.7</f>
        <v>250.7</v>
      </c>
      <c r="N144" s="4">
        <f>IF(AND(M144&gt;=INDEX(Dim_Product!$C$2:$C$4,MATCH(F144,Dim_Product!$A$2:$A$4,0))-INDEX(Dim_Product!$D$2:$D$4,MATCH(F144,Dim_Product!$A$2:$A$4,0)),M144&lt;=INDEX(Dim_Product!$C$2:$C$4,MATCH(F144,Dim_Product!$A$2:$A$4,0))+INDEX(Dim_Product!$D$2:$D$4,MATCH(F144,Dim_Product!$A$2:$A$4,0))),G144-H144,G144-H144-1)</f>
        <v>23</v>
      </c>
      <c r="O144" s="4">
        <f t="shared" si="19"/>
        <v>1</v>
      </c>
      <c r="P144" s="4">
        <f>INDEX(Dim_Product!$G$2:$G$4,MATCH(F144,Dim_Product!$A$2:$A$4,0))+-0.12</f>
        <v>69.88</v>
      </c>
      <c r="Q144" s="4">
        <f>IF(AND(P144&gt;=INDEX(Dim_Product!$G$2:$G$4,MATCH(F144,Dim_Product!$A$2:$A$4,0))-INDEX(Dim_Product!$H$2:$H$4,MATCH(F144,Dim_Product!$A$2:$A$4,0)),P144&lt;=INDEX(Dim_Product!$G$2:$G$4,MATCH(F144,Dim_Product!$A$2:$A$4,0))+INDEX(Dim_Product!$H$2:$H$4,MATCH(F144,Dim_Product!$A$2:$A$4,0))),G144-H144,G144-H144-1)</f>
        <v>23</v>
      </c>
      <c r="R144" s="4">
        <f t="shared" si="20"/>
        <v>1</v>
      </c>
      <c r="S144" s="4">
        <f>INDEX(Dim_Product!$K$2:$K$4,MATCH(F144,Dim_Product!$A$2:$A$4,0))+0.17</f>
        <v>120.17</v>
      </c>
      <c r="T144" s="4">
        <f>IF(AND(S144&gt;=INDEX(Dim_Product!$K$2:$K$4,MATCH(F144,Dim_Product!$A$2:$A$4,0))-INDEX(Dim_Product!$L$2:$L$4,MATCH(F144,Dim_Product!$A$2:$A$4,0)),S144&lt;=INDEX(Dim_Product!$K$2:$K$4,MATCH(F144,Dim_Product!$A$2:$A$4,0))+INDEX(Dim_Product!$L$2:$L$4,MATCH(F144,Dim_Product!$A$2:$A$4,0))),G144-H144,G144-H144-1)</f>
        <v>23</v>
      </c>
      <c r="U144" s="4">
        <f t="shared" si="21"/>
        <v>1</v>
      </c>
      <c r="V144" s="4">
        <f t="shared" si="22"/>
        <v>4.1666666666666664E-2</v>
      </c>
      <c r="W144" s="16">
        <f t="shared" si="23"/>
        <v>0.95833333333333337</v>
      </c>
    </row>
    <row r="145" spans="1:23" x14ac:dyDescent="0.25">
      <c r="A145" s="15" t="s">
        <v>646</v>
      </c>
      <c r="B145" s="4">
        <f>Fact_Production_Hourly!B145</f>
        <v>20260701</v>
      </c>
      <c r="C145" s="4">
        <f>Fact_Production_Hourly!C145</f>
        <v>20</v>
      </c>
      <c r="D145" s="4" t="str">
        <f>Fact_Production_Hourly!D145</f>
        <v>M4</v>
      </c>
      <c r="E145" s="4" t="str">
        <f>Fact_Production_Hourly!E145</f>
        <v>B-PM</v>
      </c>
      <c r="F145" s="4" t="str">
        <f>Fact_Production_Hourly!F145</f>
        <v>A</v>
      </c>
      <c r="G145" s="4">
        <f>INDEX(Dim_Machine!$D$2:$D$8,MATCH(D145,Dim_Machine!$A$2:$A$8,0))*2</f>
        <v>48</v>
      </c>
      <c r="H145" s="4">
        <f>ROUND(G145*0.0583,0)</f>
        <v>3</v>
      </c>
      <c r="I145" s="4">
        <f t="shared" si="16"/>
        <v>0</v>
      </c>
      <c r="J145" s="4">
        <f t="shared" si="17"/>
        <v>1</v>
      </c>
      <c r="K145" s="4">
        <f t="shared" si="18"/>
        <v>2</v>
      </c>
      <c r="L145" s="4" t="s">
        <v>498</v>
      </c>
      <c r="M145" s="4">
        <f>INDEX(Dim_Product!$C$2:$C$4,MATCH(F145,Dim_Product!$A$2:$A$4,0))+0.12</f>
        <v>250.12</v>
      </c>
      <c r="N145" s="4">
        <f>IF(AND(M145&gt;=INDEX(Dim_Product!$C$2:$C$4,MATCH(F145,Dim_Product!$A$2:$A$4,0))-INDEX(Dim_Product!$D$2:$D$4,MATCH(F145,Dim_Product!$A$2:$A$4,0)),M145&lt;=INDEX(Dim_Product!$C$2:$C$4,MATCH(F145,Dim_Product!$A$2:$A$4,0))+INDEX(Dim_Product!$D$2:$D$4,MATCH(F145,Dim_Product!$A$2:$A$4,0))),G145-H145,G145-H145-1)</f>
        <v>45</v>
      </c>
      <c r="O145" s="4">
        <f t="shared" si="19"/>
        <v>3</v>
      </c>
      <c r="P145" s="4">
        <f>INDEX(Dim_Product!$G$2:$G$4,MATCH(F145,Dim_Product!$A$2:$A$4,0))+0.28</f>
        <v>70.28</v>
      </c>
      <c r="Q145" s="4">
        <f>IF(AND(P145&gt;=INDEX(Dim_Product!$G$2:$G$4,MATCH(F145,Dim_Product!$A$2:$A$4,0))-INDEX(Dim_Product!$H$2:$H$4,MATCH(F145,Dim_Product!$A$2:$A$4,0)),P145&lt;=INDEX(Dim_Product!$G$2:$G$4,MATCH(F145,Dim_Product!$A$2:$A$4,0))+INDEX(Dim_Product!$H$2:$H$4,MATCH(F145,Dim_Product!$A$2:$A$4,0))),G145-H145,G145-H145-1)</f>
        <v>45</v>
      </c>
      <c r="R145" s="4">
        <f t="shared" si="20"/>
        <v>3</v>
      </c>
      <c r="S145" s="4">
        <f>INDEX(Dim_Product!$K$2:$K$4,MATCH(F145,Dim_Product!$A$2:$A$4,0))+0.05</f>
        <v>120.05</v>
      </c>
      <c r="T145" s="4">
        <f>IF(AND(S145&gt;=INDEX(Dim_Product!$K$2:$K$4,MATCH(F145,Dim_Product!$A$2:$A$4,0))-INDEX(Dim_Product!$L$2:$L$4,MATCH(F145,Dim_Product!$A$2:$A$4,0)),S145&lt;=INDEX(Dim_Product!$K$2:$K$4,MATCH(F145,Dim_Product!$A$2:$A$4,0))+INDEX(Dim_Product!$L$2:$L$4,MATCH(F145,Dim_Product!$A$2:$A$4,0))),G145-H145,G145-H145-1)</f>
        <v>45</v>
      </c>
      <c r="U145" s="4">
        <f t="shared" si="21"/>
        <v>3</v>
      </c>
      <c r="V145" s="4">
        <f t="shared" si="22"/>
        <v>6.25E-2</v>
      </c>
      <c r="W145" s="16">
        <f t="shared" si="23"/>
        <v>0.9375</v>
      </c>
    </row>
    <row r="146" spans="1:23" x14ac:dyDescent="0.25">
      <c r="A146" s="15" t="s">
        <v>647</v>
      </c>
      <c r="B146" s="4">
        <f>Fact_Production_Hourly!B146</f>
        <v>20260701</v>
      </c>
      <c r="C146" s="4">
        <f>Fact_Production_Hourly!C146</f>
        <v>20</v>
      </c>
      <c r="D146" s="4" t="str">
        <f>Fact_Production_Hourly!D146</f>
        <v>M5</v>
      </c>
      <c r="E146" s="4" t="str">
        <f>Fact_Production_Hourly!E146</f>
        <v>B-PM</v>
      </c>
      <c r="F146" s="4" t="str">
        <f>Fact_Production_Hourly!F146</f>
        <v>A</v>
      </c>
      <c r="G146" s="4">
        <f>INDEX(Dim_Machine!$D$2:$D$8,MATCH(D146,Dim_Machine!$A$2:$A$8,0))*2</f>
        <v>32</v>
      </c>
      <c r="H146" s="4">
        <f>ROUND(G146*0.018,0)</f>
        <v>1</v>
      </c>
      <c r="I146" s="4">
        <f t="shared" si="16"/>
        <v>0</v>
      </c>
      <c r="J146" s="4">
        <f t="shared" si="17"/>
        <v>0</v>
      </c>
      <c r="K146" s="4">
        <f t="shared" si="18"/>
        <v>1</v>
      </c>
      <c r="L146" s="4" t="s">
        <v>500</v>
      </c>
      <c r="M146" s="4">
        <f>INDEX(Dim_Product!$C$2:$C$4,MATCH(F146,Dim_Product!$A$2:$A$4,0))+-0.49</f>
        <v>249.51</v>
      </c>
      <c r="N146" s="4">
        <f>IF(AND(M146&gt;=INDEX(Dim_Product!$C$2:$C$4,MATCH(F146,Dim_Product!$A$2:$A$4,0))-INDEX(Dim_Product!$D$2:$D$4,MATCH(F146,Dim_Product!$A$2:$A$4,0)),M146&lt;=INDEX(Dim_Product!$C$2:$C$4,MATCH(F146,Dim_Product!$A$2:$A$4,0))+INDEX(Dim_Product!$D$2:$D$4,MATCH(F146,Dim_Product!$A$2:$A$4,0))),G146-H146,G146-H146-1)</f>
        <v>31</v>
      </c>
      <c r="O146" s="4">
        <f t="shared" si="19"/>
        <v>1</v>
      </c>
      <c r="P146" s="4">
        <f>INDEX(Dim_Product!$G$2:$G$4,MATCH(F146,Dim_Product!$A$2:$A$4,0))+-0.1</f>
        <v>69.900000000000006</v>
      </c>
      <c r="Q146" s="4">
        <f>IF(AND(P146&gt;=INDEX(Dim_Product!$G$2:$G$4,MATCH(F146,Dim_Product!$A$2:$A$4,0))-INDEX(Dim_Product!$H$2:$H$4,MATCH(F146,Dim_Product!$A$2:$A$4,0)),P146&lt;=INDEX(Dim_Product!$G$2:$G$4,MATCH(F146,Dim_Product!$A$2:$A$4,0))+INDEX(Dim_Product!$H$2:$H$4,MATCH(F146,Dim_Product!$A$2:$A$4,0))),G146-H146,G146-H146-1)</f>
        <v>31</v>
      </c>
      <c r="R146" s="4">
        <f t="shared" si="20"/>
        <v>1</v>
      </c>
      <c r="S146" s="4">
        <f>INDEX(Dim_Product!$K$2:$K$4,MATCH(F146,Dim_Product!$A$2:$A$4,0))+-0.34</f>
        <v>119.66</v>
      </c>
      <c r="T146" s="4">
        <f>IF(AND(S146&gt;=INDEX(Dim_Product!$K$2:$K$4,MATCH(F146,Dim_Product!$A$2:$A$4,0))-INDEX(Dim_Product!$L$2:$L$4,MATCH(F146,Dim_Product!$A$2:$A$4,0)),S146&lt;=INDEX(Dim_Product!$K$2:$K$4,MATCH(F146,Dim_Product!$A$2:$A$4,0))+INDEX(Dim_Product!$L$2:$L$4,MATCH(F146,Dim_Product!$A$2:$A$4,0))),G146-H146,G146-H146-1)</f>
        <v>31</v>
      </c>
      <c r="U146" s="4">
        <f t="shared" si="21"/>
        <v>1</v>
      </c>
      <c r="V146" s="4">
        <f t="shared" si="22"/>
        <v>3.125E-2</v>
      </c>
      <c r="W146" s="16">
        <f t="shared" si="23"/>
        <v>0.96875</v>
      </c>
    </row>
    <row r="147" spans="1:23" x14ac:dyDescent="0.25">
      <c r="A147" s="15" t="s">
        <v>648</v>
      </c>
      <c r="B147" s="4">
        <f>Fact_Production_Hourly!B147</f>
        <v>20260701</v>
      </c>
      <c r="C147" s="4">
        <f>Fact_Production_Hourly!C147</f>
        <v>20</v>
      </c>
      <c r="D147" s="4" t="str">
        <f>Fact_Production_Hourly!D147</f>
        <v>M6</v>
      </c>
      <c r="E147" s="4" t="str">
        <f>Fact_Production_Hourly!E147</f>
        <v>B-PM</v>
      </c>
      <c r="F147" s="4" t="str">
        <f>Fact_Production_Hourly!F147</f>
        <v>C</v>
      </c>
      <c r="G147" s="4">
        <f>INDEX(Dim_Machine!$D$2:$D$8,MATCH(D147,Dim_Machine!$A$2:$A$8,0))*2</f>
        <v>24</v>
      </c>
      <c r="H147" s="4">
        <f>ROUND(G147*0.037,0)</f>
        <v>1</v>
      </c>
      <c r="I147" s="4">
        <f t="shared" si="16"/>
        <v>0</v>
      </c>
      <c r="J147" s="4">
        <f t="shared" si="17"/>
        <v>0</v>
      </c>
      <c r="K147" s="4">
        <f t="shared" si="18"/>
        <v>1</v>
      </c>
      <c r="L147" s="4" t="s">
        <v>517</v>
      </c>
      <c r="M147" s="4">
        <f>INDEX(Dim_Product!$C$2:$C$4,MATCH(F147,Dim_Product!$A$2:$A$4,0))+-0.82</f>
        <v>199.18</v>
      </c>
      <c r="N147" s="4">
        <f>IF(AND(M147&gt;=INDEX(Dim_Product!$C$2:$C$4,MATCH(F147,Dim_Product!$A$2:$A$4,0))-INDEX(Dim_Product!$D$2:$D$4,MATCH(F147,Dim_Product!$A$2:$A$4,0)),M147&lt;=INDEX(Dim_Product!$C$2:$C$4,MATCH(F147,Dim_Product!$A$2:$A$4,0))+INDEX(Dim_Product!$D$2:$D$4,MATCH(F147,Dim_Product!$A$2:$A$4,0))),G147-H147,G147-H147-1)</f>
        <v>23</v>
      </c>
      <c r="O147" s="4">
        <f t="shared" si="19"/>
        <v>1</v>
      </c>
      <c r="P147" s="4">
        <f>INDEX(Dim_Product!$G$2:$G$4,MATCH(F147,Dim_Product!$A$2:$A$4,0))+0.13</f>
        <v>65.13</v>
      </c>
      <c r="Q147" s="4">
        <f>IF(AND(P147&gt;=INDEX(Dim_Product!$G$2:$G$4,MATCH(F147,Dim_Product!$A$2:$A$4,0))-INDEX(Dim_Product!$H$2:$H$4,MATCH(F147,Dim_Product!$A$2:$A$4,0)),P147&lt;=INDEX(Dim_Product!$G$2:$G$4,MATCH(F147,Dim_Product!$A$2:$A$4,0))+INDEX(Dim_Product!$H$2:$H$4,MATCH(F147,Dim_Product!$A$2:$A$4,0))),G147-H147,G147-H147-1)</f>
        <v>23</v>
      </c>
      <c r="R147" s="4">
        <f t="shared" si="20"/>
        <v>1</v>
      </c>
      <c r="S147" s="4">
        <f>INDEX(Dim_Product!$K$2:$K$4,MATCH(F147,Dim_Product!$A$2:$A$4,0))+-0.25</f>
        <v>109.75</v>
      </c>
      <c r="T147" s="4">
        <f>IF(AND(S147&gt;=INDEX(Dim_Product!$K$2:$K$4,MATCH(F147,Dim_Product!$A$2:$A$4,0))-INDEX(Dim_Product!$L$2:$L$4,MATCH(F147,Dim_Product!$A$2:$A$4,0)),S147&lt;=INDEX(Dim_Product!$K$2:$K$4,MATCH(F147,Dim_Product!$A$2:$A$4,0))+INDEX(Dim_Product!$L$2:$L$4,MATCH(F147,Dim_Product!$A$2:$A$4,0))),G147-H147,G147-H147-1)</f>
        <v>23</v>
      </c>
      <c r="U147" s="4">
        <f t="shared" si="21"/>
        <v>1</v>
      </c>
      <c r="V147" s="4">
        <f t="shared" si="22"/>
        <v>4.1666666666666664E-2</v>
      </c>
      <c r="W147" s="16">
        <f t="shared" si="23"/>
        <v>0.95833333333333337</v>
      </c>
    </row>
    <row r="148" spans="1:23" x14ac:dyDescent="0.25">
      <c r="A148" s="15" t="s">
        <v>649</v>
      </c>
      <c r="B148" s="4">
        <f>Fact_Production_Hourly!B148</f>
        <v>20260701</v>
      </c>
      <c r="C148" s="4">
        <f>Fact_Production_Hourly!C148</f>
        <v>20</v>
      </c>
      <c r="D148" s="4" t="str">
        <f>Fact_Production_Hourly!D148</f>
        <v>M7</v>
      </c>
      <c r="E148" s="4" t="str">
        <f>Fact_Production_Hourly!E148</f>
        <v>B-PM</v>
      </c>
      <c r="F148" s="4" t="str">
        <f>Fact_Production_Hourly!F148</f>
        <v>A</v>
      </c>
      <c r="G148" s="4">
        <f>INDEX(Dim_Machine!$D$2:$D$8,MATCH(D148,Dim_Machine!$A$2:$A$8,0))*2</f>
        <v>48</v>
      </c>
      <c r="H148" s="4">
        <f>ROUND(G148*0.0261,0)</f>
        <v>1</v>
      </c>
      <c r="I148" s="4">
        <f t="shared" si="16"/>
        <v>0</v>
      </c>
      <c r="J148" s="4">
        <f t="shared" si="17"/>
        <v>0</v>
      </c>
      <c r="K148" s="4">
        <f t="shared" si="18"/>
        <v>1</v>
      </c>
      <c r="L148" s="4" t="s">
        <v>520</v>
      </c>
      <c r="M148" s="4">
        <f>INDEX(Dim_Product!$C$2:$C$4,MATCH(F148,Dim_Product!$A$2:$A$4,0))+0.21</f>
        <v>250.21</v>
      </c>
      <c r="N148" s="4">
        <f>IF(AND(M148&gt;=INDEX(Dim_Product!$C$2:$C$4,MATCH(F148,Dim_Product!$A$2:$A$4,0))-INDEX(Dim_Product!$D$2:$D$4,MATCH(F148,Dim_Product!$A$2:$A$4,0)),M148&lt;=INDEX(Dim_Product!$C$2:$C$4,MATCH(F148,Dim_Product!$A$2:$A$4,0))+INDEX(Dim_Product!$D$2:$D$4,MATCH(F148,Dim_Product!$A$2:$A$4,0))),G148-H148,G148-H148-1)</f>
        <v>47</v>
      </c>
      <c r="O148" s="4">
        <f t="shared" si="19"/>
        <v>1</v>
      </c>
      <c r="P148" s="4">
        <f>INDEX(Dim_Product!$G$2:$G$4,MATCH(F148,Dim_Product!$A$2:$A$4,0))+-0.28</f>
        <v>69.72</v>
      </c>
      <c r="Q148" s="4">
        <f>IF(AND(P148&gt;=INDEX(Dim_Product!$G$2:$G$4,MATCH(F148,Dim_Product!$A$2:$A$4,0))-INDEX(Dim_Product!$H$2:$H$4,MATCH(F148,Dim_Product!$A$2:$A$4,0)),P148&lt;=INDEX(Dim_Product!$G$2:$G$4,MATCH(F148,Dim_Product!$A$2:$A$4,0))+INDEX(Dim_Product!$H$2:$H$4,MATCH(F148,Dim_Product!$A$2:$A$4,0))),G148-H148,G148-H148-1)</f>
        <v>47</v>
      </c>
      <c r="R148" s="4">
        <f t="shared" si="20"/>
        <v>1</v>
      </c>
      <c r="S148" s="4">
        <f>INDEX(Dim_Product!$K$2:$K$4,MATCH(F148,Dim_Product!$A$2:$A$4,0))+-0.34</f>
        <v>119.66</v>
      </c>
      <c r="T148" s="4">
        <f>IF(AND(S148&gt;=INDEX(Dim_Product!$K$2:$K$4,MATCH(F148,Dim_Product!$A$2:$A$4,0))-INDEX(Dim_Product!$L$2:$L$4,MATCH(F148,Dim_Product!$A$2:$A$4,0)),S148&lt;=INDEX(Dim_Product!$K$2:$K$4,MATCH(F148,Dim_Product!$A$2:$A$4,0))+INDEX(Dim_Product!$L$2:$L$4,MATCH(F148,Dim_Product!$A$2:$A$4,0))),G148-H148,G148-H148-1)</f>
        <v>47</v>
      </c>
      <c r="U148" s="4">
        <f t="shared" si="21"/>
        <v>1</v>
      </c>
      <c r="V148" s="4">
        <f t="shared" si="22"/>
        <v>2.0833333333333332E-2</v>
      </c>
      <c r="W148" s="16">
        <f t="shared" si="23"/>
        <v>0.97916666666666663</v>
      </c>
    </row>
    <row r="149" spans="1:23" x14ac:dyDescent="0.25">
      <c r="A149" s="15" t="s">
        <v>650</v>
      </c>
      <c r="B149" s="4">
        <f>Fact_Production_Hourly!B149</f>
        <v>20260701</v>
      </c>
      <c r="C149" s="4">
        <f>Fact_Production_Hourly!C149</f>
        <v>21</v>
      </c>
      <c r="D149" s="4" t="str">
        <f>Fact_Production_Hourly!D149</f>
        <v>M1</v>
      </c>
      <c r="E149" s="4" t="str">
        <f>Fact_Production_Hourly!E149</f>
        <v>B-PM</v>
      </c>
      <c r="F149" s="4" t="str">
        <f>Fact_Production_Hourly!F149</f>
        <v>A</v>
      </c>
      <c r="G149" s="4">
        <f>INDEX(Dim_Machine!$D$2:$D$8,MATCH(D149,Dim_Machine!$A$2:$A$8,0))*2</f>
        <v>32</v>
      </c>
      <c r="H149" s="4">
        <f>ROUND(G149*0.0583,0)</f>
        <v>2</v>
      </c>
      <c r="I149" s="4">
        <f t="shared" si="16"/>
        <v>0</v>
      </c>
      <c r="J149" s="4">
        <f t="shared" si="17"/>
        <v>1</v>
      </c>
      <c r="K149" s="4">
        <f t="shared" si="18"/>
        <v>1</v>
      </c>
      <c r="L149" s="4" t="s">
        <v>509</v>
      </c>
      <c r="M149" s="4">
        <f>INDEX(Dim_Product!$C$2:$C$4,MATCH(F149,Dim_Product!$A$2:$A$4,0))+0.45</f>
        <v>250.45</v>
      </c>
      <c r="N149" s="4">
        <f>IF(AND(M149&gt;=INDEX(Dim_Product!$C$2:$C$4,MATCH(F149,Dim_Product!$A$2:$A$4,0))-INDEX(Dim_Product!$D$2:$D$4,MATCH(F149,Dim_Product!$A$2:$A$4,0)),M149&lt;=INDEX(Dim_Product!$C$2:$C$4,MATCH(F149,Dim_Product!$A$2:$A$4,0))+INDEX(Dim_Product!$D$2:$D$4,MATCH(F149,Dim_Product!$A$2:$A$4,0))),G149-H149,G149-H149-1)</f>
        <v>30</v>
      </c>
      <c r="O149" s="4">
        <f t="shared" si="19"/>
        <v>2</v>
      </c>
      <c r="P149" s="4">
        <f>INDEX(Dim_Product!$G$2:$G$4,MATCH(F149,Dim_Product!$A$2:$A$4,0))+0.04</f>
        <v>70.040000000000006</v>
      </c>
      <c r="Q149" s="4">
        <f>IF(AND(P149&gt;=INDEX(Dim_Product!$G$2:$G$4,MATCH(F149,Dim_Product!$A$2:$A$4,0))-INDEX(Dim_Product!$H$2:$H$4,MATCH(F149,Dim_Product!$A$2:$A$4,0)),P149&lt;=INDEX(Dim_Product!$G$2:$G$4,MATCH(F149,Dim_Product!$A$2:$A$4,0))+INDEX(Dim_Product!$H$2:$H$4,MATCH(F149,Dim_Product!$A$2:$A$4,0))),G149-H149,G149-H149-1)</f>
        <v>30</v>
      </c>
      <c r="R149" s="4">
        <f t="shared" si="20"/>
        <v>2</v>
      </c>
      <c r="S149" s="4">
        <f>INDEX(Dim_Product!$K$2:$K$4,MATCH(F149,Dim_Product!$A$2:$A$4,0))+-0.02</f>
        <v>119.98</v>
      </c>
      <c r="T149" s="4">
        <f>IF(AND(S149&gt;=INDEX(Dim_Product!$K$2:$K$4,MATCH(F149,Dim_Product!$A$2:$A$4,0))-INDEX(Dim_Product!$L$2:$L$4,MATCH(F149,Dim_Product!$A$2:$A$4,0)),S149&lt;=INDEX(Dim_Product!$K$2:$K$4,MATCH(F149,Dim_Product!$A$2:$A$4,0))+INDEX(Dim_Product!$L$2:$L$4,MATCH(F149,Dim_Product!$A$2:$A$4,0))),G149-H149,G149-H149-1)</f>
        <v>30</v>
      </c>
      <c r="U149" s="4">
        <f t="shared" si="21"/>
        <v>2</v>
      </c>
      <c r="V149" s="4">
        <f t="shared" si="22"/>
        <v>6.25E-2</v>
      </c>
      <c r="W149" s="16">
        <f t="shared" si="23"/>
        <v>0.9375</v>
      </c>
    </row>
    <row r="150" spans="1:23" x14ac:dyDescent="0.25">
      <c r="A150" s="15" t="s">
        <v>651</v>
      </c>
      <c r="B150" s="4">
        <f>Fact_Production_Hourly!B150</f>
        <v>20260701</v>
      </c>
      <c r="C150" s="4">
        <f>Fact_Production_Hourly!C150</f>
        <v>21</v>
      </c>
      <c r="D150" s="4" t="str">
        <f>Fact_Production_Hourly!D150</f>
        <v>M2</v>
      </c>
      <c r="E150" s="4" t="str">
        <f>Fact_Production_Hourly!E150</f>
        <v>B-PM</v>
      </c>
      <c r="F150" s="4" t="str">
        <f>Fact_Production_Hourly!F150</f>
        <v>C</v>
      </c>
      <c r="G150" s="4">
        <f>INDEX(Dim_Machine!$D$2:$D$8,MATCH(D150,Dim_Machine!$A$2:$A$8,0))*2</f>
        <v>48</v>
      </c>
      <c r="H150" s="4">
        <f>ROUND(G150*0.0622,0)</f>
        <v>3</v>
      </c>
      <c r="I150" s="4">
        <f t="shared" si="16"/>
        <v>0</v>
      </c>
      <c r="J150" s="4">
        <f t="shared" si="17"/>
        <v>1</v>
      </c>
      <c r="K150" s="4">
        <f t="shared" si="18"/>
        <v>2</v>
      </c>
      <c r="L150" s="4" t="s">
        <v>517</v>
      </c>
      <c r="M150" s="4">
        <f>INDEX(Dim_Product!$C$2:$C$4,MATCH(F150,Dim_Product!$A$2:$A$4,0))+-0.39</f>
        <v>199.61</v>
      </c>
      <c r="N150" s="4">
        <f>IF(AND(M150&gt;=INDEX(Dim_Product!$C$2:$C$4,MATCH(F150,Dim_Product!$A$2:$A$4,0))-INDEX(Dim_Product!$D$2:$D$4,MATCH(F150,Dim_Product!$A$2:$A$4,0)),M150&lt;=INDEX(Dim_Product!$C$2:$C$4,MATCH(F150,Dim_Product!$A$2:$A$4,0))+INDEX(Dim_Product!$D$2:$D$4,MATCH(F150,Dim_Product!$A$2:$A$4,0))),G150-H150,G150-H150-1)</f>
        <v>45</v>
      </c>
      <c r="O150" s="4">
        <f t="shared" si="19"/>
        <v>3</v>
      </c>
      <c r="P150" s="4">
        <f>INDEX(Dim_Product!$G$2:$G$4,MATCH(F150,Dim_Product!$A$2:$A$4,0))+0.25</f>
        <v>65.25</v>
      </c>
      <c r="Q150" s="4">
        <f>IF(AND(P150&gt;=INDEX(Dim_Product!$G$2:$G$4,MATCH(F150,Dim_Product!$A$2:$A$4,0))-INDEX(Dim_Product!$H$2:$H$4,MATCH(F150,Dim_Product!$A$2:$A$4,0)),P150&lt;=INDEX(Dim_Product!$G$2:$G$4,MATCH(F150,Dim_Product!$A$2:$A$4,0))+INDEX(Dim_Product!$H$2:$H$4,MATCH(F150,Dim_Product!$A$2:$A$4,0))),G150-H150,G150-H150-1)</f>
        <v>45</v>
      </c>
      <c r="R150" s="4">
        <f t="shared" si="20"/>
        <v>3</v>
      </c>
      <c r="S150" s="4">
        <f>INDEX(Dim_Product!$K$2:$K$4,MATCH(F150,Dim_Product!$A$2:$A$4,0))+-0.23</f>
        <v>109.77</v>
      </c>
      <c r="T150" s="4">
        <f>IF(AND(S150&gt;=INDEX(Dim_Product!$K$2:$K$4,MATCH(F150,Dim_Product!$A$2:$A$4,0))-INDEX(Dim_Product!$L$2:$L$4,MATCH(F150,Dim_Product!$A$2:$A$4,0)),S150&lt;=INDEX(Dim_Product!$K$2:$K$4,MATCH(F150,Dim_Product!$A$2:$A$4,0))+INDEX(Dim_Product!$L$2:$L$4,MATCH(F150,Dim_Product!$A$2:$A$4,0))),G150-H150,G150-H150-1)</f>
        <v>45</v>
      </c>
      <c r="U150" s="4">
        <f t="shared" si="21"/>
        <v>3</v>
      </c>
      <c r="V150" s="4">
        <f t="shared" si="22"/>
        <v>6.25E-2</v>
      </c>
      <c r="W150" s="16">
        <f t="shared" si="23"/>
        <v>0.9375</v>
      </c>
    </row>
    <row r="151" spans="1:23" x14ac:dyDescent="0.25">
      <c r="A151" s="15" t="s">
        <v>652</v>
      </c>
      <c r="B151" s="4">
        <f>Fact_Production_Hourly!B151</f>
        <v>20260701</v>
      </c>
      <c r="C151" s="4">
        <f>Fact_Production_Hourly!C151</f>
        <v>21</v>
      </c>
      <c r="D151" s="4" t="str">
        <f>Fact_Production_Hourly!D151</f>
        <v>M3</v>
      </c>
      <c r="E151" s="4" t="str">
        <f>Fact_Production_Hourly!E151</f>
        <v>B-PM</v>
      </c>
      <c r="F151" s="4" t="str">
        <f>Fact_Production_Hourly!F151</f>
        <v>A</v>
      </c>
      <c r="G151" s="4">
        <f>INDEX(Dim_Machine!$D$2:$D$8,MATCH(D151,Dim_Machine!$A$2:$A$8,0))*2</f>
        <v>24</v>
      </c>
      <c r="H151" s="4">
        <f>ROUND(G151*0.0214,0)</f>
        <v>1</v>
      </c>
      <c r="I151" s="4">
        <f t="shared" si="16"/>
        <v>0</v>
      </c>
      <c r="J151" s="4">
        <f t="shared" si="17"/>
        <v>0</v>
      </c>
      <c r="K151" s="4">
        <f t="shared" si="18"/>
        <v>1</v>
      </c>
      <c r="L151" s="4" t="s">
        <v>520</v>
      </c>
      <c r="M151" s="4">
        <f>INDEX(Dim_Product!$C$2:$C$4,MATCH(F151,Dim_Product!$A$2:$A$4,0))+-0.77</f>
        <v>249.23</v>
      </c>
      <c r="N151" s="4">
        <f>IF(AND(M151&gt;=INDEX(Dim_Product!$C$2:$C$4,MATCH(F151,Dim_Product!$A$2:$A$4,0))-INDEX(Dim_Product!$D$2:$D$4,MATCH(F151,Dim_Product!$A$2:$A$4,0)),M151&lt;=INDEX(Dim_Product!$C$2:$C$4,MATCH(F151,Dim_Product!$A$2:$A$4,0))+INDEX(Dim_Product!$D$2:$D$4,MATCH(F151,Dim_Product!$A$2:$A$4,0))),G151-H151,G151-H151-1)</f>
        <v>23</v>
      </c>
      <c r="O151" s="4">
        <f t="shared" si="19"/>
        <v>1</v>
      </c>
      <c r="P151" s="4">
        <f>INDEX(Dim_Product!$G$2:$G$4,MATCH(F151,Dim_Product!$A$2:$A$4,0))+0.3</f>
        <v>70.3</v>
      </c>
      <c r="Q151" s="4">
        <f>IF(AND(P151&gt;=INDEX(Dim_Product!$G$2:$G$4,MATCH(F151,Dim_Product!$A$2:$A$4,0))-INDEX(Dim_Product!$H$2:$H$4,MATCH(F151,Dim_Product!$A$2:$A$4,0)),P151&lt;=INDEX(Dim_Product!$G$2:$G$4,MATCH(F151,Dim_Product!$A$2:$A$4,0))+INDEX(Dim_Product!$H$2:$H$4,MATCH(F151,Dim_Product!$A$2:$A$4,0))),G151-H151,G151-H151-1)</f>
        <v>23</v>
      </c>
      <c r="R151" s="4">
        <f t="shared" si="20"/>
        <v>1</v>
      </c>
      <c r="S151" s="4">
        <f>INDEX(Dim_Product!$K$2:$K$4,MATCH(F151,Dim_Product!$A$2:$A$4,0))+-0.02</f>
        <v>119.98</v>
      </c>
      <c r="T151" s="4">
        <f>IF(AND(S151&gt;=INDEX(Dim_Product!$K$2:$K$4,MATCH(F151,Dim_Product!$A$2:$A$4,0))-INDEX(Dim_Product!$L$2:$L$4,MATCH(F151,Dim_Product!$A$2:$A$4,0)),S151&lt;=INDEX(Dim_Product!$K$2:$K$4,MATCH(F151,Dim_Product!$A$2:$A$4,0))+INDEX(Dim_Product!$L$2:$L$4,MATCH(F151,Dim_Product!$A$2:$A$4,0))),G151-H151,G151-H151-1)</f>
        <v>23</v>
      </c>
      <c r="U151" s="4">
        <f t="shared" si="21"/>
        <v>1</v>
      </c>
      <c r="V151" s="4">
        <f t="shared" si="22"/>
        <v>4.1666666666666664E-2</v>
      </c>
      <c r="W151" s="16">
        <f t="shared" si="23"/>
        <v>0.95833333333333337</v>
      </c>
    </row>
    <row r="152" spans="1:23" x14ac:dyDescent="0.25">
      <c r="A152" s="15" t="s">
        <v>653</v>
      </c>
      <c r="B152" s="4">
        <f>Fact_Production_Hourly!B152</f>
        <v>20260701</v>
      </c>
      <c r="C152" s="4">
        <f>Fact_Production_Hourly!C152</f>
        <v>21</v>
      </c>
      <c r="D152" s="4" t="str">
        <f>Fact_Production_Hourly!D152</f>
        <v>M4</v>
      </c>
      <c r="E152" s="4" t="str">
        <f>Fact_Production_Hourly!E152</f>
        <v>B-PM</v>
      </c>
      <c r="F152" s="4" t="str">
        <f>Fact_Production_Hourly!F152</f>
        <v>A</v>
      </c>
      <c r="G152" s="4">
        <f>INDEX(Dim_Machine!$D$2:$D$8,MATCH(D152,Dim_Machine!$A$2:$A$8,0))*2</f>
        <v>48</v>
      </c>
      <c r="H152" s="4">
        <f>ROUND(G152*0.0246,0)</f>
        <v>1</v>
      </c>
      <c r="I152" s="4">
        <f t="shared" si="16"/>
        <v>0</v>
      </c>
      <c r="J152" s="4">
        <f t="shared" si="17"/>
        <v>0</v>
      </c>
      <c r="K152" s="4">
        <f t="shared" si="18"/>
        <v>1</v>
      </c>
      <c r="L152" s="4" t="s">
        <v>509</v>
      </c>
      <c r="M152" s="4">
        <f>INDEX(Dim_Product!$C$2:$C$4,MATCH(F152,Dim_Product!$A$2:$A$4,0))+0.41</f>
        <v>250.41</v>
      </c>
      <c r="N152" s="4">
        <f>IF(AND(M152&gt;=INDEX(Dim_Product!$C$2:$C$4,MATCH(F152,Dim_Product!$A$2:$A$4,0))-INDEX(Dim_Product!$D$2:$D$4,MATCH(F152,Dim_Product!$A$2:$A$4,0)),M152&lt;=INDEX(Dim_Product!$C$2:$C$4,MATCH(F152,Dim_Product!$A$2:$A$4,0))+INDEX(Dim_Product!$D$2:$D$4,MATCH(F152,Dim_Product!$A$2:$A$4,0))),G152-H152,G152-H152-1)</f>
        <v>47</v>
      </c>
      <c r="O152" s="4">
        <f t="shared" si="19"/>
        <v>1</v>
      </c>
      <c r="P152" s="4">
        <f>INDEX(Dim_Product!$G$2:$G$4,MATCH(F152,Dim_Product!$A$2:$A$4,0))+-0.06</f>
        <v>69.94</v>
      </c>
      <c r="Q152" s="4">
        <f>IF(AND(P152&gt;=INDEX(Dim_Product!$G$2:$G$4,MATCH(F152,Dim_Product!$A$2:$A$4,0))-INDEX(Dim_Product!$H$2:$H$4,MATCH(F152,Dim_Product!$A$2:$A$4,0)),P152&lt;=INDEX(Dim_Product!$G$2:$G$4,MATCH(F152,Dim_Product!$A$2:$A$4,0))+INDEX(Dim_Product!$H$2:$H$4,MATCH(F152,Dim_Product!$A$2:$A$4,0))),G152-H152,G152-H152-1)</f>
        <v>47</v>
      </c>
      <c r="R152" s="4">
        <f t="shared" si="20"/>
        <v>1</v>
      </c>
      <c r="S152" s="4">
        <f>INDEX(Dim_Product!$K$2:$K$4,MATCH(F152,Dim_Product!$A$2:$A$4,0))+-0.21</f>
        <v>119.79</v>
      </c>
      <c r="T152" s="4">
        <f>IF(AND(S152&gt;=INDEX(Dim_Product!$K$2:$K$4,MATCH(F152,Dim_Product!$A$2:$A$4,0))-INDEX(Dim_Product!$L$2:$L$4,MATCH(F152,Dim_Product!$A$2:$A$4,0)),S152&lt;=INDEX(Dim_Product!$K$2:$K$4,MATCH(F152,Dim_Product!$A$2:$A$4,0))+INDEX(Dim_Product!$L$2:$L$4,MATCH(F152,Dim_Product!$A$2:$A$4,0))),G152-H152,G152-H152-1)</f>
        <v>47</v>
      </c>
      <c r="U152" s="4">
        <f t="shared" si="21"/>
        <v>1</v>
      </c>
      <c r="V152" s="4">
        <f t="shared" si="22"/>
        <v>2.0833333333333332E-2</v>
      </c>
      <c r="W152" s="16">
        <f t="shared" si="23"/>
        <v>0.97916666666666663</v>
      </c>
    </row>
    <row r="153" spans="1:23" x14ac:dyDescent="0.25">
      <c r="A153" s="15" t="s">
        <v>654</v>
      </c>
      <c r="B153" s="4">
        <f>Fact_Production_Hourly!B153</f>
        <v>20260701</v>
      </c>
      <c r="C153" s="4">
        <f>Fact_Production_Hourly!C153</f>
        <v>21</v>
      </c>
      <c r="D153" s="4" t="str">
        <f>Fact_Production_Hourly!D153</f>
        <v>M5</v>
      </c>
      <c r="E153" s="4" t="str">
        <f>Fact_Production_Hourly!E153</f>
        <v>B-PM</v>
      </c>
      <c r="F153" s="4" t="str">
        <f>Fact_Production_Hourly!F153</f>
        <v>A</v>
      </c>
      <c r="G153" s="4">
        <f>INDEX(Dim_Machine!$D$2:$D$8,MATCH(D153,Dim_Machine!$A$2:$A$8,0))*2</f>
        <v>32</v>
      </c>
      <c r="H153" s="4">
        <f>ROUND(G153*0.0293,0)</f>
        <v>1</v>
      </c>
      <c r="I153" s="4">
        <f t="shared" si="16"/>
        <v>0</v>
      </c>
      <c r="J153" s="4">
        <f t="shared" si="17"/>
        <v>0</v>
      </c>
      <c r="K153" s="4">
        <f t="shared" si="18"/>
        <v>1</v>
      </c>
      <c r="L153" s="4" t="s">
        <v>517</v>
      </c>
      <c r="M153" s="4">
        <f>INDEX(Dim_Product!$C$2:$C$4,MATCH(F153,Dim_Product!$A$2:$A$4,0))+-0.24</f>
        <v>249.76</v>
      </c>
      <c r="N153" s="4">
        <f>IF(AND(M153&gt;=INDEX(Dim_Product!$C$2:$C$4,MATCH(F153,Dim_Product!$A$2:$A$4,0))-INDEX(Dim_Product!$D$2:$D$4,MATCH(F153,Dim_Product!$A$2:$A$4,0)),M153&lt;=INDEX(Dim_Product!$C$2:$C$4,MATCH(F153,Dim_Product!$A$2:$A$4,0))+INDEX(Dim_Product!$D$2:$D$4,MATCH(F153,Dim_Product!$A$2:$A$4,0))),G153-H153,G153-H153-1)</f>
        <v>31</v>
      </c>
      <c r="O153" s="4">
        <f t="shared" si="19"/>
        <v>1</v>
      </c>
      <c r="P153" s="4">
        <f>INDEX(Dim_Product!$G$2:$G$4,MATCH(F153,Dim_Product!$A$2:$A$4,0))+0.02</f>
        <v>70.02</v>
      </c>
      <c r="Q153" s="4">
        <f>IF(AND(P153&gt;=INDEX(Dim_Product!$G$2:$G$4,MATCH(F153,Dim_Product!$A$2:$A$4,0))-INDEX(Dim_Product!$H$2:$H$4,MATCH(F153,Dim_Product!$A$2:$A$4,0)),P153&lt;=INDEX(Dim_Product!$G$2:$G$4,MATCH(F153,Dim_Product!$A$2:$A$4,0))+INDEX(Dim_Product!$H$2:$H$4,MATCH(F153,Dim_Product!$A$2:$A$4,0))),G153-H153,G153-H153-1)</f>
        <v>31</v>
      </c>
      <c r="R153" s="4">
        <f t="shared" si="20"/>
        <v>1</v>
      </c>
      <c r="S153" s="4">
        <f>INDEX(Dim_Product!$K$2:$K$4,MATCH(F153,Dim_Product!$A$2:$A$4,0))+-0.11</f>
        <v>119.89</v>
      </c>
      <c r="T153" s="4">
        <f>IF(AND(S153&gt;=INDEX(Dim_Product!$K$2:$K$4,MATCH(F153,Dim_Product!$A$2:$A$4,0))-INDEX(Dim_Product!$L$2:$L$4,MATCH(F153,Dim_Product!$A$2:$A$4,0)),S153&lt;=INDEX(Dim_Product!$K$2:$K$4,MATCH(F153,Dim_Product!$A$2:$A$4,0))+INDEX(Dim_Product!$L$2:$L$4,MATCH(F153,Dim_Product!$A$2:$A$4,0))),G153-H153,G153-H153-1)</f>
        <v>31</v>
      </c>
      <c r="U153" s="4">
        <f t="shared" si="21"/>
        <v>1</v>
      </c>
      <c r="V153" s="4">
        <f t="shared" si="22"/>
        <v>3.125E-2</v>
      </c>
      <c r="W153" s="16">
        <f t="shared" si="23"/>
        <v>0.96875</v>
      </c>
    </row>
    <row r="154" spans="1:23" x14ac:dyDescent="0.25">
      <c r="A154" s="15" t="s">
        <v>655</v>
      </c>
      <c r="B154" s="4">
        <f>Fact_Production_Hourly!B154</f>
        <v>20260701</v>
      </c>
      <c r="C154" s="4">
        <f>Fact_Production_Hourly!C154</f>
        <v>21</v>
      </c>
      <c r="D154" s="4" t="str">
        <f>Fact_Production_Hourly!D154</f>
        <v>M6</v>
      </c>
      <c r="E154" s="4" t="str">
        <f>Fact_Production_Hourly!E154</f>
        <v>B-PM</v>
      </c>
      <c r="F154" s="4" t="str">
        <f>Fact_Production_Hourly!F154</f>
        <v>C</v>
      </c>
      <c r="G154" s="4">
        <f>INDEX(Dim_Machine!$D$2:$D$8,MATCH(D154,Dim_Machine!$A$2:$A$8,0))*2</f>
        <v>24</v>
      </c>
      <c r="H154" s="4">
        <f>ROUND(G154*0.0257,0)</f>
        <v>1</v>
      </c>
      <c r="I154" s="4">
        <f t="shared" si="16"/>
        <v>0</v>
      </c>
      <c r="J154" s="4">
        <f t="shared" si="17"/>
        <v>0</v>
      </c>
      <c r="K154" s="4">
        <f t="shared" si="18"/>
        <v>1</v>
      </c>
      <c r="L154" s="4" t="s">
        <v>509</v>
      </c>
      <c r="M154" s="4">
        <f>INDEX(Dim_Product!$C$2:$C$4,MATCH(F154,Dim_Product!$A$2:$A$4,0))+0.77</f>
        <v>200.77</v>
      </c>
      <c r="N154" s="4">
        <f>IF(AND(M154&gt;=INDEX(Dim_Product!$C$2:$C$4,MATCH(F154,Dim_Product!$A$2:$A$4,0))-INDEX(Dim_Product!$D$2:$D$4,MATCH(F154,Dim_Product!$A$2:$A$4,0)),M154&lt;=INDEX(Dim_Product!$C$2:$C$4,MATCH(F154,Dim_Product!$A$2:$A$4,0))+INDEX(Dim_Product!$D$2:$D$4,MATCH(F154,Dim_Product!$A$2:$A$4,0))),G154-H154,G154-H154-1)</f>
        <v>23</v>
      </c>
      <c r="O154" s="4">
        <f t="shared" si="19"/>
        <v>1</v>
      </c>
      <c r="P154" s="4">
        <f>INDEX(Dim_Product!$G$2:$G$4,MATCH(F154,Dim_Product!$A$2:$A$4,0))+-0.02</f>
        <v>64.98</v>
      </c>
      <c r="Q154" s="4">
        <f>IF(AND(P154&gt;=INDEX(Dim_Product!$G$2:$G$4,MATCH(F154,Dim_Product!$A$2:$A$4,0))-INDEX(Dim_Product!$H$2:$H$4,MATCH(F154,Dim_Product!$A$2:$A$4,0)),P154&lt;=INDEX(Dim_Product!$G$2:$G$4,MATCH(F154,Dim_Product!$A$2:$A$4,0))+INDEX(Dim_Product!$H$2:$H$4,MATCH(F154,Dim_Product!$A$2:$A$4,0))),G154-H154,G154-H154-1)</f>
        <v>23</v>
      </c>
      <c r="R154" s="4">
        <f t="shared" si="20"/>
        <v>1</v>
      </c>
      <c r="S154" s="4">
        <f>INDEX(Dim_Product!$K$2:$K$4,MATCH(F154,Dim_Product!$A$2:$A$4,0))+0.24</f>
        <v>110.24</v>
      </c>
      <c r="T154" s="4">
        <f>IF(AND(S154&gt;=INDEX(Dim_Product!$K$2:$K$4,MATCH(F154,Dim_Product!$A$2:$A$4,0))-INDEX(Dim_Product!$L$2:$L$4,MATCH(F154,Dim_Product!$A$2:$A$4,0)),S154&lt;=INDEX(Dim_Product!$K$2:$K$4,MATCH(F154,Dim_Product!$A$2:$A$4,0))+INDEX(Dim_Product!$L$2:$L$4,MATCH(F154,Dim_Product!$A$2:$A$4,0))),G154-H154,G154-H154-1)</f>
        <v>23</v>
      </c>
      <c r="U154" s="4">
        <f t="shared" si="21"/>
        <v>1</v>
      </c>
      <c r="V154" s="4">
        <f t="shared" si="22"/>
        <v>4.1666666666666664E-2</v>
      </c>
      <c r="W154" s="16">
        <f t="shared" si="23"/>
        <v>0.95833333333333337</v>
      </c>
    </row>
    <row r="155" spans="1:23" x14ac:dyDescent="0.25">
      <c r="A155" s="15" t="s">
        <v>656</v>
      </c>
      <c r="B155" s="4">
        <f>Fact_Production_Hourly!B155</f>
        <v>20260701</v>
      </c>
      <c r="C155" s="4">
        <f>Fact_Production_Hourly!C155</f>
        <v>21</v>
      </c>
      <c r="D155" s="4" t="str">
        <f>Fact_Production_Hourly!D155</f>
        <v>M7</v>
      </c>
      <c r="E155" s="4" t="str">
        <f>Fact_Production_Hourly!E155</f>
        <v>B-PM</v>
      </c>
      <c r="F155" s="4" t="str">
        <f>Fact_Production_Hourly!F155</f>
        <v>A</v>
      </c>
      <c r="G155" s="4">
        <f>INDEX(Dim_Machine!$D$2:$D$8,MATCH(D155,Dim_Machine!$A$2:$A$8,0))*2</f>
        <v>48</v>
      </c>
      <c r="H155" s="4">
        <f>ROUND(G155*0.0533,0)</f>
        <v>3</v>
      </c>
      <c r="I155" s="4">
        <f t="shared" si="16"/>
        <v>0</v>
      </c>
      <c r="J155" s="4">
        <f t="shared" si="17"/>
        <v>1</v>
      </c>
      <c r="K155" s="4">
        <f t="shared" si="18"/>
        <v>2</v>
      </c>
      <c r="L155" s="4" t="s">
        <v>517</v>
      </c>
      <c r="M155" s="4">
        <f>INDEX(Dim_Product!$C$2:$C$4,MATCH(F155,Dim_Product!$A$2:$A$4,0))+0.83</f>
        <v>250.83</v>
      </c>
      <c r="N155" s="4">
        <f>IF(AND(M155&gt;=INDEX(Dim_Product!$C$2:$C$4,MATCH(F155,Dim_Product!$A$2:$A$4,0))-INDEX(Dim_Product!$D$2:$D$4,MATCH(F155,Dim_Product!$A$2:$A$4,0)),M155&lt;=INDEX(Dim_Product!$C$2:$C$4,MATCH(F155,Dim_Product!$A$2:$A$4,0))+INDEX(Dim_Product!$D$2:$D$4,MATCH(F155,Dim_Product!$A$2:$A$4,0))),G155-H155,G155-H155-1)</f>
        <v>45</v>
      </c>
      <c r="O155" s="4">
        <f t="shared" si="19"/>
        <v>3</v>
      </c>
      <c r="P155" s="4">
        <f>INDEX(Dim_Product!$G$2:$G$4,MATCH(F155,Dim_Product!$A$2:$A$4,0))+-0.08</f>
        <v>69.92</v>
      </c>
      <c r="Q155" s="4">
        <f>IF(AND(P155&gt;=INDEX(Dim_Product!$G$2:$G$4,MATCH(F155,Dim_Product!$A$2:$A$4,0))-INDEX(Dim_Product!$H$2:$H$4,MATCH(F155,Dim_Product!$A$2:$A$4,0)),P155&lt;=INDEX(Dim_Product!$G$2:$G$4,MATCH(F155,Dim_Product!$A$2:$A$4,0))+INDEX(Dim_Product!$H$2:$H$4,MATCH(F155,Dim_Product!$A$2:$A$4,0))),G155-H155,G155-H155-1)</f>
        <v>45</v>
      </c>
      <c r="R155" s="4">
        <f t="shared" si="20"/>
        <v>3</v>
      </c>
      <c r="S155" s="4">
        <f>INDEX(Dim_Product!$K$2:$K$4,MATCH(F155,Dim_Product!$A$2:$A$4,0))+-0.07</f>
        <v>119.93</v>
      </c>
      <c r="T155" s="4">
        <f>IF(AND(S155&gt;=INDEX(Dim_Product!$K$2:$K$4,MATCH(F155,Dim_Product!$A$2:$A$4,0))-INDEX(Dim_Product!$L$2:$L$4,MATCH(F155,Dim_Product!$A$2:$A$4,0)),S155&lt;=INDEX(Dim_Product!$K$2:$K$4,MATCH(F155,Dim_Product!$A$2:$A$4,0))+INDEX(Dim_Product!$L$2:$L$4,MATCH(F155,Dim_Product!$A$2:$A$4,0))),G155-H155,G155-H155-1)</f>
        <v>45</v>
      </c>
      <c r="U155" s="4">
        <f t="shared" si="21"/>
        <v>3</v>
      </c>
      <c r="V155" s="4">
        <f t="shared" si="22"/>
        <v>6.25E-2</v>
      </c>
      <c r="W155" s="16">
        <f t="shared" si="23"/>
        <v>0.9375</v>
      </c>
    </row>
    <row r="156" spans="1:23" x14ac:dyDescent="0.25">
      <c r="A156" s="15" t="s">
        <v>657</v>
      </c>
      <c r="B156" s="4">
        <f>Fact_Production_Hourly!B156</f>
        <v>20260701</v>
      </c>
      <c r="C156" s="4">
        <f>Fact_Production_Hourly!C156</f>
        <v>22</v>
      </c>
      <c r="D156" s="4" t="str">
        <f>Fact_Production_Hourly!D156</f>
        <v>M1</v>
      </c>
      <c r="E156" s="4" t="str">
        <f>Fact_Production_Hourly!E156</f>
        <v>B-PM</v>
      </c>
      <c r="F156" s="4" t="str">
        <f>Fact_Production_Hourly!F156</f>
        <v>A</v>
      </c>
      <c r="G156" s="4">
        <f>INDEX(Dim_Machine!$D$2:$D$8,MATCH(D156,Dim_Machine!$A$2:$A$8,0))*2</f>
        <v>32</v>
      </c>
      <c r="H156" s="4">
        <f>ROUND(G156*0.0438,0)</f>
        <v>1</v>
      </c>
      <c r="I156" s="4">
        <f t="shared" si="16"/>
        <v>0</v>
      </c>
      <c r="J156" s="4">
        <f t="shared" si="17"/>
        <v>0</v>
      </c>
      <c r="K156" s="4">
        <f t="shared" si="18"/>
        <v>1</v>
      </c>
      <c r="L156" s="4" t="s">
        <v>500</v>
      </c>
      <c r="M156" s="4">
        <f>INDEX(Dim_Product!$C$2:$C$4,MATCH(F156,Dim_Product!$A$2:$A$4,0))+0.48</f>
        <v>250.48</v>
      </c>
      <c r="N156" s="4">
        <f>IF(AND(M156&gt;=INDEX(Dim_Product!$C$2:$C$4,MATCH(F156,Dim_Product!$A$2:$A$4,0))-INDEX(Dim_Product!$D$2:$D$4,MATCH(F156,Dim_Product!$A$2:$A$4,0)),M156&lt;=INDEX(Dim_Product!$C$2:$C$4,MATCH(F156,Dim_Product!$A$2:$A$4,0))+INDEX(Dim_Product!$D$2:$D$4,MATCH(F156,Dim_Product!$A$2:$A$4,0))),G156-H156,G156-H156-1)</f>
        <v>31</v>
      </c>
      <c r="O156" s="4">
        <f t="shared" si="19"/>
        <v>1</v>
      </c>
      <c r="P156" s="4">
        <f>INDEX(Dim_Product!$G$2:$G$4,MATCH(F156,Dim_Product!$A$2:$A$4,0))+-0.29</f>
        <v>69.709999999999994</v>
      </c>
      <c r="Q156" s="4">
        <f>IF(AND(P156&gt;=INDEX(Dim_Product!$G$2:$G$4,MATCH(F156,Dim_Product!$A$2:$A$4,0))-INDEX(Dim_Product!$H$2:$H$4,MATCH(F156,Dim_Product!$A$2:$A$4,0)),P156&lt;=INDEX(Dim_Product!$G$2:$G$4,MATCH(F156,Dim_Product!$A$2:$A$4,0))+INDEX(Dim_Product!$H$2:$H$4,MATCH(F156,Dim_Product!$A$2:$A$4,0))),G156-H156,G156-H156-1)</f>
        <v>31</v>
      </c>
      <c r="R156" s="4">
        <f t="shared" si="20"/>
        <v>1</v>
      </c>
      <c r="S156" s="4">
        <f>INDEX(Dim_Product!$K$2:$K$4,MATCH(F156,Dim_Product!$A$2:$A$4,0))+0.04</f>
        <v>120.04</v>
      </c>
      <c r="T156" s="4">
        <f>IF(AND(S156&gt;=INDEX(Dim_Product!$K$2:$K$4,MATCH(F156,Dim_Product!$A$2:$A$4,0))-INDEX(Dim_Product!$L$2:$L$4,MATCH(F156,Dim_Product!$A$2:$A$4,0)),S156&lt;=INDEX(Dim_Product!$K$2:$K$4,MATCH(F156,Dim_Product!$A$2:$A$4,0))+INDEX(Dim_Product!$L$2:$L$4,MATCH(F156,Dim_Product!$A$2:$A$4,0))),G156-H156,G156-H156-1)</f>
        <v>31</v>
      </c>
      <c r="U156" s="4">
        <f t="shared" si="21"/>
        <v>1</v>
      </c>
      <c r="V156" s="4">
        <f t="shared" si="22"/>
        <v>3.125E-2</v>
      </c>
      <c r="W156" s="16">
        <f t="shared" si="23"/>
        <v>0.96875</v>
      </c>
    </row>
    <row r="157" spans="1:23" x14ac:dyDescent="0.25">
      <c r="A157" s="15" t="s">
        <v>658</v>
      </c>
      <c r="B157" s="4">
        <f>Fact_Production_Hourly!B157</f>
        <v>20260701</v>
      </c>
      <c r="C157" s="4">
        <f>Fact_Production_Hourly!C157</f>
        <v>22</v>
      </c>
      <c r="D157" s="4" t="str">
        <f>Fact_Production_Hourly!D157</f>
        <v>M2</v>
      </c>
      <c r="E157" s="4" t="str">
        <f>Fact_Production_Hourly!E157</f>
        <v>B-PM</v>
      </c>
      <c r="F157" s="4" t="str">
        <f>Fact_Production_Hourly!F157</f>
        <v>C</v>
      </c>
      <c r="G157" s="4">
        <f>INDEX(Dim_Machine!$D$2:$D$8,MATCH(D157,Dim_Machine!$A$2:$A$8,0))*2</f>
        <v>48</v>
      </c>
      <c r="H157" s="4">
        <f>ROUND(G157*0.045,0)</f>
        <v>2</v>
      </c>
      <c r="I157" s="4">
        <f t="shared" si="16"/>
        <v>0</v>
      </c>
      <c r="J157" s="4">
        <f t="shared" si="17"/>
        <v>1</v>
      </c>
      <c r="K157" s="4">
        <f t="shared" si="18"/>
        <v>1</v>
      </c>
      <c r="L157" s="4" t="s">
        <v>520</v>
      </c>
      <c r="M157" s="4">
        <f>INDEX(Dim_Product!$C$2:$C$4,MATCH(F157,Dim_Product!$A$2:$A$4,0))+-0.16</f>
        <v>199.84</v>
      </c>
      <c r="N157" s="4">
        <f>IF(AND(M157&gt;=INDEX(Dim_Product!$C$2:$C$4,MATCH(F157,Dim_Product!$A$2:$A$4,0))-INDEX(Dim_Product!$D$2:$D$4,MATCH(F157,Dim_Product!$A$2:$A$4,0)),M157&lt;=INDEX(Dim_Product!$C$2:$C$4,MATCH(F157,Dim_Product!$A$2:$A$4,0))+INDEX(Dim_Product!$D$2:$D$4,MATCH(F157,Dim_Product!$A$2:$A$4,0))),G157-H157,G157-H157-1)</f>
        <v>46</v>
      </c>
      <c r="O157" s="4">
        <f t="shared" si="19"/>
        <v>2</v>
      </c>
      <c r="P157" s="4">
        <f>INDEX(Dim_Product!$G$2:$G$4,MATCH(F157,Dim_Product!$A$2:$A$4,0))+-0.21</f>
        <v>64.790000000000006</v>
      </c>
      <c r="Q157" s="4">
        <f>IF(AND(P157&gt;=INDEX(Dim_Product!$G$2:$G$4,MATCH(F157,Dim_Product!$A$2:$A$4,0))-INDEX(Dim_Product!$H$2:$H$4,MATCH(F157,Dim_Product!$A$2:$A$4,0)),P157&lt;=INDEX(Dim_Product!$G$2:$G$4,MATCH(F157,Dim_Product!$A$2:$A$4,0))+INDEX(Dim_Product!$H$2:$H$4,MATCH(F157,Dim_Product!$A$2:$A$4,0))),G157-H157,G157-H157-1)</f>
        <v>46</v>
      </c>
      <c r="R157" s="4">
        <f t="shared" si="20"/>
        <v>2</v>
      </c>
      <c r="S157" s="4">
        <f>INDEX(Dim_Product!$K$2:$K$4,MATCH(F157,Dim_Product!$A$2:$A$4,0))+-0.14</f>
        <v>109.86</v>
      </c>
      <c r="T157" s="4">
        <f>IF(AND(S157&gt;=INDEX(Dim_Product!$K$2:$K$4,MATCH(F157,Dim_Product!$A$2:$A$4,0))-INDEX(Dim_Product!$L$2:$L$4,MATCH(F157,Dim_Product!$A$2:$A$4,0)),S157&lt;=INDEX(Dim_Product!$K$2:$K$4,MATCH(F157,Dim_Product!$A$2:$A$4,0))+INDEX(Dim_Product!$L$2:$L$4,MATCH(F157,Dim_Product!$A$2:$A$4,0))),G157-H157,G157-H157-1)</f>
        <v>46</v>
      </c>
      <c r="U157" s="4">
        <f t="shared" si="21"/>
        <v>2</v>
      </c>
      <c r="V157" s="4">
        <f t="shared" si="22"/>
        <v>4.1666666666666664E-2</v>
      </c>
      <c r="W157" s="16">
        <f t="shared" si="23"/>
        <v>0.95833333333333337</v>
      </c>
    </row>
    <row r="158" spans="1:23" x14ac:dyDescent="0.25">
      <c r="A158" s="15" t="s">
        <v>659</v>
      </c>
      <c r="B158" s="4">
        <f>Fact_Production_Hourly!B158</f>
        <v>20260701</v>
      </c>
      <c r="C158" s="4">
        <f>Fact_Production_Hourly!C158</f>
        <v>22</v>
      </c>
      <c r="D158" s="4" t="str">
        <f>Fact_Production_Hourly!D158</f>
        <v>M3</v>
      </c>
      <c r="E158" s="4" t="str">
        <f>Fact_Production_Hourly!E158</f>
        <v>B-PM</v>
      </c>
      <c r="F158" s="4" t="str">
        <f>Fact_Production_Hourly!F158</f>
        <v>A</v>
      </c>
      <c r="G158" s="4">
        <f>INDEX(Dim_Machine!$D$2:$D$8,MATCH(D158,Dim_Machine!$A$2:$A$8,0))*2</f>
        <v>24</v>
      </c>
      <c r="H158" s="4">
        <f>ROUND(G158*0.0328,0)</f>
        <v>1</v>
      </c>
      <c r="I158" s="4">
        <f t="shared" si="16"/>
        <v>0</v>
      </c>
      <c r="J158" s="4">
        <f t="shared" si="17"/>
        <v>0</v>
      </c>
      <c r="K158" s="4">
        <f t="shared" si="18"/>
        <v>1</v>
      </c>
      <c r="L158" s="4" t="s">
        <v>500</v>
      </c>
      <c r="M158" s="4">
        <f>INDEX(Dim_Product!$C$2:$C$4,MATCH(F158,Dim_Product!$A$2:$A$4,0))+0</f>
        <v>250</v>
      </c>
      <c r="N158" s="4">
        <f>IF(AND(M158&gt;=INDEX(Dim_Product!$C$2:$C$4,MATCH(F158,Dim_Product!$A$2:$A$4,0))-INDEX(Dim_Product!$D$2:$D$4,MATCH(F158,Dim_Product!$A$2:$A$4,0)),M158&lt;=INDEX(Dim_Product!$C$2:$C$4,MATCH(F158,Dim_Product!$A$2:$A$4,0))+INDEX(Dim_Product!$D$2:$D$4,MATCH(F158,Dim_Product!$A$2:$A$4,0))),G158-H158,G158-H158-1)</f>
        <v>23</v>
      </c>
      <c r="O158" s="4">
        <f t="shared" si="19"/>
        <v>1</v>
      </c>
      <c r="P158" s="4">
        <f>INDEX(Dim_Product!$G$2:$G$4,MATCH(F158,Dim_Product!$A$2:$A$4,0))+0.09</f>
        <v>70.09</v>
      </c>
      <c r="Q158" s="4">
        <f>IF(AND(P158&gt;=INDEX(Dim_Product!$G$2:$G$4,MATCH(F158,Dim_Product!$A$2:$A$4,0))-INDEX(Dim_Product!$H$2:$H$4,MATCH(F158,Dim_Product!$A$2:$A$4,0)),P158&lt;=INDEX(Dim_Product!$G$2:$G$4,MATCH(F158,Dim_Product!$A$2:$A$4,0))+INDEX(Dim_Product!$H$2:$H$4,MATCH(F158,Dim_Product!$A$2:$A$4,0))),G158-H158,G158-H158-1)</f>
        <v>23</v>
      </c>
      <c r="R158" s="4">
        <f t="shared" si="20"/>
        <v>1</v>
      </c>
      <c r="S158" s="4">
        <f>INDEX(Dim_Product!$K$2:$K$4,MATCH(F158,Dim_Product!$A$2:$A$4,0))+0.15</f>
        <v>120.15</v>
      </c>
      <c r="T158" s="4">
        <f>IF(AND(S158&gt;=INDEX(Dim_Product!$K$2:$K$4,MATCH(F158,Dim_Product!$A$2:$A$4,0))-INDEX(Dim_Product!$L$2:$L$4,MATCH(F158,Dim_Product!$A$2:$A$4,0)),S158&lt;=INDEX(Dim_Product!$K$2:$K$4,MATCH(F158,Dim_Product!$A$2:$A$4,0))+INDEX(Dim_Product!$L$2:$L$4,MATCH(F158,Dim_Product!$A$2:$A$4,0))),G158-H158,G158-H158-1)</f>
        <v>23</v>
      </c>
      <c r="U158" s="4">
        <f t="shared" si="21"/>
        <v>1</v>
      </c>
      <c r="V158" s="4">
        <f t="shared" si="22"/>
        <v>4.1666666666666664E-2</v>
      </c>
      <c r="W158" s="16">
        <f t="shared" si="23"/>
        <v>0.95833333333333337</v>
      </c>
    </row>
    <row r="159" spans="1:23" x14ac:dyDescent="0.25">
      <c r="A159" s="15" t="s">
        <v>660</v>
      </c>
      <c r="B159" s="4">
        <f>Fact_Production_Hourly!B159</f>
        <v>20260701</v>
      </c>
      <c r="C159" s="4">
        <f>Fact_Production_Hourly!C159</f>
        <v>22</v>
      </c>
      <c r="D159" s="4" t="str">
        <f>Fact_Production_Hourly!D159</f>
        <v>M4</v>
      </c>
      <c r="E159" s="4" t="str">
        <f>Fact_Production_Hourly!E159</f>
        <v>B-PM</v>
      </c>
      <c r="F159" s="4" t="str">
        <f>Fact_Production_Hourly!F159</f>
        <v>A</v>
      </c>
      <c r="G159" s="4">
        <f>INDEX(Dim_Machine!$D$2:$D$8,MATCH(D159,Dim_Machine!$A$2:$A$8,0))*2</f>
        <v>48</v>
      </c>
      <c r="H159" s="4">
        <f>ROUND(G159*0.0254,0)</f>
        <v>1</v>
      </c>
      <c r="I159" s="4">
        <f t="shared" si="16"/>
        <v>0</v>
      </c>
      <c r="J159" s="4">
        <f t="shared" si="17"/>
        <v>0</v>
      </c>
      <c r="K159" s="4">
        <f t="shared" si="18"/>
        <v>1</v>
      </c>
      <c r="L159" s="4" t="s">
        <v>503</v>
      </c>
      <c r="M159" s="4">
        <f>INDEX(Dim_Product!$C$2:$C$4,MATCH(F159,Dim_Product!$A$2:$A$4,0))+0.93</f>
        <v>250.93</v>
      </c>
      <c r="N159" s="4">
        <f>IF(AND(M159&gt;=INDEX(Dim_Product!$C$2:$C$4,MATCH(F159,Dim_Product!$A$2:$A$4,0))-INDEX(Dim_Product!$D$2:$D$4,MATCH(F159,Dim_Product!$A$2:$A$4,0)),M159&lt;=INDEX(Dim_Product!$C$2:$C$4,MATCH(F159,Dim_Product!$A$2:$A$4,0))+INDEX(Dim_Product!$D$2:$D$4,MATCH(F159,Dim_Product!$A$2:$A$4,0))),G159-H159,G159-H159-1)</f>
        <v>47</v>
      </c>
      <c r="O159" s="4">
        <f t="shared" si="19"/>
        <v>1</v>
      </c>
      <c r="P159" s="4">
        <f>INDEX(Dim_Product!$G$2:$G$4,MATCH(F159,Dim_Product!$A$2:$A$4,0))+0.09</f>
        <v>70.09</v>
      </c>
      <c r="Q159" s="4">
        <f>IF(AND(P159&gt;=INDEX(Dim_Product!$G$2:$G$4,MATCH(F159,Dim_Product!$A$2:$A$4,0))-INDEX(Dim_Product!$H$2:$H$4,MATCH(F159,Dim_Product!$A$2:$A$4,0)),P159&lt;=INDEX(Dim_Product!$G$2:$G$4,MATCH(F159,Dim_Product!$A$2:$A$4,0))+INDEX(Dim_Product!$H$2:$H$4,MATCH(F159,Dim_Product!$A$2:$A$4,0))),G159-H159,G159-H159-1)</f>
        <v>47</v>
      </c>
      <c r="R159" s="4">
        <f t="shared" si="20"/>
        <v>1</v>
      </c>
      <c r="S159" s="4">
        <f>INDEX(Dim_Product!$K$2:$K$4,MATCH(F159,Dim_Product!$A$2:$A$4,0))+-0.01</f>
        <v>119.99</v>
      </c>
      <c r="T159" s="4">
        <f>IF(AND(S159&gt;=INDEX(Dim_Product!$K$2:$K$4,MATCH(F159,Dim_Product!$A$2:$A$4,0))-INDEX(Dim_Product!$L$2:$L$4,MATCH(F159,Dim_Product!$A$2:$A$4,0)),S159&lt;=INDEX(Dim_Product!$K$2:$K$4,MATCH(F159,Dim_Product!$A$2:$A$4,0))+INDEX(Dim_Product!$L$2:$L$4,MATCH(F159,Dim_Product!$A$2:$A$4,0))),G159-H159,G159-H159-1)</f>
        <v>47</v>
      </c>
      <c r="U159" s="4">
        <f t="shared" si="21"/>
        <v>1</v>
      </c>
      <c r="V159" s="4">
        <f t="shared" si="22"/>
        <v>2.0833333333333332E-2</v>
      </c>
      <c r="W159" s="16">
        <f t="shared" si="23"/>
        <v>0.97916666666666663</v>
      </c>
    </row>
    <row r="160" spans="1:23" x14ac:dyDescent="0.25">
      <c r="A160" s="15" t="s">
        <v>661</v>
      </c>
      <c r="B160" s="4">
        <f>Fact_Production_Hourly!B160</f>
        <v>20260701</v>
      </c>
      <c r="C160" s="4">
        <f>Fact_Production_Hourly!C160</f>
        <v>22</v>
      </c>
      <c r="D160" s="4" t="str">
        <f>Fact_Production_Hourly!D160</f>
        <v>M5</v>
      </c>
      <c r="E160" s="4" t="str">
        <f>Fact_Production_Hourly!E160</f>
        <v>B-PM</v>
      </c>
      <c r="F160" s="4" t="str">
        <f>Fact_Production_Hourly!F160</f>
        <v>A</v>
      </c>
      <c r="G160" s="4">
        <f>INDEX(Dim_Machine!$D$2:$D$8,MATCH(D160,Dim_Machine!$A$2:$A$8,0))*2</f>
        <v>32</v>
      </c>
      <c r="H160" s="4">
        <f>ROUND(G160*0.0201,0)</f>
        <v>1</v>
      </c>
      <c r="I160" s="4">
        <f t="shared" si="16"/>
        <v>0</v>
      </c>
      <c r="J160" s="4">
        <f t="shared" si="17"/>
        <v>0</v>
      </c>
      <c r="K160" s="4">
        <f t="shared" si="18"/>
        <v>1</v>
      </c>
      <c r="L160" s="4" t="s">
        <v>517</v>
      </c>
      <c r="M160" s="4">
        <f>INDEX(Dim_Product!$C$2:$C$4,MATCH(F160,Dim_Product!$A$2:$A$4,0))+-0.66</f>
        <v>249.34</v>
      </c>
      <c r="N160" s="4">
        <f>IF(AND(M160&gt;=INDEX(Dim_Product!$C$2:$C$4,MATCH(F160,Dim_Product!$A$2:$A$4,0))-INDEX(Dim_Product!$D$2:$D$4,MATCH(F160,Dim_Product!$A$2:$A$4,0)),M160&lt;=INDEX(Dim_Product!$C$2:$C$4,MATCH(F160,Dim_Product!$A$2:$A$4,0))+INDEX(Dim_Product!$D$2:$D$4,MATCH(F160,Dim_Product!$A$2:$A$4,0))),G160-H160,G160-H160-1)</f>
        <v>31</v>
      </c>
      <c r="O160" s="4">
        <f t="shared" si="19"/>
        <v>1</v>
      </c>
      <c r="P160" s="4">
        <f>INDEX(Dim_Product!$G$2:$G$4,MATCH(F160,Dim_Product!$A$2:$A$4,0))+0.13</f>
        <v>70.13</v>
      </c>
      <c r="Q160" s="4">
        <f>IF(AND(P160&gt;=INDEX(Dim_Product!$G$2:$G$4,MATCH(F160,Dim_Product!$A$2:$A$4,0))-INDEX(Dim_Product!$H$2:$H$4,MATCH(F160,Dim_Product!$A$2:$A$4,0)),P160&lt;=INDEX(Dim_Product!$G$2:$G$4,MATCH(F160,Dim_Product!$A$2:$A$4,0))+INDEX(Dim_Product!$H$2:$H$4,MATCH(F160,Dim_Product!$A$2:$A$4,0))),G160-H160,G160-H160-1)</f>
        <v>31</v>
      </c>
      <c r="R160" s="4">
        <f t="shared" si="20"/>
        <v>1</v>
      </c>
      <c r="S160" s="4">
        <f>INDEX(Dim_Product!$K$2:$K$4,MATCH(F160,Dim_Product!$A$2:$A$4,0))+-0.01</f>
        <v>119.99</v>
      </c>
      <c r="T160" s="4">
        <f>IF(AND(S160&gt;=INDEX(Dim_Product!$K$2:$K$4,MATCH(F160,Dim_Product!$A$2:$A$4,0))-INDEX(Dim_Product!$L$2:$L$4,MATCH(F160,Dim_Product!$A$2:$A$4,0)),S160&lt;=INDEX(Dim_Product!$K$2:$K$4,MATCH(F160,Dim_Product!$A$2:$A$4,0))+INDEX(Dim_Product!$L$2:$L$4,MATCH(F160,Dim_Product!$A$2:$A$4,0))),G160-H160,G160-H160-1)</f>
        <v>31</v>
      </c>
      <c r="U160" s="4">
        <f t="shared" si="21"/>
        <v>1</v>
      </c>
      <c r="V160" s="4">
        <f t="shared" si="22"/>
        <v>3.125E-2</v>
      </c>
      <c r="W160" s="16">
        <f t="shared" si="23"/>
        <v>0.96875</v>
      </c>
    </row>
    <row r="161" spans="1:23" x14ac:dyDescent="0.25">
      <c r="A161" s="15" t="s">
        <v>662</v>
      </c>
      <c r="B161" s="4">
        <f>Fact_Production_Hourly!B161</f>
        <v>20260701</v>
      </c>
      <c r="C161" s="4">
        <f>Fact_Production_Hourly!C161</f>
        <v>22</v>
      </c>
      <c r="D161" s="4" t="str">
        <f>Fact_Production_Hourly!D161</f>
        <v>M6</v>
      </c>
      <c r="E161" s="4" t="str">
        <f>Fact_Production_Hourly!E161</f>
        <v>B-PM</v>
      </c>
      <c r="F161" s="4" t="str">
        <f>Fact_Production_Hourly!F161</f>
        <v>C</v>
      </c>
      <c r="G161" s="4">
        <f>INDEX(Dim_Machine!$D$2:$D$8,MATCH(D161,Dim_Machine!$A$2:$A$8,0))*2</f>
        <v>24</v>
      </c>
      <c r="H161" s="4">
        <f>ROUND(G161*0.065,0)</f>
        <v>2</v>
      </c>
      <c r="I161" s="4">
        <f t="shared" si="16"/>
        <v>0</v>
      </c>
      <c r="J161" s="4">
        <f t="shared" si="17"/>
        <v>1</v>
      </c>
      <c r="K161" s="4">
        <f t="shared" si="18"/>
        <v>1</v>
      </c>
      <c r="L161" s="4" t="s">
        <v>509</v>
      </c>
      <c r="M161" s="4">
        <f>INDEX(Dim_Product!$C$2:$C$4,MATCH(F161,Dim_Product!$A$2:$A$4,0))+0.98</f>
        <v>200.98</v>
      </c>
      <c r="N161" s="4">
        <f>IF(AND(M161&gt;=INDEX(Dim_Product!$C$2:$C$4,MATCH(F161,Dim_Product!$A$2:$A$4,0))-INDEX(Dim_Product!$D$2:$D$4,MATCH(F161,Dim_Product!$A$2:$A$4,0)),M161&lt;=INDEX(Dim_Product!$C$2:$C$4,MATCH(F161,Dim_Product!$A$2:$A$4,0))+INDEX(Dim_Product!$D$2:$D$4,MATCH(F161,Dim_Product!$A$2:$A$4,0))),G161-H161,G161-H161-1)</f>
        <v>22</v>
      </c>
      <c r="O161" s="4">
        <f t="shared" si="19"/>
        <v>2</v>
      </c>
      <c r="P161" s="4">
        <f>INDEX(Dim_Product!$G$2:$G$4,MATCH(F161,Dim_Product!$A$2:$A$4,0))+0.27</f>
        <v>65.27</v>
      </c>
      <c r="Q161" s="4">
        <f>IF(AND(P161&gt;=INDEX(Dim_Product!$G$2:$G$4,MATCH(F161,Dim_Product!$A$2:$A$4,0))-INDEX(Dim_Product!$H$2:$H$4,MATCH(F161,Dim_Product!$A$2:$A$4,0)),P161&lt;=INDEX(Dim_Product!$G$2:$G$4,MATCH(F161,Dim_Product!$A$2:$A$4,0))+INDEX(Dim_Product!$H$2:$H$4,MATCH(F161,Dim_Product!$A$2:$A$4,0))),G161-H161,G161-H161-1)</f>
        <v>22</v>
      </c>
      <c r="R161" s="4">
        <f t="shared" si="20"/>
        <v>2</v>
      </c>
      <c r="S161" s="4">
        <f>INDEX(Dim_Product!$K$2:$K$4,MATCH(F161,Dim_Product!$A$2:$A$4,0))+0.02</f>
        <v>110.02</v>
      </c>
      <c r="T161" s="4">
        <f>IF(AND(S161&gt;=INDEX(Dim_Product!$K$2:$K$4,MATCH(F161,Dim_Product!$A$2:$A$4,0))-INDEX(Dim_Product!$L$2:$L$4,MATCH(F161,Dim_Product!$A$2:$A$4,0)),S161&lt;=INDEX(Dim_Product!$K$2:$K$4,MATCH(F161,Dim_Product!$A$2:$A$4,0))+INDEX(Dim_Product!$L$2:$L$4,MATCH(F161,Dim_Product!$A$2:$A$4,0))),G161-H161,G161-H161-1)</f>
        <v>22</v>
      </c>
      <c r="U161" s="4">
        <f t="shared" si="21"/>
        <v>2</v>
      </c>
      <c r="V161" s="4">
        <f t="shared" si="22"/>
        <v>8.3333333333333329E-2</v>
      </c>
      <c r="W161" s="16">
        <f t="shared" si="23"/>
        <v>0.91666666666666663</v>
      </c>
    </row>
    <row r="162" spans="1:23" x14ac:dyDescent="0.25">
      <c r="A162" s="15" t="s">
        <v>663</v>
      </c>
      <c r="B162" s="4">
        <f>Fact_Production_Hourly!B162</f>
        <v>20260701</v>
      </c>
      <c r="C162" s="4">
        <f>Fact_Production_Hourly!C162</f>
        <v>22</v>
      </c>
      <c r="D162" s="4" t="str">
        <f>Fact_Production_Hourly!D162</f>
        <v>M7</v>
      </c>
      <c r="E162" s="4" t="str">
        <f>Fact_Production_Hourly!E162</f>
        <v>B-PM</v>
      </c>
      <c r="F162" s="4" t="str">
        <f>Fact_Production_Hourly!F162</f>
        <v>A</v>
      </c>
      <c r="G162" s="4">
        <f>INDEX(Dim_Machine!$D$2:$D$8,MATCH(D162,Dim_Machine!$A$2:$A$8,0))*2</f>
        <v>48</v>
      </c>
      <c r="H162" s="4">
        <f>ROUND(G162*0.0603,0)</f>
        <v>3</v>
      </c>
      <c r="I162" s="4">
        <f t="shared" si="16"/>
        <v>0</v>
      </c>
      <c r="J162" s="4">
        <f t="shared" si="17"/>
        <v>1</v>
      </c>
      <c r="K162" s="4">
        <f t="shared" si="18"/>
        <v>2</v>
      </c>
      <c r="L162" s="4" t="s">
        <v>498</v>
      </c>
      <c r="M162" s="4">
        <f>INDEX(Dim_Product!$C$2:$C$4,MATCH(F162,Dim_Product!$A$2:$A$4,0))+0.89</f>
        <v>250.89</v>
      </c>
      <c r="N162" s="4">
        <f>IF(AND(M162&gt;=INDEX(Dim_Product!$C$2:$C$4,MATCH(F162,Dim_Product!$A$2:$A$4,0))-INDEX(Dim_Product!$D$2:$D$4,MATCH(F162,Dim_Product!$A$2:$A$4,0)),M162&lt;=INDEX(Dim_Product!$C$2:$C$4,MATCH(F162,Dim_Product!$A$2:$A$4,0))+INDEX(Dim_Product!$D$2:$D$4,MATCH(F162,Dim_Product!$A$2:$A$4,0))),G162-H162,G162-H162-1)</f>
        <v>45</v>
      </c>
      <c r="O162" s="4">
        <f t="shared" si="19"/>
        <v>3</v>
      </c>
      <c r="P162" s="4">
        <f>INDEX(Dim_Product!$G$2:$G$4,MATCH(F162,Dim_Product!$A$2:$A$4,0))+0.1</f>
        <v>70.099999999999994</v>
      </c>
      <c r="Q162" s="4">
        <f>IF(AND(P162&gt;=INDEX(Dim_Product!$G$2:$G$4,MATCH(F162,Dim_Product!$A$2:$A$4,0))-INDEX(Dim_Product!$H$2:$H$4,MATCH(F162,Dim_Product!$A$2:$A$4,0)),P162&lt;=INDEX(Dim_Product!$G$2:$G$4,MATCH(F162,Dim_Product!$A$2:$A$4,0))+INDEX(Dim_Product!$H$2:$H$4,MATCH(F162,Dim_Product!$A$2:$A$4,0))),G162-H162,G162-H162-1)</f>
        <v>45</v>
      </c>
      <c r="R162" s="4">
        <f t="shared" si="20"/>
        <v>3</v>
      </c>
      <c r="S162" s="4">
        <f>INDEX(Dim_Product!$K$2:$K$4,MATCH(F162,Dim_Product!$A$2:$A$4,0))+0.21</f>
        <v>120.21</v>
      </c>
      <c r="T162" s="4">
        <f>IF(AND(S162&gt;=INDEX(Dim_Product!$K$2:$K$4,MATCH(F162,Dim_Product!$A$2:$A$4,0))-INDEX(Dim_Product!$L$2:$L$4,MATCH(F162,Dim_Product!$A$2:$A$4,0)),S162&lt;=INDEX(Dim_Product!$K$2:$K$4,MATCH(F162,Dim_Product!$A$2:$A$4,0))+INDEX(Dim_Product!$L$2:$L$4,MATCH(F162,Dim_Product!$A$2:$A$4,0))),G162-H162,G162-H162-1)</f>
        <v>45</v>
      </c>
      <c r="U162" s="4">
        <f t="shared" si="21"/>
        <v>3</v>
      </c>
      <c r="V162" s="4">
        <f t="shared" si="22"/>
        <v>6.25E-2</v>
      </c>
      <c r="W162" s="16">
        <f t="shared" si="23"/>
        <v>0.9375</v>
      </c>
    </row>
    <row r="163" spans="1:23" x14ac:dyDescent="0.25">
      <c r="A163" s="15" t="s">
        <v>664</v>
      </c>
      <c r="B163" s="4">
        <f>Fact_Production_Hourly!B163</f>
        <v>20260701</v>
      </c>
      <c r="C163" s="4">
        <f>Fact_Production_Hourly!C163</f>
        <v>23</v>
      </c>
      <c r="D163" s="4" t="str">
        <f>Fact_Production_Hourly!D163</f>
        <v>M1</v>
      </c>
      <c r="E163" s="4" t="str">
        <f>Fact_Production_Hourly!E163</f>
        <v>B-PM</v>
      </c>
      <c r="F163" s="4" t="str">
        <f>Fact_Production_Hourly!F163</f>
        <v>A</v>
      </c>
      <c r="G163" s="4">
        <f>INDEX(Dim_Machine!$D$2:$D$8,MATCH(D163,Dim_Machine!$A$2:$A$8,0))*2</f>
        <v>32</v>
      </c>
      <c r="H163" s="4">
        <f>ROUND(G163*0.0347,0)</f>
        <v>1</v>
      </c>
      <c r="I163" s="4">
        <f t="shared" si="16"/>
        <v>0</v>
      </c>
      <c r="J163" s="4">
        <f t="shared" si="17"/>
        <v>0</v>
      </c>
      <c r="K163" s="4">
        <f t="shared" si="18"/>
        <v>1</v>
      </c>
      <c r="L163" s="4" t="s">
        <v>520</v>
      </c>
      <c r="M163" s="4">
        <f>INDEX(Dim_Product!$C$2:$C$4,MATCH(F163,Dim_Product!$A$2:$A$4,0))+-0.54</f>
        <v>249.46</v>
      </c>
      <c r="N163" s="4">
        <f>IF(AND(M163&gt;=INDEX(Dim_Product!$C$2:$C$4,MATCH(F163,Dim_Product!$A$2:$A$4,0))-INDEX(Dim_Product!$D$2:$D$4,MATCH(F163,Dim_Product!$A$2:$A$4,0)),M163&lt;=INDEX(Dim_Product!$C$2:$C$4,MATCH(F163,Dim_Product!$A$2:$A$4,0))+INDEX(Dim_Product!$D$2:$D$4,MATCH(F163,Dim_Product!$A$2:$A$4,0))),G163-H163,G163-H163-1)</f>
        <v>31</v>
      </c>
      <c r="O163" s="4">
        <f t="shared" si="19"/>
        <v>1</v>
      </c>
      <c r="P163" s="4">
        <f>INDEX(Dim_Product!$G$2:$G$4,MATCH(F163,Dim_Product!$A$2:$A$4,0))+0.12</f>
        <v>70.12</v>
      </c>
      <c r="Q163" s="4">
        <f>IF(AND(P163&gt;=INDEX(Dim_Product!$G$2:$G$4,MATCH(F163,Dim_Product!$A$2:$A$4,0))-INDEX(Dim_Product!$H$2:$H$4,MATCH(F163,Dim_Product!$A$2:$A$4,0)),P163&lt;=INDEX(Dim_Product!$G$2:$G$4,MATCH(F163,Dim_Product!$A$2:$A$4,0))+INDEX(Dim_Product!$H$2:$H$4,MATCH(F163,Dim_Product!$A$2:$A$4,0))),G163-H163,G163-H163-1)</f>
        <v>31</v>
      </c>
      <c r="R163" s="4">
        <f t="shared" si="20"/>
        <v>1</v>
      </c>
      <c r="S163" s="4">
        <f>INDEX(Dim_Product!$K$2:$K$4,MATCH(F163,Dim_Product!$A$2:$A$4,0))+-0.39</f>
        <v>119.61</v>
      </c>
      <c r="T163" s="4">
        <f>IF(AND(S163&gt;=INDEX(Dim_Product!$K$2:$K$4,MATCH(F163,Dim_Product!$A$2:$A$4,0))-INDEX(Dim_Product!$L$2:$L$4,MATCH(F163,Dim_Product!$A$2:$A$4,0)),S163&lt;=INDEX(Dim_Product!$K$2:$K$4,MATCH(F163,Dim_Product!$A$2:$A$4,0))+INDEX(Dim_Product!$L$2:$L$4,MATCH(F163,Dim_Product!$A$2:$A$4,0))),G163-H163,G163-H163-1)</f>
        <v>31</v>
      </c>
      <c r="U163" s="4">
        <f t="shared" si="21"/>
        <v>1</v>
      </c>
      <c r="V163" s="4">
        <f t="shared" si="22"/>
        <v>3.125E-2</v>
      </c>
      <c r="W163" s="16">
        <f t="shared" si="23"/>
        <v>0.96875</v>
      </c>
    </row>
    <row r="164" spans="1:23" x14ac:dyDescent="0.25">
      <c r="A164" s="15" t="s">
        <v>665</v>
      </c>
      <c r="B164" s="4">
        <f>Fact_Production_Hourly!B164</f>
        <v>20260701</v>
      </c>
      <c r="C164" s="4">
        <f>Fact_Production_Hourly!C164</f>
        <v>23</v>
      </c>
      <c r="D164" s="4" t="str">
        <f>Fact_Production_Hourly!D164</f>
        <v>M2</v>
      </c>
      <c r="E164" s="4" t="str">
        <f>Fact_Production_Hourly!E164</f>
        <v>B-PM</v>
      </c>
      <c r="F164" s="4" t="str">
        <f>Fact_Production_Hourly!F164</f>
        <v>C</v>
      </c>
      <c r="G164" s="4">
        <f>INDEX(Dim_Machine!$D$2:$D$8,MATCH(D164,Dim_Machine!$A$2:$A$8,0))*2</f>
        <v>48</v>
      </c>
      <c r="H164" s="4">
        <f>ROUND(G164*0.0403,0)</f>
        <v>2</v>
      </c>
      <c r="I164" s="4">
        <f t="shared" si="16"/>
        <v>0</v>
      </c>
      <c r="J164" s="4">
        <f t="shared" si="17"/>
        <v>1</v>
      </c>
      <c r="K164" s="4">
        <f t="shared" si="18"/>
        <v>1</v>
      </c>
      <c r="L164" s="4" t="s">
        <v>517</v>
      </c>
      <c r="M164" s="4">
        <f>INDEX(Dim_Product!$C$2:$C$4,MATCH(F164,Dim_Product!$A$2:$A$4,0))+-0.88</f>
        <v>199.12</v>
      </c>
      <c r="N164" s="4">
        <f>IF(AND(M164&gt;=INDEX(Dim_Product!$C$2:$C$4,MATCH(F164,Dim_Product!$A$2:$A$4,0))-INDEX(Dim_Product!$D$2:$D$4,MATCH(F164,Dim_Product!$A$2:$A$4,0)),M164&lt;=INDEX(Dim_Product!$C$2:$C$4,MATCH(F164,Dim_Product!$A$2:$A$4,0))+INDEX(Dim_Product!$D$2:$D$4,MATCH(F164,Dim_Product!$A$2:$A$4,0))),G164-H164,G164-H164-1)</f>
        <v>46</v>
      </c>
      <c r="O164" s="4">
        <f t="shared" si="19"/>
        <v>2</v>
      </c>
      <c r="P164" s="4">
        <f>INDEX(Dim_Product!$G$2:$G$4,MATCH(F164,Dim_Product!$A$2:$A$4,0))+0.08</f>
        <v>65.08</v>
      </c>
      <c r="Q164" s="4">
        <f>IF(AND(P164&gt;=INDEX(Dim_Product!$G$2:$G$4,MATCH(F164,Dim_Product!$A$2:$A$4,0))-INDEX(Dim_Product!$H$2:$H$4,MATCH(F164,Dim_Product!$A$2:$A$4,0)),P164&lt;=INDEX(Dim_Product!$G$2:$G$4,MATCH(F164,Dim_Product!$A$2:$A$4,0))+INDEX(Dim_Product!$H$2:$H$4,MATCH(F164,Dim_Product!$A$2:$A$4,0))),G164-H164,G164-H164-1)</f>
        <v>46</v>
      </c>
      <c r="R164" s="4">
        <f t="shared" si="20"/>
        <v>2</v>
      </c>
      <c r="S164" s="4">
        <f>INDEX(Dim_Product!$K$2:$K$4,MATCH(F164,Dim_Product!$A$2:$A$4,0))+0.35</f>
        <v>110.35</v>
      </c>
      <c r="T164" s="4">
        <f>IF(AND(S164&gt;=INDEX(Dim_Product!$K$2:$K$4,MATCH(F164,Dim_Product!$A$2:$A$4,0))-INDEX(Dim_Product!$L$2:$L$4,MATCH(F164,Dim_Product!$A$2:$A$4,0)),S164&lt;=INDEX(Dim_Product!$K$2:$K$4,MATCH(F164,Dim_Product!$A$2:$A$4,0))+INDEX(Dim_Product!$L$2:$L$4,MATCH(F164,Dim_Product!$A$2:$A$4,0))),G164-H164,G164-H164-1)</f>
        <v>46</v>
      </c>
      <c r="U164" s="4">
        <f t="shared" si="21"/>
        <v>2</v>
      </c>
      <c r="V164" s="4">
        <f t="shared" si="22"/>
        <v>4.1666666666666664E-2</v>
      </c>
      <c r="W164" s="16">
        <f t="shared" si="23"/>
        <v>0.95833333333333337</v>
      </c>
    </row>
    <row r="165" spans="1:23" x14ac:dyDescent="0.25">
      <c r="A165" s="15" t="s">
        <v>666</v>
      </c>
      <c r="B165" s="4">
        <f>Fact_Production_Hourly!B165</f>
        <v>20260701</v>
      </c>
      <c r="C165" s="4">
        <f>Fact_Production_Hourly!C165</f>
        <v>23</v>
      </c>
      <c r="D165" s="4" t="str">
        <f>Fact_Production_Hourly!D165</f>
        <v>M3</v>
      </c>
      <c r="E165" s="4" t="str">
        <f>Fact_Production_Hourly!E165</f>
        <v>B-PM</v>
      </c>
      <c r="F165" s="4" t="str">
        <f>Fact_Production_Hourly!F165</f>
        <v>A</v>
      </c>
      <c r="G165" s="4">
        <f>INDEX(Dim_Machine!$D$2:$D$8,MATCH(D165,Dim_Machine!$A$2:$A$8,0))*2</f>
        <v>24</v>
      </c>
      <c r="H165" s="4">
        <f>ROUND(G165*0.0648,0)</f>
        <v>2</v>
      </c>
      <c r="I165" s="4">
        <f t="shared" si="16"/>
        <v>0</v>
      </c>
      <c r="J165" s="4">
        <f t="shared" si="17"/>
        <v>1</v>
      </c>
      <c r="K165" s="4">
        <f t="shared" si="18"/>
        <v>1</v>
      </c>
      <c r="L165" s="4" t="s">
        <v>520</v>
      </c>
      <c r="M165" s="4">
        <f>INDEX(Dim_Product!$C$2:$C$4,MATCH(F165,Dim_Product!$A$2:$A$4,0))+-0.02</f>
        <v>249.98</v>
      </c>
      <c r="N165" s="4">
        <f>IF(AND(M165&gt;=INDEX(Dim_Product!$C$2:$C$4,MATCH(F165,Dim_Product!$A$2:$A$4,0))-INDEX(Dim_Product!$D$2:$D$4,MATCH(F165,Dim_Product!$A$2:$A$4,0)),M165&lt;=INDEX(Dim_Product!$C$2:$C$4,MATCH(F165,Dim_Product!$A$2:$A$4,0))+INDEX(Dim_Product!$D$2:$D$4,MATCH(F165,Dim_Product!$A$2:$A$4,0))),G165-H165,G165-H165-1)</f>
        <v>22</v>
      </c>
      <c r="O165" s="4">
        <f t="shared" si="19"/>
        <v>2</v>
      </c>
      <c r="P165" s="4">
        <f>INDEX(Dim_Product!$G$2:$G$4,MATCH(F165,Dim_Product!$A$2:$A$4,0))+-0.3</f>
        <v>69.7</v>
      </c>
      <c r="Q165" s="4">
        <f>IF(AND(P165&gt;=INDEX(Dim_Product!$G$2:$G$4,MATCH(F165,Dim_Product!$A$2:$A$4,0))-INDEX(Dim_Product!$H$2:$H$4,MATCH(F165,Dim_Product!$A$2:$A$4,0)),P165&lt;=INDEX(Dim_Product!$G$2:$G$4,MATCH(F165,Dim_Product!$A$2:$A$4,0))+INDEX(Dim_Product!$H$2:$H$4,MATCH(F165,Dim_Product!$A$2:$A$4,0))),G165-H165,G165-H165-1)</f>
        <v>22</v>
      </c>
      <c r="R165" s="4">
        <f t="shared" si="20"/>
        <v>2</v>
      </c>
      <c r="S165" s="4">
        <f>INDEX(Dim_Product!$K$2:$K$4,MATCH(F165,Dim_Product!$A$2:$A$4,0))+0.04</f>
        <v>120.04</v>
      </c>
      <c r="T165" s="4">
        <f>IF(AND(S165&gt;=INDEX(Dim_Product!$K$2:$K$4,MATCH(F165,Dim_Product!$A$2:$A$4,0))-INDEX(Dim_Product!$L$2:$L$4,MATCH(F165,Dim_Product!$A$2:$A$4,0)),S165&lt;=INDEX(Dim_Product!$K$2:$K$4,MATCH(F165,Dim_Product!$A$2:$A$4,0))+INDEX(Dim_Product!$L$2:$L$4,MATCH(F165,Dim_Product!$A$2:$A$4,0))),G165-H165,G165-H165-1)</f>
        <v>22</v>
      </c>
      <c r="U165" s="4">
        <f t="shared" si="21"/>
        <v>2</v>
      </c>
      <c r="V165" s="4">
        <f t="shared" si="22"/>
        <v>8.3333333333333329E-2</v>
      </c>
      <c r="W165" s="16">
        <f t="shared" si="23"/>
        <v>0.91666666666666663</v>
      </c>
    </row>
    <row r="166" spans="1:23" x14ac:dyDescent="0.25">
      <c r="A166" s="15" t="s">
        <v>667</v>
      </c>
      <c r="B166" s="4">
        <f>Fact_Production_Hourly!B166</f>
        <v>20260701</v>
      </c>
      <c r="C166" s="4">
        <f>Fact_Production_Hourly!C166</f>
        <v>23</v>
      </c>
      <c r="D166" s="4" t="str">
        <f>Fact_Production_Hourly!D166</f>
        <v>M4</v>
      </c>
      <c r="E166" s="4" t="str">
        <f>Fact_Production_Hourly!E166</f>
        <v>B-PM</v>
      </c>
      <c r="F166" s="4" t="str">
        <f>Fact_Production_Hourly!F166</f>
        <v>A</v>
      </c>
      <c r="G166" s="4">
        <f>INDEX(Dim_Machine!$D$2:$D$8,MATCH(D166,Dim_Machine!$A$2:$A$8,0))*2</f>
        <v>48</v>
      </c>
      <c r="H166" s="4">
        <f>ROUND(G166*0.0107,0)</f>
        <v>1</v>
      </c>
      <c r="I166" s="4">
        <f t="shared" si="16"/>
        <v>0</v>
      </c>
      <c r="J166" s="4">
        <f t="shared" si="17"/>
        <v>0</v>
      </c>
      <c r="K166" s="4">
        <f t="shared" si="18"/>
        <v>1</v>
      </c>
      <c r="L166" s="4" t="s">
        <v>509</v>
      </c>
      <c r="M166" s="4">
        <f>INDEX(Dim_Product!$C$2:$C$4,MATCH(F166,Dim_Product!$A$2:$A$4,0))+0.44</f>
        <v>250.44</v>
      </c>
      <c r="N166" s="4">
        <f>IF(AND(M166&gt;=INDEX(Dim_Product!$C$2:$C$4,MATCH(F166,Dim_Product!$A$2:$A$4,0))-INDEX(Dim_Product!$D$2:$D$4,MATCH(F166,Dim_Product!$A$2:$A$4,0)),M166&lt;=INDEX(Dim_Product!$C$2:$C$4,MATCH(F166,Dim_Product!$A$2:$A$4,0))+INDEX(Dim_Product!$D$2:$D$4,MATCH(F166,Dim_Product!$A$2:$A$4,0))),G166-H166,G166-H166-1)</f>
        <v>47</v>
      </c>
      <c r="O166" s="4">
        <f t="shared" si="19"/>
        <v>1</v>
      </c>
      <c r="P166" s="4">
        <f>INDEX(Dim_Product!$G$2:$G$4,MATCH(F166,Dim_Product!$A$2:$A$4,0))+0.02</f>
        <v>70.02</v>
      </c>
      <c r="Q166" s="4">
        <f>IF(AND(P166&gt;=INDEX(Dim_Product!$G$2:$G$4,MATCH(F166,Dim_Product!$A$2:$A$4,0))-INDEX(Dim_Product!$H$2:$H$4,MATCH(F166,Dim_Product!$A$2:$A$4,0)),P166&lt;=INDEX(Dim_Product!$G$2:$G$4,MATCH(F166,Dim_Product!$A$2:$A$4,0))+INDEX(Dim_Product!$H$2:$H$4,MATCH(F166,Dim_Product!$A$2:$A$4,0))),G166-H166,G166-H166-1)</f>
        <v>47</v>
      </c>
      <c r="R166" s="4">
        <f t="shared" si="20"/>
        <v>1</v>
      </c>
      <c r="S166" s="4">
        <f>INDEX(Dim_Product!$K$2:$K$4,MATCH(F166,Dim_Product!$A$2:$A$4,0))+-0.17</f>
        <v>119.83</v>
      </c>
      <c r="T166" s="4">
        <f>IF(AND(S166&gt;=INDEX(Dim_Product!$K$2:$K$4,MATCH(F166,Dim_Product!$A$2:$A$4,0))-INDEX(Dim_Product!$L$2:$L$4,MATCH(F166,Dim_Product!$A$2:$A$4,0)),S166&lt;=INDEX(Dim_Product!$K$2:$K$4,MATCH(F166,Dim_Product!$A$2:$A$4,0))+INDEX(Dim_Product!$L$2:$L$4,MATCH(F166,Dim_Product!$A$2:$A$4,0))),G166-H166,G166-H166-1)</f>
        <v>47</v>
      </c>
      <c r="U166" s="4">
        <f t="shared" si="21"/>
        <v>1</v>
      </c>
      <c r="V166" s="4">
        <f t="shared" si="22"/>
        <v>2.0833333333333332E-2</v>
      </c>
      <c r="W166" s="16">
        <f t="shared" si="23"/>
        <v>0.97916666666666663</v>
      </c>
    </row>
    <row r="167" spans="1:23" x14ac:dyDescent="0.25">
      <c r="A167" s="15" t="s">
        <v>668</v>
      </c>
      <c r="B167" s="4">
        <f>Fact_Production_Hourly!B167</f>
        <v>20260701</v>
      </c>
      <c r="C167" s="4">
        <f>Fact_Production_Hourly!C167</f>
        <v>23</v>
      </c>
      <c r="D167" s="4" t="str">
        <f>Fact_Production_Hourly!D167</f>
        <v>M5</v>
      </c>
      <c r="E167" s="4" t="str">
        <f>Fact_Production_Hourly!E167</f>
        <v>B-PM</v>
      </c>
      <c r="F167" s="4" t="str">
        <f>Fact_Production_Hourly!F167</f>
        <v>A</v>
      </c>
      <c r="G167" s="4">
        <f>INDEX(Dim_Machine!$D$2:$D$8,MATCH(D167,Dim_Machine!$A$2:$A$8,0))*2</f>
        <v>32</v>
      </c>
      <c r="H167" s="4">
        <f>ROUND(G167*0.0401,0)</f>
        <v>1</v>
      </c>
      <c r="I167" s="4">
        <f t="shared" si="16"/>
        <v>0</v>
      </c>
      <c r="J167" s="4">
        <f t="shared" si="17"/>
        <v>0</v>
      </c>
      <c r="K167" s="4">
        <f t="shared" si="18"/>
        <v>1</v>
      </c>
      <c r="L167" s="4" t="s">
        <v>520</v>
      </c>
      <c r="M167" s="4">
        <f>INDEX(Dim_Product!$C$2:$C$4,MATCH(F167,Dim_Product!$A$2:$A$4,0))+0.35</f>
        <v>250.35</v>
      </c>
      <c r="N167" s="4">
        <f>IF(AND(M167&gt;=INDEX(Dim_Product!$C$2:$C$4,MATCH(F167,Dim_Product!$A$2:$A$4,0))-INDEX(Dim_Product!$D$2:$D$4,MATCH(F167,Dim_Product!$A$2:$A$4,0)),M167&lt;=INDEX(Dim_Product!$C$2:$C$4,MATCH(F167,Dim_Product!$A$2:$A$4,0))+INDEX(Dim_Product!$D$2:$D$4,MATCH(F167,Dim_Product!$A$2:$A$4,0))),G167-H167,G167-H167-1)</f>
        <v>31</v>
      </c>
      <c r="O167" s="4">
        <f t="shared" si="19"/>
        <v>1</v>
      </c>
      <c r="P167" s="4">
        <f>INDEX(Dim_Product!$G$2:$G$4,MATCH(F167,Dim_Product!$A$2:$A$4,0))+0.18</f>
        <v>70.180000000000007</v>
      </c>
      <c r="Q167" s="4">
        <f>IF(AND(P167&gt;=INDEX(Dim_Product!$G$2:$G$4,MATCH(F167,Dim_Product!$A$2:$A$4,0))-INDEX(Dim_Product!$H$2:$H$4,MATCH(F167,Dim_Product!$A$2:$A$4,0)),P167&lt;=INDEX(Dim_Product!$G$2:$G$4,MATCH(F167,Dim_Product!$A$2:$A$4,0))+INDEX(Dim_Product!$H$2:$H$4,MATCH(F167,Dim_Product!$A$2:$A$4,0))),G167-H167,G167-H167-1)</f>
        <v>31</v>
      </c>
      <c r="R167" s="4">
        <f t="shared" si="20"/>
        <v>1</v>
      </c>
      <c r="S167" s="4">
        <f>INDEX(Dim_Product!$K$2:$K$4,MATCH(F167,Dim_Product!$A$2:$A$4,0))+0.33</f>
        <v>120.33</v>
      </c>
      <c r="T167" s="4">
        <f>IF(AND(S167&gt;=INDEX(Dim_Product!$K$2:$K$4,MATCH(F167,Dim_Product!$A$2:$A$4,0))-INDEX(Dim_Product!$L$2:$L$4,MATCH(F167,Dim_Product!$A$2:$A$4,0)),S167&lt;=INDEX(Dim_Product!$K$2:$K$4,MATCH(F167,Dim_Product!$A$2:$A$4,0))+INDEX(Dim_Product!$L$2:$L$4,MATCH(F167,Dim_Product!$A$2:$A$4,0))),G167-H167,G167-H167-1)</f>
        <v>31</v>
      </c>
      <c r="U167" s="4">
        <f t="shared" si="21"/>
        <v>1</v>
      </c>
      <c r="V167" s="4">
        <f t="shared" si="22"/>
        <v>3.125E-2</v>
      </c>
      <c r="W167" s="16">
        <f t="shared" si="23"/>
        <v>0.96875</v>
      </c>
    </row>
    <row r="168" spans="1:23" x14ac:dyDescent="0.25">
      <c r="A168" s="15" t="s">
        <v>669</v>
      </c>
      <c r="B168" s="4">
        <f>Fact_Production_Hourly!B168</f>
        <v>20260701</v>
      </c>
      <c r="C168" s="4">
        <f>Fact_Production_Hourly!C168</f>
        <v>23</v>
      </c>
      <c r="D168" s="4" t="str">
        <f>Fact_Production_Hourly!D168</f>
        <v>M6</v>
      </c>
      <c r="E168" s="4" t="str">
        <f>Fact_Production_Hourly!E168</f>
        <v>B-PM</v>
      </c>
      <c r="F168" s="4" t="str">
        <f>Fact_Production_Hourly!F168</f>
        <v>C</v>
      </c>
      <c r="G168" s="4">
        <f>INDEX(Dim_Machine!$D$2:$D$8,MATCH(D168,Dim_Machine!$A$2:$A$8,0))*2</f>
        <v>24</v>
      </c>
      <c r="H168" s="4">
        <f>ROUND(G168*0.0164,0)</f>
        <v>0</v>
      </c>
      <c r="I168" s="4">
        <f t="shared" si="16"/>
        <v>0</v>
      </c>
      <c r="J168" s="4">
        <f t="shared" si="17"/>
        <v>0</v>
      </c>
      <c r="K168" s="4">
        <f t="shared" si="18"/>
        <v>0</v>
      </c>
      <c r="L168" s="4" t="s">
        <v>498</v>
      </c>
      <c r="M168" s="4">
        <f>INDEX(Dim_Product!$C$2:$C$4,MATCH(F168,Dim_Product!$A$2:$A$4,0))+0.05</f>
        <v>200.05</v>
      </c>
      <c r="N168" s="4">
        <f>IF(AND(M168&gt;=INDEX(Dim_Product!$C$2:$C$4,MATCH(F168,Dim_Product!$A$2:$A$4,0))-INDEX(Dim_Product!$D$2:$D$4,MATCH(F168,Dim_Product!$A$2:$A$4,0)),M168&lt;=INDEX(Dim_Product!$C$2:$C$4,MATCH(F168,Dim_Product!$A$2:$A$4,0))+INDEX(Dim_Product!$D$2:$D$4,MATCH(F168,Dim_Product!$A$2:$A$4,0))),G168-H168,G168-H168-1)</f>
        <v>24</v>
      </c>
      <c r="O168" s="4">
        <f t="shared" si="19"/>
        <v>0</v>
      </c>
      <c r="P168" s="4">
        <f>INDEX(Dim_Product!$G$2:$G$4,MATCH(F168,Dim_Product!$A$2:$A$4,0))+-0.16</f>
        <v>64.84</v>
      </c>
      <c r="Q168" s="4">
        <f>IF(AND(P168&gt;=INDEX(Dim_Product!$G$2:$G$4,MATCH(F168,Dim_Product!$A$2:$A$4,0))-INDEX(Dim_Product!$H$2:$H$4,MATCH(F168,Dim_Product!$A$2:$A$4,0)),P168&lt;=INDEX(Dim_Product!$G$2:$G$4,MATCH(F168,Dim_Product!$A$2:$A$4,0))+INDEX(Dim_Product!$H$2:$H$4,MATCH(F168,Dim_Product!$A$2:$A$4,0))),G168-H168,G168-H168-1)</f>
        <v>24</v>
      </c>
      <c r="R168" s="4">
        <f t="shared" si="20"/>
        <v>0</v>
      </c>
      <c r="S168" s="4">
        <f>INDEX(Dim_Product!$K$2:$K$4,MATCH(F168,Dim_Product!$A$2:$A$4,0))+0.1</f>
        <v>110.1</v>
      </c>
      <c r="T168" s="4">
        <f>IF(AND(S168&gt;=INDEX(Dim_Product!$K$2:$K$4,MATCH(F168,Dim_Product!$A$2:$A$4,0))-INDEX(Dim_Product!$L$2:$L$4,MATCH(F168,Dim_Product!$A$2:$A$4,0)),S168&lt;=INDEX(Dim_Product!$K$2:$K$4,MATCH(F168,Dim_Product!$A$2:$A$4,0))+INDEX(Dim_Product!$L$2:$L$4,MATCH(F168,Dim_Product!$A$2:$A$4,0))),G168-H168,G168-H168-1)</f>
        <v>24</v>
      </c>
      <c r="U168" s="4">
        <f t="shared" si="21"/>
        <v>0</v>
      </c>
      <c r="V168" s="4">
        <f t="shared" si="22"/>
        <v>0</v>
      </c>
      <c r="W168" s="16">
        <f t="shared" si="23"/>
        <v>1</v>
      </c>
    </row>
    <row r="169" spans="1:23" x14ac:dyDescent="0.25">
      <c r="A169" s="15" t="s">
        <v>670</v>
      </c>
      <c r="B169" s="4">
        <f>Fact_Production_Hourly!B169</f>
        <v>20260701</v>
      </c>
      <c r="C169" s="4">
        <f>Fact_Production_Hourly!C169</f>
        <v>23</v>
      </c>
      <c r="D169" s="4" t="str">
        <f>Fact_Production_Hourly!D169</f>
        <v>M7</v>
      </c>
      <c r="E169" s="4" t="str">
        <f>Fact_Production_Hourly!E169</f>
        <v>B-PM</v>
      </c>
      <c r="F169" s="4" t="str">
        <f>Fact_Production_Hourly!F169</f>
        <v>A</v>
      </c>
      <c r="G169" s="4">
        <f>INDEX(Dim_Machine!$D$2:$D$8,MATCH(D169,Dim_Machine!$A$2:$A$8,0))*2</f>
        <v>48</v>
      </c>
      <c r="H169" s="4">
        <f>ROUND(G169*0.0251,0)</f>
        <v>1</v>
      </c>
      <c r="I169" s="4">
        <f t="shared" si="16"/>
        <v>0</v>
      </c>
      <c r="J169" s="4">
        <f t="shared" si="17"/>
        <v>0</v>
      </c>
      <c r="K169" s="4">
        <f t="shared" si="18"/>
        <v>1</v>
      </c>
      <c r="L169" s="4" t="s">
        <v>517</v>
      </c>
      <c r="M169" s="4">
        <f>INDEX(Dim_Product!$C$2:$C$4,MATCH(F169,Dim_Product!$A$2:$A$4,0))+-0.47</f>
        <v>249.53</v>
      </c>
      <c r="N169" s="4">
        <f>IF(AND(M169&gt;=INDEX(Dim_Product!$C$2:$C$4,MATCH(F169,Dim_Product!$A$2:$A$4,0))-INDEX(Dim_Product!$D$2:$D$4,MATCH(F169,Dim_Product!$A$2:$A$4,0)),M169&lt;=INDEX(Dim_Product!$C$2:$C$4,MATCH(F169,Dim_Product!$A$2:$A$4,0))+INDEX(Dim_Product!$D$2:$D$4,MATCH(F169,Dim_Product!$A$2:$A$4,0))),G169-H169,G169-H169-1)</f>
        <v>47</v>
      </c>
      <c r="O169" s="4">
        <f t="shared" si="19"/>
        <v>1</v>
      </c>
      <c r="P169" s="4">
        <f>INDEX(Dim_Product!$G$2:$G$4,MATCH(F169,Dim_Product!$A$2:$A$4,0))+-0.06</f>
        <v>69.94</v>
      </c>
      <c r="Q169" s="4">
        <f>IF(AND(P169&gt;=INDEX(Dim_Product!$G$2:$G$4,MATCH(F169,Dim_Product!$A$2:$A$4,0))-INDEX(Dim_Product!$H$2:$H$4,MATCH(F169,Dim_Product!$A$2:$A$4,0)),P169&lt;=INDEX(Dim_Product!$G$2:$G$4,MATCH(F169,Dim_Product!$A$2:$A$4,0))+INDEX(Dim_Product!$H$2:$H$4,MATCH(F169,Dim_Product!$A$2:$A$4,0))),G169-H169,G169-H169-1)</f>
        <v>47</v>
      </c>
      <c r="R169" s="4">
        <f t="shared" si="20"/>
        <v>1</v>
      </c>
      <c r="S169" s="4">
        <f>INDEX(Dim_Product!$K$2:$K$4,MATCH(F169,Dim_Product!$A$2:$A$4,0))+-0.1</f>
        <v>119.9</v>
      </c>
      <c r="T169" s="4">
        <f>IF(AND(S169&gt;=INDEX(Dim_Product!$K$2:$K$4,MATCH(F169,Dim_Product!$A$2:$A$4,0))-INDEX(Dim_Product!$L$2:$L$4,MATCH(F169,Dim_Product!$A$2:$A$4,0)),S169&lt;=INDEX(Dim_Product!$K$2:$K$4,MATCH(F169,Dim_Product!$A$2:$A$4,0))+INDEX(Dim_Product!$L$2:$L$4,MATCH(F169,Dim_Product!$A$2:$A$4,0))),G169-H169,G169-H169-1)</f>
        <v>47</v>
      </c>
      <c r="U169" s="4">
        <f t="shared" si="21"/>
        <v>1</v>
      </c>
      <c r="V169" s="4">
        <f t="shared" si="22"/>
        <v>2.0833333333333332E-2</v>
      </c>
      <c r="W169" s="16">
        <f t="shared" si="23"/>
        <v>0.97916666666666663</v>
      </c>
    </row>
    <row r="170" spans="1:23" x14ac:dyDescent="0.25">
      <c r="A170" s="15" t="s">
        <v>671</v>
      </c>
      <c r="B170" s="4">
        <f>Fact_Production_Hourly!B170</f>
        <v>20260702</v>
      </c>
      <c r="C170" s="4">
        <f>Fact_Production_Hourly!C170</f>
        <v>0</v>
      </c>
      <c r="D170" s="4" t="str">
        <f>Fact_Production_Hourly!D170</f>
        <v>M1</v>
      </c>
      <c r="E170" s="4" t="str">
        <f>Fact_Production_Hourly!E170</f>
        <v>B-PM</v>
      </c>
      <c r="F170" s="4" t="str">
        <f>Fact_Production_Hourly!F170</f>
        <v>B</v>
      </c>
      <c r="G170" s="4">
        <f>INDEX(Dim_Machine!$D$2:$D$8,MATCH(D170,Dim_Machine!$A$2:$A$8,0))*2</f>
        <v>32</v>
      </c>
      <c r="H170" s="4">
        <f>ROUND(G170*0.0344,0)</f>
        <v>1</v>
      </c>
      <c r="I170" s="4">
        <f t="shared" si="16"/>
        <v>0</v>
      </c>
      <c r="J170" s="4">
        <f t="shared" si="17"/>
        <v>0</v>
      </c>
      <c r="K170" s="4">
        <f t="shared" si="18"/>
        <v>1</v>
      </c>
      <c r="L170" s="4" t="s">
        <v>509</v>
      </c>
      <c r="M170" s="4">
        <f>INDEX(Dim_Product!$C$2:$C$4,MATCH(F170,Dim_Product!$A$2:$A$4,0))+-0.51</f>
        <v>299.49</v>
      </c>
      <c r="N170" s="4">
        <f>IF(AND(M170&gt;=INDEX(Dim_Product!$C$2:$C$4,MATCH(F170,Dim_Product!$A$2:$A$4,0))-INDEX(Dim_Product!$D$2:$D$4,MATCH(F170,Dim_Product!$A$2:$A$4,0)),M170&lt;=INDEX(Dim_Product!$C$2:$C$4,MATCH(F170,Dim_Product!$A$2:$A$4,0))+INDEX(Dim_Product!$D$2:$D$4,MATCH(F170,Dim_Product!$A$2:$A$4,0))),G170-H170,G170-H170-1)</f>
        <v>31</v>
      </c>
      <c r="O170" s="4">
        <f t="shared" si="19"/>
        <v>1</v>
      </c>
      <c r="P170" s="4">
        <f>INDEX(Dim_Product!$G$2:$G$4,MATCH(F170,Dim_Product!$A$2:$A$4,0))+0.12</f>
        <v>75.12</v>
      </c>
      <c r="Q170" s="4">
        <f>IF(AND(P170&gt;=INDEX(Dim_Product!$G$2:$G$4,MATCH(F170,Dim_Product!$A$2:$A$4,0))-INDEX(Dim_Product!$H$2:$H$4,MATCH(F170,Dim_Product!$A$2:$A$4,0)),P170&lt;=INDEX(Dim_Product!$G$2:$G$4,MATCH(F170,Dim_Product!$A$2:$A$4,0))+INDEX(Dim_Product!$H$2:$H$4,MATCH(F170,Dim_Product!$A$2:$A$4,0))),G170-H170,G170-H170-1)</f>
        <v>31</v>
      </c>
      <c r="R170" s="4">
        <f t="shared" si="20"/>
        <v>1</v>
      </c>
      <c r="S170" s="4">
        <f>INDEX(Dim_Product!$K$2:$K$4,MATCH(F170,Dim_Product!$A$2:$A$4,0))+-0.16</f>
        <v>129.84</v>
      </c>
      <c r="T170" s="4">
        <f>IF(AND(S170&gt;=INDEX(Dim_Product!$K$2:$K$4,MATCH(F170,Dim_Product!$A$2:$A$4,0))-INDEX(Dim_Product!$L$2:$L$4,MATCH(F170,Dim_Product!$A$2:$A$4,0)),S170&lt;=INDEX(Dim_Product!$K$2:$K$4,MATCH(F170,Dim_Product!$A$2:$A$4,0))+INDEX(Dim_Product!$L$2:$L$4,MATCH(F170,Dim_Product!$A$2:$A$4,0))),G170-H170,G170-H170-1)</f>
        <v>31</v>
      </c>
      <c r="U170" s="4">
        <f t="shared" si="21"/>
        <v>1</v>
      </c>
      <c r="V170" s="4">
        <f t="shared" si="22"/>
        <v>3.125E-2</v>
      </c>
      <c r="W170" s="16">
        <f t="shared" si="23"/>
        <v>0.96875</v>
      </c>
    </row>
    <row r="171" spans="1:23" x14ac:dyDescent="0.25">
      <c r="A171" s="15" t="s">
        <v>672</v>
      </c>
      <c r="B171" s="4">
        <f>Fact_Production_Hourly!B171</f>
        <v>20260702</v>
      </c>
      <c r="C171" s="4">
        <f>Fact_Production_Hourly!C171</f>
        <v>0</v>
      </c>
      <c r="D171" s="4" t="str">
        <f>Fact_Production_Hourly!D171</f>
        <v>M2</v>
      </c>
      <c r="E171" s="4" t="str">
        <f>Fact_Production_Hourly!E171</f>
        <v>B-PM</v>
      </c>
      <c r="F171" s="4" t="str">
        <f>Fact_Production_Hourly!F171</f>
        <v>A</v>
      </c>
      <c r="G171" s="4">
        <f>INDEX(Dim_Machine!$D$2:$D$8,MATCH(D171,Dim_Machine!$A$2:$A$8,0))*2</f>
        <v>48</v>
      </c>
      <c r="H171" s="4">
        <f>ROUND(G171*0.0597,0)</f>
        <v>3</v>
      </c>
      <c r="I171" s="4">
        <f t="shared" si="16"/>
        <v>0</v>
      </c>
      <c r="J171" s="4">
        <f t="shared" si="17"/>
        <v>1</v>
      </c>
      <c r="K171" s="4">
        <f t="shared" si="18"/>
        <v>2</v>
      </c>
      <c r="L171" s="4" t="s">
        <v>498</v>
      </c>
      <c r="M171" s="4">
        <f>INDEX(Dim_Product!$C$2:$C$4,MATCH(F171,Dim_Product!$A$2:$A$4,0))+0.31</f>
        <v>250.31</v>
      </c>
      <c r="N171" s="4">
        <f>IF(AND(M171&gt;=INDEX(Dim_Product!$C$2:$C$4,MATCH(F171,Dim_Product!$A$2:$A$4,0))-INDEX(Dim_Product!$D$2:$D$4,MATCH(F171,Dim_Product!$A$2:$A$4,0)),M171&lt;=INDEX(Dim_Product!$C$2:$C$4,MATCH(F171,Dim_Product!$A$2:$A$4,0))+INDEX(Dim_Product!$D$2:$D$4,MATCH(F171,Dim_Product!$A$2:$A$4,0))),G171-H171,G171-H171-1)</f>
        <v>45</v>
      </c>
      <c r="O171" s="4">
        <f t="shared" si="19"/>
        <v>3</v>
      </c>
      <c r="P171" s="4">
        <f>INDEX(Dim_Product!$G$2:$G$4,MATCH(F171,Dim_Product!$A$2:$A$4,0))+0.21</f>
        <v>70.209999999999994</v>
      </c>
      <c r="Q171" s="4">
        <f>IF(AND(P171&gt;=INDEX(Dim_Product!$G$2:$G$4,MATCH(F171,Dim_Product!$A$2:$A$4,0))-INDEX(Dim_Product!$H$2:$H$4,MATCH(F171,Dim_Product!$A$2:$A$4,0)),P171&lt;=INDEX(Dim_Product!$G$2:$G$4,MATCH(F171,Dim_Product!$A$2:$A$4,0))+INDEX(Dim_Product!$H$2:$H$4,MATCH(F171,Dim_Product!$A$2:$A$4,0))),G171-H171,G171-H171-1)</f>
        <v>45</v>
      </c>
      <c r="R171" s="4">
        <f t="shared" si="20"/>
        <v>3</v>
      </c>
      <c r="S171" s="4">
        <f>INDEX(Dim_Product!$K$2:$K$4,MATCH(F171,Dim_Product!$A$2:$A$4,0))+0.21</f>
        <v>120.21</v>
      </c>
      <c r="T171" s="4">
        <f>IF(AND(S171&gt;=INDEX(Dim_Product!$K$2:$K$4,MATCH(F171,Dim_Product!$A$2:$A$4,0))-INDEX(Dim_Product!$L$2:$L$4,MATCH(F171,Dim_Product!$A$2:$A$4,0)),S171&lt;=INDEX(Dim_Product!$K$2:$K$4,MATCH(F171,Dim_Product!$A$2:$A$4,0))+INDEX(Dim_Product!$L$2:$L$4,MATCH(F171,Dim_Product!$A$2:$A$4,0))),G171-H171,G171-H171-1)</f>
        <v>45</v>
      </c>
      <c r="U171" s="4">
        <f t="shared" si="21"/>
        <v>3</v>
      </c>
      <c r="V171" s="4">
        <f t="shared" si="22"/>
        <v>6.25E-2</v>
      </c>
      <c r="W171" s="16">
        <f t="shared" si="23"/>
        <v>0.9375</v>
      </c>
    </row>
    <row r="172" spans="1:23" x14ac:dyDescent="0.25">
      <c r="A172" s="15" t="s">
        <v>673</v>
      </c>
      <c r="B172" s="4">
        <f>Fact_Production_Hourly!B172</f>
        <v>20260702</v>
      </c>
      <c r="C172" s="4">
        <f>Fact_Production_Hourly!C172</f>
        <v>0</v>
      </c>
      <c r="D172" s="4" t="str">
        <f>Fact_Production_Hourly!D172</f>
        <v>M3</v>
      </c>
      <c r="E172" s="4" t="str">
        <f>Fact_Production_Hourly!E172</f>
        <v>B-PM</v>
      </c>
      <c r="F172" s="4" t="str">
        <f>Fact_Production_Hourly!F172</f>
        <v>A</v>
      </c>
      <c r="G172" s="4">
        <f>INDEX(Dim_Machine!$D$2:$D$8,MATCH(D172,Dim_Machine!$A$2:$A$8,0))*2</f>
        <v>24</v>
      </c>
      <c r="H172" s="4">
        <f>ROUND(G172*0.0156,0)</f>
        <v>0</v>
      </c>
      <c r="I172" s="4">
        <f t="shared" si="16"/>
        <v>0</v>
      </c>
      <c r="J172" s="4">
        <f t="shared" si="17"/>
        <v>0</v>
      </c>
      <c r="K172" s="4">
        <f t="shared" si="18"/>
        <v>0</v>
      </c>
      <c r="L172" s="4" t="s">
        <v>503</v>
      </c>
      <c r="M172" s="4">
        <f>INDEX(Dim_Product!$C$2:$C$4,MATCH(F172,Dim_Product!$A$2:$A$4,0))+-0.25</f>
        <v>249.75</v>
      </c>
      <c r="N172" s="4">
        <f>IF(AND(M172&gt;=INDEX(Dim_Product!$C$2:$C$4,MATCH(F172,Dim_Product!$A$2:$A$4,0))-INDEX(Dim_Product!$D$2:$D$4,MATCH(F172,Dim_Product!$A$2:$A$4,0)),M172&lt;=INDEX(Dim_Product!$C$2:$C$4,MATCH(F172,Dim_Product!$A$2:$A$4,0))+INDEX(Dim_Product!$D$2:$D$4,MATCH(F172,Dim_Product!$A$2:$A$4,0))),G172-H172,G172-H172-1)</f>
        <v>24</v>
      </c>
      <c r="O172" s="4">
        <f t="shared" si="19"/>
        <v>0</v>
      </c>
      <c r="P172" s="4">
        <f>INDEX(Dim_Product!$G$2:$G$4,MATCH(F172,Dim_Product!$A$2:$A$4,0))+-0.01</f>
        <v>69.989999999999995</v>
      </c>
      <c r="Q172" s="4">
        <f>IF(AND(P172&gt;=INDEX(Dim_Product!$G$2:$G$4,MATCH(F172,Dim_Product!$A$2:$A$4,0))-INDEX(Dim_Product!$H$2:$H$4,MATCH(F172,Dim_Product!$A$2:$A$4,0)),P172&lt;=INDEX(Dim_Product!$G$2:$G$4,MATCH(F172,Dim_Product!$A$2:$A$4,0))+INDEX(Dim_Product!$H$2:$H$4,MATCH(F172,Dim_Product!$A$2:$A$4,0))),G172-H172,G172-H172-1)</f>
        <v>24</v>
      </c>
      <c r="R172" s="4">
        <f t="shared" si="20"/>
        <v>0</v>
      </c>
      <c r="S172" s="4">
        <f>INDEX(Dim_Product!$K$2:$K$4,MATCH(F172,Dim_Product!$A$2:$A$4,0))+0.11</f>
        <v>120.11</v>
      </c>
      <c r="T172" s="4">
        <f>IF(AND(S172&gt;=INDEX(Dim_Product!$K$2:$K$4,MATCH(F172,Dim_Product!$A$2:$A$4,0))-INDEX(Dim_Product!$L$2:$L$4,MATCH(F172,Dim_Product!$A$2:$A$4,0)),S172&lt;=INDEX(Dim_Product!$K$2:$K$4,MATCH(F172,Dim_Product!$A$2:$A$4,0))+INDEX(Dim_Product!$L$2:$L$4,MATCH(F172,Dim_Product!$A$2:$A$4,0))),G172-H172,G172-H172-1)</f>
        <v>24</v>
      </c>
      <c r="U172" s="4">
        <f t="shared" si="21"/>
        <v>0</v>
      </c>
      <c r="V172" s="4">
        <f t="shared" si="22"/>
        <v>0</v>
      </c>
      <c r="W172" s="16">
        <f t="shared" si="23"/>
        <v>1</v>
      </c>
    </row>
    <row r="173" spans="1:23" x14ac:dyDescent="0.25">
      <c r="A173" s="15" t="s">
        <v>674</v>
      </c>
      <c r="B173" s="4">
        <f>Fact_Production_Hourly!B173</f>
        <v>20260702</v>
      </c>
      <c r="C173" s="4">
        <f>Fact_Production_Hourly!C173</f>
        <v>0</v>
      </c>
      <c r="D173" s="4" t="str">
        <f>Fact_Production_Hourly!D173</f>
        <v>M4</v>
      </c>
      <c r="E173" s="4" t="str">
        <f>Fact_Production_Hourly!E173</f>
        <v>B-PM</v>
      </c>
      <c r="F173" s="4" t="str">
        <f>Fact_Production_Hourly!F173</f>
        <v>C</v>
      </c>
      <c r="G173" s="4">
        <f>INDEX(Dim_Machine!$D$2:$D$8,MATCH(D173,Dim_Machine!$A$2:$A$8,0))*2</f>
        <v>48</v>
      </c>
      <c r="H173" s="4">
        <f>ROUND(G173*0.0522,0)</f>
        <v>3</v>
      </c>
      <c r="I173" s="4">
        <f t="shared" si="16"/>
        <v>0</v>
      </c>
      <c r="J173" s="4">
        <f t="shared" si="17"/>
        <v>1</v>
      </c>
      <c r="K173" s="4">
        <f t="shared" si="18"/>
        <v>2</v>
      </c>
      <c r="L173" s="4" t="s">
        <v>498</v>
      </c>
      <c r="M173" s="4">
        <f>INDEX(Dim_Product!$C$2:$C$4,MATCH(F173,Dim_Product!$A$2:$A$4,0))+0</f>
        <v>200</v>
      </c>
      <c r="N173" s="4">
        <f>IF(AND(M173&gt;=INDEX(Dim_Product!$C$2:$C$4,MATCH(F173,Dim_Product!$A$2:$A$4,0))-INDEX(Dim_Product!$D$2:$D$4,MATCH(F173,Dim_Product!$A$2:$A$4,0)),M173&lt;=INDEX(Dim_Product!$C$2:$C$4,MATCH(F173,Dim_Product!$A$2:$A$4,0))+INDEX(Dim_Product!$D$2:$D$4,MATCH(F173,Dim_Product!$A$2:$A$4,0))),G173-H173,G173-H173-1)</f>
        <v>45</v>
      </c>
      <c r="O173" s="4">
        <f t="shared" si="19"/>
        <v>3</v>
      </c>
      <c r="P173" s="4">
        <f>INDEX(Dim_Product!$G$2:$G$4,MATCH(F173,Dim_Product!$A$2:$A$4,0))+-0.04</f>
        <v>64.959999999999994</v>
      </c>
      <c r="Q173" s="4">
        <f>IF(AND(P173&gt;=INDEX(Dim_Product!$G$2:$G$4,MATCH(F173,Dim_Product!$A$2:$A$4,0))-INDEX(Dim_Product!$H$2:$H$4,MATCH(F173,Dim_Product!$A$2:$A$4,0)),P173&lt;=INDEX(Dim_Product!$G$2:$G$4,MATCH(F173,Dim_Product!$A$2:$A$4,0))+INDEX(Dim_Product!$H$2:$H$4,MATCH(F173,Dim_Product!$A$2:$A$4,0))),G173-H173,G173-H173-1)</f>
        <v>45</v>
      </c>
      <c r="R173" s="4">
        <f t="shared" si="20"/>
        <v>3</v>
      </c>
      <c r="S173" s="4">
        <f>INDEX(Dim_Product!$K$2:$K$4,MATCH(F173,Dim_Product!$A$2:$A$4,0))+0.23</f>
        <v>110.23</v>
      </c>
      <c r="T173" s="4">
        <f>IF(AND(S173&gt;=INDEX(Dim_Product!$K$2:$K$4,MATCH(F173,Dim_Product!$A$2:$A$4,0))-INDEX(Dim_Product!$L$2:$L$4,MATCH(F173,Dim_Product!$A$2:$A$4,0)),S173&lt;=INDEX(Dim_Product!$K$2:$K$4,MATCH(F173,Dim_Product!$A$2:$A$4,0))+INDEX(Dim_Product!$L$2:$L$4,MATCH(F173,Dim_Product!$A$2:$A$4,0))),G173-H173,G173-H173-1)</f>
        <v>45</v>
      </c>
      <c r="U173" s="4">
        <f t="shared" si="21"/>
        <v>3</v>
      </c>
      <c r="V173" s="4">
        <f t="shared" si="22"/>
        <v>6.25E-2</v>
      </c>
      <c r="W173" s="16">
        <f t="shared" si="23"/>
        <v>0.9375</v>
      </c>
    </row>
    <row r="174" spans="1:23" x14ac:dyDescent="0.25">
      <c r="A174" s="15" t="s">
        <v>675</v>
      </c>
      <c r="B174" s="4">
        <f>Fact_Production_Hourly!B174</f>
        <v>20260702</v>
      </c>
      <c r="C174" s="4">
        <f>Fact_Production_Hourly!C174</f>
        <v>0</v>
      </c>
      <c r="D174" s="4" t="str">
        <f>Fact_Production_Hourly!D174</f>
        <v>M5</v>
      </c>
      <c r="E174" s="4" t="str">
        <f>Fact_Production_Hourly!E174</f>
        <v>B-PM</v>
      </c>
      <c r="F174" s="4" t="str">
        <f>Fact_Production_Hourly!F174</f>
        <v>A</v>
      </c>
      <c r="G174" s="4">
        <f>INDEX(Dim_Machine!$D$2:$D$8,MATCH(D174,Dim_Machine!$A$2:$A$8,0))*2</f>
        <v>32</v>
      </c>
      <c r="H174" s="4">
        <f>ROUND(G174*0.044,0)</f>
        <v>1</v>
      </c>
      <c r="I174" s="4">
        <f t="shared" si="16"/>
        <v>0</v>
      </c>
      <c r="J174" s="4">
        <f t="shared" si="17"/>
        <v>0</v>
      </c>
      <c r="K174" s="4">
        <f t="shared" si="18"/>
        <v>1</v>
      </c>
      <c r="L174" s="4" t="s">
        <v>498</v>
      </c>
      <c r="M174" s="4">
        <f>INDEX(Dim_Product!$C$2:$C$4,MATCH(F174,Dim_Product!$A$2:$A$4,0))+0.79</f>
        <v>250.79</v>
      </c>
      <c r="N174" s="4">
        <f>IF(AND(M174&gt;=INDEX(Dim_Product!$C$2:$C$4,MATCH(F174,Dim_Product!$A$2:$A$4,0))-INDEX(Dim_Product!$D$2:$D$4,MATCH(F174,Dim_Product!$A$2:$A$4,0)),M174&lt;=INDEX(Dim_Product!$C$2:$C$4,MATCH(F174,Dim_Product!$A$2:$A$4,0))+INDEX(Dim_Product!$D$2:$D$4,MATCH(F174,Dim_Product!$A$2:$A$4,0))),G174-H174,G174-H174-1)</f>
        <v>31</v>
      </c>
      <c r="O174" s="4">
        <f t="shared" si="19"/>
        <v>1</v>
      </c>
      <c r="P174" s="4">
        <f>INDEX(Dim_Product!$G$2:$G$4,MATCH(F174,Dim_Product!$A$2:$A$4,0))+0.25</f>
        <v>70.25</v>
      </c>
      <c r="Q174" s="4">
        <f>IF(AND(P174&gt;=INDEX(Dim_Product!$G$2:$G$4,MATCH(F174,Dim_Product!$A$2:$A$4,0))-INDEX(Dim_Product!$H$2:$H$4,MATCH(F174,Dim_Product!$A$2:$A$4,0)),P174&lt;=INDEX(Dim_Product!$G$2:$G$4,MATCH(F174,Dim_Product!$A$2:$A$4,0))+INDEX(Dim_Product!$H$2:$H$4,MATCH(F174,Dim_Product!$A$2:$A$4,0))),G174-H174,G174-H174-1)</f>
        <v>31</v>
      </c>
      <c r="R174" s="4">
        <f t="shared" si="20"/>
        <v>1</v>
      </c>
      <c r="S174" s="4">
        <f>INDEX(Dim_Product!$K$2:$K$4,MATCH(F174,Dim_Product!$A$2:$A$4,0))+-0.22</f>
        <v>119.78</v>
      </c>
      <c r="T174" s="4">
        <f>IF(AND(S174&gt;=INDEX(Dim_Product!$K$2:$K$4,MATCH(F174,Dim_Product!$A$2:$A$4,0))-INDEX(Dim_Product!$L$2:$L$4,MATCH(F174,Dim_Product!$A$2:$A$4,0)),S174&lt;=INDEX(Dim_Product!$K$2:$K$4,MATCH(F174,Dim_Product!$A$2:$A$4,0))+INDEX(Dim_Product!$L$2:$L$4,MATCH(F174,Dim_Product!$A$2:$A$4,0))),G174-H174,G174-H174-1)</f>
        <v>31</v>
      </c>
      <c r="U174" s="4">
        <f t="shared" si="21"/>
        <v>1</v>
      </c>
      <c r="V174" s="4">
        <f t="shared" si="22"/>
        <v>3.125E-2</v>
      </c>
      <c r="W174" s="16">
        <f t="shared" si="23"/>
        <v>0.96875</v>
      </c>
    </row>
    <row r="175" spans="1:23" x14ac:dyDescent="0.25">
      <c r="A175" s="15" t="s">
        <v>676</v>
      </c>
      <c r="B175" s="4">
        <f>Fact_Production_Hourly!B175</f>
        <v>20260702</v>
      </c>
      <c r="C175" s="4">
        <f>Fact_Production_Hourly!C175</f>
        <v>0</v>
      </c>
      <c r="D175" s="4" t="str">
        <f>Fact_Production_Hourly!D175</f>
        <v>M6</v>
      </c>
      <c r="E175" s="4" t="str">
        <f>Fact_Production_Hourly!E175</f>
        <v>B-PM</v>
      </c>
      <c r="F175" s="4" t="str">
        <f>Fact_Production_Hourly!F175</f>
        <v>A</v>
      </c>
      <c r="G175" s="4">
        <f>INDEX(Dim_Machine!$D$2:$D$8,MATCH(D175,Dim_Machine!$A$2:$A$8,0))*2</f>
        <v>24</v>
      </c>
      <c r="H175" s="4">
        <f>ROUND(G175*0.0641,0)</f>
        <v>2</v>
      </c>
      <c r="I175" s="4">
        <f t="shared" si="16"/>
        <v>0</v>
      </c>
      <c r="J175" s="4">
        <f t="shared" si="17"/>
        <v>1</v>
      </c>
      <c r="K175" s="4">
        <f t="shared" si="18"/>
        <v>1</v>
      </c>
      <c r="L175" s="4" t="s">
        <v>520</v>
      </c>
      <c r="M175" s="4">
        <f>INDEX(Dim_Product!$C$2:$C$4,MATCH(F175,Dim_Product!$A$2:$A$4,0))+0.78</f>
        <v>250.78</v>
      </c>
      <c r="N175" s="4">
        <f>IF(AND(M175&gt;=INDEX(Dim_Product!$C$2:$C$4,MATCH(F175,Dim_Product!$A$2:$A$4,0))-INDEX(Dim_Product!$D$2:$D$4,MATCH(F175,Dim_Product!$A$2:$A$4,0)),M175&lt;=INDEX(Dim_Product!$C$2:$C$4,MATCH(F175,Dim_Product!$A$2:$A$4,0))+INDEX(Dim_Product!$D$2:$D$4,MATCH(F175,Dim_Product!$A$2:$A$4,0))),G175-H175,G175-H175-1)</f>
        <v>22</v>
      </c>
      <c r="O175" s="4">
        <f t="shared" si="19"/>
        <v>2</v>
      </c>
      <c r="P175" s="4">
        <f>INDEX(Dim_Product!$G$2:$G$4,MATCH(F175,Dim_Product!$A$2:$A$4,0))+-0.01</f>
        <v>69.989999999999995</v>
      </c>
      <c r="Q175" s="4">
        <f>IF(AND(P175&gt;=INDEX(Dim_Product!$G$2:$G$4,MATCH(F175,Dim_Product!$A$2:$A$4,0))-INDEX(Dim_Product!$H$2:$H$4,MATCH(F175,Dim_Product!$A$2:$A$4,0)),P175&lt;=INDEX(Dim_Product!$G$2:$G$4,MATCH(F175,Dim_Product!$A$2:$A$4,0))+INDEX(Dim_Product!$H$2:$H$4,MATCH(F175,Dim_Product!$A$2:$A$4,0))),G175-H175,G175-H175-1)</f>
        <v>22</v>
      </c>
      <c r="R175" s="4">
        <f t="shared" si="20"/>
        <v>2</v>
      </c>
      <c r="S175" s="4">
        <f>INDEX(Dim_Product!$K$2:$K$4,MATCH(F175,Dim_Product!$A$2:$A$4,0))+-0.36</f>
        <v>119.64</v>
      </c>
      <c r="T175" s="4">
        <f>IF(AND(S175&gt;=INDEX(Dim_Product!$K$2:$K$4,MATCH(F175,Dim_Product!$A$2:$A$4,0))-INDEX(Dim_Product!$L$2:$L$4,MATCH(F175,Dim_Product!$A$2:$A$4,0)),S175&lt;=INDEX(Dim_Product!$K$2:$K$4,MATCH(F175,Dim_Product!$A$2:$A$4,0))+INDEX(Dim_Product!$L$2:$L$4,MATCH(F175,Dim_Product!$A$2:$A$4,0))),G175-H175,G175-H175-1)</f>
        <v>22</v>
      </c>
      <c r="U175" s="4">
        <f t="shared" si="21"/>
        <v>2</v>
      </c>
      <c r="V175" s="4">
        <f t="shared" si="22"/>
        <v>8.3333333333333329E-2</v>
      </c>
      <c r="W175" s="16">
        <f t="shared" si="23"/>
        <v>0.91666666666666663</v>
      </c>
    </row>
    <row r="176" spans="1:23" x14ac:dyDescent="0.25">
      <c r="A176" s="15" t="s">
        <v>677</v>
      </c>
      <c r="B176" s="4">
        <f>Fact_Production_Hourly!B176</f>
        <v>20260702</v>
      </c>
      <c r="C176" s="4">
        <f>Fact_Production_Hourly!C176</f>
        <v>0</v>
      </c>
      <c r="D176" s="4" t="str">
        <f>Fact_Production_Hourly!D176</f>
        <v>M7</v>
      </c>
      <c r="E176" s="4" t="str">
        <f>Fact_Production_Hourly!E176</f>
        <v>B-PM</v>
      </c>
      <c r="F176" s="4" t="str">
        <f>Fact_Production_Hourly!F176</f>
        <v>C</v>
      </c>
      <c r="G176" s="4">
        <f>INDEX(Dim_Machine!$D$2:$D$8,MATCH(D176,Dim_Machine!$A$2:$A$8,0))*2</f>
        <v>48</v>
      </c>
      <c r="H176" s="4">
        <f>ROUND(G176*0.0145,0)</f>
        <v>1</v>
      </c>
      <c r="I176" s="4">
        <f t="shared" si="16"/>
        <v>0</v>
      </c>
      <c r="J176" s="4">
        <f t="shared" si="17"/>
        <v>0</v>
      </c>
      <c r="K176" s="4">
        <f t="shared" si="18"/>
        <v>1</v>
      </c>
      <c r="L176" s="4" t="s">
        <v>517</v>
      </c>
      <c r="M176" s="4">
        <f>INDEX(Dim_Product!$C$2:$C$4,MATCH(F176,Dim_Product!$A$2:$A$4,0))+0.8</f>
        <v>200.8</v>
      </c>
      <c r="N176" s="4">
        <f>IF(AND(M176&gt;=INDEX(Dim_Product!$C$2:$C$4,MATCH(F176,Dim_Product!$A$2:$A$4,0))-INDEX(Dim_Product!$D$2:$D$4,MATCH(F176,Dim_Product!$A$2:$A$4,0)),M176&lt;=INDEX(Dim_Product!$C$2:$C$4,MATCH(F176,Dim_Product!$A$2:$A$4,0))+INDEX(Dim_Product!$D$2:$D$4,MATCH(F176,Dim_Product!$A$2:$A$4,0))),G176-H176,G176-H176-1)</f>
        <v>47</v>
      </c>
      <c r="O176" s="4">
        <f t="shared" si="19"/>
        <v>1</v>
      </c>
      <c r="P176" s="4">
        <f>INDEX(Dim_Product!$G$2:$G$4,MATCH(F176,Dim_Product!$A$2:$A$4,0))+0.04</f>
        <v>65.040000000000006</v>
      </c>
      <c r="Q176" s="4">
        <f>IF(AND(P176&gt;=INDEX(Dim_Product!$G$2:$G$4,MATCH(F176,Dim_Product!$A$2:$A$4,0))-INDEX(Dim_Product!$H$2:$H$4,MATCH(F176,Dim_Product!$A$2:$A$4,0)),P176&lt;=INDEX(Dim_Product!$G$2:$G$4,MATCH(F176,Dim_Product!$A$2:$A$4,0))+INDEX(Dim_Product!$H$2:$H$4,MATCH(F176,Dim_Product!$A$2:$A$4,0))),G176-H176,G176-H176-1)</f>
        <v>47</v>
      </c>
      <c r="R176" s="4">
        <f t="shared" si="20"/>
        <v>1</v>
      </c>
      <c r="S176" s="4">
        <f>INDEX(Dim_Product!$K$2:$K$4,MATCH(F176,Dim_Product!$A$2:$A$4,0))+-0.37</f>
        <v>109.63</v>
      </c>
      <c r="T176" s="4">
        <f>IF(AND(S176&gt;=INDEX(Dim_Product!$K$2:$K$4,MATCH(F176,Dim_Product!$A$2:$A$4,0))-INDEX(Dim_Product!$L$2:$L$4,MATCH(F176,Dim_Product!$A$2:$A$4,0)),S176&lt;=INDEX(Dim_Product!$K$2:$K$4,MATCH(F176,Dim_Product!$A$2:$A$4,0))+INDEX(Dim_Product!$L$2:$L$4,MATCH(F176,Dim_Product!$A$2:$A$4,0))),G176-H176,G176-H176-1)</f>
        <v>47</v>
      </c>
      <c r="U176" s="4">
        <f t="shared" si="21"/>
        <v>1</v>
      </c>
      <c r="V176" s="4">
        <f t="shared" si="22"/>
        <v>2.0833333333333332E-2</v>
      </c>
      <c r="W176" s="16">
        <f t="shared" si="23"/>
        <v>0.97916666666666663</v>
      </c>
    </row>
    <row r="177" spans="1:23" x14ac:dyDescent="0.25">
      <c r="A177" s="15" t="s">
        <v>678</v>
      </c>
      <c r="B177" s="4">
        <f>Fact_Production_Hourly!B177</f>
        <v>20260702</v>
      </c>
      <c r="C177" s="4">
        <f>Fact_Production_Hourly!C177</f>
        <v>1</v>
      </c>
      <c r="D177" s="4" t="str">
        <f>Fact_Production_Hourly!D177</f>
        <v>M1</v>
      </c>
      <c r="E177" s="4" t="str">
        <f>Fact_Production_Hourly!E177</f>
        <v>B-PM</v>
      </c>
      <c r="F177" s="4" t="str">
        <f>Fact_Production_Hourly!F177</f>
        <v>B</v>
      </c>
      <c r="G177" s="4">
        <f>INDEX(Dim_Machine!$D$2:$D$8,MATCH(D177,Dim_Machine!$A$2:$A$8,0))*2</f>
        <v>32</v>
      </c>
      <c r="H177" s="4">
        <f>ROUND(G177*0.0657,0)</f>
        <v>2</v>
      </c>
      <c r="I177" s="4">
        <f t="shared" si="16"/>
        <v>0</v>
      </c>
      <c r="J177" s="4">
        <f t="shared" si="17"/>
        <v>1</v>
      </c>
      <c r="K177" s="4">
        <f t="shared" si="18"/>
        <v>1</v>
      </c>
      <c r="L177" s="4" t="s">
        <v>517</v>
      </c>
      <c r="M177" s="4">
        <f>INDEX(Dim_Product!$C$2:$C$4,MATCH(F177,Dim_Product!$A$2:$A$4,0))+-0.97</f>
        <v>299.02999999999997</v>
      </c>
      <c r="N177" s="4">
        <f>IF(AND(M177&gt;=INDEX(Dim_Product!$C$2:$C$4,MATCH(F177,Dim_Product!$A$2:$A$4,0))-INDEX(Dim_Product!$D$2:$D$4,MATCH(F177,Dim_Product!$A$2:$A$4,0)),M177&lt;=INDEX(Dim_Product!$C$2:$C$4,MATCH(F177,Dim_Product!$A$2:$A$4,0))+INDEX(Dim_Product!$D$2:$D$4,MATCH(F177,Dim_Product!$A$2:$A$4,0))),G177-H177,G177-H177-1)</f>
        <v>30</v>
      </c>
      <c r="O177" s="4">
        <f t="shared" si="19"/>
        <v>2</v>
      </c>
      <c r="P177" s="4">
        <f>INDEX(Dim_Product!$G$2:$G$4,MATCH(F177,Dim_Product!$A$2:$A$4,0))+-0.18</f>
        <v>74.819999999999993</v>
      </c>
      <c r="Q177" s="4">
        <f>IF(AND(P177&gt;=INDEX(Dim_Product!$G$2:$G$4,MATCH(F177,Dim_Product!$A$2:$A$4,0))-INDEX(Dim_Product!$H$2:$H$4,MATCH(F177,Dim_Product!$A$2:$A$4,0)),P177&lt;=INDEX(Dim_Product!$G$2:$G$4,MATCH(F177,Dim_Product!$A$2:$A$4,0))+INDEX(Dim_Product!$H$2:$H$4,MATCH(F177,Dim_Product!$A$2:$A$4,0))),G177-H177,G177-H177-1)</f>
        <v>30</v>
      </c>
      <c r="R177" s="4">
        <f t="shared" si="20"/>
        <v>2</v>
      </c>
      <c r="S177" s="4">
        <f>INDEX(Dim_Product!$K$2:$K$4,MATCH(F177,Dim_Product!$A$2:$A$4,0))+-0.28</f>
        <v>129.72</v>
      </c>
      <c r="T177" s="4">
        <f>IF(AND(S177&gt;=INDEX(Dim_Product!$K$2:$K$4,MATCH(F177,Dim_Product!$A$2:$A$4,0))-INDEX(Dim_Product!$L$2:$L$4,MATCH(F177,Dim_Product!$A$2:$A$4,0)),S177&lt;=INDEX(Dim_Product!$K$2:$K$4,MATCH(F177,Dim_Product!$A$2:$A$4,0))+INDEX(Dim_Product!$L$2:$L$4,MATCH(F177,Dim_Product!$A$2:$A$4,0))),G177-H177,G177-H177-1)</f>
        <v>30</v>
      </c>
      <c r="U177" s="4">
        <f t="shared" si="21"/>
        <v>2</v>
      </c>
      <c r="V177" s="4">
        <f t="shared" si="22"/>
        <v>6.25E-2</v>
      </c>
      <c r="W177" s="16">
        <f t="shared" si="23"/>
        <v>0.9375</v>
      </c>
    </row>
    <row r="178" spans="1:23" x14ac:dyDescent="0.25">
      <c r="A178" s="15" t="s">
        <v>679</v>
      </c>
      <c r="B178" s="4">
        <f>Fact_Production_Hourly!B178</f>
        <v>20260702</v>
      </c>
      <c r="C178" s="4">
        <f>Fact_Production_Hourly!C178</f>
        <v>1</v>
      </c>
      <c r="D178" s="4" t="str">
        <f>Fact_Production_Hourly!D178</f>
        <v>M2</v>
      </c>
      <c r="E178" s="4" t="str">
        <f>Fact_Production_Hourly!E178</f>
        <v>B-PM</v>
      </c>
      <c r="F178" s="4" t="str">
        <f>Fact_Production_Hourly!F178</f>
        <v>A</v>
      </c>
      <c r="G178" s="4">
        <f>INDEX(Dim_Machine!$D$2:$D$8,MATCH(D178,Dim_Machine!$A$2:$A$8,0))*2</f>
        <v>48</v>
      </c>
      <c r="H178" s="4">
        <f>ROUND(G178*0.0592,0)</f>
        <v>3</v>
      </c>
      <c r="I178" s="4">
        <f t="shared" si="16"/>
        <v>0</v>
      </c>
      <c r="J178" s="4">
        <f t="shared" si="17"/>
        <v>1</v>
      </c>
      <c r="K178" s="4">
        <f t="shared" si="18"/>
        <v>2</v>
      </c>
      <c r="L178" s="4" t="s">
        <v>503</v>
      </c>
      <c r="M178" s="4">
        <f>INDEX(Dim_Product!$C$2:$C$4,MATCH(F178,Dim_Product!$A$2:$A$4,0))+0.86</f>
        <v>250.86</v>
      </c>
      <c r="N178" s="4">
        <f>IF(AND(M178&gt;=INDEX(Dim_Product!$C$2:$C$4,MATCH(F178,Dim_Product!$A$2:$A$4,0))-INDEX(Dim_Product!$D$2:$D$4,MATCH(F178,Dim_Product!$A$2:$A$4,0)),M178&lt;=INDEX(Dim_Product!$C$2:$C$4,MATCH(F178,Dim_Product!$A$2:$A$4,0))+INDEX(Dim_Product!$D$2:$D$4,MATCH(F178,Dim_Product!$A$2:$A$4,0))),G178-H178,G178-H178-1)</f>
        <v>45</v>
      </c>
      <c r="O178" s="4">
        <f t="shared" si="19"/>
        <v>3</v>
      </c>
      <c r="P178" s="4">
        <f>INDEX(Dim_Product!$G$2:$G$4,MATCH(F178,Dim_Product!$A$2:$A$4,0))+-0.12</f>
        <v>69.88</v>
      </c>
      <c r="Q178" s="4">
        <f>IF(AND(P178&gt;=INDEX(Dim_Product!$G$2:$G$4,MATCH(F178,Dim_Product!$A$2:$A$4,0))-INDEX(Dim_Product!$H$2:$H$4,MATCH(F178,Dim_Product!$A$2:$A$4,0)),P178&lt;=INDEX(Dim_Product!$G$2:$G$4,MATCH(F178,Dim_Product!$A$2:$A$4,0))+INDEX(Dim_Product!$H$2:$H$4,MATCH(F178,Dim_Product!$A$2:$A$4,0))),G178-H178,G178-H178-1)</f>
        <v>45</v>
      </c>
      <c r="R178" s="4">
        <f t="shared" si="20"/>
        <v>3</v>
      </c>
      <c r="S178" s="4">
        <f>INDEX(Dim_Product!$K$2:$K$4,MATCH(F178,Dim_Product!$A$2:$A$4,0))+0.05</f>
        <v>120.05</v>
      </c>
      <c r="T178" s="4">
        <f>IF(AND(S178&gt;=INDEX(Dim_Product!$K$2:$K$4,MATCH(F178,Dim_Product!$A$2:$A$4,0))-INDEX(Dim_Product!$L$2:$L$4,MATCH(F178,Dim_Product!$A$2:$A$4,0)),S178&lt;=INDEX(Dim_Product!$K$2:$K$4,MATCH(F178,Dim_Product!$A$2:$A$4,0))+INDEX(Dim_Product!$L$2:$L$4,MATCH(F178,Dim_Product!$A$2:$A$4,0))),G178-H178,G178-H178-1)</f>
        <v>45</v>
      </c>
      <c r="U178" s="4">
        <f t="shared" si="21"/>
        <v>3</v>
      </c>
      <c r="V178" s="4">
        <f t="shared" si="22"/>
        <v>6.25E-2</v>
      </c>
      <c r="W178" s="16">
        <f t="shared" si="23"/>
        <v>0.9375</v>
      </c>
    </row>
    <row r="179" spans="1:23" x14ac:dyDescent="0.25">
      <c r="A179" s="15" t="s">
        <v>680</v>
      </c>
      <c r="B179" s="4">
        <f>Fact_Production_Hourly!B179</f>
        <v>20260702</v>
      </c>
      <c r="C179" s="4">
        <f>Fact_Production_Hourly!C179</f>
        <v>1</v>
      </c>
      <c r="D179" s="4" t="str">
        <f>Fact_Production_Hourly!D179</f>
        <v>M3</v>
      </c>
      <c r="E179" s="4" t="str">
        <f>Fact_Production_Hourly!E179</f>
        <v>B-PM</v>
      </c>
      <c r="F179" s="4" t="str">
        <f>Fact_Production_Hourly!F179</f>
        <v>A</v>
      </c>
      <c r="G179" s="4">
        <f>INDEX(Dim_Machine!$D$2:$D$8,MATCH(D179,Dim_Machine!$A$2:$A$8,0))*2</f>
        <v>24</v>
      </c>
      <c r="H179" s="4">
        <f>ROUND(G179*0.044,0)</f>
        <v>1</v>
      </c>
      <c r="I179" s="4">
        <f t="shared" si="16"/>
        <v>0</v>
      </c>
      <c r="J179" s="4">
        <f t="shared" si="17"/>
        <v>0</v>
      </c>
      <c r="K179" s="4">
        <f t="shared" si="18"/>
        <v>1</v>
      </c>
      <c r="L179" s="4" t="s">
        <v>503</v>
      </c>
      <c r="M179" s="4">
        <f>INDEX(Dim_Product!$C$2:$C$4,MATCH(F179,Dim_Product!$A$2:$A$4,0))+0.35</f>
        <v>250.35</v>
      </c>
      <c r="N179" s="4">
        <f>IF(AND(M179&gt;=INDEX(Dim_Product!$C$2:$C$4,MATCH(F179,Dim_Product!$A$2:$A$4,0))-INDEX(Dim_Product!$D$2:$D$4,MATCH(F179,Dim_Product!$A$2:$A$4,0)),M179&lt;=INDEX(Dim_Product!$C$2:$C$4,MATCH(F179,Dim_Product!$A$2:$A$4,0))+INDEX(Dim_Product!$D$2:$D$4,MATCH(F179,Dim_Product!$A$2:$A$4,0))),G179-H179,G179-H179-1)</f>
        <v>23</v>
      </c>
      <c r="O179" s="4">
        <f t="shared" si="19"/>
        <v>1</v>
      </c>
      <c r="P179" s="4">
        <f>INDEX(Dim_Product!$G$2:$G$4,MATCH(F179,Dim_Product!$A$2:$A$4,0))+0.02</f>
        <v>70.02</v>
      </c>
      <c r="Q179" s="4">
        <f>IF(AND(P179&gt;=INDEX(Dim_Product!$G$2:$G$4,MATCH(F179,Dim_Product!$A$2:$A$4,0))-INDEX(Dim_Product!$H$2:$H$4,MATCH(F179,Dim_Product!$A$2:$A$4,0)),P179&lt;=INDEX(Dim_Product!$G$2:$G$4,MATCH(F179,Dim_Product!$A$2:$A$4,0))+INDEX(Dim_Product!$H$2:$H$4,MATCH(F179,Dim_Product!$A$2:$A$4,0))),G179-H179,G179-H179-1)</f>
        <v>23</v>
      </c>
      <c r="R179" s="4">
        <f t="shared" si="20"/>
        <v>1</v>
      </c>
      <c r="S179" s="4">
        <f>INDEX(Dim_Product!$K$2:$K$4,MATCH(F179,Dim_Product!$A$2:$A$4,0))+-0.09</f>
        <v>119.91</v>
      </c>
      <c r="T179" s="4">
        <f>IF(AND(S179&gt;=INDEX(Dim_Product!$K$2:$K$4,MATCH(F179,Dim_Product!$A$2:$A$4,0))-INDEX(Dim_Product!$L$2:$L$4,MATCH(F179,Dim_Product!$A$2:$A$4,0)),S179&lt;=INDEX(Dim_Product!$K$2:$K$4,MATCH(F179,Dim_Product!$A$2:$A$4,0))+INDEX(Dim_Product!$L$2:$L$4,MATCH(F179,Dim_Product!$A$2:$A$4,0))),G179-H179,G179-H179-1)</f>
        <v>23</v>
      </c>
      <c r="U179" s="4">
        <f t="shared" si="21"/>
        <v>1</v>
      </c>
      <c r="V179" s="4">
        <f t="shared" si="22"/>
        <v>4.1666666666666664E-2</v>
      </c>
      <c r="W179" s="16">
        <f t="shared" si="23"/>
        <v>0.95833333333333337</v>
      </c>
    </row>
    <row r="180" spans="1:23" x14ac:dyDescent="0.25">
      <c r="A180" s="15" t="s">
        <v>681</v>
      </c>
      <c r="B180" s="4">
        <f>Fact_Production_Hourly!B180</f>
        <v>20260702</v>
      </c>
      <c r="C180" s="4">
        <f>Fact_Production_Hourly!C180</f>
        <v>1</v>
      </c>
      <c r="D180" s="4" t="str">
        <f>Fact_Production_Hourly!D180</f>
        <v>M4</v>
      </c>
      <c r="E180" s="4" t="str">
        <f>Fact_Production_Hourly!E180</f>
        <v>B-PM</v>
      </c>
      <c r="F180" s="4" t="str">
        <f>Fact_Production_Hourly!F180</f>
        <v>C</v>
      </c>
      <c r="G180" s="4">
        <f>INDEX(Dim_Machine!$D$2:$D$8,MATCH(D180,Dim_Machine!$A$2:$A$8,0))*2</f>
        <v>48</v>
      </c>
      <c r="H180" s="4">
        <f>ROUND(G180*0.0544,0)</f>
        <v>3</v>
      </c>
      <c r="I180" s="4">
        <f t="shared" si="16"/>
        <v>0</v>
      </c>
      <c r="J180" s="4">
        <f t="shared" si="17"/>
        <v>1</v>
      </c>
      <c r="K180" s="4">
        <f t="shared" si="18"/>
        <v>2</v>
      </c>
      <c r="L180" s="4" t="s">
        <v>520</v>
      </c>
      <c r="M180" s="4">
        <f>INDEX(Dim_Product!$C$2:$C$4,MATCH(F180,Dim_Product!$A$2:$A$4,0))+0.45</f>
        <v>200.45</v>
      </c>
      <c r="N180" s="4">
        <f>IF(AND(M180&gt;=INDEX(Dim_Product!$C$2:$C$4,MATCH(F180,Dim_Product!$A$2:$A$4,0))-INDEX(Dim_Product!$D$2:$D$4,MATCH(F180,Dim_Product!$A$2:$A$4,0)),M180&lt;=INDEX(Dim_Product!$C$2:$C$4,MATCH(F180,Dim_Product!$A$2:$A$4,0))+INDEX(Dim_Product!$D$2:$D$4,MATCH(F180,Dim_Product!$A$2:$A$4,0))),G180-H180,G180-H180-1)</f>
        <v>45</v>
      </c>
      <c r="O180" s="4">
        <f t="shared" si="19"/>
        <v>3</v>
      </c>
      <c r="P180" s="4">
        <f>INDEX(Dim_Product!$G$2:$G$4,MATCH(F180,Dim_Product!$A$2:$A$4,0))+0</f>
        <v>65</v>
      </c>
      <c r="Q180" s="4">
        <f>IF(AND(P180&gt;=INDEX(Dim_Product!$G$2:$G$4,MATCH(F180,Dim_Product!$A$2:$A$4,0))-INDEX(Dim_Product!$H$2:$H$4,MATCH(F180,Dim_Product!$A$2:$A$4,0)),P180&lt;=INDEX(Dim_Product!$G$2:$G$4,MATCH(F180,Dim_Product!$A$2:$A$4,0))+INDEX(Dim_Product!$H$2:$H$4,MATCH(F180,Dim_Product!$A$2:$A$4,0))),G180-H180,G180-H180-1)</f>
        <v>45</v>
      </c>
      <c r="R180" s="4">
        <f t="shared" si="20"/>
        <v>3</v>
      </c>
      <c r="S180" s="4">
        <f>INDEX(Dim_Product!$K$2:$K$4,MATCH(F180,Dim_Product!$A$2:$A$4,0))+0.38</f>
        <v>110.38</v>
      </c>
      <c r="T180" s="4">
        <f>IF(AND(S180&gt;=INDEX(Dim_Product!$K$2:$K$4,MATCH(F180,Dim_Product!$A$2:$A$4,0))-INDEX(Dim_Product!$L$2:$L$4,MATCH(F180,Dim_Product!$A$2:$A$4,0)),S180&lt;=INDEX(Dim_Product!$K$2:$K$4,MATCH(F180,Dim_Product!$A$2:$A$4,0))+INDEX(Dim_Product!$L$2:$L$4,MATCH(F180,Dim_Product!$A$2:$A$4,0))),G180-H180,G180-H180-1)</f>
        <v>45</v>
      </c>
      <c r="U180" s="4">
        <f t="shared" si="21"/>
        <v>3</v>
      </c>
      <c r="V180" s="4">
        <f t="shared" si="22"/>
        <v>6.25E-2</v>
      </c>
      <c r="W180" s="16">
        <f t="shared" si="23"/>
        <v>0.9375</v>
      </c>
    </row>
    <row r="181" spans="1:23" x14ac:dyDescent="0.25">
      <c r="A181" s="15" t="s">
        <v>682</v>
      </c>
      <c r="B181" s="4">
        <f>Fact_Production_Hourly!B181</f>
        <v>20260702</v>
      </c>
      <c r="C181" s="4">
        <f>Fact_Production_Hourly!C181</f>
        <v>1</v>
      </c>
      <c r="D181" s="4" t="str">
        <f>Fact_Production_Hourly!D181</f>
        <v>M5</v>
      </c>
      <c r="E181" s="4" t="str">
        <f>Fact_Production_Hourly!E181</f>
        <v>B-PM</v>
      </c>
      <c r="F181" s="4" t="str">
        <f>Fact_Production_Hourly!F181</f>
        <v>A</v>
      </c>
      <c r="G181" s="4">
        <f>INDEX(Dim_Machine!$D$2:$D$8,MATCH(D181,Dim_Machine!$A$2:$A$8,0))*2</f>
        <v>32</v>
      </c>
      <c r="H181" s="4">
        <f>ROUND(G181*0.0132,0)</f>
        <v>0</v>
      </c>
      <c r="I181" s="4">
        <f t="shared" si="16"/>
        <v>0</v>
      </c>
      <c r="J181" s="4">
        <f t="shared" si="17"/>
        <v>0</v>
      </c>
      <c r="K181" s="4">
        <f t="shared" si="18"/>
        <v>0</v>
      </c>
      <c r="L181" s="4" t="s">
        <v>503</v>
      </c>
      <c r="M181" s="4">
        <f>INDEX(Dim_Product!$C$2:$C$4,MATCH(F181,Dim_Product!$A$2:$A$4,0))+-0.54</f>
        <v>249.46</v>
      </c>
      <c r="N181" s="4">
        <f>IF(AND(M181&gt;=INDEX(Dim_Product!$C$2:$C$4,MATCH(F181,Dim_Product!$A$2:$A$4,0))-INDEX(Dim_Product!$D$2:$D$4,MATCH(F181,Dim_Product!$A$2:$A$4,0)),M181&lt;=INDEX(Dim_Product!$C$2:$C$4,MATCH(F181,Dim_Product!$A$2:$A$4,0))+INDEX(Dim_Product!$D$2:$D$4,MATCH(F181,Dim_Product!$A$2:$A$4,0))),G181-H181,G181-H181-1)</f>
        <v>32</v>
      </c>
      <c r="O181" s="4">
        <f t="shared" si="19"/>
        <v>0</v>
      </c>
      <c r="P181" s="4">
        <f>INDEX(Dim_Product!$G$2:$G$4,MATCH(F181,Dim_Product!$A$2:$A$4,0))+-0.25</f>
        <v>69.75</v>
      </c>
      <c r="Q181" s="4">
        <f>IF(AND(P181&gt;=INDEX(Dim_Product!$G$2:$G$4,MATCH(F181,Dim_Product!$A$2:$A$4,0))-INDEX(Dim_Product!$H$2:$H$4,MATCH(F181,Dim_Product!$A$2:$A$4,0)),P181&lt;=INDEX(Dim_Product!$G$2:$G$4,MATCH(F181,Dim_Product!$A$2:$A$4,0))+INDEX(Dim_Product!$H$2:$H$4,MATCH(F181,Dim_Product!$A$2:$A$4,0))),G181-H181,G181-H181-1)</f>
        <v>32</v>
      </c>
      <c r="R181" s="4">
        <f t="shared" si="20"/>
        <v>0</v>
      </c>
      <c r="S181" s="4">
        <f>INDEX(Dim_Product!$K$2:$K$4,MATCH(F181,Dim_Product!$A$2:$A$4,0))+0.08</f>
        <v>120.08</v>
      </c>
      <c r="T181" s="4">
        <f>IF(AND(S181&gt;=INDEX(Dim_Product!$K$2:$K$4,MATCH(F181,Dim_Product!$A$2:$A$4,0))-INDEX(Dim_Product!$L$2:$L$4,MATCH(F181,Dim_Product!$A$2:$A$4,0)),S181&lt;=INDEX(Dim_Product!$K$2:$K$4,MATCH(F181,Dim_Product!$A$2:$A$4,0))+INDEX(Dim_Product!$L$2:$L$4,MATCH(F181,Dim_Product!$A$2:$A$4,0))),G181-H181,G181-H181-1)</f>
        <v>32</v>
      </c>
      <c r="U181" s="4">
        <f t="shared" si="21"/>
        <v>0</v>
      </c>
      <c r="V181" s="4">
        <f t="shared" si="22"/>
        <v>0</v>
      </c>
      <c r="W181" s="16">
        <f t="shared" si="23"/>
        <v>1</v>
      </c>
    </row>
    <row r="182" spans="1:23" x14ac:dyDescent="0.25">
      <c r="A182" s="15" t="s">
        <v>683</v>
      </c>
      <c r="B182" s="4">
        <f>Fact_Production_Hourly!B182</f>
        <v>20260702</v>
      </c>
      <c r="C182" s="4">
        <f>Fact_Production_Hourly!C182</f>
        <v>1</v>
      </c>
      <c r="D182" s="4" t="str">
        <f>Fact_Production_Hourly!D182</f>
        <v>M6</v>
      </c>
      <c r="E182" s="4" t="str">
        <f>Fact_Production_Hourly!E182</f>
        <v>B-PM</v>
      </c>
      <c r="F182" s="4" t="str">
        <f>Fact_Production_Hourly!F182</f>
        <v>A</v>
      </c>
      <c r="G182" s="4">
        <f>INDEX(Dim_Machine!$D$2:$D$8,MATCH(D182,Dim_Machine!$A$2:$A$8,0))*2</f>
        <v>24</v>
      </c>
      <c r="H182" s="4">
        <f>ROUND(G182*0.0468,0)</f>
        <v>1</v>
      </c>
      <c r="I182" s="4">
        <f t="shared" si="16"/>
        <v>0</v>
      </c>
      <c r="J182" s="4">
        <f t="shared" si="17"/>
        <v>0</v>
      </c>
      <c r="K182" s="4">
        <f t="shared" si="18"/>
        <v>1</v>
      </c>
      <c r="L182" s="4" t="s">
        <v>509</v>
      </c>
      <c r="M182" s="4">
        <f>INDEX(Dim_Product!$C$2:$C$4,MATCH(F182,Dim_Product!$A$2:$A$4,0))+-0.21</f>
        <v>249.79</v>
      </c>
      <c r="N182" s="4">
        <f>IF(AND(M182&gt;=INDEX(Dim_Product!$C$2:$C$4,MATCH(F182,Dim_Product!$A$2:$A$4,0))-INDEX(Dim_Product!$D$2:$D$4,MATCH(F182,Dim_Product!$A$2:$A$4,0)),M182&lt;=INDEX(Dim_Product!$C$2:$C$4,MATCH(F182,Dim_Product!$A$2:$A$4,0))+INDEX(Dim_Product!$D$2:$D$4,MATCH(F182,Dim_Product!$A$2:$A$4,0))),G182-H182,G182-H182-1)</f>
        <v>23</v>
      </c>
      <c r="O182" s="4">
        <f t="shared" si="19"/>
        <v>1</v>
      </c>
      <c r="P182" s="4">
        <f>INDEX(Dim_Product!$G$2:$G$4,MATCH(F182,Dim_Product!$A$2:$A$4,0))+0.16</f>
        <v>70.16</v>
      </c>
      <c r="Q182" s="4">
        <f>IF(AND(P182&gt;=INDEX(Dim_Product!$G$2:$G$4,MATCH(F182,Dim_Product!$A$2:$A$4,0))-INDEX(Dim_Product!$H$2:$H$4,MATCH(F182,Dim_Product!$A$2:$A$4,0)),P182&lt;=INDEX(Dim_Product!$G$2:$G$4,MATCH(F182,Dim_Product!$A$2:$A$4,0))+INDEX(Dim_Product!$H$2:$H$4,MATCH(F182,Dim_Product!$A$2:$A$4,0))),G182-H182,G182-H182-1)</f>
        <v>23</v>
      </c>
      <c r="R182" s="4">
        <f t="shared" si="20"/>
        <v>1</v>
      </c>
      <c r="S182" s="4">
        <f>INDEX(Dim_Product!$K$2:$K$4,MATCH(F182,Dim_Product!$A$2:$A$4,0))+-0.38</f>
        <v>119.62</v>
      </c>
      <c r="T182" s="4">
        <f>IF(AND(S182&gt;=INDEX(Dim_Product!$K$2:$K$4,MATCH(F182,Dim_Product!$A$2:$A$4,0))-INDEX(Dim_Product!$L$2:$L$4,MATCH(F182,Dim_Product!$A$2:$A$4,0)),S182&lt;=INDEX(Dim_Product!$K$2:$K$4,MATCH(F182,Dim_Product!$A$2:$A$4,0))+INDEX(Dim_Product!$L$2:$L$4,MATCH(F182,Dim_Product!$A$2:$A$4,0))),G182-H182,G182-H182-1)</f>
        <v>23</v>
      </c>
      <c r="U182" s="4">
        <f t="shared" si="21"/>
        <v>1</v>
      </c>
      <c r="V182" s="4">
        <f t="shared" si="22"/>
        <v>4.1666666666666664E-2</v>
      </c>
      <c r="W182" s="16">
        <f t="shared" si="23"/>
        <v>0.95833333333333337</v>
      </c>
    </row>
    <row r="183" spans="1:23" x14ac:dyDescent="0.25">
      <c r="A183" s="15" t="s">
        <v>684</v>
      </c>
      <c r="B183" s="4">
        <f>Fact_Production_Hourly!B183</f>
        <v>20260702</v>
      </c>
      <c r="C183" s="4">
        <f>Fact_Production_Hourly!C183</f>
        <v>1</v>
      </c>
      <c r="D183" s="4" t="str">
        <f>Fact_Production_Hourly!D183</f>
        <v>M7</v>
      </c>
      <c r="E183" s="4" t="str">
        <f>Fact_Production_Hourly!E183</f>
        <v>B-PM</v>
      </c>
      <c r="F183" s="4" t="str">
        <f>Fact_Production_Hourly!F183</f>
        <v>C</v>
      </c>
      <c r="G183" s="4">
        <f>INDEX(Dim_Machine!$D$2:$D$8,MATCH(D183,Dim_Machine!$A$2:$A$8,0))*2</f>
        <v>48</v>
      </c>
      <c r="H183" s="4">
        <f>ROUND(G183*0.0264,0)</f>
        <v>1</v>
      </c>
      <c r="I183" s="4">
        <f t="shared" si="16"/>
        <v>0</v>
      </c>
      <c r="J183" s="4">
        <f t="shared" si="17"/>
        <v>0</v>
      </c>
      <c r="K183" s="4">
        <f t="shared" si="18"/>
        <v>1</v>
      </c>
      <c r="L183" s="4" t="s">
        <v>503</v>
      </c>
      <c r="M183" s="4">
        <f>INDEX(Dim_Product!$C$2:$C$4,MATCH(F183,Dim_Product!$A$2:$A$4,0))+-0.02</f>
        <v>199.98</v>
      </c>
      <c r="N183" s="4">
        <f>IF(AND(M183&gt;=INDEX(Dim_Product!$C$2:$C$4,MATCH(F183,Dim_Product!$A$2:$A$4,0))-INDEX(Dim_Product!$D$2:$D$4,MATCH(F183,Dim_Product!$A$2:$A$4,0)),M183&lt;=INDEX(Dim_Product!$C$2:$C$4,MATCH(F183,Dim_Product!$A$2:$A$4,0))+INDEX(Dim_Product!$D$2:$D$4,MATCH(F183,Dim_Product!$A$2:$A$4,0))),G183-H183,G183-H183-1)</f>
        <v>47</v>
      </c>
      <c r="O183" s="4">
        <f t="shared" si="19"/>
        <v>1</v>
      </c>
      <c r="P183" s="4">
        <f>INDEX(Dim_Product!$G$2:$G$4,MATCH(F183,Dim_Product!$A$2:$A$4,0))+-0.09</f>
        <v>64.91</v>
      </c>
      <c r="Q183" s="4">
        <f>IF(AND(P183&gt;=INDEX(Dim_Product!$G$2:$G$4,MATCH(F183,Dim_Product!$A$2:$A$4,0))-INDEX(Dim_Product!$H$2:$H$4,MATCH(F183,Dim_Product!$A$2:$A$4,0)),P183&lt;=INDEX(Dim_Product!$G$2:$G$4,MATCH(F183,Dim_Product!$A$2:$A$4,0))+INDEX(Dim_Product!$H$2:$H$4,MATCH(F183,Dim_Product!$A$2:$A$4,0))),G183-H183,G183-H183-1)</f>
        <v>47</v>
      </c>
      <c r="R183" s="4">
        <f t="shared" si="20"/>
        <v>1</v>
      </c>
      <c r="S183" s="4">
        <f>INDEX(Dim_Product!$K$2:$K$4,MATCH(F183,Dim_Product!$A$2:$A$4,0))+0.35</f>
        <v>110.35</v>
      </c>
      <c r="T183" s="4">
        <f>IF(AND(S183&gt;=INDEX(Dim_Product!$K$2:$K$4,MATCH(F183,Dim_Product!$A$2:$A$4,0))-INDEX(Dim_Product!$L$2:$L$4,MATCH(F183,Dim_Product!$A$2:$A$4,0)),S183&lt;=INDEX(Dim_Product!$K$2:$K$4,MATCH(F183,Dim_Product!$A$2:$A$4,0))+INDEX(Dim_Product!$L$2:$L$4,MATCH(F183,Dim_Product!$A$2:$A$4,0))),G183-H183,G183-H183-1)</f>
        <v>47</v>
      </c>
      <c r="U183" s="4">
        <f t="shared" si="21"/>
        <v>1</v>
      </c>
      <c r="V183" s="4">
        <f t="shared" si="22"/>
        <v>2.0833333333333332E-2</v>
      </c>
      <c r="W183" s="16">
        <f t="shared" si="23"/>
        <v>0.97916666666666663</v>
      </c>
    </row>
    <row r="184" spans="1:23" x14ac:dyDescent="0.25">
      <c r="A184" s="15" t="s">
        <v>685</v>
      </c>
      <c r="B184" s="4">
        <f>Fact_Production_Hourly!B184</f>
        <v>20260702</v>
      </c>
      <c r="C184" s="4">
        <f>Fact_Production_Hourly!C184</f>
        <v>2</v>
      </c>
      <c r="D184" s="4" t="str">
        <f>Fact_Production_Hourly!D184</f>
        <v>M1</v>
      </c>
      <c r="E184" s="4" t="str">
        <f>Fact_Production_Hourly!E184</f>
        <v>B-PM</v>
      </c>
      <c r="F184" s="4" t="str">
        <f>Fact_Production_Hourly!F184</f>
        <v>B</v>
      </c>
      <c r="G184" s="4">
        <f>INDEX(Dim_Machine!$D$2:$D$8,MATCH(D184,Dim_Machine!$A$2:$A$8,0))*2</f>
        <v>32</v>
      </c>
      <c r="H184" s="4">
        <f>ROUND(G184*0.0359,0)</f>
        <v>1</v>
      </c>
      <c r="I184" s="4">
        <f t="shared" si="16"/>
        <v>0</v>
      </c>
      <c r="J184" s="4">
        <f t="shared" si="17"/>
        <v>0</v>
      </c>
      <c r="K184" s="4">
        <f t="shared" si="18"/>
        <v>1</v>
      </c>
      <c r="L184" s="4" t="s">
        <v>520</v>
      </c>
      <c r="M184" s="4">
        <f>INDEX(Dim_Product!$C$2:$C$4,MATCH(F184,Dim_Product!$A$2:$A$4,0))+0.17</f>
        <v>300.17</v>
      </c>
      <c r="N184" s="4">
        <f>IF(AND(M184&gt;=INDEX(Dim_Product!$C$2:$C$4,MATCH(F184,Dim_Product!$A$2:$A$4,0))-INDEX(Dim_Product!$D$2:$D$4,MATCH(F184,Dim_Product!$A$2:$A$4,0)),M184&lt;=INDEX(Dim_Product!$C$2:$C$4,MATCH(F184,Dim_Product!$A$2:$A$4,0))+INDEX(Dim_Product!$D$2:$D$4,MATCH(F184,Dim_Product!$A$2:$A$4,0))),G184-H184,G184-H184-1)</f>
        <v>31</v>
      </c>
      <c r="O184" s="4">
        <f t="shared" si="19"/>
        <v>1</v>
      </c>
      <c r="P184" s="4">
        <f>INDEX(Dim_Product!$G$2:$G$4,MATCH(F184,Dim_Product!$A$2:$A$4,0))+-0.07</f>
        <v>74.930000000000007</v>
      </c>
      <c r="Q184" s="4">
        <f>IF(AND(P184&gt;=INDEX(Dim_Product!$G$2:$G$4,MATCH(F184,Dim_Product!$A$2:$A$4,0))-INDEX(Dim_Product!$H$2:$H$4,MATCH(F184,Dim_Product!$A$2:$A$4,0)),P184&lt;=INDEX(Dim_Product!$G$2:$G$4,MATCH(F184,Dim_Product!$A$2:$A$4,0))+INDEX(Dim_Product!$H$2:$H$4,MATCH(F184,Dim_Product!$A$2:$A$4,0))),G184-H184,G184-H184-1)</f>
        <v>31</v>
      </c>
      <c r="R184" s="4">
        <f t="shared" si="20"/>
        <v>1</v>
      </c>
      <c r="S184" s="4">
        <f>INDEX(Dim_Product!$K$2:$K$4,MATCH(F184,Dim_Product!$A$2:$A$4,0))+0.22</f>
        <v>130.22</v>
      </c>
      <c r="T184" s="4">
        <f>IF(AND(S184&gt;=INDEX(Dim_Product!$K$2:$K$4,MATCH(F184,Dim_Product!$A$2:$A$4,0))-INDEX(Dim_Product!$L$2:$L$4,MATCH(F184,Dim_Product!$A$2:$A$4,0)),S184&lt;=INDEX(Dim_Product!$K$2:$K$4,MATCH(F184,Dim_Product!$A$2:$A$4,0))+INDEX(Dim_Product!$L$2:$L$4,MATCH(F184,Dim_Product!$A$2:$A$4,0))),G184-H184,G184-H184-1)</f>
        <v>31</v>
      </c>
      <c r="U184" s="4">
        <f t="shared" si="21"/>
        <v>1</v>
      </c>
      <c r="V184" s="4">
        <f t="shared" si="22"/>
        <v>3.125E-2</v>
      </c>
      <c r="W184" s="16">
        <f t="shared" si="23"/>
        <v>0.96875</v>
      </c>
    </row>
    <row r="185" spans="1:23" x14ac:dyDescent="0.25">
      <c r="A185" s="15" t="s">
        <v>686</v>
      </c>
      <c r="B185" s="4">
        <f>Fact_Production_Hourly!B185</f>
        <v>20260702</v>
      </c>
      <c r="C185" s="4">
        <f>Fact_Production_Hourly!C185</f>
        <v>2</v>
      </c>
      <c r="D185" s="4" t="str">
        <f>Fact_Production_Hourly!D185</f>
        <v>M2</v>
      </c>
      <c r="E185" s="4" t="str">
        <f>Fact_Production_Hourly!E185</f>
        <v>B-PM</v>
      </c>
      <c r="F185" s="4" t="str">
        <f>Fact_Production_Hourly!F185</f>
        <v>A</v>
      </c>
      <c r="G185" s="4">
        <f>INDEX(Dim_Machine!$D$2:$D$8,MATCH(D185,Dim_Machine!$A$2:$A$8,0))*2</f>
        <v>48</v>
      </c>
      <c r="H185" s="4">
        <f>ROUND(G185*0.0277,0)</f>
        <v>1</v>
      </c>
      <c r="I185" s="4">
        <f t="shared" si="16"/>
        <v>0</v>
      </c>
      <c r="J185" s="4">
        <f t="shared" si="17"/>
        <v>0</v>
      </c>
      <c r="K185" s="4">
        <f t="shared" si="18"/>
        <v>1</v>
      </c>
      <c r="L185" s="4" t="s">
        <v>500</v>
      </c>
      <c r="M185" s="4">
        <f>INDEX(Dim_Product!$C$2:$C$4,MATCH(F185,Dim_Product!$A$2:$A$4,0))+0.43</f>
        <v>250.43</v>
      </c>
      <c r="N185" s="4">
        <f>IF(AND(M185&gt;=INDEX(Dim_Product!$C$2:$C$4,MATCH(F185,Dim_Product!$A$2:$A$4,0))-INDEX(Dim_Product!$D$2:$D$4,MATCH(F185,Dim_Product!$A$2:$A$4,0)),M185&lt;=INDEX(Dim_Product!$C$2:$C$4,MATCH(F185,Dim_Product!$A$2:$A$4,0))+INDEX(Dim_Product!$D$2:$D$4,MATCH(F185,Dim_Product!$A$2:$A$4,0))),G185-H185,G185-H185-1)</f>
        <v>47</v>
      </c>
      <c r="O185" s="4">
        <f t="shared" si="19"/>
        <v>1</v>
      </c>
      <c r="P185" s="4">
        <f>INDEX(Dim_Product!$G$2:$G$4,MATCH(F185,Dim_Product!$A$2:$A$4,0))+-0.25</f>
        <v>69.75</v>
      </c>
      <c r="Q185" s="4">
        <f>IF(AND(P185&gt;=INDEX(Dim_Product!$G$2:$G$4,MATCH(F185,Dim_Product!$A$2:$A$4,0))-INDEX(Dim_Product!$H$2:$H$4,MATCH(F185,Dim_Product!$A$2:$A$4,0)),P185&lt;=INDEX(Dim_Product!$G$2:$G$4,MATCH(F185,Dim_Product!$A$2:$A$4,0))+INDEX(Dim_Product!$H$2:$H$4,MATCH(F185,Dim_Product!$A$2:$A$4,0))),G185-H185,G185-H185-1)</f>
        <v>47</v>
      </c>
      <c r="R185" s="4">
        <f t="shared" si="20"/>
        <v>1</v>
      </c>
      <c r="S185" s="4">
        <f>INDEX(Dim_Product!$K$2:$K$4,MATCH(F185,Dim_Product!$A$2:$A$4,0))+-0.28</f>
        <v>119.72</v>
      </c>
      <c r="T185" s="4">
        <f>IF(AND(S185&gt;=INDEX(Dim_Product!$K$2:$K$4,MATCH(F185,Dim_Product!$A$2:$A$4,0))-INDEX(Dim_Product!$L$2:$L$4,MATCH(F185,Dim_Product!$A$2:$A$4,0)),S185&lt;=INDEX(Dim_Product!$K$2:$K$4,MATCH(F185,Dim_Product!$A$2:$A$4,0))+INDEX(Dim_Product!$L$2:$L$4,MATCH(F185,Dim_Product!$A$2:$A$4,0))),G185-H185,G185-H185-1)</f>
        <v>47</v>
      </c>
      <c r="U185" s="4">
        <f t="shared" si="21"/>
        <v>1</v>
      </c>
      <c r="V185" s="4">
        <f t="shared" si="22"/>
        <v>2.0833333333333332E-2</v>
      </c>
      <c r="W185" s="16">
        <f t="shared" si="23"/>
        <v>0.97916666666666663</v>
      </c>
    </row>
    <row r="186" spans="1:23" x14ac:dyDescent="0.25">
      <c r="A186" s="15" t="s">
        <v>687</v>
      </c>
      <c r="B186" s="4">
        <f>Fact_Production_Hourly!B186</f>
        <v>20260702</v>
      </c>
      <c r="C186" s="4">
        <f>Fact_Production_Hourly!C186</f>
        <v>2</v>
      </c>
      <c r="D186" s="4" t="str">
        <f>Fact_Production_Hourly!D186</f>
        <v>M3</v>
      </c>
      <c r="E186" s="4" t="str">
        <f>Fact_Production_Hourly!E186</f>
        <v>B-PM</v>
      </c>
      <c r="F186" s="4" t="str">
        <f>Fact_Production_Hourly!F186</f>
        <v>A</v>
      </c>
      <c r="G186" s="4">
        <f>INDEX(Dim_Machine!$D$2:$D$8,MATCH(D186,Dim_Machine!$A$2:$A$8,0))*2</f>
        <v>24</v>
      </c>
      <c r="H186" s="4">
        <f>ROUND(G186*0.0527,0)</f>
        <v>1</v>
      </c>
      <c r="I186" s="4">
        <f t="shared" si="16"/>
        <v>0</v>
      </c>
      <c r="J186" s="4">
        <f t="shared" si="17"/>
        <v>0</v>
      </c>
      <c r="K186" s="4">
        <f t="shared" si="18"/>
        <v>1</v>
      </c>
      <c r="L186" s="4" t="s">
        <v>520</v>
      </c>
      <c r="M186" s="4">
        <f>INDEX(Dim_Product!$C$2:$C$4,MATCH(F186,Dim_Product!$A$2:$A$4,0))+-0.69</f>
        <v>249.31</v>
      </c>
      <c r="N186" s="4">
        <f>IF(AND(M186&gt;=INDEX(Dim_Product!$C$2:$C$4,MATCH(F186,Dim_Product!$A$2:$A$4,0))-INDEX(Dim_Product!$D$2:$D$4,MATCH(F186,Dim_Product!$A$2:$A$4,0)),M186&lt;=INDEX(Dim_Product!$C$2:$C$4,MATCH(F186,Dim_Product!$A$2:$A$4,0))+INDEX(Dim_Product!$D$2:$D$4,MATCH(F186,Dim_Product!$A$2:$A$4,0))),G186-H186,G186-H186-1)</f>
        <v>23</v>
      </c>
      <c r="O186" s="4">
        <f t="shared" si="19"/>
        <v>1</v>
      </c>
      <c r="P186" s="4">
        <f>INDEX(Dim_Product!$G$2:$G$4,MATCH(F186,Dim_Product!$A$2:$A$4,0))+-0.07</f>
        <v>69.930000000000007</v>
      </c>
      <c r="Q186" s="4">
        <f>IF(AND(P186&gt;=INDEX(Dim_Product!$G$2:$G$4,MATCH(F186,Dim_Product!$A$2:$A$4,0))-INDEX(Dim_Product!$H$2:$H$4,MATCH(F186,Dim_Product!$A$2:$A$4,0)),P186&lt;=INDEX(Dim_Product!$G$2:$G$4,MATCH(F186,Dim_Product!$A$2:$A$4,0))+INDEX(Dim_Product!$H$2:$H$4,MATCH(F186,Dim_Product!$A$2:$A$4,0))),G186-H186,G186-H186-1)</f>
        <v>23</v>
      </c>
      <c r="R186" s="4">
        <f t="shared" si="20"/>
        <v>1</v>
      </c>
      <c r="S186" s="4">
        <f>INDEX(Dim_Product!$K$2:$K$4,MATCH(F186,Dim_Product!$A$2:$A$4,0))+-0.11</f>
        <v>119.89</v>
      </c>
      <c r="T186" s="4">
        <f>IF(AND(S186&gt;=INDEX(Dim_Product!$K$2:$K$4,MATCH(F186,Dim_Product!$A$2:$A$4,0))-INDEX(Dim_Product!$L$2:$L$4,MATCH(F186,Dim_Product!$A$2:$A$4,0)),S186&lt;=INDEX(Dim_Product!$K$2:$K$4,MATCH(F186,Dim_Product!$A$2:$A$4,0))+INDEX(Dim_Product!$L$2:$L$4,MATCH(F186,Dim_Product!$A$2:$A$4,0))),G186-H186,G186-H186-1)</f>
        <v>23</v>
      </c>
      <c r="U186" s="4">
        <f t="shared" si="21"/>
        <v>1</v>
      </c>
      <c r="V186" s="4">
        <f t="shared" si="22"/>
        <v>4.1666666666666664E-2</v>
      </c>
      <c r="W186" s="16">
        <f t="shared" si="23"/>
        <v>0.95833333333333337</v>
      </c>
    </row>
    <row r="187" spans="1:23" x14ac:dyDescent="0.25">
      <c r="A187" s="15" t="s">
        <v>688</v>
      </c>
      <c r="B187" s="4">
        <f>Fact_Production_Hourly!B187</f>
        <v>20260702</v>
      </c>
      <c r="C187" s="4">
        <f>Fact_Production_Hourly!C187</f>
        <v>2</v>
      </c>
      <c r="D187" s="4" t="str">
        <f>Fact_Production_Hourly!D187</f>
        <v>M4</v>
      </c>
      <c r="E187" s="4" t="str">
        <f>Fact_Production_Hourly!E187</f>
        <v>B-PM</v>
      </c>
      <c r="F187" s="4" t="str">
        <f>Fact_Production_Hourly!F187</f>
        <v>C</v>
      </c>
      <c r="G187" s="4">
        <f>INDEX(Dim_Machine!$D$2:$D$8,MATCH(D187,Dim_Machine!$A$2:$A$8,0))*2</f>
        <v>48</v>
      </c>
      <c r="H187" s="4">
        <f>ROUND(G187*0.0155,0)</f>
        <v>1</v>
      </c>
      <c r="I187" s="4">
        <f t="shared" si="16"/>
        <v>0</v>
      </c>
      <c r="J187" s="4">
        <f t="shared" si="17"/>
        <v>0</v>
      </c>
      <c r="K187" s="4">
        <f t="shared" si="18"/>
        <v>1</v>
      </c>
      <c r="L187" s="4" t="s">
        <v>517</v>
      </c>
      <c r="M187" s="4">
        <f>INDEX(Dim_Product!$C$2:$C$4,MATCH(F187,Dim_Product!$A$2:$A$4,0))+-0.11</f>
        <v>199.89</v>
      </c>
      <c r="N187" s="4">
        <f>IF(AND(M187&gt;=INDEX(Dim_Product!$C$2:$C$4,MATCH(F187,Dim_Product!$A$2:$A$4,0))-INDEX(Dim_Product!$D$2:$D$4,MATCH(F187,Dim_Product!$A$2:$A$4,0)),M187&lt;=INDEX(Dim_Product!$C$2:$C$4,MATCH(F187,Dim_Product!$A$2:$A$4,0))+INDEX(Dim_Product!$D$2:$D$4,MATCH(F187,Dim_Product!$A$2:$A$4,0))),G187-H187,G187-H187-1)</f>
        <v>47</v>
      </c>
      <c r="O187" s="4">
        <f t="shared" si="19"/>
        <v>1</v>
      </c>
      <c r="P187" s="4">
        <f>INDEX(Dim_Product!$G$2:$G$4,MATCH(F187,Dim_Product!$A$2:$A$4,0))+0.16</f>
        <v>65.16</v>
      </c>
      <c r="Q187" s="4">
        <f>IF(AND(P187&gt;=INDEX(Dim_Product!$G$2:$G$4,MATCH(F187,Dim_Product!$A$2:$A$4,0))-INDEX(Dim_Product!$H$2:$H$4,MATCH(F187,Dim_Product!$A$2:$A$4,0)),P187&lt;=INDEX(Dim_Product!$G$2:$G$4,MATCH(F187,Dim_Product!$A$2:$A$4,0))+INDEX(Dim_Product!$H$2:$H$4,MATCH(F187,Dim_Product!$A$2:$A$4,0))),G187-H187,G187-H187-1)</f>
        <v>47</v>
      </c>
      <c r="R187" s="4">
        <f t="shared" si="20"/>
        <v>1</v>
      </c>
      <c r="S187" s="4">
        <f>INDEX(Dim_Product!$K$2:$K$4,MATCH(F187,Dim_Product!$A$2:$A$4,0))+-0.32</f>
        <v>109.68</v>
      </c>
      <c r="T187" s="4">
        <f>IF(AND(S187&gt;=INDEX(Dim_Product!$K$2:$K$4,MATCH(F187,Dim_Product!$A$2:$A$4,0))-INDEX(Dim_Product!$L$2:$L$4,MATCH(F187,Dim_Product!$A$2:$A$4,0)),S187&lt;=INDEX(Dim_Product!$K$2:$K$4,MATCH(F187,Dim_Product!$A$2:$A$4,0))+INDEX(Dim_Product!$L$2:$L$4,MATCH(F187,Dim_Product!$A$2:$A$4,0))),G187-H187,G187-H187-1)</f>
        <v>47</v>
      </c>
      <c r="U187" s="4">
        <f t="shared" si="21"/>
        <v>1</v>
      </c>
      <c r="V187" s="4">
        <f t="shared" si="22"/>
        <v>2.0833333333333332E-2</v>
      </c>
      <c r="W187" s="16">
        <f t="shared" si="23"/>
        <v>0.97916666666666663</v>
      </c>
    </row>
    <row r="188" spans="1:23" x14ac:dyDescent="0.25">
      <c r="A188" s="15" t="s">
        <v>689</v>
      </c>
      <c r="B188" s="4">
        <f>Fact_Production_Hourly!B188</f>
        <v>20260702</v>
      </c>
      <c r="C188" s="4">
        <f>Fact_Production_Hourly!C188</f>
        <v>2</v>
      </c>
      <c r="D188" s="4" t="str">
        <f>Fact_Production_Hourly!D188</f>
        <v>M5</v>
      </c>
      <c r="E188" s="4" t="str">
        <f>Fact_Production_Hourly!E188</f>
        <v>B-PM</v>
      </c>
      <c r="F188" s="4" t="str">
        <f>Fact_Production_Hourly!F188</f>
        <v>A</v>
      </c>
      <c r="G188" s="4">
        <f>INDEX(Dim_Machine!$D$2:$D$8,MATCH(D188,Dim_Machine!$A$2:$A$8,0))*2</f>
        <v>32</v>
      </c>
      <c r="H188" s="4">
        <f>ROUND(G188*0.0152,0)</f>
        <v>0</v>
      </c>
      <c r="I188" s="4">
        <f t="shared" si="16"/>
        <v>0</v>
      </c>
      <c r="J188" s="4">
        <f t="shared" si="17"/>
        <v>0</v>
      </c>
      <c r="K188" s="4">
        <f t="shared" si="18"/>
        <v>0</v>
      </c>
      <c r="L188" s="4" t="s">
        <v>503</v>
      </c>
      <c r="M188" s="4">
        <f>INDEX(Dim_Product!$C$2:$C$4,MATCH(F188,Dim_Product!$A$2:$A$4,0))+-0.1</f>
        <v>249.9</v>
      </c>
      <c r="N188" s="4">
        <f>IF(AND(M188&gt;=INDEX(Dim_Product!$C$2:$C$4,MATCH(F188,Dim_Product!$A$2:$A$4,0))-INDEX(Dim_Product!$D$2:$D$4,MATCH(F188,Dim_Product!$A$2:$A$4,0)),M188&lt;=INDEX(Dim_Product!$C$2:$C$4,MATCH(F188,Dim_Product!$A$2:$A$4,0))+INDEX(Dim_Product!$D$2:$D$4,MATCH(F188,Dim_Product!$A$2:$A$4,0))),G188-H188,G188-H188-1)</f>
        <v>32</v>
      </c>
      <c r="O188" s="4">
        <f t="shared" si="19"/>
        <v>0</v>
      </c>
      <c r="P188" s="4">
        <f>INDEX(Dim_Product!$G$2:$G$4,MATCH(F188,Dim_Product!$A$2:$A$4,0))+0.03</f>
        <v>70.03</v>
      </c>
      <c r="Q188" s="4">
        <f>IF(AND(P188&gt;=INDEX(Dim_Product!$G$2:$G$4,MATCH(F188,Dim_Product!$A$2:$A$4,0))-INDEX(Dim_Product!$H$2:$H$4,MATCH(F188,Dim_Product!$A$2:$A$4,0)),P188&lt;=INDEX(Dim_Product!$G$2:$G$4,MATCH(F188,Dim_Product!$A$2:$A$4,0))+INDEX(Dim_Product!$H$2:$H$4,MATCH(F188,Dim_Product!$A$2:$A$4,0))),G188-H188,G188-H188-1)</f>
        <v>32</v>
      </c>
      <c r="R188" s="4">
        <f t="shared" si="20"/>
        <v>0</v>
      </c>
      <c r="S188" s="4">
        <f>INDEX(Dim_Product!$K$2:$K$4,MATCH(F188,Dim_Product!$A$2:$A$4,0))+-0.07</f>
        <v>119.93</v>
      </c>
      <c r="T188" s="4">
        <f>IF(AND(S188&gt;=INDEX(Dim_Product!$K$2:$K$4,MATCH(F188,Dim_Product!$A$2:$A$4,0))-INDEX(Dim_Product!$L$2:$L$4,MATCH(F188,Dim_Product!$A$2:$A$4,0)),S188&lt;=INDEX(Dim_Product!$K$2:$K$4,MATCH(F188,Dim_Product!$A$2:$A$4,0))+INDEX(Dim_Product!$L$2:$L$4,MATCH(F188,Dim_Product!$A$2:$A$4,0))),G188-H188,G188-H188-1)</f>
        <v>32</v>
      </c>
      <c r="U188" s="4">
        <f t="shared" si="21"/>
        <v>0</v>
      </c>
      <c r="V188" s="4">
        <f t="shared" si="22"/>
        <v>0</v>
      </c>
      <c r="W188" s="16">
        <f t="shared" si="23"/>
        <v>1</v>
      </c>
    </row>
    <row r="189" spans="1:23" x14ac:dyDescent="0.25">
      <c r="A189" s="15" t="s">
        <v>690</v>
      </c>
      <c r="B189" s="4">
        <f>Fact_Production_Hourly!B189</f>
        <v>20260702</v>
      </c>
      <c r="C189" s="4">
        <f>Fact_Production_Hourly!C189</f>
        <v>2</v>
      </c>
      <c r="D189" s="4" t="str">
        <f>Fact_Production_Hourly!D189</f>
        <v>M6</v>
      </c>
      <c r="E189" s="4" t="str">
        <f>Fact_Production_Hourly!E189</f>
        <v>B-PM</v>
      </c>
      <c r="F189" s="4" t="str">
        <f>Fact_Production_Hourly!F189</f>
        <v>A</v>
      </c>
      <c r="G189" s="4">
        <f>INDEX(Dim_Machine!$D$2:$D$8,MATCH(D189,Dim_Machine!$A$2:$A$8,0))*2</f>
        <v>24</v>
      </c>
      <c r="H189" s="4">
        <f>ROUND(G189*0.0116,0)</f>
        <v>0</v>
      </c>
      <c r="I189" s="4">
        <f t="shared" si="16"/>
        <v>0</v>
      </c>
      <c r="J189" s="4">
        <f t="shared" si="17"/>
        <v>0</v>
      </c>
      <c r="K189" s="4">
        <f t="shared" si="18"/>
        <v>0</v>
      </c>
      <c r="L189" s="4" t="s">
        <v>517</v>
      </c>
      <c r="M189" s="4">
        <f>INDEX(Dim_Product!$C$2:$C$4,MATCH(F189,Dim_Product!$A$2:$A$4,0))+0.11</f>
        <v>250.11</v>
      </c>
      <c r="N189" s="4">
        <f>IF(AND(M189&gt;=INDEX(Dim_Product!$C$2:$C$4,MATCH(F189,Dim_Product!$A$2:$A$4,0))-INDEX(Dim_Product!$D$2:$D$4,MATCH(F189,Dim_Product!$A$2:$A$4,0)),M189&lt;=INDEX(Dim_Product!$C$2:$C$4,MATCH(F189,Dim_Product!$A$2:$A$4,0))+INDEX(Dim_Product!$D$2:$D$4,MATCH(F189,Dim_Product!$A$2:$A$4,0))),G189-H189,G189-H189-1)</f>
        <v>24</v>
      </c>
      <c r="O189" s="4">
        <f t="shared" si="19"/>
        <v>0</v>
      </c>
      <c r="P189" s="4">
        <f>INDEX(Dim_Product!$G$2:$G$4,MATCH(F189,Dim_Product!$A$2:$A$4,0))+0.06</f>
        <v>70.06</v>
      </c>
      <c r="Q189" s="4">
        <f>IF(AND(P189&gt;=INDEX(Dim_Product!$G$2:$G$4,MATCH(F189,Dim_Product!$A$2:$A$4,0))-INDEX(Dim_Product!$H$2:$H$4,MATCH(F189,Dim_Product!$A$2:$A$4,0)),P189&lt;=INDEX(Dim_Product!$G$2:$G$4,MATCH(F189,Dim_Product!$A$2:$A$4,0))+INDEX(Dim_Product!$H$2:$H$4,MATCH(F189,Dim_Product!$A$2:$A$4,0))),G189-H189,G189-H189-1)</f>
        <v>24</v>
      </c>
      <c r="R189" s="4">
        <f t="shared" si="20"/>
        <v>0</v>
      </c>
      <c r="S189" s="4">
        <f>INDEX(Dim_Product!$K$2:$K$4,MATCH(F189,Dim_Product!$A$2:$A$4,0))+0.23</f>
        <v>120.23</v>
      </c>
      <c r="T189" s="4">
        <f>IF(AND(S189&gt;=INDEX(Dim_Product!$K$2:$K$4,MATCH(F189,Dim_Product!$A$2:$A$4,0))-INDEX(Dim_Product!$L$2:$L$4,MATCH(F189,Dim_Product!$A$2:$A$4,0)),S189&lt;=INDEX(Dim_Product!$K$2:$K$4,MATCH(F189,Dim_Product!$A$2:$A$4,0))+INDEX(Dim_Product!$L$2:$L$4,MATCH(F189,Dim_Product!$A$2:$A$4,0))),G189-H189,G189-H189-1)</f>
        <v>24</v>
      </c>
      <c r="U189" s="4">
        <f t="shared" si="21"/>
        <v>0</v>
      </c>
      <c r="V189" s="4">
        <f t="shared" si="22"/>
        <v>0</v>
      </c>
      <c r="W189" s="16">
        <f t="shared" si="23"/>
        <v>1</v>
      </c>
    </row>
    <row r="190" spans="1:23" x14ac:dyDescent="0.25">
      <c r="A190" s="15" t="s">
        <v>691</v>
      </c>
      <c r="B190" s="4">
        <f>Fact_Production_Hourly!B190</f>
        <v>20260702</v>
      </c>
      <c r="C190" s="4">
        <f>Fact_Production_Hourly!C190</f>
        <v>2</v>
      </c>
      <c r="D190" s="4" t="str">
        <f>Fact_Production_Hourly!D190</f>
        <v>M7</v>
      </c>
      <c r="E190" s="4" t="str">
        <f>Fact_Production_Hourly!E190</f>
        <v>B-PM</v>
      </c>
      <c r="F190" s="4" t="str">
        <f>Fact_Production_Hourly!F190</f>
        <v>C</v>
      </c>
      <c r="G190" s="4">
        <f>INDEX(Dim_Machine!$D$2:$D$8,MATCH(D190,Dim_Machine!$A$2:$A$8,0))*2</f>
        <v>48</v>
      </c>
      <c r="H190" s="4">
        <f>ROUND(G190*0.0618,0)</f>
        <v>3</v>
      </c>
      <c r="I190" s="4">
        <f t="shared" si="16"/>
        <v>0</v>
      </c>
      <c r="J190" s="4">
        <f t="shared" si="17"/>
        <v>1</v>
      </c>
      <c r="K190" s="4">
        <f t="shared" si="18"/>
        <v>2</v>
      </c>
      <c r="L190" s="4" t="s">
        <v>498</v>
      </c>
      <c r="M190" s="4">
        <f>INDEX(Dim_Product!$C$2:$C$4,MATCH(F190,Dim_Product!$A$2:$A$4,0))+-0.42</f>
        <v>199.58</v>
      </c>
      <c r="N190" s="4">
        <f>IF(AND(M190&gt;=INDEX(Dim_Product!$C$2:$C$4,MATCH(F190,Dim_Product!$A$2:$A$4,0))-INDEX(Dim_Product!$D$2:$D$4,MATCH(F190,Dim_Product!$A$2:$A$4,0)),M190&lt;=INDEX(Dim_Product!$C$2:$C$4,MATCH(F190,Dim_Product!$A$2:$A$4,0))+INDEX(Dim_Product!$D$2:$D$4,MATCH(F190,Dim_Product!$A$2:$A$4,0))),G190-H190,G190-H190-1)</f>
        <v>45</v>
      </c>
      <c r="O190" s="4">
        <f t="shared" si="19"/>
        <v>3</v>
      </c>
      <c r="P190" s="4">
        <f>INDEX(Dim_Product!$G$2:$G$4,MATCH(F190,Dim_Product!$A$2:$A$4,0))+-0.07</f>
        <v>64.930000000000007</v>
      </c>
      <c r="Q190" s="4">
        <f>IF(AND(P190&gt;=INDEX(Dim_Product!$G$2:$G$4,MATCH(F190,Dim_Product!$A$2:$A$4,0))-INDEX(Dim_Product!$H$2:$H$4,MATCH(F190,Dim_Product!$A$2:$A$4,0)),P190&lt;=INDEX(Dim_Product!$G$2:$G$4,MATCH(F190,Dim_Product!$A$2:$A$4,0))+INDEX(Dim_Product!$H$2:$H$4,MATCH(F190,Dim_Product!$A$2:$A$4,0))),G190-H190,G190-H190-1)</f>
        <v>45</v>
      </c>
      <c r="R190" s="4">
        <f t="shared" si="20"/>
        <v>3</v>
      </c>
      <c r="S190" s="4">
        <f>INDEX(Dim_Product!$K$2:$K$4,MATCH(F190,Dim_Product!$A$2:$A$4,0))+-0.33</f>
        <v>109.67</v>
      </c>
      <c r="T190" s="4">
        <f>IF(AND(S190&gt;=INDEX(Dim_Product!$K$2:$K$4,MATCH(F190,Dim_Product!$A$2:$A$4,0))-INDEX(Dim_Product!$L$2:$L$4,MATCH(F190,Dim_Product!$A$2:$A$4,0)),S190&lt;=INDEX(Dim_Product!$K$2:$K$4,MATCH(F190,Dim_Product!$A$2:$A$4,0))+INDEX(Dim_Product!$L$2:$L$4,MATCH(F190,Dim_Product!$A$2:$A$4,0))),G190-H190,G190-H190-1)</f>
        <v>45</v>
      </c>
      <c r="U190" s="4">
        <f t="shared" si="21"/>
        <v>3</v>
      </c>
      <c r="V190" s="4">
        <f t="shared" si="22"/>
        <v>6.25E-2</v>
      </c>
      <c r="W190" s="16">
        <f t="shared" si="23"/>
        <v>0.9375</v>
      </c>
    </row>
    <row r="191" spans="1:23" x14ac:dyDescent="0.25">
      <c r="A191" s="15" t="s">
        <v>692</v>
      </c>
      <c r="B191" s="4">
        <f>Fact_Production_Hourly!B191</f>
        <v>20260702</v>
      </c>
      <c r="C191" s="4">
        <f>Fact_Production_Hourly!C191</f>
        <v>3</v>
      </c>
      <c r="D191" s="4" t="str">
        <f>Fact_Production_Hourly!D191</f>
        <v>M1</v>
      </c>
      <c r="E191" s="4" t="str">
        <f>Fact_Production_Hourly!E191</f>
        <v>B-PM</v>
      </c>
      <c r="F191" s="4" t="str">
        <f>Fact_Production_Hourly!F191</f>
        <v>B</v>
      </c>
      <c r="G191" s="4">
        <f>INDEX(Dim_Machine!$D$2:$D$8,MATCH(D191,Dim_Machine!$A$2:$A$8,0))*2</f>
        <v>32</v>
      </c>
      <c r="H191" s="4">
        <f>ROUND(G191*0.0641,0)</f>
        <v>2</v>
      </c>
      <c r="I191" s="4">
        <f t="shared" si="16"/>
        <v>0</v>
      </c>
      <c r="J191" s="4">
        <f t="shared" si="17"/>
        <v>1</v>
      </c>
      <c r="K191" s="4">
        <f t="shared" si="18"/>
        <v>1</v>
      </c>
      <c r="L191" s="4" t="s">
        <v>500</v>
      </c>
      <c r="M191" s="4">
        <f>INDEX(Dim_Product!$C$2:$C$4,MATCH(F191,Dim_Product!$A$2:$A$4,0))+0.14</f>
        <v>300.14</v>
      </c>
      <c r="N191" s="4">
        <f>IF(AND(M191&gt;=INDEX(Dim_Product!$C$2:$C$4,MATCH(F191,Dim_Product!$A$2:$A$4,0))-INDEX(Dim_Product!$D$2:$D$4,MATCH(F191,Dim_Product!$A$2:$A$4,0)),M191&lt;=INDEX(Dim_Product!$C$2:$C$4,MATCH(F191,Dim_Product!$A$2:$A$4,0))+INDEX(Dim_Product!$D$2:$D$4,MATCH(F191,Dim_Product!$A$2:$A$4,0))),G191-H191,G191-H191-1)</f>
        <v>30</v>
      </c>
      <c r="O191" s="4">
        <f t="shared" si="19"/>
        <v>2</v>
      </c>
      <c r="P191" s="4">
        <f>INDEX(Dim_Product!$G$2:$G$4,MATCH(F191,Dim_Product!$A$2:$A$4,0))+-0.2</f>
        <v>74.8</v>
      </c>
      <c r="Q191" s="4">
        <f>IF(AND(P191&gt;=INDEX(Dim_Product!$G$2:$G$4,MATCH(F191,Dim_Product!$A$2:$A$4,0))-INDEX(Dim_Product!$H$2:$H$4,MATCH(F191,Dim_Product!$A$2:$A$4,0)),P191&lt;=INDEX(Dim_Product!$G$2:$G$4,MATCH(F191,Dim_Product!$A$2:$A$4,0))+INDEX(Dim_Product!$H$2:$H$4,MATCH(F191,Dim_Product!$A$2:$A$4,0))),G191-H191,G191-H191-1)</f>
        <v>30</v>
      </c>
      <c r="R191" s="4">
        <f t="shared" si="20"/>
        <v>2</v>
      </c>
      <c r="S191" s="4">
        <f>INDEX(Dim_Product!$K$2:$K$4,MATCH(F191,Dim_Product!$A$2:$A$4,0))+-0.1</f>
        <v>129.9</v>
      </c>
      <c r="T191" s="4">
        <f>IF(AND(S191&gt;=INDEX(Dim_Product!$K$2:$K$4,MATCH(F191,Dim_Product!$A$2:$A$4,0))-INDEX(Dim_Product!$L$2:$L$4,MATCH(F191,Dim_Product!$A$2:$A$4,0)),S191&lt;=INDEX(Dim_Product!$K$2:$K$4,MATCH(F191,Dim_Product!$A$2:$A$4,0))+INDEX(Dim_Product!$L$2:$L$4,MATCH(F191,Dim_Product!$A$2:$A$4,0))),G191-H191,G191-H191-1)</f>
        <v>30</v>
      </c>
      <c r="U191" s="4">
        <f t="shared" si="21"/>
        <v>2</v>
      </c>
      <c r="V191" s="4">
        <f t="shared" si="22"/>
        <v>6.25E-2</v>
      </c>
      <c r="W191" s="16">
        <f t="shared" si="23"/>
        <v>0.9375</v>
      </c>
    </row>
    <row r="192" spans="1:23" x14ac:dyDescent="0.25">
      <c r="A192" s="15" t="s">
        <v>693</v>
      </c>
      <c r="B192" s="4">
        <f>Fact_Production_Hourly!B192</f>
        <v>20260702</v>
      </c>
      <c r="C192" s="4">
        <f>Fact_Production_Hourly!C192</f>
        <v>3</v>
      </c>
      <c r="D192" s="4" t="str">
        <f>Fact_Production_Hourly!D192</f>
        <v>M2</v>
      </c>
      <c r="E192" s="4" t="str">
        <f>Fact_Production_Hourly!E192</f>
        <v>B-PM</v>
      </c>
      <c r="F192" s="4" t="str">
        <f>Fact_Production_Hourly!F192</f>
        <v>A</v>
      </c>
      <c r="G192" s="4">
        <f>INDEX(Dim_Machine!$D$2:$D$8,MATCH(D192,Dim_Machine!$A$2:$A$8,0))*2</f>
        <v>48</v>
      </c>
      <c r="H192" s="4">
        <f>ROUND(G192*0.0183,0)</f>
        <v>1</v>
      </c>
      <c r="I192" s="4">
        <f t="shared" si="16"/>
        <v>0</v>
      </c>
      <c r="J192" s="4">
        <f t="shared" si="17"/>
        <v>0</v>
      </c>
      <c r="K192" s="4">
        <f t="shared" si="18"/>
        <v>1</v>
      </c>
      <c r="L192" s="4" t="s">
        <v>517</v>
      </c>
      <c r="M192" s="4">
        <f>INDEX(Dim_Product!$C$2:$C$4,MATCH(F192,Dim_Product!$A$2:$A$4,0))+-0.46</f>
        <v>249.54</v>
      </c>
      <c r="N192" s="4">
        <f>IF(AND(M192&gt;=INDEX(Dim_Product!$C$2:$C$4,MATCH(F192,Dim_Product!$A$2:$A$4,0))-INDEX(Dim_Product!$D$2:$D$4,MATCH(F192,Dim_Product!$A$2:$A$4,0)),M192&lt;=INDEX(Dim_Product!$C$2:$C$4,MATCH(F192,Dim_Product!$A$2:$A$4,0))+INDEX(Dim_Product!$D$2:$D$4,MATCH(F192,Dim_Product!$A$2:$A$4,0))),G192-H192,G192-H192-1)</f>
        <v>47</v>
      </c>
      <c r="O192" s="4">
        <f t="shared" si="19"/>
        <v>1</v>
      </c>
      <c r="P192" s="4">
        <f>INDEX(Dim_Product!$G$2:$G$4,MATCH(F192,Dim_Product!$A$2:$A$4,0))+-0.21</f>
        <v>69.790000000000006</v>
      </c>
      <c r="Q192" s="4">
        <f>IF(AND(P192&gt;=INDEX(Dim_Product!$G$2:$G$4,MATCH(F192,Dim_Product!$A$2:$A$4,0))-INDEX(Dim_Product!$H$2:$H$4,MATCH(F192,Dim_Product!$A$2:$A$4,0)),P192&lt;=INDEX(Dim_Product!$G$2:$G$4,MATCH(F192,Dim_Product!$A$2:$A$4,0))+INDEX(Dim_Product!$H$2:$H$4,MATCH(F192,Dim_Product!$A$2:$A$4,0))),G192-H192,G192-H192-1)</f>
        <v>47</v>
      </c>
      <c r="R192" s="4">
        <f t="shared" si="20"/>
        <v>1</v>
      </c>
      <c r="S192" s="4">
        <f>INDEX(Dim_Product!$K$2:$K$4,MATCH(F192,Dim_Product!$A$2:$A$4,0))+-0.27</f>
        <v>119.73</v>
      </c>
      <c r="T192" s="4">
        <f>IF(AND(S192&gt;=INDEX(Dim_Product!$K$2:$K$4,MATCH(F192,Dim_Product!$A$2:$A$4,0))-INDEX(Dim_Product!$L$2:$L$4,MATCH(F192,Dim_Product!$A$2:$A$4,0)),S192&lt;=INDEX(Dim_Product!$K$2:$K$4,MATCH(F192,Dim_Product!$A$2:$A$4,0))+INDEX(Dim_Product!$L$2:$L$4,MATCH(F192,Dim_Product!$A$2:$A$4,0))),G192-H192,G192-H192-1)</f>
        <v>47</v>
      </c>
      <c r="U192" s="4">
        <f t="shared" si="21"/>
        <v>1</v>
      </c>
      <c r="V192" s="4">
        <f t="shared" si="22"/>
        <v>2.0833333333333332E-2</v>
      </c>
      <c r="W192" s="16">
        <f t="shared" si="23"/>
        <v>0.97916666666666663</v>
      </c>
    </row>
    <row r="193" spans="1:23" x14ac:dyDescent="0.25">
      <c r="A193" s="15" t="s">
        <v>694</v>
      </c>
      <c r="B193" s="4">
        <f>Fact_Production_Hourly!B193</f>
        <v>20260702</v>
      </c>
      <c r="C193" s="4">
        <f>Fact_Production_Hourly!C193</f>
        <v>3</v>
      </c>
      <c r="D193" s="4" t="str">
        <f>Fact_Production_Hourly!D193</f>
        <v>M3</v>
      </c>
      <c r="E193" s="4" t="str">
        <f>Fact_Production_Hourly!E193</f>
        <v>B-PM</v>
      </c>
      <c r="F193" s="4" t="str">
        <f>Fact_Production_Hourly!F193</f>
        <v>A</v>
      </c>
      <c r="G193" s="4">
        <f>INDEX(Dim_Machine!$D$2:$D$8,MATCH(D193,Dim_Machine!$A$2:$A$8,0))*2</f>
        <v>24</v>
      </c>
      <c r="H193" s="4">
        <f>ROUND(G193*0.0266,0)</f>
        <v>1</v>
      </c>
      <c r="I193" s="4">
        <f t="shared" si="16"/>
        <v>0</v>
      </c>
      <c r="J193" s="4">
        <f t="shared" si="17"/>
        <v>0</v>
      </c>
      <c r="K193" s="4">
        <f t="shared" si="18"/>
        <v>1</v>
      </c>
      <c r="L193" s="4" t="s">
        <v>517</v>
      </c>
      <c r="M193" s="4">
        <f>INDEX(Dim_Product!$C$2:$C$4,MATCH(F193,Dim_Product!$A$2:$A$4,0))+-0.03</f>
        <v>249.97</v>
      </c>
      <c r="N193" s="4">
        <f>IF(AND(M193&gt;=INDEX(Dim_Product!$C$2:$C$4,MATCH(F193,Dim_Product!$A$2:$A$4,0))-INDEX(Dim_Product!$D$2:$D$4,MATCH(F193,Dim_Product!$A$2:$A$4,0)),M193&lt;=INDEX(Dim_Product!$C$2:$C$4,MATCH(F193,Dim_Product!$A$2:$A$4,0))+INDEX(Dim_Product!$D$2:$D$4,MATCH(F193,Dim_Product!$A$2:$A$4,0))),G193-H193,G193-H193-1)</f>
        <v>23</v>
      </c>
      <c r="O193" s="4">
        <f t="shared" si="19"/>
        <v>1</v>
      </c>
      <c r="P193" s="4">
        <f>INDEX(Dim_Product!$G$2:$G$4,MATCH(F193,Dim_Product!$A$2:$A$4,0))+-0.25</f>
        <v>69.75</v>
      </c>
      <c r="Q193" s="4">
        <f>IF(AND(P193&gt;=INDEX(Dim_Product!$G$2:$G$4,MATCH(F193,Dim_Product!$A$2:$A$4,0))-INDEX(Dim_Product!$H$2:$H$4,MATCH(F193,Dim_Product!$A$2:$A$4,0)),P193&lt;=INDEX(Dim_Product!$G$2:$G$4,MATCH(F193,Dim_Product!$A$2:$A$4,0))+INDEX(Dim_Product!$H$2:$H$4,MATCH(F193,Dim_Product!$A$2:$A$4,0))),G193-H193,G193-H193-1)</f>
        <v>23</v>
      </c>
      <c r="R193" s="4">
        <f t="shared" si="20"/>
        <v>1</v>
      </c>
      <c r="S193" s="4">
        <f>INDEX(Dim_Product!$K$2:$K$4,MATCH(F193,Dim_Product!$A$2:$A$4,0))+-0.2</f>
        <v>119.8</v>
      </c>
      <c r="T193" s="4">
        <f>IF(AND(S193&gt;=INDEX(Dim_Product!$K$2:$K$4,MATCH(F193,Dim_Product!$A$2:$A$4,0))-INDEX(Dim_Product!$L$2:$L$4,MATCH(F193,Dim_Product!$A$2:$A$4,0)),S193&lt;=INDEX(Dim_Product!$K$2:$K$4,MATCH(F193,Dim_Product!$A$2:$A$4,0))+INDEX(Dim_Product!$L$2:$L$4,MATCH(F193,Dim_Product!$A$2:$A$4,0))),G193-H193,G193-H193-1)</f>
        <v>23</v>
      </c>
      <c r="U193" s="4">
        <f t="shared" si="21"/>
        <v>1</v>
      </c>
      <c r="V193" s="4">
        <f t="shared" si="22"/>
        <v>4.1666666666666664E-2</v>
      </c>
      <c r="W193" s="16">
        <f t="shared" si="23"/>
        <v>0.95833333333333337</v>
      </c>
    </row>
    <row r="194" spans="1:23" x14ac:dyDescent="0.25">
      <c r="A194" s="15" t="s">
        <v>695</v>
      </c>
      <c r="B194" s="4">
        <f>Fact_Production_Hourly!B194</f>
        <v>20260702</v>
      </c>
      <c r="C194" s="4">
        <f>Fact_Production_Hourly!C194</f>
        <v>3</v>
      </c>
      <c r="D194" s="4" t="str">
        <f>Fact_Production_Hourly!D194</f>
        <v>M4</v>
      </c>
      <c r="E194" s="4" t="str">
        <f>Fact_Production_Hourly!E194</f>
        <v>B-PM</v>
      </c>
      <c r="F194" s="4" t="str">
        <f>Fact_Production_Hourly!F194</f>
        <v>C</v>
      </c>
      <c r="G194" s="4">
        <f>INDEX(Dim_Machine!$D$2:$D$8,MATCH(D194,Dim_Machine!$A$2:$A$8,0))*2</f>
        <v>48</v>
      </c>
      <c r="H194" s="4">
        <f>ROUND(G194*0.0248,0)</f>
        <v>1</v>
      </c>
      <c r="I194" s="4">
        <f t="shared" ref="I194:I257" si="24">ROUND(H194*0.15,0)</f>
        <v>0</v>
      </c>
      <c r="J194" s="4">
        <f t="shared" ref="J194:J257" si="25">ROUND(H194*0.45,0)</f>
        <v>0</v>
      </c>
      <c r="K194" s="4">
        <f t="shared" ref="K194:K257" si="26">MAX(H194-I194-J194,0)</f>
        <v>1</v>
      </c>
      <c r="L194" s="4" t="s">
        <v>520</v>
      </c>
      <c r="M194" s="4">
        <f>INDEX(Dim_Product!$C$2:$C$4,MATCH(F194,Dim_Product!$A$2:$A$4,0))+-0.01</f>
        <v>199.99</v>
      </c>
      <c r="N194" s="4">
        <f>IF(AND(M194&gt;=INDEX(Dim_Product!$C$2:$C$4,MATCH(F194,Dim_Product!$A$2:$A$4,0))-INDEX(Dim_Product!$D$2:$D$4,MATCH(F194,Dim_Product!$A$2:$A$4,0)),M194&lt;=INDEX(Dim_Product!$C$2:$C$4,MATCH(F194,Dim_Product!$A$2:$A$4,0))+INDEX(Dim_Product!$D$2:$D$4,MATCH(F194,Dim_Product!$A$2:$A$4,0))),G194-H194,G194-H194-1)</f>
        <v>47</v>
      </c>
      <c r="O194" s="4">
        <f t="shared" ref="O194:O257" si="27">G194-N194</f>
        <v>1</v>
      </c>
      <c r="P194" s="4">
        <f>INDEX(Dim_Product!$G$2:$G$4,MATCH(F194,Dim_Product!$A$2:$A$4,0))+0.07</f>
        <v>65.069999999999993</v>
      </c>
      <c r="Q194" s="4">
        <f>IF(AND(P194&gt;=INDEX(Dim_Product!$G$2:$G$4,MATCH(F194,Dim_Product!$A$2:$A$4,0))-INDEX(Dim_Product!$H$2:$H$4,MATCH(F194,Dim_Product!$A$2:$A$4,0)),P194&lt;=INDEX(Dim_Product!$G$2:$G$4,MATCH(F194,Dim_Product!$A$2:$A$4,0))+INDEX(Dim_Product!$H$2:$H$4,MATCH(F194,Dim_Product!$A$2:$A$4,0))),G194-H194,G194-H194-1)</f>
        <v>47</v>
      </c>
      <c r="R194" s="4">
        <f t="shared" ref="R194:R257" si="28">G194-Q194</f>
        <v>1</v>
      </c>
      <c r="S194" s="4">
        <f>INDEX(Dim_Product!$K$2:$K$4,MATCH(F194,Dim_Product!$A$2:$A$4,0))+-0.03</f>
        <v>109.97</v>
      </c>
      <c r="T194" s="4">
        <f>IF(AND(S194&gt;=INDEX(Dim_Product!$K$2:$K$4,MATCH(F194,Dim_Product!$A$2:$A$4,0))-INDEX(Dim_Product!$L$2:$L$4,MATCH(F194,Dim_Product!$A$2:$A$4,0)),S194&lt;=INDEX(Dim_Product!$K$2:$K$4,MATCH(F194,Dim_Product!$A$2:$A$4,0))+INDEX(Dim_Product!$L$2:$L$4,MATCH(F194,Dim_Product!$A$2:$A$4,0))),G194-H194,G194-H194-1)</f>
        <v>47</v>
      </c>
      <c r="U194" s="4">
        <f t="shared" ref="U194:U257" si="29">G194-T194</f>
        <v>1</v>
      </c>
      <c r="V194" s="4">
        <f t="shared" ref="V194:V257" si="30">IFERROR(H194/G194,0)</f>
        <v>2.0833333333333332E-2</v>
      </c>
      <c r="W194" s="16">
        <f t="shared" ref="W194:W257" si="31">1-V194</f>
        <v>0.97916666666666663</v>
      </c>
    </row>
    <row r="195" spans="1:23" x14ac:dyDescent="0.25">
      <c r="A195" s="15" t="s">
        <v>696</v>
      </c>
      <c r="B195" s="4">
        <f>Fact_Production_Hourly!B195</f>
        <v>20260702</v>
      </c>
      <c r="C195" s="4">
        <f>Fact_Production_Hourly!C195</f>
        <v>3</v>
      </c>
      <c r="D195" s="4" t="str">
        <f>Fact_Production_Hourly!D195</f>
        <v>M5</v>
      </c>
      <c r="E195" s="4" t="str">
        <f>Fact_Production_Hourly!E195</f>
        <v>B-PM</v>
      </c>
      <c r="F195" s="4" t="str">
        <f>Fact_Production_Hourly!F195</f>
        <v>A</v>
      </c>
      <c r="G195" s="4">
        <f>INDEX(Dim_Machine!$D$2:$D$8,MATCH(D195,Dim_Machine!$A$2:$A$8,0))*2</f>
        <v>32</v>
      </c>
      <c r="H195" s="4">
        <f>ROUND(G195*0.0181,0)</f>
        <v>1</v>
      </c>
      <c r="I195" s="4">
        <f t="shared" si="24"/>
        <v>0</v>
      </c>
      <c r="J195" s="4">
        <f t="shared" si="25"/>
        <v>0</v>
      </c>
      <c r="K195" s="4">
        <f t="shared" si="26"/>
        <v>1</v>
      </c>
      <c r="L195" s="4" t="s">
        <v>498</v>
      </c>
      <c r="M195" s="4">
        <f>INDEX(Dim_Product!$C$2:$C$4,MATCH(F195,Dim_Product!$A$2:$A$4,0))+0.9</f>
        <v>250.9</v>
      </c>
      <c r="N195" s="4">
        <f>IF(AND(M195&gt;=INDEX(Dim_Product!$C$2:$C$4,MATCH(F195,Dim_Product!$A$2:$A$4,0))-INDEX(Dim_Product!$D$2:$D$4,MATCH(F195,Dim_Product!$A$2:$A$4,0)),M195&lt;=INDEX(Dim_Product!$C$2:$C$4,MATCH(F195,Dim_Product!$A$2:$A$4,0))+INDEX(Dim_Product!$D$2:$D$4,MATCH(F195,Dim_Product!$A$2:$A$4,0))),G195-H195,G195-H195-1)</f>
        <v>31</v>
      </c>
      <c r="O195" s="4">
        <f t="shared" si="27"/>
        <v>1</v>
      </c>
      <c r="P195" s="4">
        <f>INDEX(Dim_Product!$G$2:$G$4,MATCH(F195,Dim_Product!$A$2:$A$4,0))+-0.1</f>
        <v>69.900000000000006</v>
      </c>
      <c r="Q195" s="4">
        <f>IF(AND(P195&gt;=INDEX(Dim_Product!$G$2:$G$4,MATCH(F195,Dim_Product!$A$2:$A$4,0))-INDEX(Dim_Product!$H$2:$H$4,MATCH(F195,Dim_Product!$A$2:$A$4,0)),P195&lt;=INDEX(Dim_Product!$G$2:$G$4,MATCH(F195,Dim_Product!$A$2:$A$4,0))+INDEX(Dim_Product!$H$2:$H$4,MATCH(F195,Dim_Product!$A$2:$A$4,0))),G195-H195,G195-H195-1)</f>
        <v>31</v>
      </c>
      <c r="R195" s="4">
        <f t="shared" si="28"/>
        <v>1</v>
      </c>
      <c r="S195" s="4">
        <f>INDEX(Dim_Product!$K$2:$K$4,MATCH(F195,Dim_Product!$A$2:$A$4,0))+0.1</f>
        <v>120.1</v>
      </c>
      <c r="T195" s="4">
        <f>IF(AND(S195&gt;=INDEX(Dim_Product!$K$2:$K$4,MATCH(F195,Dim_Product!$A$2:$A$4,0))-INDEX(Dim_Product!$L$2:$L$4,MATCH(F195,Dim_Product!$A$2:$A$4,0)),S195&lt;=INDEX(Dim_Product!$K$2:$K$4,MATCH(F195,Dim_Product!$A$2:$A$4,0))+INDEX(Dim_Product!$L$2:$L$4,MATCH(F195,Dim_Product!$A$2:$A$4,0))),G195-H195,G195-H195-1)</f>
        <v>31</v>
      </c>
      <c r="U195" s="4">
        <f t="shared" si="29"/>
        <v>1</v>
      </c>
      <c r="V195" s="4">
        <f t="shared" si="30"/>
        <v>3.125E-2</v>
      </c>
      <c r="W195" s="16">
        <f t="shared" si="31"/>
        <v>0.96875</v>
      </c>
    </row>
    <row r="196" spans="1:23" x14ac:dyDescent="0.25">
      <c r="A196" s="15" t="s">
        <v>697</v>
      </c>
      <c r="B196" s="4">
        <f>Fact_Production_Hourly!B196</f>
        <v>20260702</v>
      </c>
      <c r="C196" s="4">
        <f>Fact_Production_Hourly!C196</f>
        <v>3</v>
      </c>
      <c r="D196" s="4" t="str">
        <f>Fact_Production_Hourly!D196</f>
        <v>M6</v>
      </c>
      <c r="E196" s="4" t="str">
        <f>Fact_Production_Hourly!E196</f>
        <v>B-PM</v>
      </c>
      <c r="F196" s="4" t="str">
        <f>Fact_Production_Hourly!F196</f>
        <v>A</v>
      </c>
      <c r="G196" s="4">
        <f>INDEX(Dim_Machine!$D$2:$D$8,MATCH(D196,Dim_Machine!$A$2:$A$8,0))*2</f>
        <v>24</v>
      </c>
      <c r="H196" s="4">
        <f>ROUND(G196*0.0582,0)</f>
        <v>1</v>
      </c>
      <c r="I196" s="4">
        <f t="shared" si="24"/>
        <v>0</v>
      </c>
      <c r="J196" s="4">
        <f t="shared" si="25"/>
        <v>0</v>
      </c>
      <c r="K196" s="4">
        <f t="shared" si="26"/>
        <v>1</v>
      </c>
      <c r="L196" s="4" t="s">
        <v>517</v>
      </c>
      <c r="M196" s="4">
        <f>INDEX(Dim_Product!$C$2:$C$4,MATCH(F196,Dim_Product!$A$2:$A$4,0))+-0.12</f>
        <v>249.88</v>
      </c>
      <c r="N196" s="4">
        <f>IF(AND(M196&gt;=INDEX(Dim_Product!$C$2:$C$4,MATCH(F196,Dim_Product!$A$2:$A$4,0))-INDEX(Dim_Product!$D$2:$D$4,MATCH(F196,Dim_Product!$A$2:$A$4,0)),M196&lt;=INDEX(Dim_Product!$C$2:$C$4,MATCH(F196,Dim_Product!$A$2:$A$4,0))+INDEX(Dim_Product!$D$2:$D$4,MATCH(F196,Dim_Product!$A$2:$A$4,0))),G196-H196,G196-H196-1)</f>
        <v>23</v>
      </c>
      <c r="O196" s="4">
        <f t="shared" si="27"/>
        <v>1</v>
      </c>
      <c r="P196" s="4">
        <f>INDEX(Dim_Product!$G$2:$G$4,MATCH(F196,Dim_Product!$A$2:$A$4,0))+-0.04</f>
        <v>69.959999999999994</v>
      </c>
      <c r="Q196" s="4">
        <f>IF(AND(P196&gt;=INDEX(Dim_Product!$G$2:$G$4,MATCH(F196,Dim_Product!$A$2:$A$4,0))-INDEX(Dim_Product!$H$2:$H$4,MATCH(F196,Dim_Product!$A$2:$A$4,0)),P196&lt;=INDEX(Dim_Product!$G$2:$G$4,MATCH(F196,Dim_Product!$A$2:$A$4,0))+INDEX(Dim_Product!$H$2:$H$4,MATCH(F196,Dim_Product!$A$2:$A$4,0))),G196-H196,G196-H196-1)</f>
        <v>23</v>
      </c>
      <c r="R196" s="4">
        <f t="shared" si="28"/>
        <v>1</v>
      </c>
      <c r="S196" s="4">
        <f>INDEX(Dim_Product!$K$2:$K$4,MATCH(F196,Dim_Product!$A$2:$A$4,0))+0.26</f>
        <v>120.26</v>
      </c>
      <c r="T196" s="4">
        <f>IF(AND(S196&gt;=INDEX(Dim_Product!$K$2:$K$4,MATCH(F196,Dim_Product!$A$2:$A$4,0))-INDEX(Dim_Product!$L$2:$L$4,MATCH(F196,Dim_Product!$A$2:$A$4,0)),S196&lt;=INDEX(Dim_Product!$K$2:$K$4,MATCH(F196,Dim_Product!$A$2:$A$4,0))+INDEX(Dim_Product!$L$2:$L$4,MATCH(F196,Dim_Product!$A$2:$A$4,0))),G196-H196,G196-H196-1)</f>
        <v>23</v>
      </c>
      <c r="U196" s="4">
        <f t="shared" si="29"/>
        <v>1</v>
      </c>
      <c r="V196" s="4">
        <f t="shared" si="30"/>
        <v>4.1666666666666664E-2</v>
      </c>
      <c r="W196" s="16">
        <f t="shared" si="31"/>
        <v>0.95833333333333337</v>
      </c>
    </row>
    <row r="197" spans="1:23" x14ac:dyDescent="0.25">
      <c r="A197" s="15" t="s">
        <v>698</v>
      </c>
      <c r="B197" s="4">
        <f>Fact_Production_Hourly!B197</f>
        <v>20260702</v>
      </c>
      <c r="C197" s="4">
        <f>Fact_Production_Hourly!C197</f>
        <v>3</v>
      </c>
      <c r="D197" s="4" t="str">
        <f>Fact_Production_Hourly!D197</f>
        <v>M7</v>
      </c>
      <c r="E197" s="4" t="str">
        <f>Fact_Production_Hourly!E197</f>
        <v>B-PM</v>
      </c>
      <c r="F197" s="4" t="str">
        <f>Fact_Production_Hourly!F197</f>
        <v>C</v>
      </c>
      <c r="G197" s="4">
        <f>INDEX(Dim_Machine!$D$2:$D$8,MATCH(D197,Dim_Machine!$A$2:$A$8,0))*2</f>
        <v>48</v>
      </c>
      <c r="H197" s="4">
        <f>ROUND(G197*0.0491,0)</f>
        <v>2</v>
      </c>
      <c r="I197" s="4">
        <f t="shared" si="24"/>
        <v>0</v>
      </c>
      <c r="J197" s="4">
        <f t="shared" si="25"/>
        <v>1</v>
      </c>
      <c r="K197" s="4">
        <f t="shared" si="26"/>
        <v>1</v>
      </c>
      <c r="L197" s="4" t="s">
        <v>509</v>
      </c>
      <c r="M197" s="4">
        <f>INDEX(Dim_Product!$C$2:$C$4,MATCH(F197,Dim_Product!$A$2:$A$4,0))+-0.73</f>
        <v>199.27</v>
      </c>
      <c r="N197" s="4">
        <f>IF(AND(M197&gt;=INDEX(Dim_Product!$C$2:$C$4,MATCH(F197,Dim_Product!$A$2:$A$4,0))-INDEX(Dim_Product!$D$2:$D$4,MATCH(F197,Dim_Product!$A$2:$A$4,0)),M197&lt;=INDEX(Dim_Product!$C$2:$C$4,MATCH(F197,Dim_Product!$A$2:$A$4,0))+INDEX(Dim_Product!$D$2:$D$4,MATCH(F197,Dim_Product!$A$2:$A$4,0))),G197-H197,G197-H197-1)</f>
        <v>46</v>
      </c>
      <c r="O197" s="4">
        <f t="shared" si="27"/>
        <v>2</v>
      </c>
      <c r="P197" s="4">
        <f>INDEX(Dim_Product!$G$2:$G$4,MATCH(F197,Dim_Product!$A$2:$A$4,0))+-0.11</f>
        <v>64.89</v>
      </c>
      <c r="Q197" s="4">
        <f>IF(AND(P197&gt;=INDEX(Dim_Product!$G$2:$G$4,MATCH(F197,Dim_Product!$A$2:$A$4,0))-INDEX(Dim_Product!$H$2:$H$4,MATCH(F197,Dim_Product!$A$2:$A$4,0)),P197&lt;=INDEX(Dim_Product!$G$2:$G$4,MATCH(F197,Dim_Product!$A$2:$A$4,0))+INDEX(Dim_Product!$H$2:$H$4,MATCH(F197,Dim_Product!$A$2:$A$4,0))),G197-H197,G197-H197-1)</f>
        <v>46</v>
      </c>
      <c r="R197" s="4">
        <f t="shared" si="28"/>
        <v>2</v>
      </c>
      <c r="S197" s="4">
        <f>INDEX(Dim_Product!$K$2:$K$4,MATCH(F197,Dim_Product!$A$2:$A$4,0))+0.36</f>
        <v>110.36</v>
      </c>
      <c r="T197" s="4">
        <f>IF(AND(S197&gt;=INDEX(Dim_Product!$K$2:$K$4,MATCH(F197,Dim_Product!$A$2:$A$4,0))-INDEX(Dim_Product!$L$2:$L$4,MATCH(F197,Dim_Product!$A$2:$A$4,0)),S197&lt;=INDEX(Dim_Product!$K$2:$K$4,MATCH(F197,Dim_Product!$A$2:$A$4,0))+INDEX(Dim_Product!$L$2:$L$4,MATCH(F197,Dim_Product!$A$2:$A$4,0))),G197-H197,G197-H197-1)</f>
        <v>46</v>
      </c>
      <c r="U197" s="4">
        <f t="shared" si="29"/>
        <v>2</v>
      </c>
      <c r="V197" s="4">
        <f t="shared" si="30"/>
        <v>4.1666666666666664E-2</v>
      </c>
      <c r="W197" s="16">
        <f t="shared" si="31"/>
        <v>0.95833333333333337</v>
      </c>
    </row>
    <row r="198" spans="1:23" x14ac:dyDescent="0.25">
      <c r="A198" s="15" t="s">
        <v>699</v>
      </c>
      <c r="B198" s="4">
        <f>Fact_Production_Hourly!B198</f>
        <v>20260702</v>
      </c>
      <c r="C198" s="4">
        <f>Fact_Production_Hourly!C198</f>
        <v>4</v>
      </c>
      <c r="D198" s="4" t="str">
        <f>Fact_Production_Hourly!D198</f>
        <v>M1</v>
      </c>
      <c r="E198" s="4" t="str">
        <f>Fact_Production_Hourly!E198</f>
        <v>B-PM</v>
      </c>
      <c r="F198" s="4" t="str">
        <f>Fact_Production_Hourly!F198</f>
        <v>B</v>
      </c>
      <c r="G198" s="4">
        <f>INDEX(Dim_Machine!$D$2:$D$8,MATCH(D198,Dim_Machine!$A$2:$A$8,0))*2</f>
        <v>32</v>
      </c>
      <c r="H198" s="4">
        <f>ROUND(G198*0.0221,0)</f>
        <v>1</v>
      </c>
      <c r="I198" s="4">
        <f t="shared" si="24"/>
        <v>0</v>
      </c>
      <c r="J198" s="4">
        <f t="shared" si="25"/>
        <v>0</v>
      </c>
      <c r="K198" s="4">
        <f t="shared" si="26"/>
        <v>1</v>
      </c>
      <c r="L198" s="4" t="s">
        <v>517</v>
      </c>
      <c r="M198" s="4">
        <f>INDEX(Dim_Product!$C$2:$C$4,MATCH(F198,Dim_Product!$A$2:$A$4,0))+-0.64</f>
        <v>299.36</v>
      </c>
      <c r="N198" s="4">
        <f>IF(AND(M198&gt;=INDEX(Dim_Product!$C$2:$C$4,MATCH(F198,Dim_Product!$A$2:$A$4,0))-INDEX(Dim_Product!$D$2:$D$4,MATCH(F198,Dim_Product!$A$2:$A$4,0)),M198&lt;=INDEX(Dim_Product!$C$2:$C$4,MATCH(F198,Dim_Product!$A$2:$A$4,0))+INDEX(Dim_Product!$D$2:$D$4,MATCH(F198,Dim_Product!$A$2:$A$4,0))),G198-H198,G198-H198-1)</f>
        <v>31</v>
      </c>
      <c r="O198" s="4">
        <f t="shared" si="27"/>
        <v>1</v>
      </c>
      <c r="P198" s="4">
        <f>INDEX(Dim_Product!$G$2:$G$4,MATCH(F198,Dim_Product!$A$2:$A$4,0))+-0.06</f>
        <v>74.94</v>
      </c>
      <c r="Q198" s="4">
        <f>IF(AND(P198&gt;=INDEX(Dim_Product!$G$2:$G$4,MATCH(F198,Dim_Product!$A$2:$A$4,0))-INDEX(Dim_Product!$H$2:$H$4,MATCH(F198,Dim_Product!$A$2:$A$4,0)),P198&lt;=INDEX(Dim_Product!$G$2:$G$4,MATCH(F198,Dim_Product!$A$2:$A$4,0))+INDEX(Dim_Product!$H$2:$H$4,MATCH(F198,Dim_Product!$A$2:$A$4,0))),G198-H198,G198-H198-1)</f>
        <v>31</v>
      </c>
      <c r="R198" s="4">
        <f t="shared" si="28"/>
        <v>1</v>
      </c>
      <c r="S198" s="4">
        <f>INDEX(Dim_Product!$K$2:$K$4,MATCH(F198,Dim_Product!$A$2:$A$4,0))+-0.14</f>
        <v>129.86000000000001</v>
      </c>
      <c r="T198" s="4">
        <f>IF(AND(S198&gt;=INDEX(Dim_Product!$K$2:$K$4,MATCH(F198,Dim_Product!$A$2:$A$4,0))-INDEX(Dim_Product!$L$2:$L$4,MATCH(F198,Dim_Product!$A$2:$A$4,0)),S198&lt;=INDEX(Dim_Product!$K$2:$K$4,MATCH(F198,Dim_Product!$A$2:$A$4,0))+INDEX(Dim_Product!$L$2:$L$4,MATCH(F198,Dim_Product!$A$2:$A$4,0))),G198-H198,G198-H198-1)</f>
        <v>31</v>
      </c>
      <c r="U198" s="4">
        <f t="shared" si="29"/>
        <v>1</v>
      </c>
      <c r="V198" s="4">
        <f t="shared" si="30"/>
        <v>3.125E-2</v>
      </c>
      <c r="W198" s="16">
        <f t="shared" si="31"/>
        <v>0.96875</v>
      </c>
    </row>
    <row r="199" spans="1:23" x14ac:dyDescent="0.25">
      <c r="A199" s="15" t="s">
        <v>700</v>
      </c>
      <c r="B199" s="4">
        <f>Fact_Production_Hourly!B199</f>
        <v>20260702</v>
      </c>
      <c r="C199" s="4">
        <f>Fact_Production_Hourly!C199</f>
        <v>4</v>
      </c>
      <c r="D199" s="4" t="str">
        <f>Fact_Production_Hourly!D199</f>
        <v>M2</v>
      </c>
      <c r="E199" s="4" t="str">
        <f>Fact_Production_Hourly!E199</f>
        <v>B-PM</v>
      </c>
      <c r="F199" s="4" t="str">
        <f>Fact_Production_Hourly!F199</f>
        <v>A</v>
      </c>
      <c r="G199" s="4">
        <f>INDEX(Dim_Machine!$D$2:$D$8,MATCH(D199,Dim_Machine!$A$2:$A$8,0))*2</f>
        <v>48</v>
      </c>
      <c r="H199" s="4">
        <f>ROUND(G199*0.0541,0)</f>
        <v>3</v>
      </c>
      <c r="I199" s="4">
        <f t="shared" si="24"/>
        <v>0</v>
      </c>
      <c r="J199" s="4">
        <f t="shared" si="25"/>
        <v>1</v>
      </c>
      <c r="K199" s="4">
        <f t="shared" si="26"/>
        <v>2</v>
      </c>
      <c r="L199" s="4" t="s">
        <v>520</v>
      </c>
      <c r="M199" s="4">
        <f>INDEX(Dim_Product!$C$2:$C$4,MATCH(F199,Dim_Product!$A$2:$A$4,0))+-0.02</f>
        <v>249.98</v>
      </c>
      <c r="N199" s="4">
        <f>IF(AND(M199&gt;=INDEX(Dim_Product!$C$2:$C$4,MATCH(F199,Dim_Product!$A$2:$A$4,0))-INDEX(Dim_Product!$D$2:$D$4,MATCH(F199,Dim_Product!$A$2:$A$4,0)),M199&lt;=INDEX(Dim_Product!$C$2:$C$4,MATCH(F199,Dim_Product!$A$2:$A$4,0))+INDEX(Dim_Product!$D$2:$D$4,MATCH(F199,Dim_Product!$A$2:$A$4,0))),G199-H199,G199-H199-1)</f>
        <v>45</v>
      </c>
      <c r="O199" s="4">
        <f t="shared" si="27"/>
        <v>3</v>
      </c>
      <c r="P199" s="4">
        <f>INDEX(Dim_Product!$G$2:$G$4,MATCH(F199,Dim_Product!$A$2:$A$4,0))+0.05</f>
        <v>70.05</v>
      </c>
      <c r="Q199" s="4">
        <f>IF(AND(P199&gt;=INDEX(Dim_Product!$G$2:$G$4,MATCH(F199,Dim_Product!$A$2:$A$4,0))-INDEX(Dim_Product!$H$2:$H$4,MATCH(F199,Dim_Product!$A$2:$A$4,0)),P199&lt;=INDEX(Dim_Product!$G$2:$G$4,MATCH(F199,Dim_Product!$A$2:$A$4,0))+INDEX(Dim_Product!$H$2:$H$4,MATCH(F199,Dim_Product!$A$2:$A$4,0))),G199-H199,G199-H199-1)</f>
        <v>45</v>
      </c>
      <c r="R199" s="4">
        <f t="shared" si="28"/>
        <v>3</v>
      </c>
      <c r="S199" s="4">
        <f>INDEX(Dim_Product!$K$2:$K$4,MATCH(F199,Dim_Product!$A$2:$A$4,0))+-0.21</f>
        <v>119.79</v>
      </c>
      <c r="T199" s="4">
        <f>IF(AND(S199&gt;=INDEX(Dim_Product!$K$2:$K$4,MATCH(F199,Dim_Product!$A$2:$A$4,0))-INDEX(Dim_Product!$L$2:$L$4,MATCH(F199,Dim_Product!$A$2:$A$4,0)),S199&lt;=INDEX(Dim_Product!$K$2:$K$4,MATCH(F199,Dim_Product!$A$2:$A$4,0))+INDEX(Dim_Product!$L$2:$L$4,MATCH(F199,Dim_Product!$A$2:$A$4,0))),G199-H199,G199-H199-1)</f>
        <v>45</v>
      </c>
      <c r="U199" s="4">
        <f t="shared" si="29"/>
        <v>3</v>
      </c>
      <c r="V199" s="4">
        <f t="shared" si="30"/>
        <v>6.25E-2</v>
      </c>
      <c r="W199" s="16">
        <f t="shared" si="31"/>
        <v>0.9375</v>
      </c>
    </row>
    <row r="200" spans="1:23" x14ac:dyDescent="0.25">
      <c r="A200" s="15" t="s">
        <v>701</v>
      </c>
      <c r="B200" s="4">
        <f>Fact_Production_Hourly!B200</f>
        <v>20260702</v>
      </c>
      <c r="C200" s="4">
        <f>Fact_Production_Hourly!C200</f>
        <v>4</v>
      </c>
      <c r="D200" s="4" t="str">
        <f>Fact_Production_Hourly!D200</f>
        <v>M3</v>
      </c>
      <c r="E200" s="4" t="str">
        <f>Fact_Production_Hourly!E200</f>
        <v>B-PM</v>
      </c>
      <c r="F200" s="4" t="str">
        <f>Fact_Production_Hourly!F200</f>
        <v>A</v>
      </c>
      <c r="G200" s="4">
        <f>INDEX(Dim_Machine!$D$2:$D$8,MATCH(D200,Dim_Machine!$A$2:$A$8,0))*2</f>
        <v>24</v>
      </c>
      <c r="H200" s="4">
        <f>ROUND(G200*0.0326,0)</f>
        <v>1</v>
      </c>
      <c r="I200" s="4">
        <f t="shared" si="24"/>
        <v>0</v>
      </c>
      <c r="J200" s="4">
        <f t="shared" si="25"/>
        <v>0</v>
      </c>
      <c r="K200" s="4">
        <f t="shared" si="26"/>
        <v>1</v>
      </c>
      <c r="L200" s="4" t="s">
        <v>503</v>
      </c>
      <c r="M200" s="4">
        <f>INDEX(Dim_Product!$C$2:$C$4,MATCH(F200,Dim_Product!$A$2:$A$4,0))+-0.27</f>
        <v>249.73</v>
      </c>
      <c r="N200" s="4">
        <f>IF(AND(M200&gt;=INDEX(Dim_Product!$C$2:$C$4,MATCH(F200,Dim_Product!$A$2:$A$4,0))-INDEX(Dim_Product!$D$2:$D$4,MATCH(F200,Dim_Product!$A$2:$A$4,0)),M200&lt;=INDEX(Dim_Product!$C$2:$C$4,MATCH(F200,Dim_Product!$A$2:$A$4,0))+INDEX(Dim_Product!$D$2:$D$4,MATCH(F200,Dim_Product!$A$2:$A$4,0))),G200-H200,G200-H200-1)</f>
        <v>23</v>
      </c>
      <c r="O200" s="4">
        <f t="shared" si="27"/>
        <v>1</v>
      </c>
      <c r="P200" s="4">
        <f>INDEX(Dim_Product!$G$2:$G$4,MATCH(F200,Dim_Product!$A$2:$A$4,0))+0.26</f>
        <v>70.260000000000005</v>
      </c>
      <c r="Q200" s="4">
        <f>IF(AND(P200&gt;=INDEX(Dim_Product!$G$2:$G$4,MATCH(F200,Dim_Product!$A$2:$A$4,0))-INDEX(Dim_Product!$H$2:$H$4,MATCH(F200,Dim_Product!$A$2:$A$4,0)),P200&lt;=INDEX(Dim_Product!$G$2:$G$4,MATCH(F200,Dim_Product!$A$2:$A$4,0))+INDEX(Dim_Product!$H$2:$H$4,MATCH(F200,Dim_Product!$A$2:$A$4,0))),G200-H200,G200-H200-1)</f>
        <v>23</v>
      </c>
      <c r="R200" s="4">
        <f t="shared" si="28"/>
        <v>1</v>
      </c>
      <c r="S200" s="4">
        <f>INDEX(Dim_Product!$K$2:$K$4,MATCH(F200,Dim_Product!$A$2:$A$4,0))+-0.24</f>
        <v>119.76</v>
      </c>
      <c r="T200" s="4">
        <f>IF(AND(S200&gt;=INDEX(Dim_Product!$K$2:$K$4,MATCH(F200,Dim_Product!$A$2:$A$4,0))-INDEX(Dim_Product!$L$2:$L$4,MATCH(F200,Dim_Product!$A$2:$A$4,0)),S200&lt;=INDEX(Dim_Product!$K$2:$K$4,MATCH(F200,Dim_Product!$A$2:$A$4,0))+INDEX(Dim_Product!$L$2:$L$4,MATCH(F200,Dim_Product!$A$2:$A$4,0))),G200-H200,G200-H200-1)</f>
        <v>23</v>
      </c>
      <c r="U200" s="4">
        <f t="shared" si="29"/>
        <v>1</v>
      </c>
      <c r="V200" s="4">
        <f t="shared" si="30"/>
        <v>4.1666666666666664E-2</v>
      </c>
      <c r="W200" s="16">
        <f t="shared" si="31"/>
        <v>0.95833333333333337</v>
      </c>
    </row>
    <row r="201" spans="1:23" x14ac:dyDescent="0.25">
      <c r="A201" s="15" t="s">
        <v>702</v>
      </c>
      <c r="B201" s="4">
        <f>Fact_Production_Hourly!B201</f>
        <v>20260702</v>
      </c>
      <c r="C201" s="4">
        <f>Fact_Production_Hourly!C201</f>
        <v>4</v>
      </c>
      <c r="D201" s="4" t="str">
        <f>Fact_Production_Hourly!D201</f>
        <v>M4</v>
      </c>
      <c r="E201" s="4" t="str">
        <f>Fact_Production_Hourly!E201</f>
        <v>B-PM</v>
      </c>
      <c r="F201" s="4" t="str">
        <f>Fact_Production_Hourly!F201</f>
        <v>C</v>
      </c>
      <c r="G201" s="4">
        <f>INDEX(Dim_Machine!$D$2:$D$8,MATCH(D201,Dim_Machine!$A$2:$A$8,0))*2</f>
        <v>48</v>
      </c>
      <c r="H201" s="4">
        <f>ROUND(G201*0.0698,0)</f>
        <v>3</v>
      </c>
      <c r="I201" s="4">
        <f t="shared" si="24"/>
        <v>0</v>
      </c>
      <c r="J201" s="4">
        <f t="shared" si="25"/>
        <v>1</v>
      </c>
      <c r="K201" s="4">
        <f t="shared" si="26"/>
        <v>2</v>
      </c>
      <c r="L201" s="4" t="s">
        <v>500</v>
      </c>
      <c r="M201" s="4">
        <f>INDEX(Dim_Product!$C$2:$C$4,MATCH(F201,Dim_Product!$A$2:$A$4,0))+0.36</f>
        <v>200.36</v>
      </c>
      <c r="N201" s="4">
        <f>IF(AND(M201&gt;=INDEX(Dim_Product!$C$2:$C$4,MATCH(F201,Dim_Product!$A$2:$A$4,0))-INDEX(Dim_Product!$D$2:$D$4,MATCH(F201,Dim_Product!$A$2:$A$4,0)),M201&lt;=INDEX(Dim_Product!$C$2:$C$4,MATCH(F201,Dim_Product!$A$2:$A$4,0))+INDEX(Dim_Product!$D$2:$D$4,MATCH(F201,Dim_Product!$A$2:$A$4,0))),G201-H201,G201-H201-1)</f>
        <v>45</v>
      </c>
      <c r="O201" s="4">
        <f t="shared" si="27"/>
        <v>3</v>
      </c>
      <c r="P201" s="4">
        <f>INDEX(Dim_Product!$G$2:$G$4,MATCH(F201,Dim_Product!$A$2:$A$4,0))+0.03</f>
        <v>65.03</v>
      </c>
      <c r="Q201" s="4">
        <f>IF(AND(P201&gt;=INDEX(Dim_Product!$G$2:$G$4,MATCH(F201,Dim_Product!$A$2:$A$4,0))-INDEX(Dim_Product!$H$2:$H$4,MATCH(F201,Dim_Product!$A$2:$A$4,0)),P201&lt;=INDEX(Dim_Product!$G$2:$G$4,MATCH(F201,Dim_Product!$A$2:$A$4,0))+INDEX(Dim_Product!$H$2:$H$4,MATCH(F201,Dim_Product!$A$2:$A$4,0))),G201-H201,G201-H201-1)</f>
        <v>45</v>
      </c>
      <c r="R201" s="4">
        <f t="shared" si="28"/>
        <v>3</v>
      </c>
      <c r="S201" s="4">
        <f>INDEX(Dim_Product!$K$2:$K$4,MATCH(F201,Dim_Product!$A$2:$A$4,0))+0.36</f>
        <v>110.36</v>
      </c>
      <c r="T201" s="4">
        <f>IF(AND(S201&gt;=INDEX(Dim_Product!$K$2:$K$4,MATCH(F201,Dim_Product!$A$2:$A$4,0))-INDEX(Dim_Product!$L$2:$L$4,MATCH(F201,Dim_Product!$A$2:$A$4,0)),S201&lt;=INDEX(Dim_Product!$K$2:$K$4,MATCH(F201,Dim_Product!$A$2:$A$4,0))+INDEX(Dim_Product!$L$2:$L$4,MATCH(F201,Dim_Product!$A$2:$A$4,0))),G201-H201,G201-H201-1)</f>
        <v>45</v>
      </c>
      <c r="U201" s="4">
        <f t="shared" si="29"/>
        <v>3</v>
      </c>
      <c r="V201" s="4">
        <f t="shared" si="30"/>
        <v>6.25E-2</v>
      </c>
      <c r="W201" s="16">
        <f t="shared" si="31"/>
        <v>0.9375</v>
      </c>
    </row>
    <row r="202" spans="1:23" x14ac:dyDescent="0.25">
      <c r="A202" s="15" t="s">
        <v>703</v>
      </c>
      <c r="B202" s="4">
        <f>Fact_Production_Hourly!B202</f>
        <v>20260702</v>
      </c>
      <c r="C202" s="4">
        <f>Fact_Production_Hourly!C202</f>
        <v>4</v>
      </c>
      <c r="D202" s="4" t="str">
        <f>Fact_Production_Hourly!D202</f>
        <v>M5</v>
      </c>
      <c r="E202" s="4" t="str">
        <f>Fact_Production_Hourly!E202</f>
        <v>B-PM</v>
      </c>
      <c r="F202" s="4" t="str">
        <f>Fact_Production_Hourly!F202</f>
        <v>A</v>
      </c>
      <c r="G202" s="4">
        <f>INDEX(Dim_Machine!$D$2:$D$8,MATCH(D202,Dim_Machine!$A$2:$A$8,0))*2</f>
        <v>32</v>
      </c>
      <c r="H202" s="4">
        <f>ROUND(G202*0.0377,0)</f>
        <v>1</v>
      </c>
      <c r="I202" s="4">
        <f t="shared" si="24"/>
        <v>0</v>
      </c>
      <c r="J202" s="4">
        <f t="shared" si="25"/>
        <v>0</v>
      </c>
      <c r="K202" s="4">
        <f t="shared" si="26"/>
        <v>1</v>
      </c>
      <c r="L202" s="4" t="s">
        <v>520</v>
      </c>
      <c r="M202" s="4">
        <f>INDEX(Dim_Product!$C$2:$C$4,MATCH(F202,Dim_Product!$A$2:$A$4,0))+-0.58</f>
        <v>249.42</v>
      </c>
      <c r="N202" s="4">
        <f>IF(AND(M202&gt;=INDEX(Dim_Product!$C$2:$C$4,MATCH(F202,Dim_Product!$A$2:$A$4,0))-INDEX(Dim_Product!$D$2:$D$4,MATCH(F202,Dim_Product!$A$2:$A$4,0)),M202&lt;=INDEX(Dim_Product!$C$2:$C$4,MATCH(F202,Dim_Product!$A$2:$A$4,0))+INDEX(Dim_Product!$D$2:$D$4,MATCH(F202,Dim_Product!$A$2:$A$4,0))),G202-H202,G202-H202-1)</f>
        <v>31</v>
      </c>
      <c r="O202" s="4">
        <f t="shared" si="27"/>
        <v>1</v>
      </c>
      <c r="P202" s="4">
        <f>INDEX(Dim_Product!$G$2:$G$4,MATCH(F202,Dim_Product!$A$2:$A$4,0))+0.18</f>
        <v>70.180000000000007</v>
      </c>
      <c r="Q202" s="4">
        <f>IF(AND(P202&gt;=INDEX(Dim_Product!$G$2:$G$4,MATCH(F202,Dim_Product!$A$2:$A$4,0))-INDEX(Dim_Product!$H$2:$H$4,MATCH(F202,Dim_Product!$A$2:$A$4,0)),P202&lt;=INDEX(Dim_Product!$G$2:$G$4,MATCH(F202,Dim_Product!$A$2:$A$4,0))+INDEX(Dim_Product!$H$2:$H$4,MATCH(F202,Dim_Product!$A$2:$A$4,0))),G202-H202,G202-H202-1)</f>
        <v>31</v>
      </c>
      <c r="R202" s="4">
        <f t="shared" si="28"/>
        <v>1</v>
      </c>
      <c r="S202" s="4">
        <f>INDEX(Dim_Product!$K$2:$K$4,MATCH(F202,Dim_Product!$A$2:$A$4,0))+0.27</f>
        <v>120.27</v>
      </c>
      <c r="T202" s="4">
        <f>IF(AND(S202&gt;=INDEX(Dim_Product!$K$2:$K$4,MATCH(F202,Dim_Product!$A$2:$A$4,0))-INDEX(Dim_Product!$L$2:$L$4,MATCH(F202,Dim_Product!$A$2:$A$4,0)),S202&lt;=INDEX(Dim_Product!$K$2:$K$4,MATCH(F202,Dim_Product!$A$2:$A$4,0))+INDEX(Dim_Product!$L$2:$L$4,MATCH(F202,Dim_Product!$A$2:$A$4,0))),G202-H202,G202-H202-1)</f>
        <v>31</v>
      </c>
      <c r="U202" s="4">
        <f t="shared" si="29"/>
        <v>1</v>
      </c>
      <c r="V202" s="4">
        <f t="shared" si="30"/>
        <v>3.125E-2</v>
      </c>
      <c r="W202" s="16">
        <f t="shared" si="31"/>
        <v>0.96875</v>
      </c>
    </row>
    <row r="203" spans="1:23" x14ac:dyDescent="0.25">
      <c r="A203" s="15" t="s">
        <v>704</v>
      </c>
      <c r="B203" s="4">
        <f>Fact_Production_Hourly!B203</f>
        <v>20260702</v>
      </c>
      <c r="C203" s="4">
        <f>Fact_Production_Hourly!C203</f>
        <v>4</v>
      </c>
      <c r="D203" s="4" t="str">
        <f>Fact_Production_Hourly!D203</f>
        <v>M6</v>
      </c>
      <c r="E203" s="4" t="str">
        <f>Fact_Production_Hourly!E203</f>
        <v>B-PM</v>
      </c>
      <c r="F203" s="4" t="str">
        <f>Fact_Production_Hourly!F203</f>
        <v>A</v>
      </c>
      <c r="G203" s="4">
        <f>INDEX(Dim_Machine!$D$2:$D$8,MATCH(D203,Dim_Machine!$A$2:$A$8,0))*2</f>
        <v>24</v>
      </c>
      <c r="H203" s="4">
        <f>ROUND(G203*0.0141,0)</f>
        <v>0</v>
      </c>
      <c r="I203" s="4">
        <f t="shared" si="24"/>
        <v>0</v>
      </c>
      <c r="J203" s="4">
        <f t="shared" si="25"/>
        <v>0</v>
      </c>
      <c r="K203" s="4">
        <f t="shared" si="26"/>
        <v>0</v>
      </c>
      <c r="L203" s="4" t="s">
        <v>503</v>
      </c>
      <c r="M203" s="4">
        <f>INDEX(Dim_Product!$C$2:$C$4,MATCH(F203,Dim_Product!$A$2:$A$4,0))+0.35</f>
        <v>250.35</v>
      </c>
      <c r="N203" s="4">
        <f>IF(AND(M203&gt;=INDEX(Dim_Product!$C$2:$C$4,MATCH(F203,Dim_Product!$A$2:$A$4,0))-INDEX(Dim_Product!$D$2:$D$4,MATCH(F203,Dim_Product!$A$2:$A$4,0)),M203&lt;=INDEX(Dim_Product!$C$2:$C$4,MATCH(F203,Dim_Product!$A$2:$A$4,0))+INDEX(Dim_Product!$D$2:$D$4,MATCH(F203,Dim_Product!$A$2:$A$4,0))),G203-H203,G203-H203-1)</f>
        <v>24</v>
      </c>
      <c r="O203" s="4">
        <f t="shared" si="27"/>
        <v>0</v>
      </c>
      <c r="P203" s="4">
        <f>INDEX(Dim_Product!$G$2:$G$4,MATCH(F203,Dim_Product!$A$2:$A$4,0))+-0.22</f>
        <v>69.78</v>
      </c>
      <c r="Q203" s="4">
        <f>IF(AND(P203&gt;=INDEX(Dim_Product!$G$2:$G$4,MATCH(F203,Dim_Product!$A$2:$A$4,0))-INDEX(Dim_Product!$H$2:$H$4,MATCH(F203,Dim_Product!$A$2:$A$4,0)),P203&lt;=INDEX(Dim_Product!$G$2:$G$4,MATCH(F203,Dim_Product!$A$2:$A$4,0))+INDEX(Dim_Product!$H$2:$H$4,MATCH(F203,Dim_Product!$A$2:$A$4,0))),G203-H203,G203-H203-1)</f>
        <v>24</v>
      </c>
      <c r="R203" s="4">
        <f t="shared" si="28"/>
        <v>0</v>
      </c>
      <c r="S203" s="4">
        <f>INDEX(Dim_Product!$K$2:$K$4,MATCH(F203,Dim_Product!$A$2:$A$4,0))+-0.16</f>
        <v>119.84</v>
      </c>
      <c r="T203" s="4">
        <f>IF(AND(S203&gt;=INDEX(Dim_Product!$K$2:$K$4,MATCH(F203,Dim_Product!$A$2:$A$4,0))-INDEX(Dim_Product!$L$2:$L$4,MATCH(F203,Dim_Product!$A$2:$A$4,0)),S203&lt;=INDEX(Dim_Product!$K$2:$K$4,MATCH(F203,Dim_Product!$A$2:$A$4,0))+INDEX(Dim_Product!$L$2:$L$4,MATCH(F203,Dim_Product!$A$2:$A$4,0))),G203-H203,G203-H203-1)</f>
        <v>24</v>
      </c>
      <c r="U203" s="4">
        <f t="shared" si="29"/>
        <v>0</v>
      </c>
      <c r="V203" s="4">
        <f t="shared" si="30"/>
        <v>0</v>
      </c>
      <c r="W203" s="16">
        <f t="shared" si="31"/>
        <v>1</v>
      </c>
    </row>
    <row r="204" spans="1:23" x14ac:dyDescent="0.25">
      <c r="A204" s="15" t="s">
        <v>705</v>
      </c>
      <c r="B204" s="4">
        <f>Fact_Production_Hourly!B204</f>
        <v>20260702</v>
      </c>
      <c r="C204" s="4">
        <f>Fact_Production_Hourly!C204</f>
        <v>4</v>
      </c>
      <c r="D204" s="4" t="str">
        <f>Fact_Production_Hourly!D204</f>
        <v>M7</v>
      </c>
      <c r="E204" s="4" t="str">
        <f>Fact_Production_Hourly!E204</f>
        <v>B-PM</v>
      </c>
      <c r="F204" s="4" t="str">
        <f>Fact_Production_Hourly!F204</f>
        <v>C</v>
      </c>
      <c r="G204" s="4">
        <f>INDEX(Dim_Machine!$D$2:$D$8,MATCH(D204,Dim_Machine!$A$2:$A$8,0))*2</f>
        <v>48</v>
      </c>
      <c r="H204" s="4">
        <f>ROUND(G204*0.0252,0)</f>
        <v>1</v>
      </c>
      <c r="I204" s="4">
        <f t="shared" si="24"/>
        <v>0</v>
      </c>
      <c r="J204" s="4">
        <f t="shared" si="25"/>
        <v>0</v>
      </c>
      <c r="K204" s="4">
        <f t="shared" si="26"/>
        <v>1</v>
      </c>
      <c r="L204" s="4" t="s">
        <v>500</v>
      </c>
      <c r="M204" s="4">
        <f>INDEX(Dim_Product!$C$2:$C$4,MATCH(F204,Dim_Product!$A$2:$A$4,0))+0.43</f>
        <v>200.43</v>
      </c>
      <c r="N204" s="4">
        <f>IF(AND(M204&gt;=INDEX(Dim_Product!$C$2:$C$4,MATCH(F204,Dim_Product!$A$2:$A$4,0))-INDEX(Dim_Product!$D$2:$D$4,MATCH(F204,Dim_Product!$A$2:$A$4,0)),M204&lt;=INDEX(Dim_Product!$C$2:$C$4,MATCH(F204,Dim_Product!$A$2:$A$4,0))+INDEX(Dim_Product!$D$2:$D$4,MATCH(F204,Dim_Product!$A$2:$A$4,0))),G204-H204,G204-H204-1)</f>
        <v>47</v>
      </c>
      <c r="O204" s="4">
        <f t="shared" si="27"/>
        <v>1</v>
      </c>
      <c r="P204" s="4">
        <f>INDEX(Dim_Product!$G$2:$G$4,MATCH(F204,Dim_Product!$A$2:$A$4,0))+0.17</f>
        <v>65.17</v>
      </c>
      <c r="Q204" s="4">
        <f>IF(AND(P204&gt;=INDEX(Dim_Product!$G$2:$G$4,MATCH(F204,Dim_Product!$A$2:$A$4,0))-INDEX(Dim_Product!$H$2:$H$4,MATCH(F204,Dim_Product!$A$2:$A$4,0)),P204&lt;=INDEX(Dim_Product!$G$2:$G$4,MATCH(F204,Dim_Product!$A$2:$A$4,0))+INDEX(Dim_Product!$H$2:$H$4,MATCH(F204,Dim_Product!$A$2:$A$4,0))),G204-H204,G204-H204-1)</f>
        <v>47</v>
      </c>
      <c r="R204" s="4">
        <f t="shared" si="28"/>
        <v>1</v>
      </c>
      <c r="S204" s="4">
        <f>INDEX(Dim_Product!$K$2:$K$4,MATCH(F204,Dim_Product!$A$2:$A$4,0))+-0.34</f>
        <v>109.66</v>
      </c>
      <c r="T204" s="4">
        <f>IF(AND(S204&gt;=INDEX(Dim_Product!$K$2:$K$4,MATCH(F204,Dim_Product!$A$2:$A$4,0))-INDEX(Dim_Product!$L$2:$L$4,MATCH(F204,Dim_Product!$A$2:$A$4,0)),S204&lt;=INDEX(Dim_Product!$K$2:$K$4,MATCH(F204,Dim_Product!$A$2:$A$4,0))+INDEX(Dim_Product!$L$2:$L$4,MATCH(F204,Dim_Product!$A$2:$A$4,0))),G204-H204,G204-H204-1)</f>
        <v>47</v>
      </c>
      <c r="U204" s="4">
        <f t="shared" si="29"/>
        <v>1</v>
      </c>
      <c r="V204" s="4">
        <f t="shared" si="30"/>
        <v>2.0833333333333332E-2</v>
      </c>
      <c r="W204" s="16">
        <f t="shared" si="31"/>
        <v>0.97916666666666663</v>
      </c>
    </row>
    <row r="205" spans="1:23" x14ac:dyDescent="0.25">
      <c r="A205" s="15" t="s">
        <v>706</v>
      </c>
      <c r="B205" s="4">
        <f>Fact_Production_Hourly!B205</f>
        <v>20260702</v>
      </c>
      <c r="C205" s="4">
        <f>Fact_Production_Hourly!C205</f>
        <v>5</v>
      </c>
      <c r="D205" s="4" t="str">
        <f>Fact_Production_Hourly!D205</f>
        <v>M1</v>
      </c>
      <c r="E205" s="4" t="str">
        <f>Fact_Production_Hourly!E205</f>
        <v>B-PM</v>
      </c>
      <c r="F205" s="4" t="str">
        <f>Fact_Production_Hourly!F205</f>
        <v>B</v>
      </c>
      <c r="G205" s="4">
        <f>INDEX(Dim_Machine!$D$2:$D$8,MATCH(D205,Dim_Machine!$A$2:$A$8,0))*2</f>
        <v>32</v>
      </c>
      <c r="H205" s="4">
        <f>ROUND(G205*0.0694,0)</f>
        <v>2</v>
      </c>
      <c r="I205" s="4">
        <f t="shared" si="24"/>
        <v>0</v>
      </c>
      <c r="J205" s="4">
        <f t="shared" si="25"/>
        <v>1</v>
      </c>
      <c r="K205" s="4">
        <f t="shared" si="26"/>
        <v>1</v>
      </c>
      <c r="L205" s="4" t="s">
        <v>503</v>
      </c>
      <c r="M205" s="4">
        <f>INDEX(Dim_Product!$C$2:$C$4,MATCH(F205,Dim_Product!$A$2:$A$4,0))+0.16</f>
        <v>300.16000000000003</v>
      </c>
      <c r="N205" s="4">
        <f>IF(AND(M205&gt;=INDEX(Dim_Product!$C$2:$C$4,MATCH(F205,Dim_Product!$A$2:$A$4,0))-INDEX(Dim_Product!$D$2:$D$4,MATCH(F205,Dim_Product!$A$2:$A$4,0)),M205&lt;=INDEX(Dim_Product!$C$2:$C$4,MATCH(F205,Dim_Product!$A$2:$A$4,0))+INDEX(Dim_Product!$D$2:$D$4,MATCH(F205,Dim_Product!$A$2:$A$4,0))),G205-H205,G205-H205-1)</f>
        <v>30</v>
      </c>
      <c r="O205" s="4">
        <f t="shared" si="27"/>
        <v>2</v>
      </c>
      <c r="P205" s="4">
        <f>INDEX(Dim_Product!$G$2:$G$4,MATCH(F205,Dim_Product!$A$2:$A$4,0))+0.02</f>
        <v>75.02</v>
      </c>
      <c r="Q205" s="4">
        <f>IF(AND(P205&gt;=INDEX(Dim_Product!$G$2:$G$4,MATCH(F205,Dim_Product!$A$2:$A$4,0))-INDEX(Dim_Product!$H$2:$H$4,MATCH(F205,Dim_Product!$A$2:$A$4,0)),P205&lt;=INDEX(Dim_Product!$G$2:$G$4,MATCH(F205,Dim_Product!$A$2:$A$4,0))+INDEX(Dim_Product!$H$2:$H$4,MATCH(F205,Dim_Product!$A$2:$A$4,0))),G205-H205,G205-H205-1)</f>
        <v>30</v>
      </c>
      <c r="R205" s="4">
        <f t="shared" si="28"/>
        <v>2</v>
      </c>
      <c r="S205" s="4">
        <f>INDEX(Dim_Product!$K$2:$K$4,MATCH(F205,Dim_Product!$A$2:$A$4,0))+0.34</f>
        <v>130.34</v>
      </c>
      <c r="T205" s="4">
        <f>IF(AND(S205&gt;=INDEX(Dim_Product!$K$2:$K$4,MATCH(F205,Dim_Product!$A$2:$A$4,0))-INDEX(Dim_Product!$L$2:$L$4,MATCH(F205,Dim_Product!$A$2:$A$4,0)),S205&lt;=INDEX(Dim_Product!$K$2:$K$4,MATCH(F205,Dim_Product!$A$2:$A$4,0))+INDEX(Dim_Product!$L$2:$L$4,MATCH(F205,Dim_Product!$A$2:$A$4,0))),G205-H205,G205-H205-1)</f>
        <v>30</v>
      </c>
      <c r="U205" s="4">
        <f t="shared" si="29"/>
        <v>2</v>
      </c>
      <c r="V205" s="4">
        <f t="shared" si="30"/>
        <v>6.25E-2</v>
      </c>
      <c r="W205" s="16">
        <f t="shared" si="31"/>
        <v>0.9375</v>
      </c>
    </row>
    <row r="206" spans="1:23" x14ac:dyDescent="0.25">
      <c r="A206" s="15" t="s">
        <v>707</v>
      </c>
      <c r="B206" s="4">
        <f>Fact_Production_Hourly!B206</f>
        <v>20260702</v>
      </c>
      <c r="C206" s="4">
        <f>Fact_Production_Hourly!C206</f>
        <v>5</v>
      </c>
      <c r="D206" s="4" t="str">
        <f>Fact_Production_Hourly!D206</f>
        <v>M2</v>
      </c>
      <c r="E206" s="4" t="str">
        <f>Fact_Production_Hourly!E206</f>
        <v>B-PM</v>
      </c>
      <c r="F206" s="4" t="str">
        <f>Fact_Production_Hourly!F206</f>
        <v>A</v>
      </c>
      <c r="G206" s="4">
        <f>INDEX(Dim_Machine!$D$2:$D$8,MATCH(D206,Dim_Machine!$A$2:$A$8,0))*2</f>
        <v>48</v>
      </c>
      <c r="H206" s="4">
        <f>ROUND(G206*0.0622,0)</f>
        <v>3</v>
      </c>
      <c r="I206" s="4">
        <f t="shared" si="24"/>
        <v>0</v>
      </c>
      <c r="J206" s="4">
        <f t="shared" si="25"/>
        <v>1</v>
      </c>
      <c r="K206" s="4">
        <f t="shared" si="26"/>
        <v>2</v>
      </c>
      <c r="L206" s="4" t="s">
        <v>503</v>
      </c>
      <c r="M206" s="4">
        <f>INDEX(Dim_Product!$C$2:$C$4,MATCH(F206,Dim_Product!$A$2:$A$4,0))+0.09</f>
        <v>250.09</v>
      </c>
      <c r="N206" s="4">
        <f>IF(AND(M206&gt;=INDEX(Dim_Product!$C$2:$C$4,MATCH(F206,Dim_Product!$A$2:$A$4,0))-INDEX(Dim_Product!$D$2:$D$4,MATCH(F206,Dim_Product!$A$2:$A$4,0)),M206&lt;=INDEX(Dim_Product!$C$2:$C$4,MATCH(F206,Dim_Product!$A$2:$A$4,0))+INDEX(Dim_Product!$D$2:$D$4,MATCH(F206,Dim_Product!$A$2:$A$4,0))),G206-H206,G206-H206-1)</f>
        <v>45</v>
      </c>
      <c r="O206" s="4">
        <f t="shared" si="27"/>
        <v>3</v>
      </c>
      <c r="P206" s="4">
        <f>INDEX(Dim_Product!$G$2:$G$4,MATCH(F206,Dim_Product!$A$2:$A$4,0))+0.17</f>
        <v>70.17</v>
      </c>
      <c r="Q206" s="4">
        <f>IF(AND(P206&gt;=INDEX(Dim_Product!$G$2:$G$4,MATCH(F206,Dim_Product!$A$2:$A$4,0))-INDEX(Dim_Product!$H$2:$H$4,MATCH(F206,Dim_Product!$A$2:$A$4,0)),P206&lt;=INDEX(Dim_Product!$G$2:$G$4,MATCH(F206,Dim_Product!$A$2:$A$4,0))+INDEX(Dim_Product!$H$2:$H$4,MATCH(F206,Dim_Product!$A$2:$A$4,0))),G206-H206,G206-H206-1)</f>
        <v>45</v>
      </c>
      <c r="R206" s="4">
        <f t="shared" si="28"/>
        <v>3</v>
      </c>
      <c r="S206" s="4">
        <f>INDEX(Dim_Product!$K$2:$K$4,MATCH(F206,Dim_Product!$A$2:$A$4,0))+-0.11</f>
        <v>119.89</v>
      </c>
      <c r="T206" s="4">
        <f>IF(AND(S206&gt;=INDEX(Dim_Product!$K$2:$K$4,MATCH(F206,Dim_Product!$A$2:$A$4,0))-INDEX(Dim_Product!$L$2:$L$4,MATCH(F206,Dim_Product!$A$2:$A$4,0)),S206&lt;=INDEX(Dim_Product!$K$2:$K$4,MATCH(F206,Dim_Product!$A$2:$A$4,0))+INDEX(Dim_Product!$L$2:$L$4,MATCH(F206,Dim_Product!$A$2:$A$4,0))),G206-H206,G206-H206-1)</f>
        <v>45</v>
      </c>
      <c r="U206" s="4">
        <f t="shared" si="29"/>
        <v>3</v>
      </c>
      <c r="V206" s="4">
        <f t="shared" si="30"/>
        <v>6.25E-2</v>
      </c>
      <c r="W206" s="16">
        <f t="shared" si="31"/>
        <v>0.9375</v>
      </c>
    </row>
    <row r="207" spans="1:23" x14ac:dyDescent="0.25">
      <c r="A207" s="15" t="s">
        <v>708</v>
      </c>
      <c r="B207" s="4">
        <f>Fact_Production_Hourly!B207</f>
        <v>20260702</v>
      </c>
      <c r="C207" s="4">
        <f>Fact_Production_Hourly!C207</f>
        <v>5</v>
      </c>
      <c r="D207" s="4" t="str">
        <f>Fact_Production_Hourly!D207</f>
        <v>M3</v>
      </c>
      <c r="E207" s="4" t="str">
        <f>Fact_Production_Hourly!E207</f>
        <v>B-PM</v>
      </c>
      <c r="F207" s="4" t="str">
        <f>Fact_Production_Hourly!F207</f>
        <v>A</v>
      </c>
      <c r="G207" s="4">
        <f>INDEX(Dim_Machine!$D$2:$D$8,MATCH(D207,Dim_Machine!$A$2:$A$8,0))*2</f>
        <v>24</v>
      </c>
      <c r="H207" s="4">
        <f>ROUND(G207*0.0637,0)</f>
        <v>2</v>
      </c>
      <c r="I207" s="4">
        <f t="shared" si="24"/>
        <v>0</v>
      </c>
      <c r="J207" s="4">
        <f t="shared" si="25"/>
        <v>1</v>
      </c>
      <c r="K207" s="4">
        <f t="shared" si="26"/>
        <v>1</v>
      </c>
      <c r="L207" s="4" t="s">
        <v>509</v>
      </c>
      <c r="M207" s="4">
        <f>INDEX(Dim_Product!$C$2:$C$4,MATCH(F207,Dim_Product!$A$2:$A$4,0))+0.19</f>
        <v>250.19</v>
      </c>
      <c r="N207" s="4">
        <f>IF(AND(M207&gt;=INDEX(Dim_Product!$C$2:$C$4,MATCH(F207,Dim_Product!$A$2:$A$4,0))-INDEX(Dim_Product!$D$2:$D$4,MATCH(F207,Dim_Product!$A$2:$A$4,0)),M207&lt;=INDEX(Dim_Product!$C$2:$C$4,MATCH(F207,Dim_Product!$A$2:$A$4,0))+INDEX(Dim_Product!$D$2:$D$4,MATCH(F207,Dim_Product!$A$2:$A$4,0))),G207-H207,G207-H207-1)</f>
        <v>22</v>
      </c>
      <c r="O207" s="4">
        <f t="shared" si="27"/>
        <v>2</v>
      </c>
      <c r="P207" s="4">
        <f>INDEX(Dim_Product!$G$2:$G$4,MATCH(F207,Dim_Product!$A$2:$A$4,0))+0.25</f>
        <v>70.25</v>
      </c>
      <c r="Q207" s="4">
        <f>IF(AND(P207&gt;=INDEX(Dim_Product!$G$2:$G$4,MATCH(F207,Dim_Product!$A$2:$A$4,0))-INDEX(Dim_Product!$H$2:$H$4,MATCH(F207,Dim_Product!$A$2:$A$4,0)),P207&lt;=INDEX(Dim_Product!$G$2:$G$4,MATCH(F207,Dim_Product!$A$2:$A$4,0))+INDEX(Dim_Product!$H$2:$H$4,MATCH(F207,Dim_Product!$A$2:$A$4,0))),G207-H207,G207-H207-1)</f>
        <v>22</v>
      </c>
      <c r="R207" s="4">
        <f t="shared" si="28"/>
        <v>2</v>
      </c>
      <c r="S207" s="4">
        <f>INDEX(Dim_Product!$K$2:$K$4,MATCH(F207,Dim_Product!$A$2:$A$4,0))+-0.31</f>
        <v>119.69</v>
      </c>
      <c r="T207" s="4">
        <f>IF(AND(S207&gt;=INDEX(Dim_Product!$K$2:$K$4,MATCH(F207,Dim_Product!$A$2:$A$4,0))-INDEX(Dim_Product!$L$2:$L$4,MATCH(F207,Dim_Product!$A$2:$A$4,0)),S207&lt;=INDEX(Dim_Product!$K$2:$K$4,MATCH(F207,Dim_Product!$A$2:$A$4,0))+INDEX(Dim_Product!$L$2:$L$4,MATCH(F207,Dim_Product!$A$2:$A$4,0))),G207-H207,G207-H207-1)</f>
        <v>22</v>
      </c>
      <c r="U207" s="4">
        <f t="shared" si="29"/>
        <v>2</v>
      </c>
      <c r="V207" s="4">
        <f t="shared" si="30"/>
        <v>8.3333333333333329E-2</v>
      </c>
      <c r="W207" s="16">
        <f t="shared" si="31"/>
        <v>0.91666666666666663</v>
      </c>
    </row>
    <row r="208" spans="1:23" x14ac:dyDescent="0.25">
      <c r="A208" s="15" t="s">
        <v>709</v>
      </c>
      <c r="B208" s="4">
        <f>Fact_Production_Hourly!B208</f>
        <v>20260702</v>
      </c>
      <c r="C208" s="4">
        <f>Fact_Production_Hourly!C208</f>
        <v>5</v>
      </c>
      <c r="D208" s="4" t="str">
        <f>Fact_Production_Hourly!D208</f>
        <v>M4</v>
      </c>
      <c r="E208" s="4" t="str">
        <f>Fact_Production_Hourly!E208</f>
        <v>B-PM</v>
      </c>
      <c r="F208" s="4" t="str">
        <f>Fact_Production_Hourly!F208</f>
        <v>C</v>
      </c>
      <c r="G208" s="4">
        <f>INDEX(Dim_Machine!$D$2:$D$8,MATCH(D208,Dim_Machine!$A$2:$A$8,0))*2</f>
        <v>48</v>
      </c>
      <c r="H208" s="4">
        <f>ROUND(G208*0.0249,0)</f>
        <v>1</v>
      </c>
      <c r="I208" s="4">
        <f t="shared" si="24"/>
        <v>0</v>
      </c>
      <c r="J208" s="4">
        <f t="shared" si="25"/>
        <v>0</v>
      </c>
      <c r="K208" s="4">
        <f t="shared" si="26"/>
        <v>1</v>
      </c>
      <c r="L208" s="4" t="s">
        <v>520</v>
      </c>
      <c r="M208" s="4">
        <f>INDEX(Dim_Product!$C$2:$C$4,MATCH(F208,Dim_Product!$A$2:$A$4,0))+-0.29</f>
        <v>199.71</v>
      </c>
      <c r="N208" s="4">
        <f>IF(AND(M208&gt;=INDEX(Dim_Product!$C$2:$C$4,MATCH(F208,Dim_Product!$A$2:$A$4,0))-INDEX(Dim_Product!$D$2:$D$4,MATCH(F208,Dim_Product!$A$2:$A$4,0)),M208&lt;=INDEX(Dim_Product!$C$2:$C$4,MATCH(F208,Dim_Product!$A$2:$A$4,0))+INDEX(Dim_Product!$D$2:$D$4,MATCH(F208,Dim_Product!$A$2:$A$4,0))),G208-H208,G208-H208-1)</f>
        <v>47</v>
      </c>
      <c r="O208" s="4">
        <f t="shared" si="27"/>
        <v>1</v>
      </c>
      <c r="P208" s="4">
        <f>INDEX(Dim_Product!$G$2:$G$4,MATCH(F208,Dim_Product!$A$2:$A$4,0))+0.09</f>
        <v>65.09</v>
      </c>
      <c r="Q208" s="4">
        <f>IF(AND(P208&gt;=INDEX(Dim_Product!$G$2:$G$4,MATCH(F208,Dim_Product!$A$2:$A$4,0))-INDEX(Dim_Product!$H$2:$H$4,MATCH(F208,Dim_Product!$A$2:$A$4,0)),P208&lt;=INDEX(Dim_Product!$G$2:$G$4,MATCH(F208,Dim_Product!$A$2:$A$4,0))+INDEX(Dim_Product!$H$2:$H$4,MATCH(F208,Dim_Product!$A$2:$A$4,0))),G208-H208,G208-H208-1)</f>
        <v>47</v>
      </c>
      <c r="R208" s="4">
        <f t="shared" si="28"/>
        <v>1</v>
      </c>
      <c r="S208" s="4">
        <f>INDEX(Dim_Product!$K$2:$K$4,MATCH(F208,Dim_Product!$A$2:$A$4,0))+-0.36</f>
        <v>109.64</v>
      </c>
      <c r="T208" s="4">
        <f>IF(AND(S208&gt;=INDEX(Dim_Product!$K$2:$K$4,MATCH(F208,Dim_Product!$A$2:$A$4,0))-INDEX(Dim_Product!$L$2:$L$4,MATCH(F208,Dim_Product!$A$2:$A$4,0)),S208&lt;=INDEX(Dim_Product!$K$2:$K$4,MATCH(F208,Dim_Product!$A$2:$A$4,0))+INDEX(Dim_Product!$L$2:$L$4,MATCH(F208,Dim_Product!$A$2:$A$4,0))),G208-H208,G208-H208-1)</f>
        <v>47</v>
      </c>
      <c r="U208" s="4">
        <f t="shared" si="29"/>
        <v>1</v>
      </c>
      <c r="V208" s="4">
        <f t="shared" si="30"/>
        <v>2.0833333333333332E-2</v>
      </c>
      <c r="W208" s="16">
        <f t="shared" si="31"/>
        <v>0.97916666666666663</v>
      </c>
    </row>
    <row r="209" spans="1:23" x14ac:dyDescent="0.25">
      <c r="A209" s="15" t="s">
        <v>710</v>
      </c>
      <c r="B209" s="4">
        <f>Fact_Production_Hourly!B209</f>
        <v>20260702</v>
      </c>
      <c r="C209" s="4">
        <f>Fact_Production_Hourly!C209</f>
        <v>5</v>
      </c>
      <c r="D209" s="4" t="str">
        <f>Fact_Production_Hourly!D209</f>
        <v>M5</v>
      </c>
      <c r="E209" s="4" t="str">
        <f>Fact_Production_Hourly!E209</f>
        <v>B-PM</v>
      </c>
      <c r="F209" s="4" t="str">
        <f>Fact_Production_Hourly!F209</f>
        <v>A</v>
      </c>
      <c r="G209" s="4">
        <f>INDEX(Dim_Machine!$D$2:$D$8,MATCH(D209,Dim_Machine!$A$2:$A$8,0))*2</f>
        <v>32</v>
      </c>
      <c r="H209" s="4">
        <f>ROUND(G209*0.069,0)</f>
        <v>2</v>
      </c>
      <c r="I209" s="4">
        <f t="shared" si="24"/>
        <v>0</v>
      </c>
      <c r="J209" s="4">
        <f t="shared" si="25"/>
        <v>1</v>
      </c>
      <c r="K209" s="4">
        <f t="shared" si="26"/>
        <v>1</v>
      </c>
      <c r="L209" s="4" t="s">
        <v>520</v>
      </c>
      <c r="M209" s="4">
        <f>INDEX(Dim_Product!$C$2:$C$4,MATCH(F209,Dim_Product!$A$2:$A$4,0))+0.29</f>
        <v>250.29</v>
      </c>
      <c r="N209" s="4">
        <f>IF(AND(M209&gt;=INDEX(Dim_Product!$C$2:$C$4,MATCH(F209,Dim_Product!$A$2:$A$4,0))-INDEX(Dim_Product!$D$2:$D$4,MATCH(F209,Dim_Product!$A$2:$A$4,0)),M209&lt;=INDEX(Dim_Product!$C$2:$C$4,MATCH(F209,Dim_Product!$A$2:$A$4,0))+INDEX(Dim_Product!$D$2:$D$4,MATCH(F209,Dim_Product!$A$2:$A$4,0))),G209-H209,G209-H209-1)</f>
        <v>30</v>
      </c>
      <c r="O209" s="4">
        <f t="shared" si="27"/>
        <v>2</v>
      </c>
      <c r="P209" s="4">
        <f>INDEX(Dim_Product!$G$2:$G$4,MATCH(F209,Dim_Product!$A$2:$A$4,0))+0.28</f>
        <v>70.28</v>
      </c>
      <c r="Q209" s="4">
        <f>IF(AND(P209&gt;=INDEX(Dim_Product!$G$2:$G$4,MATCH(F209,Dim_Product!$A$2:$A$4,0))-INDEX(Dim_Product!$H$2:$H$4,MATCH(F209,Dim_Product!$A$2:$A$4,0)),P209&lt;=INDEX(Dim_Product!$G$2:$G$4,MATCH(F209,Dim_Product!$A$2:$A$4,0))+INDEX(Dim_Product!$H$2:$H$4,MATCH(F209,Dim_Product!$A$2:$A$4,0))),G209-H209,G209-H209-1)</f>
        <v>30</v>
      </c>
      <c r="R209" s="4">
        <f t="shared" si="28"/>
        <v>2</v>
      </c>
      <c r="S209" s="4">
        <f>INDEX(Dim_Product!$K$2:$K$4,MATCH(F209,Dim_Product!$A$2:$A$4,0))+-0.13</f>
        <v>119.87</v>
      </c>
      <c r="T209" s="4">
        <f>IF(AND(S209&gt;=INDEX(Dim_Product!$K$2:$K$4,MATCH(F209,Dim_Product!$A$2:$A$4,0))-INDEX(Dim_Product!$L$2:$L$4,MATCH(F209,Dim_Product!$A$2:$A$4,0)),S209&lt;=INDEX(Dim_Product!$K$2:$K$4,MATCH(F209,Dim_Product!$A$2:$A$4,0))+INDEX(Dim_Product!$L$2:$L$4,MATCH(F209,Dim_Product!$A$2:$A$4,0))),G209-H209,G209-H209-1)</f>
        <v>30</v>
      </c>
      <c r="U209" s="4">
        <f t="shared" si="29"/>
        <v>2</v>
      </c>
      <c r="V209" s="4">
        <f t="shared" si="30"/>
        <v>6.25E-2</v>
      </c>
      <c r="W209" s="16">
        <f t="shared" si="31"/>
        <v>0.9375</v>
      </c>
    </row>
    <row r="210" spans="1:23" x14ac:dyDescent="0.25">
      <c r="A210" s="15" t="s">
        <v>711</v>
      </c>
      <c r="B210" s="4">
        <f>Fact_Production_Hourly!B210</f>
        <v>20260702</v>
      </c>
      <c r="C210" s="4">
        <f>Fact_Production_Hourly!C210</f>
        <v>5</v>
      </c>
      <c r="D210" s="4" t="str">
        <f>Fact_Production_Hourly!D210</f>
        <v>M6</v>
      </c>
      <c r="E210" s="4" t="str">
        <f>Fact_Production_Hourly!E210</f>
        <v>B-PM</v>
      </c>
      <c r="F210" s="4" t="str">
        <f>Fact_Production_Hourly!F210</f>
        <v>A</v>
      </c>
      <c r="G210" s="4">
        <f>INDEX(Dim_Machine!$D$2:$D$8,MATCH(D210,Dim_Machine!$A$2:$A$8,0))*2</f>
        <v>24</v>
      </c>
      <c r="H210" s="4">
        <f>ROUND(G210*0.0578,0)</f>
        <v>1</v>
      </c>
      <c r="I210" s="4">
        <f t="shared" si="24"/>
        <v>0</v>
      </c>
      <c r="J210" s="4">
        <f t="shared" si="25"/>
        <v>0</v>
      </c>
      <c r="K210" s="4">
        <f t="shared" si="26"/>
        <v>1</v>
      </c>
      <c r="L210" s="4" t="s">
        <v>498</v>
      </c>
      <c r="M210" s="4">
        <f>INDEX(Dim_Product!$C$2:$C$4,MATCH(F210,Dim_Product!$A$2:$A$4,0))+-0.98</f>
        <v>249.02</v>
      </c>
      <c r="N210" s="4">
        <f>IF(AND(M210&gt;=INDEX(Dim_Product!$C$2:$C$4,MATCH(F210,Dim_Product!$A$2:$A$4,0))-INDEX(Dim_Product!$D$2:$D$4,MATCH(F210,Dim_Product!$A$2:$A$4,0)),M210&lt;=INDEX(Dim_Product!$C$2:$C$4,MATCH(F210,Dim_Product!$A$2:$A$4,0))+INDEX(Dim_Product!$D$2:$D$4,MATCH(F210,Dim_Product!$A$2:$A$4,0))),G210-H210,G210-H210-1)</f>
        <v>23</v>
      </c>
      <c r="O210" s="4">
        <f t="shared" si="27"/>
        <v>1</v>
      </c>
      <c r="P210" s="4">
        <f>INDEX(Dim_Product!$G$2:$G$4,MATCH(F210,Dim_Product!$A$2:$A$4,0))+-0.14</f>
        <v>69.86</v>
      </c>
      <c r="Q210" s="4">
        <f>IF(AND(P210&gt;=INDEX(Dim_Product!$G$2:$G$4,MATCH(F210,Dim_Product!$A$2:$A$4,0))-INDEX(Dim_Product!$H$2:$H$4,MATCH(F210,Dim_Product!$A$2:$A$4,0)),P210&lt;=INDEX(Dim_Product!$G$2:$G$4,MATCH(F210,Dim_Product!$A$2:$A$4,0))+INDEX(Dim_Product!$H$2:$H$4,MATCH(F210,Dim_Product!$A$2:$A$4,0))),G210-H210,G210-H210-1)</f>
        <v>23</v>
      </c>
      <c r="R210" s="4">
        <f t="shared" si="28"/>
        <v>1</v>
      </c>
      <c r="S210" s="4">
        <f>INDEX(Dim_Product!$K$2:$K$4,MATCH(F210,Dim_Product!$A$2:$A$4,0))+0.01</f>
        <v>120.01</v>
      </c>
      <c r="T210" s="4">
        <f>IF(AND(S210&gt;=INDEX(Dim_Product!$K$2:$K$4,MATCH(F210,Dim_Product!$A$2:$A$4,0))-INDEX(Dim_Product!$L$2:$L$4,MATCH(F210,Dim_Product!$A$2:$A$4,0)),S210&lt;=INDEX(Dim_Product!$K$2:$K$4,MATCH(F210,Dim_Product!$A$2:$A$4,0))+INDEX(Dim_Product!$L$2:$L$4,MATCH(F210,Dim_Product!$A$2:$A$4,0))),G210-H210,G210-H210-1)</f>
        <v>23</v>
      </c>
      <c r="U210" s="4">
        <f t="shared" si="29"/>
        <v>1</v>
      </c>
      <c r="V210" s="4">
        <f t="shared" si="30"/>
        <v>4.1666666666666664E-2</v>
      </c>
      <c r="W210" s="16">
        <f t="shared" si="31"/>
        <v>0.95833333333333337</v>
      </c>
    </row>
    <row r="211" spans="1:23" x14ac:dyDescent="0.25">
      <c r="A211" s="15" t="s">
        <v>712</v>
      </c>
      <c r="B211" s="4">
        <f>Fact_Production_Hourly!B211</f>
        <v>20260702</v>
      </c>
      <c r="C211" s="4">
        <f>Fact_Production_Hourly!C211</f>
        <v>5</v>
      </c>
      <c r="D211" s="4" t="str">
        <f>Fact_Production_Hourly!D211</f>
        <v>M7</v>
      </c>
      <c r="E211" s="4" t="str">
        <f>Fact_Production_Hourly!E211</f>
        <v>B-PM</v>
      </c>
      <c r="F211" s="4" t="str">
        <f>Fact_Production_Hourly!F211</f>
        <v>C</v>
      </c>
      <c r="G211" s="4">
        <f>INDEX(Dim_Machine!$D$2:$D$8,MATCH(D211,Dim_Machine!$A$2:$A$8,0))*2</f>
        <v>48</v>
      </c>
      <c r="H211" s="4">
        <f>ROUND(G211*0.0411,0)</f>
        <v>2</v>
      </c>
      <c r="I211" s="4">
        <f t="shared" si="24"/>
        <v>0</v>
      </c>
      <c r="J211" s="4">
        <f t="shared" si="25"/>
        <v>1</v>
      </c>
      <c r="K211" s="4">
        <f t="shared" si="26"/>
        <v>1</v>
      </c>
      <c r="L211" s="4" t="s">
        <v>509</v>
      </c>
      <c r="M211" s="4">
        <f>INDEX(Dim_Product!$C$2:$C$4,MATCH(F211,Dim_Product!$A$2:$A$4,0))+0.38</f>
        <v>200.38</v>
      </c>
      <c r="N211" s="4">
        <f>IF(AND(M211&gt;=INDEX(Dim_Product!$C$2:$C$4,MATCH(F211,Dim_Product!$A$2:$A$4,0))-INDEX(Dim_Product!$D$2:$D$4,MATCH(F211,Dim_Product!$A$2:$A$4,0)),M211&lt;=INDEX(Dim_Product!$C$2:$C$4,MATCH(F211,Dim_Product!$A$2:$A$4,0))+INDEX(Dim_Product!$D$2:$D$4,MATCH(F211,Dim_Product!$A$2:$A$4,0))),G211-H211,G211-H211-1)</f>
        <v>46</v>
      </c>
      <c r="O211" s="4">
        <f t="shared" si="27"/>
        <v>2</v>
      </c>
      <c r="P211" s="4">
        <f>INDEX(Dim_Product!$G$2:$G$4,MATCH(F211,Dim_Product!$A$2:$A$4,0))+-0.17</f>
        <v>64.83</v>
      </c>
      <c r="Q211" s="4">
        <f>IF(AND(P211&gt;=INDEX(Dim_Product!$G$2:$G$4,MATCH(F211,Dim_Product!$A$2:$A$4,0))-INDEX(Dim_Product!$H$2:$H$4,MATCH(F211,Dim_Product!$A$2:$A$4,0)),P211&lt;=INDEX(Dim_Product!$G$2:$G$4,MATCH(F211,Dim_Product!$A$2:$A$4,0))+INDEX(Dim_Product!$H$2:$H$4,MATCH(F211,Dim_Product!$A$2:$A$4,0))),G211-H211,G211-H211-1)</f>
        <v>46</v>
      </c>
      <c r="R211" s="4">
        <f t="shared" si="28"/>
        <v>2</v>
      </c>
      <c r="S211" s="4">
        <f>INDEX(Dim_Product!$K$2:$K$4,MATCH(F211,Dim_Product!$A$2:$A$4,0))+-0.1</f>
        <v>109.9</v>
      </c>
      <c r="T211" s="4">
        <f>IF(AND(S211&gt;=INDEX(Dim_Product!$K$2:$K$4,MATCH(F211,Dim_Product!$A$2:$A$4,0))-INDEX(Dim_Product!$L$2:$L$4,MATCH(F211,Dim_Product!$A$2:$A$4,0)),S211&lt;=INDEX(Dim_Product!$K$2:$K$4,MATCH(F211,Dim_Product!$A$2:$A$4,0))+INDEX(Dim_Product!$L$2:$L$4,MATCH(F211,Dim_Product!$A$2:$A$4,0))),G211-H211,G211-H211-1)</f>
        <v>46</v>
      </c>
      <c r="U211" s="4">
        <f t="shared" si="29"/>
        <v>2</v>
      </c>
      <c r="V211" s="4">
        <f t="shared" si="30"/>
        <v>4.1666666666666664E-2</v>
      </c>
      <c r="W211" s="16">
        <f t="shared" si="31"/>
        <v>0.95833333333333337</v>
      </c>
    </row>
    <row r="212" spans="1:23" x14ac:dyDescent="0.25">
      <c r="A212" s="15" t="s">
        <v>713</v>
      </c>
      <c r="B212" s="4">
        <f>Fact_Production_Hourly!B212</f>
        <v>20260702</v>
      </c>
      <c r="C212" s="4">
        <f>Fact_Production_Hourly!C212</f>
        <v>6</v>
      </c>
      <c r="D212" s="4" t="str">
        <f>Fact_Production_Hourly!D212</f>
        <v>M1</v>
      </c>
      <c r="E212" s="4" t="str">
        <f>Fact_Production_Hourly!E212</f>
        <v>A-AM</v>
      </c>
      <c r="F212" s="4" t="str">
        <f>Fact_Production_Hourly!F212</f>
        <v>C</v>
      </c>
      <c r="G212" s="4">
        <f>INDEX(Dim_Machine!$D$2:$D$8,MATCH(D212,Dim_Machine!$A$2:$A$8,0))*2</f>
        <v>32</v>
      </c>
      <c r="H212" s="4">
        <f>ROUND(G212*0.0378,0)</f>
        <v>1</v>
      </c>
      <c r="I212" s="4">
        <f t="shared" si="24"/>
        <v>0</v>
      </c>
      <c r="J212" s="4">
        <f t="shared" si="25"/>
        <v>0</v>
      </c>
      <c r="K212" s="4">
        <f t="shared" si="26"/>
        <v>1</v>
      </c>
      <c r="L212" s="4" t="s">
        <v>520</v>
      </c>
      <c r="M212" s="4">
        <f>INDEX(Dim_Product!$C$2:$C$4,MATCH(F212,Dim_Product!$A$2:$A$4,0))+0.18</f>
        <v>200.18</v>
      </c>
      <c r="N212" s="4">
        <f>IF(AND(M212&gt;=INDEX(Dim_Product!$C$2:$C$4,MATCH(F212,Dim_Product!$A$2:$A$4,0))-INDEX(Dim_Product!$D$2:$D$4,MATCH(F212,Dim_Product!$A$2:$A$4,0)),M212&lt;=INDEX(Dim_Product!$C$2:$C$4,MATCH(F212,Dim_Product!$A$2:$A$4,0))+INDEX(Dim_Product!$D$2:$D$4,MATCH(F212,Dim_Product!$A$2:$A$4,0))),G212-H212,G212-H212-1)</f>
        <v>31</v>
      </c>
      <c r="O212" s="4">
        <f t="shared" si="27"/>
        <v>1</v>
      </c>
      <c r="P212" s="4">
        <f>INDEX(Dim_Product!$G$2:$G$4,MATCH(F212,Dim_Product!$A$2:$A$4,0))+0</f>
        <v>65</v>
      </c>
      <c r="Q212" s="4">
        <f>IF(AND(P212&gt;=INDEX(Dim_Product!$G$2:$G$4,MATCH(F212,Dim_Product!$A$2:$A$4,0))-INDEX(Dim_Product!$H$2:$H$4,MATCH(F212,Dim_Product!$A$2:$A$4,0)),P212&lt;=INDEX(Dim_Product!$G$2:$G$4,MATCH(F212,Dim_Product!$A$2:$A$4,0))+INDEX(Dim_Product!$H$2:$H$4,MATCH(F212,Dim_Product!$A$2:$A$4,0))),G212-H212,G212-H212-1)</f>
        <v>31</v>
      </c>
      <c r="R212" s="4">
        <f t="shared" si="28"/>
        <v>1</v>
      </c>
      <c r="S212" s="4">
        <f>INDEX(Dim_Product!$K$2:$K$4,MATCH(F212,Dim_Product!$A$2:$A$4,0))+-0.12</f>
        <v>109.88</v>
      </c>
      <c r="T212" s="4">
        <f>IF(AND(S212&gt;=INDEX(Dim_Product!$K$2:$K$4,MATCH(F212,Dim_Product!$A$2:$A$4,0))-INDEX(Dim_Product!$L$2:$L$4,MATCH(F212,Dim_Product!$A$2:$A$4,0)),S212&lt;=INDEX(Dim_Product!$K$2:$K$4,MATCH(F212,Dim_Product!$A$2:$A$4,0))+INDEX(Dim_Product!$L$2:$L$4,MATCH(F212,Dim_Product!$A$2:$A$4,0))),G212-H212,G212-H212-1)</f>
        <v>31</v>
      </c>
      <c r="U212" s="4">
        <f t="shared" si="29"/>
        <v>1</v>
      </c>
      <c r="V212" s="4">
        <f t="shared" si="30"/>
        <v>3.125E-2</v>
      </c>
      <c r="W212" s="16">
        <f t="shared" si="31"/>
        <v>0.96875</v>
      </c>
    </row>
    <row r="213" spans="1:23" x14ac:dyDescent="0.25">
      <c r="A213" s="15" t="s">
        <v>714</v>
      </c>
      <c r="B213" s="4">
        <f>Fact_Production_Hourly!B213</f>
        <v>20260702</v>
      </c>
      <c r="C213" s="4">
        <f>Fact_Production_Hourly!C213</f>
        <v>6</v>
      </c>
      <c r="D213" s="4" t="str">
        <f>Fact_Production_Hourly!D213</f>
        <v>M2</v>
      </c>
      <c r="E213" s="4" t="str">
        <f>Fact_Production_Hourly!E213</f>
        <v>A-AM</v>
      </c>
      <c r="F213" s="4" t="str">
        <f>Fact_Production_Hourly!F213</f>
        <v>A</v>
      </c>
      <c r="G213" s="4">
        <f>INDEX(Dim_Machine!$D$2:$D$8,MATCH(D213,Dim_Machine!$A$2:$A$8,0))*2</f>
        <v>48</v>
      </c>
      <c r="H213" s="4">
        <f>ROUND(G213*0.0115,0)</f>
        <v>1</v>
      </c>
      <c r="I213" s="4">
        <f t="shared" si="24"/>
        <v>0</v>
      </c>
      <c r="J213" s="4">
        <f t="shared" si="25"/>
        <v>0</v>
      </c>
      <c r="K213" s="4">
        <f t="shared" si="26"/>
        <v>1</v>
      </c>
      <c r="L213" s="4" t="s">
        <v>498</v>
      </c>
      <c r="M213" s="4">
        <f>INDEX(Dim_Product!$C$2:$C$4,MATCH(F213,Dim_Product!$A$2:$A$4,0))+-0.41</f>
        <v>249.59</v>
      </c>
      <c r="N213" s="4">
        <f>IF(AND(M213&gt;=INDEX(Dim_Product!$C$2:$C$4,MATCH(F213,Dim_Product!$A$2:$A$4,0))-INDEX(Dim_Product!$D$2:$D$4,MATCH(F213,Dim_Product!$A$2:$A$4,0)),M213&lt;=INDEX(Dim_Product!$C$2:$C$4,MATCH(F213,Dim_Product!$A$2:$A$4,0))+INDEX(Dim_Product!$D$2:$D$4,MATCH(F213,Dim_Product!$A$2:$A$4,0))),G213-H213,G213-H213-1)</f>
        <v>47</v>
      </c>
      <c r="O213" s="4">
        <f t="shared" si="27"/>
        <v>1</v>
      </c>
      <c r="P213" s="4">
        <f>INDEX(Dim_Product!$G$2:$G$4,MATCH(F213,Dim_Product!$A$2:$A$4,0))+0.25</f>
        <v>70.25</v>
      </c>
      <c r="Q213" s="4">
        <f>IF(AND(P213&gt;=INDEX(Dim_Product!$G$2:$G$4,MATCH(F213,Dim_Product!$A$2:$A$4,0))-INDEX(Dim_Product!$H$2:$H$4,MATCH(F213,Dim_Product!$A$2:$A$4,0)),P213&lt;=INDEX(Dim_Product!$G$2:$G$4,MATCH(F213,Dim_Product!$A$2:$A$4,0))+INDEX(Dim_Product!$H$2:$H$4,MATCH(F213,Dim_Product!$A$2:$A$4,0))),G213-H213,G213-H213-1)</f>
        <v>47</v>
      </c>
      <c r="R213" s="4">
        <f t="shared" si="28"/>
        <v>1</v>
      </c>
      <c r="S213" s="4">
        <f>INDEX(Dim_Product!$K$2:$K$4,MATCH(F213,Dim_Product!$A$2:$A$4,0))+-0.33</f>
        <v>119.67</v>
      </c>
      <c r="T213" s="4">
        <f>IF(AND(S213&gt;=INDEX(Dim_Product!$K$2:$K$4,MATCH(F213,Dim_Product!$A$2:$A$4,0))-INDEX(Dim_Product!$L$2:$L$4,MATCH(F213,Dim_Product!$A$2:$A$4,0)),S213&lt;=INDEX(Dim_Product!$K$2:$K$4,MATCH(F213,Dim_Product!$A$2:$A$4,0))+INDEX(Dim_Product!$L$2:$L$4,MATCH(F213,Dim_Product!$A$2:$A$4,0))),G213-H213,G213-H213-1)</f>
        <v>47</v>
      </c>
      <c r="U213" s="4">
        <f t="shared" si="29"/>
        <v>1</v>
      </c>
      <c r="V213" s="4">
        <f t="shared" si="30"/>
        <v>2.0833333333333332E-2</v>
      </c>
      <c r="W213" s="16">
        <f t="shared" si="31"/>
        <v>0.97916666666666663</v>
      </c>
    </row>
    <row r="214" spans="1:23" x14ac:dyDescent="0.25">
      <c r="A214" s="15" t="s">
        <v>715</v>
      </c>
      <c r="B214" s="4">
        <f>Fact_Production_Hourly!B214</f>
        <v>20260702</v>
      </c>
      <c r="C214" s="4">
        <f>Fact_Production_Hourly!C214</f>
        <v>6</v>
      </c>
      <c r="D214" s="4" t="str">
        <f>Fact_Production_Hourly!D214</f>
        <v>M3</v>
      </c>
      <c r="E214" s="4" t="str">
        <f>Fact_Production_Hourly!E214</f>
        <v>A-AM</v>
      </c>
      <c r="F214" s="4" t="str">
        <f>Fact_Production_Hourly!F214</f>
        <v>A</v>
      </c>
      <c r="G214" s="4">
        <f>INDEX(Dim_Machine!$D$2:$D$8,MATCH(D214,Dim_Machine!$A$2:$A$8,0))*2</f>
        <v>24</v>
      </c>
      <c r="H214" s="4">
        <f>ROUND(G214*0.0599,0)</f>
        <v>1</v>
      </c>
      <c r="I214" s="4">
        <f t="shared" si="24"/>
        <v>0</v>
      </c>
      <c r="J214" s="4">
        <f t="shared" si="25"/>
        <v>0</v>
      </c>
      <c r="K214" s="4">
        <f t="shared" si="26"/>
        <v>1</v>
      </c>
      <c r="L214" s="4" t="s">
        <v>520</v>
      </c>
      <c r="M214" s="4">
        <f>INDEX(Dim_Product!$C$2:$C$4,MATCH(F214,Dim_Product!$A$2:$A$4,0))+-0.72</f>
        <v>249.28</v>
      </c>
      <c r="N214" s="4">
        <f>IF(AND(M214&gt;=INDEX(Dim_Product!$C$2:$C$4,MATCH(F214,Dim_Product!$A$2:$A$4,0))-INDEX(Dim_Product!$D$2:$D$4,MATCH(F214,Dim_Product!$A$2:$A$4,0)),M214&lt;=INDEX(Dim_Product!$C$2:$C$4,MATCH(F214,Dim_Product!$A$2:$A$4,0))+INDEX(Dim_Product!$D$2:$D$4,MATCH(F214,Dim_Product!$A$2:$A$4,0))),G214-H214,G214-H214-1)</f>
        <v>23</v>
      </c>
      <c r="O214" s="4">
        <f t="shared" si="27"/>
        <v>1</v>
      </c>
      <c r="P214" s="4">
        <f>INDEX(Dim_Product!$G$2:$G$4,MATCH(F214,Dim_Product!$A$2:$A$4,0))+-0.11</f>
        <v>69.89</v>
      </c>
      <c r="Q214" s="4">
        <f>IF(AND(P214&gt;=INDEX(Dim_Product!$G$2:$G$4,MATCH(F214,Dim_Product!$A$2:$A$4,0))-INDEX(Dim_Product!$H$2:$H$4,MATCH(F214,Dim_Product!$A$2:$A$4,0)),P214&lt;=INDEX(Dim_Product!$G$2:$G$4,MATCH(F214,Dim_Product!$A$2:$A$4,0))+INDEX(Dim_Product!$H$2:$H$4,MATCH(F214,Dim_Product!$A$2:$A$4,0))),G214-H214,G214-H214-1)</f>
        <v>23</v>
      </c>
      <c r="R214" s="4">
        <f t="shared" si="28"/>
        <v>1</v>
      </c>
      <c r="S214" s="4">
        <f>INDEX(Dim_Product!$K$2:$K$4,MATCH(F214,Dim_Product!$A$2:$A$4,0))+-0.04</f>
        <v>119.96</v>
      </c>
      <c r="T214" s="4">
        <f>IF(AND(S214&gt;=INDEX(Dim_Product!$K$2:$K$4,MATCH(F214,Dim_Product!$A$2:$A$4,0))-INDEX(Dim_Product!$L$2:$L$4,MATCH(F214,Dim_Product!$A$2:$A$4,0)),S214&lt;=INDEX(Dim_Product!$K$2:$K$4,MATCH(F214,Dim_Product!$A$2:$A$4,0))+INDEX(Dim_Product!$L$2:$L$4,MATCH(F214,Dim_Product!$A$2:$A$4,0))),G214-H214,G214-H214-1)</f>
        <v>23</v>
      </c>
      <c r="U214" s="4">
        <f t="shared" si="29"/>
        <v>1</v>
      </c>
      <c r="V214" s="4">
        <f t="shared" si="30"/>
        <v>4.1666666666666664E-2</v>
      </c>
      <c r="W214" s="16">
        <f t="shared" si="31"/>
        <v>0.95833333333333337</v>
      </c>
    </row>
    <row r="215" spans="1:23" x14ac:dyDescent="0.25">
      <c r="A215" s="15" t="s">
        <v>716</v>
      </c>
      <c r="B215" s="4">
        <f>Fact_Production_Hourly!B215</f>
        <v>20260702</v>
      </c>
      <c r="C215" s="4">
        <f>Fact_Production_Hourly!C215</f>
        <v>6</v>
      </c>
      <c r="D215" s="4" t="str">
        <f>Fact_Production_Hourly!D215</f>
        <v>M4</v>
      </c>
      <c r="E215" s="4" t="str">
        <f>Fact_Production_Hourly!E215</f>
        <v>A-AM</v>
      </c>
      <c r="F215" s="4" t="str">
        <f>Fact_Production_Hourly!F215</f>
        <v>A</v>
      </c>
      <c r="G215" s="4">
        <f>INDEX(Dim_Machine!$D$2:$D$8,MATCH(D215,Dim_Machine!$A$2:$A$8,0))*2</f>
        <v>48</v>
      </c>
      <c r="H215" s="4">
        <f>ROUND(G215*0.0224,0)</f>
        <v>1</v>
      </c>
      <c r="I215" s="4">
        <f t="shared" si="24"/>
        <v>0</v>
      </c>
      <c r="J215" s="4">
        <f t="shared" si="25"/>
        <v>0</v>
      </c>
      <c r="K215" s="4">
        <f t="shared" si="26"/>
        <v>1</v>
      </c>
      <c r="L215" s="4" t="s">
        <v>503</v>
      </c>
      <c r="M215" s="4">
        <f>INDEX(Dim_Product!$C$2:$C$4,MATCH(F215,Dim_Product!$A$2:$A$4,0))+-0.3</f>
        <v>249.7</v>
      </c>
      <c r="N215" s="4">
        <f>IF(AND(M215&gt;=INDEX(Dim_Product!$C$2:$C$4,MATCH(F215,Dim_Product!$A$2:$A$4,0))-INDEX(Dim_Product!$D$2:$D$4,MATCH(F215,Dim_Product!$A$2:$A$4,0)),M215&lt;=INDEX(Dim_Product!$C$2:$C$4,MATCH(F215,Dim_Product!$A$2:$A$4,0))+INDEX(Dim_Product!$D$2:$D$4,MATCH(F215,Dim_Product!$A$2:$A$4,0))),G215-H215,G215-H215-1)</f>
        <v>47</v>
      </c>
      <c r="O215" s="4">
        <f t="shared" si="27"/>
        <v>1</v>
      </c>
      <c r="P215" s="4">
        <f>INDEX(Dim_Product!$G$2:$G$4,MATCH(F215,Dim_Product!$A$2:$A$4,0))+-0.24</f>
        <v>69.760000000000005</v>
      </c>
      <c r="Q215" s="4">
        <f>IF(AND(P215&gt;=INDEX(Dim_Product!$G$2:$G$4,MATCH(F215,Dim_Product!$A$2:$A$4,0))-INDEX(Dim_Product!$H$2:$H$4,MATCH(F215,Dim_Product!$A$2:$A$4,0)),P215&lt;=INDEX(Dim_Product!$G$2:$G$4,MATCH(F215,Dim_Product!$A$2:$A$4,0))+INDEX(Dim_Product!$H$2:$H$4,MATCH(F215,Dim_Product!$A$2:$A$4,0))),G215-H215,G215-H215-1)</f>
        <v>47</v>
      </c>
      <c r="R215" s="4">
        <f t="shared" si="28"/>
        <v>1</v>
      </c>
      <c r="S215" s="4">
        <f>INDEX(Dim_Product!$K$2:$K$4,MATCH(F215,Dim_Product!$A$2:$A$4,0))+0.18</f>
        <v>120.18</v>
      </c>
      <c r="T215" s="4">
        <f>IF(AND(S215&gt;=INDEX(Dim_Product!$K$2:$K$4,MATCH(F215,Dim_Product!$A$2:$A$4,0))-INDEX(Dim_Product!$L$2:$L$4,MATCH(F215,Dim_Product!$A$2:$A$4,0)),S215&lt;=INDEX(Dim_Product!$K$2:$K$4,MATCH(F215,Dim_Product!$A$2:$A$4,0))+INDEX(Dim_Product!$L$2:$L$4,MATCH(F215,Dim_Product!$A$2:$A$4,0))),G215-H215,G215-H215-1)</f>
        <v>47</v>
      </c>
      <c r="U215" s="4">
        <f t="shared" si="29"/>
        <v>1</v>
      </c>
      <c r="V215" s="4">
        <f t="shared" si="30"/>
        <v>2.0833333333333332E-2</v>
      </c>
      <c r="W215" s="16">
        <f t="shared" si="31"/>
        <v>0.97916666666666663</v>
      </c>
    </row>
    <row r="216" spans="1:23" x14ac:dyDescent="0.25">
      <c r="A216" s="15" t="s">
        <v>717</v>
      </c>
      <c r="B216" s="4">
        <f>Fact_Production_Hourly!B216</f>
        <v>20260702</v>
      </c>
      <c r="C216" s="4">
        <f>Fact_Production_Hourly!C216</f>
        <v>6</v>
      </c>
      <c r="D216" s="4" t="str">
        <f>Fact_Production_Hourly!D216</f>
        <v>M5</v>
      </c>
      <c r="E216" s="4" t="str">
        <f>Fact_Production_Hourly!E216</f>
        <v>A-AM</v>
      </c>
      <c r="F216" s="4" t="str">
        <f>Fact_Production_Hourly!F216</f>
        <v>C</v>
      </c>
      <c r="G216" s="4">
        <f>INDEX(Dim_Machine!$D$2:$D$8,MATCH(D216,Dim_Machine!$A$2:$A$8,0))*2</f>
        <v>32</v>
      </c>
      <c r="H216" s="4">
        <f>ROUND(G216*0.0371,0)</f>
        <v>1</v>
      </c>
      <c r="I216" s="4">
        <f t="shared" si="24"/>
        <v>0</v>
      </c>
      <c r="J216" s="4">
        <f t="shared" si="25"/>
        <v>0</v>
      </c>
      <c r="K216" s="4">
        <f t="shared" si="26"/>
        <v>1</v>
      </c>
      <c r="L216" s="4" t="s">
        <v>498</v>
      </c>
      <c r="M216" s="4">
        <f>INDEX(Dim_Product!$C$2:$C$4,MATCH(F216,Dim_Product!$A$2:$A$4,0))+-0.4</f>
        <v>199.6</v>
      </c>
      <c r="N216" s="4">
        <f>IF(AND(M216&gt;=INDEX(Dim_Product!$C$2:$C$4,MATCH(F216,Dim_Product!$A$2:$A$4,0))-INDEX(Dim_Product!$D$2:$D$4,MATCH(F216,Dim_Product!$A$2:$A$4,0)),M216&lt;=INDEX(Dim_Product!$C$2:$C$4,MATCH(F216,Dim_Product!$A$2:$A$4,0))+INDEX(Dim_Product!$D$2:$D$4,MATCH(F216,Dim_Product!$A$2:$A$4,0))),G216-H216,G216-H216-1)</f>
        <v>31</v>
      </c>
      <c r="O216" s="4">
        <f t="shared" si="27"/>
        <v>1</v>
      </c>
      <c r="P216" s="4">
        <f>INDEX(Dim_Product!$G$2:$G$4,MATCH(F216,Dim_Product!$A$2:$A$4,0))+0.19</f>
        <v>65.19</v>
      </c>
      <c r="Q216" s="4">
        <f>IF(AND(P216&gt;=INDEX(Dim_Product!$G$2:$G$4,MATCH(F216,Dim_Product!$A$2:$A$4,0))-INDEX(Dim_Product!$H$2:$H$4,MATCH(F216,Dim_Product!$A$2:$A$4,0)),P216&lt;=INDEX(Dim_Product!$G$2:$G$4,MATCH(F216,Dim_Product!$A$2:$A$4,0))+INDEX(Dim_Product!$H$2:$H$4,MATCH(F216,Dim_Product!$A$2:$A$4,0))),G216-H216,G216-H216-1)</f>
        <v>31</v>
      </c>
      <c r="R216" s="4">
        <f t="shared" si="28"/>
        <v>1</v>
      </c>
      <c r="S216" s="4">
        <f>INDEX(Dim_Product!$K$2:$K$4,MATCH(F216,Dim_Product!$A$2:$A$4,0))+-0.31</f>
        <v>109.69</v>
      </c>
      <c r="T216" s="4">
        <f>IF(AND(S216&gt;=INDEX(Dim_Product!$K$2:$K$4,MATCH(F216,Dim_Product!$A$2:$A$4,0))-INDEX(Dim_Product!$L$2:$L$4,MATCH(F216,Dim_Product!$A$2:$A$4,0)),S216&lt;=INDEX(Dim_Product!$K$2:$K$4,MATCH(F216,Dim_Product!$A$2:$A$4,0))+INDEX(Dim_Product!$L$2:$L$4,MATCH(F216,Dim_Product!$A$2:$A$4,0))),G216-H216,G216-H216-1)</f>
        <v>31</v>
      </c>
      <c r="U216" s="4">
        <f t="shared" si="29"/>
        <v>1</v>
      </c>
      <c r="V216" s="4">
        <f t="shared" si="30"/>
        <v>3.125E-2</v>
      </c>
      <c r="W216" s="16">
        <f t="shared" si="31"/>
        <v>0.96875</v>
      </c>
    </row>
    <row r="217" spans="1:23" x14ac:dyDescent="0.25">
      <c r="A217" s="15" t="s">
        <v>718</v>
      </c>
      <c r="B217" s="4">
        <f>Fact_Production_Hourly!B217</f>
        <v>20260702</v>
      </c>
      <c r="C217" s="4">
        <f>Fact_Production_Hourly!C217</f>
        <v>6</v>
      </c>
      <c r="D217" s="4" t="str">
        <f>Fact_Production_Hourly!D217</f>
        <v>M6</v>
      </c>
      <c r="E217" s="4" t="str">
        <f>Fact_Production_Hourly!E217</f>
        <v>A-AM</v>
      </c>
      <c r="F217" s="4" t="str">
        <f>Fact_Production_Hourly!F217</f>
        <v>C</v>
      </c>
      <c r="G217" s="4">
        <f>INDEX(Dim_Machine!$D$2:$D$8,MATCH(D217,Dim_Machine!$A$2:$A$8,0))*2</f>
        <v>24</v>
      </c>
      <c r="H217" s="4">
        <f>ROUND(G217*0.061,0)</f>
        <v>1</v>
      </c>
      <c r="I217" s="4">
        <f t="shared" si="24"/>
        <v>0</v>
      </c>
      <c r="J217" s="4">
        <f t="shared" si="25"/>
        <v>0</v>
      </c>
      <c r="K217" s="4">
        <f t="shared" si="26"/>
        <v>1</v>
      </c>
      <c r="L217" s="4" t="s">
        <v>520</v>
      </c>
      <c r="M217" s="4">
        <f>INDEX(Dim_Product!$C$2:$C$4,MATCH(F217,Dim_Product!$A$2:$A$4,0))+-0.78</f>
        <v>199.22</v>
      </c>
      <c r="N217" s="4">
        <f>IF(AND(M217&gt;=INDEX(Dim_Product!$C$2:$C$4,MATCH(F217,Dim_Product!$A$2:$A$4,0))-INDEX(Dim_Product!$D$2:$D$4,MATCH(F217,Dim_Product!$A$2:$A$4,0)),M217&lt;=INDEX(Dim_Product!$C$2:$C$4,MATCH(F217,Dim_Product!$A$2:$A$4,0))+INDEX(Dim_Product!$D$2:$D$4,MATCH(F217,Dim_Product!$A$2:$A$4,0))),G217-H217,G217-H217-1)</f>
        <v>23</v>
      </c>
      <c r="O217" s="4">
        <f t="shared" si="27"/>
        <v>1</v>
      </c>
      <c r="P217" s="4">
        <f>INDEX(Dim_Product!$G$2:$G$4,MATCH(F217,Dim_Product!$A$2:$A$4,0))+0.18</f>
        <v>65.180000000000007</v>
      </c>
      <c r="Q217" s="4">
        <f>IF(AND(P217&gt;=INDEX(Dim_Product!$G$2:$G$4,MATCH(F217,Dim_Product!$A$2:$A$4,0))-INDEX(Dim_Product!$H$2:$H$4,MATCH(F217,Dim_Product!$A$2:$A$4,0)),P217&lt;=INDEX(Dim_Product!$G$2:$G$4,MATCH(F217,Dim_Product!$A$2:$A$4,0))+INDEX(Dim_Product!$H$2:$H$4,MATCH(F217,Dim_Product!$A$2:$A$4,0))),G217-H217,G217-H217-1)</f>
        <v>23</v>
      </c>
      <c r="R217" s="4">
        <f t="shared" si="28"/>
        <v>1</v>
      </c>
      <c r="S217" s="4">
        <f>INDEX(Dim_Product!$K$2:$K$4,MATCH(F217,Dim_Product!$A$2:$A$4,0))+0.34</f>
        <v>110.34</v>
      </c>
      <c r="T217" s="4">
        <f>IF(AND(S217&gt;=INDEX(Dim_Product!$K$2:$K$4,MATCH(F217,Dim_Product!$A$2:$A$4,0))-INDEX(Dim_Product!$L$2:$L$4,MATCH(F217,Dim_Product!$A$2:$A$4,0)),S217&lt;=INDEX(Dim_Product!$K$2:$K$4,MATCH(F217,Dim_Product!$A$2:$A$4,0))+INDEX(Dim_Product!$L$2:$L$4,MATCH(F217,Dim_Product!$A$2:$A$4,0))),G217-H217,G217-H217-1)</f>
        <v>23</v>
      </c>
      <c r="U217" s="4">
        <f t="shared" si="29"/>
        <v>1</v>
      </c>
      <c r="V217" s="4">
        <f t="shared" si="30"/>
        <v>4.1666666666666664E-2</v>
      </c>
      <c r="W217" s="16">
        <f t="shared" si="31"/>
        <v>0.95833333333333337</v>
      </c>
    </row>
    <row r="218" spans="1:23" x14ac:dyDescent="0.25">
      <c r="A218" s="15" t="s">
        <v>719</v>
      </c>
      <c r="B218" s="4">
        <f>Fact_Production_Hourly!B218</f>
        <v>20260702</v>
      </c>
      <c r="C218" s="4">
        <f>Fact_Production_Hourly!C218</f>
        <v>6</v>
      </c>
      <c r="D218" s="4" t="str">
        <f>Fact_Production_Hourly!D218</f>
        <v>M7</v>
      </c>
      <c r="E218" s="4" t="str">
        <f>Fact_Production_Hourly!E218</f>
        <v>A-AM</v>
      </c>
      <c r="F218" s="4" t="str">
        <f>Fact_Production_Hourly!F218</f>
        <v>C</v>
      </c>
      <c r="G218" s="4">
        <f>INDEX(Dim_Machine!$D$2:$D$8,MATCH(D218,Dim_Machine!$A$2:$A$8,0))*2</f>
        <v>48</v>
      </c>
      <c r="H218" s="4">
        <f>ROUND(G218*0.0544,0)</f>
        <v>3</v>
      </c>
      <c r="I218" s="4">
        <f t="shared" si="24"/>
        <v>0</v>
      </c>
      <c r="J218" s="4">
        <f t="shared" si="25"/>
        <v>1</v>
      </c>
      <c r="K218" s="4">
        <f t="shared" si="26"/>
        <v>2</v>
      </c>
      <c r="L218" s="4" t="s">
        <v>509</v>
      </c>
      <c r="M218" s="4">
        <f>INDEX(Dim_Product!$C$2:$C$4,MATCH(F218,Dim_Product!$A$2:$A$4,0))+-0.65</f>
        <v>199.35</v>
      </c>
      <c r="N218" s="4">
        <f>IF(AND(M218&gt;=INDEX(Dim_Product!$C$2:$C$4,MATCH(F218,Dim_Product!$A$2:$A$4,0))-INDEX(Dim_Product!$D$2:$D$4,MATCH(F218,Dim_Product!$A$2:$A$4,0)),M218&lt;=INDEX(Dim_Product!$C$2:$C$4,MATCH(F218,Dim_Product!$A$2:$A$4,0))+INDEX(Dim_Product!$D$2:$D$4,MATCH(F218,Dim_Product!$A$2:$A$4,0))),G218-H218,G218-H218-1)</f>
        <v>45</v>
      </c>
      <c r="O218" s="4">
        <f t="shared" si="27"/>
        <v>3</v>
      </c>
      <c r="P218" s="4">
        <f>INDEX(Dim_Product!$G$2:$G$4,MATCH(F218,Dim_Product!$A$2:$A$4,0))+-0.2</f>
        <v>64.8</v>
      </c>
      <c r="Q218" s="4">
        <f>IF(AND(P218&gt;=INDEX(Dim_Product!$G$2:$G$4,MATCH(F218,Dim_Product!$A$2:$A$4,0))-INDEX(Dim_Product!$H$2:$H$4,MATCH(F218,Dim_Product!$A$2:$A$4,0)),P218&lt;=INDEX(Dim_Product!$G$2:$G$4,MATCH(F218,Dim_Product!$A$2:$A$4,0))+INDEX(Dim_Product!$H$2:$H$4,MATCH(F218,Dim_Product!$A$2:$A$4,0))),G218-H218,G218-H218-1)</f>
        <v>45</v>
      </c>
      <c r="R218" s="4">
        <f t="shared" si="28"/>
        <v>3</v>
      </c>
      <c r="S218" s="4">
        <f>INDEX(Dim_Product!$K$2:$K$4,MATCH(F218,Dim_Product!$A$2:$A$4,0))+0.05</f>
        <v>110.05</v>
      </c>
      <c r="T218" s="4">
        <f>IF(AND(S218&gt;=INDEX(Dim_Product!$K$2:$K$4,MATCH(F218,Dim_Product!$A$2:$A$4,0))-INDEX(Dim_Product!$L$2:$L$4,MATCH(F218,Dim_Product!$A$2:$A$4,0)),S218&lt;=INDEX(Dim_Product!$K$2:$K$4,MATCH(F218,Dim_Product!$A$2:$A$4,0))+INDEX(Dim_Product!$L$2:$L$4,MATCH(F218,Dim_Product!$A$2:$A$4,0))),G218-H218,G218-H218-1)</f>
        <v>45</v>
      </c>
      <c r="U218" s="4">
        <f t="shared" si="29"/>
        <v>3</v>
      </c>
      <c r="V218" s="4">
        <f t="shared" si="30"/>
        <v>6.25E-2</v>
      </c>
      <c r="W218" s="16">
        <f t="shared" si="31"/>
        <v>0.9375</v>
      </c>
    </row>
    <row r="219" spans="1:23" x14ac:dyDescent="0.25">
      <c r="A219" s="15" t="s">
        <v>720</v>
      </c>
      <c r="B219" s="4">
        <f>Fact_Production_Hourly!B219</f>
        <v>20260702</v>
      </c>
      <c r="C219" s="4">
        <f>Fact_Production_Hourly!C219</f>
        <v>7</v>
      </c>
      <c r="D219" s="4" t="str">
        <f>Fact_Production_Hourly!D219</f>
        <v>M1</v>
      </c>
      <c r="E219" s="4" t="str">
        <f>Fact_Production_Hourly!E219</f>
        <v>A-AM</v>
      </c>
      <c r="F219" s="4" t="str">
        <f>Fact_Production_Hourly!F219</f>
        <v>C</v>
      </c>
      <c r="G219" s="4">
        <f>INDEX(Dim_Machine!$D$2:$D$8,MATCH(D219,Dim_Machine!$A$2:$A$8,0))*2</f>
        <v>32</v>
      </c>
      <c r="H219" s="4">
        <f>ROUND(G219*0.0675,0)</f>
        <v>2</v>
      </c>
      <c r="I219" s="4">
        <f t="shared" si="24"/>
        <v>0</v>
      </c>
      <c r="J219" s="4">
        <f t="shared" si="25"/>
        <v>1</v>
      </c>
      <c r="K219" s="4">
        <f t="shared" si="26"/>
        <v>1</v>
      </c>
      <c r="L219" s="4" t="s">
        <v>500</v>
      </c>
      <c r="M219" s="4">
        <f>INDEX(Dim_Product!$C$2:$C$4,MATCH(F219,Dim_Product!$A$2:$A$4,0))+0.6</f>
        <v>200.6</v>
      </c>
      <c r="N219" s="4">
        <f>IF(AND(M219&gt;=INDEX(Dim_Product!$C$2:$C$4,MATCH(F219,Dim_Product!$A$2:$A$4,0))-INDEX(Dim_Product!$D$2:$D$4,MATCH(F219,Dim_Product!$A$2:$A$4,0)),M219&lt;=INDEX(Dim_Product!$C$2:$C$4,MATCH(F219,Dim_Product!$A$2:$A$4,0))+INDEX(Dim_Product!$D$2:$D$4,MATCH(F219,Dim_Product!$A$2:$A$4,0))),G219-H219,G219-H219-1)</f>
        <v>30</v>
      </c>
      <c r="O219" s="4">
        <f t="shared" si="27"/>
        <v>2</v>
      </c>
      <c r="P219" s="4">
        <f>INDEX(Dim_Product!$G$2:$G$4,MATCH(F219,Dim_Product!$A$2:$A$4,0))+0.08</f>
        <v>65.08</v>
      </c>
      <c r="Q219" s="4">
        <f>IF(AND(P219&gt;=INDEX(Dim_Product!$G$2:$G$4,MATCH(F219,Dim_Product!$A$2:$A$4,0))-INDEX(Dim_Product!$H$2:$H$4,MATCH(F219,Dim_Product!$A$2:$A$4,0)),P219&lt;=INDEX(Dim_Product!$G$2:$G$4,MATCH(F219,Dim_Product!$A$2:$A$4,0))+INDEX(Dim_Product!$H$2:$H$4,MATCH(F219,Dim_Product!$A$2:$A$4,0))),G219-H219,G219-H219-1)</f>
        <v>30</v>
      </c>
      <c r="R219" s="4">
        <f t="shared" si="28"/>
        <v>2</v>
      </c>
      <c r="S219" s="4">
        <f>INDEX(Dim_Product!$K$2:$K$4,MATCH(F219,Dim_Product!$A$2:$A$4,0))+-0.25</f>
        <v>109.75</v>
      </c>
      <c r="T219" s="4">
        <f>IF(AND(S219&gt;=INDEX(Dim_Product!$K$2:$K$4,MATCH(F219,Dim_Product!$A$2:$A$4,0))-INDEX(Dim_Product!$L$2:$L$4,MATCH(F219,Dim_Product!$A$2:$A$4,0)),S219&lt;=INDEX(Dim_Product!$K$2:$K$4,MATCH(F219,Dim_Product!$A$2:$A$4,0))+INDEX(Dim_Product!$L$2:$L$4,MATCH(F219,Dim_Product!$A$2:$A$4,0))),G219-H219,G219-H219-1)</f>
        <v>30</v>
      </c>
      <c r="U219" s="4">
        <f t="shared" si="29"/>
        <v>2</v>
      </c>
      <c r="V219" s="4">
        <f t="shared" si="30"/>
        <v>6.25E-2</v>
      </c>
      <c r="W219" s="16">
        <f t="shared" si="31"/>
        <v>0.9375</v>
      </c>
    </row>
    <row r="220" spans="1:23" x14ac:dyDescent="0.25">
      <c r="A220" s="15" t="s">
        <v>721</v>
      </c>
      <c r="B220" s="4">
        <f>Fact_Production_Hourly!B220</f>
        <v>20260702</v>
      </c>
      <c r="C220" s="4">
        <f>Fact_Production_Hourly!C220</f>
        <v>7</v>
      </c>
      <c r="D220" s="4" t="str">
        <f>Fact_Production_Hourly!D220</f>
        <v>M2</v>
      </c>
      <c r="E220" s="4" t="str">
        <f>Fact_Production_Hourly!E220</f>
        <v>A-AM</v>
      </c>
      <c r="F220" s="4" t="str">
        <f>Fact_Production_Hourly!F220</f>
        <v>A</v>
      </c>
      <c r="G220" s="4">
        <f>INDEX(Dim_Machine!$D$2:$D$8,MATCH(D220,Dim_Machine!$A$2:$A$8,0))*2</f>
        <v>48</v>
      </c>
      <c r="H220" s="4">
        <f>ROUND(G220*0.0494,0)</f>
        <v>2</v>
      </c>
      <c r="I220" s="4">
        <f t="shared" si="24"/>
        <v>0</v>
      </c>
      <c r="J220" s="4">
        <f t="shared" si="25"/>
        <v>1</v>
      </c>
      <c r="K220" s="4">
        <f t="shared" si="26"/>
        <v>1</v>
      </c>
      <c r="L220" s="4" t="s">
        <v>503</v>
      </c>
      <c r="M220" s="4">
        <f>INDEX(Dim_Product!$C$2:$C$4,MATCH(F220,Dim_Product!$A$2:$A$4,0))+-0.94</f>
        <v>249.06</v>
      </c>
      <c r="N220" s="4">
        <f>IF(AND(M220&gt;=INDEX(Dim_Product!$C$2:$C$4,MATCH(F220,Dim_Product!$A$2:$A$4,0))-INDEX(Dim_Product!$D$2:$D$4,MATCH(F220,Dim_Product!$A$2:$A$4,0)),M220&lt;=INDEX(Dim_Product!$C$2:$C$4,MATCH(F220,Dim_Product!$A$2:$A$4,0))+INDEX(Dim_Product!$D$2:$D$4,MATCH(F220,Dim_Product!$A$2:$A$4,0))),G220-H220,G220-H220-1)</f>
        <v>46</v>
      </c>
      <c r="O220" s="4">
        <f t="shared" si="27"/>
        <v>2</v>
      </c>
      <c r="P220" s="4">
        <f>INDEX(Dim_Product!$G$2:$G$4,MATCH(F220,Dim_Product!$A$2:$A$4,0))+0.07</f>
        <v>70.069999999999993</v>
      </c>
      <c r="Q220" s="4">
        <f>IF(AND(P220&gt;=INDEX(Dim_Product!$G$2:$G$4,MATCH(F220,Dim_Product!$A$2:$A$4,0))-INDEX(Dim_Product!$H$2:$H$4,MATCH(F220,Dim_Product!$A$2:$A$4,0)),P220&lt;=INDEX(Dim_Product!$G$2:$G$4,MATCH(F220,Dim_Product!$A$2:$A$4,0))+INDEX(Dim_Product!$H$2:$H$4,MATCH(F220,Dim_Product!$A$2:$A$4,0))),G220-H220,G220-H220-1)</f>
        <v>46</v>
      </c>
      <c r="R220" s="4">
        <f t="shared" si="28"/>
        <v>2</v>
      </c>
      <c r="S220" s="4">
        <f>INDEX(Dim_Product!$K$2:$K$4,MATCH(F220,Dim_Product!$A$2:$A$4,0))+-0.24</f>
        <v>119.76</v>
      </c>
      <c r="T220" s="4">
        <f>IF(AND(S220&gt;=INDEX(Dim_Product!$K$2:$K$4,MATCH(F220,Dim_Product!$A$2:$A$4,0))-INDEX(Dim_Product!$L$2:$L$4,MATCH(F220,Dim_Product!$A$2:$A$4,0)),S220&lt;=INDEX(Dim_Product!$K$2:$K$4,MATCH(F220,Dim_Product!$A$2:$A$4,0))+INDEX(Dim_Product!$L$2:$L$4,MATCH(F220,Dim_Product!$A$2:$A$4,0))),G220-H220,G220-H220-1)</f>
        <v>46</v>
      </c>
      <c r="U220" s="4">
        <f t="shared" si="29"/>
        <v>2</v>
      </c>
      <c r="V220" s="4">
        <f t="shared" si="30"/>
        <v>4.1666666666666664E-2</v>
      </c>
      <c r="W220" s="16">
        <f t="shared" si="31"/>
        <v>0.95833333333333337</v>
      </c>
    </row>
    <row r="221" spans="1:23" x14ac:dyDescent="0.25">
      <c r="A221" s="15" t="s">
        <v>722</v>
      </c>
      <c r="B221" s="4">
        <f>Fact_Production_Hourly!B221</f>
        <v>20260702</v>
      </c>
      <c r="C221" s="4">
        <f>Fact_Production_Hourly!C221</f>
        <v>7</v>
      </c>
      <c r="D221" s="4" t="str">
        <f>Fact_Production_Hourly!D221</f>
        <v>M3</v>
      </c>
      <c r="E221" s="4" t="str">
        <f>Fact_Production_Hourly!E221</f>
        <v>A-AM</v>
      </c>
      <c r="F221" s="4" t="str">
        <f>Fact_Production_Hourly!F221</f>
        <v>A</v>
      </c>
      <c r="G221" s="4">
        <f>INDEX(Dim_Machine!$D$2:$D$8,MATCH(D221,Dim_Machine!$A$2:$A$8,0))*2</f>
        <v>24</v>
      </c>
      <c r="H221" s="4">
        <f>ROUND(G221*0.0455,0)</f>
        <v>1</v>
      </c>
      <c r="I221" s="4">
        <f t="shared" si="24"/>
        <v>0</v>
      </c>
      <c r="J221" s="4">
        <f t="shared" si="25"/>
        <v>0</v>
      </c>
      <c r="K221" s="4">
        <f t="shared" si="26"/>
        <v>1</v>
      </c>
      <c r="L221" s="4" t="s">
        <v>503</v>
      </c>
      <c r="M221" s="4">
        <f>INDEX(Dim_Product!$C$2:$C$4,MATCH(F221,Dim_Product!$A$2:$A$4,0))+-0.99</f>
        <v>249.01</v>
      </c>
      <c r="N221" s="4">
        <f>IF(AND(M221&gt;=INDEX(Dim_Product!$C$2:$C$4,MATCH(F221,Dim_Product!$A$2:$A$4,0))-INDEX(Dim_Product!$D$2:$D$4,MATCH(F221,Dim_Product!$A$2:$A$4,0)),M221&lt;=INDEX(Dim_Product!$C$2:$C$4,MATCH(F221,Dim_Product!$A$2:$A$4,0))+INDEX(Dim_Product!$D$2:$D$4,MATCH(F221,Dim_Product!$A$2:$A$4,0))),G221-H221,G221-H221-1)</f>
        <v>23</v>
      </c>
      <c r="O221" s="4">
        <f t="shared" si="27"/>
        <v>1</v>
      </c>
      <c r="P221" s="4">
        <f>INDEX(Dim_Product!$G$2:$G$4,MATCH(F221,Dim_Product!$A$2:$A$4,0))+-0.17</f>
        <v>69.83</v>
      </c>
      <c r="Q221" s="4">
        <f>IF(AND(P221&gt;=INDEX(Dim_Product!$G$2:$G$4,MATCH(F221,Dim_Product!$A$2:$A$4,0))-INDEX(Dim_Product!$H$2:$H$4,MATCH(F221,Dim_Product!$A$2:$A$4,0)),P221&lt;=INDEX(Dim_Product!$G$2:$G$4,MATCH(F221,Dim_Product!$A$2:$A$4,0))+INDEX(Dim_Product!$H$2:$H$4,MATCH(F221,Dim_Product!$A$2:$A$4,0))),G221-H221,G221-H221-1)</f>
        <v>23</v>
      </c>
      <c r="R221" s="4">
        <f t="shared" si="28"/>
        <v>1</v>
      </c>
      <c r="S221" s="4">
        <f>INDEX(Dim_Product!$K$2:$K$4,MATCH(F221,Dim_Product!$A$2:$A$4,0))+-0.18</f>
        <v>119.82</v>
      </c>
      <c r="T221" s="4">
        <f>IF(AND(S221&gt;=INDEX(Dim_Product!$K$2:$K$4,MATCH(F221,Dim_Product!$A$2:$A$4,0))-INDEX(Dim_Product!$L$2:$L$4,MATCH(F221,Dim_Product!$A$2:$A$4,0)),S221&lt;=INDEX(Dim_Product!$K$2:$K$4,MATCH(F221,Dim_Product!$A$2:$A$4,0))+INDEX(Dim_Product!$L$2:$L$4,MATCH(F221,Dim_Product!$A$2:$A$4,0))),G221-H221,G221-H221-1)</f>
        <v>23</v>
      </c>
      <c r="U221" s="4">
        <f t="shared" si="29"/>
        <v>1</v>
      </c>
      <c r="V221" s="4">
        <f t="shared" si="30"/>
        <v>4.1666666666666664E-2</v>
      </c>
      <c r="W221" s="16">
        <f t="shared" si="31"/>
        <v>0.95833333333333337</v>
      </c>
    </row>
    <row r="222" spans="1:23" x14ac:dyDescent="0.25">
      <c r="A222" s="15" t="s">
        <v>723</v>
      </c>
      <c r="B222" s="4">
        <f>Fact_Production_Hourly!B222</f>
        <v>20260702</v>
      </c>
      <c r="C222" s="4">
        <f>Fact_Production_Hourly!C222</f>
        <v>7</v>
      </c>
      <c r="D222" s="4" t="str">
        <f>Fact_Production_Hourly!D222</f>
        <v>M4</v>
      </c>
      <c r="E222" s="4" t="str">
        <f>Fact_Production_Hourly!E222</f>
        <v>A-AM</v>
      </c>
      <c r="F222" s="4" t="str">
        <f>Fact_Production_Hourly!F222</f>
        <v>A</v>
      </c>
      <c r="G222" s="4">
        <f>INDEX(Dim_Machine!$D$2:$D$8,MATCH(D222,Dim_Machine!$A$2:$A$8,0))*2</f>
        <v>48</v>
      </c>
      <c r="H222" s="4">
        <f>ROUND(G222*0.0522,0)</f>
        <v>3</v>
      </c>
      <c r="I222" s="4">
        <f t="shared" si="24"/>
        <v>0</v>
      </c>
      <c r="J222" s="4">
        <f t="shared" si="25"/>
        <v>1</v>
      </c>
      <c r="K222" s="4">
        <f t="shared" si="26"/>
        <v>2</v>
      </c>
      <c r="L222" s="4" t="s">
        <v>498</v>
      </c>
      <c r="M222" s="4">
        <f>INDEX(Dim_Product!$C$2:$C$4,MATCH(F222,Dim_Product!$A$2:$A$4,0))+0.15</f>
        <v>250.15</v>
      </c>
      <c r="N222" s="4">
        <f>IF(AND(M222&gt;=INDEX(Dim_Product!$C$2:$C$4,MATCH(F222,Dim_Product!$A$2:$A$4,0))-INDEX(Dim_Product!$D$2:$D$4,MATCH(F222,Dim_Product!$A$2:$A$4,0)),M222&lt;=INDEX(Dim_Product!$C$2:$C$4,MATCH(F222,Dim_Product!$A$2:$A$4,0))+INDEX(Dim_Product!$D$2:$D$4,MATCH(F222,Dim_Product!$A$2:$A$4,0))),G222-H222,G222-H222-1)</f>
        <v>45</v>
      </c>
      <c r="O222" s="4">
        <f t="shared" si="27"/>
        <v>3</v>
      </c>
      <c r="P222" s="4">
        <f>INDEX(Dim_Product!$G$2:$G$4,MATCH(F222,Dim_Product!$A$2:$A$4,0))+0.18</f>
        <v>70.180000000000007</v>
      </c>
      <c r="Q222" s="4">
        <f>IF(AND(P222&gt;=INDEX(Dim_Product!$G$2:$G$4,MATCH(F222,Dim_Product!$A$2:$A$4,0))-INDEX(Dim_Product!$H$2:$H$4,MATCH(F222,Dim_Product!$A$2:$A$4,0)),P222&lt;=INDEX(Dim_Product!$G$2:$G$4,MATCH(F222,Dim_Product!$A$2:$A$4,0))+INDEX(Dim_Product!$H$2:$H$4,MATCH(F222,Dim_Product!$A$2:$A$4,0))),G222-H222,G222-H222-1)</f>
        <v>45</v>
      </c>
      <c r="R222" s="4">
        <f t="shared" si="28"/>
        <v>3</v>
      </c>
      <c r="S222" s="4">
        <f>INDEX(Dim_Product!$K$2:$K$4,MATCH(F222,Dim_Product!$A$2:$A$4,0))+0.03</f>
        <v>120.03</v>
      </c>
      <c r="T222" s="4">
        <f>IF(AND(S222&gt;=INDEX(Dim_Product!$K$2:$K$4,MATCH(F222,Dim_Product!$A$2:$A$4,0))-INDEX(Dim_Product!$L$2:$L$4,MATCH(F222,Dim_Product!$A$2:$A$4,0)),S222&lt;=INDEX(Dim_Product!$K$2:$K$4,MATCH(F222,Dim_Product!$A$2:$A$4,0))+INDEX(Dim_Product!$L$2:$L$4,MATCH(F222,Dim_Product!$A$2:$A$4,0))),G222-H222,G222-H222-1)</f>
        <v>45</v>
      </c>
      <c r="U222" s="4">
        <f t="shared" si="29"/>
        <v>3</v>
      </c>
      <c r="V222" s="4">
        <f t="shared" si="30"/>
        <v>6.25E-2</v>
      </c>
      <c r="W222" s="16">
        <f t="shared" si="31"/>
        <v>0.9375</v>
      </c>
    </row>
    <row r="223" spans="1:23" x14ac:dyDescent="0.25">
      <c r="A223" s="15" t="s">
        <v>724</v>
      </c>
      <c r="B223" s="4">
        <f>Fact_Production_Hourly!B223</f>
        <v>20260702</v>
      </c>
      <c r="C223" s="4">
        <f>Fact_Production_Hourly!C223</f>
        <v>7</v>
      </c>
      <c r="D223" s="4" t="str">
        <f>Fact_Production_Hourly!D223</f>
        <v>M5</v>
      </c>
      <c r="E223" s="4" t="str">
        <f>Fact_Production_Hourly!E223</f>
        <v>A-AM</v>
      </c>
      <c r="F223" s="4" t="str">
        <f>Fact_Production_Hourly!F223</f>
        <v>C</v>
      </c>
      <c r="G223" s="4">
        <f>INDEX(Dim_Machine!$D$2:$D$8,MATCH(D223,Dim_Machine!$A$2:$A$8,0))*2</f>
        <v>32</v>
      </c>
      <c r="H223" s="4">
        <f>ROUND(G223*0.0319,0)</f>
        <v>1</v>
      </c>
      <c r="I223" s="4">
        <f t="shared" si="24"/>
        <v>0</v>
      </c>
      <c r="J223" s="4">
        <f t="shared" si="25"/>
        <v>0</v>
      </c>
      <c r="K223" s="4">
        <f t="shared" si="26"/>
        <v>1</v>
      </c>
      <c r="L223" s="4" t="s">
        <v>500</v>
      </c>
      <c r="M223" s="4">
        <f>INDEX(Dim_Product!$C$2:$C$4,MATCH(F223,Dim_Product!$A$2:$A$4,0))+-0.08</f>
        <v>199.92</v>
      </c>
      <c r="N223" s="4">
        <f>IF(AND(M223&gt;=INDEX(Dim_Product!$C$2:$C$4,MATCH(F223,Dim_Product!$A$2:$A$4,0))-INDEX(Dim_Product!$D$2:$D$4,MATCH(F223,Dim_Product!$A$2:$A$4,0)),M223&lt;=INDEX(Dim_Product!$C$2:$C$4,MATCH(F223,Dim_Product!$A$2:$A$4,0))+INDEX(Dim_Product!$D$2:$D$4,MATCH(F223,Dim_Product!$A$2:$A$4,0))),G223-H223,G223-H223-1)</f>
        <v>31</v>
      </c>
      <c r="O223" s="4">
        <f t="shared" si="27"/>
        <v>1</v>
      </c>
      <c r="P223" s="4">
        <f>INDEX(Dim_Product!$G$2:$G$4,MATCH(F223,Dim_Product!$A$2:$A$4,0))+-0.14</f>
        <v>64.86</v>
      </c>
      <c r="Q223" s="4">
        <f>IF(AND(P223&gt;=INDEX(Dim_Product!$G$2:$G$4,MATCH(F223,Dim_Product!$A$2:$A$4,0))-INDEX(Dim_Product!$H$2:$H$4,MATCH(F223,Dim_Product!$A$2:$A$4,0)),P223&lt;=INDEX(Dim_Product!$G$2:$G$4,MATCH(F223,Dim_Product!$A$2:$A$4,0))+INDEX(Dim_Product!$H$2:$H$4,MATCH(F223,Dim_Product!$A$2:$A$4,0))),G223-H223,G223-H223-1)</f>
        <v>31</v>
      </c>
      <c r="R223" s="4">
        <f t="shared" si="28"/>
        <v>1</v>
      </c>
      <c r="S223" s="4">
        <f>INDEX(Dim_Product!$K$2:$K$4,MATCH(F223,Dim_Product!$A$2:$A$4,0))+0.29</f>
        <v>110.29</v>
      </c>
      <c r="T223" s="4">
        <f>IF(AND(S223&gt;=INDEX(Dim_Product!$K$2:$K$4,MATCH(F223,Dim_Product!$A$2:$A$4,0))-INDEX(Dim_Product!$L$2:$L$4,MATCH(F223,Dim_Product!$A$2:$A$4,0)),S223&lt;=INDEX(Dim_Product!$K$2:$K$4,MATCH(F223,Dim_Product!$A$2:$A$4,0))+INDEX(Dim_Product!$L$2:$L$4,MATCH(F223,Dim_Product!$A$2:$A$4,0))),G223-H223,G223-H223-1)</f>
        <v>31</v>
      </c>
      <c r="U223" s="4">
        <f t="shared" si="29"/>
        <v>1</v>
      </c>
      <c r="V223" s="4">
        <f t="shared" si="30"/>
        <v>3.125E-2</v>
      </c>
      <c r="W223" s="16">
        <f t="shared" si="31"/>
        <v>0.96875</v>
      </c>
    </row>
    <row r="224" spans="1:23" x14ac:dyDescent="0.25">
      <c r="A224" s="15" t="s">
        <v>725</v>
      </c>
      <c r="B224" s="4">
        <f>Fact_Production_Hourly!B224</f>
        <v>20260702</v>
      </c>
      <c r="C224" s="4">
        <f>Fact_Production_Hourly!C224</f>
        <v>7</v>
      </c>
      <c r="D224" s="4" t="str">
        <f>Fact_Production_Hourly!D224</f>
        <v>M6</v>
      </c>
      <c r="E224" s="4" t="str">
        <f>Fact_Production_Hourly!E224</f>
        <v>A-AM</v>
      </c>
      <c r="F224" s="4" t="str">
        <f>Fact_Production_Hourly!F224</f>
        <v>C</v>
      </c>
      <c r="G224" s="4">
        <f>INDEX(Dim_Machine!$D$2:$D$8,MATCH(D224,Dim_Machine!$A$2:$A$8,0))*2</f>
        <v>24</v>
      </c>
      <c r="H224" s="4">
        <f>ROUND(G224*0.0417,0)</f>
        <v>1</v>
      </c>
      <c r="I224" s="4">
        <f t="shared" si="24"/>
        <v>0</v>
      </c>
      <c r="J224" s="4">
        <f t="shared" si="25"/>
        <v>0</v>
      </c>
      <c r="K224" s="4">
        <f t="shared" si="26"/>
        <v>1</v>
      </c>
      <c r="L224" s="4" t="s">
        <v>520</v>
      </c>
      <c r="M224" s="4">
        <f>INDEX(Dim_Product!$C$2:$C$4,MATCH(F224,Dim_Product!$A$2:$A$4,0))+-0.37</f>
        <v>199.63</v>
      </c>
      <c r="N224" s="4">
        <f>IF(AND(M224&gt;=INDEX(Dim_Product!$C$2:$C$4,MATCH(F224,Dim_Product!$A$2:$A$4,0))-INDEX(Dim_Product!$D$2:$D$4,MATCH(F224,Dim_Product!$A$2:$A$4,0)),M224&lt;=INDEX(Dim_Product!$C$2:$C$4,MATCH(F224,Dim_Product!$A$2:$A$4,0))+INDEX(Dim_Product!$D$2:$D$4,MATCH(F224,Dim_Product!$A$2:$A$4,0))),G224-H224,G224-H224-1)</f>
        <v>23</v>
      </c>
      <c r="O224" s="4">
        <f t="shared" si="27"/>
        <v>1</v>
      </c>
      <c r="P224" s="4">
        <f>INDEX(Dim_Product!$G$2:$G$4,MATCH(F224,Dim_Product!$A$2:$A$4,0))+-0.07</f>
        <v>64.930000000000007</v>
      </c>
      <c r="Q224" s="4">
        <f>IF(AND(P224&gt;=INDEX(Dim_Product!$G$2:$G$4,MATCH(F224,Dim_Product!$A$2:$A$4,0))-INDEX(Dim_Product!$H$2:$H$4,MATCH(F224,Dim_Product!$A$2:$A$4,0)),P224&lt;=INDEX(Dim_Product!$G$2:$G$4,MATCH(F224,Dim_Product!$A$2:$A$4,0))+INDEX(Dim_Product!$H$2:$H$4,MATCH(F224,Dim_Product!$A$2:$A$4,0))),G224-H224,G224-H224-1)</f>
        <v>23</v>
      </c>
      <c r="R224" s="4">
        <f t="shared" si="28"/>
        <v>1</v>
      </c>
      <c r="S224" s="4">
        <f>INDEX(Dim_Product!$K$2:$K$4,MATCH(F224,Dim_Product!$A$2:$A$4,0))+-0.09</f>
        <v>109.91</v>
      </c>
      <c r="T224" s="4">
        <f>IF(AND(S224&gt;=INDEX(Dim_Product!$K$2:$K$4,MATCH(F224,Dim_Product!$A$2:$A$4,0))-INDEX(Dim_Product!$L$2:$L$4,MATCH(F224,Dim_Product!$A$2:$A$4,0)),S224&lt;=INDEX(Dim_Product!$K$2:$K$4,MATCH(F224,Dim_Product!$A$2:$A$4,0))+INDEX(Dim_Product!$L$2:$L$4,MATCH(F224,Dim_Product!$A$2:$A$4,0))),G224-H224,G224-H224-1)</f>
        <v>23</v>
      </c>
      <c r="U224" s="4">
        <f t="shared" si="29"/>
        <v>1</v>
      </c>
      <c r="V224" s="4">
        <f t="shared" si="30"/>
        <v>4.1666666666666664E-2</v>
      </c>
      <c r="W224" s="16">
        <f t="shared" si="31"/>
        <v>0.95833333333333337</v>
      </c>
    </row>
    <row r="225" spans="1:23" x14ac:dyDescent="0.25">
      <c r="A225" s="15" t="s">
        <v>726</v>
      </c>
      <c r="B225" s="4">
        <f>Fact_Production_Hourly!B225</f>
        <v>20260702</v>
      </c>
      <c r="C225" s="4">
        <f>Fact_Production_Hourly!C225</f>
        <v>7</v>
      </c>
      <c r="D225" s="4" t="str">
        <f>Fact_Production_Hourly!D225</f>
        <v>M7</v>
      </c>
      <c r="E225" s="4" t="str">
        <f>Fact_Production_Hourly!E225</f>
        <v>A-AM</v>
      </c>
      <c r="F225" s="4" t="str">
        <f>Fact_Production_Hourly!F225</f>
        <v>C</v>
      </c>
      <c r="G225" s="4">
        <f>INDEX(Dim_Machine!$D$2:$D$8,MATCH(D225,Dim_Machine!$A$2:$A$8,0))*2</f>
        <v>48</v>
      </c>
      <c r="H225" s="4">
        <f>ROUND(G225*0.0169,0)</f>
        <v>1</v>
      </c>
      <c r="I225" s="4">
        <f t="shared" si="24"/>
        <v>0</v>
      </c>
      <c r="J225" s="4">
        <f t="shared" si="25"/>
        <v>0</v>
      </c>
      <c r="K225" s="4">
        <f t="shared" si="26"/>
        <v>1</v>
      </c>
      <c r="L225" s="4" t="s">
        <v>517</v>
      </c>
      <c r="M225" s="4">
        <f>INDEX(Dim_Product!$C$2:$C$4,MATCH(F225,Dim_Product!$A$2:$A$4,0))+0.69</f>
        <v>200.69</v>
      </c>
      <c r="N225" s="4">
        <f>IF(AND(M225&gt;=INDEX(Dim_Product!$C$2:$C$4,MATCH(F225,Dim_Product!$A$2:$A$4,0))-INDEX(Dim_Product!$D$2:$D$4,MATCH(F225,Dim_Product!$A$2:$A$4,0)),M225&lt;=INDEX(Dim_Product!$C$2:$C$4,MATCH(F225,Dim_Product!$A$2:$A$4,0))+INDEX(Dim_Product!$D$2:$D$4,MATCH(F225,Dim_Product!$A$2:$A$4,0))),G225-H225,G225-H225-1)</f>
        <v>47</v>
      </c>
      <c r="O225" s="4">
        <f t="shared" si="27"/>
        <v>1</v>
      </c>
      <c r="P225" s="4">
        <f>INDEX(Dim_Product!$G$2:$G$4,MATCH(F225,Dim_Product!$A$2:$A$4,0))+0.07</f>
        <v>65.069999999999993</v>
      </c>
      <c r="Q225" s="4">
        <f>IF(AND(P225&gt;=INDEX(Dim_Product!$G$2:$G$4,MATCH(F225,Dim_Product!$A$2:$A$4,0))-INDEX(Dim_Product!$H$2:$H$4,MATCH(F225,Dim_Product!$A$2:$A$4,0)),P225&lt;=INDEX(Dim_Product!$G$2:$G$4,MATCH(F225,Dim_Product!$A$2:$A$4,0))+INDEX(Dim_Product!$H$2:$H$4,MATCH(F225,Dim_Product!$A$2:$A$4,0))),G225-H225,G225-H225-1)</f>
        <v>47</v>
      </c>
      <c r="R225" s="4">
        <f t="shared" si="28"/>
        <v>1</v>
      </c>
      <c r="S225" s="4">
        <f>INDEX(Dim_Product!$K$2:$K$4,MATCH(F225,Dim_Product!$A$2:$A$4,0))+0.25</f>
        <v>110.25</v>
      </c>
      <c r="T225" s="4">
        <f>IF(AND(S225&gt;=INDEX(Dim_Product!$K$2:$K$4,MATCH(F225,Dim_Product!$A$2:$A$4,0))-INDEX(Dim_Product!$L$2:$L$4,MATCH(F225,Dim_Product!$A$2:$A$4,0)),S225&lt;=INDEX(Dim_Product!$K$2:$K$4,MATCH(F225,Dim_Product!$A$2:$A$4,0))+INDEX(Dim_Product!$L$2:$L$4,MATCH(F225,Dim_Product!$A$2:$A$4,0))),G225-H225,G225-H225-1)</f>
        <v>47</v>
      </c>
      <c r="U225" s="4">
        <f t="shared" si="29"/>
        <v>1</v>
      </c>
      <c r="V225" s="4">
        <f t="shared" si="30"/>
        <v>2.0833333333333332E-2</v>
      </c>
      <c r="W225" s="16">
        <f t="shared" si="31"/>
        <v>0.97916666666666663</v>
      </c>
    </row>
    <row r="226" spans="1:23" x14ac:dyDescent="0.25">
      <c r="A226" s="15" t="s">
        <v>727</v>
      </c>
      <c r="B226" s="4">
        <f>Fact_Production_Hourly!B226</f>
        <v>20260702</v>
      </c>
      <c r="C226" s="4">
        <f>Fact_Production_Hourly!C226</f>
        <v>8</v>
      </c>
      <c r="D226" s="4" t="str">
        <f>Fact_Production_Hourly!D226</f>
        <v>M1</v>
      </c>
      <c r="E226" s="4" t="str">
        <f>Fact_Production_Hourly!E226</f>
        <v>A-AM</v>
      </c>
      <c r="F226" s="4" t="str">
        <f>Fact_Production_Hourly!F226</f>
        <v>C</v>
      </c>
      <c r="G226" s="4">
        <f>INDEX(Dim_Machine!$D$2:$D$8,MATCH(D226,Dim_Machine!$A$2:$A$8,0))*2</f>
        <v>32</v>
      </c>
      <c r="H226" s="4">
        <f>ROUND(G226*0.0524,0)</f>
        <v>2</v>
      </c>
      <c r="I226" s="4">
        <f t="shared" si="24"/>
        <v>0</v>
      </c>
      <c r="J226" s="4">
        <f t="shared" si="25"/>
        <v>1</v>
      </c>
      <c r="K226" s="4">
        <f t="shared" si="26"/>
        <v>1</v>
      </c>
      <c r="L226" s="4" t="s">
        <v>517</v>
      </c>
      <c r="M226" s="4">
        <f>INDEX(Dim_Product!$C$2:$C$4,MATCH(F226,Dim_Product!$A$2:$A$4,0))+0.84</f>
        <v>200.84</v>
      </c>
      <c r="N226" s="4">
        <f>IF(AND(M226&gt;=INDEX(Dim_Product!$C$2:$C$4,MATCH(F226,Dim_Product!$A$2:$A$4,0))-INDEX(Dim_Product!$D$2:$D$4,MATCH(F226,Dim_Product!$A$2:$A$4,0)),M226&lt;=INDEX(Dim_Product!$C$2:$C$4,MATCH(F226,Dim_Product!$A$2:$A$4,0))+INDEX(Dim_Product!$D$2:$D$4,MATCH(F226,Dim_Product!$A$2:$A$4,0))),G226-H226,G226-H226-1)</f>
        <v>30</v>
      </c>
      <c r="O226" s="4">
        <f t="shared" si="27"/>
        <v>2</v>
      </c>
      <c r="P226" s="4">
        <f>INDEX(Dim_Product!$G$2:$G$4,MATCH(F226,Dim_Product!$A$2:$A$4,0))+0.05</f>
        <v>65.05</v>
      </c>
      <c r="Q226" s="4">
        <f>IF(AND(P226&gt;=INDEX(Dim_Product!$G$2:$G$4,MATCH(F226,Dim_Product!$A$2:$A$4,0))-INDEX(Dim_Product!$H$2:$H$4,MATCH(F226,Dim_Product!$A$2:$A$4,0)),P226&lt;=INDEX(Dim_Product!$G$2:$G$4,MATCH(F226,Dim_Product!$A$2:$A$4,0))+INDEX(Dim_Product!$H$2:$H$4,MATCH(F226,Dim_Product!$A$2:$A$4,0))),G226-H226,G226-H226-1)</f>
        <v>30</v>
      </c>
      <c r="R226" s="4">
        <f t="shared" si="28"/>
        <v>2</v>
      </c>
      <c r="S226" s="4">
        <f>INDEX(Dim_Product!$K$2:$K$4,MATCH(F226,Dim_Product!$A$2:$A$4,0))+0.14</f>
        <v>110.14</v>
      </c>
      <c r="T226" s="4">
        <f>IF(AND(S226&gt;=INDEX(Dim_Product!$K$2:$K$4,MATCH(F226,Dim_Product!$A$2:$A$4,0))-INDEX(Dim_Product!$L$2:$L$4,MATCH(F226,Dim_Product!$A$2:$A$4,0)),S226&lt;=INDEX(Dim_Product!$K$2:$K$4,MATCH(F226,Dim_Product!$A$2:$A$4,0))+INDEX(Dim_Product!$L$2:$L$4,MATCH(F226,Dim_Product!$A$2:$A$4,0))),G226-H226,G226-H226-1)</f>
        <v>30</v>
      </c>
      <c r="U226" s="4">
        <f t="shared" si="29"/>
        <v>2</v>
      </c>
      <c r="V226" s="4">
        <f t="shared" si="30"/>
        <v>6.25E-2</v>
      </c>
      <c r="W226" s="16">
        <f t="shared" si="31"/>
        <v>0.9375</v>
      </c>
    </row>
    <row r="227" spans="1:23" x14ac:dyDescent="0.25">
      <c r="A227" s="15" t="s">
        <v>728</v>
      </c>
      <c r="B227" s="4">
        <f>Fact_Production_Hourly!B227</f>
        <v>20260702</v>
      </c>
      <c r="C227" s="4">
        <f>Fact_Production_Hourly!C227</f>
        <v>8</v>
      </c>
      <c r="D227" s="4" t="str">
        <f>Fact_Production_Hourly!D227</f>
        <v>M2</v>
      </c>
      <c r="E227" s="4" t="str">
        <f>Fact_Production_Hourly!E227</f>
        <v>A-AM</v>
      </c>
      <c r="F227" s="4" t="str">
        <f>Fact_Production_Hourly!F227</f>
        <v>A</v>
      </c>
      <c r="G227" s="4">
        <f>INDEX(Dim_Machine!$D$2:$D$8,MATCH(D227,Dim_Machine!$A$2:$A$8,0))*2</f>
        <v>48</v>
      </c>
      <c r="H227" s="4">
        <f>ROUND(G227*0.0288,0)</f>
        <v>1</v>
      </c>
      <c r="I227" s="4">
        <f t="shared" si="24"/>
        <v>0</v>
      </c>
      <c r="J227" s="4">
        <f t="shared" si="25"/>
        <v>0</v>
      </c>
      <c r="K227" s="4">
        <f t="shared" si="26"/>
        <v>1</v>
      </c>
      <c r="L227" s="4" t="s">
        <v>500</v>
      </c>
      <c r="M227" s="4">
        <f>INDEX(Dim_Product!$C$2:$C$4,MATCH(F227,Dim_Product!$A$2:$A$4,0))+-0.39</f>
        <v>249.61</v>
      </c>
      <c r="N227" s="4">
        <f>IF(AND(M227&gt;=INDEX(Dim_Product!$C$2:$C$4,MATCH(F227,Dim_Product!$A$2:$A$4,0))-INDEX(Dim_Product!$D$2:$D$4,MATCH(F227,Dim_Product!$A$2:$A$4,0)),M227&lt;=INDEX(Dim_Product!$C$2:$C$4,MATCH(F227,Dim_Product!$A$2:$A$4,0))+INDEX(Dim_Product!$D$2:$D$4,MATCH(F227,Dim_Product!$A$2:$A$4,0))),G227-H227,G227-H227-1)</f>
        <v>47</v>
      </c>
      <c r="O227" s="4">
        <f t="shared" si="27"/>
        <v>1</v>
      </c>
      <c r="P227" s="4">
        <f>INDEX(Dim_Product!$G$2:$G$4,MATCH(F227,Dim_Product!$A$2:$A$4,0))+-0.19</f>
        <v>69.81</v>
      </c>
      <c r="Q227" s="4">
        <f>IF(AND(P227&gt;=INDEX(Dim_Product!$G$2:$G$4,MATCH(F227,Dim_Product!$A$2:$A$4,0))-INDEX(Dim_Product!$H$2:$H$4,MATCH(F227,Dim_Product!$A$2:$A$4,0)),P227&lt;=INDEX(Dim_Product!$G$2:$G$4,MATCH(F227,Dim_Product!$A$2:$A$4,0))+INDEX(Dim_Product!$H$2:$H$4,MATCH(F227,Dim_Product!$A$2:$A$4,0))),G227-H227,G227-H227-1)</f>
        <v>47</v>
      </c>
      <c r="R227" s="4">
        <f t="shared" si="28"/>
        <v>1</v>
      </c>
      <c r="S227" s="4">
        <f>INDEX(Dim_Product!$K$2:$K$4,MATCH(F227,Dim_Product!$A$2:$A$4,0))+0.15</f>
        <v>120.15</v>
      </c>
      <c r="T227" s="4">
        <f>IF(AND(S227&gt;=INDEX(Dim_Product!$K$2:$K$4,MATCH(F227,Dim_Product!$A$2:$A$4,0))-INDEX(Dim_Product!$L$2:$L$4,MATCH(F227,Dim_Product!$A$2:$A$4,0)),S227&lt;=INDEX(Dim_Product!$K$2:$K$4,MATCH(F227,Dim_Product!$A$2:$A$4,0))+INDEX(Dim_Product!$L$2:$L$4,MATCH(F227,Dim_Product!$A$2:$A$4,0))),G227-H227,G227-H227-1)</f>
        <v>47</v>
      </c>
      <c r="U227" s="4">
        <f t="shared" si="29"/>
        <v>1</v>
      </c>
      <c r="V227" s="4">
        <f t="shared" si="30"/>
        <v>2.0833333333333332E-2</v>
      </c>
      <c r="W227" s="16">
        <f t="shared" si="31"/>
        <v>0.97916666666666663</v>
      </c>
    </row>
    <row r="228" spans="1:23" x14ac:dyDescent="0.25">
      <c r="A228" s="15" t="s">
        <v>729</v>
      </c>
      <c r="B228" s="4">
        <f>Fact_Production_Hourly!B228</f>
        <v>20260702</v>
      </c>
      <c r="C228" s="4">
        <f>Fact_Production_Hourly!C228</f>
        <v>8</v>
      </c>
      <c r="D228" s="4" t="str">
        <f>Fact_Production_Hourly!D228</f>
        <v>M3</v>
      </c>
      <c r="E228" s="4" t="str">
        <f>Fact_Production_Hourly!E228</f>
        <v>A-AM</v>
      </c>
      <c r="F228" s="4" t="str">
        <f>Fact_Production_Hourly!F228</f>
        <v>A</v>
      </c>
      <c r="G228" s="4">
        <f>INDEX(Dim_Machine!$D$2:$D$8,MATCH(D228,Dim_Machine!$A$2:$A$8,0))*2</f>
        <v>24</v>
      </c>
      <c r="H228" s="4">
        <f>ROUND(G228*0.0406,0)</f>
        <v>1</v>
      </c>
      <c r="I228" s="4">
        <f t="shared" si="24"/>
        <v>0</v>
      </c>
      <c r="J228" s="4">
        <f t="shared" si="25"/>
        <v>0</v>
      </c>
      <c r="K228" s="4">
        <f t="shared" si="26"/>
        <v>1</v>
      </c>
      <c r="L228" s="4" t="s">
        <v>503</v>
      </c>
      <c r="M228" s="4">
        <f>INDEX(Dim_Product!$C$2:$C$4,MATCH(F228,Dim_Product!$A$2:$A$4,0))+0.19</f>
        <v>250.19</v>
      </c>
      <c r="N228" s="4">
        <f>IF(AND(M228&gt;=INDEX(Dim_Product!$C$2:$C$4,MATCH(F228,Dim_Product!$A$2:$A$4,0))-INDEX(Dim_Product!$D$2:$D$4,MATCH(F228,Dim_Product!$A$2:$A$4,0)),M228&lt;=INDEX(Dim_Product!$C$2:$C$4,MATCH(F228,Dim_Product!$A$2:$A$4,0))+INDEX(Dim_Product!$D$2:$D$4,MATCH(F228,Dim_Product!$A$2:$A$4,0))),G228-H228,G228-H228-1)</f>
        <v>23</v>
      </c>
      <c r="O228" s="4">
        <f t="shared" si="27"/>
        <v>1</v>
      </c>
      <c r="P228" s="4">
        <f>INDEX(Dim_Product!$G$2:$G$4,MATCH(F228,Dim_Product!$A$2:$A$4,0))+0.04</f>
        <v>70.040000000000006</v>
      </c>
      <c r="Q228" s="4">
        <f>IF(AND(P228&gt;=INDEX(Dim_Product!$G$2:$G$4,MATCH(F228,Dim_Product!$A$2:$A$4,0))-INDEX(Dim_Product!$H$2:$H$4,MATCH(F228,Dim_Product!$A$2:$A$4,0)),P228&lt;=INDEX(Dim_Product!$G$2:$G$4,MATCH(F228,Dim_Product!$A$2:$A$4,0))+INDEX(Dim_Product!$H$2:$H$4,MATCH(F228,Dim_Product!$A$2:$A$4,0))),G228-H228,G228-H228-1)</f>
        <v>23</v>
      </c>
      <c r="R228" s="4">
        <f t="shared" si="28"/>
        <v>1</v>
      </c>
      <c r="S228" s="4">
        <f>INDEX(Dim_Product!$K$2:$K$4,MATCH(F228,Dim_Product!$A$2:$A$4,0))+-0.06</f>
        <v>119.94</v>
      </c>
      <c r="T228" s="4">
        <f>IF(AND(S228&gt;=INDEX(Dim_Product!$K$2:$K$4,MATCH(F228,Dim_Product!$A$2:$A$4,0))-INDEX(Dim_Product!$L$2:$L$4,MATCH(F228,Dim_Product!$A$2:$A$4,0)),S228&lt;=INDEX(Dim_Product!$K$2:$K$4,MATCH(F228,Dim_Product!$A$2:$A$4,0))+INDEX(Dim_Product!$L$2:$L$4,MATCH(F228,Dim_Product!$A$2:$A$4,0))),G228-H228,G228-H228-1)</f>
        <v>23</v>
      </c>
      <c r="U228" s="4">
        <f t="shared" si="29"/>
        <v>1</v>
      </c>
      <c r="V228" s="4">
        <f t="shared" si="30"/>
        <v>4.1666666666666664E-2</v>
      </c>
      <c r="W228" s="16">
        <f t="shared" si="31"/>
        <v>0.95833333333333337</v>
      </c>
    </row>
    <row r="229" spans="1:23" x14ac:dyDescent="0.25">
      <c r="A229" s="15" t="s">
        <v>730</v>
      </c>
      <c r="B229" s="4">
        <f>Fact_Production_Hourly!B229</f>
        <v>20260702</v>
      </c>
      <c r="C229" s="4">
        <f>Fact_Production_Hourly!C229</f>
        <v>8</v>
      </c>
      <c r="D229" s="4" t="str">
        <f>Fact_Production_Hourly!D229</f>
        <v>M4</v>
      </c>
      <c r="E229" s="4" t="str">
        <f>Fact_Production_Hourly!E229</f>
        <v>A-AM</v>
      </c>
      <c r="F229" s="4" t="str">
        <f>Fact_Production_Hourly!F229</f>
        <v>A</v>
      </c>
      <c r="G229" s="4">
        <f>INDEX(Dim_Machine!$D$2:$D$8,MATCH(D229,Dim_Machine!$A$2:$A$8,0))*2</f>
        <v>48</v>
      </c>
      <c r="H229" s="4">
        <f>ROUND(G229*0.0392,0)</f>
        <v>2</v>
      </c>
      <c r="I229" s="4">
        <f t="shared" si="24"/>
        <v>0</v>
      </c>
      <c r="J229" s="4">
        <f t="shared" si="25"/>
        <v>1</v>
      </c>
      <c r="K229" s="4">
        <f t="shared" si="26"/>
        <v>1</v>
      </c>
      <c r="L229" s="4" t="s">
        <v>509</v>
      </c>
      <c r="M229" s="4">
        <f>INDEX(Dim_Product!$C$2:$C$4,MATCH(F229,Dim_Product!$A$2:$A$4,0))+0.39</f>
        <v>250.39</v>
      </c>
      <c r="N229" s="4">
        <f>IF(AND(M229&gt;=INDEX(Dim_Product!$C$2:$C$4,MATCH(F229,Dim_Product!$A$2:$A$4,0))-INDEX(Dim_Product!$D$2:$D$4,MATCH(F229,Dim_Product!$A$2:$A$4,0)),M229&lt;=INDEX(Dim_Product!$C$2:$C$4,MATCH(F229,Dim_Product!$A$2:$A$4,0))+INDEX(Dim_Product!$D$2:$D$4,MATCH(F229,Dim_Product!$A$2:$A$4,0))),G229-H229,G229-H229-1)</f>
        <v>46</v>
      </c>
      <c r="O229" s="4">
        <f t="shared" si="27"/>
        <v>2</v>
      </c>
      <c r="P229" s="4">
        <f>INDEX(Dim_Product!$G$2:$G$4,MATCH(F229,Dim_Product!$A$2:$A$4,0))+0.09</f>
        <v>70.09</v>
      </c>
      <c r="Q229" s="4">
        <f>IF(AND(P229&gt;=INDEX(Dim_Product!$G$2:$G$4,MATCH(F229,Dim_Product!$A$2:$A$4,0))-INDEX(Dim_Product!$H$2:$H$4,MATCH(F229,Dim_Product!$A$2:$A$4,0)),P229&lt;=INDEX(Dim_Product!$G$2:$G$4,MATCH(F229,Dim_Product!$A$2:$A$4,0))+INDEX(Dim_Product!$H$2:$H$4,MATCH(F229,Dim_Product!$A$2:$A$4,0))),G229-H229,G229-H229-1)</f>
        <v>46</v>
      </c>
      <c r="R229" s="4">
        <f t="shared" si="28"/>
        <v>2</v>
      </c>
      <c r="S229" s="4">
        <f>INDEX(Dim_Product!$K$2:$K$4,MATCH(F229,Dim_Product!$A$2:$A$4,0))+0.4</f>
        <v>120.4</v>
      </c>
      <c r="T229" s="4">
        <f>IF(AND(S229&gt;=INDEX(Dim_Product!$K$2:$K$4,MATCH(F229,Dim_Product!$A$2:$A$4,0))-INDEX(Dim_Product!$L$2:$L$4,MATCH(F229,Dim_Product!$A$2:$A$4,0)),S229&lt;=INDEX(Dim_Product!$K$2:$K$4,MATCH(F229,Dim_Product!$A$2:$A$4,0))+INDEX(Dim_Product!$L$2:$L$4,MATCH(F229,Dim_Product!$A$2:$A$4,0))),G229-H229,G229-H229-1)</f>
        <v>46</v>
      </c>
      <c r="U229" s="4">
        <f t="shared" si="29"/>
        <v>2</v>
      </c>
      <c r="V229" s="4">
        <f t="shared" si="30"/>
        <v>4.1666666666666664E-2</v>
      </c>
      <c r="W229" s="16">
        <f t="shared" si="31"/>
        <v>0.95833333333333337</v>
      </c>
    </row>
    <row r="230" spans="1:23" x14ac:dyDescent="0.25">
      <c r="A230" s="15" t="s">
        <v>731</v>
      </c>
      <c r="B230" s="4">
        <f>Fact_Production_Hourly!B230</f>
        <v>20260702</v>
      </c>
      <c r="C230" s="4">
        <f>Fact_Production_Hourly!C230</f>
        <v>8</v>
      </c>
      <c r="D230" s="4" t="str">
        <f>Fact_Production_Hourly!D230</f>
        <v>M5</v>
      </c>
      <c r="E230" s="4" t="str">
        <f>Fact_Production_Hourly!E230</f>
        <v>A-AM</v>
      </c>
      <c r="F230" s="4" t="str">
        <f>Fact_Production_Hourly!F230</f>
        <v>C</v>
      </c>
      <c r="G230" s="4">
        <f>INDEX(Dim_Machine!$D$2:$D$8,MATCH(D230,Dim_Machine!$A$2:$A$8,0))*2</f>
        <v>32</v>
      </c>
      <c r="H230" s="4">
        <f>ROUND(G230*0.0433,0)</f>
        <v>1</v>
      </c>
      <c r="I230" s="4">
        <f t="shared" si="24"/>
        <v>0</v>
      </c>
      <c r="J230" s="4">
        <f t="shared" si="25"/>
        <v>0</v>
      </c>
      <c r="K230" s="4">
        <f t="shared" si="26"/>
        <v>1</v>
      </c>
      <c r="L230" s="4" t="s">
        <v>503</v>
      </c>
      <c r="M230" s="4">
        <f>INDEX(Dim_Product!$C$2:$C$4,MATCH(F230,Dim_Product!$A$2:$A$4,0))+-0.42</f>
        <v>199.58</v>
      </c>
      <c r="N230" s="4">
        <f>IF(AND(M230&gt;=INDEX(Dim_Product!$C$2:$C$4,MATCH(F230,Dim_Product!$A$2:$A$4,0))-INDEX(Dim_Product!$D$2:$D$4,MATCH(F230,Dim_Product!$A$2:$A$4,0)),M230&lt;=INDEX(Dim_Product!$C$2:$C$4,MATCH(F230,Dim_Product!$A$2:$A$4,0))+INDEX(Dim_Product!$D$2:$D$4,MATCH(F230,Dim_Product!$A$2:$A$4,0))),G230-H230,G230-H230-1)</f>
        <v>31</v>
      </c>
      <c r="O230" s="4">
        <f t="shared" si="27"/>
        <v>1</v>
      </c>
      <c r="P230" s="4">
        <f>INDEX(Dim_Product!$G$2:$G$4,MATCH(F230,Dim_Product!$A$2:$A$4,0))+-0.19</f>
        <v>64.81</v>
      </c>
      <c r="Q230" s="4">
        <f>IF(AND(P230&gt;=INDEX(Dim_Product!$G$2:$G$4,MATCH(F230,Dim_Product!$A$2:$A$4,0))-INDEX(Dim_Product!$H$2:$H$4,MATCH(F230,Dim_Product!$A$2:$A$4,0)),P230&lt;=INDEX(Dim_Product!$G$2:$G$4,MATCH(F230,Dim_Product!$A$2:$A$4,0))+INDEX(Dim_Product!$H$2:$H$4,MATCH(F230,Dim_Product!$A$2:$A$4,0))),G230-H230,G230-H230-1)</f>
        <v>31</v>
      </c>
      <c r="R230" s="4">
        <f t="shared" si="28"/>
        <v>1</v>
      </c>
      <c r="S230" s="4">
        <f>INDEX(Dim_Product!$K$2:$K$4,MATCH(F230,Dim_Product!$A$2:$A$4,0))+0.27</f>
        <v>110.27</v>
      </c>
      <c r="T230" s="4">
        <f>IF(AND(S230&gt;=INDEX(Dim_Product!$K$2:$K$4,MATCH(F230,Dim_Product!$A$2:$A$4,0))-INDEX(Dim_Product!$L$2:$L$4,MATCH(F230,Dim_Product!$A$2:$A$4,0)),S230&lt;=INDEX(Dim_Product!$K$2:$K$4,MATCH(F230,Dim_Product!$A$2:$A$4,0))+INDEX(Dim_Product!$L$2:$L$4,MATCH(F230,Dim_Product!$A$2:$A$4,0))),G230-H230,G230-H230-1)</f>
        <v>31</v>
      </c>
      <c r="U230" s="4">
        <f t="shared" si="29"/>
        <v>1</v>
      </c>
      <c r="V230" s="4">
        <f t="shared" si="30"/>
        <v>3.125E-2</v>
      </c>
      <c r="W230" s="16">
        <f t="shared" si="31"/>
        <v>0.96875</v>
      </c>
    </row>
    <row r="231" spans="1:23" x14ac:dyDescent="0.25">
      <c r="A231" s="15" t="s">
        <v>732</v>
      </c>
      <c r="B231" s="4">
        <f>Fact_Production_Hourly!B231</f>
        <v>20260702</v>
      </c>
      <c r="C231" s="4">
        <f>Fact_Production_Hourly!C231</f>
        <v>8</v>
      </c>
      <c r="D231" s="4" t="str">
        <f>Fact_Production_Hourly!D231</f>
        <v>M6</v>
      </c>
      <c r="E231" s="4" t="str">
        <f>Fact_Production_Hourly!E231</f>
        <v>A-AM</v>
      </c>
      <c r="F231" s="4" t="str">
        <f>Fact_Production_Hourly!F231</f>
        <v>C</v>
      </c>
      <c r="G231" s="4">
        <f>INDEX(Dim_Machine!$D$2:$D$8,MATCH(D231,Dim_Machine!$A$2:$A$8,0))*2</f>
        <v>24</v>
      </c>
      <c r="H231" s="4">
        <f>ROUND(G231*0.0472,0)</f>
        <v>1</v>
      </c>
      <c r="I231" s="4">
        <f t="shared" si="24"/>
        <v>0</v>
      </c>
      <c r="J231" s="4">
        <f t="shared" si="25"/>
        <v>0</v>
      </c>
      <c r="K231" s="4">
        <f t="shared" si="26"/>
        <v>1</v>
      </c>
      <c r="L231" s="4" t="s">
        <v>517</v>
      </c>
      <c r="M231" s="4">
        <f>INDEX(Dim_Product!$C$2:$C$4,MATCH(F231,Dim_Product!$A$2:$A$4,0))+0.9</f>
        <v>200.9</v>
      </c>
      <c r="N231" s="4">
        <f>IF(AND(M231&gt;=INDEX(Dim_Product!$C$2:$C$4,MATCH(F231,Dim_Product!$A$2:$A$4,0))-INDEX(Dim_Product!$D$2:$D$4,MATCH(F231,Dim_Product!$A$2:$A$4,0)),M231&lt;=INDEX(Dim_Product!$C$2:$C$4,MATCH(F231,Dim_Product!$A$2:$A$4,0))+INDEX(Dim_Product!$D$2:$D$4,MATCH(F231,Dim_Product!$A$2:$A$4,0))),G231-H231,G231-H231-1)</f>
        <v>23</v>
      </c>
      <c r="O231" s="4">
        <f t="shared" si="27"/>
        <v>1</v>
      </c>
      <c r="P231" s="4">
        <f>INDEX(Dim_Product!$G$2:$G$4,MATCH(F231,Dim_Product!$A$2:$A$4,0))+-0.01</f>
        <v>64.989999999999995</v>
      </c>
      <c r="Q231" s="4">
        <f>IF(AND(P231&gt;=INDEX(Dim_Product!$G$2:$G$4,MATCH(F231,Dim_Product!$A$2:$A$4,0))-INDEX(Dim_Product!$H$2:$H$4,MATCH(F231,Dim_Product!$A$2:$A$4,0)),P231&lt;=INDEX(Dim_Product!$G$2:$G$4,MATCH(F231,Dim_Product!$A$2:$A$4,0))+INDEX(Dim_Product!$H$2:$H$4,MATCH(F231,Dim_Product!$A$2:$A$4,0))),G231-H231,G231-H231-1)</f>
        <v>23</v>
      </c>
      <c r="R231" s="4">
        <f t="shared" si="28"/>
        <v>1</v>
      </c>
      <c r="S231" s="4">
        <f>INDEX(Dim_Product!$K$2:$K$4,MATCH(F231,Dim_Product!$A$2:$A$4,0))+-0.24</f>
        <v>109.76</v>
      </c>
      <c r="T231" s="4">
        <f>IF(AND(S231&gt;=INDEX(Dim_Product!$K$2:$K$4,MATCH(F231,Dim_Product!$A$2:$A$4,0))-INDEX(Dim_Product!$L$2:$L$4,MATCH(F231,Dim_Product!$A$2:$A$4,0)),S231&lt;=INDEX(Dim_Product!$K$2:$K$4,MATCH(F231,Dim_Product!$A$2:$A$4,0))+INDEX(Dim_Product!$L$2:$L$4,MATCH(F231,Dim_Product!$A$2:$A$4,0))),G231-H231,G231-H231-1)</f>
        <v>23</v>
      </c>
      <c r="U231" s="4">
        <f t="shared" si="29"/>
        <v>1</v>
      </c>
      <c r="V231" s="4">
        <f t="shared" si="30"/>
        <v>4.1666666666666664E-2</v>
      </c>
      <c r="W231" s="16">
        <f t="shared" si="31"/>
        <v>0.95833333333333337</v>
      </c>
    </row>
    <row r="232" spans="1:23" x14ac:dyDescent="0.25">
      <c r="A232" s="15" t="s">
        <v>733</v>
      </c>
      <c r="B232" s="4">
        <f>Fact_Production_Hourly!B232</f>
        <v>20260702</v>
      </c>
      <c r="C232" s="4">
        <f>Fact_Production_Hourly!C232</f>
        <v>8</v>
      </c>
      <c r="D232" s="4" t="str">
        <f>Fact_Production_Hourly!D232</f>
        <v>M7</v>
      </c>
      <c r="E232" s="4" t="str">
        <f>Fact_Production_Hourly!E232</f>
        <v>A-AM</v>
      </c>
      <c r="F232" s="4" t="str">
        <f>Fact_Production_Hourly!F232</f>
        <v>C</v>
      </c>
      <c r="G232" s="4">
        <f>INDEX(Dim_Machine!$D$2:$D$8,MATCH(D232,Dim_Machine!$A$2:$A$8,0))*2</f>
        <v>48</v>
      </c>
      <c r="H232" s="4">
        <f>ROUND(G232*0.033,0)</f>
        <v>2</v>
      </c>
      <c r="I232" s="4">
        <f t="shared" si="24"/>
        <v>0</v>
      </c>
      <c r="J232" s="4">
        <f t="shared" si="25"/>
        <v>1</v>
      </c>
      <c r="K232" s="4">
        <f t="shared" si="26"/>
        <v>1</v>
      </c>
      <c r="L232" s="4" t="s">
        <v>509</v>
      </c>
      <c r="M232" s="4">
        <f>INDEX(Dim_Product!$C$2:$C$4,MATCH(F232,Dim_Product!$A$2:$A$4,0))+0.01</f>
        <v>200.01</v>
      </c>
      <c r="N232" s="4">
        <f>IF(AND(M232&gt;=INDEX(Dim_Product!$C$2:$C$4,MATCH(F232,Dim_Product!$A$2:$A$4,0))-INDEX(Dim_Product!$D$2:$D$4,MATCH(F232,Dim_Product!$A$2:$A$4,0)),M232&lt;=INDEX(Dim_Product!$C$2:$C$4,MATCH(F232,Dim_Product!$A$2:$A$4,0))+INDEX(Dim_Product!$D$2:$D$4,MATCH(F232,Dim_Product!$A$2:$A$4,0))),G232-H232,G232-H232-1)</f>
        <v>46</v>
      </c>
      <c r="O232" s="4">
        <f t="shared" si="27"/>
        <v>2</v>
      </c>
      <c r="P232" s="4">
        <f>INDEX(Dim_Product!$G$2:$G$4,MATCH(F232,Dim_Product!$A$2:$A$4,0))+0</f>
        <v>65</v>
      </c>
      <c r="Q232" s="4">
        <f>IF(AND(P232&gt;=INDEX(Dim_Product!$G$2:$G$4,MATCH(F232,Dim_Product!$A$2:$A$4,0))-INDEX(Dim_Product!$H$2:$H$4,MATCH(F232,Dim_Product!$A$2:$A$4,0)),P232&lt;=INDEX(Dim_Product!$G$2:$G$4,MATCH(F232,Dim_Product!$A$2:$A$4,0))+INDEX(Dim_Product!$H$2:$H$4,MATCH(F232,Dim_Product!$A$2:$A$4,0))),G232-H232,G232-H232-1)</f>
        <v>46</v>
      </c>
      <c r="R232" s="4">
        <f t="shared" si="28"/>
        <v>2</v>
      </c>
      <c r="S232" s="4">
        <f>INDEX(Dim_Product!$K$2:$K$4,MATCH(F232,Dim_Product!$A$2:$A$4,0))+0.15</f>
        <v>110.15</v>
      </c>
      <c r="T232" s="4">
        <f>IF(AND(S232&gt;=INDEX(Dim_Product!$K$2:$K$4,MATCH(F232,Dim_Product!$A$2:$A$4,0))-INDEX(Dim_Product!$L$2:$L$4,MATCH(F232,Dim_Product!$A$2:$A$4,0)),S232&lt;=INDEX(Dim_Product!$K$2:$K$4,MATCH(F232,Dim_Product!$A$2:$A$4,0))+INDEX(Dim_Product!$L$2:$L$4,MATCH(F232,Dim_Product!$A$2:$A$4,0))),G232-H232,G232-H232-1)</f>
        <v>46</v>
      </c>
      <c r="U232" s="4">
        <f t="shared" si="29"/>
        <v>2</v>
      </c>
      <c r="V232" s="4">
        <f t="shared" si="30"/>
        <v>4.1666666666666664E-2</v>
      </c>
      <c r="W232" s="16">
        <f t="shared" si="31"/>
        <v>0.95833333333333337</v>
      </c>
    </row>
    <row r="233" spans="1:23" x14ac:dyDescent="0.25">
      <c r="A233" s="15" t="s">
        <v>734</v>
      </c>
      <c r="B233" s="4">
        <f>Fact_Production_Hourly!B233</f>
        <v>20260702</v>
      </c>
      <c r="C233" s="4">
        <f>Fact_Production_Hourly!C233</f>
        <v>9</v>
      </c>
      <c r="D233" s="4" t="str">
        <f>Fact_Production_Hourly!D233</f>
        <v>M1</v>
      </c>
      <c r="E233" s="4" t="str">
        <f>Fact_Production_Hourly!E233</f>
        <v>A-AM</v>
      </c>
      <c r="F233" s="4" t="str">
        <f>Fact_Production_Hourly!F233</f>
        <v>C</v>
      </c>
      <c r="G233" s="4">
        <f>INDEX(Dim_Machine!$D$2:$D$8,MATCH(D233,Dim_Machine!$A$2:$A$8,0))*2</f>
        <v>32</v>
      </c>
      <c r="H233" s="4">
        <f>ROUND(G233*0.0349,0)</f>
        <v>1</v>
      </c>
      <c r="I233" s="4">
        <f t="shared" si="24"/>
        <v>0</v>
      </c>
      <c r="J233" s="4">
        <f t="shared" si="25"/>
        <v>0</v>
      </c>
      <c r="K233" s="4">
        <f t="shared" si="26"/>
        <v>1</v>
      </c>
      <c r="L233" s="4" t="s">
        <v>503</v>
      </c>
      <c r="M233" s="4">
        <f>INDEX(Dim_Product!$C$2:$C$4,MATCH(F233,Dim_Product!$A$2:$A$4,0))+-0.02</f>
        <v>199.98</v>
      </c>
      <c r="N233" s="4">
        <f>IF(AND(M233&gt;=INDEX(Dim_Product!$C$2:$C$4,MATCH(F233,Dim_Product!$A$2:$A$4,0))-INDEX(Dim_Product!$D$2:$D$4,MATCH(F233,Dim_Product!$A$2:$A$4,0)),M233&lt;=INDEX(Dim_Product!$C$2:$C$4,MATCH(F233,Dim_Product!$A$2:$A$4,0))+INDEX(Dim_Product!$D$2:$D$4,MATCH(F233,Dim_Product!$A$2:$A$4,0))),G233-H233,G233-H233-1)</f>
        <v>31</v>
      </c>
      <c r="O233" s="4">
        <f t="shared" si="27"/>
        <v>1</v>
      </c>
      <c r="P233" s="4">
        <f>INDEX(Dim_Product!$G$2:$G$4,MATCH(F233,Dim_Product!$A$2:$A$4,0))+-0.25</f>
        <v>64.75</v>
      </c>
      <c r="Q233" s="4">
        <f>IF(AND(P233&gt;=INDEX(Dim_Product!$G$2:$G$4,MATCH(F233,Dim_Product!$A$2:$A$4,0))-INDEX(Dim_Product!$H$2:$H$4,MATCH(F233,Dim_Product!$A$2:$A$4,0)),P233&lt;=INDEX(Dim_Product!$G$2:$G$4,MATCH(F233,Dim_Product!$A$2:$A$4,0))+INDEX(Dim_Product!$H$2:$H$4,MATCH(F233,Dim_Product!$A$2:$A$4,0))),G233-H233,G233-H233-1)</f>
        <v>31</v>
      </c>
      <c r="R233" s="4">
        <f t="shared" si="28"/>
        <v>1</v>
      </c>
      <c r="S233" s="4">
        <f>INDEX(Dim_Product!$K$2:$K$4,MATCH(F233,Dim_Product!$A$2:$A$4,0))+-0.38</f>
        <v>109.62</v>
      </c>
      <c r="T233" s="4">
        <f>IF(AND(S233&gt;=INDEX(Dim_Product!$K$2:$K$4,MATCH(F233,Dim_Product!$A$2:$A$4,0))-INDEX(Dim_Product!$L$2:$L$4,MATCH(F233,Dim_Product!$A$2:$A$4,0)),S233&lt;=INDEX(Dim_Product!$K$2:$K$4,MATCH(F233,Dim_Product!$A$2:$A$4,0))+INDEX(Dim_Product!$L$2:$L$4,MATCH(F233,Dim_Product!$A$2:$A$4,0))),G233-H233,G233-H233-1)</f>
        <v>31</v>
      </c>
      <c r="U233" s="4">
        <f t="shared" si="29"/>
        <v>1</v>
      </c>
      <c r="V233" s="4">
        <f t="shared" si="30"/>
        <v>3.125E-2</v>
      </c>
      <c r="W233" s="16">
        <f t="shared" si="31"/>
        <v>0.96875</v>
      </c>
    </row>
    <row r="234" spans="1:23" x14ac:dyDescent="0.25">
      <c r="A234" s="15" t="s">
        <v>735</v>
      </c>
      <c r="B234" s="4">
        <f>Fact_Production_Hourly!B234</f>
        <v>20260702</v>
      </c>
      <c r="C234" s="4">
        <f>Fact_Production_Hourly!C234</f>
        <v>9</v>
      </c>
      <c r="D234" s="4" t="str">
        <f>Fact_Production_Hourly!D234</f>
        <v>M2</v>
      </c>
      <c r="E234" s="4" t="str">
        <f>Fact_Production_Hourly!E234</f>
        <v>A-AM</v>
      </c>
      <c r="F234" s="4" t="str">
        <f>Fact_Production_Hourly!F234</f>
        <v>A</v>
      </c>
      <c r="G234" s="4">
        <f>INDEX(Dim_Machine!$D$2:$D$8,MATCH(D234,Dim_Machine!$A$2:$A$8,0))*2</f>
        <v>48</v>
      </c>
      <c r="H234" s="4">
        <f>ROUND(G234*0.0557,0)</f>
        <v>3</v>
      </c>
      <c r="I234" s="4">
        <f t="shared" si="24"/>
        <v>0</v>
      </c>
      <c r="J234" s="4">
        <f t="shared" si="25"/>
        <v>1</v>
      </c>
      <c r="K234" s="4">
        <f t="shared" si="26"/>
        <v>2</v>
      </c>
      <c r="L234" s="4" t="s">
        <v>517</v>
      </c>
      <c r="M234" s="4">
        <f>INDEX(Dim_Product!$C$2:$C$4,MATCH(F234,Dim_Product!$A$2:$A$4,0))+-0.93</f>
        <v>249.07</v>
      </c>
      <c r="N234" s="4">
        <f>IF(AND(M234&gt;=INDEX(Dim_Product!$C$2:$C$4,MATCH(F234,Dim_Product!$A$2:$A$4,0))-INDEX(Dim_Product!$D$2:$D$4,MATCH(F234,Dim_Product!$A$2:$A$4,0)),M234&lt;=INDEX(Dim_Product!$C$2:$C$4,MATCH(F234,Dim_Product!$A$2:$A$4,0))+INDEX(Dim_Product!$D$2:$D$4,MATCH(F234,Dim_Product!$A$2:$A$4,0))),G234-H234,G234-H234-1)</f>
        <v>45</v>
      </c>
      <c r="O234" s="4">
        <f t="shared" si="27"/>
        <v>3</v>
      </c>
      <c r="P234" s="4">
        <f>INDEX(Dim_Product!$G$2:$G$4,MATCH(F234,Dim_Product!$A$2:$A$4,0))+-0.17</f>
        <v>69.83</v>
      </c>
      <c r="Q234" s="4">
        <f>IF(AND(P234&gt;=INDEX(Dim_Product!$G$2:$G$4,MATCH(F234,Dim_Product!$A$2:$A$4,0))-INDEX(Dim_Product!$H$2:$H$4,MATCH(F234,Dim_Product!$A$2:$A$4,0)),P234&lt;=INDEX(Dim_Product!$G$2:$G$4,MATCH(F234,Dim_Product!$A$2:$A$4,0))+INDEX(Dim_Product!$H$2:$H$4,MATCH(F234,Dim_Product!$A$2:$A$4,0))),G234-H234,G234-H234-1)</f>
        <v>45</v>
      </c>
      <c r="R234" s="4">
        <f t="shared" si="28"/>
        <v>3</v>
      </c>
      <c r="S234" s="4">
        <f>INDEX(Dim_Product!$K$2:$K$4,MATCH(F234,Dim_Product!$A$2:$A$4,0))+-0.17</f>
        <v>119.83</v>
      </c>
      <c r="T234" s="4">
        <f>IF(AND(S234&gt;=INDEX(Dim_Product!$K$2:$K$4,MATCH(F234,Dim_Product!$A$2:$A$4,0))-INDEX(Dim_Product!$L$2:$L$4,MATCH(F234,Dim_Product!$A$2:$A$4,0)),S234&lt;=INDEX(Dim_Product!$K$2:$K$4,MATCH(F234,Dim_Product!$A$2:$A$4,0))+INDEX(Dim_Product!$L$2:$L$4,MATCH(F234,Dim_Product!$A$2:$A$4,0))),G234-H234,G234-H234-1)</f>
        <v>45</v>
      </c>
      <c r="U234" s="4">
        <f t="shared" si="29"/>
        <v>3</v>
      </c>
      <c r="V234" s="4">
        <f t="shared" si="30"/>
        <v>6.25E-2</v>
      </c>
      <c r="W234" s="16">
        <f t="shared" si="31"/>
        <v>0.9375</v>
      </c>
    </row>
    <row r="235" spans="1:23" x14ac:dyDescent="0.25">
      <c r="A235" s="15" t="s">
        <v>736</v>
      </c>
      <c r="B235" s="4">
        <f>Fact_Production_Hourly!B235</f>
        <v>20260702</v>
      </c>
      <c r="C235" s="4">
        <f>Fact_Production_Hourly!C235</f>
        <v>9</v>
      </c>
      <c r="D235" s="4" t="str">
        <f>Fact_Production_Hourly!D235</f>
        <v>M3</v>
      </c>
      <c r="E235" s="4" t="str">
        <f>Fact_Production_Hourly!E235</f>
        <v>A-AM</v>
      </c>
      <c r="F235" s="4" t="str">
        <f>Fact_Production_Hourly!F235</f>
        <v>A</v>
      </c>
      <c r="G235" s="4">
        <f>INDEX(Dim_Machine!$D$2:$D$8,MATCH(D235,Dim_Machine!$A$2:$A$8,0))*2</f>
        <v>24</v>
      </c>
      <c r="H235" s="4">
        <f>ROUND(G235*0.0568,0)</f>
        <v>1</v>
      </c>
      <c r="I235" s="4">
        <f t="shared" si="24"/>
        <v>0</v>
      </c>
      <c r="J235" s="4">
        <f t="shared" si="25"/>
        <v>0</v>
      </c>
      <c r="K235" s="4">
        <f t="shared" si="26"/>
        <v>1</v>
      </c>
      <c r="L235" s="4" t="s">
        <v>509</v>
      </c>
      <c r="M235" s="4">
        <f>INDEX(Dim_Product!$C$2:$C$4,MATCH(F235,Dim_Product!$A$2:$A$4,0))+0.49</f>
        <v>250.49</v>
      </c>
      <c r="N235" s="4">
        <f>IF(AND(M235&gt;=INDEX(Dim_Product!$C$2:$C$4,MATCH(F235,Dim_Product!$A$2:$A$4,0))-INDEX(Dim_Product!$D$2:$D$4,MATCH(F235,Dim_Product!$A$2:$A$4,0)),M235&lt;=INDEX(Dim_Product!$C$2:$C$4,MATCH(F235,Dim_Product!$A$2:$A$4,0))+INDEX(Dim_Product!$D$2:$D$4,MATCH(F235,Dim_Product!$A$2:$A$4,0))),G235-H235,G235-H235-1)</f>
        <v>23</v>
      </c>
      <c r="O235" s="4">
        <f t="shared" si="27"/>
        <v>1</v>
      </c>
      <c r="P235" s="4">
        <f>INDEX(Dim_Product!$G$2:$G$4,MATCH(F235,Dim_Product!$A$2:$A$4,0))+0.16</f>
        <v>70.16</v>
      </c>
      <c r="Q235" s="4">
        <f>IF(AND(P235&gt;=INDEX(Dim_Product!$G$2:$G$4,MATCH(F235,Dim_Product!$A$2:$A$4,0))-INDEX(Dim_Product!$H$2:$H$4,MATCH(F235,Dim_Product!$A$2:$A$4,0)),P235&lt;=INDEX(Dim_Product!$G$2:$G$4,MATCH(F235,Dim_Product!$A$2:$A$4,0))+INDEX(Dim_Product!$H$2:$H$4,MATCH(F235,Dim_Product!$A$2:$A$4,0))),G235-H235,G235-H235-1)</f>
        <v>23</v>
      </c>
      <c r="R235" s="4">
        <f t="shared" si="28"/>
        <v>1</v>
      </c>
      <c r="S235" s="4">
        <f>INDEX(Dim_Product!$K$2:$K$4,MATCH(F235,Dim_Product!$A$2:$A$4,0))+0.04</f>
        <v>120.04</v>
      </c>
      <c r="T235" s="4">
        <f>IF(AND(S235&gt;=INDEX(Dim_Product!$K$2:$K$4,MATCH(F235,Dim_Product!$A$2:$A$4,0))-INDEX(Dim_Product!$L$2:$L$4,MATCH(F235,Dim_Product!$A$2:$A$4,0)),S235&lt;=INDEX(Dim_Product!$K$2:$K$4,MATCH(F235,Dim_Product!$A$2:$A$4,0))+INDEX(Dim_Product!$L$2:$L$4,MATCH(F235,Dim_Product!$A$2:$A$4,0))),G235-H235,G235-H235-1)</f>
        <v>23</v>
      </c>
      <c r="U235" s="4">
        <f t="shared" si="29"/>
        <v>1</v>
      </c>
      <c r="V235" s="4">
        <f t="shared" si="30"/>
        <v>4.1666666666666664E-2</v>
      </c>
      <c r="W235" s="16">
        <f t="shared" si="31"/>
        <v>0.95833333333333337</v>
      </c>
    </row>
    <row r="236" spans="1:23" x14ac:dyDescent="0.25">
      <c r="A236" s="15" t="s">
        <v>737</v>
      </c>
      <c r="B236" s="4">
        <f>Fact_Production_Hourly!B236</f>
        <v>20260702</v>
      </c>
      <c r="C236" s="4">
        <f>Fact_Production_Hourly!C236</f>
        <v>9</v>
      </c>
      <c r="D236" s="4" t="str">
        <f>Fact_Production_Hourly!D236</f>
        <v>M4</v>
      </c>
      <c r="E236" s="4" t="str">
        <f>Fact_Production_Hourly!E236</f>
        <v>A-AM</v>
      </c>
      <c r="F236" s="4" t="str">
        <f>Fact_Production_Hourly!F236</f>
        <v>A</v>
      </c>
      <c r="G236" s="4">
        <f>INDEX(Dim_Machine!$D$2:$D$8,MATCH(D236,Dim_Machine!$A$2:$A$8,0))*2</f>
        <v>48</v>
      </c>
      <c r="H236" s="4">
        <f>ROUND(G236*0.0168,0)</f>
        <v>1</v>
      </c>
      <c r="I236" s="4">
        <f t="shared" si="24"/>
        <v>0</v>
      </c>
      <c r="J236" s="4">
        <f t="shared" si="25"/>
        <v>0</v>
      </c>
      <c r="K236" s="4">
        <f t="shared" si="26"/>
        <v>1</v>
      </c>
      <c r="L236" s="4" t="s">
        <v>498</v>
      </c>
      <c r="M236" s="4">
        <f>INDEX(Dim_Product!$C$2:$C$4,MATCH(F236,Dim_Product!$A$2:$A$4,0))+-0.46</f>
        <v>249.54</v>
      </c>
      <c r="N236" s="4">
        <f>IF(AND(M236&gt;=INDEX(Dim_Product!$C$2:$C$4,MATCH(F236,Dim_Product!$A$2:$A$4,0))-INDEX(Dim_Product!$D$2:$D$4,MATCH(F236,Dim_Product!$A$2:$A$4,0)),M236&lt;=INDEX(Dim_Product!$C$2:$C$4,MATCH(F236,Dim_Product!$A$2:$A$4,0))+INDEX(Dim_Product!$D$2:$D$4,MATCH(F236,Dim_Product!$A$2:$A$4,0))),G236-H236,G236-H236-1)</f>
        <v>47</v>
      </c>
      <c r="O236" s="4">
        <f t="shared" si="27"/>
        <v>1</v>
      </c>
      <c r="P236" s="4">
        <f>INDEX(Dim_Product!$G$2:$G$4,MATCH(F236,Dim_Product!$A$2:$A$4,0))+0.03</f>
        <v>70.03</v>
      </c>
      <c r="Q236" s="4">
        <f>IF(AND(P236&gt;=INDEX(Dim_Product!$G$2:$G$4,MATCH(F236,Dim_Product!$A$2:$A$4,0))-INDEX(Dim_Product!$H$2:$H$4,MATCH(F236,Dim_Product!$A$2:$A$4,0)),P236&lt;=INDEX(Dim_Product!$G$2:$G$4,MATCH(F236,Dim_Product!$A$2:$A$4,0))+INDEX(Dim_Product!$H$2:$H$4,MATCH(F236,Dim_Product!$A$2:$A$4,0))),G236-H236,G236-H236-1)</f>
        <v>47</v>
      </c>
      <c r="R236" s="4">
        <f t="shared" si="28"/>
        <v>1</v>
      </c>
      <c r="S236" s="4">
        <f>INDEX(Dim_Product!$K$2:$K$4,MATCH(F236,Dim_Product!$A$2:$A$4,0))+0.39</f>
        <v>120.39</v>
      </c>
      <c r="T236" s="4">
        <f>IF(AND(S236&gt;=INDEX(Dim_Product!$K$2:$K$4,MATCH(F236,Dim_Product!$A$2:$A$4,0))-INDEX(Dim_Product!$L$2:$L$4,MATCH(F236,Dim_Product!$A$2:$A$4,0)),S236&lt;=INDEX(Dim_Product!$K$2:$K$4,MATCH(F236,Dim_Product!$A$2:$A$4,0))+INDEX(Dim_Product!$L$2:$L$4,MATCH(F236,Dim_Product!$A$2:$A$4,0))),G236-H236,G236-H236-1)</f>
        <v>47</v>
      </c>
      <c r="U236" s="4">
        <f t="shared" si="29"/>
        <v>1</v>
      </c>
      <c r="V236" s="4">
        <f t="shared" si="30"/>
        <v>2.0833333333333332E-2</v>
      </c>
      <c r="W236" s="16">
        <f t="shared" si="31"/>
        <v>0.97916666666666663</v>
      </c>
    </row>
    <row r="237" spans="1:23" x14ac:dyDescent="0.25">
      <c r="A237" s="15" t="s">
        <v>738</v>
      </c>
      <c r="B237" s="4">
        <f>Fact_Production_Hourly!B237</f>
        <v>20260702</v>
      </c>
      <c r="C237" s="4">
        <f>Fact_Production_Hourly!C237</f>
        <v>9</v>
      </c>
      <c r="D237" s="4" t="str">
        <f>Fact_Production_Hourly!D237</f>
        <v>M5</v>
      </c>
      <c r="E237" s="4" t="str">
        <f>Fact_Production_Hourly!E237</f>
        <v>A-AM</v>
      </c>
      <c r="F237" s="4" t="str">
        <f>Fact_Production_Hourly!F237</f>
        <v>C</v>
      </c>
      <c r="G237" s="4">
        <f>INDEX(Dim_Machine!$D$2:$D$8,MATCH(D237,Dim_Machine!$A$2:$A$8,0))*2</f>
        <v>32</v>
      </c>
      <c r="H237" s="4">
        <f>ROUND(G237*0.0425,0)</f>
        <v>1</v>
      </c>
      <c r="I237" s="4">
        <f t="shared" si="24"/>
        <v>0</v>
      </c>
      <c r="J237" s="4">
        <f t="shared" si="25"/>
        <v>0</v>
      </c>
      <c r="K237" s="4">
        <f t="shared" si="26"/>
        <v>1</v>
      </c>
      <c r="L237" s="4" t="s">
        <v>498</v>
      </c>
      <c r="M237" s="4">
        <f>INDEX(Dim_Product!$C$2:$C$4,MATCH(F237,Dim_Product!$A$2:$A$4,0))+0.52</f>
        <v>200.52</v>
      </c>
      <c r="N237" s="4">
        <f>IF(AND(M237&gt;=INDEX(Dim_Product!$C$2:$C$4,MATCH(F237,Dim_Product!$A$2:$A$4,0))-INDEX(Dim_Product!$D$2:$D$4,MATCH(F237,Dim_Product!$A$2:$A$4,0)),M237&lt;=INDEX(Dim_Product!$C$2:$C$4,MATCH(F237,Dim_Product!$A$2:$A$4,0))+INDEX(Dim_Product!$D$2:$D$4,MATCH(F237,Dim_Product!$A$2:$A$4,0))),G237-H237,G237-H237-1)</f>
        <v>31</v>
      </c>
      <c r="O237" s="4">
        <f t="shared" si="27"/>
        <v>1</v>
      </c>
      <c r="P237" s="4">
        <f>INDEX(Dim_Product!$G$2:$G$4,MATCH(F237,Dim_Product!$A$2:$A$4,0))+-0.04</f>
        <v>64.959999999999994</v>
      </c>
      <c r="Q237" s="4">
        <f>IF(AND(P237&gt;=INDEX(Dim_Product!$G$2:$G$4,MATCH(F237,Dim_Product!$A$2:$A$4,0))-INDEX(Dim_Product!$H$2:$H$4,MATCH(F237,Dim_Product!$A$2:$A$4,0)),P237&lt;=INDEX(Dim_Product!$G$2:$G$4,MATCH(F237,Dim_Product!$A$2:$A$4,0))+INDEX(Dim_Product!$H$2:$H$4,MATCH(F237,Dim_Product!$A$2:$A$4,0))),G237-H237,G237-H237-1)</f>
        <v>31</v>
      </c>
      <c r="R237" s="4">
        <f t="shared" si="28"/>
        <v>1</v>
      </c>
      <c r="S237" s="4">
        <f>INDEX(Dim_Product!$K$2:$K$4,MATCH(F237,Dim_Product!$A$2:$A$4,0))+-0.23</f>
        <v>109.77</v>
      </c>
      <c r="T237" s="4">
        <f>IF(AND(S237&gt;=INDEX(Dim_Product!$K$2:$K$4,MATCH(F237,Dim_Product!$A$2:$A$4,0))-INDEX(Dim_Product!$L$2:$L$4,MATCH(F237,Dim_Product!$A$2:$A$4,0)),S237&lt;=INDEX(Dim_Product!$K$2:$K$4,MATCH(F237,Dim_Product!$A$2:$A$4,0))+INDEX(Dim_Product!$L$2:$L$4,MATCH(F237,Dim_Product!$A$2:$A$4,0))),G237-H237,G237-H237-1)</f>
        <v>31</v>
      </c>
      <c r="U237" s="4">
        <f t="shared" si="29"/>
        <v>1</v>
      </c>
      <c r="V237" s="4">
        <f t="shared" si="30"/>
        <v>3.125E-2</v>
      </c>
      <c r="W237" s="16">
        <f t="shared" si="31"/>
        <v>0.96875</v>
      </c>
    </row>
    <row r="238" spans="1:23" x14ac:dyDescent="0.25">
      <c r="A238" s="15" t="s">
        <v>739</v>
      </c>
      <c r="B238" s="4">
        <f>Fact_Production_Hourly!B238</f>
        <v>20260702</v>
      </c>
      <c r="C238" s="4">
        <f>Fact_Production_Hourly!C238</f>
        <v>9</v>
      </c>
      <c r="D238" s="4" t="str">
        <f>Fact_Production_Hourly!D238</f>
        <v>M6</v>
      </c>
      <c r="E238" s="4" t="str">
        <f>Fact_Production_Hourly!E238</f>
        <v>A-AM</v>
      </c>
      <c r="F238" s="4" t="str">
        <f>Fact_Production_Hourly!F238</f>
        <v>C</v>
      </c>
      <c r="G238" s="4">
        <f>INDEX(Dim_Machine!$D$2:$D$8,MATCH(D238,Dim_Machine!$A$2:$A$8,0))*2</f>
        <v>24</v>
      </c>
      <c r="H238" s="4">
        <f>ROUND(G238*0.0355,0)</f>
        <v>1</v>
      </c>
      <c r="I238" s="4">
        <f t="shared" si="24"/>
        <v>0</v>
      </c>
      <c r="J238" s="4">
        <f t="shared" si="25"/>
        <v>0</v>
      </c>
      <c r="K238" s="4">
        <f t="shared" si="26"/>
        <v>1</v>
      </c>
      <c r="L238" s="4" t="s">
        <v>520</v>
      </c>
      <c r="M238" s="4">
        <f>INDEX(Dim_Product!$C$2:$C$4,MATCH(F238,Dim_Product!$A$2:$A$4,0))+0.66</f>
        <v>200.66</v>
      </c>
      <c r="N238" s="4">
        <f>IF(AND(M238&gt;=INDEX(Dim_Product!$C$2:$C$4,MATCH(F238,Dim_Product!$A$2:$A$4,0))-INDEX(Dim_Product!$D$2:$D$4,MATCH(F238,Dim_Product!$A$2:$A$4,0)),M238&lt;=INDEX(Dim_Product!$C$2:$C$4,MATCH(F238,Dim_Product!$A$2:$A$4,0))+INDEX(Dim_Product!$D$2:$D$4,MATCH(F238,Dim_Product!$A$2:$A$4,0))),G238-H238,G238-H238-1)</f>
        <v>23</v>
      </c>
      <c r="O238" s="4">
        <f t="shared" si="27"/>
        <v>1</v>
      </c>
      <c r="P238" s="4">
        <f>INDEX(Dim_Product!$G$2:$G$4,MATCH(F238,Dim_Product!$A$2:$A$4,0))+0.15</f>
        <v>65.150000000000006</v>
      </c>
      <c r="Q238" s="4">
        <f>IF(AND(P238&gt;=INDEX(Dim_Product!$G$2:$G$4,MATCH(F238,Dim_Product!$A$2:$A$4,0))-INDEX(Dim_Product!$H$2:$H$4,MATCH(F238,Dim_Product!$A$2:$A$4,0)),P238&lt;=INDEX(Dim_Product!$G$2:$G$4,MATCH(F238,Dim_Product!$A$2:$A$4,0))+INDEX(Dim_Product!$H$2:$H$4,MATCH(F238,Dim_Product!$A$2:$A$4,0))),G238-H238,G238-H238-1)</f>
        <v>23</v>
      </c>
      <c r="R238" s="4">
        <f t="shared" si="28"/>
        <v>1</v>
      </c>
      <c r="S238" s="4">
        <f>INDEX(Dim_Product!$K$2:$K$4,MATCH(F238,Dim_Product!$A$2:$A$4,0))+-0.16</f>
        <v>109.84</v>
      </c>
      <c r="T238" s="4">
        <f>IF(AND(S238&gt;=INDEX(Dim_Product!$K$2:$K$4,MATCH(F238,Dim_Product!$A$2:$A$4,0))-INDEX(Dim_Product!$L$2:$L$4,MATCH(F238,Dim_Product!$A$2:$A$4,0)),S238&lt;=INDEX(Dim_Product!$K$2:$K$4,MATCH(F238,Dim_Product!$A$2:$A$4,0))+INDEX(Dim_Product!$L$2:$L$4,MATCH(F238,Dim_Product!$A$2:$A$4,0))),G238-H238,G238-H238-1)</f>
        <v>23</v>
      </c>
      <c r="U238" s="4">
        <f t="shared" si="29"/>
        <v>1</v>
      </c>
      <c r="V238" s="4">
        <f t="shared" si="30"/>
        <v>4.1666666666666664E-2</v>
      </c>
      <c r="W238" s="16">
        <f t="shared" si="31"/>
        <v>0.95833333333333337</v>
      </c>
    </row>
    <row r="239" spans="1:23" x14ac:dyDescent="0.25">
      <c r="A239" s="15" t="s">
        <v>740</v>
      </c>
      <c r="B239" s="4">
        <f>Fact_Production_Hourly!B239</f>
        <v>20260702</v>
      </c>
      <c r="C239" s="4">
        <f>Fact_Production_Hourly!C239</f>
        <v>9</v>
      </c>
      <c r="D239" s="4" t="str">
        <f>Fact_Production_Hourly!D239</f>
        <v>M7</v>
      </c>
      <c r="E239" s="4" t="str">
        <f>Fact_Production_Hourly!E239</f>
        <v>A-AM</v>
      </c>
      <c r="F239" s="4" t="str">
        <f>Fact_Production_Hourly!F239</f>
        <v>C</v>
      </c>
      <c r="G239" s="4">
        <f>INDEX(Dim_Machine!$D$2:$D$8,MATCH(D239,Dim_Machine!$A$2:$A$8,0))*2</f>
        <v>48</v>
      </c>
      <c r="H239" s="4">
        <f>ROUND(G239*0.07,0)</f>
        <v>3</v>
      </c>
      <c r="I239" s="4">
        <f t="shared" si="24"/>
        <v>0</v>
      </c>
      <c r="J239" s="4">
        <f t="shared" si="25"/>
        <v>1</v>
      </c>
      <c r="K239" s="4">
        <f t="shared" si="26"/>
        <v>2</v>
      </c>
      <c r="L239" s="4" t="s">
        <v>503</v>
      </c>
      <c r="M239" s="4">
        <f>INDEX(Dim_Product!$C$2:$C$4,MATCH(F239,Dim_Product!$A$2:$A$4,0))+-0.47</f>
        <v>199.53</v>
      </c>
      <c r="N239" s="4">
        <f>IF(AND(M239&gt;=INDEX(Dim_Product!$C$2:$C$4,MATCH(F239,Dim_Product!$A$2:$A$4,0))-INDEX(Dim_Product!$D$2:$D$4,MATCH(F239,Dim_Product!$A$2:$A$4,0)),M239&lt;=INDEX(Dim_Product!$C$2:$C$4,MATCH(F239,Dim_Product!$A$2:$A$4,0))+INDEX(Dim_Product!$D$2:$D$4,MATCH(F239,Dim_Product!$A$2:$A$4,0))),G239-H239,G239-H239-1)</f>
        <v>45</v>
      </c>
      <c r="O239" s="4">
        <f t="shared" si="27"/>
        <v>3</v>
      </c>
      <c r="P239" s="4">
        <f>INDEX(Dim_Product!$G$2:$G$4,MATCH(F239,Dim_Product!$A$2:$A$4,0))+0.22</f>
        <v>65.22</v>
      </c>
      <c r="Q239" s="4">
        <f>IF(AND(P239&gt;=INDEX(Dim_Product!$G$2:$G$4,MATCH(F239,Dim_Product!$A$2:$A$4,0))-INDEX(Dim_Product!$H$2:$H$4,MATCH(F239,Dim_Product!$A$2:$A$4,0)),P239&lt;=INDEX(Dim_Product!$G$2:$G$4,MATCH(F239,Dim_Product!$A$2:$A$4,0))+INDEX(Dim_Product!$H$2:$H$4,MATCH(F239,Dim_Product!$A$2:$A$4,0))),G239-H239,G239-H239-1)</f>
        <v>45</v>
      </c>
      <c r="R239" s="4">
        <f t="shared" si="28"/>
        <v>3</v>
      </c>
      <c r="S239" s="4">
        <f>INDEX(Dim_Product!$K$2:$K$4,MATCH(F239,Dim_Product!$A$2:$A$4,0))+-0.33</f>
        <v>109.67</v>
      </c>
      <c r="T239" s="4">
        <f>IF(AND(S239&gt;=INDEX(Dim_Product!$K$2:$K$4,MATCH(F239,Dim_Product!$A$2:$A$4,0))-INDEX(Dim_Product!$L$2:$L$4,MATCH(F239,Dim_Product!$A$2:$A$4,0)),S239&lt;=INDEX(Dim_Product!$K$2:$K$4,MATCH(F239,Dim_Product!$A$2:$A$4,0))+INDEX(Dim_Product!$L$2:$L$4,MATCH(F239,Dim_Product!$A$2:$A$4,0))),G239-H239,G239-H239-1)</f>
        <v>45</v>
      </c>
      <c r="U239" s="4">
        <f t="shared" si="29"/>
        <v>3</v>
      </c>
      <c r="V239" s="4">
        <f t="shared" si="30"/>
        <v>6.25E-2</v>
      </c>
      <c r="W239" s="16">
        <f t="shared" si="31"/>
        <v>0.9375</v>
      </c>
    </row>
    <row r="240" spans="1:23" x14ac:dyDescent="0.25">
      <c r="A240" s="15" t="s">
        <v>741</v>
      </c>
      <c r="B240" s="4">
        <f>Fact_Production_Hourly!B240</f>
        <v>20260702</v>
      </c>
      <c r="C240" s="4">
        <f>Fact_Production_Hourly!C240</f>
        <v>10</v>
      </c>
      <c r="D240" s="4" t="str">
        <f>Fact_Production_Hourly!D240</f>
        <v>M1</v>
      </c>
      <c r="E240" s="4" t="str">
        <f>Fact_Production_Hourly!E240</f>
        <v>A-AM</v>
      </c>
      <c r="F240" s="4" t="str">
        <f>Fact_Production_Hourly!F240</f>
        <v>C</v>
      </c>
      <c r="G240" s="4">
        <f>INDEX(Dim_Machine!$D$2:$D$8,MATCH(D240,Dim_Machine!$A$2:$A$8,0))*2</f>
        <v>32</v>
      </c>
      <c r="H240" s="4">
        <f>ROUND(G240*0.0619,0)</f>
        <v>2</v>
      </c>
      <c r="I240" s="4">
        <f t="shared" si="24"/>
        <v>0</v>
      </c>
      <c r="J240" s="4">
        <f t="shared" si="25"/>
        <v>1</v>
      </c>
      <c r="K240" s="4">
        <f t="shared" si="26"/>
        <v>1</v>
      </c>
      <c r="L240" s="4" t="s">
        <v>498</v>
      </c>
      <c r="M240" s="4">
        <f>INDEX(Dim_Product!$C$2:$C$4,MATCH(F240,Dim_Product!$A$2:$A$4,0))+0.55</f>
        <v>200.55</v>
      </c>
      <c r="N240" s="4">
        <f>IF(AND(M240&gt;=INDEX(Dim_Product!$C$2:$C$4,MATCH(F240,Dim_Product!$A$2:$A$4,0))-INDEX(Dim_Product!$D$2:$D$4,MATCH(F240,Dim_Product!$A$2:$A$4,0)),M240&lt;=INDEX(Dim_Product!$C$2:$C$4,MATCH(F240,Dim_Product!$A$2:$A$4,0))+INDEX(Dim_Product!$D$2:$D$4,MATCH(F240,Dim_Product!$A$2:$A$4,0))),G240-H240,G240-H240-1)</f>
        <v>30</v>
      </c>
      <c r="O240" s="4">
        <f t="shared" si="27"/>
        <v>2</v>
      </c>
      <c r="P240" s="4">
        <f>INDEX(Dim_Product!$G$2:$G$4,MATCH(F240,Dim_Product!$A$2:$A$4,0))+-0.16</f>
        <v>64.84</v>
      </c>
      <c r="Q240" s="4">
        <f>IF(AND(P240&gt;=INDEX(Dim_Product!$G$2:$G$4,MATCH(F240,Dim_Product!$A$2:$A$4,0))-INDEX(Dim_Product!$H$2:$H$4,MATCH(F240,Dim_Product!$A$2:$A$4,0)),P240&lt;=INDEX(Dim_Product!$G$2:$G$4,MATCH(F240,Dim_Product!$A$2:$A$4,0))+INDEX(Dim_Product!$H$2:$H$4,MATCH(F240,Dim_Product!$A$2:$A$4,0))),G240-H240,G240-H240-1)</f>
        <v>30</v>
      </c>
      <c r="R240" s="4">
        <f t="shared" si="28"/>
        <v>2</v>
      </c>
      <c r="S240" s="4">
        <f>INDEX(Dim_Product!$K$2:$K$4,MATCH(F240,Dim_Product!$A$2:$A$4,0))+0.25</f>
        <v>110.25</v>
      </c>
      <c r="T240" s="4">
        <f>IF(AND(S240&gt;=INDEX(Dim_Product!$K$2:$K$4,MATCH(F240,Dim_Product!$A$2:$A$4,0))-INDEX(Dim_Product!$L$2:$L$4,MATCH(F240,Dim_Product!$A$2:$A$4,0)),S240&lt;=INDEX(Dim_Product!$K$2:$K$4,MATCH(F240,Dim_Product!$A$2:$A$4,0))+INDEX(Dim_Product!$L$2:$L$4,MATCH(F240,Dim_Product!$A$2:$A$4,0))),G240-H240,G240-H240-1)</f>
        <v>30</v>
      </c>
      <c r="U240" s="4">
        <f t="shared" si="29"/>
        <v>2</v>
      </c>
      <c r="V240" s="4">
        <f t="shared" si="30"/>
        <v>6.25E-2</v>
      </c>
      <c r="W240" s="16">
        <f t="shared" si="31"/>
        <v>0.9375</v>
      </c>
    </row>
    <row r="241" spans="1:23" x14ac:dyDescent="0.25">
      <c r="A241" s="15" t="s">
        <v>742</v>
      </c>
      <c r="B241" s="4">
        <f>Fact_Production_Hourly!B241</f>
        <v>20260702</v>
      </c>
      <c r="C241" s="4">
        <f>Fact_Production_Hourly!C241</f>
        <v>10</v>
      </c>
      <c r="D241" s="4" t="str">
        <f>Fact_Production_Hourly!D241</f>
        <v>M2</v>
      </c>
      <c r="E241" s="4" t="str">
        <f>Fact_Production_Hourly!E241</f>
        <v>A-AM</v>
      </c>
      <c r="F241" s="4" t="str">
        <f>Fact_Production_Hourly!F241</f>
        <v>A</v>
      </c>
      <c r="G241" s="4">
        <f>INDEX(Dim_Machine!$D$2:$D$8,MATCH(D241,Dim_Machine!$A$2:$A$8,0))*2</f>
        <v>48</v>
      </c>
      <c r="H241" s="4">
        <f>ROUND(G241*0.0453,0)</f>
        <v>2</v>
      </c>
      <c r="I241" s="4">
        <f t="shared" si="24"/>
        <v>0</v>
      </c>
      <c r="J241" s="4">
        <f t="shared" si="25"/>
        <v>1</v>
      </c>
      <c r="K241" s="4">
        <f t="shared" si="26"/>
        <v>1</v>
      </c>
      <c r="L241" s="4" t="s">
        <v>517</v>
      </c>
      <c r="M241" s="4">
        <f>INDEX(Dim_Product!$C$2:$C$4,MATCH(F241,Dim_Product!$A$2:$A$4,0))+0.72</f>
        <v>250.72</v>
      </c>
      <c r="N241" s="4">
        <f>IF(AND(M241&gt;=INDEX(Dim_Product!$C$2:$C$4,MATCH(F241,Dim_Product!$A$2:$A$4,0))-INDEX(Dim_Product!$D$2:$D$4,MATCH(F241,Dim_Product!$A$2:$A$4,0)),M241&lt;=INDEX(Dim_Product!$C$2:$C$4,MATCH(F241,Dim_Product!$A$2:$A$4,0))+INDEX(Dim_Product!$D$2:$D$4,MATCH(F241,Dim_Product!$A$2:$A$4,0))),G241-H241,G241-H241-1)</f>
        <v>46</v>
      </c>
      <c r="O241" s="4">
        <f t="shared" si="27"/>
        <v>2</v>
      </c>
      <c r="P241" s="4">
        <f>INDEX(Dim_Product!$G$2:$G$4,MATCH(F241,Dim_Product!$A$2:$A$4,0))+0.07</f>
        <v>70.069999999999993</v>
      </c>
      <c r="Q241" s="4">
        <f>IF(AND(P241&gt;=INDEX(Dim_Product!$G$2:$G$4,MATCH(F241,Dim_Product!$A$2:$A$4,0))-INDEX(Dim_Product!$H$2:$H$4,MATCH(F241,Dim_Product!$A$2:$A$4,0)),P241&lt;=INDEX(Dim_Product!$G$2:$G$4,MATCH(F241,Dim_Product!$A$2:$A$4,0))+INDEX(Dim_Product!$H$2:$H$4,MATCH(F241,Dim_Product!$A$2:$A$4,0))),G241-H241,G241-H241-1)</f>
        <v>46</v>
      </c>
      <c r="R241" s="4">
        <f t="shared" si="28"/>
        <v>2</v>
      </c>
      <c r="S241" s="4">
        <f>INDEX(Dim_Product!$K$2:$K$4,MATCH(F241,Dim_Product!$A$2:$A$4,0))+-0.06</f>
        <v>119.94</v>
      </c>
      <c r="T241" s="4">
        <f>IF(AND(S241&gt;=INDEX(Dim_Product!$K$2:$K$4,MATCH(F241,Dim_Product!$A$2:$A$4,0))-INDEX(Dim_Product!$L$2:$L$4,MATCH(F241,Dim_Product!$A$2:$A$4,0)),S241&lt;=INDEX(Dim_Product!$K$2:$K$4,MATCH(F241,Dim_Product!$A$2:$A$4,0))+INDEX(Dim_Product!$L$2:$L$4,MATCH(F241,Dim_Product!$A$2:$A$4,0))),G241-H241,G241-H241-1)</f>
        <v>46</v>
      </c>
      <c r="U241" s="4">
        <f t="shared" si="29"/>
        <v>2</v>
      </c>
      <c r="V241" s="4">
        <f t="shared" si="30"/>
        <v>4.1666666666666664E-2</v>
      </c>
      <c r="W241" s="16">
        <f t="shared" si="31"/>
        <v>0.95833333333333337</v>
      </c>
    </row>
    <row r="242" spans="1:23" x14ac:dyDescent="0.25">
      <c r="A242" s="15" t="s">
        <v>743</v>
      </c>
      <c r="B242" s="4">
        <f>Fact_Production_Hourly!B242</f>
        <v>20260702</v>
      </c>
      <c r="C242" s="4">
        <f>Fact_Production_Hourly!C242</f>
        <v>10</v>
      </c>
      <c r="D242" s="4" t="str">
        <f>Fact_Production_Hourly!D242</f>
        <v>M3</v>
      </c>
      <c r="E242" s="4" t="str">
        <f>Fact_Production_Hourly!E242</f>
        <v>A-AM</v>
      </c>
      <c r="F242" s="4" t="str">
        <f>Fact_Production_Hourly!F242</f>
        <v>A</v>
      </c>
      <c r="G242" s="4">
        <f>INDEX(Dim_Machine!$D$2:$D$8,MATCH(D242,Dim_Machine!$A$2:$A$8,0))*2</f>
        <v>24</v>
      </c>
      <c r="H242" s="4">
        <f>ROUND(G242*0.047,0)</f>
        <v>1</v>
      </c>
      <c r="I242" s="4">
        <f t="shared" si="24"/>
        <v>0</v>
      </c>
      <c r="J242" s="4">
        <f t="shared" si="25"/>
        <v>0</v>
      </c>
      <c r="K242" s="4">
        <f t="shared" si="26"/>
        <v>1</v>
      </c>
      <c r="L242" s="4" t="s">
        <v>500</v>
      </c>
      <c r="M242" s="4">
        <f>INDEX(Dim_Product!$C$2:$C$4,MATCH(F242,Dim_Product!$A$2:$A$4,0))+0.63</f>
        <v>250.63</v>
      </c>
      <c r="N242" s="4">
        <f>IF(AND(M242&gt;=INDEX(Dim_Product!$C$2:$C$4,MATCH(F242,Dim_Product!$A$2:$A$4,0))-INDEX(Dim_Product!$D$2:$D$4,MATCH(F242,Dim_Product!$A$2:$A$4,0)),M242&lt;=INDEX(Dim_Product!$C$2:$C$4,MATCH(F242,Dim_Product!$A$2:$A$4,0))+INDEX(Dim_Product!$D$2:$D$4,MATCH(F242,Dim_Product!$A$2:$A$4,0))),G242-H242,G242-H242-1)</f>
        <v>23</v>
      </c>
      <c r="O242" s="4">
        <f t="shared" si="27"/>
        <v>1</v>
      </c>
      <c r="P242" s="4">
        <f>INDEX(Dim_Product!$G$2:$G$4,MATCH(F242,Dim_Product!$A$2:$A$4,0))+0.18</f>
        <v>70.180000000000007</v>
      </c>
      <c r="Q242" s="4">
        <f>IF(AND(P242&gt;=INDEX(Dim_Product!$G$2:$G$4,MATCH(F242,Dim_Product!$A$2:$A$4,0))-INDEX(Dim_Product!$H$2:$H$4,MATCH(F242,Dim_Product!$A$2:$A$4,0)),P242&lt;=INDEX(Dim_Product!$G$2:$G$4,MATCH(F242,Dim_Product!$A$2:$A$4,0))+INDEX(Dim_Product!$H$2:$H$4,MATCH(F242,Dim_Product!$A$2:$A$4,0))),G242-H242,G242-H242-1)</f>
        <v>23</v>
      </c>
      <c r="R242" s="4">
        <f t="shared" si="28"/>
        <v>1</v>
      </c>
      <c r="S242" s="4">
        <f>INDEX(Dim_Product!$K$2:$K$4,MATCH(F242,Dim_Product!$A$2:$A$4,0))+0.06</f>
        <v>120.06</v>
      </c>
      <c r="T242" s="4">
        <f>IF(AND(S242&gt;=INDEX(Dim_Product!$K$2:$K$4,MATCH(F242,Dim_Product!$A$2:$A$4,0))-INDEX(Dim_Product!$L$2:$L$4,MATCH(F242,Dim_Product!$A$2:$A$4,0)),S242&lt;=INDEX(Dim_Product!$K$2:$K$4,MATCH(F242,Dim_Product!$A$2:$A$4,0))+INDEX(Dim_Product!$L$2:$L$4,MATCH(F242,Dim_Product!$A$2:$A$4,0))),G242-H242,G242-H242-1)</f>
        <v>23</v>
      </c>
      <c r="U242" s="4">
        <f t="shared" si="29"/>
        <v>1</v>
      </c>
      <c r="V242" s="4">
        <f t="shared" si="30"/>
        <v>4.1666666666666664E-2</v>
      </c>
      <c r="W242" s="16">
        <f t="shared" si="31"/>
        <v>0.95833333333333337</v>
      </c>
    </row>
    <row r="243" spans="1:23" x14ac:dyDescent="0.25">
      <c r="A243" s="15" t="s">
        <v>744</v>
      </c>
      <c r="B243" s="4">
        <f>Fact_Production_Hourly!B243</f>
        <v>20260702</v>
      </c>
      <c r="C243" s="4">
        <f>Fact_Production_Hourly!C243</f>
        <v>10</v>
      </c>
      <c r="D243" s="4" t="str">
        <f>Fact_Production_Hourly!D243</f>
        <v>M4</v>
      </c>
      <c r="E243" s="4" t="str">
        <f>Fact_Production_Hourly!E243</f>
        <v>A-AM</v>
      </c>
      <c r="F243" s="4" t="str">
        <f>Fact_Production_Hourly!F243</f>
        <v>A</v>
      </c>
      <c r="G243" s="4">
        <f>INDEX(Dim_Machine!$D$2:$D$8,MATCH(D243,Dim_Machine!$A$2:$A$8,0))*2</f>
        <v>48</v>
      </c>
      <c r="H243" s="4">
        <f>ROUND(G243*0.0419,0)</f>
        <v>2</v>
      </c>
      <c r="I243" s="4">
        <f t="shared" si="24"/>
        <v>0</v>
      </c>
      <c r="J243" s="4">
        <f t="shared" si="25"/>
        <v>1</v>
      </c>
      <c r="K243" s="4">
        <f t="shared" si="26"/>
        <v>1</v>
      </c>
      <c r="L243" s="4" t="s">
        <v>509</v>
      </c>
      <c r="M243" s="4">
        <f>INDEX(Dim_Product!$C$2:$C$4,MATCH(F243,Dim_Product!$A$2:$A$4,0))+0.08</f>
        <v>250.08</v>
      </c>
      <c r="N243" s="4">
        <f>IF(AND(M243&gt;=INDEX(Dim_Product!$C$2:$C$4,MATCH(F243,Dim_Product!$A$2:$A$4,0))-INDEX(Dim_Product!$D$2:$D$4,MATCH(F243,Dim_Product!$A$2:$A$4,0)),M243&lt;=INDEX(Dim_Product!$C$2:$C$4,MATCH(F243,Dim_Product!$A$2:$A$4,0))+INDEX(Dim_Product!$D$2:$D$4,MATCH(F243,Dim_Product!$A$2:$A$4,0))),G243-H243,G243-H243-1)</f>
        <v>46</v>
      </c>
      <c r="O243" s="4">
        <f t="shared" si="27"/>
        <v>2</v>
      </c>
      <c r="P243" s="4">
        <f>INDEX(Dim_Product!$G$2:$G$4,MATCH(F243,Dim_Product!$A$2:$A$4,0))+-0.11</f>
        <v>69.89</v>
      </c>
      <c r="Q243" s="4">
        <f>IF(AND(P243&gt;=INDEX(Dim_Product!$G$2:$G$4,MATCH(F243,Dim_Product!$A$2:$A$4,0))-INDEX(Dim_Product!$H$2:$H$4,MATCH(F243,Dim_Product!$A$2:$A$4,0)),P243&lt;=INDEX(Dim_Product!$G$2:$G$4,MATCH(F243,Dim_Product!$A$2:$A$4,0))+INDEX(Dim_Product!$H$2:$H$4,MATCH(F243,Dim_Product!$A$2:$A$4,0))),G243-H243,G243-H243-1)</f>
        <v>46</v>
      </c>
      <c r="R243" s="4">
        <f t="shared" si="28"/>
        <v>2</v>
      </c>
      <c r="S243" s="4">
        <f>INDEX(Dim_Product!$K$2:$K$4,MATCH(F243,Dim_Product!$A$2:$A$4,0))+0.16</f>
        <v>120.16</v>
      </c>
      <c r="T243" s="4">
        <f>IF(AND(S243&gt;=INDEX(Dim_Product!$K$2:$K$4,MATCH(F243,Dim_Product!$A$2:$A$4,0))-INDEX(Dim_Product!$L$2:$L$4,MATCH(F243,Dim_Product!$A$2:$A$4,0)),S243&lt;=INDEX(Dim_Product!$K$2:$K$4,MATCH(F243,Dim_Product!$A$2:$A$4,0))+INDEX(Dim_Product!$L$2:$L$4,MATCH(F243,Dim_Product!$A$2:$A$4,0))),G243-H243,G243-H243-1)</f>
        <v>46</v>
      </c>
      <c r="U243" s="4">
        <f t="shared" si="29"/>
        <v>2</v>
      </c>
      <c r="V243" s="4">
        <f t="shared" si="30"/>
        <v>4.1666666666666664E-2</v>
      </c>
      <c r="W243" s="16">
        <f t="shared" si="31"/>
        <v>0.95833333333333337</v>
      </c>
    </row>
    <row r="244" spans="1:23" x14ac:dyDescent="0.25">
      <c r="A244" s="15" t="s">
        <v>745</v>
      </c>
      <c r="B244" s="4">
        <f>Fact_Production_Hourly!B244</f>
        <v>20260702</v>
      </c>
      <c r="C244" s="4">
        <f>Fact_Production_Hourly!C244</f>
        <v>10</v>
      </c>
      <c r="D244" s="4" t="str">
        <f>Fact_Production_Hourly!D244</f>
        <v>M5</v>
      </c>
      <c r="E244" s="4" t="str">
        <f>Fact_Production_Hourly!E244</f>
        <v>A-AM</v>
      </c>
      <c r="F244" s="4" t="str">
        <f>Fact_Production_Hourly!F244</f>
        <v>C</v>
      </c>
      <c r="G244" s="4">
        <f>INDEX(Dim_Machine!$D$2:$D$8,MATCH(D244,Dim_Machine!$A$2:$A$8,0))*2</f>
        <v>32</v>
      </c>
      <c r="H244" s="4">
        <f>ROUND(G244*0.0274,0)</f>
        <v>1</v>
      </c>
      <c r="I244" s="4">
        <f t="shared" si="24"/>
        <v>0</v>
      </c>
      <c r="J244" s="4">
        <f t="shared" si="25"/>
        <v>0</v>
      </c>
      <c r="K244" s="4">
        <f t="shared" si="26"/>
        <v>1</v>
      </c>
      <c r="L244" s="4" t="s">
        <v>517</v>
      </c>
      <c r="M244" s="4">
        <f>INDEX(Dim_Product!$C$2:$C$4,MATCH(F244,Dim_Product!$A$2:$A$4,0))+0.9</f>
        <v>200.9</v>
      </c>
      <c r="N244" s="4">
        <f>IF(AND(M244&gt;=INDEX(Dim_Product!$C$2:$C$4,MATCH(F244,Dim_Product!$A$2:$A$4,0))-INDEX(Dim_Product!$D$2:$D$4,MATCH(F244,Dim_Product!$A$2:$A$4,0)),M244&lt;=INDEX(Dim_Product!$C$2:$C$4,MATCH(F244,Dim_Product!$A$2:$A$4,0))+INDEX(Dim_Product!$D$2:$D$4,MATCH(F244,Dim_Product!$A$2:$A$4,0))),G244-H244,G244-H244-1)</f>
        <v>31</v>
      </c>
      <c r="O244" s="4">
        <f t="shared" si="27"/>
        <v>1</v>
      </c>
      <c r="P244" s="4">
        <f>INDEX(Dim_Product!$G$2:$G$4,MATCH(F244,Dim_Product!$A$2:$A$4,0))+0.01</f>
        <v>65.010000000000005</v>
      </c>
      <c r="Q244" s="4">
        <f>IF(AND(P244&gt;=INDEX(Dim_Product!$G$2:$G$4,MATCH(F244,Dim_Product!$A$2:$A$4,0))-INDEX(Dim_Product!$H$2:$H$4,MATCH(F244,Dim_Product!$A$2:$A$4,0)),P244&lt;=INDEX(Dim_Product!$G$2:$G$4,MATCH(F244,Dim_Product!$A$2:$A$4,0))+INDEX(Dim_Product!$H$2:$H$4,MATCH(F244,Dim_Product!$A$2:$A$4,0))),G244-H244,G244-H244-1)</f>
        <v>31</v>
      </c>
      <c r="R244" s="4">
        <f t="shared" si="28"/>
        <v>1</v>
      </c>
      <c r="S244" s="4">
        <f>INDEX(Dim_Product!$K$2:$K$4,MATCH(F244,Dim_Product!$A$2:$A$4,0))+0.32</f>
        <v>110.32</v>
      </c>
      <c r="T244" s="4">
        <f>IF(AND(S244&gt;=INDEX(Dim_Product!$K$2:$K$4,MATCH(F244,Dim_Product!$A$2:$A$4,0))-INDEX(Dim_Product!$L$2:$L$4,MATCH(F244,Dim_Product!$A$2:$A$4,0)),S244&lt;=INDEX(Dim_Product!$K$2:$K$4,MATCH(F244,Dim_Product!$A$2:$A$4,0))+INDEX(Dim_Product!$L$2:$L$4,MATCH(F244,Dim_Product!$A$2:$A$4,0))),G244-H244,G244-H244-1)</f>
        <v>31</v>
      </c>
      <c r="U244" s="4">
        <f t="shared" si="29"/>
        <v>1</v>
      </c>
      <c r="V244" s="4">
        <f t="shared" si="30"/>
        <v>3.125E-2</v>
      </c>
      <c r="W244" s="16">
        <f t="shared" si="31"/>
        <v>0.96875</v>
      </c>
    </row>
    <row r="245" spans="1:23" x14ac:dyDescent="0.25">
      <c r="A245" s="15" t="s">
        <v>746</v>
      </c>
      <c r="B245" s="4">
        <f>Fact_Production_Hourly!B245</f>
        <v>20260702</v>
      </c>
      <c r="C245" s="4">
        <f>Fact_Production_Hourly!C245</f>
        <v>10</v>
      </c>
      <c r="D245" s="4" t="str">
        <f>Fact_Production_Hourly!D245</f>
        <v>M6</v>
      </c>
      <c r="E245" s="4" t="str">
        <f>Fact_Production_Hourly!E245</f>
        <v>A-AM</v>
      </c>
      <c r="F245" s="4" t="str">
        <f>Fact_Production_Hourly!F245</f>
        <v>C</v>
      </c>
      <c r="G245" s="4">
        <f>INDEX(Dim_Machine!$D$2:$D$8,MATCH(D245,Dim_Machine!$A$2:$A$8,0))*2</f>
        <v>24</v>
      </c>
      <c r="H245" s="4">
        <f>ROUND(G245*0.0589,0)</f>
        <v>1</v>
      </c>
      <c r="I245" s="4">
        <f t="shared" si="24"/>
        <v>0</v>
      </c>
      <c r="J245" s="4">
        <f t="shared" si="25"/>
        <v>0</v>
      </c>
      <c r="K245" s="4">
        <f t="shared" si="26"/>
        <v>1</v>
      </c>
      <c r="L245" s="4" t="s">
        <v>500</v>
      </c>
      <c r="M245" s="4">
        <f>INDEX(Dim_Product!$C$2:$C$4,MATCH(F245,Dim_Product!$A$2:$A$4,0))+0.93</f>
        <v>200.93</v>
      </c>
      <c r="N245" s="4">
        <f>IF(AND(M245&gt;=INDEX(Dim_Product!$C$2:$C$4,MATCH(F245,Dim_Product!$A$2:$A$4,0))-INDEX(Dim_Product!$D$2:$D$4,MATCH(F245,Dim_Product!$A$2:$A$4,0)),M245&lt;=INDEX(Dim_Product!$C$2:$C$4,MATCH(F245,Dim_Product!$A$2:$A$4,0))+INDEX(Dim_Product!$D$2:$D$4,MATCH(F245,Dim_Product!$A$2:$A$4,0))),G245-H245,G245-H245-1)</f>
        <v>23</v>
      </c>
      <c r="O245" s="4">
        <f t="shared" si="27"/>
        <v>1</v>
      </c>
      <c r="P245" s="4">
        <f>INDEX(Dim_Product!$G$2:$G$4,MATCH(F245,Dim_Product!$A$2:$A$4,0))+0.17</f>
        <v>65.17</v>
      </c>
      <c r="Q245" s="4">
        <f>IF(AND(P245&gt;=INDEX(Dim_Product!$G$2:$G$4,MATCH(F245,Dim_Product!$A$2:$A$4,0))-INDEX(Dim_Product!$H$2:$H$4,MATCH(F245,Dim_Product!$A$2:$A$4,0)),P245&lt;=INDEX(Dim_Product!$G$2:$G$4,MATCH(F245,Dim_Product!$A$2:$A$4,0))+INDEX(Dim_Product!$H$2:$H$4,MATCH(F245,Dim_Product!$A$2:$A$4,0))),G245-H245,G245-H245-1)</f>
        <v>23</v>
      </c>
      <c r="R245" s="4">
        <f t="shared" si="28"/>
        <v>1</v>
      </c>
      <c r="S245" s="4">
        <f>INDEX(Dim_Product!$K$2:$K$4,MATCH(F245,Dim_Product!$A$2:$A$4,0))+0.34</f>
        <v>110.34</v>
      </c>
      <c r="T245" s="4">
        <f>IF(AND(S245&gt;=INDEX(Dim_Product!$K$2:$K$4,MATCH(F245,Dim_Product!$A$2:$A$4,0))-INDEX(Dim_Product!$L$2:$L$4,MATCH(F245,Dim_Product!$A$2:$A$4,0)),S245&lt;=INDEX(Dim_Product!$K$2:$K$4,MATCH(F245,Dim_Product!$A$2:$A$4,0))+INDEX(Dim_Product!$L$2:$L$4,MATCH(F245,Dim_Product!$A$2:$A$4,0))),G245-H245,G245-H245-1)</f>
        <v>23</v>
      </c>
      <c r="U245" s="4">
        <f t="shared" si="29"/>
        <v>1</v>
      </c>
      <c r="V245" s="4">
        <f t="shared" si="30"/>
        <v>4.1666666666666664E-2</v>
      </c>
      <c r="W245" s="16">
        <f t="shared" si="31"/>
        <v>0.95833333333333337</v>
      </c>
    </row>
    <row r="246" spans="1:23" x14ac:dyDescent="0.25">
      <c r="A246" s="15" t="s">
        <v>747</v>
      </c>
      <c r="B246" s="4">
        <f>Fact_Production_Hourly!B246</f>
        <v>20260702</v>
      </c>
      <c r="C246" s="4">
        <f>Fact_Production_Hourly!C246</f>
        <v>10</v>
      </c>
      <c r="D246" s="4" t="str">
        <f>Fact_Production_Hourly!D246</f>
        <v>M7</v>
      </c>
      <c r="E246" s="4" t="str">
        <f>Fact_Production_Hourly!E246</f>
        <v>A-AM</v>
      </c>
      <c r="F246" s="4" t="str">
        <f>Fact_Production_Hourly!F246</f>
        <v>C</v>
      </c>
      <c r="G246" s="4">
        <f>INDEX(Dim_Machine!$D$2:$D$8,MATCH(D246,Dim_Machine!$A$2:$A$8,0))*2</f>
        <v>48</v>
      </c>
      <c r="H246" s="4">
        <f>ROUND(G246*0.0695,0)</f>
        <v>3</v>
      </c>
      <c r="I246" s="4">
        <f t="shared" si="24"/>
        <v>0</v>
      </c>
      <c r="J246" s="4">
        <f t="shared" si="25"/>
        <v>1</v>
      </c>
      <c r="K246" s="4">
        <f t="shared" si="26"/>
        <v>2</v>
      </c>
      <c r="L246" s="4" t="s">
        <v>520</v>
      </c>
      <c r="M246" s="4">
        <f>INDEX(Dim_Product!$C$2:$C$4,MATCH(F246,Dim_Product!$A$2:$A$4,0))+-0.75</f>
        <v>199.25</v>
      </c>
      <c r="N246" s="4">
        <f>IF(AND(M246&gt;=INDEX(Dim_Product!$C$2:$C$4,MATCH(F246,Dim_Product!$A$2:$A$4,0))-INDEX(Dim_Product!$D$2:$D$4,MATCH(F246,Dim_Product!$A$2:$A$4,0)),M246&lt;=INDEX(Dim_Product!$C$2:$C$4,MATCH(F246,Dim_Product!$A$2:$A$4,0))+INDEX(Dim_Product!$D$2:$D$4,MATCH(F246,Dim_Product!$A$2:$A$4,0))),G246-H246,G246-H246-1)</f>
        <v>45</v>
      </c>
      <c r="O246" s="4">
        <f t="shared" si="27"/>
        <v>3</v>
      </c>
      <c r="P246" s="4">
        <f>INDEX(Dim_Product!$G$2:$G$4,MATCH(F246,Dim_Product!$A$2:$A$4,0))+0.22</f>
        <v>65.22</v>
      </c>
      <c r="Q246" s="4">
        <f>IF(AND(P246&gt;=INDEX(Dim_Product!$G$2:$G$4,MATCH(F246,Dim_Product!$A$2:$A$4,0))-INDEX(Dim_Product!$H$2:$H$4,MATCH(F246,Dim_Product!$A$2:$A$4,0)),P246&lt;=INDEX(Dim_Product!$G$2:$G$4,MATCH(F246,Dim_Product!$A$2:$A$4,0))+INDEX(Dim_Product!$H$2:$H$4,MATCH(F246,Dim_Product!$A$2:$A$4,0))),G246-H246,G246-H246-1)</f>
        <v>45</v>
      </c>
      <c r="R246" s="4">
        <f t="shared" si="28"/>
        <v>3</v>
      </c>
      <c r="S246" s="4">
        <f>INDEX(Dim_Product!$K$2:$K$4,MATCH(F246,Dim_Product!$A$2:$A$4,0))+-0.2</f>
        <v>109.8</v>
      </c>
      <c r="T246" s="4">
        <f>IF(AND(S246&gt;=INDEX(Dim_Product!$K$2:$K$4,MATCH(F246,Dim_Product!$A$2:$A$4,0))-INDEX(Dim_Product!$L$2:$L$4,MATCH(F246,Dim_Product!$A$2:$A$4,0)),S246&lt;=INDEX(Dim_Product!$K$2:$K$4,MATCH(F246,Dim_Product!$A$2:$A$4,0))+INDEX(Dim_Product!$L$2:$L$4,MATCH(F246,Dim_Product!$A$2:$A$4,0))),G246-H246,G246-H246-1)</f>
        <v>45</v>
      </c>
      <c r="U246" s="4">
        <f t="shared" si="29"/>
        <v>3</v>
      </c>
      <c r="V246" s="4">
        <f t="shared" si="30"/>
        <v>6.25E-2</v>
      </c>
      <c r="W246" s="16">
        <f t="shared" si="31"/>
        <v>0.9375</v>
      </c>
    </row>
    <row r="247" spans="1:23" x14ac:dyDescent="0.25">
      <c r="A247" s="15" t="s">
        <v>748</v>
      </c>
      <c r="B247" s="4">
        <f>Fact_Production_Hourly!B247</f>
        <v>20260702</v>
      </c>
      <c r="C247" s="4">
        <f>Fact_Production_Hourly!C247</f>
        <v>11</v>
      </c>
      <c r="D247" s="4" t="str">
        <f>Fact_Production_Hourly!D247</f>
        <v>M1</v>
      </c>
      <c r="E247" s="4" t="str">
        <f>Fact_Production_Hourly!E247</f>
        <v>A-AM</v>
      </c>
      <c r="F247" s="4" t="str">
        <f>Fact_Production_Hourly!F247</f>
        <v>C</v>
      </c>
      <c r="G247" s="4">
        <f>INDEX(Dim_Machine!$D$2:$D$8,MATCH(D247,Dim_Machine!$A$2:$A$8,0))*2</f>
        <v>32</v>
      </c>
      <c r="H247" s="4">
        <f>ROUND(G247*0.0527,0)</f>
        <v>2</v>
      </c>
      <c r="I247" s="4">
        <f t="shared" si="24"/>
        <v>0</v>
      </c>
      <c r="J247" s="4">
        <f t="shared" si="25"/>
        <v>1</v>
      </c>
      <c r="K247" s="4">
        <f t="shared" si="26"/>
        <v>1</v>
      </c>
      <c r="L247" s="4" t="s">
        <v>500</v>
      </c>
      <c r="M247" s="4">
        <f>INDEX(Dim_Product!$C$2:$C$4,MATCH(F247,Dim_Product!$A$2:$A$4,0))+0.52</f>
        <v>200.52</v>
      </c>
      <c r="N247" s="4">
        <f>IF(AND(M247&gt;=INDEX(Dim_Product!$C$2:$C$4,MATCH(F247,Dim_Product!$A$2:$A$4,0))-INDEX(Dim_Product!$D$2:$D$4,MATCH(F247,Dim_Product!$A$2:$A$4,0)),M247&lt;=INDEX(Dim_Product!$C$2:$C$4,MATCH(F247,Dim_Product!$A$2:$A$4,0))+INDEX(Dim_Product!$D$2:$D$4,MATCH(F247,Dim_Product!$A$2:$A$4,0))),G247-H247,G247-H247-1)</f>
        <v>30</v>
      </c>
      <c r="O247" s="4">
        <f t="shared" si="27"/>
        <v>2</v>
      </c>
      <c r="P247" s="4">
        <f>INDEX(Dim_Product!$G$2:$G$4,MATCH(F247,Dim_Product!$A$2:$A$4,0))+0.11</f>
        <v>65.11</v>
      </c>
      <c r="Q247" s="4">
        <f>IF(AND(P247&gt;=INDEX(Dim_Product!$G$2:$G$4,MATCH(F247,Dim_Product!$A$2:$A$4,0))-INDEX(Dim_Product!$H$2:$H$4,MATCH(F247,Dim_Product!$A$2:$A$4,0)),P247&lt;=INDEX(Dim_Product!$G$2:$G$4,MATCH(F247,Dim_Product!$A$2:$A$4,0))+INDEX(Dim_Product!$H$2:$H$4,MATCH(F247,Dim_Product!$A$2:$A$4,0))),G247-H247,G247-H247-1)</f>
        <v>30</v>
      </c>
      <c r="R247" s="4">
        <f t="shared" si="28"/>
        <v>2</v>
      </c>
      <c r="S247" s="4">
        <f>INDEX(Dim_Product!$K$2:$K$4,MATCH(F247,Dim_Product!$A$2:$A$4,0))+-0.01</f>
        <v>109.99</v>
      </c>
      <c r="T247" s="4">
        <f>IF(AND(S247&gt;=INDEX(Dim_Product!$K$2:$K$4,MATCH(F247,Dim_Product!$A$2:$A$4,0))-INDEX(Dim_Product!$L$2:$L$4,MATCH(F247,Dim_Product!$A$2:$A$4,0)),S247&lt;=INDEX(Dim_Product!$K$2:$K$4,MATCH(F247,Dim_Product!$A$2:$A$4,0))+INDEX(Dim_Product!$L$2:$L$4,MATCH(F247,Dim_Product!$A$2:$A$4,0))),G247-H247,G247-H247-1)</f>
        <v>30</v>
      </c>
      <c r="U247" s="4">
        <f t="shared" si="29"/>
        <v>2</v>
      </c>
      <c r="V247" s="4">
        <f t="shared" si="30"/>
        <v>6.25E-2</v>
      </c>
      <c r="W247" s="16">
        <f t="shared" si="31"/>
        <v>0.9375</v>
      </c>
    </row>
    <row r="248" spans="1:23" x14ac:dyDescent="0.25">
      <c r="A248" s="15" t="s">
        <v>749</v>
      </c>
      <c r="B248" s="4">
        <f>Fact_Production_Hourly!B248</f>
        <v>20260702</v>
      </c>
      <c r="C248" s="4">
        <f>Fact_Production_Hourly!C248</f>
        <v>11</v>
      </c>
      <c r="D248" s="4" t="str">
        <f>Fact_Production_Hourly!D248</f>
        <v>M2</v>
      </c>
      <c r="E248" s="4" t="str">
        <f>Fact_Production_Hourly!E248</f>
        <v>A-AM</v>
      </c>
      <c r="F248" s="4" t="str">
        <f>Fact_Production_Hourly!F248</f>
        <v>A</v>
      </c>
      <c r="G248" s="4">
        <f>INDEX(Dim_Machine!$D$2:$D$8,MATCH(D248,Dim_Machine!$A$2:$A$8,0))*2</f>
        <v>48</v>
      </c>
      <c r="H248" s="4">
        <f>ROUND(G248*0.0446,0)</f>
        <v>2</v>
      </c>
      <c r="I248" s="4">
        <f t="shared" si="24"/>
        <v>0</v>
      </c>
      <c r="J248" s="4">
        <f t="shared" si="25"/>
        <v>1</v>
      </c>
      <c r="K248" s="4">
        <f t="shared" si="26"/>
        <v>1</v>
      </c>
      <c r="L248" s="4" t="s">
        <v>517</v>
      </c>
      <c r="M248" s="4">
        <f>INDEX(Dim_Product!$C$2:$C$4,MATCH(F248,Dim_Product!$A$2:$A$4,0))+0.26</f>
        <v>250.26</v>
      </c>
      <c r="N248" s="4">
        <f>IF(AND(M248&gt;=INDEX(Dim_Product!$C$2:$C$4,MATCH(F248,Dim_Product!$A$2:$A$4,0))-INDEX(Dim_Product!$D$2:$D$4,MATCH(F248,Dim_Product!$A$2:$A$4,0)),M248&lt;=INDEX(Dim_Product!$C$2:$C$4,MATCH(F248,Dim_Product!$A$2:$A$4,0))+INDEX(Dim_Product!$D$2:$D$4,MATCH(F248,Dim_Product!$A$2:$A$4,0))),G248-H248,G248-H248-1)</f>
        <v>46</v>
      </c>
      <c r="O248" s="4">
        <f t="shared" si="27"/>
        <v>2</v>
      </c>
      <c r="P248" s="4">
        <f>INDEX(Dim_Product!$G$2:$G$4,MATCH(F248,Dim_Product!$A$2:$A$4,0))+-0.07</f>
        <v>69.930000000000007</v>
      </c>
      <c r="Q248" s="4">
        <f>IF(AND(P248&gt;=INDEX(Dim_Product!$G$2:$G$4,MATCH(F248,Dim_Product!$A$2:$A$4,0))-INDEX(Dim_Product!$H$2:$H$4,MATCH(F248,Dim_Product!$A$2:$A$4,0)),P248&lt;=INDEX(Dim_Product!$G$2:$G$4,MATCH(F248,Dim_Product!$A$2:$A$4,0))+INDEX(Dim_Product!$H$2:$H$4,MATCH(F248,Dim_Product!$A$2:$A$4,0))),G248-H248,G248-H248-1)</f>
        <v>46</v>
      </c>
      <c r="R248" s="4">
        <f t="shared" si="28"/>
        <v>2</v>
      </c>
      <c r="S248" s="4">
        <f>INDEX(Dim_Product!$K$2:$K$4,MATCH(F248,Dim_Product!$A$2:$A$4,0))+-0.34</f>
        <v>119.66</v>
      </c>
      <c r="T248" s="4">
        <f>IF(AND(S248&gt;=INDEX(Dim_Product!$K$2:$K$4,MATCH(F248,Dim_Product!$A$2:$A$4,0))-INDEX(Dim_Product!$L$2:$L$4,MATCH(F248,Dim_Product!$A$2:$A$4,0)),S248&lt;=INDEX(Dim_Product!$K$2:$K$4,MATCH(F248,Dim_Product!$A$2:$A$4,0))+INDEX(Dim_Product!$L$2:$L$4,MATCH(F248,Dim_Product!$A$2:$A$4,0))),G248-H248,G248-H248-1)</f>
        <v>46</v>
      </c>
      <c r="U248" s="4">
        <f t="shared" si="29"/>
        <v>2</v>
      </c>
      <c r="V248" s="4">
        <f t="shared" si="30"/>
        <v>4.1666666666666664E-2</v>
      </c>
      <c r="W248" s="16">
        <f t="shared" si="31"/>
        <v>0.95833333333333337</v>
      </c>
    </row>
    <row r="249" spans="1:23" x14ac:dyDescent="0.25">
      <c r="A249" s="15" t="s">
        <v>750</v>
      </c>
      <c r="B249" s="4">
        <f>Fact_Production_Hourly!B249</f>
        <v>20260702</v>
      </c>
      <c r="C249" s="4">
        <f>Fact_Production_Hourly!C249</f>
        <v>11</v>
      </c>
      <c r="D249" s="4" t="str">
        <f>Fact_Production_Hourly!D249</f>
        <v>M3</v>
      </c>
      <c r="E249" s="4" t="str">
        <f>Fact_Production_Hourly!E249</f>
        <v>A-AM</v>
      </c>
      <c r="F249" s="4" t="str">
        <f>Fact_Production_Hourly!F249</f>
        <v>A</v>
      </c>
      <c r="G249" s="4">
        <f>INDEX(Dim_Machine!$D$2:$D$8,MATCH(D249,Dim_Machine!$A$2:$A$8,0))*2</f>
        <v>24</v>
      </c>
      <c r="H249" s="4">
        <f>ROUND(G249*0.0577,0)</f>
        <v>1</v>
      </c>
      <c r="I249" s="4">
        <f t="shared" si="24"/>
        <v>0</v>
      </c>
      <c r="J249" s="4">
        <f t="shared" si="25"/>
        <v>0</v>
      </c>
      <c r="K249" s="4">
        <f t="shared" si="26"/>
        <v>1</v>
      </c>
      <c r="L249" s="4" t="s">
        <v>498</v>
      </c>
      <c r="M249" s="4">
        <f>INDEX(Dim_Product!$C$2:$C$4,MATCH(F249,Dim_Product!$A$2:$A$4,0))+-0.19</f>
        <v>249.81</v>
      </c>
      <c r="N249" s="4">
        <f>IF(AND(M249&gt;=INDEX(Dim_Product!$C$2:$C$4,MATCH(F249,Dim_Product!$A$2:$A$4,0))-INDEX(Dim_Product!$D$2:$D$4,MATCH(F249,Dim_Product!$A$2:$A$4,0)),M249&lt;=INDEX(Dim_Product!$C$2:$C$4,MATCH(F249,Dim_Product!$A$2:$A$4,0))+INDEX(Dim_Product!$D$2:$D$4,MATCH(F249,Dim_Product!$A$2:$A$4,0))),G249-H249,G249-H249-1)</f>
        <v>23</v>
      </c>
      <c r="O249" s="4">
        <f t="shared" si="27"/>
        <v>1</v>
      </c>
      <c r="P249" s="4">
        <f>INDEX(Dim_Product!$G$2:$G$4,MATCH(F249,Dim_Product!$A$2:$A$4,0))+0.15</f>
        <v>70.150000000000006</v>
      </c>
      <c r="Q249" s="4">
        <f>IF(AND(P249&gt;=INDEX(Dim_Product!$G$2:$G$4,MATCH(F249,Dim_Product!$A$2:$A$4,0))-INDEX(Dim_Product!$H$2:$H$4,MATCH(F249,Dim_Product!$A$2:$A$4,0)),P249&lt;=INDEX(Dim_Product!$G$2:$G$4,MATCH(F249,Dim_Product!$A$2:$A$4,0))+INDEX(Dim_Product!$H$2:$H$4,MATCH(F249,Dim_Product!$A$2:$A$4,0))),G249-H249,G249-H249-1)</f>
        <v>23</v>
      </c>
      <c r="R249" s="4">
        <f t="shared" si="28"/>
        <v>1</v>
      </c>
      <c r="S249" s="4">
        <f>INDEX(Dim_Product!$K$2:$K$4,MATCH(F249,Dim_Product!$A$2:$A$4,0))+0.16</f>
        <v>120.16</v>
      </c>
      <c r="T249" s="4">
        <f>IF(AND(S249&gt;=INDEX(Dim_Product!$K$2:$K$4,MATCH(F249,Dim_Product!$A$2:$A$4,0))-INDEX(Dim_Product!$L$2:$L$4,MATCH(F249,Dim_Product!$A$2:$A$4,0)),S249&lt;=INDEX(Dim_Product!$K$2:$K$4,MATCH(F249,Dim_Product!$A$2:$A$4,0))+INDEX(Dim_Product!$L$2:$L$4,MATCH(F249,Dim_Product!$A$2:$A$4,0))),G249-H249,G249-H249-1)</f>
        <v>23</v>
      </c>
      <c r="U249" s="4">
        <f t="shared" si="29"/>
        <v>1</v>
      </c>
      <c r="V249" s="4">
        <f t="shared" si="30"/>
        <v>4.1666666666666664E-2</v>
      </c>
      <c r="W249" s="16">
        <f t="shared" si="31"/>
        <v>0.95833333333333337</v>
      </c>
    </row>
    <row r="250" spans="1:23" x14ac:dyDescent="0.25">
      <c r="A250" s="15" t="s">
        <v>751</v>
      </c>
      <c r="B250" s="4">
        <f>Fact_Production_Hourly!B250</f>
        <v>20260702</v>
      </c>
      <c r="C250" s="4">
        <f>Fact_Production_Hourly!C250</f>
        <v>11</v>
      </c>
      <c r="D250" s="4" t="str">
        <f>Fact_Production_Hourly!D250</f>
        <v>M4</v>
      </c>
      <c r="E250" s="4" t="str">
        <f>Fact_Production_Hourly!E250</f>
        <v>A-AM</v>
      </c>
      <c r="F250" s="4" t="str">
        <f>Fact_Production_Hourly!F250</f>
        <v>A</v>
      </c>
      <c r="G250" s="4">
        <f>INDEX(Dim_Machine!$D$2:$D$8,MATCH(D250,Dim_Machine!$A$2:$A$8,0))*2</f>
        <v>48</v>
      </c>
      <c r="H250" s="4">
        <f>ROUND(G250*0.0626,0)</f>
        <v>3</v>
      </c>
      <c r="I250" s="4">
        <f t="shared" si="24"/>
        <v>0</v>
      </c>
      <c r="J250" s="4">
        <f t="shared" si="25"/>
        <v>1</v>
      </c>
      <c r="K250" s="4">
        <f t="shared" si="26"/>
        <v>2</v>
      </c>
      <c r="L250" s="4" t="s">
        <v>503</v>
      </c>
      <c r="M250" s="4">
        <f>INDEX(Dim_Product!$C$2:$C$4,MATCH(F250,Dim_Product!$A$2:$A$4,0))+0.9</f>
        <v>250.9</v>
      </c>
      <c r="N250" s="4">
        <f>IF(AND(M250&gt;=INDEX(Dim_Product!$C$2:$C$4,MATCH(F250,Dim_Product!$A$2:$A$4,0))-INDEX(Dim_Product!$D$2:$D$4,MATCH(F250,Dim_Product!$A$2:$A$4,0)),M250&lt;=INDEX(Dim_Product!$C$2:$C$4,MATCH(F250,Dim_Product!$A$2:$A$4,0))+INDEX(Dim_Product!$D$2:$D$4,MATCH(F250,Dim_Product!$A$2:$A$4,0))),G250-H250,G250-H250-1)</f>
        <v>45</v>
      </c>
      <c r="O250" s="4">
        <f t="shared" si="27"/>
        <v>3</v>
      </c>
      <c r="P250" s="4">
        <f>INDEX(Dim_Product!$G$2:$G$4,MATCH(F250,Dim_Product!$A$2:$A$4,0))+-0.1</f>
        <v>69.900000000000006</v>
      </c>
      <c r="Q250" s="4">
        <f>IF(AND(P250&gt;=INDEX(Dim_Product!$G$2:$G$4,MATCH(F250,Dim_Product!$A$2:$A$4,0))-INDEX(Dim_Product!$H$2:$H$4,MATCH(F250,Dim_Product!$A$2:$A$4,0)),P250&lt;=INDEX(Dim_Product!$G$2:$G$4,MATCH(F250,Dim_Product!$A$2:$A$4,0))+INDEX(Dim_Product!$H$2:$H$4,MATCH(F250,Dim_Product!$A$2:$A$4,0))),G250-H250,G250-H250-1)</f>
        <v>45</v>
      </c>
      <c r="R250" s="4">
        <f t="shared" si="28"/>
        <v>3</v>
      </c>
      <c r="S250" s="4">
        <f>INDEX(Dim_Product!$K$2:$K$4,MATCH(F250,Dim_Product!$A$2:$A$4,0))+-0.4</f>
        <v>119.6</v>
      </c>
      <c r="T250" s="4">
        <f>IF(AND(S250&gt;=INDEX(Dim_Product!$K$2:$K$4,MATCH(F250,Dim_Product!$A$2:$A$4,0))-INDEX(Dim_Product!$L$2:$L$4,MATCH(F250,Dim_Product!$A$2:$A$4,0)),S250&lt;=INDEX(Dim_Product!$K$2:$K$4,MATCH(F250,Dim_Product!$A$2:$A$4,0))+INDEX(Dim_Product!$L$2:$L$4,MATCH(F250,Dim_Product!$A$2:$A$4,0))),G250-H250,G250-H250-1)</f>
        <v>45</v>
      </c>
      <c r="U250" s="4">
        <f t="shared" si="29"/>
        <v>3</v>
      </c>
      <c r="V250" s="4">
        <f t="shared" si="30"/>
        <v>6.25E-2</v>
      </c>
      <c r="W250" s="16">
        <f t="shared" si="31"/>
        <v>0.9375</v>
      </c>
    </row>
    <row r="251" spans="1:23" x14ac:dyDescent="0.25">
      <c r="A251" s="15" t="s">
        <v>752</v>
      </c>
      <c r="B251" s="4">
        <f>Fact_Production_Hourly!B251</f>
        <v>20260702</v>
      </c>
      <c r="C251" s="4">
        <f>Fact_Production_Hourly!C251</f>
        <v>11</v>
      </c>
      <c r="D251" s="4" t="str">
        <f>Fact_Production_Hourly!D251</f>
        <v>M5</v>
      </c>
      <c r="E251" s="4" t="str">
        <f>Fact_Production_Hourly!E251</f>
        <v>A-AM</v>
      </c>
      <c r="F251" s="4" t="str">
        <f>Fact_Production_Hourly!F251</f>
        <v>C</v>
      </c>
      <c r="G251" s="4">
        <f>INDEX(Dim_Machine!$D$2:$D$8,MATCH(D251,Dim_Machine!$A$2:$A$8,0))*2</f>
        <v>32</v>
      </c>
      <c r="H251" s="4">
        <f>ROUND(G251*0.0564,0)</f>
        <v>2</v>
      </c>
      <c r="I251" s="4">
        <f t="shared" si="24"/>
        <v>0</v>
      </c>
      <c r="J251" s="4">
        <f t="shared" si="25"/>
        <v>1</v>
      </c>
      <c r="K251" s="4">
        <f t="shared" si="26"/>
        <v>1</v>
      </c>
      <c r="L251" s="4" t="s">
        <v>520</v>
      </c>
      <c r="M251" s="4">
        <f>INDEX(Dim_Product!$C$2:$C$4,MATCH(F251,Dim_Product!$A$2:$A$4,0))+-0.81</f>
        <v>199.19</v>
      </c>
      <c r="N251" s="4">
        <f>IF(AND(M251&gt;=INDEX(Dim_Product!$C$2:$C$4,MATCH(F251,Dim_Product!$A$2:$A$4,0))-INDEX(Dim_Product!$D$2:$D$4,MATCH(F251,Dim_Product!$A$2:$A$4,0)),M251&lt;=INDEX(Dim_Product!$C$2:$C$4,MATCH(F251,Dim_Product!$A$2:$A$4,0))+INDEX(Dim_Product!$D$2:$D$4,MATCH(F251,Dim_Product!$A$2:$A$4,0))),G251-H251,G251-H251-1)</f>
        <v>30</v>
      </c>
      <c r="O251" s="4">
        <f t="shared" si="27"/>
        <v>2</v>
      </c>
      <c r="P251" s="4">
        <f>INDEX(Dim_Product!$G$2:$G$4,MATCH(F251,Dim_Product!$A$2:$A$4,0))+0.28</f>
        <v>65.28</v>
      </c>
      <c r="Q251" s="4">
        <f>IF(AND(P251&gt;=INDEX(Dim_Product!$G$2:$G$4,MATCH(F251,Dim_Product!$A$2:$A$4,0))-INDEX(Dim_Product!$H$2:$H$4,MATCH(F251,Dim_Product!$A$2:$A$4,0)),P251&lt;=INDEX(Dim_Product!$G$2:$G$4,MATCH(F251,Dim_Product!$A$2:$A$4,0))+INDEX(Dim_Product!$H$2:$H$4,MATCH(F251,Dim_Product!$A$2:$A$4,0))),G251-H251,G251-H251-1)</f>
        <v>30</v>
      </c>
      <c r="R251" s="4">
        <f t="shared" si="28"/>
        <v>2</v>
      </c>
      <c r="S251" s="4">
        <f>INDEX(Dim_Product!$K$2:$K$4,MATCH(F251,Dim_Product!$A$2:$A$4,0))+0.11</f>
        <v>110.11</v>
      </c>
      <c r="T251" s="4">
        <f>IF(AND(S251&gt;=INDEX(Dim_Product!$K$2:$K$4,MATCH(F251,Dim_Product!$A$2:$A$4,0))-INDEX(Dim_Product!$L$2:$L$4,MATCH(F251,Dim_Product!$A$2:$A$4,0)),S251&lt;=INDEX(Dim_Product!$K$2:$K$4,MATCH(F251,Dim_Product!$A$2:$A$4,0))+INDEX(Dim_Product!$L$2:$L$4,MATCH(F251,Dim_Product!$A$2:$A$4,0))),G251-H251,G251-H251-1)</f>
        <v>30</v>
      </c>
      <c r="U251" s="4">
        <f t="shared" si="29"/>
        <v>2</v>
      </c>
      <c r="V251" s="4">
        <f t="shared" si="30"/>
        <v>6.25E-2</v>
      </c>
      <c r="W251" s="16">
        <f t="shared" si="31"/>
        <v>0.9375</v>
      </c>
    </row>
    <row r="252" spans="1:23" x14ac:dyDescent="0.25">
      <c r="A252" s="15" t="s">
        <v>753</v>
      </c>
      <c r="B252" s="4">
        <f>Fact_Production_Hourly!B252</f>
        <v>20260702</v>
      </c>
      <c r="C252" s="4">
        <f>Fact_Production_Hourly!C252</f>
        <v>11</v>
      </c>
      <c r="D252" s="4" t="str">
        <f>Fact_Production_Hourly!D252</f>
        <v>M6</v>
      </c>
      <c r="E252" s="4" t="str">
        <f>Fact_Production_Hourly!E252</f>
        <v>A-AM</v>
      </c>
      <c r="F252" s="4" t="str">
        <f>Fact_Production_Hourly!F252</f>
        <v>C</v>
      </c>
      <c r="G252" s="4">
        <f>INDEX(Dim_Machine!$D$2:$D$8,MATCH(D252,Dim_Machine!$A$2:$A$8,0))*2</f>
        <v>24</v>
      </c>
      <c r="H252" s="4">
        <f>ROUND(G252*0.0518,0)</f>
        <v>1</v>
      </c>
      <c r="I252" s="4">
        <f t="shared" si="24"/>
        <v>0</v>
      </c>
      <c r="J252" s="4">
        <f t="shared" si="25"/>
        <v>0</v>
      </c>
      <c r="K252" s="4">
        <f t="shared" si="26"/>
        <v>1</v>
      </c>
      <c r="L252" s="4" t="s">
        <v>498</v>
      </c>
      <c r="M252" s="4">
        <f>INDEX(Dim_Product!$C$2:$C$4,MATCH(F252,Dim_Product!$A$2:$A$4,0))+0.59</f>
        <v>200.59</v>
      </c>
      <c r="N252" s="4">
        <f>IF(AND(M252&gt;=INDEX(Dim_Product!$C$2:$C$4,MATCH(F252,Dim_Product!$A$2:$A$4,0))-INDEX(Dim_Product!$D$2:$D$4,MATCH(F252,Dim_Product!$A$2:$A$4,0)),M252&lt;=INDEX(Dim_Product!$C$2:$C$4,MATCH(F252,Dim_Product!$A$2:$A$4,0))+INDEX(Dim_Product!$D$2:$D$4,MATCH(F252,Dim_Product!$A$2:$A$4,0))),G252-H252,G252-H252-1)</f>
        <v>23</v>
      </c>
      <c r="O252" s="4">
        <f t="shared" si="27"/>
        <v>1</v>
      </c>
      <c r="P252" s="4">
        <f>INDEX(Dim_Product!$G$2:$G$4,MATCH(F252,Dim_Product!$A$2:$A$4,0))+-0.06</f>
        <v>64.94</v>
      </c>
      <c r="Q252" s="4">
        <f>IF(AND(P252&gt;=INDEX(Dim_Product!$G$2:$G$4,MATCH(F252,Dim_Product!$A$2:$A$4,0))-INDEX(Dim_Product!$H$2:$H$4,MATCH(F252,Dim_Product!$A$2:$A$4,0)),P252&lt;=INDEX(Dim_Product!$G$2:$G$4,MATCH(F252,Dim_Product!$A$2:$A$4,0))+INDEX(Dim_Product!$H$2:$H$4,MATCH(F252,Dim_Product!$A$2:$A$4,0))),G252-H252,G252-H252-1)</f>
        <v>23</v>
      </c>
      <c r="R252" s="4">
        <f t="shared" si="28"/>
        <v>1</v>
      </c>
      <c r="S252" s="4">
        <f>INDEX(Dim_Product!$K$2:$K$4,MATCH(F252,Dim_Product!$A$2:$A$4,0))+0.37</f>
        <v>110.37</v>
      </c>
      <c r="T252" s="4">
        <f>IF(AND(S252&gt;=INDEX(Dim_Product!$K$2:$K$4,MATCH(F252,Dim_Product!$A$2:$A$4,0))-INDEX(Dim_Product!$L$2:$L$4,MATCH(F252,Dim_Product!$A$2:$A$4,0)),S252&lt;=INDEX(Dim_Product!$K$2:$K$4,MATCH(F252,Dim_Product!$A$2:$A$4,0))+INDEX(Dim_Product!$L$2:$L$4,MATCH(F252,Dim_Product!$A$2:$A$4,0))),G252-H252,G252-H252-1)</f>
        <v>23</v>
      </c>
      <c r="U252" s="4">
        <f t="shared" si="29"/>
        <v>1</v>
      </c>
      <c r="V252" s="4">
        <f t="shared" si="30"/>
        <v>4.1666666666666664E-2</v>
      </c>
      <c r="W252" s="16">
        <f t="shared" si="31"/>
        <v>0.95833333333333337</v>
      </c>
    </row>
    <row r="253" spans="1:23" x14ac:dyDescent="0.25">
      <c r="A253" s="15" t="s">
        <v>754</v>
      </c>
      <c r="B253" s="4">
        <f>Fact_Production_Hourly!B253</f>
        <v>20260702</v>
      </c>
      <c r="C253" s="4">
        <f>Fact_Production_Hourly!C253</f>
        <v>11</v>
      </c>
      <c r="D253" s="4" t="str">
        <f>Fact_Production_Hourly!D253</f>
        <v>M7</v>
      </c>
      <c r="E253" s="4" t="str">
        <f>Fact_Production_Hourly!E253</f>
        <v>A-AM</v>
      </c>
      <c r="F253" s="4" t="str">
        <f>Fact_Production_Hourly!F253</f>
        <v>C</v>
      </c>
      <c r="G253" s="4">
        <f>INDEX(Dim_Machine!$D$2:$D$8,MATCH(D253,Dim_Machine!$A$2:$A$8,0))*2</f>
        <v>48</v>
      </c>
      <c r="H253" s="4">
        <f>ROUND(G253*0.0595,0)</f>
        <v>3</v>
      </c>
      <c r="I253" s="4">
        <f t="shared" si="24"/>
        <v>0</v>
      </c>
      <c r="J253" s="4">
        <f t="shared" si="25"/>
        <v>1</v>
      </c>
      <c r="K253" s="4">
        <f t="shared" si="26"/>
        <v>2</v>
      </c>
      <c r="L253" s="4" t="s">
        <v>503</v>
      </c>
      <c r="M253" s="4">
        <f>INDEX(Dim_Product!$C$2:$C$4,MATCH(F253,Dim_Product!$A$2:$A$4,0))+-0.46</f>
        <v>199.54</v>
      </c>
      <c r="N253" s="4">
        <f>IF(AND(M253&gt;=INDEX(Dim_Product!$C$2:$C$4,MATCH(F253,Dim_Product!$A$2:$A$4,0))-INDEX(Dim_Product!$D$2:$D$4,MATCH(F253,Dim_Product!$A$2:$A$4,0)),M253&lt;=INDEX(Dim_Product!$C$2:$C$4,MATCH(F253,Dim_Product!$A$2:$A$4,0))+INDEX(Dim_Product!$D$2:$D$4,MATCH(F253,Dim_Product!$A$2:$A$4,0))),G253-H253,G253-H253-1)</f>
        <v>45</v>
      </c>
      <c r="O253" s="4">
        <f t="shared" si="27"/>
        <v>3</v>
      </c>
      <c r="P253" s="4">
        <f>INDEX(Dim_Product!$G$2:$G$4,MATCH(F253,Dim_Product!$A$2:$A$4,0))+0.2</f>
        <v>65.2</v>
      </c>
      <c r="Q253" s="4">
        <f>IF(AND(P253&gt;=INDEX(Dim_Product!$G$2:$G$4,MATCH(F253,Dim_Product!$A$2:$A$4,0))-INDEX(Dim_Product!$H$2:$H$4,MATCH(F253,Dim_Product!$A$2:$A$4,0)),P253&lt;=INDEX(Dim_Product!$G$2:$G$4,MATCH(F253,Dim_Product!$A$2:$A$4,0))+INDEX(Dim_Product!$H$2:$H$4,MATCH(F253,Dim_Product!$A$2:$A$4,0))),G253-H253,G253-H253-1)</f>
        <v>45</v>
      </c>
      <c r="R253" s="4">
        <f t="shared" si="28"/>
        <v>3</v>
      </c>
      <c r="S253" s="4">
        <f>INDEX(Dim_Product!$K$2:$K$4,MATCH(F253,Dim_Product!$A$2:$A$4,0))+-0.13</f>
        <v>109.87</v>
      </c>
      <c r="T253" s="4">
        <f>IF(AND(S253&gt;=INDEX(Dim_Product!$K$2:$K$4,MATCH(F253,Dim_Product!$A$2:$A$4,0))-INDEX(Dim_Product!$L$2:$L$4,MATCH(F253,Dim_Product!$A$2:$A$4,0)),S253&lt;=INDEX(Dim_Product!$K$2:$K$4,MATCH(F253,Dim_Product!$A$2:$A$4,0))+INDEX(Dim_Product!$L$2:$L$4,MATCH(F253,Dim_Product!$A$2:$A$4,0))),G253-H253,G253-H253-1)</f>
        <v>45</v>
      </c>
      <c r="U253" s="4">
        <f t="shared" si="29"/>
        <v>3</v>
      </c>
      <c r="V253" s="4">
        <f t="shared" si="30"/>
        <v>6.25E-2</v>
      </c>
      <c r="W253" s="16">
        <f t="shared" si="31"/>
        <v>0.9375</v>
      </c>
    </row>
    <row r="254" spans="1:23" x14ac:dyDescent="0.25">
      <c r="A254" s="15" t="s">
        <v>755</v>
      </c>
      <c r="B254" s="4">
        <f>Fact_Production_Hourly!B254</f>
        <v>20260702</v>
      </c>
      <c r="C254" s="4">
        <f>Fact_Production_Hourly!C254</f>
        <v>12</v>
      </c>
      <c r="D254" s="4" t="str">
        <f>Fact_Production_Hourly!D254</f>
        <v>M1</v>
      </c>
      <c r="E254" s="4" t="str">
        <f>Fact_Production_Hourly!E254</f>
        <v>A-AM</v>
      </c>
      <c r="F254" s="4" t="str">
        <f>Fact_Production_Hourly!F254</f>
        <v>C</v>
      </c>
      <c r="G254" s="4">
        <f>INDEX(Dim_Machine!$D$2:$D$8,MATCH(D254,Dim_Machine!$A$2:$A$8,0))*2</f>
        <v>32</v>
      </c>
      <c r="H254" s="4">
        <f>ROUND(G254*0.0447,0)</f>
        <v>1</v>
      </c>
      <c r="I254" s="4">
        <f t="shared" si="24"/>
        <v>0</v>
      </c>
      <c r="J254" s="4">
        <f t="shared" si="25"/>
        <v>0</v>
      </c>
      <c r="K254" s="4">
        <f t="shared" si="26"/>
        <v>1</v>
      </c>
      <c r="L254" s="4" t="s">
        <v>509</v>
      </c>
      <c r="M254" s="4">
        <f>INDEX(Dim_Product!$C$2:$C$4,MATCH(F254,Dim_Product!$A$2:$A$4,0))+0.7</f>
        <v>200.7</v>
      </c>
      <c r="N254" s="4">
        <f>IF(AND(M254&gt;=INDEX(Dim_Product!$C$2:$C$4,MATCH(F254,Dim_Product!$A$2:$A$4,0))-INDEX(Dim_Product!$D$2:$D$4,MATCH(F254,Dim_Product!$A$2:$A$4,0)),M254&lt;=INDEX(Dim_Product!$C$2:$C$4,MATCH(F254,Dim_Product!$A$2:$A$4,0))+INDEX(Dim_Product!$D$2:$D$4,MATCH(F254,Dim_Product!$A$2:$A$4,0))),G254-H254,G254-H254-1)</f>
        <v>31</v>
      </c>
      <c r="O254" s="4">
        <f t="shared" si="27"/>
        <v>1</v>
      </c>
      <c r="P254" s="4">
        <f>INDEX(Dim_Product!$G$2:$G$4,MATCH(F254,Dim_Product!$A$2:$A$4,0))+0.17</f>
        <v>65.17</v>
      </c>
      <c r="Q254" s="4">
        <f>IF(AND(P254&gt;=INDEX(Dim_Product!$G$2:$G$4,MATCH(F254,Dim_Product!$A$2:$A$4,0))-INDEX(Dim_Product!$H$2:$H$4,MATCH(F254,Dim_Product!$A$2:$A$4,0)),P254&lt;=INDEX(Dim_Product!$G$2:$G$4,MATCH(F254,Dim_Product!$A$2:$A$4,0))+INDEX(Dim_Product!$H$2:$H$4,MATCH(F254,Dim_Product!$A$2:$A$4,0))),G254-H254,G254-H254-1)</f>
        <v>31</v>
      </c>
      <c r="R254" s="4">
        <f t="shared" si="28"/>
        <v>1</v>
      </c>
      <c r="S254" s="4">
        <f>INDEX(Dim_Product!$K$2:$K$4,MATCH(F254,Dim_Product!$A$2:$A$4,0))+0.32</f>
        <v>110.32</v>
      </c>
      <c r="T254" s="4">
        <f>IF(AND(S254&gt;=INDEX(Dim_Product!$K$2:$K$4,MATCH(F254,Dim_Product!$A$2:$A$4,0))-INDEX(Dim_Product!$L$2:$L$4,MATCH(F254,Dim_Product!$A$2:$A$4,0)),S254&lt;=INDEX(Dim_Product!$K$2:$K$4,MATCH(F254,Dim_Product!$A$2:$A$4,0))+INDEX(Dim_Product!$L$2:$L$4,MATCH(F254,Dim_Product!$A$2:$A$4,0))),G254-H254,G254-H254-1)</f>
        <v>31</v>
      </c>
      <c r="U254" s="4">
        <f t="shared" si="29"/>
        <v>1</v>
      </c>
      <c r="V254" s="4">
        <f t="shared" si="30"/>
        <v>3.125E-2</v>
      </c>
      <c r="W254" s="16">
        <f t="shared" si="31"/>
        <v>0.96875</v>
      </c>
    </row>
    <row r="255" spans="1:23" x14ac:dyDescent="0.25">
      <c r="A255" s="15" t="s">
        <v>756</v>
      </c>
      <c r="B255" s="4">
        <f>Fact_Production_Hourly!B255</f>
        <v>20260702</v>
      </c>
      <c r="C255" s="4">
        <f>Fact_Production_Hourly!C255</f>
        <v>12</v>
      </c>
      <c r="D255" s="4" t="str">
        <f>Fact_Production_Hourly!D255</f>
        <v>M2</v>
      </c>
      <c r="E255" s="4" t="str">
        <f>Fact_Production_Hourly!E255</f>
        <v>A-AM</v>
      </c>
      <c r="F255" s="4" t="str">
        <f>Fact_Production_Hourly!F255</f>
        <v>A</v>
      </c>
      <c r="G255" s="4">
        <f>INDEX(Dim_Machine!$D$2:$D$8,MATCH(D255,Dim_Machine!$A$2:$A$8,0))*2</f>
        <v>48</v>
      </c>
      <c r="H255" s="4">
        <f>ROUND(G255*0.0557,0)</f>
        <v>3</v>
      </c>
      <c r="I255" s="4">
        <f t="shared" si="24"/>
        <v>0</v>
      </c>
      <c r="J255" s="4">
        <f t="shared" si="25"/>
        <v>1</v>
      </c>
      <c r="K255" s="4">
        <f t="shared" si="26"/>
        <v>2</v>
      </c>
      <c r="L255" s="4" t="s">
        <v>498</v>
      </c>
      <c r="M255" s="4">
        <f>INDEX(Dim_Product!$C$2:$C$4,MATCH(F255,Dim_Product!$A$2:$A$4,0))+-0.8</f>
        <v>249.2</v>
      </c>
      <c r="N255" s="4">
        <f>IF(AND(M255&gt;=INDEX(Dim_Product!$C$2:$C$4,MATCH(F255,Dim_Product!$A$2:$A$4,0))-INDEX(Dim_Product!$D$2:$D$4,MATCH(F255,Dim_Product!$A$2:$A$4,0)),M255&lt;=INDEX(Dim_Product!$C$2:$C$4,MATCH(F255,Dim_Product!$A$2:$A$4,0))+INDEX(Dim_Product!$D$2:$D$4,MATCH(F255,Dim_Product!$A$2:$A$4,0))),G255-H255,G255-H255-1)</f>
        <v>45</v>
      </c>
      <c r="O255" s="4">
        <f t="shared" si="27"/>
        <v>3</v>
      </c>
      <c r="P255" s="4">
        <f>INDEX(Dim_Product!$G$2:$G$4,MATCH(F255,Dim_Product!$A$2:$A$4,0))+0.17</f>
        <v>70.17</v>
      </c>
      <c r="Q255" s="4">
        <f>IF(AND(P255&gt;=INDEX(Dim_Product!$G$2:$G$4,MATCH(F255,Dim_Product!$A$2:$A$4,0))-INDEX(Dim_Product!$H$2:$H$4,MATCH(F255,Dim_Product!$A$2:$A$4,0)),P255&lt;=INDEX(Dim_Product!$G$2:$G$4,MATCH(F255,Dim_Product!$A$2:$A$4,0))+INDEX(Dim_Product!$H$2:$H$4,MATCH(F255,Dim_Product!$A$2:$A$4,0))),G255-H255,G255-H255-1)</f>
        <v>45</v>
      </c>
      <c r="R255" s="4">
        <f t="shared" si="28"/>
        <v>3</v>
      </c>
      <c r="S255" s="4">
        <f>INDEX(Dim_Product!$K$2:$K$4,MATCH(F255,Dim_Product!$A$2:$A$4,0))+-0.03</f>
        <v>119.97</v>
      </c>
      <c r="T255" s="4">
        <f>IF(AND(S255&gt;=INDEX(Dim_Product!$K$2:$K$4,MATCH(F255,Dim_Product!$A$2:$A$4,0))-INDEX(Dim_Product!$L$2:$L$4,MATCH(F255,Dim_Product!$A$2:$A$4,0)),S255&lt;=INDEX(Dim_Product!$K$2:$K$4,MATCH(F255,Dim_Product!$A$2:$A$4,0))+INDEX(Dim_Product!$L$2:$L$4,MATCH(F255,Dim_Product!$A$2:$A$4,0))),G255-H255,G255-H255-1)</f>
        <v>45</v>
      </c>
      <c r="U255" s="4">
        <f t="shared" si="29"/>
        <v>3</v>
      </c>
      <c r="V255" s="4">
        <f t="shared" si="30"/>
        <v>6.25E-2</v>
      </c>
      <c r="W255" s="16">
        <f t="shared" si="31"/>
        <v>0.9375</v>
      </c>
    </row>
    <row r="256" spans="1:23" x14ac:dyDescent="0.25">
      <c r="A256" s="15" t="s">
        <v>757</v>
      </c>
      <c r="B256" s="4">
        <f>Fact_Production_Hourly!B256</f>
        <v>20260702</v>
      </c>
      <c r="C256" s="4">
        <f>Fact_Production_Hourly!C256</f>
        <v>12</v>
      </c>
      <c r="D256" s="4" t="str">
        <f>Fact_Production_Hourly!D256</f>
        <v>M3</v>
      </c>
      <c r="E256" s="4" t="str">
        <f>Fact_Production_Hourly!E256</f>
        <v>A-AM</v>
      </c>
      <c r="F256" s="4" t="str">
        <f>Fact_Production_Hourly!F256</f>
        <v>A</v>
      </c>
      <c r="G256" s="4">
        <f>INDEX(Dim_Machine!$D$2:$D$8,MATCH(D256,Dim_Machine!$A$2:$A$8,0))*2</f>
        <v>24</v>
      </c>
      <c r="H256" s="4">
        <f>ROUND(G256*0.0175,0)</f>
        <v>0</v>
      </c>
      <c r="I256" s="4">
        <f t="shared" si="24"/>
        <v>0</v>
      </c>
      <c r="J256" s="4">
        <f t="shared" si="25"/>
        <v>0</v>
      </c>
      <c r="K256" s="4">
        <f t="shared" si="26"/>
        <v>0</v>
      </c>
      <c r="L256" s="4" t="s">
        <v>500</v>
      </c>
      <c r="M256" s="4">
        <f>INDEX(Dim_Product!$C$2:$C$4,MATCH(F256,Dim_Product!$A$2:$A$4,0))+-0.12</f>
        <v>249.88</v>
      </c>
      <c r="N256" s="4">
        <f>IF(AND(M256&gt;=INDEX(Dim_Product!$C$2:$C$4,MATCH(F256,Dim_Product!$A$2:$A$4,0))-INDEX(Dim_Product!$D$2:$D$4,MATCH(F256,Dim_Product!$A$2:$A$4,0)),M256&lt;=INDEX(Dim_Product!$C$2:$C$4,MATCH(F256,Dim_Product!$A$2:$A$4,0))+INDEX(Dim_Product!$D$2:$D$4,MATCH(F256,Dim_Product!$A$2:$A$4,0))),G256-H256,G256-H256-1)</f>
        <v>24</v>
      </c>
      <c r="O256" s="4">
        <f t="shared" si="27"/>
        <v>0</v>
      </c>
      <c r="P256" s="4">
        <f>INDEX(Dim_Product!$G$2:$G$4,MATCH(F256,Dim_Product!$A$2:$A$4,0))+-0.3</f>
        <v>69.7</v>
      </c>
      <c r="Q256" s="4">
        <f>IF(AND(P256&gt;=INDEX(Dim_Product!$G$2:$G$4,MATCH(F256,Dim_Product!$A$2:$A$4,0))-INDEX(Dim_Product!$H$2:$H$4,MATCH(F256,Dim_Product!$A$2:$A$4,0)),P256&lt;=INDEX(Dim_Product!$G$2:$G$4,MATCH(F256,Dim_Product!$A$2:$A$4,0))+INDEX(Dim_Product!$H$2:$H$4,MATCH(F256,Dim_Product!$A$2:$A$4,0))),G256-H256,G256-H256-1)</f>
        <v>24</v>
      </c>
      <c r="R256" s="4">
        <f t="shared" si="28"/>
        <v>0</v>
      </c>
      <c r="S256" s="4">
        <f>INDEX(Dim_Product!$K$2:$K$4,MATCH(F256,Dim_Product!$A$2:$A$4,0))+0.37</f>
        <v>120.37</v>
      </c>
      <c r="T256" s="4">
        <f>IF(AND(S256&gt;=INDEX(Dim_Product!$K$2:$K$4,MATCH(F256,Dim_Product!$A$2:$A$4,0))-INDEX(Dim_Product!$L$2:$L$4,MATCH(F256,Dim_Product!$A$2:$A$4,0)),S256&lt;=INDEX(Dim_Product!$K$2:$K$4,MATCH(F256,Dim_Product!$A$2:$A$4,0))+INDEX(Dim_Product!$L$2:$L$4,MATCH(F256,Dim_Product!$A$2:$A$4,0))),G256-H256,G256-H256-1)</f>
        <v>24</v>
      </c>
      <c r="U256" s="4">
        <f t="shared" si="29"/>
        <v>0</v>
      </c>
      <c r="V256" s="4">
        <f t="shared" si="30"/>
        <v>0</v>
      </c>
      <c r="W256" s="16">
        <f t="shared" si="31"/>
        <v>1</v>
      </c>
    </row>
    <row r="257" spans="1:23" x14ac:dyDescent="0.25">
      <c r="A257" s="15" t="s">
        <v>758</v>
      </c>
      <c r="B257" s="4">
        <f>Fact_Production_Hourly!B257</f>
        <v>20260702</v>
      </c>
      <c r="C257" s="4">
        <f>Fact_Production_Hourly!C257</f>
        <v>12</v>
      </c>
      <c r="D257" s="4" t="str">
        <f>Fact_Production_Hourly!D257</f>
        <v>M4</v>
      </c>
      <c r="E257" s="4" t="str">
        <f>Fact_Production_Hourly!E257</f>
        <v>A-AM</v>
      </c>
      <c r="F257" s="4" t="str">
        <f>Fact_Production_Hourly!F257</f>
        <v>A</v>
      </c>
      <c r="G257" s="4">
        <f>INDEX(Dim_Machine!$D$2:$D$8,MATCH(D257,Dim_Machine!$A$2:$A$8,0))*2</f>
        <v>48</v>
      </c>
      <c r="H257" s="4">
        <f>ROUND(G257*0.0221,0)</f>
        <v>1</v>
      </c>
      <c r="I257" s="4">
        <f t="shared" si="24"/>
        <v>0</v>
      </c>
      <c r="J257" s="4">
        <f t="shared" si="25"/>
        <v>0</v>
      </c>
      <c r="K257" s="4">
        <f t="shared" si="26"/>
        <v>1</v>
      </c>
      <c r="L257" s="4" t="s">
        <v>520</v>
      </c>
      <c r="M257" s="4">
        <f>INDEX(Dim_Product!$C$2:$C$4,MATCH(F257,Dim_Product!$A$2:$A$4,0))+0.82</f>
        <v>250.82</v>
      </c>
      <c r="N257" s="4">
        <f>IF(AND(M257&gt;=INDEX(Dim_Product!$C$2:$C$4,MATCH(F257,Dim_Product!$A$2:$A$4,0))-INDEX(Dim_Product!$D$2:$D$4,MATCH(F257,Dim_Product!$A$2:$A$4,0)),M257&lt;=INDEX(Dim_Product!$C$2:$C$4,MATCH(F257,Dim_Product!$A$2:$A$4,0))+INDEX(Dim_Product!$D$2:$D$4,MATCH(F257,Dim_Product!$A$2:$A$4,0))),G257-H257,G257-H257-1)</f>
        <v>47</v>
      </c>
      <c r="O257" s="4">
        <f t="shared" si="27"/>
        <v>1</v>
      </c>
      <c r="P257" s="4">
        <f>INDEX(Dim_Product!$G$2:$G$4,MATCH(F257,Dim_Product!$A$2:$A$4,0))+0.23</f>
        <v>70.23</v>
      </c>
      <c r="Q257" s="4">
        <f>IF(AND(P257&gt;=INDEX(Dim_Product!$G$2:$G$4,MATCH(F257,Dim_Product!$A$2:$A$4,0))-INDEX(Dim_Product!$H$2:$H$4,MATCH(F257,Dim_Product!$A$2:$A$4,0)),P257&lt;=INDEX(Dim_Product!$G$2:$G$4,MATCH(F257,Dim_Product!$A$2:$A$4,0))+INDEX(Dim_Product!$H$2:$H$4,MATCH(F257,Dim_Product!$A$2:$A$4,0))),G257-H257,G257-H257-1)</f>
        <v>47</v>
      </c>
      <c r="R257" s="4">
        <f t="shared" si="28"/>
        <v>1</v>
      </c>
      <c r="S257" s="4">
        <f>INDEX(Dim_Product!$K$2:$K$4,MATCH(F257,Dim_Product!$A$2:$A$4,0))+-0.16</f>
        <v>119.84</v>
      </c>
      <c r="T257" s="4">
        <f>IF(AND(S257&gt;=INDEX(Dim_Product!$K$2:$K$4,MATCH(F257,Dim_Product!$A$2:$A$4,0))-INDEX(Dim_Product!$L$2:$L$4,MATCH(F257,Dim_Product!$A$2:$A$4,0)),S257&lt;=INDEX(Dim_Product!$K$2:$K$4,MATCH(F257,Dim_Product!$A$2:$A$4,0))+INDEX(Dim_Product!$L$2:$L$4,MATCH(F257,Dim_Product!$A$2:$A$4,0))),G257-H257,G257-H257-1)</f>
        <v>47</v>
      </c>
      <c r="U257" s="4">
        <f t="shared" si="29"/>
        <v>1</v>
      </c>
      <c r="V257" s="4">
        <f t="shared" si="30"/>
        <v>2.0833333333333332E-2</v>
      </c>
      <c r="W257" s="16">
        <f t="shared" si="31"/>
        <v>0.97916666666666663</v>
      </c>
    </row>
    <row r="258" spans="1:23" x14ac:dyDescent="0.25">
      <c r="A258" s="15" t="s">
        <v>759</v>
      </c>
      <c r="B258" s="4">
        <f>Fact_Production_Hourly!B258</f>
        <v>20260702</v>
      </c>
      <c r="C258" s="4">
        <f>Fact_Production_Hourly!C258</f>
        <v>12</v>
      </c>
      <c r="D258" s="4" t="str">
        <f>Fact_Production_Hourly!D258</f>
        <v>M5</v>
      </c>
      <c r="E258" s="4" t="str">
        <f>Fact_Production_Hourly!E258</f>
        <v>A-AM</v>
      </c>
      <c r="F258" s="4" t="str">
        <f>Fact_Production_Hourly!F258</f>
        <v>C</v>
      </c>
      <c r="G258" s="4">
        <f>INDEX(Dim_Machine!$D$2:$D$8,MATCH(D258,Dim_Machine!$A$2:$A$8,0))*2</f>
        <v>32</v>
      </c>
      <c r="H258" s="4">
        <f>ROUND(G258*0.0625,0)</f>
        <v>2</v>
      </c>
      <c r="I258" s="4">
        <f t="shared" ref="I258:I321" si="32">ROUND(H258*0.15,0)</f>
        <v>0</v>
      </c>
      <c r="J258" s="4">
        <f t="shared" ref="J258:J321" si="33">ROUND(H258*0.45,0)</f>
        <v>1</v>
      </c>
      <c r="K258" s="4">
        <f t="shared" ref="K258:K321" si="34">MAX(H258-I258-J258,0)</f>
        <v>1</v>
      </c>
      <c r="L258" s="4" t="s">
        <v>517</v>
      </c>
      <c r="M258" s="4">
        <f>INDEX(Dim_Product!$C$2:$C$4,MATCH(F258,Dim_Product!$A$2:$A$4,0))+-0.81</f>
        <v>199.19</v>
      </c>
      <c r="N258" s="4">
        <f>IF(AND(M258&gt;=INDEX(Dim_Product!$C$2:$C$4,MATCH(F258,Dim_Product!$A$2:$A$4,0))-INDEX(Dim_Product!$D$2:$D$4,MATCH(F258,Dim_Product!$A$2:$A$4,0)),M258&lt;=INDEX(Dim_Product!$C$2:$C$4,MATCH(F258,Dim_Product!$A$2:$A$4,0))+INDEX(Dim_Product!$D$2:$D$4,MATCH(F258,Dim_Product!$A$2:$A$4,0))),G258-H258,G258-H258-1)</f>
        <v>30</v>
      </c>
      <c r="O258" s="4">
        <f t="shared" ref="O258:O321" si="35">G258-N258</f>
        <v>2</v>
      </c>
      <c r="P258" s="4">
        <f>INDEX(Dim_Product!$G$2:$G$4,MATCH(F258,Dim_Product!$A$2:$A$4,0))+-0.08</f>
        <v>64.92</v>
      </c>
      <c r="Q258" s="4">
        <f>IF(AND(P258&gt;=INDEX(Dim_Product!$G$2:$G$4,MATCH(F258,Dim_Product!$A$2:$A$4,0))-INDEX(Dim_Product!$H$2:$H$4,MATCH(F258,Dim_Product!$A$2:$A$4,0)),P258&lt;=INDEX(Dim_Product!$G$2:$G$4,MATCH(F258,Dim_Product!$A$2:$A$4,0))+INDEX(Dim_Product!$H$2:$H$4,MATCH(F258,Dim_Product!$A$2:$A$4,0))),G258-H258,G258-H258-1)</f>
        <v>30</v>
      </c>
      <c r="R258" s="4">
        <f t="shared" ref="R258:R321" si="36">G258-Q258</f>
        <v>2</v>
      </c>
      <c r="S258" s="4">
        <f>INDEX(Dim_Product!$K$2:$K$4,MATCH(F258,Dim_Product!$A$2:$A$4,0))+-0.33</f>
        <v>109.67</v>
      </c>
      <c r="T258" s="4">
        <f>IF(AND(S258&gt;=INDEX(Dim_Product!$K$2:$K$4,MATCH(F258,Dim_Product!$A$2:$A$4,0))-INDEX(Dim_Product!$L$2:$L$4,MATCH(F258,Dim_Product!$A$2:$A$4,0)),S258&lt;=INDEX(Dim_Product!$K$2:$K$4,MATCH(F258,Dim_Product!$A$2:$A$4,0))+INDEX(Dim_Product!$L$2:$L$4,MATCH(F258,Dim_Product!$A$2:$A$4,0))),G258-H258,G258-H258-1)</f>
        <v>30</v>
      </c>
      <c r="U258" s="4">
        <f t="shared" ref="U258:U321" si="37">G258-T258</f>
        <v>2</v>
      </c>
      <c r="V258" s="4">
        <f t="shared" ref="V258:V321" si="38">IFERROR(H258/G258,0)</f>
        <v>6.25E-2</v>
      </c>
      <c r="W258" s="16">
        <f t="shared" ref="W258:W321" si="39">1-V258</f>
        <v>0.9375</v>
      </c>
    </row>
    <row r="259" spans="1:23" x14ac:dyDescent="0.25">
      <c r="A259" s="15" t="s">
        <v>760</v>
      </c>
      <c r="B259" s="4">
        <f>Fact_Production_Hourly!B259</f>
        <v>20260702</v>
      </c>
      <c r="C259" s="4">
        <f>Fact_Production_Hourly!C259</f>
        <v>12</v>
      </c>
      <c r="D259" s="4" t="str">
        <f>Fact_Production_Hourly!D259</f>
        <v>M6</v>
      </c>
      <c r="E259" s="4" t="str">
        <f>Fact_Production_Hourly!E259</f>
        <v>A-AM</v>
      </c>
      <c r="F259" s="4" t="str">
        <f>Fact_Production_Hourly!F259</f>
        <v>C</v>
      </c>
      <c r="G259" s="4">
        <f>INDEX(Dim_Machine!$D$2:$D$8,MATCH(D259,Dim_Machine!$A$2:$A$8,0))*2</f>
        <v>24</v>
      </c>
      <c r="H259" s="4">
        <f>ROUND(G259*0.0499,0)</f>
        <v>1</v>
      </c>
      <c r="I259" s="4">
        <f t="shared" si="32"/>
        <v>0</v>
      </c>
      <c r="J259" s="4">
        <f t="shared" si="33"/>
        <v>0</v>
      </c>
      <c r="K259" s="4">
        <f t="shared" si="34"/>
        <v>1</v>
      </c>
      <c r="L259" s="4" t="s">
        <v>520</v>
      </c>
      <c r="M259" s="4">
        <f>INDEX(Dim_Product!$C$2:$C$4,MATCH(F259,Dim_Product!$A$2:$A$4,0))+-0.67</f>
        <v>199.33</v>
      </c>
      <c r="N259" s="4">
        <f>IF(AND(M259&gt;=INDEX(Dim_Product!$C$2:$C$4,MATCH(F259,Dim_Product!$A$2:$A$4,0))-INDEX(Dim_Product!$D$2:$D$4,MATCH(F259,Dim_Product!$A$2:$A$4,0)),M259&lt;=INDEX(Dim_Product!$C$2:$C$4,MATCH(F259,Dim_Product!$A$2:$A$4,0))+INDEX(Dim_Product!$D$2:$D$4,MATCH(F259,Dim_Product!$A$2:$A$4,0))),G259-H259,G259-H259-1)</f>
        <v>23</v>
      </c>
      <c r="O259" s="4">
        <f t="shared" si="35"/>
        <v>1</v>
      </c>
      <c r="P259" s="4">
        <f>INDEX(Dim_Product!$G$2:$G$4,MATCH(F259,Dim_Product!$A$2:$A$4,0))+-0.06</f>
        <v>64.94</v>
      </c>
      <c r="Q259" s="4">
        <f>IF(AND(P259&gt;=INDEX(Dim_Product!$G$2:$G$4,MATCH(F259,Dim_Product!$A$2:$A$4,0))-INDEX(Dim_Product!$H$2:$H$4,MATCH(F259,Dim_Product!$A$2:$A$4,0)),P259&lt;=INDEX(Dim_Product!$G$2:$G$4,MATCH(F259,Dim_Product!$A$2:$A$4,0))+INDEX(Dim_Product!$H$2:$H$4,MATCH(F259,Dim_Product!$A$2:$A$4,0))),G259-H259,G259-H259-1)</f>
        <v>23</v>
      </c>
      <c r="R259" s="4">
        <f t="shared" si="36"/>
        <v>1</v>
      </c>
      <c r="S259" s="4">
        <f>INDEX(Dim_Product!$K$2:$K$4,MATCH(F259,Dim_Product!$A$2:$A$4,0))+-0.16</f>
        <v>109.84</v>
      </c>
      <c r="T259" s="4">
        <f>IF(AND(S259&gt;=INDEX(Dim_Product!$K$2:$K$4,MATCH(F259,Dim_Product!$A$2:$A$4,0))-INDEX(Dim_Product!$L$2:$L$4,MATCH(F259,Dim_Product!$A$2:$A$4,0)),S259&lt;=INDEX(Dim_Product!$K$2:$K$4,MATCH(F259,Dim_Product!$A$2:$A$4,0))+INDEX(Dim_Product!$L$2:$L$4,MATCH(F259,Dim_Product!$A$2:$A$4,0))),G259-H259,G259-H259-1)</f>
        <v>23</v>
      </c>
      <c r="U259" s="4">
        <f t="shared" si="37"/>
        <v>1</v>
      </c>
      <c r="V259" s="4">
        <f t="shared" si="38"/>
        <v>4.1666666666666664E-2</v>
      </c>
      <c r="W259" s="16">
        <f t="shared" si="39"/>
        <v>0.95833333333333337</v>
      </c>
    </row>
    <row r="260" spans="1:23" x14ac:dyDescent="0.25">
      <c r="A260" s="15" t="s">
        <v>761</v>
      </c>
      <c r="B260" s="4">
        <f>Fact_Production_Hourly!B260</f>
        <v>20260702</v>
      </c>
      <c r="C260" s="4">
        <f>Fact_Production_Hourly!C260</f>
        <v>12</v>
      </c>
      <c r="D260" s="4" t="str">
        <f>Fact_Production_Hourly!D260</f>
        <v>M7</v>
      </c>
      <c r="E260" s="4" t="str">
        <f>Fact_Production_Hourly!E260</f>
        <v>A-AM</v>
      </c>
      <c r="F260" s="4" t="str">
        <f>Fact_Production_Hourly!F260</f>
        <v>C</v>
      </c>
      <c r="G260" s="4">
        <f>INDEX(Dim_Machine!$D$2:$D$8,MATCH(D260,Dim_Machine!$A$2:$A$8,0))*2</f>
        <v>48</v>
      </c>
      <c r="H260" s="4">
        <f>ROUND(G260*0.052,0)</f>
        <v>2</v>
      </c>
      <c r="I260" s="4">
        <f t="shared" si="32"/>
        <v>0</v>
      </c>
      <c r="J260" s="4">
        <f t="shared" si="33"/>
        <v>1</v>
      </c>
      <c r="K260" s="4">
        <f t="shared" si="34"/>
        <v>1</v>
      </c>
      <c r="L260" s="4" t="s">
        <v>500</v>
      </c>
      <c r="M260" s="4">
        <f>INDEX(Dim_Product!$C$2:$C$4,MATCH(F260,Dim_Product!$A$2:$A$4,0))+-0.14</f>
        <v>199.86</v>
      </c>
      <c r="N260" s="4">
        <f>IF(AND(M260&gt;=INDEX(Dim_Product!$C$2:$C$4,MATCH(F260,Dim_Product!$A$2:$A$4,0))-INDEX(Dim_Product!$D$2:$D$4,MATCH(F260,Dim_Product!$A$2:$A$4,0)),M260&lt;=INDEX(Dim_Product!$C$2:$C$4,MATCH(F260,Dim_Product!$A$2:$A$4,0))+INDEX(Dim_Product!$D$2:$D$4,MATCH(F260,Dim_Product!$A$2:$A$4,0))),G260-H260,G260-H260-1)</f>
        <v>46</v>
      </c>
      <c r="O260" s="4">
        <f t="shared" si="35"/>
        <v>2</v>
      </c>
      <c r="P260" s="4">
        <f>INDEX(Dim_Product!$G$2:$G$4,MATCH(F260,Dim_Product!$A$2:$A$4,0))+-0.25</f>
        <v>64.75</v>
      </c>
      <c r="Q260" s="4">
        <f>IF(AND(P260&gt;=INDEX(Dim_Product!$G$2:$G$4,MATCH(F260,Dim_Product!$A$2:$A$4,0))-INDEX(Dim_Product!$H$2:$H$4,MATCH(F260,Dim_Product!$A$2:$A$4,0)),P260&lt;=INDEX(Dim_Product!$G$2:$G$4,MATCH(F260,Dim_Product!$A$2:$A$4,0))+INDEX(Dim_Product!$H$2:$H$4,MATCH(F260,Dim_Product!$A$2:$A$4,0))),G260-H260,G260-H260-1)</f>
        <v>46</v>
      </c>
      <c r="R260" s="4">
        <f t="shared" si="36"/>
        <v>2</v>
      </c>
      <c r="S260" s="4">
        <f>INDEX(Dim_Product!$K$2:$K$4,MATCH(F260,Dim_Product!$A$2:$A$4,0))+-0.32</f>
        <v>109.68</v>
      </c>
      <c r="T260" s="4">
        <f>IF(AND(S260&gt;=INDEX(Dim_Product!$K$2:$K$4,MATCH(F260,Dim_Product!$A$2:$A$4,0))-INDEX(Dim_Product!$L$2:$L$4,MATCH(F260,Dim_Product!$A$2:$A$4,0)),S260&lt;=INDEX(Dim_Product!$K$2:$K$4,MATCH(F260,Dim_Product!$A$2:$A$4,0))+INDEX(Dim_Product!$L$2:$L$4,MATCH(F260,Dim_Product!$A$2:$A$4,0))),G260-H260,G260-H260-1)</f>
        <v>46</v>
      </c>
      <c r="U260" s="4">
        <f t="shared" si="37"/>
        <v>2</v>
      </c>
      <c r="V260" s="4">
        <f t="shared" si="38"/>
        <v>4.1666666666666664E-2</v>
      </c>
      <c r="W260" s="16">
        <f t="shared" si="39"/>
        <v>0.95833333333333337</v>
      </c>
    </row>
    <row r="261" spans="1:23" x14ac:dyDescent="0.25">
      <c r="A261" s="15" t="s">
        <v>762</v>
      </c>
      <c r="B261" s="4">
        <f>Fact_Production_Hourly!B261</f>
        <v>20260702</v>
      </c>
      <c r="C261" s="4">
        <f>Fact_Production_Hourly!C261</f>
        <v>13</v>
      </c>
      <c r="D261" s="4" t="str">
        <f>Fact_Production_Hourly!D261</f>
        <v>M1</v>
      </c>
      <c r="E261" s="4" t="str">
        <f>Fact_Production_Hourly!E261</f>
        <v>A-AM</v>
      </c>
      <c r="F261" s="4" t="str">
        <f>Fact_Production_Hourly!F261</f>
        <v>C</v>
      </c>
      <c r="G261" s="4">
        <f>INDEX(Dim_Machine!$D$2:$D$8,MATCH(D261,Dim_Machine!$A$2:$A$8,0))*2</f>
        <v>32</v>
      </c>
      <c r="H261" s="4">
        <f>ROUND(G261*0.0228,0)</f>
        <v>1</v>
      </c>
      <c r="I261" s="4">
        <f t="shared" si="32"/>
        <v>0</v>
      </c>
      <c r="J261" s="4">
        <f t="shared" si="33"/>
        <v>0</v>
      </c>
      <c r="K261" s="4">
        <f t="shared" si="34"/>
        <v>1</v>
      </c>
      <c r="L261" s="4" t="s">
        <v>498</v>
      </c>
      <c r="M261" s="4">
        <f>INDEX(Dim_Product!$C$2:$C$4,MATCH(F261,Dim_Product!$A$2:$A$4,0))+-0.73</f>
        <v>199.27</v>
      </c>
      <c r="N261" s="4">
        <f>IF(AND(M261&gt;=INDEX(Dim_Product!$C$2:$C$4,MATCH(F261,Dim_Product!$A$2:$A$4,0))-INDEX(Dim_Product!$D$2:$D$4,MATCH(F261,Dim_Product!$A$2:$A$4,0)),M261&lt;=INDEX(Dim_Product!$C$2:$C$4,MATCH(F261,Dim_Product!$A$2:$A$4,0))+INDEX(Dim_Product!$D$2:$D$4,MATCH(F261,Dim_Product!$A$2:$A$4,0))),G261-H261,G261-H261-1)</f>
        <v>31</v>
      </c>
      <c r="O261" s="4">
        <f t="shared" si="35"/>
        <v>1</v>
      </c>
      <c r="P261" s="4">
        <f>INDEX(Dim_Product!$G$2:$G$4,MATCH(F261,Dim_Product!$A$2:$A$4,0))+-0.16</f>
        <v>64.84</v>
      </c>
      <c r="Q261" s="4">
        <f>IF(AND(P261&gt;=INDEX(Dim_Product!$G$2:$G$4,MATCH(F261,Dim_Product!$A$2:$A$4,0))-INDEX(Dim_Product!$H$2:$H$4,MATCH(F261,Dim_Product!$A$2:$A$4,0)),P261&lt;=INDEX(Dim_Product!$G$2:$G$4,MATCH(F261,Dim_Product!$A$2:$A$4,0))+INDEX(Dim_Product!$H$2:$H$4,MATCH(F261,Dim_Product!$A$2:$A$4,0))),G261-H261,G261-H261-1)</f>
        <v>31</v>
      </c>
      <c r="R261" s="4">
        <f t="shared" si="36"/>
        <v>1</v>
      </c>
      <c r="S261" s="4">
        <f>INDEX(Dim_Product!$K$2:$K$4,MATCH(F261,Dim_Product!$A$2:$A$4,0))+0.14</f>
        <v>110.14</v>
      </c>
      <c r="T261" s="4">
        <f>IF(AND(S261&gt;=INDEX(Dim_Product!$K$2:$K$4,MATCH(F261,Dim_Product!$A$2:$A$4,0))-INDEX(Dim_Product!$L$2:$L$4,MATCH(F261,Dim_Product!$A$2:$A$4,0)),S261&lt;=INDEX(Dim_Product!$K$2:$K$4,MATCH(F261,Dim_Product!$A$2:$A$4,0))+INDEX(Dim_Product!$L$2:$L$4,MATCH(F261,Dim_Product!$A$2:$A$4,0))),G261-H261,G261-H261-1)</f>
        <v>31</v>
      </c>
      <c r="U261" s="4">
        <f t="shared" si="37"/>
        <v>1</v>
      </c>
      <c r="V261" s="4">
        <f t="shared" si="38"/>
        <v>3.125E-2</v>
      </c>
      <c r="W261" s="16">
        <f t="shared" si="39"/>
        <v>0.96875</v>
      </c>
    </row>
    <row r="262" spans="1:23" x14ac:dyDescent="0.25">
      <c r="A262" s="15" t="s">
        <v>763</v>
      </c>
      <c r="B262" s="4">
        <f>Fact_Production_Hourly!B262</f>
        <v>20260702</v>
      </c>
      <c r="C262" s="4">
        <f>Fact_Production_Hourly!C262</f>
        <v>13</v>
      </c>
      <c r="D262" s="4" t="str">
        <f>Fact_Production_Hourly!D262</f>
        <v>M2</v>
      </c>
      <c r="E262" s="4" t="str">
        <f>Fact_Production_Hourly!E262</f>
        <v>A-AM</v>
      </c>
      <c r="F262" s="4" t="str">
        <f>Fact_Production_Hourly!F262</f>
        <v>A</v>
      </c>
      <c r="G262" s="4">
        <f>INDEX(Dim_Machine!$D$2:$D$8,MATCH(D262,Dim_Machine!$A$2:$A$8,0))*2</f>
        <v>48</v>
      </c>
      <c r="H262" s="4">
        <f>ROUND(G262*0.0106,0)</f>
        <v>1</v>
      </c>
      <c r="I262" s="4">
        <f t="shared" si="32"/>
        <v>0</v>
      </c>
      <c r="J262" s="4">
        <f t="shared" si="33"/>
        <v>0</v>
      </c>
      <c r="K262" s="4">
        <f t="shared" si="34"/>
        <v>1</v>
      </c>
      <c r="L262" s="4" t="s">
        <v>520</v>
      </c>
      <c r="M262" s="4">
        <f>INDEX(Dim_Product!$C$2:$C$4,MATCH(F262,Dim_Product!$A$2:$A$4,0))+-0.31</f>
        <v>249.69</v>
      </c>
      <c r="N262" s="4">
        <f>IF(AND(M262&gt;=INDEX(Dim_Product!$C$2:$C$4,MATCH(F262,Dim_Product!$A$2:$A$4,0))-INDEX(Dim_Product!$D$2:$D$4,MATCH(F262,Dim_Product!$A$2:$A$4,0)),M262&lt;=INDEX(Dim_Product!$C$2:$C$4,MATCH(F262,Dim_Product!$A$2:$A$4,0))+INDEX(Dim_Product!$D$2:$D$4,MATCH(F262,Dim_Product!$A$2:$A$4,0))),G262-H262,G262-H262-1)</f>
        <v>47</v>
      </c>
      <c r="O262" s="4">
        <f t="shared" si="35"/>
        <v>1</v>
      </c>
      <c r="P262" s="4">
        <f>INDEX(Dim_Product!$G$2:$G$4,MATCH(F262,Dim_Product!$A$2:$A$4,0))+-0.23</f>
        <v>69.77</v>
      </c>
      <c r="Q262" s="4">
        <f>IF(AND(P262&gt;=INDEX(Dim_Product!$G$2:$G$4,MATCH(F262,Dim_Product!$A$2:$A$4,0))-INDEX(Dim_Product!$H$2:$H$4,MATCH(F262,Dim_Product!$A$2:$A$4,0)),P262&lt;=INDEX(Dim_Product!$G$2:$G$4,MATCH(F262,Dim_Product!$A$2:$A$4,0))+INDEX(Dim_Product!$H$2:$H$4,MATCH(F262,Dim_Product!$A$2:$A$4,0))),G262-H262,G262-H262-1)</f>
        <v>47</v>
      </c>
      <c r="R262" s="4">
        <f t="shared" si="36"/>
        <v>1</v>
      </c>
      <c r="S262" s="4">
        <f>INDEX(Dim_Product!$K$2:$K$4,MATCH(F262,Dim_Product!$A$2:$A$4,0))+0.29</f>
        <v>120.29</v>
      </c>
      <c r="T262" s="4">
        <f>IF(AND(S262&gt;=INDEX(Dim_Product!$K$2:$K$4,MATCH(F262,Dim_Product!$A$2:$A$4,0))-INDEX(Dim_Product!$L$2:$L$4,MATCH(F262,Dim_Product!$A$2:$A$4,0)),S262&lt;=INDEX(Dim_Product!$K$2:$K$4,MATCH(F262,Dim_Product!$A$2:$A$4,0))+INDEX(Dim_Product!$L$2:$L$4,MATCH(F262,Dim_Product!$A$2:$A$4,0))),G262-H262,G262-H262-1)</f>
        <v>47</v>
      </c>
      <c r="U262" s="4">
        <f t="shared" si="37"/>
        <v>1</v>
      </c>
      <c r="V262" s="4">
        <f t="shared" si="38"/>
        <v>2.0833333333333332E-2</v>
      </c>
      <c r="W262" s="16">
        <f t="shared" si="39"/>
        <v>0.97916666666666663</v>
      </c>
    </row>
    <row r="263" spans="1:23" x14ac:dyDescent="0.25">
      <c r="A263" s="15" t="s">
        <v>764</v>
      </c>
      <c r="B263" s="4">
        <f>Fact_Production_Hourly!B263</f>
        <v>20260702</v>
      </c>
      <c r="C263" s="4">
        <f>Fact_Production_Hourly!C263</f>
        <v>13</v>
      </c>
      <c r="D263" s="4" t="str">
        <f>Fact_Production_Hourly!D263</f>
        <v>M3</v>
      </c>
      <c r="E263" s="4" t="str">
        <f>Fact_Production_Hourly!E263</f>
        <v>A-AM</v>
      </c>
      <c r="F263" s="4" t="str">
        <f>Fact_Production_Hourly!F263</f>
        <v>A</v>
      </c>
      <c r="G263" s="4">
        <f>INDEX(Dim_Machine!$D$2:$D$8,MATCH(D263,Dim_Machine!$A$2:$A$8,0))*2</f>
        <v>24</v>
      </c>
      <c r="H263" s="4">
        <f>ROUND(G263*0.0516,0)</f>
        <v>1</v>
      </c>
      <c r="I263" s="4">
        <f t="shared" si="32"/>
        <v>0</v>
      </c>
      <c r="J263" s="4">
        <f t="shared" si="33"/>
        <v>0</v>
      </c>
      <c r="K263" s="4">
        <f t="shared" si="34"/>
        <v>1</v>
      </c>
      <c r="L263" s="4" t="s">
        <v>503</v>
      </c>
      <c r="M263" s="4">
        <f>INDEX(Dim_Product!$C$2:$C$4,MATCH(F263,Dim_Product!$A$2:$A$4,0))+-0.86</f>
        <v>249.14</v>
      </c>
      <c r="N263" s="4">
        <f>IF(AND(M263&gt;=INDEX(Dim_Product!$C$2:$C$4,MATCH(F263,Dim_Product!$A$2:$A$4,0))-INDEX(Dim_Product!$D$2:$D$4,MATCH(F263,Dim_Product!$A$2:$A$4,0)),M263&lt;=INDEX(Dim_Product!$C$2:$C$4,MATCH(F263,Dim_Product!$A$2:$A$4,0))+INDEX(Dim_Product!$D$2:$D$4,MATCH(F263,Dim_Product!$A$2:$A$4,0))),G263-H263,G263-H263-1)</f>
        <v>23</v>
      </c>
      <c r="O263" s="4">
        <f t="shared" si="35"/>
        <v>1</v>
      </c>
      <c r="P263" s="4">
        <f>INDEX(Dim_Product!$G$2:$G$4,MATCH(F263,Dim_Product!$A$2:$A$4,0))+-0.07</f>
        <v>69.930000000000007</v>
      </c>
      <c r="Q263" s="4">
        <f>IF(AND(P263&gt;=INDEX(Dim_Product!$G$2:$G$4,MATCH(F263,Dim_Product!$A$2:$A$4,0))-INDEX(Dim_Product!$H$2:$H$4,MATCH(F263,Dim_Product!$A$2:$A$4,0)),P263&lt;=INDEX(Dim_Product!$G$2:$G$4,MATCH(F263,Dim_Product!$A$2:$A$4,0))+INDEX(Dim_Product!$H$2:$H$4,MATCH(F263,Dim_Product!$A$2:$A$4,0))),G263-H263,G263-H263-1)</f>
        <v>23</v>
      </c>
      <c r="R263" s="4">
        <f t="shared" si="36"/>
        <v>1</v>
      </c>
      <c r="S263" s="4">
        <f>INDEX(Dim_Product!$K$2:$K$4,MATCH(F263,Dim_Product!$A$2:$A$4,0))+0.18</f>
        <v>120.18</v>
      </c>
      <c r="T263" s="4">
        <f>IF(AND(S263&gt;=INDEX(Dim_Product!$K$2:$K$4,MATCH(F263,Dim_Product!$A$2:$A$4,0))-INDEX(Dim_Product!$L$2:$L$4,MATCH(F263,Dim_Product!$A$2:$A$4,0)),S263&lt;=INDEX(Dim_Product!$K$2:$K$4,MATCH(F263,Dim_Product!$A$2:$A$4,0))+INDEX(Dim_Product!$L$2:$L$4,MATCH(F263,Dim_Product!$A$2:$A$4,0))),G263-H263,G263-H263-1)</f>
        <v>23</v>
      </c>
      <c r="U263" s="4">
        <f t="shared" si="37"/>
        <v>1</v>
      </c>
      <c r="V263" s="4">
        <f t="shared" si="38"/>
        <v>4.1666666666666664E-2</v>
      </c>
      <c r="W263" s="16">
        <f t="shared" si="39"/>
        <v>0.95833333333333337</v>
      </c>
    </row>
    <row r="264" spans="1:23" x14ac:dyDescent="0.25">
      <c r="A264" s="15" t="s">
        <v>765</v>
      </c>
      <c r="B264" s="4">
        <f>Fact_Production_Hourly!B264</f>
        <v>20260702</v>
      </c>
      <c r="C264" s="4">
        <f>Fact_Production_Hourly!C264</f>
        <v>13</v>
      </c>
      <c r="D264" s="4" t="str">
        <f>Fact_Production_Hourly!D264</f>
        <v>M4</v>
      </c>
      <c r="E264" s="4" t="str">
        <f>Fact_Production_Hourly!E264</f>
        <v>A-AM</v>
      </c>
      <c r="F264" s="4" t="str">
        <f>Fact_Production_Hourly!F264</f>
        <v>A</v>
      </c>
      <c r="G264" s="4">
        <f>INDEX(Dim_Machine!$D$2:$D$8,MATCH(D264,Dim_Machine!$A$2:$A$8,0))*2</f>
        <v>48</v>
      </c>
      <c r="H264" s="4">
        <f>ROUND(G264*0.0161,0)</f>
        <v>1</v>
      </c>
      <c r="I264" s="4">
        <f t="shared" si="32"/>
        <v>0</v>
      </c>
      <c r="J264" s="4">
        <f t="shared" si="33"/>
        <v>0</v>
      </c>
      <c r="K264" s="4">
        <f t="shared" si="34"/>
        <v>1</v>
      </c>
      <c r="L264" s="4" t="s">
        <v>517</v>
      </c>
      <c r="M264" s="4">
        <f>INDEX(Dim_Product!$C$2:$C$4,MATCH(F264,Dim_Product!$A$2:$A$4,0))+-0.26</f>
        <v>249.74</v>
      </c>
      <c r="N264" s="4">
        <f>IF(AND(M264&gt;=INDEX(Dim_Product!$C$2:$C$4,MATCH(F264,Dim_Product!$A$2:$A$4,0))-INDEX(Dim_Product!$D$2:$D$4,MATCH(F264,Dim_Product!$A$2:$A$4,0)),M264&lt;=INDEX(Dim_Product!$C$2:$C$4,MATCH(F264,Dim_Product!$A$2:$A$4,0))+INDEX(Dim_Product!$D$2:$D$4,MATCH(F264,Dim_Product!$A$2:$A$4,0))),G264-H264,G264-H264-1)</f>
        <v>47</v>
      </c>
      <c r="O264" s="4">
        <f t="shared" si="35"/>
        <v>1</v>
      </c>
      <c r="P264" s="4">
        <f>INDEX(Dim_Product!$G$2:$G$4,MATCH(F264,Dim_Product!$A$2:$A$4,0))+-0.12</f>
        <v>69.88</v>
      </c>
      <c r="Q264" s="4">
        <f>IF(AND(P264&gt;=INDEX(Dim_Product!$G$2:$G$4,MATCH(F264,Dim_Product!$A$2:$A$4,0))-INDEX(Dim_Product!$H$2:$H$4,MATCH(F264,Dim_Product!$A$2:$A$4,0)),P264&lt;=INDEX(Dim_Product!$G$2:$G$4,MATCH(F264,Dim_Product!$A$2:$A$4,0))+INDEX(Dim_Product!$H$2:$H$4,MATCH(F264,Dim_Product!$A$2:$A$4,0))),G264-H264,G264-H264-1)</f>
        <v>47</v>
      </c>
      <c r="R264" s="4">
        <f t="shared" si="36"/>
        <v>1</v>
      </c>
      <c r="S264" s="4">
        <f>INDEX(Dim_Product!$K$2:$K$4,MATCH(F264,Dim_Product!$A$2:$A$4,0))+-0.09</f>
        <v>119.91</v>
      </c>
      <c r="T264" s="4">
        <f>IF(AND(S264&gt;=INDEX(Dim_Product!$K$2:$K$4,MATCH(F264,Dim_Product!$A$2:$A$4,0))-INDEX(Dim_Product!$L$2:$L$4,MATCH(F264,Dim_Product!$A$2:$A$4,0)),S264&lt;=INDEX(Dim_Product!$K$2:$K$4,MATCH(F264,Dim_Product!$A$2:$A$4,0))+INDEX(Dim_Product!$L$2:$L$4,MATCH(F264,Dim_Product!$A$2:$A$4,0))),G264-H264,G264-H264-1)</f>
        <v>47</v>
      </c>
      <c r="U264" s="4">
        <f t="shared" si="37"/>
        <v>1</v>
      </c>
      <c r="V264" s="4">
        <f t="shared" si="38"/>
        <v>2.0833333333333332E-2</v>
      </c>
      <c r="W264" s="16">
        <f t="shared" si="39"/>
        <v>0.97916666666666663</v>
      </c>
    </row>
    <row r="265" spans="1:23" x14ac:dyDescent="0.25">
      <c r="A265" s="15" t="s">
        <v>766</v>
      </c>
      <c r="B265" s="4">
        <f>Fact_Production_Hourly!B265</f>
        <v>20260702</v>
      </c>
      <c r="C265" s="4">
        <f>Fact_Production_Hourly!C265</f>
        <v>13</v>
      </c>
      <c r="D265" s="4" t="str">
        <f>Fact_Production_Hourly!D265</f>
        <v>M5</v>
      </c>
      <c r="E265" s="4" t="str">
        <f>Fact_Production_Hourly!E265</f>
        <v>A-AM</v>
      </c>
      <c r="F265" s="4" t="str">
        <f>Fact_Production_Hourly!F265</f>
        <v>C</v>
      </c>
      <c r="G265" s="4">
        <f>INDEX(Dim_Machine!$D$2:$D$8,MATCH(D265,Dim_Machine!$A$2:$A$8,0))*2</f>
        <v>32</v>
      </c>
      <c r="H265" s="4">
        <f>ROUND(G265*0.0588,0)</f>
        <v>2</v>
      </c>
      <c r="I265" s="4">
        <f t="shared" si="32"/>
        <v>0</v>
      </c>
      <c r="J265" s="4">
        <f t="shared" si="33"/>
        <v>1</v>
      </c>
      <c r="K265" s="4">
        <f t="shared" si="34"/>
        <v>1</v>
      </c>
      <c r="L265" s="4" t="s">
        <v>500</v>
      </c>
      <c r="M265" s="4">
        <f>INDEX(Dim_Product!$C$2:$C$4,MATCH(F265,Dim_Product!$A$2:$A$4,0))+0.28</f>
        <v>200.28</v>
      </c>
      <c r="N265" s="4">
        <f>IF(AND(M265&gt;=INDEX(Dim_Product!$C$2:$C$4,MATCH(F265,Dim_Product!$A$2:$A$4,0))-INDEX(Dim_Product!$D$2:$D$4,MATCH(F265,Dim_Product!$A$2:$A$4,0)),M265&lt;=INDEX(Dim_Product!$C$2:$C$4,MATCH(F265,Dim_Product!$A$2:$A$4,0))+INDEX(Dim_Product!$D$2:$D$4,MATCH(F265,Dim_Product!$A$2:$A$4,0))),G265-H265,G265-H265-1)</f>
        <v>30</v>
      </c>
      <c r="O265" s="4">
        <f t="shared" si="35"/>
        <v>2</v>
      </c>
      <c r="P265" s="4">
        <f>INDEX(Dim_Product!$G$2:$G$4,MATCH(F265,Dim_Product!$A$2:$A$4,0))+0.11</f>
        <v>65.11</v>
      </c>
      <c r="Q265" s="4">
        <f>IF(AND(P265&gt;=INDEX(Dim_Product!$G$2:$G$4,MATCH(F265,Dim_Product!$A$2:$A$4,0))-INDEX(Dim_Product!$H$2:$H$4,MATCH(F265,Dim_Product!$A$2:$A$4,0)),P265&lt;=INDEX(Dim_Product!$G$2:$G$4,MATCH(F265,Dim_Product!$A$2:$A$4,0))+INDEX(Dim_Product!$H$2:$H$4,MATCH(F265,Dim_Product!$A$2:$A$4,0))),G265-H265,G265-H265-1)</f>
        <v>30</v>
      </c>
      <c r="R265" s="4">
        <f t="shared" si="36"/>
        <v>2</v>
      </c>
      <c r="S265" s="4">
        <f>INDEX(Dim_Product!$K$2:$K$4,MATCH(F265,Dim_Product!$A$2:$A$4,0))+-0.35</f>
        <v>109.65</v>
      </c>
      <c r="T265" s="4">
        <f>IF(AND(S265&gt;=INDEX(Dim_Product!$K$2:$K$4,MATCH(F265,Dim_Product!$A$2:$A$4,0))-INDEX(Dim_Product!$L$2:$L$4,MATCH(F265,Dim_Product!$A$2:$A$4,0)),S265&lt;=INDEX(Dim_Product!$K$2:$K$4,MATCH(F265,Dim_Product!$A$2:$A$4,0))+INDEX(Dim_Product!$L$2:$L$4,MATCH(F265,Dim_Product!$A$2:$A$4,0))),G265-H265,G265-H265-1)</f>
        <v>30</v>
      </c>
      <c r="U265" s="4">
        <f t="shared" si="37"/>
        <v>2</v>
      </c>
      <c r="V265" s="4">
        <f t="shared" si="38"/>
        <v>6.25E-2</v>
      </c>
      <c r="W265" s="16">
        <f t="shared" si="39"/>
        <v>0.9375</v>
      </c>
    </row>
    <row r="266" spans="1:23" x14ac:dyDescent="0.25">
      <c r="A266" s="15" t="s">
        <v>767</v>
      </c>
      <c r="B266" s="4">
        <f>Fact_Production_Hourly!B266</f>
        <v>20260702</v>
      </c>
      <c r="C266" s="4">
        <f>Fact_Production_Hourly!C266</f>
        <v>13</v>
      </c>
      <c r="D266" s="4" t="str">
        <f>Fact_Production_Hourly!D266</f>
        <v>M6</v>
      </c>
      <c r="E266" s="4" t="str">
        <f>Fact_Production_Hourly!E266</f>
        <v>A-AM</v>
      </c>
      <c r="F266" s="4" t="str">
        <f>Fact_Production_Hourly!F266</f>
        <v>C</v>
      </c>
      <c r="G266" s="4">
        <f>INDEX(Dim_Machine!$D$2:$D$8,MATCH(D266,Dim_Machine!$A$2:$A$8,0))*2</f>
        <v>24</v>
      </c>
      <c r="H266" s="4">
        <f>ROUND(G266*0.0438,0)</f>
        <v>1</v>
      </c>
      <c r="I266" s="4">
        <f t="shared" si="32"/>
        <v>0</v>
      </c>
      <c r="J266" s="4">
        <f t="shared" si="33"/>
        <v>0</v>
      </c>
      <c r="K266" s="4">
        <f t="shared" si="34"/>
        <v>1</v>
      </c>
      <c r="L266" s="4" t="s">
        <v>509</v>
      </c>
      <c r="M266" s="4">
        <f>INDEX(Dim_Product!$C$2:$C$4,MATCH(F266,Dim_Product!$A$2:$A$4,0))+0.3</f>
        <v>200.3</v>
      </c>
      <c r="N266" s="4">
        <f>IF(AND(M266&gt;=INDEX(Dim_Product!$C$2:$C$4,MATCH(F266,Dim_Product!$A$2:$A$4,0))-INDEX(Dim_Product!$D$2:$D$4,MATCH(F266,Dim_Product!$A$2:$A$4,0)),M266&lt;=INDEX(Dim_Product!$C$2:$C$4,MATCH(F266,Dim_Product!$A$2:$A$4,0))+INDEX(Dim_Product!$D$2:$D$4,MATCH(F266,Dim_Product!$A$2:$A$4,0))),G266-H266,G266-H266-1)</f>
        <v>23</v>
      </c>
      <c r="O266" s="4">
        <f t="shared" si="35"/>
        <v>1</v>
      </c>
      <c r="P266" s="4">
        <f>INDEX(Dim_Product!$G$2:$G$4,MATCH(F266,Dim_Product!$A$2:$A$4,0))+-0.04</f>
        <v>64.959999999999994</v>
      </c>
      <c r="Q266" s="4">
        <f>IF(AND(P266&gt;=INDEX(Dim_Product!$G$2:$G$4,MATCH(F266,Dim_Product!$A$2:$A$4,0))-INDEX(Dim_Product!$H$2:$H$4,MATCH(F266,Dim_Product!$A$2:$A$4,0)),P266&lt;=INDEX(Dim_Product!$G$2:$G$4,MATCH(F266,Dim_Product!$A$2:$A$4,0))+INDEX(Dim_Product!$H$2:$H$4,MATCH(F266,Dim_Product!$A$2:$A$4,0))),G266-H266,G266-H266-1)</f>
        <v>23</v>
      </c>
      <c r="R266" s="4">
        <f t="shared" si="36"/>
        <v>1</v>
      </c>
      <c r="S266" s="4">
        <f>INDEX(Dim_Product!$K$2:$K$4,MATCH(F266,Dim_Product!$A$2:$A$4,0))+0.18</f>
        <v>110.18</v>
      </c>
      <c r="T266" s="4">
        <f>IF(AND(S266&gt;=INDEX(Dim_Product!$K$2:$K$4,MATCH(F266,Dim_Product!$A$2:$A$4,0))-INDEX(Dim_Product!$L$2:$L$4,MATCH(F266,Dim_Product!$A$2:$A$4,0)),S266&lt;=INDEX(Dim_Product!$K$2:$K$4,MATCH(F266,Dim_Product!$A$2:$A$4,0))+INDEX(Dim_Product!$L$2:$L$4,MATCH(F266,Dim_Product!$A$2:$A$4,0))),G266-H266,G266-H266-1)</f>
        <v>23</v>
      </c>
      <c r="U266" s="4">
        <f t="shared" si="37"/>
        <v>1</v>
      </c>
      <c r="V266" s="4">
        <f t="shared" si="38"/>
        <v>4.1666666666666664E-2</v>
      </c>
      <c r="W266" s="16">
        <f t="shared" si="39"/>
        <v>0.95833333333333337</v>
      </c>
    </row>
    <row r="267" spans="1:23" x14ac:dyDescent="0.25">
      <c r="A267" s="15" t="s">
        <v>768</v>
      </c>
      <c r="B267" s="4">
        <f>Fact_Production_Hourly!B267</f>
        <v>20260702</v>
      </c>
      <c r="C267" s="4">
        <f>Fact_Production_Hourly!C267</f>
        <v>13</v>
      </c>
      <c r="D267" s="4" t="str">
        <f>Fact_Production_Hourly!D267</f>
        <v>M7</v>
      </c>
      <c r="E267" s="4" t="str">
        <f>Fact_Production_Hourly!E267</f>
        <v>A-AM</v>
      </c>
      <c r="F267" s="4" t="str">
        <f>Fact_Production_Hourly!F267</f>
        <v>C</v>
      </c>
      <c r="G267" s="4">
        <f>INDEX(Dim_Machine!$D$2:$D$8,MATCH(D267,Dim_Machine!$A$2:$A$8,0))*2</f>
        <v>48</v>
      </c>
      <c r="H267" s="4">
        <f>ROUND(G267*0.0477,0)</f>
        <v>2</v>
      </c>
      <c r="I267" s="4">
        <f t="shared" si="32"/>
        <v>0</v>
      </c>
      <c r="J267" s="4">
        <f t="shared" si="33"/>
        <v>1</v>
      </c>
      <c r="K267" s="4">
        <f t="shared" si="34"/>
        <v>1</v>
      </c>
      <c r="L267" s="4" t="s">
        <v>500</v>
      </c>
      <c r="M267" s="4">
        <f>INDEX(Dim_Product!$C$2:$C$4,MATCH(F267,Dim_Product!$A$2:$A$4,0))+0.84</f>
        <v>200.84</v>
      </c>
      <c r="N267" s="4">
        <f>IF(AND(M267&gt;=INDEX(Dim_Product!$C$2:$C$4,MATCH(F267,Dim_Product!$A$2:$A$4,0))-INDEX(Dim_Product!$D$2:$D$4,MATCH(F267,Dim_Product!$A$2:$A$4,0)),M267&lt;=INDEX(Dim_Product!$C$2:$C$4,MATCH(F267,Dim_Product!$A$2:$A$4,0))+INDEX(Dim_Product!$D$2:$D$4,MATCH(F267,Dim_Product!$A$2:$A$4,0))),G267-H267,G267-H267-1)</f>
        <v>46</v>
      </c>
      <c r="O267" s="4">
        <f t="shared" si="35"/>
        <v>2</v>
      </c>
      <c r="P267" s="4">
        <f>INDEX(Dim_Product!$G$2:$G$4,MATCH(F267,Dim_Product!$A$2:$A$4,0))+0.07</f>
        <v>65.069999999999993</v>
      </c>
      <c r="Q267" s="4">
        <f>IF(AND(P267&gt;=INDEX(Dim_Product!$G$2:$G$4,MATCH(F267,Dim_Product!$A$2:$A$4,0))-INDEX(Dim_Product!$H$2:$H$4,MATCH(F267,Dim_Product!$A$2:$A$4,0)),P267&lt;=INDEX(Dim_Product!$G$2:$G$4,MATCH(F267,Dim_Product!$A$2:$A$4,0))+INDEX(Dim_Product!$H$2:$H$4,MATCH(F267,Dim_Product!$A$2:$A$4,0))),G267-H267,G267-H267-1)</f>
        <v>46</v>
      </c>
      <c r="R267" s="4">
        <f t="shared" si="36"/>
        <v>2</v>
      </c>
      <c r="S267" s="4">
        <f>INDEX(Dim_Product!$K$2:$K$4,MATCH(F267,Dim_Product!$A$2:$A$4,0))+-0.05</f>
        <v>109.95</v>
      </c>
      <c r="T267" s="4">
        <f>IF(AND(S267&gt;=INDEX(Dim_Product!$K$2:$K$4,MATCH(F267,Dim_Product!$A$2:$A$4,0))-INDEX(Dim_Product!$L$2:$L$4,MATCH(F267,Dim_Product!$A$2:$A$4,0)),S267&lt;=INDEX(Dim_Product!$K$2:$K$4,MATCH(F267,Dim_Product!$A$2:$A$4,0))+INDEX(Dim_Product!$L$2:$L$4,MATCH(F267,Dim_Product!$A$2:$A$4,0))),G267-H267,G267-H267-1)</f>
        <v>46</v>
      </c>
      <c r="U267" s="4">
        <f t="shared" si="37"/>
        <v>2</v>
      </c>
      <c r="V267" s="4">
        <f t="shared" si="38"/>
        <v>4.1666666666666664E-2</v>
      </c>
      <c r="W267" s="16">
        <f t="shared" si="39"/>
        <v>0.95833333333333337</v>
      </c>
    </row>
    <row r="268" spans="1:23" x14ac:dyDescent="0.25">
      <c r="A268" s="15" t="s">
        <v>769</v>
      </c>
      <c r="B268" s="4">
        <f>Fact_Production_Hourly!B268</f>
        <v>20260702</v>
      </c>
      <c r="C268" s="4">
        <f>Fact_Production_Hourly!C268</f>
        <v>14</v>
      </c>
      <c r="D268" s="4" t="str">
        <f>Fact_Production_Hourly!D268</f>
        <v>M1</v>
      </c>
      <c r="E268" s="4" t="str">
        <f>Fact_Production_Hourly!E268</f>
        <v>A-AM</v>
      </c>
      <c r="F268" s="4" t="str">
        <f>Fact_Production_Hourly!F268</f>
        <v>C</v>
      </c>
      <c r="G268" s="4">
        <f>INDEX(Dim_Machine!$D$2:$D$8,MATCH(D268,Dim_Machine!$A$2:$A$8,0))*2</f>
        <v>32</v>
      </c>
      <c r="H268" s="4">
        <f>ROUND(G268*0.023,0)</f>
        <v>1</v>
      </c>
      <c r="I268" s="4">
        <f t="shared" si="32"/>
        <v>0</v>
      </c>
      <c r="J268" s="4">
        <f t="shared" si="33"/>
        <v>0</v>
      </c>
      <c r="K268" s="4">
        <f t="shared" si="34"/>
        <v>1</v>
      </c>
      <c r="L268" s="4" t="s">
        <v>498</v>
      </c>
      <c r="M268" s="4">
        <f>INDEX(Dim_Product!$C$2:$C$4,MATCH(F268,Dim_Product!$A$2:$A$4,0))+-0.72</f>
        <v>199.28</v>
      </c>
      <c r="N268" s="4">
        <f>IF(AND(M268&gt;=INDEX(Dim_Product!$C$2:$C$4,MATCH(F268,Dim_Product!$A$2:$A$4,0))-INDEX(Dim_Product!$D$2:$D$4,MATCH(F268,Dim_Product!$A$2:$A$4,0)),M268&lt;=INDEX(Dim_Product!$C$2:$C$4,MATCH(F268,Dim_Product!$A$2:$A$4,0))+INDEX(Dim_Product!$D$2:$D$4,MATCH(F268,Dim_Product!$A$2:$A$4,0))),G268-H268,G268-H268-1)</f>
        <v>31</v>
      </c>
      <c r="O268" s="4">
        <f t="shared" si="35"/>
        <v>1</v>
      </c>
      <c r="P268" s="4">
        <f>INDEX(Dim_Product!$G$2:$G$4,MATCH(F268,Dim_Product!$A$2:$A$4,0))+-0.23</f>
        <v>64.77</v>
      </c>
      <c r="Q268" s="4">
        <f>IF(AND(P268&gt;=INDEX(Dim_Product!$G$2:$G$4,MATCH(F268,Dim_Product!$A$2:$A$4,0))-INDEX(Dim_Product!$H$2:$H$4,MATCH(F268,Dim_Product!$A$2:$A$4,0)),P268&lt;=INDEX(Dim_Product!$G$2:$G$4,MATCH(F268,Dim_Product!$A$2:$A$4,0))+INDEX(Dim_Product!$H$2:$H$4,MATCH(F268,Dim_Product!$A$2:$A$4,0))),G268-H268,G268-H268-1)</f>
        <v>31</v>
      </c>
      <c r="R268" s="4">
        <f t="shared" si="36"/>
        <v>1</v>
      </c>
      <c r="S268" s="4">
        <f>INDEX(Dim_Product!$K$2:$K$4,MATCH(F268,Dim_Product!$A$2:$A$4,0))+0.18</f>
        <v>110.18</v>
      </c>
      <c r="T268" s="4">
        <f>IF(AND(S268&gt;=INDEX(Dim_Product!$K$2:$K$4,MATCH(F268,Dim_Product!$A$2:$A$4,0))-INDEX(Dim_Product!$L$2:$L$4,MATCH(F268,Dim_Product!$A$2:$A$4,0)),S268&lt;=INDEX(Dim_Product!$K$2:$K$4,MATCH(F268,Dim_Product!$A$2:$A$4,0))+INDEX(Dim_Product!$L$2:$L$4,MATCH(F268,Dim_Product!$A$2:$A$4,0))),G268-H268,G268-H268-1)</f>
        <v>31</v>
      </c>
      <c r="U268" s="4">
        <f t="shared" si="37"/>
        <v>1</v>
      </c>
      <c r="V268" s="4">
        <f t="shared" si="38"/>
        <v>3.125E-2</v>
      </c>
      <c r="W268" s="16">
        <f t="shared" si="39"/>
        <v>0.96875</v>
      </c>
    </row>
    <row r="269" spans="1:23" x14ac:dyDescent="0.25">
      <c r="A269" s="15" t="s">
        <v>770</v>
      </c>
      <c r="B269" s="4">
        <f>Fact_Production_Hourly!B269</f>
        <v>20260702</v>
      </c>
      <c r="C269" s="4">
        <f>Fact_Production_Hourly!C269</f>
        <v>14</v>
      </c>
      <c r="D269" s="4" t="str">
        <f>Fact_Production_Hourly!D269</f>
        <v>M2</v>
      </c>
      <c r="E269" s="4" t="str">
        <f>Fact_Production_Hourly!E269</f>
        <v>A-AM</v>
      </c>
      <c r="F269" s="4" t="str">
        <f>Fact_Production_Hourly!F269</f>
        <v>A</v>
      </c>
      <c r="G269" s="4">
        <f>INDEX(Dim_Machine!$D$2:$D$8,MATCH(D269,Dim_Machine!$A$2:$A$8,0))*2</f>
        <v>48</v>
      </c>
      <c r="H269" s="4">
        <f>ROUND(G269*0.0311,0)</f>
        <v>1</v>
      </c>
      <c r="I269" s="4">
        <f t="shared" si="32"/>
        <v>0</v>
      </c>
      <c r="J269" s="4">
        <f t="shared" si="33"/>
        <v>0</v>
      </c>
      <c r="K269" s="4">
        <f t="shared" si="34"/>
        <v>1</v>
      </c>
      <c r="L269" s="4" t="s">
        <v>503</v>
      </c>
      <c r="M269" s="4">
        <f>INDEX(Dim_Product!$C$2:$C$4,MATCH(F269,Dim_Product!$A$2:$A$4,0))+-0.37</f>
        <v>249.63</v>
      </c>
      <c r="N269" s="4">
        <f>IF(AND(M269&gt;=INDEX(Dim_Product!$C$2:$C$4,MATCH(F269,Dim_Product!$A$2:$A$4,0))-INDEX(Dim_Product!$D$2:$D$4,MATCH(F269,Dim_Product!$A$2:$A$4,0)),M269&lt;=INDEX(Dim_Product!$C$2:$C$4,MATCH(F269,Dim_Product!$A$2:$A$4,0))+INDEX(Dim_Product!$D$2:$D$4,MATCH(F269,Dim_Product!$A$2:$A$4,0))),G269-H269,G269-H269-1)</f>
        <v>47</v>
      </c>
      <c r="O269" s="4">
        <f t="shared" si="35"/>
        <v>1</v>
      </c>
      <c r="P269" s="4">
        <f>INDEX(Dim_Product!$G$2:$G$4,MATCH(F269,Dim_Product!$A$2:$A$4,0))+-0.22</f>
        <v>69.78</v>
      </c>
      <c r="Q269" s="4">
        <f>IF(AND(P269&gt;=INDEX(Dim_Product!$G$2:$G$4,MATCH(F269,Dim_Product!$A$2:$A$4,0))-INDEX(Dim_Product!$H$2:$H$4,MATCH(F269,Dim_Product!$A$2:$A$4,0)),P269&lt;=INDEX(Dim_Product!$G$2:$G$4,MATCH(F269,Dim_Product!$A$2:$A$4,0))+INDEX(Dim_Product!$H$2:$H$4,MATCH(F269,Dim_Product!$A$2:$A$4,0))),G269-H269,G269-H269-1)</f>
        <v>47</v>
      </c>
      <c r="R269" s="4">
        <f t="shared" si="36"/>
        <v>1</v>
      </c>
      <c r="S269" s="4">
        <f>INDEX(Dim_Product!$K$2:$K$4,MATCH(F269,Dim_Product!$A$2:$A$4,0))+-0.18</f>
        <v>119.82</v>
      </c>
      <c r="T269" s="4">
        <f>IF(AND(S269&gt;=INDEX(Dim_Product!$K$2:$K$4,MATCH(F269,Dim_Product!$A$2:$A$4,0))-INDEX(Dim_Product!$L$2:$L$4,MATCH(F269,Dim_Product!$A$2:$A$4,0)),S269&lt;=INDEX(Dim_Product!$K$2:$K$4,MATCH(F269,Dim_Product!$A$2:$A$4,0))+INDEX(Dim_Product!$L$2:$L$4,MATCH(F269,Dim_Product!$A$2:$A$4,0))),G269-H269,G269-H269-1)</f>
        <v>47</v>
      </c>
      <c r="U269" s="4">
        <f t="shared" si="37"/>
        <v>1</v>
      </c>
      <c r="V269" s="4">
        <f t="shared" si="38"/>
        <v>2.0833333333333332E-2</v>
      </c>
      <c r="W269" s="16">
        <f t="shared" si="39"/>
        <v>0.97916666666666663</v>
      </c>
    </row>
    <row r="270" spans="1:23" x14ac:dyDescent="0.25">
      <c r="A270" s="15" t="s">
        <v>771</v>
      </c>
      <c r="B270" s="4">
        <f>Fact_Production_Hourly!B270</f>
        <v>20260702</v>
      </c>
      <c r="C270" s="4">
        <f>Fact_Production_Hourly!C270</f>
        <v>14</v>
      </c>
      <c r="D270" s="4" t="str">
        <f>Fact_Production_Hourly!D270</f>
        <v>M3</v>
      </c>
      <c r="E270" s="4" t="str">
        <f>Fact_Production_Hourly!E270</f>
        <v>A-AM</v>
      </c>
      <c r="F270" s="4" t="str">
        <f>Fact_Production_Hourly!F270</f>
        <v>A</v>
      </c>
      <c r="G270" s="4">
        <f>INDEX(Dim_Machine!$D$2:$D$8,MATCH(D270,Dim_Machine!$A$2:$A$8,0))*2</f>
        <v>24</v>
      </c>
      <c r="H270" s="4">
        <f>ROUND(G270*0.0151,0)</f>
        <v>0</v>
      </c>
      <c r="I270" s="4">
        <f t="shared" si="32"/>
        <v>0</v>
      </c>
      <c r="J270" s="4">
        <f t="shared" si="33"/>
        <v>0</v>
      </c>
      <c r="K270" s="4">
        <f t="shared" si="34"/>
        <v>0</v>
      </c>
      <c r="L270" s="4" t="s">
        <v>509</v>
      </c>
      <c r="M270" s="4">
        <f>INDEX(Dim_Product!$C$2:$C$4,MATCH(F270,Dim_Product!$A$2:$A$4,0))+0.2</f>
        <v>250.2</v>
      </c>
      <c r="N270" s="4">
        <f>IF(AND(M270&gt;=INDEX(Dim_Product!$C$2:$C$4,MATCH(F270,Dim_Product!$A$2:$A$4,0))-INDEX(Dim_Product!$D$2:$D$4,MATCH(F270,Dim_Product!$A$2:$A$4,0)),M270&lt;=INDEX(Dim_Product!$C$2:$C$4,MATCH(F270,Dim_Product!$A$2:$A$4,0))+INDEX(Dim_Product!$D$2:$D$4,MATCH(F270,Dim_Product!$A$2:$A$4,0))),G270-H270,G270-H270-1)</f>
        <v>24</v>
      </c>
      <c r="O270" s="4">
        <f t="shared" si="35"/>
        <v>0</v>
      </c>
      <c r="P270" s="4">
        <f>INDEX(Dim_Product!$G$2:$G$4,MATCH(F270,Dim_Product!$A$2:$A$4,0))+0.13</f>
        <v>70.13</v>
      </c>
      <c r="Q270" s="4">
        <f>IF(AND(P270&gt;=INDEX(Dim_Product!$G$2:$G$4,MATCH(F270,Dim_Product!$A$2:$A$4,0))-INDEX(Dim_Product!$H$2:$H$4,MATCH(F270,Dim_Product!$A$2:$A$4,0)),P270&lt;=INDEX(Dim_Product!$G$2:$G$4,MATCH(F270,Dim_Product!$A$2:$A$4,0))+INDEX(Dim_Product!$H$2:$H$4,MATCH(F270,Dim_Product!$A$2:$A$4,0))),G270-H270,G270-H270-1)</f>
        <v>24</v>
      </c>
      <c r="R270" s="4">
        <f t="shared" si="36"/>
        <v>0</v>
      </c>
      <c r="S270" s="4">
        <f>INDEX(Dim_Product!$K$2:$K$4,MATCH(F270,Dim_Product!$A$2:$A$4,0))+-0.17</f>
        <v>119.83</v>
      </c>
      <c r="T270" s="4">
        <f>IF(AND(S270&gt;=INDEX(Dim_Product!$K$2:$K$4,MATCH(F270,Dim_Product!$A$2:$A$4,0))-INDEX(Dim_Product!$L$2:$L$4,MATCH(F270,Dim_Product!$A$2:$A$4,0)),S270&lt;=INDEX(Dim_Product!$K$2:$K$4,MATCH(F270,Dim_Product!$A$2:$A$4,0))+INDEX(Dim_Product!$L$2:$L$4,MATCH(F270,Dim_Product!$A$2:$A$4,0))),G270-H270,G270-H270-1)</f>
        <v>24</v>
      </c>
      <c r="U270" s="4">
        <f t="shared" si="37"/>
        <v>0</v>
      </c>
      <c r="V270" s="4">
        <f t="shared" si="38"/>
        <v>0</v>
      </c>
      <c r="W270" s="16">
        <f t="shared" si="39"/>
        <v>1</v>
      </c>
    </row>
    <row r="271" spans="1:23" x14ac:dyDescent="0.25">
      <c r="A271" s="15" t="s">
        <v>772</v>
      </c>
      <c r="B271" s="4">
        <f>Fact_Production_Hourly!B271</f>
        <v>20260702</v>
      </c>
      <c r="C271" s="4">
        <f>Fact_Production_Hourly!C271</f>
        <v>14</v>
      </c>
      <c r="D271" s="4" t="str">
        <f>Fact_Production_Hourly!D271</f>
        <v>M4</v>
      </c>
      <c r="E271" s="4" t="str">
        <f>Fact_Production_Hourly!E271</f>
        <v>A-AM</v>
      </c>
      <c r="F271" s="4" t="str">
        <f>Fact_Production_Hourly!F271</f>
        <v>A</v>
      </c>
      <c r="G271" s="4">
        <f>INDEX(Dim_Machine!$D$2:$D$8,MATCH(D271,Dim_Machine!$A$2:$A$8,0))*2</f>
        <v>48</v>
      </c>
      <c r="H271" s="4">
        <f>ROUND(G271*0.0665,0)</f>
        <v>3</v>
      </c>
      <c r="I271" s="4">
        <f t="shared" si="32"/>
        <v>0</v>
      </c>
      <c r="J271" s="4">
        <f t="shared" si="33"/>
        <v>1</v>
      </c>
      <c r="K271" s="4">
        <f t="shared" si="34"/>
        <v>2</v>
      </c>
      <c r="L271" s="4" t="s">
        <v>498</v>
      </c>
      <c r="M271" s="4">
        <f>INDEX(Dim_Product!$C$2:$C$4,MATCH(F271,Dim_Product!$A$2:$A$4,0))+0.7</f>
        <v>250.7</v>
      </c>
      <c r="N271" s="4">
        <f>IF(AND(M271&gt;=INDEX(Dim_Product!$C$2:$C$4,MATCH(F271,Dim_Product!$A$2:$A$4,0))-INDEX(Dim_Product!$D$2:$D$4,MATCH(F271,Dim_Product!$A$2:$A$4,0)),M271&lt;=INDEX(Dim_Product!$C$2:$C$4,MATCH(F271,Dim_Product!$A$2:$A$4,0))+INDEX(Dim_Product!$D$2:$D$4,MATCH(F271,Dim_Product!$A$2:$A$4,0))),G271-H271,G271-H271-1)</f>
        <v>45</v>
      </c>
      <c r="O271" s="4">
        <f t="shared" si="35"/>
        <v>3</v>
      </c>
      <c r="P271" s="4">
        <f>INDEX(Dim_Product!$G$2:$G$4,MATCH(F271,Dim_Product!$A$2:$A$4,0))+0.1</f>
        <v>70.099999999999994</v>
      </c>
      <c r="Q271" s="4">
        <f>IF(AND(P271&gt;=INDEX(Dim_Product!$G$2:$G$4,MATCH(F271,Dim_Product!$A$2:$A$4,0))-INDEX(Dim_Product!$H$2:$H$4,MATCH(F271,Dim_Product!$A$2:$A$4,0)),P271&lt;=INDEX(Dim_Product!$G$2:$G$4,MATCH(F271,Dim_Product!$A$2:$A$4,0))+INDEX(Dim_Product!$H$2:$H$4,MATCH(F271,Dim_Product!$A$2:$A$4,0))),G271-H271,G271-H271-1)</f>
        <v>45</v>
      </c>
      <c r="R271" s="4">
        <f t="shared" si="36"/>
        <v>3</v>
      </c>
      <c r="S271" s="4">
        <f>INDEX(Dim_Product!$K$2:$K$4,MATCH(F271,Dim_Product!$A$2:$A$4,0))+-0.16</f>
        <v>119.84</v>
      </c>
      <c r="T271" s="4">
        <f>IF(AND(S271&gt;=INDEX(Dim_Product!$K$2:$K$4,MATCH(F271,Dim_Product!$A$2:$A$4,0))-INDEX(Dim_Product!$L$2:$L$4,MATCH(F271,Dim_Product!$A$2:$A$4,0)),S271&lt;=INDEX(Dim_Product!$K$2:$K$4,MATCH(F271,Dim_Product!$A$2:$A$4,0))+INDEX(Dim_Product!$L$2:$L$4,MATCH(F271,Dim_Product!$A$2:$A$4,0))),G271-H271,G271-H271-1)</f>
        <v>45</v>
      </c>
      <c r="U271" s="4">
        <f t="shared" si="37"/>
        <v>3</v>
      </c>
      <c r="V271" s="4">
        <f t="shared" si="38"/>
        <v>6.25E-2</v>
      </c>
      <c r="W271" s="16">
        <f t="shared" si="39"/>
        <v>0.9375</v>
      </c>
    </row>
    <row r="272" spans="1:23" x14ac:dyDescent="0.25">
      <c r="A272" s="15" t="s">
        <v>773</v>
      </c>
      <c r="B272" s="4">
        <f>Fact_Production_Hourly!B272</f>
        <v>20260702</v>
      </c>
      <c r="C272" s="4">
        <f>Fact_Production_Hourly!C272</f>
        <v>14</v>
      </c>
      <c r="D272" s="4" t="str">
        <f>Fact_Production_Hourly!D272</f>
        <v>M5</v>
      </c>
      <c r="E272" s="4" t="str">
        <f>Fact_Production_Hourly!E272</f>
        <v>A-AM</v>
      </c>
      <c r="F272" s="4" t="str">
        <f>Fact_Production_Hourly!F272</f>
        <v>C</v>
      </c>
      <c r="G272" s="4">
        <f>INDEX(Dim_Machine!$D$2:$D$8,MATCH(D272,Dim_Machine!$A$2:$A$8,0))*2</f>
        <v>32</v>
      </c>
      <c r="H272" s="4">
        <f>ROUND(G272*0.0411,0)</f>
        <v>1</v>
      </c>
      <c r="I272" s="4">
        <f t="shared" si="32"/>
        <v>0</v>
      </c>
      <c r="J272" s="4">
        <f t="shared" si="33"/>
        <v>0</v>
      </c>
      <c r="K272" s="4">
        <f t="shared" si="34"/>
        <v>1</v>
      </c>
      <c r="L272" s="4" t="s">
        <v>509</v>
      </c>
      <c r="M272" s="4">
        <f>INDEX(Dim_Product!$C$2:$C$4,MATCH(F272,Dim_Product!$A$2:$A$4,0))+-0.62</f>
        <v>199.38</v>
      </c>
      <c r="N272" s="4">
        <f>IF(AND(M272&gt;=INDEX(Dim_Product!$C$2:$C$4,MATCH(F272,Dim_Product!$A$2:$A$4,0))-INDEX(Dim_Product!$D$2:$D$4,MATCH(F272,Dim_Product!$A$2:$A$4,0)),M272&lt;=INDEX(Dim_Product!$C$2:$C$4,MATCH(F272,Dim_Product!$A$2:$A$4,0))+INDEX(Dim_Product!$D$2:$D$4,MATCH(F272,Dim_Product!$A$2:$A$4,0))),G272-H272,G272-H272-1)</f>
        <v>31</v>
      </c>
      <c r="O272" s="4">
        <f t="shared" si="35"/>
        <v>1</v>
      </c>
      <c r="P272" s="4">
        <f>INDEX(Dim_Product!$G$2:$G$4,MATCH(F272,Dim_Product!$A$2:$A$4,0))+-0.06</f>
        <v>64.94</v>
      </c>
      <c r="Q272" s="4">
        <f>IF(AND(P272&gt;=INDEX(Dim_Product!$G$2:$G$4,MATCH(F272,Dim_Product!$A$2:$A$4,0))-INDEX(Dim_Product!$H$2:$H$4,MATCH(F272,Dim_Product!$A$2:$A$4,0)),P272&lt;=INDEX(Dim_Product!$G$2:$G$4,MATCH(F272,Dim_Product!$A$2:$A$4,0))+INDEX(Dim_Product!$H$2:$H$4,MATCH(F272,Dim_Product!$A$2:$A$4,0))),G272-H272,G272-H272-1)</f>
        <v>31</v>
      </c>
      <c r="R272" s="4">
        <f t="shared" si="36"/>
        <v>1</v>
      </c>
      <c r="S272" s="4">
        <f>INDEX(Dim_Product!$K$2:$K$4,MATCH(F272,Dim_Product!$A$2:$A$4,0))+0.12</f>
        <v>110.12</v>
      </c>
      <c r="T272" s="4">
        <f>IF(AND(S272&gt;=INDEX(Dim_Product!$K$2:$K$4,MATCH(F272,Dim_Product!$A$2:$A$4,0))-INDEX(Dim_Product!$L$2:$L$4,MATCH(F272,Dim_Product!$A$2:$A$4,0)),S272&lt;=INDEX(Dim_Product!$K$2:$K$4,MATCH(F272,Dim_Product!$A$2:$A$4,0))+INDEX(Dim_Product!$L$2:$L$4,MATCH(F272,Dim_Product!$A$2:$A$4,0))),G272-H272,G272-H272-1)</f>
        <v>31</v>
      </c>
      <c r="U272" s="4">
        <f t="shared" si="37"/>
        <v>1</v>
      </c>
      <c r="V272" s="4">
        <f t="shared" si="38"/>
        <v>3.125E-2</v>
      </c>
      <c r="W272" s="16">
        <f t="shared" si="39"/>
        <v>0.96875</v>
      </c>
    </row>
    <row r="273" spans="1:23" x14ac:dyDescent="0.25">
      <c r="A273" s="15" t="s">
        <v>774</v>
      </c>
      <c r="B273" s="4">
        <f>Fact_Production_Hourly!B273</f>
        <v>20260702</v>
      </c>
      <c r="C273" s="4">
        <f>Fact_Production_Hourly!C273</f>
        <v>14</v>
      </c>
      <c r="D273" s="4" t="str">
        <f>Fact_Production_Hourly!D273</f>
        <v>M6</v>
      </c>
      <c r="E273" s="4" t="str">
        <f>Fact_Production_Hourly!E273</f>
        <v>A-AM</v>
      </c>
      <c r="F273" s="4" t="str">
        <f>Fact_Production_Hourly!F273</f>
        <v>C</v>
      </c>
      <c r="G273" s="4">
        <f>INDEX(Dim_Machine!$D$2:$D$8,MATCH(D273,Dim_Machine!$A$2:$A$8,0))*2</f>
        <v>24</v>
      </c>
      <c r="H273" s="4">
        <f>ROUND(G273*0.057,0)</f>
        <v>1</v>
      </c>
      <c r="I273" s="4">
        <f t="shared" si="32"/>
        <v>0</v>
      </c>
      <c r="J273" s="4">
        <f t="shared" si="33"/>
        <v>0</v>
      </c>
      <c r="K273" s="4">
        <f t="shared" si="34"/>
        <v>1</v>
      </c>
      <c r="L273" s="4" t="s">
        <v>500</v>
      </c>
      <c r="M273" s="4">
        <f>INDEX(Dim_Product!$C$2:$C$4,MATCH(F273,Dim_Product!$A$2:$A$4,0))+-0.01</f>
        <v>199.99</v>
      </c>
      <c r="N273" s="4">
        <f>IF(AND(M273&gt;=INDEX(Dim_Product!$C$2:$C$4,MATCH(F273,Dim_Product!$A$2:$A$4,0))-INDEX(Dim_Product!$D$2:$D$4,MATCH(F273,Dim_Product!$A$2:$A$4,0)),M273&lt;=INDEX(Dim_Product!$C$2:$C$4,MATCH(F273,Dim_Product!$A$2:$A$4,0))+INDEX(Dim_Product!$D$2:$D$4,MATCH(F273,Dim_Product!$A$2:$A$4,0))),G273-H273,G273-H273-1)</f>
        <v>23</v>
      </c>
      <c r="O273" s="4">
        <f t="shared" si="35"/>
        <v>1</v>
      </c>
      <c r="P273" s="4">
        <f>INDEX(Dim_Product!$G$2:$G$4,MATCH(F273,Dim_Product!$A$2:$A$4,0))+-0.23</f>
        <v>64.77</v>
      </c>
      <c r="Q273" s="4">
        <f>IF(AND(P273&gt;=INDEX(Dim_Product!$G$2:$G$4,MATCH(F273,Dim_Product!$A$2:$A$4,0))-INDEX(Dim_Product!$H$2:$H$4,MATCH(F273,Dim_Product!$A$2:$A$4,0)),P273&lt;=INDEX(Dim_Product!$G$2:$G$4,MATCH(F273,Dim_Product!$A$2:$A$4,0))+INDEX(Dim_Product!$H$2:$H$4,MATCH(F273,Dim_Product!$A$2:$A$4,0))),G273-H273,G273-H273-1)</f>
        <v>23</v>
      </c>
      <c r="R273" s="4">
        <f t="shared" si="36"/>
        <v>1</v>
      </c>
      <c r="S273" s="4">
        <f>INDEX(Dim_Product!$K$2:$K$4,MATCH(F273,Dim_Product!$A$2:$A$4,0))+0</f>
        <v>110</v>
      </c>
      <c r="T273" s="4">
        <f>IF(AND(S273&gt;=INDEX(Dim_Product!$K$2:$K$4,MATCH(F273,Dim_Product!$A$2:$A$4,0))-INDEX(Dim_Product!$L$2:$L$4,MATCH(F273,Dim_Product!$A$2:$A$4,0)),S273&lt;=INDEX(Dim_Product!$K$2:$K$4,MATCH(F273,Dim_Product!$A$2:$A$4,0))+INDEX(Dim_Product!$L$2:$L$4,MATCH(F273,Dim_Product!$A$2:$A$4,0))),G273-H273,G273-H273-1)</f>
        <v>23</v>
      </c>
      <c r="U273" s="4">
        <f t="shared" si="37"/>
        <v>1</v>
      </c>
      <c r="V273" s="4">
        <f t="shared" si="38"/>
        <v>4.1666666666666664E-2</v>
      </c>
      <c r="W273" s="16">
        <f t="shared" si="39"/>
        <v>0.95833333333333337</v>
      </c>
    </row>
    <row r="274" spans="1:23" x14ac:dyDescent="0.25">
      <c r="A274" s="15" t="s">
        <v>775</v>
      </c>
      <c r="B274" s="4">
        <f>Fact_Production_Hourly!B274</f>
        <v>20260702</v>
      </c>
      <c r="C274" s="4">
        <f>Fact_Production_Hourly!C274</f>
        <v>14</v>
      </c>
      <c r="D274" s="4" t="str">
        <f>Fact_Production_Hourly!D274</f>
        <v>M7</v>
      </c>
      <c r="E274" s="4" t="str">
        <f>Fact_Production_Hourly!E274</f>
        <v>A-AM</v>
      </c>
      <c r="F274" s="4" t="str">
        <f>Fact_Production_Hourly!F274</f>
        <v>C</v>
      </c>
      <c r="G274" s="4">
        <f>INDEX(Dim_Machine!$D$2:$D$8,MATCH(D274,Dim_Machine!$A$2:$A$8,0))*2</f>
        <v>48</v>
      </c>
      <c r="H274" s="4">
        <f>ROUND(G274*0.0456,0)</f>
        <v>2</v>
      </c>
      <c r="I274" s="4">
        <f t="shared" si="32"/>
        <v>0</v>
      </c>
      <c r="J274" s="4">
        <f t="shared" si="33"/>
        <v>1</v>
      </c>
      <c r="K274" s="4">
        <f t="shared" si="34"/>
        <v>1</v>
      </c>
      <c r="L274" s="4" t="s">
        <v>509</v>
      </c>
      <c r="M274" s="4">
        <f>INDEX(Dim_Product!$C$2:$C$4,MATCH(F274,Dim_Product!$A$2:$A$4,0))+0.78</f>
        <v>200.78</v>
      </c>
      <c r="N274" s="4">
        <f>IF(AND(M274&gt;=INDEX(Dim_Product!$C$2:$C$4,MATCH(F274,Dim_Product!$A$2:$A$4,0))-INDEX(Dim_Product!$D$2:$D$4,MATCH(F274,Dim_Product!$A$2:$A$4,0)),M274&lt;=INDEX(Dim_Product!$C$2:$C$4,MATCH(F274,Dim_Product!$A$2:$A$4,0))+INDEX(Dim_Product!$D$2:$D$4,MATCH(F274,Dim_Product!$A$2:$A$4,0))),G274-H274,G274-H274-1)</f>
        <v>46</v>
      </c>
      <c r="O274" s="4">
        <f t="shared" si="35"/>
        <v>2</v>
      </c>
      <c r="P274" s="4">
        <f>INDEX(Dim_Product!$G$2:$G$4,MATCH(F274,Dim_Product!$A$2:$A$4,0))+-0.29</f>
        <v>64.709999999999994</v>
      </c>
      <c r="Q274" s="4">
        <f>IF(AND(P274&gt;=INDEX(Dim_Product!$G$2:$G$4,MATCH(F274,Dim_Product!$A$2:$A$4,0))-INDEX(Dim_Product!$H$2:$H$4,MATCH(F274,Dim_Product!$A$2:$A$4,0)),P274&lt;=INDEX(Dim_Product!$G$2:$G$4,MATCH(F274,Dim_Product!$A$2:$A$4,0))+INDEX(Dim_Product!$H$2:$H$4,MATCH(F274,Dim_Product!$A$2:$A$4,0))),G274-H274,G274-H274-1)</f>
        <v>46</v>
      </c>
      <c r="R274" s="4">
        <f t="shared" si="36"/>
        <v>2</v>
      </c>
      <c r="S274" s="4">
        <f>INDEX(Dim_Product!$K$2:$K$4,MATCH(F274,Dim_Product!$A$2:$A$4,0))+-0.11</f>
        <v>109.89</v>
      </c>
      <c r="T274" s="4">
        <f>IF(AND(S274&gt;=INDEX(Dim_Product!$K$2:$K$4,MATCH(F274,Dim_Product!$A$2:$A$4,0))-INDEX(Dim_Product!$L$2:$L$4,MATCH(F274,Dim_Product!$A$2:$A$4,0)),S274&lt;=INDEX(Dim_Product!$K$2:$K$4,MATCH(F274,Dim_Product!$A$2:$A$4,0))+INDEX(Dim_Product!$L$2:$L$4,MATCH(F274,Dim_Product!$A$2:$A$4,0))),G274-H274,G274-H274-1)</f>
        <v>46</v>
      </c>
      <c r="U274" s="4">
        <f t="shared" si="37"/>
        <v>2</v>
      </c>
      <c r="V274" s="4">
        <f t="shared" si="38"/>
        <v>4.1666666666666664E-2</v>
      </c>
      <c r="W274" s="16">
        <f t="shared" si="39"/>
        <v>0.95833333333333337</v>
      </c>
    </row>
    <row r="275" spans="1:23" x14ac:dyDescent="0.25">
      <c r="A275" s="15" t="s">
        <v>776</v>
      </c>
      <c r="B275" s="4">
        <f>Fact_Production_Hourly!B275</f>
        <v>20260702</v>
      </c>
      <c r="C275" s="4">
        <f>Fact_Production_Hourly!C275</f>
        <v>15</v>
      </c>
      <c r="D275" s="4" t="str">
        <f>Fact_Production_Hourly!D275</f>
        <v>M1</v>
      </c>
      <c r="E275" s="4" t="str">
        <f>Fact_Production_Hourly!E275</f>
        <v>A-AM</v>
      </c>
      <c r="F275" s="4" t="str">
        <f>Fact_Production_Hourly!F275</f>
        <v>C</v>
      </c>
      <c r="G275" s="4">
        <f>INDEX(Dim_Machine!$D$2:$D$8,MATCH(D275,Dim_Machine!$A$2:$A$8,0))*2</f>
        <v>32</v>
      </c>
      <c r="H275" s="4">
        <f>ROUND(G275*0.029,0)</f>
        <v>1</v>
      </c>
      <c r="I275" s="4">
        <f t="shared" si="32"/>
        <v>0</v>
      </c>
      <c r="J275" s="4">
        <f t="shared" si="33"/>
        <v>0</v>
      </c>
      <c r="K275" s="4">
        <f t="shared" si="34"/>
        <v>1</v>
      </c>
      <c r="L275" s="4" t="s">
        <v>503</v>
      </c>
      <c r="M275" s="4">
        <f>INDEX(Dim_Product!$C$2:$C$4,MATCH(F275,Dim_Product!$A$2:$A$4,0))+0.72</f>
        <v>200.72</v>
      </c>
      <c r="N275" s="4">
        <f>IF(AND(M275&gt;=INDEX(Dim_Product!$C$2:$C$4,MATCH(F275,Dim_Product!$A$2:$A$4,0))-INDEX(Dim_Product!$D$2:$D$4,MATCH(F275,Dim_Product!$A$2:$A$4,0)),M275&lt;=INDEX(Dim_Product!$C$2:$C$4,MATCH(F275,Dim_Product!$A$2:$A$4,0))+INDEX(Dim_Product!$D$2:$D$4,MATCH(F275,Dim_Product!$A$2:$A$4,0))),G275-H275,G275-H275-1)</f>
        <v>31</v>
      </c>
      <c r="O275" s="4">
        <f t="shared" si="35"/>
        <v>1</v>
      </c>
      <c r="P275" s="4">
        <f>INDEX(Dim_Product!$G$2:$G$4,MATCH(F275,Dim_Product!$A$2:$A$4,0))+0.04</f>
        <v>65.040000000000006</v>
      </c>
      <c r="Q275" s="4">
        <f>IF(AND(P275&gt;=INDEX(Dim_Product!$G$2:$G$4,MATCH(F275,Dim_Product!$A$2:$A$4,0))-INDEX(Dim_Product!$H$2:$H$4,MATCH(F275,Dim_Product!$A$2:$A$4,0)),P275&lt;=INDEX(Dim_Product!$G$2:$G$4,MATCH(F275,Dim_Product!$A$2:$A$4,0))+INDEX(Dim_Product!$H$2:$H$4,MATCH(F275,Dim_Product!$A$2:$A$4,0))),G275-H275,G275-H275-1)</f>
        <v>31</v>
      </c>
      <c r="R275" s="4">
        <f t="shared" si="36"/>
        <v>1</v>
      </c>
      <c r="S275" s="4">
        <f>INDEX(Dim_Product!$K$2:$K$4,MATCH(F275,Dim_Product!$A$2:$A$4,0))+-0.11</f>
        <v>109.89</v>
      </c>
      <c r="T275" s="4">
        <f>IF(AND(S275&gt;=INDEX(Dim_Product!$K$2:$K$4,MATCH(F275,Dim_Product!$A$2:$A$4,0))-INDEX(Dim_Product!$L$2:$L$4,MATCH(F275,Dim_Product!$A$2:$A$4,0)),S275&lt;=INDEX(Dim_Product!$K$2:$K$4,MATCH(F275,Dim_Product!$A$2:$A$4,0))+INDEX(Dim_Product!$L$2:$L$4,MATCH(F275,Dim_Product!$A$2:$A$4,0))),G275-H275,G275-H275-1)</f>
        <v>31</v>
      </c>
      <c r="U275" s="4">
        <f t="shared" si="37"/>
        <v>1</v>
      </c>
      <c r="V275" s="4">
        <f t="shared" si="38"/>
        <v>3.125E-2</v>
      </c>
      <c r="W275" s="16">
        <f t="shared" si="39"/>
        <v>0.96875</v>
      </c>
    </row>
    <row r="276" spans="1:23" x14ac:dyDescent="0.25">
      <c r="A276" s="15" t="s">
        <v>777</v>
      </c>
      <c r="B276" s="4">
        <f>Fact_Production_Hourly!B276</f>
        <v>20260702</v>
      </c>
      <c r="C276" s="4">
        <f>Fact_Production_Hourly!C276</f>
        <v>15</v>
      </c>
      <c r="D276" s="4" t="str">
        <f>Fact_Production_Hourly!D276</f>
        <v>M2</v>
      </c>
      <c r="E276" s="4" t="str">
        <f>Fact_Production_Hourly!E276</f>
        <v>A-AM</v>
      </c>
      <c r="F276" s="4" t="str">
        <f>Fact_Production_Hourly!F276</f>
        <v>A</v>
      </c>
      <c r="G276" s="4">
        <f>INDEX(Dim_Machine!$D$2:$D$8,MATCH(D276,Dim_Machine!$A$2:$A$8,0))*2</f>
        <v>48</v>
      </c>
      <c r="H276" s="4">
        <f>ROUND(G276*0.051,0)</f>
        <v>2</v>
      </c>
      <c r="I276" s="4">
        <f t="shared" si="32"/>
        <v>0</v>
      </c>
      <c r="J276" s="4">
        <f t="shared" si="33"/>
        <v>1</v>
      </c>
      <c r="K276" s="4">
        <f t="shared" si="34"/>
        <v>1</v>
      </c>
      <c r="L276" s="4" t="s">
        <v>503</v>
      </c>
      <c r="M276" s="4">
        <f>INDEX(Dim_Product!$C$2:$C$4,MATCH(F276,Dim_Product!$A$2:$A$4,0))+0.91</f>
        <v>250.91</v>
      </c>
      <c r="N276" s="4">
        <f>IF(AND(M276&gt;=INDEX(Dim_Product!$C$2:$C$4,MATCH(F276,Dim_Product!$A$2:$A$4,0))-INDEX(Dim_Product!$D$2:$D$4,MATCH(F276,Dim_Product!$A$2:$A$4,0)),M276&lt;=INDEX(Dim_Product!$C$2:$C$4,MATCH(F276,Dim_Product!$A$2:$A$4,0))+INDEX(Dim_Product!$D$2:$D$4,MATCH(F276,Dim_Product!$A$2:$A$4,0))),G276-H276,G276-H276-1)</f>
        <v>46</v>
      </c>
      <c r="O276" s="4">
        <f t="shared" si="35"/>
        <v>2</v>
      </c>
      <c r="P276" s="4">
        <f>INDEX(Dim_Product!$G$2:$G$4,MATCH(F276,Dim_Product!$A$2:$A$4,0))+0.16</f>
        <v>70.16</v>
      </c>
      <c r="Q276" s="4">
        <f>IF(AND(P276&gt;=INDEX(Dim_Product!$G$2:$G$4,MATCH(F276,Dim_Product!$A$2:$A$4,0))-INDEX(Dim_Product!$H$2:$H$4,MATCH(F276,Dim_Product!$A$2:$A$4,0)),P276&lt;=INDEX(Dim_Product!$G$2:$G$4,MATCH(F276,Dim_Product!$A$2:$A$4,0))+INDEX(Dim_Product!$H$2:$H$4,MATCH(F276,Dim_Product!$A$2:$A$4,0))),G276-H276,G276-H276-1)</f>
        <v>46</v>
      </c>
      <c r="R276" s="4">
        <f t="shared" si="36"/>
        <v>2</v>
      </c>
      <c r="S276" s="4">
        <f>INDEX(Dim_Product!$K$2:$K$4,MATCH(F276,Dim_Product!$A$2:$A$4,0))+-0.39</f>
        <v>119.61</v>
      </c>
      <c r="T276" s="4">
        <f>IF(AND(S276&gt;=INDEX(Dim_Product!$K$2:$K$4,MATCH(F276,Dim_Product!$A$2:$A$4,0))-INDEX(Dim_Product!$L$2:$L$4,MATCH(F276,Dim_Product!$A$2:$A$4,0)),S276&lt;=INDEX(Dim_Product!$K$2:$K$4,MATCH(F276,Dim_Product!$A$2:$A$4,0))+INDEX(Dim_Product!$L$2:$L$4,MATCH(F276,Dim_Product!$A$2:$A$4,0))),G276-H276,G276-H276-1)</f>
        <v>46</v>
      </c>
      <c r="U276" s="4">
        <f t="shared" si="37"/>
        <v>2</v>
      </c>
      <c r="V276" s="4">
        <f t="shared" si="38"/>
        <v>4.1666666666666664E-2</v>
      </c>
      <c r="W276" s="16">
        <f t="shared" si="39"/>
        <v>0.95833333333333337</v>
      </c>
    </row>
    <row r="277" spans="1:23" x14ac:dyDescent="0.25">
      <c r="A277" s="15" t="s">
        <v>778</v>
      </c>
      <c r="B277" s="4">
        <f>Fact_Production_Hourly!B277</f>
        <v>20260702</v>
      </c>
      <c r="C277" s="4">
        <f>Fact_Production_Hourly!C277</f>
        <v>15</v>
      </c>
      <c r="D277" s="4" t="str">
        <f>Fact_Production_Hourly!D277</f>
        <v>M3</v>
      </c>
      <c r="E277" s="4" t="str">
        <f>Fact_Production_Hourly!E277</f>
        <v>A-AM</v>
      </c>
      <c r="F277" s="4" t="str">
        <f>Fact_Production_Hourly!F277</f>
        <v>A</v>
      </c>
      <c r="G277" s="4">
        <f>INDEX(Dim_Machine!$D$2:$D$8,MATCH(D277,Dim_Machine!$A$2:$A$8,0))*2</f>
        <v>24</v>
      </c>
      <c r="H277" s="4">
        <f>ROUND(G277*0.0141,0)</f>
        <v>0</v>
      </c>
      <c r="I277" s="4">
        <f t="shared" si="32"/>
        <v>0</v>
      </c>
      <c r="J277" s="4">
        <f t="shared" si="33"/>
        <v>0</v>
      </c>
      <c r="K277" s="4">
        <f t="shared" si="34"/>
        <v>0</v>
      </c>
      <c r="L277" s="4" t="s">
        <v>517</v>
      </c>
      <c r="M277" s="4">
        <f>INDEX(Dim_Product!$C$2:$C$4,MATCH(F277,Dim_Product!$A$2:$A$4,0))+-0.57</f>
        <v>249.43</v>
      </c>
      <c r="N277" s="4">
        <f>IF(AND(M277&gt;=INDEX(Dim_Product!$C$2:$C$4,MATCH(F277,Dim_Product!$A$2:$A$4,0))-INDEX(Dim_Product!$D$2:$D$4,MATCH(F277,Dim_Product!$A$2:$A$4,0)),M277&lt;=INDEX(Dim_Product!$C$2:$C$4,MATCH(F277,Dim_Product!$A$2:$A$4,0))+INDEX(Dim_Product!$D$2:$D$4,MATCH(F277,Dim_Product!$A$2:$A$4,0))),G277-H277,G277-H277-1)</f>
        <v>24</v>
      </c>
      <c r="O277" s="4">
        <f t="shared" si="35"/>
        <v>0</v>
      </c>
      <c r="P277" s="4">
        <f>INDEX(Dim_Product!$G$2:$G$4,MATCH(F277,Dim_Product!$A$2:$A$4,0))+0.25</f>
        <v>70.25</v>
      </c>
      <c r="Q277" s="4">
        <f>IF(AND(P277&gt;=INDEX(Dim_Product!$G$2:$G$4,MATCH(F277,Dim_Product!$A$2:$A$4,0))-INDEX(Dim_Product!$H$2:$H$4,MATCH(F277,Dim_Product!$A$2:$A$4,0)),P277&lt;=INDEX(Dim_Product!$G$2:$G$4,MATCH(F277,Dim_Product!$A$2:$A$4,0))+INDEX(Dim_Product!$H$2:$H$4,MATCH(F277,Dim_Product!$A$2:$A$4,0))),G277-H277,G277-H277-1)</f>
        <v>24</v>
      </c>
      <c r="R277" s="4">
        <f t="shared" si="36"/>
        <v>0</v>
      </c>
      <c r="S277" s="4">
        <f>INDEX(Dim_Product!$K$2:$K$4,MATCH(F277,Dim_Product!$A$2:$A$4,0))+0.36</f>
        <v>120.36</v>
      </c>
      <c r="T277" s="4">
        <f>IF(AND(S277&gt;=INDEX(Dim_Product!$K$2:$K$4,MATCH(F277,Dim_Product!$A$2:$A$4,0))-INDEX(Dim_Product!$L$2:$L$4,MATCH(F277,Dim_Product!$A$2:$A$4,0)),S277&lt;=INDEX(Dim_Product!$K$2:$K$4,MATCH(F277,Dim_Product!$A$2:$A$4,0))+INDEX(Dim_Product!$L$2:$L$4,MATCH(F277,Dim_Product!$A$2:$A$4,0))),G277-H277,G277-H277-1)</f>
        <v>24</v>
      </c>
      <c r="U277" s="4">
        <f t="shared" si="37"/>
        <v>0</v>
      </c>
      <c r="V277" s="4">
        <f t="shared" si="38"/>
        <v>0</v>
      </c>
      <c r="W277" s="16">
        <f t="shared" si="39"/>
        <v>1</v>
      </c>
    </row>
    <row r="278" spans="1:23" x14ac:dyDescent="0.25">
      <c r="A278" s="15" t="s">
        <v>779</v>
      </c>
      <c r="B278" s="4">
        <f>Fact_Production_Hourly!B278</f>
        <v>20260702</v>
      </c>
      <c r="C278" s="4">
        <f>Fact_Production_Hourly!C278</f>
        <v>15</v>
      </c>
      <c r="D278" s="4" t="str">
        <f>Fact_Production_Hourly!D278</f>
        <v>M4</v>
      </c>
      <c r="E278" s="4" t="str">
        <f>Fact_Production_Hourly!E278</f>
        <v>A-AM</v>
      </c>
      <c r="F278" s="4" t="str">
        <f>Fact_Production_Hourly!F278</f>
        <v>A</v>
      </c>
      <c r="G278" s="4">
        <f>INDEX(Dim_Machine!$D$2:$D$8,MATCH(D278,Dim_Machine!$A$2:$A$8,0))*2</f>
        <v>48</v>
      </c>
      <c r="H278" s="4">
        <f>ROUND(G278*0.0339,0)</f>
        <v>2</v>
      </c>
      <c r="I278" s="4">
        <f t="shared" si="32"/>
        <v>0</v>
      </c>
      <c r="J278" s="4">
        <f t="shared" si="33"/>
        <v>1</v>
      </c>
      <c r="K278" s="4">
        <f t="shared" si="34"/>
        <v>1</v>
      </c>
      <c r="L278" s="4" t="s">
        <v>517</v>
      </c>
      <c r="M278" s="4">
        <f>INDEX(Dim_Product!$C$2:$C$4,MATCH(F278,Dim_Product!$A$2:$A$4,0))+0.26</f>
        <v>250.26</v>
      </c>
      <c r="N278" s="4">
        <f>IF(AND(M278&gt;=INDEX(Dim_Product!$C$2:$C$4,MATCH(F278,Dim_Product!$A$2:$A$4,0))-INDEX(Dim_Product!$D$2:$D$4,MATCH(F278,Dim_Product!$A$2:$A$4,0)),M278&lt;=INDEX(Dim_Product!$C$2:$C$4,MATCH(F278,Dim_Product!$A$2:$A$4,0))+INDEX(Dim_Product!$D$2:$D$4,MATCH(F278,Dim_Product!$A$2:$A$4,0))),G278-H278,G278-H278-1)</f>
        <v>46</v>
      </c>
      <c r="O278" s="4">
        <f t="shared" si="35"/>
        <v>2</v>
      </c>
      <c r="P278" s="4">
        <f>INDEX(Dim_Product!$G$2:$G$4,MATCH(F278,Dim_Product!$A$2:$A$4,0))+0</f>
        <v>70</v>
      </c>
      <c r="Q278" s="4">
        <f>IF(AND(P278&gt;=INDEX(Dim_Product!$G$2:$G$4,MATCH(F278,Dim_Product!$A$2:$A$4,0))-INDEX(Dim_Product!$H$2:$H$4,MATCH(F278,Dim_Product!$A$2:$A$4,0)),P278&lt;=INDEX(Dim_Product!$G$2:$G$4,MATCH(F278,Dim_Product!$A$2:$A$4,0))+INDEX(Dim_Product!$H$2:$H$4,MATCH(F278,Dim_Product!$A$2:$A$4,0))),G278-H278,G278-H278-1)</f>
        <v>46</v>
      </c>
      <c r="R278" s="4">
        <f t="shared" si="36"/>
        <v>2</v>
      </c>
      <c r="S278" s="4">
        <f>INDEX(Dim_Product!$K$2:$K$4,MATCH(F278,Dim_Product!$A$2:$A$4,0))+-0.07</f>
        <v>119.93</v>
      </c>
      <c r="T278" s="4">
        <f>IF(AND(S278&gt;=INDEX(Dim_Product!$K$2:$K$4,MATCH(F278,Dim_Product!$A$2:$A$4,0))-INDEX(Dim_Product!$L$2:$L$4,MATCH(F278,Dim_Product!$A$2:$A$4,0)),S278&lt;=INDEX(Dim_Product!$K$2:$K$4,MATCH(F278,Dim_Product!$A$2:$A$4,0))+INDEX(Dim_Product!$L$2:$L$4,MATCH(F278,Dim_Product!$A$2:$A$4,0))),G278-H278,G278-H278-1)</f>
        <v>46</v>
      </c>
      <c r="U278" s="4">
        <f t="shared" si="37"/>
        <v>2</v>
      </c>
      <c r="V278" s="4">
        <f t="shared" si="38"/>
        <v>4.1666666666666664E-2</v>
      </c>
      <c r="W278" s="16">
        <f t="shared" si="39"/>
        <v>0.95833333333333337</v>
      </c>
    </row>
    <row r="279" spans="1:23" x14ac:dyDescent="0.25">
      <c r="A279" s="15" t="s">
        <v>780</v>
      </c>
      <c r="B279" s="4">
        <f>Fact_Production_Hourly!B279</f>
        <v>20260702</v>
      </c>
      <c r="C279" s="4">
        <f>Fact_Production_Hourly!C279</f>
        <v>15</v>
      </c>
      <c r="D279" s="4" t="str">
        <f>Fact_Production_Hourly!D279</f>
        <v>M5</v>
      </c>
      <c r="E279" s="4" t="str">
        <f>Fact_Production_Hourly!E279</f>
        <v>A-AM</v>
      </c>
      <c r="F279" s="4" t="str">
        <f>Fact_Production_Hourly!F279</f>
        <v>C</v>
      </c>
      <c r="G279" s="4">
        <f>INDEX(Dim_Machine!$D$2:$D$8,MATCH(D279,Dim_Machine!$A$2:$A$8,0))*2</f>
        <v>32</v>
      </c>
      <c r="H279" s="4">
        <f>ROUND(G279*0.0521,0)</f>
        <v>2</v>
      </c>
      <c r="I279" s="4">
        <f t="shared" si="32"/>
        <v>0</v>
      </c>
      <c r="J279" s="4">
        <f t="shared" si="33"/>
        <v>1</v>
      </c>
      <c r="K279" s="4">
        <f t="shared" si="34"/>
        <v>1</v>
      </c>
      <c r="L279" s="4" t="s">
        <v>498</v>
      </c>
      <c r="M279" s="4">
        <f>INDEX(Dim_Product!$C$2:$C$4,MATCH(F279,Dim_Product!$A$2:$A$4,0))+0.28</f>
        <v>200.28</v>
      </c>
      <c r="N279" s="4">
        <f>IF(AND(M279&gt;=INDEX(Dim_Product!$C$2:$C$4,MATCH(F279,Dim_Product!$A$2:$A$4,0))-INDEX(Dim_Product!$D$2:$D$4,MATCH(F279,Dim_Product!$A$2:$A$4,0)),M279&lt;=INDEX(Dim_Product!$C$2:$C$4,MATCH(F279,Dim_Product!$A$2:$A$4,0))+INDEX(Dim_Product!$D$2:$D$4,MATCH(F279,Dim_Product!$A$2:$A$4,0))),G279-H279,G279-H279-1)</f>
        <v>30</v>
      </c>
      <c r="O279" s="4">
        <f t="shared" si="35"/>
        <v>2</v>
      </c>
      <c r="P279" s="4">
        <f>INDEX(Dim_Product!$G$2:$G$4,MATCH(F279,Dim_Product!$A$2:$A$4,0))+0.02</f>
        <v>65.02</v>
      </c>
      <c r="Q279" s="4">
        <f>IF(AND(P279&gt;=INDEX(Dim_Product!$G$2:$G$4,MATCH(F279,Dim_Product!$A$2:$A$4,0))-INDEX(Dim_Product!$H$2:$H$4,MATCH(F279,Dim_Product!$A$2:$A$4,0)),P279&lt;=INDEX(Dim_Product!$G$2:$G$4,MATCH(F279,Dim_Product!$A$2:$A$4,0))+INDEX(Dim_Product!$H$2:$H$4,MATCH(F279,Dim_Product!$A$2:$A$4,0))),G279-H279,G279-H279-1)</f>
        <v>30</v>
      </c>
      <c r="R279" s="4">
        <f t="shared" si="36"/>
        <v>2</v>
      </c>
      <c r="S279" s="4">
        <f>INDEX(Dim_Product!$K$2:$K$4,MATCH(F279,Dim_Product!$A$2:$A$4,0))+-0.28</f>
        <v>109.72</v>
      </c>
      <c r="T279" s="4">
        <f>IF(AND(S279&gt;=INDEX(Dim_Product!$K$2:$K$4,MATCH(F279,Dim_Product!$A$2:$A$4,0))-INDEX(Dim_Product!$L$2:$L$4,MATCH(F279,Dim_Product!$A$2:$A$4,0)),S279&lt;=INDEX(Dim_Product!$K$2:$K$4,MATCH(F279,Dim_Product!$A$2:$A$4,0))+INDEX(Dim_Product!$L$2:$L$4,MATCH(F279,Dim_Product!$A$2:$A$4,0))),G279-H279,G279-H279-1)</f>
        <v>30</v>
      </c>
      <c r="U279" s="4">
        <f t="shared" si="37"/>
        <v>2</v>
      </c>
      <c r="V279" s="4">
        <f t="shared" si="38"/>
        <v>6.25E-2</v>
      </c>
      <c r="W279" s="16">
        <f t="shared" si="39"/>
        <v>0.9375</v>
      </c>
    </row>
    <row r="280" spans="1:23" x14ac:dyDescent="0.25">
      <c r="A280" s="15" t="s">
        <v>781</v>
      </c>
      <c r="B280" s="4">
        <f>Fact_Production_Hourly!B280</f>
        <v>20260702</v>
      </c>
      <c r="C280" s="4">
        <f>Fact_Production_Hourly!C280</f>
        <v>15</v>
      </c>
      <c r="D280" s="4" t="str">
        <f>Fact_Production_Hourly!D280</f>
        <v>M6</v>
      </c>
      <c r="E280" s="4" t="str">
        <f>Fact_Production_Hourly!E280</f>
        <v>A-AM</v>
      </c>
      <c r="F280" s="4" t="str">
        <f>Fact_Production_Hourly!F280</f>
        <v>C</v>
      </c>
      <c r="G280" s="4">
        <f>INDEX(Dim_Machine!$D$2:$D$8,MATCH(D280,Dim_Machine!$A$2:$A$8,0))*2</f>
        <v>24</v>
      </c>
      <c r="H280" s="4">
        <f>ROUND(G280*0.015,0)</f>
        <v>0</v>
      </c>
      <c r="I280" s="4">
        <f t="shared" si="32"/>
        <v>0</v>
      </c>
      <c r="J280" s="4">
        <f t="shared" si="33"/>
        <v>0</v>
      </c>
      <c r="K280" s="4">
        <f t="shared" si="34"/>
        <v>0</v>
      </c>
      <c r="L280" s="4" t="s">
        <v>498</v>
      </c>
      <c r="M280" s="4">
        <f>INDEX(Dim_Product!$C$2:$C$4,MATCH(F280,Dim_Product!$A$2:$A$4,0))+0.02</f>
        <v>200.02</v>
      </c>
      <c r="N280" s="4">
        <f>IF(AND(M280&gt;=INDEX(Dim_Product!$C$2:$C$4,MATCH(F280,Dim_Product!$A$2:$A$4,0))-INDEX(Dim_Product!$D$2:$D$4,MATCH(F280,Dim_Product!$A$2:$A$4,0)),M280&lt;=INDEX(Dim_Product!$C$2:$C$4,MATCH(F280,Dim_Product!$A$2:$A$4,0))+INDEX(Dim_Product!$D$2:$D$4,MATCH(F280,Dim_Product!$A$2:$A$4,0))),G280-H280,G280-H280-1)</f>
        <v>24</v>
      </c>
      <c r="O280" s="4">
        <f t="shared" si="35"/>
        <v>0</v>
      </c>
      <c r="P280" s="4">
        <f>INDEX(Dim_Product!$G$2:$G$4,MATCH(F280,Dim_Product!$A$2:$A$4,0))+-0.18</f>
        <v>64.819999999999993</v>
      </c>
      <c r="Q280" s="4">
        <f>IF(AND(P280&gt;=INDEX(Dim_Product!$G$2:$G$4,MATCH(F280,Dim_Product!$A$2:$A$4,0))-INDEX(Dim_Product!$H$2:$H$4,MATCH(F280,Dim_Product!$A$2:$A$4,0)),P280&lt;=INDEX(Dim_Product!$G$2:$G$4,MATCH(F280,Dim_Product!$A$2:$A$4,0))+INDEX(Dim_Product!$H$2:$H$4,MATCH(F280,Dim_Product!$A$2:$A$4,0))),G280-H280,G280-H280-1)</f>
        <v>24</v>
      </c>
      <c r="R280" s="4">
        <f t="shared" si="36"/>
        <v>0</v>
      </c>
      <c r="S280" s="4">
        <f>INDEX(Dim_Product!$K$2:$K$4,MATCH(F280,Dim_Product!$A$2:$A$4,0))+0.25</f>
        <v>110.25</v>
      </c>
      <c r="T280" s="4">
        <f>IF(AND(S280&gt;=INDEX(Dim_Product!$K$2:$K$4,MATCH(F280,Dim_Product!$A$2:$A$4,0))-INDEX(Dim_Product!$L$2:$L$4,MATCH(F280,Dim_Product!$A$2:$A$4,0)),S280&lt;=INDEX(Dim_Product!$K$2:$K$4,MATCH(F280,Dim_Product!$A$2:$A$4,0))+INDEX(Dim_Product!$L$2:$L$4,MATCH(F280,Dim_Product!$A$2:$A$4,0))),G280-H280,G280-H280-1)</f>
        <v>24</v>
      </c>
      <c r="U280" s="4">
        <f t="shared" si="37"/>
        <v>0</v>
      </c>
      <c r="V280" s="4">
        <f t="shared" si="38"/>
        <v>0</v>
      </c>
      <c r="W280" s="16">
        <f t="shared" si="39"/>
        <v>1</v>
      </c>
    </row>
    <row r="281" spans="1:23" x14ac:dyDescent="0.25">
      <c r="A281" s="15" t="s">
        <v>782</v>
      </c>
      <c r="B281" s="4">
        <f>Fact_Production_Hourly!B281</f>
        <v>20260702</v>
      </c>
      <c r="C281" s="4">
        <f>Fact_Production_Hourly!C281</f>
        <v>15</v>
      </c>
      <c r="D281" s="4" t="str">
        <f>Fact_Production_Hourly!D281</f>
        <v>M7</v>
      </c>
      <c r="E281" s="4" t="str">
        <f>Fact_Production_Hourly!E281</f>
        <v>A-AM</v>
      </c>
      <c r="F281" s="4" t="str">
        <f>Fact_Production_Hourly!F281</f>
        <v>C</v>
      </c>
      <c r="G281" s="4">
        <f>INDEX(Dim_Machine!$D$2:$D$8,MATCH(D281,Dim_Machine!$A$2:$A$8,0))*2</f>
        <v>48</v>
      </c>
      <c r="H281" s="4">
        <f>ROUND(G281*0.0422,0)</f>
        <v>2</v>
      </c>
      <c r="I281" s="4">
        <f t="shared" si="32"/>
        <v>0</v>
      </c>
      <c r="J281" s="4">
        <f t="shared" si="33"/>
        <v>1</v>
      </c>
      <c r="K281" s="4">
        <f t="shared" si="34"/>
        <v>1</v>
      </c>
      <c r="L281" s="4" t="s">
        <v>503</v>
      </c>
      <c r="M281" s="4">
        <f>INDEX(Dim_Product!$C$2:$C$4,MATCH(F281,Dim_Product!$A$2:$A$4,0))+0.17</f>
        <v>200.17</v>
      </c>
      <c r="N281" s="4">
        <f>IF(AND(M281&gt;=INDEX(Dim_Product!$C$2:$C$4,MATCH(F281,Dim_Product!$A$2:$A$4,0))-INDEX(Dim_Product!$D$2:$D$4,MATCH(F281,Dim_Product!$A$2:$A$4,0)),M281&lt;=INDEX(Dim_Product!$C$2:$C$4,MATCH(F281,Dim_Product!$A$2:$A$4,0))+INDEX(Dim_Product!$D$2:$D$4,MATCH(F281,Dim_Product!$A$2:$A$4,0))),G281-H281,G281-H281-1)</f>
        <v>46</v>
      </c>
      <c r="O281" s="4">
        <f t="shared" si="35"/>
        <v>2</v>
      </c>
      <c r="P281" s="4">
        <f>INDEX(Dim_Product!$G$2:$G$4,MATCH(F281,Dim_Product!$A$2:$A$4,0))+0.16</f>
        <v>65.16</v>
      </c>
      <c r="Q281" s="4">
        <f>IF(AND(P281&gt;=INDEX(Dim_Product!$G$2:$G$4,MATCH(F281,Dim_Product!$A$2:$A$4,0))-INDEX(Dim_Product!$H$2:$H$4,MATCH(F281,Dim_Product!$A$2:$A$4,0)),P281&lt;=INDEX(Dim_Product!$G$2:$G$4,MATCH(F281,Dim_Product!$A$2:$A$4,0))+INDEX(Dim_Product!$H$2:$H$4,MATCH(F281,Dim_Product!$A$2:$A$4,0))),G281-H281,G281-H281-1)</f>
        <v>46</v>
      </c>
      <c r="R281" s="4">
        <f t="shared" si="36"/>
        <v>2</v>
      </c>
      <c r="S281" s="4">
        <f>INDEX(Dim_Product!$K$2:$K$4,MATCH(F281,Dim_Product!$A$2:$A$4,0))+0.12</f>
        <v>110.12</v>
      </c>
      <c r="T281" s="4">
        <f>IF(AND(S281&gt;=INDEX(Dim_Product!$K$2:$K$4,MATCH(F281,Dim_Product!$A$2:$A$4,0))-INDEX(Dim_Product!$L$2:$L$4,MATCH(F281,Dim_Product!$A$2:$A$4,0)),S281&lt;=INDEX(Dim_Product!$K$2:$K$4,MATCH(F281,Dim_Product!$A$2:$A$4,0))+INDEX(Dim_Product!$L$2:$L$4,MATCH(F281,Dim_Product!$A$2:$A$4,0))),G281-H281,G281-H281-1)</f>
        <v>46</v>
      </c>
      <c r="U281" s="4">
        <f t="shared" si="37"/>
        <v>2</v>
      </c>
      <c r="V281" s="4">
        <f t="shared" si="38"/>
        <v>4.1666666666666664E-2</v>
      </c>
      <c r="W281" s="16">
        <f t="shared" si="39"/>
        <v>0.95833333333333337</v>
      </c>
    </row>
    <row r="282" spans="1:23" x14ac:dyDescent="0.25">
      <c r="A282" s="15" t="s">
        <v>783</v>
      </c>
      <c r="B282" s="4">
        <f>Fact_Production_Hourly!B282</f>
        <v>20260702</v>
      </c>
      <c r="C282" s="4">
        <f>Fact_Production_Hourly!C282</f>
        <v>16</v>
      </c>
      <c r="D282" s="4" t="str">
        <f>Fact_Production_Hourly!D282</f>
        <v>M1</v>
      </c>
      <c r="E282" s="4" t="str">
        <f>Fact_Production_Hourly!E282</f>
        <v>A-AM</v>
      </c>
      <c r="F282" s="4" t="str">
        <f>Fact_Production_Hourly!F282</f>
        <v>C</v>
      </c>
      <c r="G282" s="4">
        <f>INDEX(Dim_Machine!$D$2:$D$8,MATCH(D282,Dim_Machine!$A$2:$A$8,0))*2</f>
        <v>32</v>
      </c>
      <c r="H282" s="4">
        <f>ROUND(G282*0.0486,0)</f>
        <v>2</v>
      </c>
      <c r="I282" s="4">
        <f t="shared" si="32"/>
        <v>0</v>
      </c>
      <c r="J282" s="4">
        <f t="shared" si="33"/>
        <v>1</v>
      </c>
      <c r="K282" s="4">
        <f t="shared" si="34"/>
        <v>1</v>
      </c>
      <c r="L282" s="4" t="s">
        <v>517</v>
      </c>
      <c r="M282" s="4">
        <f>INDEX(Dim_Product!$C$2:$C$4,MATCH(F282,Dim_Product!$A$2:$A$4,0))+0.4</f>
        <v>200.4</v>
      </c>
      <c r="N282" s="4">
        <f>IF(AND(M282&gt;=INDEX(Dim_Product!$C$2:$C$4,MATCH(F282,Dim_Product!$A$2:$A$4,0))-INDEX(Dim_Product!$D$2:$D$4,MATCH(F282,Dim_Product!$A$2:$A$4,0)),M282&lt;=INDEX(Dim_Product!$C$2:$C$4,MATCH(F282,Dim_Product!$A$2:$A$4,0))+INDEX(Dim_Product!$D$2:$D$4,MATCH(F282,Dim_Product!$A$2:$A$4,0))),G282-H282,G282-H282-1)</f>
        <v>30</v>
      </c>
      <c r="O282" s="4">
        <f t="shared" si="35"/>
        <v>2</v>
      </c>
      <c r="P282" s="4">
        <f>INDEX(Dim_Product!$G$2:$G$4,MATCH(F282,Dim_Product!$A$2:$A$4,0))+0.14</f>
        <v>65.14</v>
      </c>
      <c r="Q282" s="4">
        <f>IF(AND(P282&gt;=INDEX(Dim_Product!$G$2:$G$4,MATCH(F282,Dim_Product!$A$2:$A$4,0))-INDEX(Dim_Product!$H$2:$H$4,MATCH(F282,Dim_Product!$A$2:$A$4,0)),P282&lt;=INDEX(Dim_Product!$G$2:$G$4,MATCH(F282,Dim_Product!$A$2:$A$4,0))+INDEX(Dim_Product!$H$2:$H$4,MATCH(F282,Dim_Product!$A$2:$A$4,0))),G282-H282,G282-H282-1)</f>
        <v>30</v>
      </c>
      <c r="R282" s="4">
        <f t="shared" si="36"/>
        <v>2</v>
      </c>
      <c r="S282" s="4">
        <f>INDEX(Dim_Product!$K$2:$K$4,MATCH(F282,Dim_Product!$A$2:$A$4,0))+0.28</f>
        <v>110.28</v>
      </c>
      <c r="T282" s="4">
        <f>IF(AND(S282&gt;=INDEX(Dim_Product!$K$2:$K$4,MATCH(F282,Dim_Product!$A$2:$A$4,0))-INDEX(Dim_Product!$L$2:$L$4,MATCH(F282,Dim_Product!$A$2:$A$4,0)),S282&lt;=INDEX(Dim_Product!$K$2:$K$4,MATCH(F282,Dim_Product!$A$2:$A$4,0))+INDEX(Dim_Product!$L$2:$L$4,MATCH(F282,Dim_Product!$A$2:$A$4,0))),G282-H282,G282-H282-1)</f>
        <v>30</v>
      </c>
      <c r="U282" s="4">
        <f t="shared" si="37"/>
        <v>2</v>
      </c>
      <c r="V282" s="4">
        <f t="shared" si="38"/>
        <v>6.25E-2</v>
      </c>
      <c r="W282" s="16">
        <f t="shared" si="39"/>
        <v>0.9375</v>
      </c>
    </row>
    <row r="283" spans="1:23" x14ac:dyDescent="0.25">
      <c r="A283" s="15" t="s">
        <v>784</v>
      </c>
      <c r="B283" s="4">
        <f>Fact_Production_Hourly!B283</f>
        <v>20260702</v>
      </c>
      <c r="C283" s="4">
        <f>Fact_Production_Hourly!C283</f>
        <v>16</v>
      </c>
      <c r="D283" s="4" t="str">
        <f>Fact_Production_Hourly!D283</f>
        <v>M2</v>
      </c>
      <c r="E283" s="4" t="str">
        <f>Fact_Production_Hourly!E283</f>
        <v>A-AM</v>
      </c>
      <c r="F283" s="4" t="str">
        <f>Fact_Production_Hourly!F283</f>
        <v>A</v>
      </c>
      <c r="G283" s="4">
        <f>INDEX(Dim_Machine!$D$2:$D$8,MATCH(D283,Dim_Machine!$A$2:$A$8,0))*2</f>
        <v>48</v>
      </c>
      <c r="H283" s="4">
        <f>ROUND(G283*0.0135,0)</f>
        <v>1</v>
      </c>
      <c r="I283" s="4">
        <f t="shared" si="32"/>
        <v>0</v>
      </c>
      <c r="J283" s="4">
        <f t="shared" si="33"/>
        <v>0</v>
      </c>
      <c r="K283" s="4">
        <f t="shared" si="34"/>
        <v>1</v>
      </c>
      <c r="L283" s="4" t="s">
        <v>498</v>
      </c>
      <c r="M283" s="4">
        <f>INDEX(Dim_Product!$C$2:$C$4,MATCH(F283,Dim_Product!$A$2:$A$4,0))+0.85</f>
        <v>250.85</v>
      </c>
      <c r="N283" s="4">
        <f>IF(AND(M283&gt;=INDEX(Dim_Product!$C$2:$C$4,MATCH(F283,Dim_Product!$A$2:$A$4,0))-INDEX(Dim_Product!$D$2:$D$4,MATCH(F283,Dim_Product!$A$2:$A$4,0)),M283&lt;=INDEX(Dim_Product!$C$2:$C$4,MATCH(F283,Dim_Product!$A$2:$A$4,0))+INDEX(Dim_Product!$D$2:$D$4,MATCH(F283,Dim_Product!$A$2:$A$4,0))),G283-H283,G283-H283-1)</f>
        <v>47</v>
      </c>
      <c r="O283" s="4">
        <f t="shared" si="35"/>
        <v>1</v>
      </c>
      <c r="P283" s="4">
        <f>INDEX(Dim_Product!$G$2:$G$4,MATCH(F283,Dim_Product!$A$2:$A$4,0))+-0.23</f>
        <v>69.77</v>
      </c>
      <c r="Q283" s="4">
        <f>IF(AND(P283&gt;=INDEX(Dim_Product!$G$2:$G$4,MATCH(F283,Dim_Product!$A$2:$A$4,0))-INDEX(Dim_Product!$H$2:$H$4,MATCH(F283,Dim_Product!$A$2:$A$4,0)),P283&lt;=INDEX(Dim_Product!$G$2:$G$4,MATCH(F283,Dim_Product!$A$2:$A$4,0))+INDEX(Dim_Product!$H$2:$H$4,MATCH(F283,Dim_Product!$A$2:$A$4,0))),G283-H283,G283-H283-1)</f>
        <v>47</v>
      </c>
      <c r="R283" s="4">
        <f t="shared" si="36"/>
        <v>1</v>
      </c>
      <c r="S283" s="4">
        <f>INDEX(Dim_Product!$K$2:$K$4,MATCH(F283,Dim_Product!$A$2:$A$4,0))+0.09</f>
        <v>120.09</v>
      </c>
      <c r="T283" s="4">
        <f>IF(AND(S283&gt;=INDEX(Dim_Product!$K$2:$K$4,MATCH(F283,Dim_Product!$A$2:$A$4,0))-INDEX(Dim_Product!$L$2:$L$4,MATCH(F283,Dim_Product!$A$2:$A$4,0)),S283&lt;=INDEX(Dim_Product!$K$2:$K$4,MATCH(F283,Dim_Product!$A$2:$A$4,0))+INDEX(Dim_Product!$L$2:$L$4,MATCH(F283,Dim_Product!$A$2:$A$4,0))),G283-H283,G283-H283-1)</f>
        <v>47</v>
      </c>
      <c r="U283" s="4">
        <f t="shared" si="37"/>
        <v>1</v>
      </c>
      <c r="V283" s="4">
        <f t="shared" si="38"/>
        <v>2.0833333333333332E-2</v>
      </c>
      <c r="W283" s="16">
        <f t="shared" si="39"/>
        <v>0.97916666666666663</v>
      </c>
    </row>
    <row r="284" spans="1:23" x14ac:dyDescent="0.25">
      <c r="A284" s="15" t="s">
        <v>785</v>
      </c>
      <c r="B284" s="4">
        <f>Fact_Production_Hourly!B284</f>
        <v>20260702</v>
      </c>
      <c r="C284" s="4">
        <f>Fact_Production_Hourly!C284</f>
        <v>16</v>
      </c>
      <c r="D284" s="4" t="str">
        <f>Fact_Production_Hourly!D284</f>
        <v>M3</v>
      </c>
      <c r="E284" s="4" t="str">
        <f>Fact_Production_Hourly!E284</f>
        <v>A-AM</v>
      </c>
      <c r="F284" s="4" t="str">
        <f>Fact_Production_Hourly!F284</f>
        <v>A</v>
      </c>
      <c r="G284" s="4">
        <f>INDEX(Dim_Machine!$D$2:$D$8,MATCH(D284,Dim_Machine!$A$2:$A$8,0))*2</f>
        <v>24</v>
      </c>
      <c r="H284" s="4">
        <f>ROUND(G284*0.0133,0)</f>
        <v>0</v>
      </c>
      <c r="I284" s="4">
        <f t="shared" si="32"/>
        <v>0</v>
      </c>
      <c r="J284" s="4">
        <f t="shared" si="33"/>
        <v>0</v>
      </c>
      <c r="K284" s="4">
        <f t="shared" si="34"/>
        <v>0</v>
      </c>
      <c r="L284" s="4" t="s">
        <v>520</v>
      </c>
      <c r="M284" s="4">
        <f>INDEX(Dim_Product!$C$2:$C$4,MATCH(F284,Dim_Product!$A$2:$A$4,0))+0.48</f>
        <v>250.48</v>
      </c>
      <c r="N284" s="4">
        <f>IF(AND(M284&gt;=INDEX(Dim_Product!$C$2:$C$4,MATCH(F284,Dim_Product!$A$2:$A$4,0))-INDEX(Dim_Product!$D$2:$D$4,MATCH(F284,Dim_Product!$A$2:$A$4,0)),M284&lt;=INDEX(Dim_Product!$C$2:$C$4,MATCH(F284,Dim_Product!$A$2:$A$4,0))+INDEX(Dim_Product!$D$2:$D$4,MATCH(F284,Dim_Product!$A$2:$A$4,0))),G284-H284,G284-H284-1)</f>
        <v>24</v>
      </c>
      <c r="O284" s="4">
        <f t="shared" si="35"/>
        <v>0</v>
      </c>
      <c r="P284" s="4">
        <f>INDEX(Dim_Product!$G$2:$G$4,MATCH(F284,Dim_Product!$A$2:$A$4,0))+0.14</f>
        <v>70.14</v>
      </c>
      <c r="Q284" s="4">
        <f>IF(AND(P284&gt;=INDEX(Dim_Product!$G$2:$G$4,MATCH(F284,Dim_Product!$A$2:$A$4,0))-INDEX(Dim_Product!$H$2:$H$4,MATCH(F284,Dim_Product!$A$2:$A$4,0)),P284&lt;=INDEX(Dim_Product!$G$2:$G$4,MATCH(F284,Dim_Product!$A$2:$A$4,0))+INDEX(Dim_Product!$H$2:$H$4,MATCH(F284,Dim_Product!$A$2:$A$4,0))),G284-H284,G284-H284-1)</f>
        <v>24</v>
      </c>
      <c r="R284" s="4">
        <f t="shared" si="36"/>
        <v>0</v>
      </c>
      <c r="S284" s="4">
        <f>INDEX(Dim_Product!$K$2:$K$4,MATCH(F284,Dim_Product!$A$2:$A$4,0))+-0.3</f>
        <v>119.7</v>
      </c>
      <c r="T284" s="4">
        <f>IF(AND(S284&gt;=INDEX(Dim_Product!$K$2:$K$4,MATCH(F284,Dim_Product!$A$2:$A$4,0))-INDEX(Dim_Product!$L$2:$L$4,MATCH(F284,Dim_Product!$A$2:$A$4,0)),S284&lt;=INDEX(Dim_Product!$K$2:$K$4,MATCH(F284,Dim_Product!$A$2:$A$4,0))+INDEX(Dim_Product!$L$2:$L$4,MATCH(F284,Dim_Product!$A$2:$A$4,0))),G284-H284,G284-H284-1)</f>
        <v>24</v>
      </c>
      <c r="U284" s="4">
        <f t="shared" si="37"/>
        <v>0</v>
      </c>
      <c r="V284" s="4">
        <f t="shared" si="38"/>
        <v>0</v>
      </c>
      <c r="W284" s="16">
        <f t="shared" si="39"/>
        <v>1</v>
      </c>
    </row>
    <row r="285" spans="1:23" x14ac:dyDescent="0.25">
      <c r="A285" s="15" t="s">
        <v>786</v>
      </c>
      <c r="B285" s="4">
        <f>Fact_Production_Hourly!B285</f>
        <v>20260702</v>
      </c>
      <c r="C285" s="4">
        <f>Fact_Production_Hourly!C285</f>
        <v>16</v>
      </c>
      <c r="D285" s="4" t="str">
        <f>Fact_Production_Hourly!D285</f>
        <v>M4</v>
      </c>
      <c r="E285" s="4" t="str">
        <f>Fact_Production_Hourly!E285</f>
        <v>A-AM</v>
      </c>
      <c r="F285" s="4" t="str">
        <f>Fact_Production_Hourly!F285</f>
        <v>A</v>
      </c>
      <c r="G285" s="4">
        <f>INDEX(Dim_Machine!$D$2:$D$8,MATCH(D285,Dim_Machine!$A$2:$A$8,0))*2</f>
        <v>48</v>
      </c>
      <c r="H285" s="4">
        <f>ROUND(G285*0.0525,0)</f>
        <v>3</v>
      </c>
      <c r="I285" s="4">
        <f t="shared" si="32"/>
        <v>0</v>
      </c>
      <c r="J285" s="4">
        <f t="shared" si="33"/>
        <v>1</v>
      </c>
      <c r="K285" s="4">
        <f t="shared" si="34"/>
        <v>2</v>
      </c>
      <c r="L285" s="4" t="s">
        <v>520</v>
      </c>
      <c r="M285" s="4">
        <f>INDEX(Dim_Product!$C$2:$C$4,MATCH(F285,Dim_Product!$A$2:$A$4,0))+-0.98</f>
        <v>249.02</v>
      </c>
      <c r="N285" s="4">
        <f>IF(AND(M285&gt;=INDEX(Dim_Product!$C$2:$C$4,MATCH(F285,Dim_Product!$A$2:$A$4,0))-INDEX(Dim_Product!$D$2:$D$4,MATCH(F285,Dim_Product!$A$2:$A$4,0)),M285&lt;=INDEX(Dim_Product!$C$2:$C$4,MATCH(F285,Dim_Product!$A$2:$A$4,0))+INDEX(Dim_Product!$D$2:$D$4,MATCH(F285,Dim_Product!$A$2:$A$4,0))),G285-H285,G285-H285-1)</f>
        <v>45</v>
      </c>
      <c r="O285" s="4">
        <f t="shared" si="35"/>
        <v>3</v>
      </c>
      <c r="P285" s="4">
        <f>INDEX(Dim_Product!$G$2:$G$4,MATCH(F285,Dim_Product!$A$2:$A$4,0))+0</f>
        <v>70</v>
      </c>
      <c r="Q285" s="4">
        <f>IF(AND(P285&gt;=INDEX(Dim_Product!$G$2:$G$4,MATCH(F285,Dim_Product!$A$2:$A$4,0))-INDEX(Dim_Product!$H$2:$H$4,MATCH(F285,Dim_Product!$A$2:$A$4,0)),P285&lt;=INDEX(Dim_Product!$G$2:$G$4,MATCH(F285,Dim_Product!$A$2:$A$4,0))+INDEX(Dim_Product!$H$2:$H$4,MATCH(F285,Dim_Product!$A$2:$A$4,0))),G285-H285,G285-H285-1)</f>
        <v>45</v>
      </c>
      <c r="R285" s="4">
        <f t="shared" si="36"/>
        <v>3</v>
      </c>
      <c r="S285" s="4">
        <f>INDEX(Dim_Product!$K$2:$K$4,MATCH(F285,Dim_Product!$A$2:$A$4,0))+-0.12</f>
        <v>119.88</v>
      </c>
      <c r="T285" s="4">
        <f>IF(AND(S285&gt;=INDEX(Dim_Product!$K$2:$K$4,MATCH(F285,Dim_Product!$A$2:$A$4,0))-INDEX(Dim_Product!$L$2:$L$4,MATCH(F285,Dim_Product!$A$2:$A$4,0)),S285&lt;=INDEX(Dim_Product!$K$2:$K$4,MATCH(F285,Dim_Product!$A$2:$A$4,0))+INDEX(Dim_Product!$L$2:$L$4,MATCH(F285,Dim_Product!$A$2:$A$4,0))),G285-H285,G285-H285-1)</f>
        <v>45</v>
      </c>
      <c r="U285" s="4">
        <f t="shared" si="37"/>
        <v>3</v>
      </c>
      <c r="V285" s="4">
        <f t="shared" si="38"/>
        <v>6.25E-2</v>
      </c>
      <c r="W285" s="16">
        <f t="shared" si="39"/>
        <v>0.9375</v>
      </c>
    </row>
    <row r="286" spans="1:23" x14ac:dyDescent="0.25">
      <c r="A286" s="15" t="s">
        <v>787</v>
      </c>
      <c r="B286" s="4">
        <f>Fact_Production_Hourly!B286</f>
        <v>20260702</v>
      </c>
      <c r="C286" s="4">
        <f>Fact_Production_Hourly!C286</f>
        <v>16</v>
      </c>
      <c r="D286" s="4" t="str">
        <f>Fact_Production_Hourly!D286</f>
        <v>M5</v>
      </c>
      <c r="E286" s="4" t="str">
        <f>Fact_Production_Hourly!E286</f>
        <v>A-AM</v>
      </c>
      <c r="F286" s="4" t="str">
        <f>Fact_Production_Hourly!F286</f>
        <v>C</v>
      </c>
      <c r="G286" s="4">
        <f>INDEX(Dim_Machine!$D$2:$D$8,MATCH(D286,Dim_Machine!$A$2:$A$8,0))*2</f>
        <v>32</v>
      </c>
      <c r="H286" s="4">
        <f>ROUND(G286*0.041,0)</f>
        <v>1</v>
      </c>
      <c r="I286" s="4">
        <f t="shared" si="32"/>
        <v>0</v>
      </c>
      <c r="J286" s="4">
        <f t="shared" si="33"/>
        <v>0</v>
      </c>
      <c r="K286" s="4">
        <f t="shared" si="34"/>
        <v>1</v>
      </c>
      <c r="L286" s="4" t="s">
        <v>520</v>
      </c>
      <c r="M286" s="4">
        <f>INDEX(Dim_Product!$C$2:$C$4,MATCH(F286,Dim_Product!$A$2:$A$4,0))+-0.48</f>
        <v>199.52</v>
      </c>
      <c r="N286" s="4">
        <f>IF(AND(M286&gt;=INDEX(Dim_Product!$C$2:$C$4,MATCH(F286,Dim_Product!$A$2:$A$4,0))-INDEX(Dim_Product!$D$2:$D$4,MATCH(F286,Dim_Product!$A$2:$A$4,0)),M286&lt;=INDEX(Dim_Product!$C$2:$C$4,MATCH(F286,Dim_Product!$A$2:$A$4,0))+INDEX(Dim_Product!$D$2:$D$4,MATCH(F286,Dim_Product!$A$2:$A$4,0))),G286-H286,G286-H286-1)</f>
        <v>31</v>
      </c>
      <c r="O286" s="4">
        <f t="shared" si="35"/>
        <v>1</v>
      </c>
      <c r="P286" s="4">
        <f>INDEX(Dim_Product!$G$2:$G$4,MATCH(F286,Dim_Product!$A$2:$A$4,0))+-0.08</f>
        <v>64.92</v>
      </c>
      <c r="Q286" s="4">
        <f>IF(AND(P286&gt;=INDEX(Dim_Product!$G$2:$G$4,MATCH(F286,Dim_Product!$A$2:$A$4,0))-INDEX(Dim_Product!$H$2:$H$4,MATCH(F286,Dim_Product!$A$2:$A$4,0)),P286&lt;=INDEX(Dim_Product!$G$2:$G$4,MATCH(F286,Dim_Product!$A$2:$A$4,0))+INDEX(Dim_Product!$H$2:$H$4,MATCH(F286,Dim_Product!$A$2:$A$4,0))),G286-H286,G286-H286-1)</f>
        <v>31</v>
      </c>
      <c r="R286" s="4">
        <f t="shared" si="36"/>
        <v>1</v>
      </c>
      <c r="S286" s="4">
        <f>INDEX(Dim_Product!$K$2:$K$4,MATCH(F286,Dim_Product!$A$2:$A$4,0))+0.2</f>
        <v>110.2</v>
      </c>
      <c r="T286" s="4">
        <f>IF(AND(S286&gt;=INDEX(Dim_Product!$K$2:$K$4,MATCH(F286,Dim_Product!$A$2:$A$4,0))-INDEX(Dim_Product!$L$2:$L$4,MATCH(F286,Dim_Product!$A$2:$A$4,0)),S286&lt;=INDEX(Dim_Product!$K$2:$K$4,MATCH(F286,Dim_Product!$A$2:$A$4,0))+INDEX(Dim_Product!$L$2:$L$4,MATCH(F286,Dim_Product!$A$2:$A$4,0))),G286-H286,G286-H286-1)</f>
        <v>31</v>
      </c>
      <c r="U286" s="4">
        <f t="shared" si="37"/>
        <v>1</v>
      </c>
      <c r="V286" s="4">
        <f t="shared" si="38"/>
        <v>3.125E-2</v>
      </c>
      <c r="W286" s="16">
        <f t="shared" si="39"/>
        <v>0.96875</v>
      </c>
    </row>
    <row r="287" spans="1:23" x14ac:dyDescent="0.25">
      <c r="A287" s="15" t="s">
        <v>788</v>
      </c>
      <c r="B287" s="4">
        <f>Fact_Production_Hourly!B287</f>
        <v>20260702</v>
      </c>
      <c r="C287" s="4">
        <f>Fact_Production_Hourly!C287</f>
        <v>16</v>
      </c>
      <c r="D287" s="4" t="str">
        <f>Fact_Production_Hourly!D287</f>
        <v>M6</v>
      </c>
      <c r="E287" s="4" t="str">
        <f>Fact_Production_Hourly!E287</f>
        <v>A-AM</v>
      </c>
      <c r="F287" s="4" t="str">
        <f>Fact_Production_Hourly!F287</f>
        <v>C</v>
      </c>
      <c r="G287" s="4">
        <f>INDEX(Dim_Machine!$D$2:$D$8,MATCH(D287,Dim_Machine!$A$2:$A$8,0))*2</f>
        <v>24</v>
      </c>
      <c r="H287" s="4">
        <f>ROUND(G287*0.0624,0)</f>
        <v>1</v>
      </c>
      <c r="I287" s="4">
        <f t="shared" si="32"/>
        <v>0</v>
      </c>
      <c r="J287" s="4">
        <f t="shared" si="33"/>
        <v>0</v>
      </c>
      <c r="K287" s="4">
        <f t="shared" si="34"/>
        <v>1</v>
      </c>
      <c r="L287" s="4" t="s">
        <v>520</v>
      </c>
      <c r="M287" s="4">
        <f>INDEX(Dim_Product!$C$2:$C$4,MATCH(F287,Dim_Product!$A$2:$A$4,0))+0.77</f>
        <v>200.77</v>
      </c>
      <c r="N287" s="4">
        <f>IF(AND(M287&gt;=INDEX(Dim_Product!$C$2:$C$4,MATCH(F287,Dim_Product!$A$2:$A$4,0))-INDEX(Dim_Product!$D$2:$D$4,MATCH(F287,Dim_Product!$A$2:$A$4,0)),M287&lt;=INDEX(Dim_Product!$C$2:$C$4,MATCH(F287,Dim_Product!$A$2:$A$4,0))+INDEX(Dim_Product!$D$2:$D$4,MATCH(F287,Dim_Product!$A$2:$A$4,0))),G287-H287,G287-H287-1)</f>
        <v>23</v>
      </c>
      <c r="O287" s="4">
        <f t="shared" si="35"/>
        <v>1</v>
      </c>
      <c r="P287" s="4">
        <f>INDEX(Dim_Product!$G$2:$G$4,MATCH(F287,Dim_Product!$A$2:$A$4,0))+0.16</f>
        <v>65.16</v>
      </c>
      <c r="Q287" s="4">
        <f>IF(AND(P287&gt;=INDEX(Dim_Product!$G$2:$G$4,MATCH(F287,Dim_Product!$A$2:$A$4,0))-INDEX(Dim_Product!$H$2:$H$4,MATCH(F287,Dim_Product!$A$2:$A$4,0)),P287&lt;=INDEX(Dim_Product!$G$2:$G$4,MATCH(F287,Dim_Product!$A$2:$A$4,0))+INDEX(Dim_Product!$H$2:$H$4,MATCH(F287,Dim_Product!$A$2:$A$4,0))),G287-H287,G287-H287-1)</f>
        <v>23</v>
      </c>
      <c r="R287" s="4">
        <f t="shared" si="36"/>
        <v>1</v>
      </c>
      <c r="S287" s="4">
        <f>INDEX(Dim_Product!$K$2:$K$4,MATCH(F287,Dim_Product!$A$2:$A$4,0))+-0.38</f>
        <v>109.62</v>
      </c>
      <c r="T287" s="4">
        <f>IF(AND(S287&gt;=INDEX(Dim_Product!$K$2:$K$4,MATCH(F287,Dim_Product!$A$2:$A$4,0))-INDEX(Dim_Product!$L$2:$L$4,MATCH(F287,Dim_Product!$A$2:$A$4,0)),S287&lt;=INDEX(Dim_Product!$K$2:$K$4,MATCH(F287,Dim_Product!$A$2:$A$4,0))+INDEX(Dim_Product!$L$2:$L$4,MATCH(F287,Dim_Product!$A$2:$A$4,0))),G287-H287,G287-H287-1)</f>
        <v>23</v>
      </c>
      <c r="U287" s="4">
        <f t="shared" si="37"/>
        <v>1</v>
      </c>
      <c r="V287" s="4">
        <f t="shared" si="38"/>
        <v>4.1666666666666664E-2</v>
      </c>
      <c r="W287" s="16">
        <f t="shared" si="39"/>
        <v>0.95833333333333337</v>
      </c>
    </row>
    <row r="288" spans="1:23" x14ac:dyDescent="0.25">
      <c r="A288" s="15" t="s">
        <v>789</v>
      </c>
      <c r="B288" s="4">
        <f>Fact_Production_Hourly!B288</f>
        <v>20260702</v>
      </c>
      <c r="C288" s="4">
        <f>Fact_Production_Hourly!C288</f>
        <v>16</v>
      </c>
      <c r="D288" s="4" t="str">
        <f>Fact_Production_Hourly!D288</f>
        <v>M7</v>
      </c>
      <c r="E288" s="4" t="str">
        <f>Fact_Production_Hourly!E288</f>
        <v>A-AM</v>
      </c>
      <c r="F288" s="4" t="str">
        <f>Fact_Production_Hourly!F288</f>
        <v>C</v>
      </c>
      <c r="G288" s="4">
        <f>INDEX(Dim_Machine!$D$2:$D$8,MATCH(D288,Dim_Machine!$A$2:$A$8,0))*2</f>
        <v>48</v>
      </c>
      <c r="H288" s="4">
        <f>ROUND(G288*0.0584,0)</f>
        <v>3</v>
      </c>
      <c r="I288" s="4">
        <f t="shared" si="32"/>
        <v>0</v>
      </c>
      <c r="J288" s="4">
        <f t="shared" si="33"/>
        <v>1</v>
      </c>
      <c r="K288" s="4">
        <f t="shared" si="34"/>
        <v>2</v>
      </c>
      <c r="L288" s="4" t="s">
        <v>517</v>
      </c>
      <c r="M288" s="4">
        <f>INDEX(Dim_Product!$C$2:$C$4,MATCH(F288,Dim_Product!$A$2:$A$4,0))+0.05</f>
        <v>200.05</v>
      </c>
      <c r="N288" s="4">
        <f>IF(AND(M288&gt;=INDEX(Dim_Product!$C$2:$C$4,MATCH(F288,Dim_Product!$A$2:$A$4,0))-INDEX(Dim_Product!$D$2:$D$4,MATCH(F288,Dim_Product!$A$2:$A$4,0)),M288&lt;=INDEX(Dim_Product!$C$2:$C$4,MATCH(F288,Dim_Product!$A$2:$A$4,0))+INDEX(Dim_Product!$D$2:$D$4,MATCH(F288,Dim_Product!$A$2:$A$4,0))),G288-H288,G288-H288-1)</f>
        <v>45</v>
      </c>
      <c r="O288" s="4">
        <f t="shared" si="35"/>
        <v>3</v>
      </c>
      <c r="P288" s="4">
        <f>INDEX(Dim_Product!$G$2:$G$4,MATCH(F288,Dim_Product!$A$2:$A$4,0))+-0.14</f>
        <v>64.86</v>
      </c>
      <c r="Q288" s="4">
        <f>IF(AND(P288&gt;=INDEX(Dim_Product!$G$2:$G$4,MATCH(F288,Dim_Product!$A$2:$A$4,0))-INDEX(Dim_Product!$H$2:$H$4,MATCH(F288,Dim_Product!$A$2:$A$4,0)),P288&lt;=INDEX(Dim_Product!$G$2:$G$4,MATCH(F288,Dim_Product!$A$2:$A$4,0))+INDEX(Dim_Product!$H$2:$H$4,MATCH(F288,Dim_Product!$A$2:$A$4,0))),G288-H288,G288-H288-1)</f>
        <v>45</v>
      </c>
      <c r="R288" s="4">
        <f t="shared" si="36"/>
        <v>3</v>
      </c>
      <c r="S288" s="4">
        <f>INDEX(Dim_Product!$K$2:$K$4,MATCH(F288,Dim_Product!$A$2:$A$4,0))+0.38</f>
        <v>110.38</v>
      </c>
      <c r="T288" s="4">
        <f>IF(AND(S288&gt;=INDEX(Dim_Product!$K$2:$K$4,MATCH(F288,Dim_Product!$A$2:$A$4,0))-INDEX(Dim_Product!$L$2:$L$4,MATCH(F288,Dim_Product!$A$2:$A$4,0)),S288&lt;=INDEX(Dim_Product!$K$2:$K$4,MATCH(F288,Dim_Product!$A$2:$A$4,0))+INDEX(Dim_Product!$L$2:$L$4,MATCH(F288,Dim_Product!$A$2:$A$4,0))),G288-H288,G288-H288-1)</f>
        <v>45</v>
      </c>
      <c r="U288" s="4">
        <f t="shared" si="37"/>
        <v>3</v>
      </c>
      <c r="V288" s="4">
        <f t="shared" si="38"/>
        <v>6.25E-2</v>
      </c>
      <c r="W288" s="16">
        <f t="shared" si="39"/>
        <v>0.9375</v>
      </c>
    </row>
    <row r="289" spans="1:23" x14ac:dyDescent="0.25">
      <c r="A289" s="15" t="s">
        <v>790</v>
      </c>
      <c r="B289" s="4">
        <f>Fact_Production_Hourly!B289</f>
        <v>20260702</v>
      </c>
      <c r="C289" s="4">
        <f>Fact_Production_Hourly!C289</f>
        <v>17</v>
      </c>
      <c r="D289" s="4" t="str">
        <f>Fact_Production_Hourly!D289</f>
        <v>M1</v>
      </c>
      <c r="E289" s="4" t="str">
        <f>Fact_Production_Hourly!E289</f>
        <v>A-AM</v>
      </c>
      <c r="F289" s="4" t="str">
        <f>Fact_Production_Hourly!F289</f>
        <v>C</v>
      </c>
      <c r="G289" s="4">
        <f>INDEX(Dim_Machine!$D$2:$D$8,MATCH(D289,Dim_Machine!$A$2:$A$8,0))*2</f>
        <v>32</v>
      </c>
      <c r="H289" s="4">
        <f>ROUND(G289*0.0477,0)</f>
        <v>2</v>
      </c>
      <c r="I289" s="4">
        <f t="shared" si="32"/>
        <v>0</v>
      </c>
      <c r="J289" s="4">
        <f t="shared" si="33"/>
        <v>1</v>
      </c>
      <c r="K289" s="4">
        <f t="shared" si="34"/>
        <v>1</v>
      </c>
      <c r="L289" s="4" t="s">
        <v>503</v>
      </c>
      <c r="M289" s="4">
        <f>INDEX(Dim_Product!$C$2:$C$4,MATCH(F289,Dim_Product!$A$2:$A$4,0))+-0.09</f>
        <v>199.91</v>
      </c>
      <c r="N289" s="4">
        <f>IF(AND(M289&gt;=INDEX(Dim_Product!$C$2:$C$4,MATCH(F289,Dim_Product!$A$2:$A$4,0))-INDEX(Dim_Product!$D$2:$D$4,MATCH(F289,Dim_Product!$A$2:$A$4,0)),M289&lt;=INDEX(Dim_Product!$C$2:$C$4,MATCH(F289,Dim_Product!$A$2:$A$4,0))+INDEX(Dim_Product!$D$2:$D$4,MATCH(F289,Dim_Product!$A$2:$A$4,0))),G289-H289,G289-H289-1)</f>
        <v>30</v>
      </c>
      <c r="O289" s="4">
        <f t="shared" si="35"/>
        <v>2</v>
      </c>
      <c r="P289" s="4">
        <f>INDEX(Dim_Product!$G$2:$G$4,MATCH(F289,Dim_Product!$A$2:$A$4,0))+-0.08</f>
        <v>64.92</v>
      </c>
      <c r="Q289" s="4">
        <f>IF(AND(P289&gt;=INDEX(Dim_Product!$G$2:$G$4,MATCH(F289,Dim_Product!$A$2:$A$4,0))-INDEX(Dim_Product!$H$2:$H$4,MATCH(F289,Dim_Product!$A$2:$A$4,0)),P289&lt;=INDEX(Dim_Product!$G$2:$G$4,MATCH(F289,Dim_Product!$A$2:$A$4,0))+INDEX(Dim_Product!$H$2:$H$4,MATCH(F289,Dim_Product!$A$2:$A$4,0))),G289-H289,G289-H289-1)</f>
        <v>30</v>
      </c>
      <c r="R289" s="4">
        <f t="shared" si="36"/>
        <v>2</v>
      </c>
      <c r="S289" s="4">
        <f>INDEX(Dim_Product!$K$2:$K$4,MATCH(F289,Dim_Product!$A$2:$A$4,0))+0</f>
        <v>110</v>
      </c>
      <c r="T289" s="4">
        <f>IF(AND(S289&gt;=INDEX(Dim_Product!$K$2:$K$4,MATCH(F289,Dim_Product!$A$2:$A$4,0))-INDEX(Dim_Product!$L$2:$L$4,MATCH(F289,Dim_Product!$A$2:$A$4,0)),S289&lt;=INDEX(Dim_Product!$K$2:$K$4,MATCH(F289,Dim_Product!$A$2:$A$4,0))+INDEX(Dim_Product!$L$2:$L$4,MATCH(F289,Dim_Product!$A$2:$A$4,0))),G289-H289,G289-H289-1)</f>
        <v>30</v>
      </c>
      <c r="U289" s="4">
        <f t="shared" si="37"/>
        <v>2</v>
      </c>
      <c r="V289" s="4">
        <f t="shared" si="38"/>
        <v>6.25E-2</v>
      </c>
      <c r="W289" s="16">
        <f t="shared" si="39"/>
        <v>0.9375</v>
      </c>
    </row>
    <row r="290" spans="1:23" x14ac:dyDescent="0.25">
      <c r="A290" s="15" t="s">
        <v>791</v>
      </c>
      <c r="B290" s="4">
        <f>Fact_Production_Hourly!B290</f>
        <v>20260702</v>
      </c>
      <c r="C290" s="4">
        <f>Fact_Production_Hourly!C290</f>
        <v>17</v>
      </c>
      <c r="D290" s="4" t="str">
        <f>Fact_Production_Hourly!D290</f>
        <v>M2</v>
      </c>
      <c r="E290" s="4" t="str">
        <f>Fact_Production_Hourly!E290</f>
        <v>A-AM</v>
      </c>
      <c r="F290" s="4" t="str">
        <f>Fact_Production_Hourly!F290</f>
        <v>A</v>
      </c>
      <c r="G290" s="4">
        <f>INDEX(Dim_Machine!$D$2:$D$8,MATCH(D290,Dim_Machine!$A$2:$A$8,0))*2</f>
        <v>48</v>
      </c>
      <c r="H290" s="4">
        <f>ROUND(G290*0.044,0)</f>
        <v>2</v>
      </c>
      <c r="I290" s="4">
        <f t="shared" si="32"/>
        <v>0</v>
      </c>
      <c r="J290" s="4">
        <f t="shared" si="33"/>
        <v>1</v>
      </c>
      <c r="K290" s="4">
        <f t="shared" si="34"/>
        <v>1</v>
      </c>
      <c r="L290" s="4" t="s">
        <v>517</v>
      </c>
      <c r="M290" s="4">
        <f>INDEX(Dim_Product!$C$2:$C$4,MATCH(F290,Dim_Product!$A$2:$A$4,0))+-0.69</f>
        <v>249.31</v>
      </c>
      <c r="N290" s="4">
        <f>IF(AND(M290&gt;=INDEX(Dim_Product!$C$2:$C$4,MATCH(F290,Dim_Product!$A$2:$A$4,0))-INDEX(Dim_Product!$D$2:$D$4,MATCH(F290,Dim_Product!$A$2:$A$4,0)),M290&lt;=INDEX(Dim_Product!$C$2:$C$4,MATCH(F290,Dim_Product!$A$2:$A$4,0))+INDEX(Dim_Product!$D$2:$D$4,MATCH(F290,Dim_Product!$A$2:$A$4,0))),G290-H290,G290-H290-1)</f>
        <v>46</v>
      </c>
      <c r="O290" s="4">
        <f t="shared" si="35"/>
        <v>2</v>
      </c>
      <c r="P290" s="4">
        <f>INDEX(Dim_Product!$G$2:$G$4,MATCH(F290,Dim_Product!$A$2:$A$4,0))+0.16</f>
        <v>70.16</v>
      </c>
      <c r="Q290" s="4">
        <f>IF(AND(P290&gt;=INDEX(Dim_Product!$G$2:$G$4,MATCH(F290,Dim_Product!$A$2:$A$4,0))-INDEX(Dim_Product!$H$2:$H$4,MATCH(F290,Dim_Product!$A$2:$A$4,0)),P290&lt;=INDEX(Dim_Product!$G$2:$G$4,MATCH(F290,Dim_Product!$A$2:$A$4,0))+INDEX(Dim_Product!$H$2:$H$4,MATCH(F290,Dim_Product!$A$2:$A$4,0))),G290-H290,G290-H290-1)</f>
        <v>46</v>
      </c>
      <c r="R290" s="4">
        <f t="shared" si="36"/>
        <v>2</v>
      </c>
      <c r="S290" s="4">
        <f>INDEX(Dim_Product!$K$2:$K$4,MATCH(F290,Dim_Product!$A$2:$A$4,0))+0.32</f>
        <v>120.32</v>
      </c>
      <c r="T290" s="4">
        <f>IF(AND(S290&gt;=INDEX(Dim_Product!$K$2:$K$4,MATCH(F290,Dim_Product!$A$2:$A$4,0))-INDEX(Dim_Product!$L$2:$L$4,MATCH(F290,Dim_Product!$A$2:$A$4,0)),S290&lt;=INDEX(Dim_Product!$K$2:$K$4,MATCH(F290,Dim_Product!$A$2:$A$4,0))+INDEX(Dim_Product!$L$2:$L$4,MATCH(F290,Dim_Product!$A$2:$A$4,0))),G290-H290,G290-H290-1)</f>
        <v>46</v>
      </c>
      <c r="U290" s="4">
        <f t="shared" si="37"/>
        <v>2</v>
      </c>
      <c r="V290" s="4">
        <f t="shared" si="38"/>
        <v>4.1666666666666664E-2</v>
      </c>
      <c r="W290" s="16">
        <f t="shared" si="39"/>
        <v>0.95833333333333337</v>
      </c>
    </row>
    <row r="291" spans="1:23" x14ac:dyDescent="0.25">
      <c r="A291" s="15" t="s">
        <v>792</v>
      </c>
      <c r="B291" s="4">
        <f>Fact_Production_Hourly!B291</f>
        <v>20260702</v>
      </c>
      <c r="C291" s="4">
        <f>Fact_Production_Hourly!C291</f>
        <v>17</v>
      </c>
      <c r="D291" s="4" t="str">
        <f>Fact_Production_Hourly!D291</f>
        <v>M3</v>
      </c>
      <c r="E291" s="4" t="str">
        <f>Fact_Production_Hourly!E291</f>
        <v>A-AM</v>
      </c>
      <c r="F291" s="4" t="str">
        <f>Fact_Production_Hourly!F291</f>
        <v>A</v>
      </c>
      <c r="G291" s="4">
        <f>INDEX(Dim_Machine!$D$2:$D$8,MATCH(D291,Dim_Machine!$A$2:$A$8,0))*2</f>
        <v>24</v>
      </c>
      <c r="H291" s="4">
        <f>ROUND(G291*0.0504,0)</f>
        <v>1</v>
      </c>
      <c r="I291" s="4">
        <f t="shared" si="32"/>
        <v>0</v>
      </c>
      <c r="J291" s="4">
        <f t="shared" si="33"/>
        <v>0</v>
      </c>
      <c r="K291" s="4">
        <f t="shared" si="34"/>
        <v>1</v>
      </c>
      <c r="L291" s="4" t="s">
        <v>498</v>
      </c>
      <c r="M291" s="4">
        <f>INDEX(Dim_Product!$C$2:$C$4,MATCH(F291,Dim_Product!$A$2:$A$4,0))+-0.54</f>
        <v>249.46</v>
      </c>
      <c r="N291" s="4">
        <f>IF(AND(M291&gt;=INDEX(Dim_Product!$C$2:$C$4,MATCH(F291,Dim_Product!$A$2:$A$4,0))-INDEX(Dim_Product!$D$2:$D$4,MATCH(F291,Dim_Product!$A$2:$A$4,0)),M291&lt;=INDEX(Dim_Product!$C$2:$C$4,MATCH(F291,Dim_Product!$A$2:$A$4,0))+INDEX(Dim_Product!$D$2:$D$4,MATCH(F291,Dim_Product!$A$2:$A$4,0))),G291-H291,G291-H291-1)</f>
        <v>23</v>
      </c>
      <c r="O291" s="4">
        <f t="shared" si="35"/>
        <v>1</v>
      </c>
      <c r="P291" s="4">
        <f>INDEX(Dim_Product!$G$2:$G$4,MATCH(F291,Dim_Product!$A$2:$A$4,0))+0.01</f>
        <v>70.010000000000005</v>
      </c>
      <c r="Q291" s="4">
        <f>IF(AND(P291&gt;=INDEX(Dim_Product!$G$2:$G$4,MATCH(F291,Dim_Product!$A$2:$A$4,0))-INDEX(Dim_Product!$H$2:$H$4,MATCH(F291,Dim_Product!$A$2:$A$4,0)),P291&lt;=INDEX(Dim_Product!$G$2:$G$4,MATCH(F291,Dim_Product!$A$2:$A$4,0))+INDEX(Dim_Product!$H$2:$H$4,MATCH(F291,Dim_Product!$A$2:$A$4,0))),G291-H291,G291-H291-1)</f>
        <v>23</v>
      </c>
      <c r="R291" s="4">
        <f t="shared" si="36"/>
        <v>1</v>
      </c>
      <c r="S291" s="4">
        <f>INDEX(Dim_Product!$K$2:$K$4,MATCH(F291,Dim_Product!$A$2:$A$4,0))+-0.36</f>
        <v>119.64</v>
      </c>
      <c r="T291" s="4">
        <f>IF(AND(S291&gt;=INDEX(Dim_Product!$K$2:$K$4,MATCH(F291,Dim_Product!$A$2:$A$4,0))-INDEX(Dim_Product!$L$2:$L$4,MATCH(F291,Dim_Product!$A$2:$A$4,0)),S291&lt;=INDEX(Dim_Product!$K$2:$K$4,MATCH(F291,Dim_Product!$A$2:$A$4,0))+INDEX(Dim_Product!$L$2:$L$4,MATCH(F291,Dim_Product!$A$2:$A$4,0))),G291-H291,G291-H291-1)</f>
        <v>23</v>
      </c>
      <c r="U291" s="4">
        <f t="shared" si="37"/>
        <v>1</v>
      </c>
      <c r="V291" s="4">
        <f t="shared" si="38"/>
        <v>4.1666666666666664E-2</v>
      </c>
      <c r="W291" s="16">
        <f t="shared" si="39"/>
        <v>0.95833333333333337</v>
      </c>
    </row>
    <row r="292" spans="1:23" x14ac:dyDescent="0.25">
      <c r="A292" s="15" t="s">
        <v>793</v>
      </c>
      <c r="B292" s="4">
        <f>Fact_Production_Hourly!B292</f>
        <v>20260702</v>
      </c>
      <c r="C292" s="4">
        <f>Fact_Production_Hourly!C292</f>
        <v>17</v>
      </c>
      <c r="D292" s="4" t="str">
        <f>Fact_Production_Hourly!D292</f>
        <v>M4</v>
      </c>
      <c r="E292" s="4" t="str">
        <f>Fact_Production_Hourly!E292</f>
        <v>A-AM</v>
      </c>
      <c r="F292" s="4" t="str">
        <f>Fact_Production_Hourly!F292</f>
        <v>A</v>
      </c>
      <c r="G292" s="4">
        <f>INDEX(Dim_Machine!$D$2:$D$8,MATCH(D292,Dim_Machine!$A$2:$A$8,0))*2</f>
        <v>48</v>
      </c>
      <c r="H292" s="4">
        <f>ROUND(G292*0.0618,0)</f>
        <v>3</v>
      </c>
      <c r="I292" s="4">
        <f t="shared" si="32"/>
        <v>0</v>
      </c>
      <c r="J292" s="4">
        <f t="shared" si="33"/>
        <v>1</v>
      </c>
      <c r="K292" s="4">
        <f t="shared" si="34"/>
        <v>2</v>
      </c>
      <c r="L292" s="4" t="s">
        <v>500</v>
      </c>
      <c r="M292" s="4">
        <f>INDEX(Dim_Product!$C$2:$C$4,MATCH(F292,Dim_Product!$A$2:$A$4,0))+-0.91</f>
        <v>249.09</v>
      </c>
      <c r="N292" s="4">
        <f>IF(AND(M292&gt;=INDEX(Dim_Product!$C$2:$C$4,MATCH(F292,Dim_Product!$A$2:$A$4,0))-INDEX(Dim_Product!$D$2:$D$4,MATCH(F292,Dim_Product!$A$2:$A$4,0)),M292&lt;=INDEX(Dim_Product!$C$2:$C$4,MATCH(F292,Dim_Product!$A$2:$A$4,0))+INDEX(Dim_Product!$D$2:$D$4,MATCH(F292,Dim_Product!$A$2:$A$4,0))),G292-H292,G292-H292-1)</f>
        <v>45</v>
      </c>
      <c r="O292" s="4">
        <f t="shared" si="35"/>
        <v>3</v>
      </c>
      <c r="P292" s="4">
        <f>INDEX(Dim_Product!$G$2:$G$4,MATCH(F292,Dim_Product!$A$2:$A$4,0))+-0.08</f>
        <v>69.92</v>
      </c>
      <c r="Q292" s="4">
        <f>IF(AND(P292&gt;=INDEX(Dim_Product!$G$2:$G$4,MATCH(F292,Dim_Product!$A$2:$A$4,0))-INDEX(Dim_Product!$H$2:$H$4,MATCH(F292,Dim_Product!$A$2:$A$4,0)),P292&lt;=INDEX(Dim_Product!$G$2:$G$4,MATCH(F292,Dim_Product!$A$2:$A$4,0))+INDEX(Dim_Product!$H$2:$H$4,MATCH(F292,Dim_Product!$A$2:$A$4,0))),G292-H292,G292-H292-1)</f>
        <v>45</v>
      </c>
      <c r="R292" s="4">
        <f t="shared" si="36"/>
        <v>3</v>
      </c>
      <c r="S292" s="4">
        <f>INDEX(Dim_Product!$K$2:$K$4,MATCH(F292,Dim_Product!$A$2:$A$4,0))+0.34</f>
        <v>120.34</v>
      </c>
      <c r="T292" s="4">
        <f>IF(AND(S292&gt;=INDEX(Dim_Product!$K$2:$K$4,MATCH(F292,Dim_Product!$A$2:$A$4,0))-INDEX(Dim_Product!$L$2:$L$4,MATCH(F292,Dim_Product!$A$2:$A$4,0)),S292&lt;=INDEX(Dim_Product!$K$2:$K$4,MATCH(F292,Dim_Product!$A$2:$A$4,0))+INDEX(Dim_Product!$L$2:$L$4,MATCH(F292,Dim_Product!$A$2:$A$4,0))),G292-H292,G292-H292-1)</f>
        <v>45</v>
      </c>
      <c r="U292" s="4">
        <f t="shared" si="37"/>
        <v>3</v>
      </c>
      <c r="V292" s="4">
        <f t="shared" si="38"/>
        <v>6.25E-2</v>
      </c>
      <c r="W292" s="16">
        <f t="shared" si="39"/>
        <v>0.9375</v>
      </c>
    </row>
    <row r="293" spans="1:23" x14ac:dyDescent="0.25">
      <c r="A293" s="15" t="s">
        <v>794</v>
      </c>
      <c r="B293" s="4">
        <f>Fact_Production_Hourly!B293</f>
        <v>20260702</v>
      </c>
      <c r="C293" s="4">
        <f>Fact_Production_Hourly!C293</f>
        <v>17</v>
      </c>
      <c r="D293" s="4" t="str">
        <f>Fact_Production_Hourly!D293</f>
        <v>M5</v>
      </c>
      <c r="E293" s="4" t="str">
        <f>Fact_Production_Hourly!E293</f>
        <v>A-AM</v>
      </c>
      <c r="F293" s="4" t="str">
        <f>Fact_Production_Hourly!F293</f>
        <v>C</v>
      </c>
      <c r="G293" s="4">
        <f>INDEX(Dim_Machine!$D$2:$D$8,MATCH(D293,Dim_Machine!$A$2:$A$8,0))*2</f>
        <v>32</v>
      </c>
      <c r="H293" s="4">
        <f>ROUND(G293*0.0207,0)</f>
        <v>1</v>
      </c>
      <c r="I293" s="4">
        <f t="shared" si="32"/>
        <v>0</v>
      </c>
      <c r="J293" s="4">
        <f t="shared" si="33"/>
        <v>0</v>
      </c>
      <c r="K293" s="4">
        <f t="shared" si="34"/>
        <v>1</v>
      </c>
      <c r="L293" s="4" t="s">
        <v>498</v>
      </c>
      <c r="M293" s="4">
        <f>INDEX(Dim_Product!$C$2:$C$4,MATCH(F293,Dim_Product!$A$2:$A$4,0))+0.11</f>
        <v>200.11</v>
      </c>
      <c r="N293" s="4">
        <f>IF(AND(M293&gt;=INDEX(Dim_Product!$C$2:$C$4,MATCH(F293,Dim_Product!$A$2:$A$4,0))-INDEX(Dim_Product!$D$2:$D$4,MATCH(F293,Dim_Product!$A$2:$A$4,0)),M293&lt;=INDEX(Dim_Product!$C$2:$C$4,MATCH(F293,Dim_Product!$A$2:$A$4,0))+INDEX(Dim_Product!$D$2:$D$4,MATCH(F293,Dim_Product!$A$2:$A$4,0))),G293-H293,G293-H293-1)</f>
        <v>31</v>
      </c>
      <c r="O293" s="4">
        <f t="shared" si="35"/>
        <v>1</v>
      </c>
      <c r="P293" s="4">
        <f>INDEX(Dim_Product!$G$2:$G$4,MATCH(F293,Dim_Product!$A$2:$A$4,0))+0.25</f>
        <v>65.25</v>
      </c>
      <c r="Q293" s="4">
        <f>IF(AND(P293&gt;=INDEX(Dim_Product!$G$2:$G$4,MATCH(F293,Dim_Product!$A$2:$A$4,0))-INDEX(Dim_Product!$H$2:$H$4,MATCH(F293,Dim_Product!$A$2:$A$4,0)),P293&lt;=INDEX(Dim_Product!$G$2:$G$4,MATCH(F293,Dim_Product!$A$2:$A$4,0))+INDEX(Dim_Product!$H$2:$H$4,MATCH(F293,Dim_Product!$A$2:$A$4,0))),G293-H293,G293-H293-1)</f>
        <v>31</v>
      </c>
      <c r="R293" s="4">
        <f t="shared" si="36"/>
        <v>1</v>
      </c>
      <c r="S293" s="4">
        <f>INDEX(Dim_Product!$K$2:$K$4,MATCH(F293,Dim_Product!$A$2:$A$4,0))+0.19</f>
        <v>110.19</v>
      </c>
      <c r="T293" s="4">
        <f>IF(AND(S293&gt;=INDEX(Dim_Product!$K$2:$K$4,MATCH(F293,Dim_Product!$A$2:$A$4,0))-INDEX(Dim_Product!$L$2:$L$4,MATCH(F293,Dim_Product!$A$2:$A$4,0)),S293&lt;=INDEX(Dim_Product!$K$2:$K$4,MATCH(F293,Dim_Product!$A$2:$A$4,0))+INDEX(Dim_Product!$L$2:$L$4,MATCH(F293,Dim_Product!$A$2:$A$4,0))),G293-H293,G293-H293-1)</f>
        <v>31</v>
      </c>
      <c r="U293" s="4">
        <f t="shared" si="37"/>
        <v>1</v>
      </c>
      <c r="V293" s="4">
        <f t="shared" si="38"/>
        <v>3.125E-2</v>
      </c>
      <c r="W293" s="16">
        <f t="shared" si="39"/>
        <v>0.96875</v>
      </c>
    </row>
    <row r="294" spans="1:23" x14ac:dyDescent="0.25">
      <c r="A294" s="15" t="s">
        <v>795</v>
      </c>
      <c r="B294" s="4">
        <f>Fact_Production_Hourly!B294</f>
        <v>20260702</v>
      </c>
      <c r="C294" s="4">
        <f>Fact_Production_Hourly!C294</f>
        <v>17</v>
      </c>
      <c r="D294" s="4" t="str">
        <f>Fact_Production_Hourly!D294</f>
        <v>M6</v>
      </c>
      <c r="E294" s="4" t="str">
        <f>Fact_Production_Hourly!E294</f>
        <v>A-AM</v>
      </c>
      <c r="F294" s="4" t="str">
        <f>Fact_Production_Hourly!F294</f>
        <v>C</v>
      </c>
      <c r="G294" s="4">
        <f>INDEX(Dim_Machine!$D$2:$D$8,MATCH(D294,Dim_Machine!$A$2:$A$8,0))*2</f>
        <v>24</v>
      </c>
      <c r="H294" s="4">
        <f>ROUND(G294*0.0352,0)</f>
        <v>1</v>
      </c>
      <c r="I294" s="4">
        <f t="shared" si="32"/>
        <v>0</v>
      </c>
      <c r="J294" s="4">
        <f t="shared" si="33"/>
        <v>0</v>
      </c>
      <c r="K294" s="4">
        <f t="shared" si="34"/>
        <v>1</v>
      </c>
      <c r="L294" s="4" t="s">
        <v>517</v>
      </c>
      <c r="M294" s="4">
        <f>INDEX(Dim_Product!$C$2:$C$4,MATCH(F294,Dim_Product!$A$2:$A$4,0))+-0.5</f>
        <v>199.5</v>
      </c>
      <c r="N294" s="4">
        <f>IF(AND(M294&gt;=INDEX(Dim_Product!$C$2:$C$4,MATCH(F294,Dim_Product!$A$2:$A$4,0))-INDEX(Dim_Product!$D$2:$D$4,MATCH(F294,Dim_Product!$A$2:$A$4,0)),M294&lt;=INDEX(Dim_Product!$C$2:$C$4,MATCH(F294,Dim_Product!$A$2:$A$4,0))+INDEX(Dim_Product!$D$2:$D$4,MATCH(F294,Dim_Product!$A$2:$A$4,0))),G294-H294,G294-H294-1)</f>
        <v>23</v>
      </c>
      <c r="O294" s="4">
        <f t="shared" si="35"/>
        <v>1</v>
      </c>
      <c r="P294" s="4">
        <f>INDEX(Dim_Product!$G$2:$G$4,MATCH(F294,Dim_Product!$A$2:$A$4,0))+0.25</f>
        <v>65.25</v>
      </c>
      <c r="Q294" s="4">
        <f>IF(AND(P294&gt;=INDEX(Dim_Product!$G$2:$G$4,MATCH(F294,Dim_Product!$A$2:$A$4,0))-INDEX(Dim_Product!$H$2:$H$4,MATCH(F294,Dim_Product!$A$2:$A$4,0)),P294&lt;=INDEX(Dim_Product!$G$2:$G$4,MATCH(F294,Dim_Product!$A$2:$A$4,0))+INDEX(Dim_Product!$H$2:$H$4,MATCH(F294,Dim_Product!$A$2:$A$4,0))),G294-H294,G294-H294-1)</f>
        <v>23</v>
      </c>
      <c r="R294" s="4">
        <f t="shared" si="36"/>
        <v>1</v>
      </c>
      <c r="S294" s="4">
        <f>INDEX(Dim_Product!$K$2:$K$4,MATCH(F294,Dim_Product!$A$2:$A$4,0))+-0.14</f>
        <v>109.86</v>
      </c>
      <c r="T294" s="4">
        <f>IF(AND(S294&gt;=INDEX(Dim_Product!$K$2:$K$4,MATCH(F294,Dim_Product!$A$2:$A$4,0))-INDEX(Dim_Product!$L$2:$L$4,MATCH(F294,Dim_Product!$A$2:$A$4,0)),S294&lt;=INDEX(Dim_Product!$K$2:$K$4,MATCH(F294,Dim_Product!$A$2:$A$4,0))+INDEX(Dim_Product!$L$2:$L$4,MATCH(F294,Dim_Product!$A$2:$A$4,0))),G294-H294,G294-H294-1)</f>
        <v>23</v>
      </c>
      <c r="U294" s="4">
        <f t="shared" si="37"/>
        <v>1</v>
      </c>
      <c r="V294" s="4">
        <f t="shared" si="38"/>
        <v>4.1666666666666664E-2</v>
      </c>
      <c r="W294" s="16">
        <f t="shared" si="39"/>
        <v>0.95833333333333337</v>
      </c>
    </row>
    <row r="295" spans="1:23" x14ac:dyDescent="0.25">
      <c r="A295" s="15" t="s">
        <v>796</v>
      </c>
      <c r="B295" s="4">
        <f>Fact_Production_Hourly!B295</f>
        <v>20260702</v>
      </c>
      <c r="C295" s="4">
        <f>Fact_Production_Hourly!C295</f>
        <v>17</v>
      </c>
      <c r="D295" s="4" t="str">
        <f>Fact_Production_Hourly!D295</f>
        <v>M7</v>
      </c>
      <c r="E295" s="4" t="str">
        <f>Fact_Production_Hourly!E295</f>
        <v>A-AM</v>
      </c>
      <c r="F295" s="4" t="str">
        <f>Fact_Production_Hourly!F295</f>
        <v>C</v>
      </c>
      <c r="G295" s="4">
        <f>INDEX(Dim_Machine!$D$2:$D$8,MATCH(D295,Dim_Machine!$A$2:$A$8,0))*2</f>
        <v>48</v>
      </c>
      <c r="H295" s="4">
        <f>ROUND(G295*0.0596,0)</f>
        <v>3</v>
      </c>
      <c r="I295" s="4">
        <f t="shared" si="32"/>
        <v>0</v>
      </c>
      <c r="J295" s="4">
        <f t="shared" si="33"/>
        <v>1</v>
      </c>
      <c r="K295" s="4">
        <f t="shared" si="34"/>
        <v>2</v>
      </c>
      <c r="L295" s="4" t="s">
        <v>509</v>
      </c>
      <c r="M295" s="4">
        <f>INDEX(Dim_Product!$C$2:$C$4,MATCH(F295,Dim_Product!$A$2:$A$4,0))+-0.25</f>
        <v>199.75</v>
      </c>
      <c r="N295" s="4">
        <f>IF(AND(M295&gt;=INDEX(Dim_Product!$C$2:$C$4,MATCH(F295,Dim_Product!$A$2:$A$4,0))-INDEX(Dim_Product!$D$2:$D$4,MATCH(F295,Dim_Product!$A$2:$A$4,0)),M295&lt;=INDEX(Dim_Product!$C$2:$C$4,MATCH(F295,Dim_Product!$A$2:$A$4,0))+INDEX(Dim_Product!$D$2:$D$4,MATCH(F295,Dim_Product!$A$2:$A$4,0))),G295-H295,G295-H295-1)</f>
        <v>45</v>
      </c>
      <c r="O295" s="4">
        <f t="shared" si="35"/>
        <v>3</v>
      </c>
      <c r="P295" s="4">
        <f>INDEX(Dim_Product!$G$2:$G$4,MATCH(F295,Dim_Product!$A$2:$A$4,0))+0</f>
        <v>65</v>
      </c>
      <c r="Q295" s="4">
        <f>IF(AND(P295&gt;=INDEX(Dim_Product!$G$2:$G$4,MATCH(F295,Dim_Product!$A$2:$A$4,0))-INDEX(Dim_Product!$H$2:$H$4,MATCH(F295,Dim_Product!$A$2:$A$4,0)),P295&lt;=INDEX(Dim_Product!$G$2:$G$4,MATCH(F295,Dim_Product!$A$2:$A$4,0))+INDEX(Dim_Product!$H$2:$H$4,MATCH(F295,Dim_Product!$A$2:$A$4,0))),G295-H295,G295-H295-1)</f>
        <v>45</v>
      </c>
      <c r="R295" s="4">
        <f t="shared" si="36"/>
        <v>3</v>
      </c>
      <c r="S295" s="4">
        <f>INDEX(Dim_Product!$K$2:$K$4,MATCH(F295,Dim_Product!$A$2:$A$4,0))+0.32</f>
        <v>110.32</v>
      </c>
      <c r="T295" s="4">
        <f>IF(AND(S295&gt;=INDEX(Dim_Product!$K$2:$K$4,MATCH(F295,Dim_Product!$A$2:$A$4,0))-INDEX(Dim_Product!$L$2:$L$4,MATCH(F295,Dim_Product!$A$2:$A$4,0)),S295&lt;=INDEX(Dim_Product!$K$2:$K$4,MATCH(F295,Dim_Product!$A$2:$A$4,0))+INDEX(Dim_Product!$L$2:$L$4,MATCH(F295,Dim_Product!$A$2:$A$4,0))),G295-H295,G295-H295-1)</f>
        <v>45</v>
      </c>
      <c r="U295" s="4">
        <f t="shared" si="37"/>
        <v>3</v>
      </c>
      <c r="V295" s="4">
        <f t="shared" si="38"/>
        <v>6.25E-2</v>
      </c>
      <c r="W295" s="16">
        <f t="shared" si="39"/>
        <v>0.9375</v>
      </c>
    </row>
    <row r="296" spans="1:23" x14ac:dyDescent="0.25">
      <c r="A296" s="15" t="s">
        <v>797</v>
      </c>
      <c r="B296" s="4">
        <f>Fact_Production_Hourly!B296</f>
        <v>20260702</v>
      </c>
      <c r="C296" s="4">
        <f>Fact_Production_Hourly!C296</f>
        <v>18</v>
      </c>
      <c r="D296" s="4" t="str">
        <f>Fact_Production_Hourly!D296</f>
        <v>M1</v>
      </c>
      <c r="E296" s="4" t="str">
        <f>Fact_Production_Hourly!E296</f>
        <v>B-PM</v>
      </c>
      <c r="F296" s="4" t="str">
        <f>Fact_Production_Hourly!F296</f>
        <v>B</v>
      </c>
      <c r="G296" s="4">
        <f>INDEX(Dim_Machine!$D$2:$D$8,MATCH(D296,Dim_Machine!$A$2:$A$8,0))*2</f>
        <v>32</v>
      </c>
      <c r="H296" s="4">
        <f>ROUND(G296*0.0208,0)</f>
        <v>1</v>
      </c>
      <c r="I296" s="4">
        <f t="shared" si="32"/>
        <v>0</v>
      </c>
      <c r="J296" s="4">
        <f t="shared" si="33"/>
        <v>0</v>
      </c>
      <c r="K296" s="4">
        <f t="shared" si="34"/>
        <v>1</v>
      </c>
      <c r="L296" s="4" t="s">
        <v>509</v>
      </c>
      <c r="M296" s="4">
        <f>INDEX(Dim_Product!$C$2:$C$4,MATCH(F296,Dim_Product!$A$2:$A$4,0))+0.96</f>
        <v>300.95999999999998</v>
      </c>
      <c r="N296" s="4">
        <f>IF(AND(M296&gt;=INDEX(Dim_Product!$C$2:$C$4,MATCH(F296,Dim_Product!$A$2:$A$4,0))-INDEX(Dim_Product!$D$2:$D$4,MATCH(F296,Dim_Product!$A$2:$A$4,0)),M296&lt;=INDEX(Dim_Product!$C$2:$C$4,MATCH(F296,Dim_Product!$A$2:$A$4,0))+INDEX(Dim_Product!$D$2:$D$4,MATCH(F296,Dim_Product!$A$2:$A$4,0))),G296-H296,G296-H296-1)</f>
        <v>31</v>
      </c>
      <c r="O296" s="4">
        <f t="shared" si="35"/>
        <v>1</v>
      </c>
      <c r="P296" s="4">
        <f>INDEX(Dim_Product!$G$2:$G$4,MATCH(F296,Dim_Product!$A$2:$A$4,0))+0.27</f>
        <v>75.27</v>
      </c>
      <c r="Q296" s="4">
        <f>IF(AND(P296&gt;=INDEX(Dim_Product!$G$2:$G$4,MATCH(F296,Dim_Product!$A$2:$A$4,0))-INDEX(Dim_Product!$H$2:$H$4,MATCH(F296,Dim_Product!$A$2:$A$4,0)),P296&lt;=INDEX(Dim_Product!$G$2:$G$4,MATCH(F296,Dim_Product!$A$2:$A$4,0))+INDEX(Dim_Product!$H$2:$H$4,MATCH(F296,Dim_Product!$A$2:$A$4,0))),G296-H296,G296-H296-1)</f>
        <v>31</v>
      </c>
      <c r="R296" s="4">
        <f t="shared" si="36"/>
        <v>1</v>
      </c>
      <c r="S296" s="4">
        <f>INDEX(Dim_Product!$K$2:$K$4,MATCH(F296,Dim_Product!$A$2:$A$4,0))+-0.34</f>
        <v>129.66</v>
      </c>
      <c r="T296" s="4">
        <f>IF(AND(S296&gt;=INDEX(Dim_Product!$K$2:$K$4,MATCH(F296,Dim_Product!$A$2:$A$4,0))-INDEX(Dim_Product!$L$2:$L$4,MATCH(F296,Dim_Product!$A$2:$A$4,0)),S296&lt;=INDEX(Dim_Product!$K$2:$K$4,MATCH(F296,Dim_Product!$A$2:$A$4,0))+INDEX(Dim_Product!$L$2:$L$4,MATCH(F296,Dim_Product!$A$2:$A$4,0))),G296-H296,G296-H296-1)</f>
        <v>31</v>
      </c>
      <c r="U296" s="4">
        <f t="shared" si="37"/>
        <v>1</v>
      </c>
      <c r="V296" s="4">
        <f t="shared" si="38"/>
        <v>3.125E-2</v>
      </c>
      <c r="W296" s="16">
        <f t="shared" si="39"/>
        <v>0.96875</v>
      </c>
    </row>
    <row r="297" spans="1:23" x14ac:dyDescent="0.25">
      <c r="A297" s="15" t="s">
        <v>798</v>
      </c>
      <c r="B297" s="4">
        <f>Fact_Production_Hourly!B297</f>
        <v>20260702</v>
      </c>
      <c r="C297" s="4">
        <f>Fact_Production_Hourly!C297</f>
        <v>18</v>
      </c>
      <c r="D297" s="4" t="str">
        <f>Fact_Production_Hourly!D297</f>
        <v>M2</v>
      </c>
      <c r="E297" s="4" t="str">
        <f>Fact_Production_Hourly!E297</f>
        <v>B-PM</v>
      </c>
      <c r="F297" s="4" t="str">
        <f>Fact_Production_Hourly!F297</f>
        <v>A</v>
      </c>
      <c r="G297" s="4">
        <f>INDEX(Dim_Machine!$D$2:$D$8,MATCH(D297,Dim_Machine!$A$2:$A$8,0))*2</f>
        <v>48</v>
      </c>
      <c r="H297" s="4">
        <f>ROUND(G297*0.0379,0)</f>
        <v>2</v>
      </c>
      <c r="I297" s="4">
        <f t="shared" si="32"/>
        <v>0</v>
      </c>
      <c r="J297" s="4">
        <f t="shared" si="33"/>
        <v>1</v>
      </c>
      <c r="K297" s="4">
        <f t="shared" si="34"/>
        <v>1</v>
      </c>
      <c r="L297" s="4" t="s">
        <v>517</v>
      </c>
      <c r="M297" s="4">
        <f>INDEX(Dim_Product!$C$2:$C$4,MATCH(F297,Dim_Product!$A$2:$A$4,0))+0.55</f>
        <v>250.55</v>
      </c>
      <c r="N297" s="4">
        <f>IF(AND(M297&gt;=INDEX(Dim_Product!$C$2:$C$4,MATCH(F297,Dim_Product!$A$2:$A$4,0))-INDEX(Dim_Product!$D$2:$D$4,MATCH(F297,Dim_Product!$A$2:$A$4,0)),M297&lt;=INDEX(Dim_Product!$C$2:$C$4,MATCH(F297,Dim_Product!$A$2:$A$4,0))+INDEX(Dim_Product!$D$2:$D$4,MATCH(F297,Dim_Product!$A$2:$A$4,0))),G297-H297,G297-H297-1)</f>
        <v>46</v>
      </c>
      <c r="O297" s="4">
        <f t="shared" si="35"/>
        <v>2</v>
      </c>
      <c r="P297" s="4">
        <f>INDEX(Dim_Product!$G$2:$G$4,MATCH(F297,Dim_Product!$A$2:$A$4,0))+-0.11</f>
        <v>69.89</v>
      </c>
      <c r="Q297" s="4">
        <f>IF(AND(P297&gt;=INDEX(Dim_Product!$G$2:$G$4,MATCH(F297,Dim_Product!$A$2:$A$4,0))-INDEX(Dim_Product!$H$2:$H$4,MATCH(F297,Dim_Product!$A$2:$A$4,0)),P297&lt;=INDEX(Dim_Product!$G$2:$G$4,MATCH(F297,Dim_Product!$A$2:$A$4,0))+INDEX(Dim_Product!$H$2:$H$4,MATCH(F297,Dim_Product!$A$2:$A$4,0))),G297-H297,G297-H297-1)</f>
        <v>46</v>
      </c>
      <c r="R297" s="4">
        <f t="shared" si="36"/>
        <v>2</v>
      </c>
      <c r="S297" s="4">
        <f>INDEX(Dim_Product!$K$2:$K$4,MATCH(F297,Dim_Product!$A$2:$A$4,0))+-0.33</f>
        <v>119.67</v>
      </c>
      <c r="T297" s="4">
        <f>IF(AND(S297&gt;=INDEX(Dim_Product!$K$2:$K$4,MATCH(F297,Dim_Product!$A$2:$A$4,0))-INDEX(Dim_Product!$L$2:$L$4,MATCH(F297,Dim_Product!$A$2:$A$4,0)),S297&lt;=INDEX(Dim_Product!$K$2:$K$4,MATCH(F297,Dim_Product!$A$2:$A$4,0))+INDEX(Dim_Product!$L$2:$L$4,MATCH(F297,Dim_Product!$A$2:$A$4,0))),G297-H297,G297-H297-1)</f>
        <v>46</v>
      </c>
      <c r="U297" s="4">
        <f t="shared" si="37"/>
        <v>2</v>
      </c>
      <c r="V297" s="4">
        <f t="shared" si="38"/>
        <v>4.1666666666666664E-2</v>
      </c>
      <c r="W297" s="16">
        <f t="shared" si="39"/>
        <v>0.95833333333333337</v>
      </c>
    </row>
    <row r="298" spans="1:23" x14ac:dyDescent="0.25">
      <c r="A298" s="15" t="s">
        <v>799</v>
      </c>
      <c r="B298" s="4">
        <f>Fact_Production_Hourly!B298</f>
        <v>20260702</v>
      </c>
      <c r="C298" s="4">
        <f>Fact_Production_Hourly!C298</f>
        <v>18</v>
      </c>
      <c r="D298" s="4" t="str">
        <f>Fact_Production_Hourly!D298</f>
        <v>M3</v>
      </c>
      <c r="E298" s="4" t="str">
        <f>Fact_Production_Hourly!E298</f>
        <v>B-PM</v>
      </c>
      <c r="F298" s="4" t="str">
        <f>Fact_Production_Hourly!F298</f>
        <v>A</v>
      </c>
      <c r="G298" s="4">
        <f>INDEX(Dim_Machine!$D$2:$D$8,MATCH(D298,Dim_Machine!$A$2:$A$8,0))*2</f>
        <v>24</v>
      </c>
      <c r="H298" s="4">
        <f>ROUND(G298*0.0374,0)</f>
        <v>1</v>
      </c>
      <c r="I298" s="4">
        <f t="shared" si="32"/>
        <v>0</v>
      </c>
      <c r="J298" s="4">
        <f t="shared" si="33"/>
        <v>0</v>
      </c>
      <c r="K298" s="4">
        <f t="shared" si="34"/>
        <v>1</v>
      </c>
      <c r="L298" s="4" t="s">
        <v>517</v>
      </c>
      <c r="M298" s="4">
        <f>INDEX(Dim_Product!$C$2:$C$4,MATCH(F298,Dim_Product!$A$2:$A$4,0))+-0.6</f>
        <v>249.4</v>
      </c>
      <c r="N298" s="4">
        <f>IF(AND(M298&gt;=INDEX(Dim_Product!$C$2:$C$4,MATCH(F298,Dim_Product!$A$2:$A$4,0))-INDEX(Dim_Product!$D$2:$D$4,MATCH(F298,Dim_Product!$A$2:$A$4,0)),M298&lt;=INDEX(Dim_Product!$C$2:$C$4,MATCH(F298,Dim_Product!$A$2:$A$4,0))+INDEX(Dim_Product!$D$2:$D$4,MATCH(F298,Dim_Product!$A$2:$A$4,0))),G298-H298,G298-H298-1)</f>
        <v>23</v>
      </c>
      <c r="O298" s="4">
        <f t="shared" si="35"/>
        <v>1</v>
      </c>
      <c r="P298" s="4">
        <f>INDEX(Dim_Product!$G$2:$G$4,MATCH(F298,Dim_Product!$A$2:$A$4,0))+0.04</f>
        <v>70.040000000000006</v>
      </c>
      <c r="Q298" s="4">
        <f>IF(AND(P298&gt;=INDEX(Dim_Product!$G$2:$G$4,MATCH(F298,Dim_Product!$A$2:$A$4,0))-INDEX(Dim_Product!$H$2:$H$4,MATCH(F298,Dim_Product!$A$2:$A$4,0)),P298&lt;=INDEX(Dim_Product!$G$2:$G$4,MATCH(F298,Dim_Product!$A$2:$A$4,0))+INDEX(Dim_Product!$H$2:$H$4,MATCH(F298,Dim_Product!$A$2:$A$4,0))),G298-H298,G298-H298-1)</f>
        <v>23</v>
      </c>
      <c r="R298" s="4">
        <f t="shared" si="36"/>
        <v>1</v>
      </c>
      <c r="S298" s="4">
        <f>INDEX(Dim_Product!$K$2:$K$4,MATCH(F298,Dim_Product!$A$2:$A$4,0))+-0.16</f>
        <v>119.84</v>
      </c>
      <c r="T298" s="4">
        <f>IF(AND(S298&gt;=INDEX(Dim_Product!$K$2:$K$4,MATCH(F298,Dim_Product!$A$2:$A$4,0))-INDEX(Dim_Product!$L$2:$L$4,MATCH(F298,Dim_Product!$A$2:$A$4,0)),S298&lt;=INDEX(Dim_Product!$K$2:$K$4,MATCH(F298,Dim_Product!$A$2:$A$4,0))+INDEX(Dim_Product!$L$2:$L$4,MATCH(F298,Dim_Product!$A$2:$A$4,0))),G298-H298,G298-H298-1)</f>
        <v>23</v>
      </c>
      <c r="U298" s="4">
        <f t="shared" si="37"/>
        <v>1</v>
      </c>
      <c r="V298" s="4">
        <f t="shared" si="38"/>
        <v>4.1666666666666664E-2</v>
      </c>
      <c r="W298" s="16">
        <f t="shared" si="39"/>
        <v>0.95833333333333337</v>
      </c>
    </row>
    <row r="299" spans="1:23" x14ac:dyDescent="0.25">
      <c r="A299" s="15" t="s">
        <v>800</v>
      </c>
      <c r="B299" s="4">
        <f>Fact_Production_Hourly!B299</f>
        <v>20260702</v>
      </c>
      <c r="C299" s="4">
        <f>Fact_Production_Hourly!C299</f>
        <v>18</v>
      </c>
      <c r="D299" s="4" t="str">
        <f>Fact_Production_Hourly!D299</f>
        <v>M4</v>
      </c>
      <c r="E299" s="4" t="str">
        <f>Fact_Production_Hourly!E299</f>
        <v>B-PM</v>
      </c>
      <c r="F299" s="4" t="str">
        <f>Fact_Production_Hourly!F299</f>
        <v>C</v>
      </c>
      <c r="G299" s="4">
        <f>INDEX(Dim_Machine!$D$2:$D$8,MATCH(D299,Dim_Machine!$A$2:$A$8,0))*2</f>
        <v>48</v>
      </c>
      <c r="H299" s="4">
        <f>ROUND(G299*0.0474,0)</f>
        <v>2</v>
      </c>
      <c r="I299" s="4">
        <f t="shared" si="32"/>
        <v>0</v>
      </c>
      <c r="J299" s="4">
        <f t="shared" si="33"/>
        <v>1</v>
      </c>
      <c r="K299" s="4">
        <f t="shared" si="34"/>
        <v>1</v>
      </c>
      <c r="L299" s="4" t="s">
        <v>503</v>
      </c>
      <c r="M299" s="4">
        <f>INDEX(Dim_Product!$C$2:$C$4,MATCH(F299,Dim_Product!$A$2:$A$4,0))+-0.26</f>
        <v>199.74</v>
      </c>
      <c r="N299" s="4">
        <f>IF(AND(M299&gt;=INDEX(Dim_Product!$C$2:$C$4,MATCH(F299,Dim_Product!$A$2:$A$4,0))-INDEX(Dim_Product!$D$2:$D$4,MATCH(F299,Dim_Product!$A$2:$A$4,0)),M299&lt;=INDEX(Dim_Product!$C$2:$C$4,MATCH(F299,Dim_Product!$A$2:$A$4,0))+INDEX(Dim_Product!$D$2:$D$4,MATCH(F299,Dim_Product!$A$2:$A$4,0))),G299-H299,G299-H299-1)</f>
        <v>46</v>
      </c>
      <c r="O299" s="4">
        <f t="shared" si="35"/>
        <v>2</v>
      </c>
      <c r="P299" s="4">
        <f>INDEX(Dim_Product!$G$2:$G$4,MATCH(F299,Dim_Product!$A$2:$A$4,0))+0.28</f>
        <v>65.28</v>
      </c>
      <c r="Q299" s="4">
        <f>IF(AND(P299&gt;=INDEX(Dim_Product!$G$2:$G$4,MATCH(F299,Dim_Product!$A$2:$A$4,0))-INDEX(Dim_Product!$H$2:$H$4,MATCH(F299,Dim_Product!$A$2:$A$4,0)),P299&lt;=INDEX(Dim_Product!$G$2:$G$4,MATCH(F299,Dim_Product!$A$2:$A$4,0))+INDEX(Dim_Product!$H$2:$H$4,MATCH(F299,Dim_Product!$A$2:$A$4,0))),G299-H299,G299-H299-1)</f>
        <v>46</v>
      </c>
      <c r="R299" s="4">
        <f t="shared" si="36"/>
        <v>2</v>
      </c>
      <c r="S299" s="4">
        <f>INDEX(Dim_Product!$K$2:$K$4,MATCH(F299,Dim_Product!$A$2:$A$4,0))+0.4</f>
        <v>110.4</v>
      </c>
      <c r="T299" s="4">
        <f>IF(AND(S299&gt;=INDEX(Dim_Product!$K$2:$K$4,MATCH(F299,Dim_Product!$A$2:$A$4,0))-INDEX(Dim_Product!$L$2:$L$4,MATCH(F299,Dim_Product!$A$2:$A$4,0)),S299&lt;=INDEX(Dim_Product!$K$2:$K$4,MATCH(F299,Dim_Product!$A$2:$A$4,0))+INDEX(Dim_Product!$L$2:$L$4,MATCH(F299,Dim_Product!$A$2:$A$4,0))),G299-H299,G299-H299-1)</f>
        <v>46</v>
      </c>
      <c r="U299" s="4">
        <f t="shared" si="37"/>
        <v>2</v>
      </c>
      <c r="V299" s="4">
        <f t="shared" si="38"/>
        <v>4.1666666666666664E-2</v>
      </c>
      <c r="W299" s="16">
        <f t="shared" si="39"/>
        <v>0.95833333333333337</v>
      </c>
    </row>
    <row r="300" spans="1:23" x14ac:dyDescent="0.25">
      <c r="A300" s="15" t="s">
        <v>801</v>
      </c>
      <c r="B300" s="4">
        <f>Fact_Production_Hourly!B300</f>
        <v>20260702</v>
      </c>
      <c r="C300" s="4">
        <f>Fact_Production_Hourly!C300</f>
        <v>18</v>
      </c>
      <c r="D300" s="4" t="str">
        <f>Fact_Production_Hourly!D300</f>
        <v>M5</v>
      </c>
      <c r="E300" s="4" t="str">
        <f>Fact_Production_Hourly!E300</f>
        <v>B-PM</v>
      </c>
      <c r="F300" s="4" t="str">
        <f>Fact_Production_Hourly!F300</f>
        <v>A</v>
      </c>
      <c r="G300" s="4">
        <f>INDEX(Dim_Machine!$D$2:$D$8,MATCH(D300,Dim_Machine!$A$2:$A$8,0))*2</f>
        <v>32</v>
      </c>
      <c r="H300" s="4">
        <f>ROUND(G300*0.0566,0)</f>
        <v>2</v>
      </c>
      <c r="I300" s="4">
        <f t="shared" si="32"/>
        <v>0</v>
      </c>
      <c r="J300" s="4">
        <f t="shared" si="33"/>
        <v>1</v>
      </c>
      <c r="K300" s="4">
        <f t="shared" si="34"/>
        <v>1</v>
      </c>
      <c r="L300" s="4" t="s">
        <v>520</v>
      </c>
      <c r="M300" s="4">
        <f>INDEX(Dim_Product!$C$2:$C$4,MATCH(F300,Dim_Product!$A$2:$A$4,0))+0.8</f>
        <v>250.8</v>
      </c>
      <c r="N300" s="4">
        <f>IF(AND(M300&gt;=INDEX(Dim_Product!$C$2:$C$4,MATCH(F300,Dim_Product!$A$2:$A$4,0))-INDEX(Dim_Product!$D$2:$D$4,MATCH(F300,Dim_Product!$A$2:$A$4,0)),M300&lt;=INDEX(Dim_Product!$C$2:$C$4,MATCH(F300,Dim_Product!$A$2:$A$4,0))+INDEX(Dim_Product!$D$2:$D$4,MATCH(F300,Dim_Product!$A$2:$A$4,0))),G300-H300,G300-H300-1)</f>
        <v>30</v>
      </c>
      <c r="O300" s="4">
        <f t="shared" si="35"/>
        <v>2</v>
      </c>
      <c r="P300" s="4">
        <f>INDEX(Dim_Product!$G$2:$G$4,MATCH(F300,Dim_Product!$A$2:$A$4,0))+0.16</f>
        <v>70.16</v>
      </c>
      <c r="Q300" s="4">
        <f>IF(AND(P300&gt;=INDEX(Dim_Product!$G$2:$G$4,MATCH(F300,Dim_Product!$A$2:$A$4,0))-INDEX(Dim_Product!$H$2:$H$4,MATCH(F300,Dim_Product!$A$2:$A$4,0)),P300&lt;=INDEX(Dim_Product!$G$2:$G$4,MATCH(F300,Dim_Product!$A$2:$A$4,0))+INDEX(Dim_Product!$H$2:$H$4,MATCH(F300,Dim_Product!$A$2:$A$4,0))),G300-H300,G300-H300-1)</f>
        <v>30</v>
      </c>
      <c r="R300" s="4">
        <f t="shared" si="36"/>
        <v>2</v>
      </c>
      <c r="S300" s="4">
        <f>INDEX(Dim_Product!$K$2:$K$4,MATCH(F300,Dim_Product!$A$2:$A$4,0))+-0.2</f>
        <v>119.8</v>
      </c>
      <c r="T300" s="4">
        <f>IF(AND(S300&gt;=INDEX(Dim_Product!$K$2:$K$4,MATCH(F300,Dim_Product!$A$2:$A$4,0))-INDEX(Dim_Product!$L$2:$L$4,MATCH(F300,Dim_Product!$A$2:$A$4,0)),S300&lt;=INDEX(Dim_Product!$K$2:$K$4,MATCH(F300,Dim_Product!$A$2:$A$4,0))+INDEX(Dim_Product!$L$2:$L$4,MATCH(F300,Dim_Product!$A$2:$A$4,0))),G300-H300,G300-H300-1)</f>
        <v>30</v>
      </c>
      <c r="U300" s="4">
        <f t="shared" si="37"/>
        <v>2</v>
      </c>
      <c r="V300" s="4">
        <f t="shared" si="38"/>
        <v>6.25E-2</v>
      </c>
      <c r="W300" s="16">
        <f t="shared" si="39"/>
        <v>0.9375</v>
      </c>
    </row>
    <row r="301" spans="1:23" x14ac:dyDescent="0.25">
      <c r="A301" s="15" t="s">
        <v>802</v>
      </c>
      <c r="B301" s="4">
        <f>Fact_Production_Hourly!B301</f>
        <v>20260702</v>
      </c>
      <c r="C301" s="4">
        <f>Fact_Production_Hourly!C301</f>
        <v>18</v>
      </c>
      <c r="D301" s="4" t="str">
        <f>Fact_Production_Hourly!D301</f>
        <v>M6</v>
      </c>
      <c r="E301" s="4" t="str">
        <f>Fact_Production_Hourly!E301</f>
        <v>B-PM</v>
      </c>
      <c r="F301" s="4" t="str">
        <f>Fact_Production_Hourly!F301</f>
        <v>A</v>
      </c>
      <c r="G301" s="4">
        <f>INDEX(Dim_Machine!$D$2:$D$8,MATCH(D301,Dim_Machine!$A$2:$A$8,0))*2</f>
        <v>24</v>
      </c>
      <c r="H301" s="4">
        <f>ROUND(G301*0.0104,0)</f>
        <v>0</v>
      </c>
      <c r="I301" s="4">
        <f t="shared" si="32"/>
        <v>0</v>
      </c>
      <c r="J301" s="4">
        <f t="shared" si="33"/>
        <v>0</v>
      </c>
      <c r="K301" s="4">
        <f t="shared" si="34"/>
        <v>0</v>
      </c>
      <c r="L301" s="4" t="s">
        <v>503</v>
      </c>
      <c r="M301" s="4">
        <f>INDEX(Dim_Product!$C$2:$C$4,MATCH(F301,Dim_Product!$A$2:$A$4,0))+-0.95</f>
        <v>249.05</v>
      </c>
      <c r="N301" s="4">
        <f>IF(AND(M301&gt;=INDEX(Dim_Product!$C$2:$C$4,MATCH(F301,Dim_Product!$A$2:$A$4,0))-INDEX(Dim_Product!$D$2:$D$4,MATCH(F301,Dim_Product!$A$2:$A$4,0)),M301&lt;=INDEX(Dim_Product!$C$2:$C$4,MATCH(F301,Dim_Product!$A$2:$A$4,0))+INDEX(Dim_Product!$D$2:$D$4,MATCH(F301,Dim_Product!$A$2:$A$4,0))),G301-H301,G301-H301-1)</f>
        <v>24</v>
      </c>
      <c r="O301" s="4">
        <f t="shared" si="35"/>
        <v>0</v>
      </c>
      <c r="P301" s="4">
        <f>INDEX(Dim_Product!$G$2:$G$4,MATCH(F301,Dim_Product!$A$2:$A$4,0))+0.02</f>
        <v>70.02</v>
      </c>
      <c r="Q301" s="4">
        <f>IF(AND(P301&gt;=INDEX(Dim_Product!$G$2:$G$4,MATCH(F301,Dim_Product!$A$2:$A$4,0))-INDEX(Dim_Product!$H$2:$H$4,MATCH(F301,Dim_Product!$A$2:$A$4,0)),P301&lt;=INDEX(Dim_Product!$G$2:$G$4,MATCH(F301,Dim_Product!$A$2:$A$4,0))+INDEX(Dim_Product!$H$2:$H$4,MATCH(F301,Dim_Product!$A$2:$A$4,0))),G301-H301,G301-H301-1)</f>
        <v>24</v>
      </c>
      <c r="R301" s="4">
        <f t="shared" si="36"/>
        <v>0</v>
      </c>
      <c r="S301" s="4">
        <f>INDEX(Dim_Product!$K$2:$K$4,MATCH(F301,Dim_Product!$A$2:$A$4,0))+0.11</f>
        <v>120.11</v>
      </c>
      <c r="T301" s="4">
        <f>IF(AND(S301&gt;=INDEX(Dim_Product!$K$2:$K$4,MATCH(F301,Dim_Product!$A$2:$A$4,0))-INDEX(Dim_Product!$L$2:$L$4,MATCH(F301,Dim_Product!$A$2:$A$4,0)),S301&lt;=INDEX(Dim_Product!$K$2:$K$4,MATCH(F301,Dim_Product!$A$2:$A$4,0))+INDEX(Dim_Product!$L$2:$L$4,MATCH(F301,Dim_Product!$A$2:$A$4,0))),G301-H301,G301-H301-1)</f>
        <v>24</v>
      </c>
      <c r="U301" s="4">
        <f t="shared" si="37"/>
        <v>0</v>
      </c>
      <c r="V301" s="4">
        <f t="shared" si="38"/>
        <v>0</v>
      </c>
      <c r="W301" s="16">
        <f t="shared" si="39"/>
        <v>1</v>
      </c>
    </row>
    <row r="302" spans="1:23" x14ac:dyDescent="0.25">
      <c r="A302" s="15" t="s">
        <v>803</v>
      </c>
      <c r="B302" s="4">
        <f>Fact_Production_Hourly!B302</f>
        <v>20260702</v>
      </c>
      <c r="C302" s="4">
        <f>Fact_Production_Hourly!C302</f>
        <v>18</v>
      </c>
      <c r="D302" s="4" t="str">
        <f>Fact_Production_Hourly!D302</f>
        <v>M7</v>
      </c>
      <c r="E302" s="4" t="str">
        <f>Fact_Production_Hourly!E302</f>
        <v>B-PM</v>
      </c>
      <c r="F302" s="4" t="str">
        <f>Fact_Production_Hourly!F302</f>
        <v>C</v>
      </c>
      <c r="G302" s="4">
        <f>INDEX(Dim_Machine!$D$2:$D$8,MATCH(D302,Dim_Machine!$A$2:$A$8,0))*2</f>
        <v>48</v>
      </c>
      <c r="H302" s="4">
        <f>ROUND(G302*0.0516,0)</f>
        <v>2</v>
      </c>
      <c r="I302" s="4">
        <f t="shared" si="32"/>
        <v>0</v>
      </c>
      <c r="J302" s="4">
        <f t="shared" si="33"/>
        <v>1</v>
      </c>
      <c r="K302" s="4">
        <f t="shared" si="34"/>
        <v>1</v>
      </c>
      <c r="L302" s="4" t="s">
        <v>498</v>
      </c>
      <c r="M302" s="4">
        <f>INDEX(Dim_Product!$C$2:$C$4,MATCH(F302,Dim_Product!$A$2:$A$4,0))+0.9</f>
        <v>200.9</v>
      </c>
      <c r="N302" s="4">
        <f>IF(AND(M302&gt;=INDEX(Dim_Product!$C$2:$C$4,MATCH(F302,Dim_Product!$A$2:$A$4,0))-INDEX(Dim_Product!$D$2:$D$4,MATCH(F302,Dim_Product!$A$2:$A$4,0)),M302&lt;=INDEX(Dim_Product!$C$2:$C$4,MATCH(F302,Dim_Product!$A$2:$A$4,0))+INDEX(Dim_Product!$D$2:$D$4,MATCH(F302,Dim_Product!$A$2:$A$4,0))),G302-H302,G302-H302-1)</f>
        <v>46</v>
      </c>
      <c r="O302" s="4">
        <f t="shared" si="35"/>
        <v>2</v>
      </c>
      <c r="P302" s="4">
        <f>INDEX(Dim_Product!$G$2:$G$4,MATCH(F302,Dim_Product!$A$2:$A$4,0))+-0.3</f>
        <v>64.7</v>
      </c>
      <c r="Q302" s="4">
        <f>IF(AND(P302&gt;=INDEX(Dim_Product!$G$2:$G$4,MATCH(F302,Dim_Product!$A$2:$A$4,0))-INDEX(Dim_Product!$H$2:$H$4,MATCH(F302,Dim_Product!$A$2:$A$4,0)),P302&lt;=INDEX(Dim_Product!$G$2:$G$4,MATCH(F302,Dim_Product!$A$2:$A$4,0))+INDEX(Dim_Product!$H$2:$H$4,MATCH(F302,Dim_Product!$A$2:$A$4,0))),G302-H302,G302-H302-1)</f>
        <v>46</v>
      </c>
      <c r="R302" s="4">
        <f t="shared" si="36"/>
        <v>2</v>
      </c>
      <c r="S302" s="4">
        <f>INDEX(Dim_Product!$K$2:$K$4,MATCH(F302,Dim_Product!$A$2:$A$4,0))+0.13</f>
        <v>110.13</v>
      </c>
      <c r="T302" s="4">
        <f>IF(AND(S302&gt;=INDEX(Dim_Product!$K$2:$K$4,MATCH(F302,Dim_Product!$A$2:$A$4,0))-INDEX(Dim_Product!$L$2:$L$4,MATCH(F302,Dim_Product!$A$2:$A$4,0)),S302&lt;=INDEX(Dim_Product!$K$2:$K$4,MATCH(F302,Dim_Product!$A$2:$A$4,0))+INDEX(Dim_Product!$L$2:$L$4,MATCH(F302,Dim_Product!$A$2:$A$4,0))),G302-H302,G302-H302-1)</f>
        <v>46</v>
      </c>
      <c r="U302" s="4">
        <f t="shared" si="37"/>
        <v>2</v>
      </c>
      <c r="V302" s="4">
        <f t="shared" si="38"/>
        <v>4.1666666666666664E-2</v>
      </c>
      <c r="W302" s="16">
        <f t="shared" si="39"/>
        <v>0.95833333333333337</v>
      </c>
    </row>
    <row r="303" spans="1:23" x14ac:dyDescent="0.25">
      <c r="A303" s="15" t="s">
        <v>804</v>
      </c>
      <c r="B303" s="4">
        <f>Fact_Production_Hourly!B303</f>
        <v>20260702</v>
      </c>
      <c r="C303" s="4">
        <f>Fact_Production_Hourly!C303</f>
        <v>19</v>
      </c>
      <c r="D303" s="4" t="str">
        <f>Fact_Production_Hourly!D303</f>
        <v>M1</v>
      </c>
      <c r="E303" s="4" t="str">
        <f>Fact_Production_Hourly!E303</f>
        <v>B-PM</v>
      </c>
      <c r="F303" s="4" t="str">
        <f>Fact_Production_Hourly!F303</f>
        <v>B</v>
      </c>
      <c r="G303" s="4">
        <f>INDEX(Dim_Machine!$D$2:$D$8,MATCH(D303,Dim_Machine!$A$2:$A$8,0))*2</f>
        <v>32</v>
      </c>
      <c r="H303" s="4">
        <f>ROUND(G303*0.0609,0)</f>
        <v>2</v>
      </c>
      <c r="I303" s="4">
        <f t="shared" si="32"/>
        <v>0</v>
      </c>
      <c r="J303" s="4">
        <f t="shared" si="33"/>
        <v>1</v>
      </c>
      <c r="K303" s="4">
        <f t="shared" si="34"/>
        <v>1</v>
      </c>
      <c r="L303" s="4" t="s">
        <v>520</v>
      </c>
      <c r="M303" s="4">
        <f>INDEX(Dim_Product!$C$2:$C$4,MATCH(F303,Dim_Product!$A$2:$A$4,0))+-0.38</f>
        <v>299.62</v>
      </c>
      <c r="N303" s="4">
        <f>IF(AND(M303&gt;=INDEX(Dim_Product!$C$2:$C$4,MATCH(F303,Dim_Product!$A$2:$A$4,0))-INDEX(Dim_Product!$D$2:$D$4,MATCH(F303,Dim_Product!$A$2:$A$4,0)),M303&lt;=INDEX(Dim_Product!$C$2:$C$4,MATCH(F303,Dim_Product!$A$2:$A$4,0))+INDEX(Dim_Product!$D$2:$D$4,MATCH(F303,Dim_Product!$A$2:$A$4,0))),G303-H303,G303-H303-1)</f>
        <v>30</v>
      </c>
      <c r="O303" s="4">
        <f t="shared" si="35"/>
        <v>2</v>
      </c>
      <c r="P303" s="4">
        <f>INDEX(Dim_Product!$G$2:$G$4,MATCH(F303,Dim_Product!$A$2:$A$4,0))+-0.18</f>
        <v>74.819999999999993</v>
      </c>
      <c r="Q303" s="4">
        <f>IF(AND(P303&gt;=INDEX(Dim_Product!$G$2:$G$4,MATCH(F303,Dim_Product!$A$2:$A$4,0))-INDEX(Dim_Product!$H$2:$H$4,MATCH(F303,Dim_Product!$A$2:$A$4,0)),P303&lt;=INDEX(Dim_Product!$G$2:$G$4,MATCH(F303,Dim_Product!$A$2:$A$4,0))+INDEX(Dim_Product!$H$2:$H$4,MATCH(F303,Dim_Product!$A$2:$A$4,0))),G303-H303,G303-H303-1)</f>
        <v>30</v>
      </c>
      <c r="R303" s="4">
        <f t="shared" si="36"/>
        <v>2</v>
      </c>
      <c r="S303" s="4">
        <f>INDEX(Dim_Product!$K$2:$K$4,MATCH(F303,Dim_Product!$A$2:$A$4,0))+0.39</f>
        <v>130.38999999999999</v>
      </c>
      <c r="T303" s="4">
        <f>IF(AND(S303&gt;=INDEX(Dim_Product!$K$2:$K$4,MATCH(F303,Dim_Product!$A$2:$A$4,0))-INDEX(Dim_Product!$L$2:$L$4,MATCH(F303,Dim_Product!$A$2:$A$4,0)),S303&lt;=INDEX(Dim_Product!$K$2:$K$4,MATCH(F303,Dim_Product!$A$2:$A$4,0))+INDEX(Dim_Product!$L$2:$L$4,MATCH(F303,Dim_Product!$A$2:$A$4,0))),G303-H303,G303-H303-1)</f>
        <v>30</v>
      </c>
      <c r="U303" s="4">
        <f t="shared" si="37"/>
        <v>2</v>
      </c>
      <c r="V303" s="4">
        <f t="shared" si="38"/>
        <v>6.25E-2</v>
      </c>
      <c r="W303" s="16">
        <f t="shared" si="39"/>
        <v>0.9375</v>
      </c>
    </row>
    <row r="304" spans="1:23" x14ac:dyDescent="0.25">
      <c r="A304" s="15" t="s">
        <v>805</v>
      </c>
      <c r="B304" s="4">
        <f>Fact_Production_Hourly!B304</f>
        <v>20260702</v>
      </c>
      <c r="C304" s="4">
        <f>Fact_Production_Hourly!C304</f>
        <v>19</v>
      </c>
      <c r="D304" s="4" t="str">
        <f>Fact_Production_Hourly!D304</f>
        <v>M2</v>
      </c>
      <c r="E304" s="4" t="str">
        <f>Fact_Production_Hourly!E304</f>
        <v>B-PM</v>
      </c>
      <c r="F304" s="4" t="str">
        <f>Fact_Production_Hourly!F304</f>
        <v>A</v>
      </c>
      <c r="G304" s="4">
        <f>INDEX(Dim_Machine!$D$2:$D$8,MATCH(D304,Dim_Machine!$A$2:$A$8,0))*2</f>
        <v>48</v>
      </c>
      <c r="H304" s="4">
        <f>ROUND(G304*0.0352,0)</f>
        <v>2</v>
      </c>
      <c r="I304" s="4">
        <f t="shared" si="32"/>
        <v>0</v>
      </c>
      <c r="J304" s="4">
        <f t="shared" si="33"/>
        <v>1</v>
      </c>
      <c r="K304" s="4">
        <f t="shared" si="34"/>
        <v>1</v>
      </c>
      <c r="L304" s="4" t="s">
        <v>498</v>
      </c>
      <c r="M304" s="4">
        <f>INDEX(Dim_Product!$C$2:$C$4,MATCH(F304,Dim_Product!$A$2:$A$4,0))+0.95</f>
        <v>250.95</v>
      </c>
      <c r="N304" s="4">
        <f>IF(AND(M304&gt;=INDEX(Dim_Product!$C$2:$C$4,MATCH(F304,Dim_Product!$A$2:$A$4,0))-INDEX(Dim_Product!$D$2:$D$4,MATCH(F304,Dim_Product!$A$2:$A$4,0)),M304&lt;=INDEX(Dim_Product!$C$2:$C$4,MATCH(F304,Dim_Product!$A$2:$A$4,0))+INDEX(Dim_Product!$D$2:$D$4,MATCH(F304,Dim_Product!$A$2:$A$4,0))),G304-H304,G304-H304-1)</f>
        <v>46</v>
      </c>
      <c r="O304" s="4">
        <f t="shared" si="35"/>
        <v>2</v>
      </c>
      <c r="P304" s="4">
        <f>INDEX(Dim_Product!$G$2:$G$4,MATCH(F304,Dim_Product!$A$2:$A$4,0))+-0.21</f>
        <v>69.790000000000006</v>
      </c>
      <c r="Q304" s="4">
        <f>IF(AND(P304&gt;=INDEX(Dim_Product!$G$2:$G$4,MATCH(F304,Dim_Product!$A$2:$A$4,0))-INDEX(Dim_Product!$H$2:$H$4,MATCH(F304,Dim_Product!$A$2:$A$4,0)),P304&lt;=INDEX(Dim_Product!$G$2:$G$4,MATCH(F304,Dim_Product!$A$2:$A$4,0))+INDEX(Dim_Product!$H$2:$H$4,MATCH(F304,Dim_Product!$A$2:$A$4,0))),G304-H304,G304-H304-1)</f>
        <v>46</v>
      </c>
      <c r="R304" s="4">
        <f t="shared" si="36"/>
        <v>2</v>
      </c>
      <c r="S304" s="4">
        <f>INDEX(Dim_Product!$K$2:$K$4,MATCH(F304,Dim_Product!$A$2:$A$4,0))+-0.18</f>
        <v>119.82</v>
      </c>
      <c r="T304" s="4">
        <f>IF(AND(S304&gt;=INDEX(Dim_Product!$K$2:$K$4,MATCH(F304,Dim_Product!$A$2:$A$4,0))-INDEX(Dim_Product!$L$2:$L$4,MATCH(F304,Dim_Product!$A$2:$A$4,0)),S304&lt;=INDEX(Dim_Product!$K$2:$K$4,MATCH(F304,Dim_Product!$A$2:$A$4,0))+INDEX(Dim_Product!$L$2:$L$4,MATCH(F304,Dim_Product!$A$2:$A$4,0))),G304-H304,G304-H304-1)</f>
        <v>46</v>
      </c>
      <c r="U304" s="4">
        <f t="shared" si="37"/>
        <v>2</v>
      </c>
      <c r="V304" s="4">
        <f t="shared" si="38"/>
        <v>4.1666666666666664E-2</v>
      </c>
      <c r="W304" s="16">
        <f t="shared" si="39"/>
        <v>0.95833333333333337</v>
      </c>
    </row>
    <row r="305" spans="1:23" x14ac:dyDescent="0.25">
      <c r="A305" s="15" t="s">
        <v>806</v>
      </c>
      <c r="B305" s="4">
        <f>Fact_Production_Hourly!B305</f>
        <v>20260702</v>
      </c>
      <c r="C305" s="4">
        <f>Fact_Production_Hourly!C305</f>
        <v>19</v>
      </c>
      <c r="D305" s="4" t="str">
        <f>Fact_Production_Hourly!D305</f>
        <v>M3</v>
      </c>
      <c r="E305" s="4" t="str">
        <f>Fact_Production_Hourly!E305</f>
        <v>B-PM</v>
      </c>
      <c r="F305" s="4" t="str">
        <f>Fact_Production_Hourly!F305</f>
        <v>A</v>
      </c>
      <c r="G305" s="4">
        <f>INDEX(Dim_Machine!$D$2:$D$8,MATCH(D305,Dim_Machine!$A$2:$A$8,0))*2</f>
        <v>24</v>
      </c>
      <c r="H305" s="4">
        <f>ROUND(G305*0.0126,0)</f>
        <v>0</v>
      </c>
      <c r="I305" s="4">
        <f t="shared" si="32"/>
        <v>0</v>
      </c>
      <c r="J305" s="4">
        <f t="shared" si="33"/>
        <v>0</v>
      </c>
      <c r="K305" s="4">
        <f t="shared" si="34"/>
        <v>0</v>
      </c>
      <c r="L305" s="4" t="s">
        <v>500</v>
      </c>
      <c r="M305" s="4">
        <f>INDEX(Dim_Product!$C$2:$C$4,MATCH(F305,Dim_Product!$A$2:$A$4,0))+0.79</f>
        <v>250.79</v>
      </c>
      <c r="N305" s="4">
        <f>IF(AND(M305&gt;=INDEX(Dim_Product!$C$2:$C$4,MATCH(F305,Dim_Product!$A$2:$A$4,0))-INDEX(Dim_Product!$D$2:$D$4,MATCH(F305,Dim_Product!$A$2:$A$4,0)),M305&lt;=INDEX(Dim_Product!$C$2:$C$4,MATCH(F305,Dim_Product!$A$2:$A$4,0))+INDEX(Dim_Product!$D$2:$D$4,MATCH(F305,Dim_Product!$A$2:$A$4,0))),G305-H305,G305-H305-1)</f>
        <v>24</v>
      </c>
      <c r="O305" s="4">
        <f t="shared" si="35"/>
        <v>0</v>
      </c>
      <c r="P305" s="4">
        <f>INDEX(Dim_Product!$G$2:$G$4,MATCH(F305,Dim_Product!$A$2:$A$4,0))+0.01</f>
        <v>70.010000000000005</v>
      </c>
      <c r="Q305" s="4">
        <f>IF(AND(P305&gt;=INDEX(Dim_Product!$G$2:$G$4,MATCH(F305,Dim_Product!$A$2:$A$4,0))-INDEX(Dim_Product!$H$2:$H$4,MATCH(F305,Dim_Product!$A$2:$A$4,0)),P305&lt;=INDEX(Dim_Product!$G$2:$G$4,MATCH(F305,Dim_Product!$A$2:$A$4,0))+INDEX(Dim_Product!$H$2:$H$4,MATCH(F305,Dim_Product!$A$2:$A$4,0))),G305-H305,G305-H305-1)</f>
        <v>24</v>
      </c>
      <c r="R305" s="4">
        <f t="shared" si="36"/>
        <v>0</v>
      </c>
      <c r="S305" s="4">
        <f>INDEX(Dim_Product!$K$2:$K$4,MATCH(F305,Dim_Product!$A$2:$A$4,0))+0.16</f>
        <v>120.16</v>
      </c>
      <c r="T305" s="4">
        <f>IF(AND(S305&gt;=INDEX(Dim_Product!$K$2:$K$4,MATCH(F305,Dim_Product!$A$2:$A$4,0))-INDEX(Dim_Product!$L$2:$L$4,MATCH(F305,Dim_Product!$A$2:$A$4,0)),S305&lt;=INDEX(Dim_Product!$K$2:$K$4,MATCH(F305,Dim_Product!$A$2:$A$4,0))+INDEX(Dim_Product!$L$2:$L$4,MATCH(F305,Dim_Product!$A$2:$A$4,0))),G305-H305,G305-H305-1)</f>
        <v>24</v>
      </c>
      <c r="U305" s="4">
        <f t="shared" si="37"/>
        <v>0</v>
      </c>
      <c r="V305" s="4">
        <f t="shared" si="38"/>
        <v>0</v>
      </c>
      <c r="W305" s="16">
        <f t="shared" si="39"/>
        <v>1</v>
      </c>
    </row>
    <row r="306" spans="1:23" x14ac:dyDescent="0.25">
      <c r="A306" s="15" t="s">
        <v>807</v>
      </c>
      <c r="B306" s="4">
        <f>Fact_Production_Hourly!B306</f>
        <v>20260702</v>
      </c>
      <c r="C306" s="4">
        <f>Fact_Production_Hourly!C306</f>
        <v>19</v>
      </c>
      <c r="D306" s="4" t="str">
        <f>Fact_Production_Hourly!D306</f>
        <v>M4</v>
      </c>
      <c r="E306" s="4" t="str">
        <f>Fact_Production_Hourly!E306</f>
        <v>B-PM</v>
      </c>
      <c r="F306" s="4" t="str">
        <f>Fact_Production_Hourly!F306</f>
        <v>C</v>
      </c>
      <c r="G306" s="4">
        <f>INDEX(Dim_Machine!$D$2:$D$8,MATCH(D306,Dim_Machine!$A$2:$A$8,0))*2</f>
        <v>48</v>
      </c>
      <c r="H306" s="4">
        <f>ROUND(G306*0.0323,0)</f>
        <v>2</v>
      </c>
      <c r="I306" s="4">
        <f t="shared" si="32"/>
        <v>0</v>
      </c>
      <c r="J306" s="4">
        <f t="shared" si="33"/>
        <v>1</v>
      </c>
      <c r="K306" s="4">
        <f t="shared" si="34"/>
        <v>1</v>
      </c>
      <c r="L306" s="4" t="s">
        <v>520</v>
      </c>
      <c r="M306" s="4">
        <f>INDEX(Dim_Product!$C$2:$C$4,MATCH(F306,Dim_Product!$A$2:$A$4,0))+-0.83</f>
        <v>199.17</v>
      </c>
      <c r="N306" s="4">
        <f>IF(AND(M306&gt;=INDEX(Dim_Product!$C$2:$C$4,MATCH(F306,Dim_Product!$A$2:$A$4,0))-INDEX(Dim_Product!$D$2:$D$4,MATCH(F306,Dim_Product!$A$2:$A$4,0)),M306&lt;=INDEX(Dim_Product!$C$2:$C$4,MATCH(F306,Dim_Product!$A$2:$A$4,0))+INDEX(Dim_Product!$D$2:$D$4,MATCH(F306,Dim_Product!$A$2:$A$4,0))),G306-H306,G306-H306-1)</f>
        <v>46</v>
      </c>
      <c r="O306" s="4">
        <f t="shared" si="35"/>
        <v>2</v>
      </c>
      <c r="P306" s="4">
        <f>INDEX(Dim_Product!$G$2:$G$4,MATCH(F306,Dim_Product!$A$2:$A$4,0))+-0.24</f>
        <v>64.760000000000005</v>
      </c>
      <c r="Q306" s="4">
        <f>IF(AND(P306&gt;=INDEX(Dim_Product!$G$2:$G$4,MATCH(F306,Dim_Product!$A$2:$A$4,0))-INDEX(Dim_Product!$H$2:$H$4,MATCH(F306,Dim_Product!$A$2:$A$4,0)),P306&lt;=INDEX(Dim_Product!$G$2:$G$4,MATCH(F306,Dim_Product!$A$2:$A$4,0))+INDEX(Dim_Product!$H$2:$H$4,MATCH(F306,Dim_Product!$A$2:$A$4,0))),G306-H306,G306-H306-1)</f>
        <v>46</v>
      </c>
      <c r="R306" s="4">
        <f t="shared" si="36"/>
        <v>2</v>
      </c>
      <c r="S306" s="4">
        <f>INDEX(Dim_Product!$K$2:$K$4,MATCH(F306,Dim_Product!$A$2:$A$4,0))+-0.29</f>
        <v>109.71</v>
      </c>
      <c r="T306" s="4">
        <f>IF(AND(S306&gt;=INDEX(Dim_Product!$K$2:$K$4,MATCH(F306,Dim_Product!$A$2:$A$4,0))-INDEX(Dim_Product!$L$2:$L$4,MATCH(F306,Dim_Product!$A$2:$A$4,0)),S306&lt;=INDEX(Dim_Product!$K$2:$K$4,MATCH(F306,Dim_Product!$A$2:$A$4,0))+INDEX(Dim_Product!$L$2:$L$4,MATCH(F306,Dim_Product!$A$2:$A$4,0))),G306-H306,G306-H306-1)</f>
        <v>46</v>
      </c>
      <c r="U306" s="4">
        <f t="shared" si="37"/>
        <v>2</v>
      </c>
      <c r="V306" s="4">
        <f t="shared" si="38"/>
        <v>4.1666666666666664E-2</v>
      </c>
      <c r="W306" s="16">
        <f t="shared" si="39"/>
        <v>0.95833333333333337</v>
      </c>
    </row>
    <row r="307" spans="1:23" x14ac:dyDescent="0.25">
      <c r="A307" s="15" t="s">
        <v>808</v>
      </c>
      <c r="B307" s="4">
        <f>Fact_Production_Hourly!B307</f>
        <v>20260702</v>
      </c>
      <c r="C307" s="4">
        <f>Fact_Production_Hourly!C307</f>
        <v>19</v>
      </c>
      <c r="D307" s="4" t="str">
        <f>Fact_Production_Hourly!D307</f>
        <v>M5</v>
      </c>
      <c r="E307" s="4" t="str">
        <f>Fact_Production_Hourly!E307</f>
        <v>B-PM</v>
      </c>
      <c r="F307" s="4" t="str">
        <f>Fact_Production_Hourly!F307</f>
        <v>A</v>
      </c>
      <c r="G307" s="4">
        <f>INDEX(Dim_Machine!$D$2:$D$8,MATCH(D307,Dim_Machine!$A$2:$A$8,0))*2</f>
        <v>32</v>
      </c>
      <c r="H307" s="4">
        <f>ROUND(G307*0.0592,0)</f>
        <v>2</v>
      </c>
      <c r="I307" s="4">
        <f t="shared" si="32"/>
        <v>0</v>
      </c>
      <c r="J307" s="4">
        <f t="shared" si="33"/>
        <v>1</v>
      </c>
      <c r="K307" s="4">
        <f t="shared" si="34"/>
        <v>1</v>
      </c>
      <c r="L307" s="4" t="s">
        <v>498</v>
      </c>
      <c r="M307" s="4">
        <f>INDEX(Dim_Product!$C$2:$C$4,MATCH(F307,Dim_Product!$A$2:$A$4,0))+0.18</f>
        <v>250.18</v>
      </c>
      <c r="N307" s="4">
        <f>IF(AND(M307&gt;=INDEX(Dim_Product!$C$2:$C$4,MATCH(F307,Dim_Product!$A$2:$A$4,0))-INDEX(Dim_Product!$D$2:$D$4,MATCH(F307,Dim_Product!$A$2:$A$4,0)),M307&lt;=INDEX(Dim_Product!$C$2:$C$4,MATCH(F307,Dim_Product!$A$2:$A$4,0))+INDEX(Dim_Product!$D$2:$D$4,MATCH(F307,Dim_Product!$A$2:$A$4,0))),G307-H307,G307-H307-1)</f>
        <v>30</v>
      </c>
      <c r="O307" s="4">
        <f t="shared" si="35"/>
        <v>2</v>
      </c>
      <c r="P307" s="4">
        <f>INDEX(Dim_Product!$G$2:$G$4,MATCH(F307,Dim_Product!$A$2:$A$4,0))+-0.26</f>
        <v>69.739999999999995</v>
      </c>
      <c r="Q307" s="4">
        <f>IF(AND(P307&gt;=INDEX(Dim_Product!$G$2:$G$4,MATCH(F307,Dim_Product!$A$2:$A$4,0))-INDEX(Dim_Product!$H$2:$H$4,MATCH(F307,Dim_Product!$A$2:$A$4,0)),P307&lt;=INDEX(Dim_Product!$G$2:$G$4,MATCH(F307,Dim_Product!$A$2:$A$4,0))+INDEX(Dim_Product!$H$2:$H$4,MATCH(F307,Dim_Product!$A$2:$A$4,0))),G307-H307,G307-H307-1)</f>
        <v>30</v>
      </c>
      <c r="R307" s="4">
        <f t="shared" si="36"/>
        <v>2</v>
      </c>
      <c r="S307" s="4">
        <f>INDEX(Dim_Product!$K$2:$K$4,MATCH(F307,Dim_Product!$A$2:$A$4,0))+0.13</f>
        <v>120.13</v>
      </c>
      <c r="T307" s="4">
        <f>IF(AND(S307&gt;=INDEX(Dim_Product!$K$2:$K$4,MATCH(F307,Dim_Product!$A$2:$A$4,0))-INDEX(Dim_Product!$L$2:$L$4,MATCH(F307,Dim_Product!$A$2:$A$4,0)),S307&lt;=INDEX(Dim_Product!$K$2:$K$4,MATCH(F307,Dim_Product!$A$2:$A$4,0))+INDEX(Dim_Product!$L$2:$L$4,MATCH(F307,Dim_Product!$A$2:$A$4,0))),G307-H307,G307-H307-1)</f>
        <v>30</v>
      </c>
      <c r="U307" s="4">
        <f t="shared" si="37"/>
        <v>2</v>
      </c>
      <c r="V307" s="4">
        <f t="shared" si="38"/>
        <v>6.25E-2</v>
      </c>
      <c r="W307" s="16">
        <f t="shared" si="39"/>
        <v>0.9375</v>
      </c>
    </row>
    <row r="308" spans="1:23" x14ac:dyDescent="0.25">
      <c r="A308" s="15" t="s">
        <v>809</v>
      </c>
      <c r="B308" s="4">
        <f>Fact_Production_Hourly!B308</f>
        <v>20260702</v>
      </c>
      <c r="C308" s="4">
        <f>Fact_Production_Hourly!C308</f>
        <v>19</v>
      </c>
      <c r="D308" s="4" t="str">
        <f>Fact_Production_Hourly!D308</f>
        <v>M6</v>
      </c>
      <c r="E308" s="4" t="str">
        <f>Fact_Production_Hourly!E308</f>
        <v>B-PM</v>
      </c>
      <c r="F308" s="4" t="str">
        <f>Fact_Production_Hourly!F308</f>
        <v>A</v>
      </c>
      <c r="G308" s="4">
        <f>INDEX(Dim_Machine!$D$2:$D$8,MATCH(D308,Dim_Machine!$A$2:$A$8,0))*2</f>
        <v>24</v>
      </c>
      <c r="H308" s="4">
        <f>ROUND(G308*0.0178,0)</f>
        <v>0</v>
      </c>
      <c r="I308" s="4">
        <f t="shared" si="32"/>
        <v>0</v>
      </c>
      <c r="J308" s="4">
        <f t="shared" si="33"/>
        <v>0</v>
      </c>
      <c r="K308" s="4">
        <f t="shared" si="34"/>
        <v>0</v>
      </c>
      <c r="L308" s="4" t="s">
        <v>517</v>
      </c>
      <c r="M308" s="4">
        <f>INDEX(Dim_Product!$C$2:$C$4,MATCH(F308,Dim_Product!$A$2:$A$4,0))+-0.48</f>
        <v>249.52</v>
      </c>
      <c r="N308" s="4">
        <f>IF(AND(M308&gt;=INDEX(Dim_Product!$C$2:$C$4,MATCH(F308,Dim_Product!$A$2:$A$4,0))-INDEX(Dim_Product!$D$2:$D$4,MATCH(F308,Dim_Product!$A$2:$A$4,0)),M308&lt;=INDEX(Dim_Product!$C$2:$C$4,MATCH(F308,Dim_Product!$A$2:$A$4,0))+INDEX(Dim_Product!$D$2:$D$4,MATCH(F308,Dim_Product!$A$2:$A$4,0))),G308-H308,G308-H308-1)</f>
        <v>24</v>
      </c>
      <c r="O308" s="4">
        <f t="shared" si="35"/>
        <v>0</v>
      </c>
      <c r="P308" s="4">
        <f>INDEX(Dim_Product!$G$2:$G$4,MATCH(F308,Dim_Product!$A$2:$A$4,0))+-0.11</f>
        <v>69.89</v>
      </c>
      <c r="Q308" s="4">
        <f>IF(AND(P308&gt;=INDEX(Dim_Product!$G$2:$G$4,MATCH(F308,Dim_Product!$A$2:$A$4,0))-INDEX(Dim_Product!$H$2:$H$4,MATCH(F308,Dim_Product!$A$2:$A$4,0)),P308&lt;=INDEX(Dim_Product!$G$2:$G$4,MATCH(F308,Dim_Product!$A$2:$A$4,0))+INDEX(Dim_Product!$H$2:$H$4,MATCH(F308,Dim_Product!$A$2:$A$4,0))),G308-H308,G308-H308-1)</f>
        <v>24</v>
      </c>
      <c r="R308" s="4">
        <f t="shared" si="36"/>
        <v>0</v>
      </c>
      <c r="S308" s="4">
        <f>INDEX(Dim_Product!$K$2:$K$4,MATCH(F308,Dim_Product!$A$2:$A$4,0))+0.24</f>
        <v>120.24</v>
      </c>
      <c r="T308" s="4">
        <f>IF(AND(S308&gt;=INDEX(Dim_Product!$K$2:$K$4,MATCH(F308,Dim_Product!$A$2:$A$4,0))-INDEX(Dim_Product!$L$2:$L$4,MATCH(F308,Dim_Product!$A$2:$A$4,0)),S308&lt;=INDEX(Dim_Product!$K$2:$K$4,MATCH(F308,Dim_Product!$A$2:$A$4,0))+INDEX(Dim_Product!$L$2:$L$4,MATCH(F308,Dim_Product!$A$2:$A$4,0))),G308-H308,G308-H308-1)</f>
        <v>24</v>
      </c>
      <c r="U308" s="4">
        <f t="shared" si="37"/>
        <v>0</v>
      </c>
      <c r="V308" s="4">
        <f t="shared" si="38"/>
        <v>0</v>
      </c>
      <c r="W308" s="16">
        <f t="shared" si="39"/>
        <v>1</v>
      </c>
    </row>
    <row r="309" spans="1:23" x14ac:dyDescent="0.25">
      <c r="A309" s="15" t="s">
        <v>810</v>
      </c>
      <c r="B309" s="4">
        <f>Fact_Production_Hourly!B309</f>
        <v>20260702</v>
      </c>
      <c r="C309" s="4">
        <f>Fact_Production_Hourly!C309</f>
        <v>19</v>
      </c>
      <c r="D309" s="4" t="str">
        <f>Fact_Production_Hourly!D309</f>
        <v>M7</v>
      </c>
      <c r="E309" s="4" t="str">
        <f>Fact_Production_Hourly!E309</f>
        <v>B-PM</v>
      </c>
      <c r="F309" s="4" t="str">
        <f>Fact_Production_Hourly!F309</f>
        <v>C</v>
      </c>
      <c r="G309" s="4">
        <f>INDEX(Dim_Machine!$D$2:$D$8,MATCH(D309,Dim_Machine!$A$2:$A$8,0))*2</f>
        <v>48</v>
      </c>
      <c r="H309" s="4">
        <f>ROUND(G309*0.052,0)</f>
        <v>2</v>
      </c>
      <c r="I309" s="4">
        <f t="shared" si="32"/>
        <v>0</v>
      </c>
      <c r="J309" s="4">
        <f t="shared" si="33"/>
        <v>1</v>
      </c>
      <c r="K309" s="4">
        <f t="shared" si="34"/>
        <v>1</v>
      </c>
      <c r="L309" s="4" t="s">
        <v>520</v>
      </c>
      <c r="M309" s="4">
        <f>INDEX(Dim_Product!$C$2:$C$4,MATCH(F309,Dim_Product!$A$2:$A$4,0))+-0.35</f>
        <v>199.65</v>
      </c>
      <c r="N309" s="4">
        <f>IF(AND(M309&gt;=INDEX(Dim_Product!$C$2:$C$4,MATCH(F309,Dim_Product!$A$2:$A$4,0))-INDEX(Dim_Product!$D$2:$D$4,MATCH(F309,Dim_Product!$A$2:$A$4,0)),M309&lt;=INDEX(Dim_Product!$C$2:$C$4,MATCH(F309,Dim_Product!$A$2:$A$4,0))+INDEX(Dim_Product!$D$2:$D$4,MATCH(F309,Dim_Product!$A$2:$A$4,0))),G309-H309,G309-H309-1)</f>
        <v>46</v>
      </c>
      <c r="O309" s="4">
        <f t="shared" si="35"/>
        <v>2</v>
      </c>
      <c r="P309" s="4">
        <f>INDEX(Dim_Product!$G$2:$G$4,MATCH(F309,Dim_Product!$A$2:$A$4,0))+-0.03</f>
        <v>64.97</v>
      </c>
      <c r="Q309" s="4">
        <f>IF(AND(P309&gt;=INDEX(Dim_Product!$G$2:$G$4,MATCH(F309,Dim_Product!$A$2:$A$4,0))-INDEX(Dim_Product!$H$2:$H$4,MATCH(F309,Dim_Product!$A$2:$A$4,0)),P309&lt;=INDEX(Dim_Product!$G$2:$G$4,MATCH(F309,Dim_Product!$A$2:$A$4,0))+INDEX(Dim_Product!$H$2:$H$4,MATCH(F309,Dim_Product!$A$2:$A$4,0))),G309-H309,G309-H309-1)</f>
        <v>46</v>
      </c>
      <c r="R309" s="4">
        <f t="shared" si="36"/>
        <v>2</v>
      </c>
      <c r="S309" s="4">
        <f>INDEX(Dim_Product!$K$2:$K$4,MATCH(F309,Dim_Product!$A$2:$A$4,0))+-0.21</f>
        <v>109.79</v>
      </c>
      <c r="T309" s="4">
        <f>IF(AND(S309&gt;=INDEX(Dim_Product!$K$2:$K$4,MATCH(F309,Dim_Product!$A$2:$A$4,0))-INDEX(Dim_Product!$L$2:$L$4,MATCH(F309,Dim_Product!$A$2:$A$4,0)),S309&lt;=INDEX(Dim_Product!$K$2:$K$4,MATCH(F309,Dim_Product!$A$2:$A$4,0))+INDEX(Dim_Product!$L$2:$L$4,MATCH(F309,Dim_Product!$A$2:$A$4,0))),G309-H309,G309-H309-1)</f>
        <v>46</v>
      </c>
      <c r="U309" s="4">
        <f t="shared" si="37"/>
        <v>2</v>
      </c>
      <c r="V309" s="4">
        <f t="shared" si="38"/>
        <v>4.1666666666666664E-2</v>
      </c>
      <c r="W309" s="16">
        <f t="shared" si="39"/>
        <v>0.95833333333333337</v>
      </c>
    </row>
    <row r="310" spans="1:23" x14ac:dyDescent="0.25">
      <c r="A310" s="15" t="s">
        <v>811</v>
      </c>
      <c r="B310" s="4">
        <f>Fact_Production_Hourly!B310</f>
        <v>20260702</v>
      </c>
      <c r="C310" s="4">
        <f>Fact_Production_Hourly!C310</f>
        <v>20</v>
      </c>
      <c r="D310" s="4" t="str">
        <f>Fact_Production_Hourly!D310</f>
        <v>M1</v>
      </c>
      <c r="E310" s="4" t="str">
        <f>Fact_Production_Hourly!E310</f>
        <v>B-PM</v>
      </c>
      <c r="F310" s="4" t="str">
        <f>Fact_Production_Hourly!F310</f>
        <v>B</v>
      </c>
      <c r="G310" s="4">
        <f>INDEX(Dim_Machine!$D$2:$D$8,MATCH(D310,Dim_Machine!$A$2:$A$8,0))*2</f>
        <v>32</v>
      </c>
      <c r="H310" s="4">
        <f>ROUND(G310*0.0666,0)</f>
        <v>2</v>
      </c>
      <c r="I310" s="4">
        <f t="shared" si="32"/>
        <v>0</v>
      </c>
      <c r="J310" s="4">
        <f t="shared" si="33"/>
        <v>1</v>
      </c>
      <c r="K310" s="4">
        <f t="shared" si="34"/>
        <v>1</v>
      </c>
      <c r="L310" s="4" t="s">
        <v>500</v>
      </c>
      <c r="M310" s="4">
        <f>INDEX(Dim_Product!$C$2:$C$4,MATCH(F310,Dim_Product!$A$2:$A$4,0))+0.56</f>
        <v>300.56</v>
      </c>
      <c r="N310" s="4">
        <f>IF(AND(M310&gt;=INDEX(Dim_Product!$C$2:$C$4,MATCH(F310,Dim_Product!$A$2:$A$4,0))-INDEX(Dim_Product!$D$2:$D$4,MATCH(F310,Dim_Product!$A$2:$A$4,0)),M310&lt;=INDEX(Dim_Product!$C$2:$C$4,MATCH(F310,Dim_Product!$A$2:$A$4,0))+INDEX(Dim_Product!$D$2:$D$4,MATCH(F310,Dim_Product!$A$2:$A$4,0))),G310-H310,G310-H310-1)</f>
        <v>30</v>
      </c>
      <c r="O310" s="4">
        <f t="shared" si="35"/>
        <v>2</v>
      </c>
      <c r="P310" s="4">
        <f>INDEX(Dim_Product!$G$2:$G$4,MATCH(F310,Dim_Product!$A$2:$A$4,0))+0.05</f>
        <v>75.05</v>
      </c>
      <c r="Q310" s="4">
        <f>IF(AND(P310&gt;=INDEX(Dim_Product!$G$2:$G$4,MATCH(F310,Dim_Product!$A$2:$A$4,0))-INDEX(Dim_Product!$H$2:$H$4,MATCH(F310,Dim_Product!$A$2:$A$4,0)),P310&lt;=INDEX(Dim_Product!$G$2:$G$4,MATCH(F310,Dim_Product!$A$2:$A$4,0))+INDEX(Dim_Product!$H$2:$H$4,MATCH(F310,Dim_Product!$A$2:$A$4,0))),G310-H310,G310-H310-1)</f>
        <v>30</v>
      </c>
      <c r="R310" s="4">
        <f t="shared" si="36"/>
        <v>2</v>
      </c>
      <c r="S310" s="4">
        <f>INDEX(Dim_Product!$K$2:$K$4,MATCH(F310,Dim_Product!$A$2:$A$4,0))+-0.28</f>
        <v>129.72</v>
      </c>
      <c r="T310" s="4">
        <f>IF(AND(S310&gt;=INDEX(Dim_Product!$K$2:$K$4,MATCH(F310,Dim_Product!$A$2:$A$4,0))-INDEX(Dim_Product!$L$2:$L$4,MATCH(F310,Dim_Product!$A$2:$A$4,0)),S310&lt;=INDEX(Dim_Product!$K$2:$K$4,MATCH(F310,Dim_Product!$A$2:$A$4,0))+INDEX(Dim_Product!$L$2:$L$4,MATCH(F310,Dim_Product!$A$2:$A$4,0))),G310-H310,G310-H310-1)</f>
        <v>30</v>
      </c>
      <c r="U310" s="4">
        <f t="shared" si="37"/>
        <v>2</v>
      </c>
      <c r="V310" s="4">
        <f t="shared" si="38"/>
        <v>6.25E-2</v>
      </c>
      <c r="W310" s="16">
        <f t="shared" si="39"/>
        <v>0.9375</v>
      </c>
    </row>
    <row r="311" spans="1:23" x14ac:dyDescent="0.25">
      <c r="A311" s="15" t="s">
        <v>812</v>
      </c>
      <c r="B311" s="4">
        <f>Fact_Production_Hourly!B311</f>
        <v>20260702</v>
      </c>
      <c r="C311" s="4">
        <f>Fact_Production_Hourly!C311</f>
        <v>20</v>
      </c>
      <c r="D311" s="4" t="str">
        <f>Fact_Production_Hourly!D311</f>
        <v>M2</v>
      </c>
      <c r="E311" s="4" t="str">
        <f>Fact_Production_Hourly!E311</f>
        <v>B-PM</v>
      </c>
      <c r="F311" s="4" t="str">
        <f>Fact_Production_Hourly!F311</f>
        <v>A</v>
      </c>
      <c r="G311" s="4">
        <f>INDEX(Dim_Machine!$D$2:$D$8,MATCH(D311,Dim_Machine!$A$2:$A$8,0))*2</f>
        <v>48</v>
      </c>
      <c r="H311" s="4">
        <f>ROUND(G311*0.0199,0)</f>
        <v>1</v>
      </c>
      <c r="I311" s="4">
        <f t="shared" si="32"/>
        <v>0</v>
      </c>
      <c r="J311" s="4">
        <f t="shared" si="33"/>
        <v>0</v>
      </c>
      <c r="K311" s="4">
        <f t="shared" si="34"/>
        <v>1</v>
      </c>
      <c r="L311" s="4" t="s">
        <v>503</v>
      </c>
      <c r="M311" s="4">
        <f>INDEX(Dim_Product!$C$2:$C$4,MATCH(F311,Dim_Product!$A$2:$A$4,0))+-0.37</f>
        <v>249.63</v>
      </c>
      <c r="N311" s="4">
        <f>IF(AND(M311&gt;=INDEX(Dim_Product!$C$2:$C$4,MATCH(F311,Dim_Product!$A$2:$A$4,0))-INDEX(Dim_Product!$D$2:$D$4,MATCH(F311,Dim_Product!$A$2:$A$4,0)),M311&lt;=INDEX(Dim_Product!$C$2:$C$4,MATCH(F311,Dim_Product!$A$2:$A$4,0))+INDEX(Dim_Product!$D$2:$D$4,MATCH(F311,Dim_Product!$A$2:$A$4,0))),G311-H311,G311-H311-1)</f>
        <v>47</v>
      </c>
      <c r="O311" s="4">
        <f t="shared" si="35"/>
        <v>1</v>
      </c>
      <c r="P311" s="4">
        <f>INDEX(Dim_Product!$G$2:$G$4,MATCH(F311,Dim_Product!$A$2:$A$4,0))+-0.23</f>
        <v>69.77</v>
      </c>
      <c r="Q311" s="4">
        <f>IF(AND(P311&gt;=INDEX(Dim_Product!$G$2:$G$4,MATCH(F311,Dim_Product!$A$2:$A$4,0))-INDEX(Dim_Product!$H$2:$H$4,MATCH(F311,Dim_Product!$A$2:$A$4,0)),P311&lt;=INDEX(Dim_Product!$G$2:$G$4,MATCH(F311,Dim_Product!$A$2:$A$4,0))+INDEX(Dim_Product!$H$2:$H$4,MATCH(F311,Dim_Product!$A$2:$A$4,0))),G311-H311,G311-H311-1)</f>
        <v>47</v>
      </c>
      <c r="R311" s="4">
        <f t="shared" si="36"/>
        <v>1</v>
      </c>
      <c r="S311" s="4">
        <f>INDEX(Dim_Product!$K$2:$K$4,MATCH(F311,Dim_Product!$A$2:$A$4,0))+-0.11</f>
        <v>119.89</v>
      </c>
      <c r="T311" s="4">
        <f>IF(AND(S311&gt;=INDEX(Dim_Product!$K$2:$K$4,MATCH(F311,Dim_Product!$A$2:$A$4,0))-INDEX(Dim_Product!$L$2:$L$4,MATCH(F311,Dim_Product!$A$2:$A$4,0)),S311&lt;=INDEX(Dim_Product!$K$2:$K$4,MATCH(F311,Dim_Product!$A$2:$A$4,0))+INDEX(Dim_Product!$L$2:$L$4,MATCH(F311,Dim_Product!$A$2:$A$4,0))),G311-H311,G311-H311-1)</f>
        <v>47</v>
      </c>
      <c r="U311" s="4">
        <f t="shared" si="37"/>
        <v>1</v>
      </c>
      <c r="V311" s="4">
        <f t="shared" si="38"/>
        <v>2.0833333333333332E-2</v>
      </c>
      <c r="W311" s="16">
        <f t="shared" si="39"/>
        <v>0.97916666666666663</v>
      </c>
    </row>
    <row r="312" spans="1:23" x14ac:dyDescent="0.25">
      <c r="A312" s="15" t="s">
        <v>813</v>
      </c>
      <c r="B312" s="4">
        <f>Fact_Production_Hourly!B312</f>
        <v>20260702</v>
      </c>
      <c r="C312" s="4">
        <f>Fact_Production_Hourly!C312</f>
        <v>20</v>
      </c>
      <c r="D312" s="4" t="str">
        <f>Fact_Production_Hourly!D312</f>
        <v>M3</v>
      </c>
      <c r="E312" s="4" t="str">
        <f>Fact_Production_Hourly!E312</f>
        <v>B-PM</v>
      </c>
      <c r="F312" s="4" t="str">
        <f>Fact_Production_Hourly!F312</f>
        <v>A</v>
      </c>
      <c r="G312" s="4">
        <f>INDEX(Dim_Machine!$D$2:$D$8,MATCH(D312,Dim_Machine!$A$2:$A$8,0))*2</f>
        <v>24</v>
      </c>
      <c r="H312" s="4">
        <f>ROUND(G312*0.0562,0)</f>
        <v>1</v>
      </c>
      <c r="I312" s="4">
        <f t="shared" si="32"/>
        <v>0</v>
      </c>
      <c r="J312" s="4">
        <f t="shared" si="33"/>
        <v>0</v>
      </c>
      <c r="K312" s="4">
        <f t="shared" si="34"/>
        <v>1</v>
      </c>
      <c r="L312" s="4" t="s">
        <v>503</v>
      </c>
      <c r="M312" s="4">
        <f>INDEX(Dim_Product!$C$2:$C$4,MATCH(F312,Dim_Product!$A$2:$A$4,0))+-0.38</f>
        <v>249.62</v>
      </c>
      <c r="N312" s="4">
        <f>IF(AND(M312&gt;=INDEX(Dim_Product!$C$2:$C$4,MATCH(F312,Dim_Product!$A$2:$A$4,0))-INDEX(Dim_Product!$D$2:$D$4,MATCH(F312,Dim_Product!$A$2:$A$4,0)),M312&lt;=INDEX(Dim_Product!$C$2:$C$4,MATCH(F312,Dim_Product!$A$2:$A$4,0))+INDEX(Dim_Product!$D$2:$D$4,MATCH(F312,Dim_Product!$A$2:$A$4,0))),G312-H312,G312-H312-1)</f>
        <v>23</v>
      </c>
      <c r="O312" s="4">
        <f t="shared" si="35"/>
        <v>1</v>
      </c>
      <c r="P312" s="4">
        <f>INDEX(Dim_Product!$G$2:$G$4,MATCH(F312,Dim_Product!$A$2:$A$4,0))+-0.14</f>
        <v>69.86</v>
      </c>
      <c r="Q312" s="4">
        <f>IF(AND(P312&gt;=INDEX(Dim_Product!$G$2:$G$4,MATCH(F312,Dim_Product!$A$2:$A$4,0))-INDEX(Dim_Product!$H$2:$H$4,MATCH(F312,Dim_Product!$A$2:$A$4,0)),P312&lt;=INDEX(Dim_Product!$G$2:$G$4,MATCH(F312,Dim_Product!$A$2:$A$4,0))+INDEX(Dim_Product!$H$2:$H$4,MATCH(F312,Dim_Product!$A$2:$A$4,0))),G312-H312,G312-H312-1)</f>
        <v>23</v>
      </c>
      <c r="R312" s="4">
        <f t="shared" si="36"/>
        <v>1</v>
      </c>
      <c r="S312" s="4">
        <f>INDEX(Dim_Product!$K$2:$K$4,MATCH(F312,Dim_Product!$A$2:$A$4,0))+-0.3</f>
        <v>119.7</v>
      </c>
      <c r="T312" s="4">
        <f>IF(AND(S312&gt;=INDEX(Dim_Product!$K$2:$K$4,MATCH(F312,Dim_Product!$A$2:$A$4,0))-INDEX(Dim_Product!$L$2:$L$4,MATCH(F312,Dim_Product!$A$2:$A$4,0)),S312&lt;=INDEX(Dim_Product!$K$2:$K$4,MATCH(F312,Dim_Product!$A$2:$A$4,0))+INDEX(Dim_Product!$L$2:$L$4,MATCH(F312,Dim_Product!$A$2:$A$4,0))),G312-H312,G312-H312-1)</f>
        <v>23</v>
      </c>
      <c r="U312" s="4">
        <f t="shared" si="37"/>
        <v>1</v>
      </c>
      <c r="V312" s="4">
        <f t="shared" si="38"/>
        <v>4.1666666666666664E-2</v>
      </c>
      <c r="W312" s="16">
        <f t="shared" si="39"/>
        <v>0.95833333333333337</v>
      </c>
    </row>
    <row r="313" spans="1:23" x14ac:dyDescent="0.25">
      <c r="A313" s="15" t="s">
        <v>814</v>
      </c>
      <c r="B313" s="4">
        <f>Fact_Production_Hourly!B313</f>
        <v>20260702</v>
      </c>
      <c r="C313" s="4">
        <f>Fact_Production_Hourly!C313</f>
        <v>20</v>
      </c>
      <c r="D313" s="4" t="str">
        <f>Fact_Production_Hourly!D313</f>
        <v>M4</v>
      </c>
      <c r="E313" s="4" t="str">
        <f>Fact_Production_Hourly!E313</f>
        <v>B-PM</v>
      </c>
      <c r="F313" s="4" t="str">
        <f>Fact_Production_Hourly!F313</f>
        <v>C</v>
      </c>
      <c r="G313" s="4">
        <f>INDEX(Dim_Machine!$D$2:$D$8,MATCH(D313,Dim_Machine!$A$2:$A$8,0))*2</f>
        <v>48</v>
      </c>
      <c r="H313" s="4">
        <f>ROUND(G313*0.0195,0)</f>
        <v>1</v>
      </c>
      <c r="I313" s="4">
        <f t="shared" si="32"/>
        <v>0</v>
      </c>
      <c r="J313" s="4">
        <f t="shared" si="33"/>
        <v>0</v>
      </c>
      <c r="K313" s="4">
        <f t="shared" si="34"/>
        <v>1</v>
      </c>
      <c r="L313" s="4" t="s">
        <v>520</v>
      </c>
      <c r="M313" s="4">
        <f>INDEX(Dim_Product!$C$2:$C$4,MATCH(F313,Dim_Product!$A$2:$A$4,0))+-0.39</f>
        <v>199.61</v>
      </c>
      <c r="N313" s="4">
        <f>IF(AND(M313&gt;=INDEX(Dim_Product!$C$2:$C$4,MATCH(F313,Dim_Product!$A$2:$A$4,0))-INDEX(Dim_Product!$D$2:$D$4,MATCH(F313,Dim_Product!$A$2:$A$4,0)),M313&lt;=INDEX(Dim_Product!$C$2:$C$4,MATCH(F313,Dim_Product!$A$2:$A$4,0))+INDEX(Dim_Product!$D$2:$D$4,MATCH(F313,Dim_Product!$A$2:$A$4,0))),G313-H313,G313-H313-1)</f>
        <v>47</v>
      </c>
      <c r="O313" s="4">
        <f t="shared" si="35"/>
        <v>1</v>
      </c>
      <c r="P313" s="4">
        <f>INDEX(Dim_Product!$G$2:$G$4,MATCH(F313,Dim_Product!$A$2:$A$4,0))+0.12</f>
        <v>65.12</v>
      </c>
      <c r="Q313" s="4">
        <f>IF(AND(P313&gt;=INDEX(Dim_Product!$G$2:$G$4,MATCH(F313,Dim_Product!$A$2:$A$4,0))-INDEX(Dim_Product!$H$2:$H$4,MATCH(F313,Dim_Product!$A$2:$A$4,0)),P313&lt;=INDEX(Dim_Product!$G$2:$G$4,MATCH(F313,Dim_Product!$A$2:$A$4,0))+INDEX(Dim_Product!$H$2:$H$4,MATCH(F313,Dim_Product!$A$2:$A$4,0))),G313-H313,G313-H313-1)</f>
        <v>47</v>
      </c>
      <c r="R313" s="4">
        <f t="shared" si="36"/>
        <v>1</v>
      </c>
      <c r="S313" s="4">
        <f>INDEX(Dim_Product!$K$2:$K$4,MATCH(F313,Dim_Product!$A$2:$A$4,0))+0.08</f>
        <v>110.08</v>
      </c>
      <c r="T313" s="4">
        <f>IF(AND(S313&gt;=INDEX(Dim_Product!$K$2:$K$4,MATCH(F313,Dim_Product!$A$2:$A$4,0))-INDEX(Dim_Product!$L$2:$L$4,MATCH(F313,Dim_Product!$A$2:$A$4,0)),S313&lt;=INDEX(Dim_Product!$K$2:$K$4,MATCH(F313,Dim_Product!$A$2:$A$4,0))+INDEX(Dim_Product!$L$2:$L$4,MATCH(F313,Dim_Product!$A$2:$A$4,0))),G313-H313,G313-H313-1)</f>
        <v>47</v>
      </c>
      <c r="U313" s="4">
        <f t="shared" si="37"/>
        <v>1</v>
      </c>
      <c r="V313" s="4">
        <f t="shared" si="38"/>
        <v>2.0833333333333332E-2</v>
      </c>
      <c r="W313" s="16">
        <f t="shared" si="39"/>
        <v>0.97916666666666663</v>
      </c>
    </row>
    <row r="314" spans="1:23" x14ac:dyDescent="0.25">
      <c r="A314" s="15" t="s">
        <v>815</v>
      </c>
      <c r="B314" s="4">
        <f>Fact_Production_Hourly!B314</f>
        <v>20260702</v>
      </c>
      <c r="C314" s="4">
        <f>Fact_Production_Hourly!C314</f>
        <v>20</v>
      </c>
      <c r="D314" s="4" t="str">
        <f>Fact_Production_Hourly!D314</f>
        <v>M5</v>
      </c>
      <c r="E314" s="4" t="str">
        <f>Fact_Production_Hourly!E314</f>
        <v>B-PM</v>
      </c>
      <c r="F314" s="4" t="str">
        <f>Fact_Production_Hourly!F314</f>
        <v>A</v>
      </c>
      <c r="G314" s="4">
        <f>INDEX(Dim_Machine!$D$2:$D$8,MATCH(D314,Dim_Machine!$A$2:$A$8,0))*2</f>
        <v>32</v>
      </c>
      <c r="H314" s="4">
        <f>ROUND(G314*0.0229,0)</f>
        <v>1</v>
      </c>
      <c r="I314" s="4">
        <f t="shared" si="32"/>
        <v>0</v>
      </c>
      <c r="J314" s="4">
        <f t="shared" si="33"/>
        <v>0</v>
      </c>
      <c r="K314" s="4">
        <f t="shared" si="34"/>
        <v>1</v>
      </c>
      <c r="L314" s="4" t="s">
        <v>517</v>
      </c>
      <c r="M314" s="4">
        <f>INDEX(Dim_Product!$C$2:$C$4,MATCH(F314,Dim_Product!$A$2:$A$4,0))+-0.7</f>
        <v>249.3</v>
      </c>
      <c r="N314" s="4">
        <f>IF(AND(M314&gt;=INDEX(Dim_Product!$C$2:$C$4,MATCH(F314,Dim_Product!$A$2:$A$4,0))-INDEX(Dim_Product!$D$2:$D$4,MATCH(F314,Dim_Product!$A$2:$A$4,0)),M314&lt;=INDEX(Dim_Product!$C$2:$C$4,MATCH(F314,Dim_Product!$A$2:$A$4,0))+INDEX(Dim_Product!$D$2:$D$4,MATCH(F314,Dim_Product!$A$2:$A$4,0))),G314-H314,G314-H314-1)</f>
        <v>31</v>
      </c>
      <c r="O314" s="4">
        <f t="shared" si="35"/>
        <v>1</v>
      </c>
      <c r="P314" s="4">
        <f>INDEX(Dim_Product!$G$2:$G$4,MATCH(F314,Dim_Product!$A$2:$A$4,0))+0.13</f>
        <v>70.13</v>
      </c>
      <c r="Q314" s="4">
        <f>IF(AND(P314&gt;=INDEX(Dim_Product!$G$2:$G$4,MATCH(F314,Dim_Product!$A$2:$A$4,0))-INDEX(Dim_Product!$H$2:$H$4,MATCH(F314,Dim_Product!$A$2:$A$4,0)),P314&lt;=INDEX(Dim_Product!$G$2:$G$4,MATCH(F314,Dim_Product!$A$2:$A$4,0))+INDEX(Dim_Product!$H$2:$H$4,MATCH(F314,Dim_Product!$A$2:$A$4,0))),G314-H314,G314-H314-1)</f>
        <v>31</v>
      </c>
      <c r="R314" s="4">
        <f t="shared" si="36"/>
        <v>1</v>
      </c>
      <c r="S314" s="4">
        <f>INDEX(Dim_Product!$K$2:$K$4,MATCH(F314,Dim_Product!$A$2:$A$4,0))+0.37</f>
        <v>120.37</v>
      </c>
      <c r="T314" s="4">
        <f>IF(AND(S314&gt;=INDEX(Dim_Product!$K$2:$K$4,MATCH(F314,Dim_Product!$A$2:$A$4,0))-INDEX(Dim_Product!$L$2:$L$4,MATCH(F314,Dim_Product!$A$2:$A$4,0)),S314&lt;=INDEX(Dim_Product!$K$2:$K$4,MATCH(F314,Dim_Product!$A$2:$A$4,0))+INDEX(Dim_Product!$L$2:$L$4,MATCH(F314,Dim_Product!$A$2:$A$4,0))),G314-H314,G314-H314-1)</f>
        <v>31</v>
      </c>
      <c r="U314" s="4">
        <f t="shared" si="37"/>
        <v>1</v>
      </c>
      <c r="V314" s="4">
        <f t="shared" si="38"/>
        <v>3.125E-2</v>
      </c>
      <c r="W314" s="16">
        <f t="shared" si="39"/>
        <v>0.96875</v>
      </c>
    </row>
    <row r="315" spans="1:23" x14ac:dyDescent="0.25">
      <c r="A315" s="15" t="s">
        <v>816</v>
      </c>
      <c r="B315" s="4">
        <f>Fact_Production_Hourly!B315</f>
        <v>20260702</v>
      </c>
      <c r="C315" s="4">
        <f>Fact_Production_Hourly!C315</f>
        <v>20</v>
      </c>
      <c r="D315" s="4" t="str">
        <f>Fact_Production_Hourly!D315</f>
        <v>M6</v>
      </c>
      <c r="E315" s="4" t="str">
        <f>Fact_Production_Hourly!E315</f>
        <v>B-PM</v>
      </c>
      <c r="F315" s="4" t="str">
        <f>Fact_Production_Hourly!F315</f>
        <v>A</v>
      </c>
      <c r="G315" s="4">
        <f>INDEX(Dim_Machine!$D$2:$D$8,MATCH(D315,Dim_Machine!$A$2:$A$8,0))*2</f>
        <v>24</v>
      </c>
      <c r="H315" s="4">
        <f>ROUND(G315*0.0338,0)</f>
        <v>1</v>
      </c>
      <c r="I315" s="4">
        <f t="shared" si="32"/>
        <v>0</v>
      </c>
      <c r="J315" s="4">
        <f t="shared" si="33"/>
        <v>0</v>
      </c>
      <c r="K315" s="4">
        <f t="shared" si="34"/>
        <v>1</v>
      </c>
      <c r="L315" s="4" t="s">
        <v>498</v>
      </c>
      <c r="M315" s="4">
        <f>INDEX(Dim_Product!$C$2:$C$4,MATCH(F315,Dim_Product!$A$2:$A$4,0))+0.35</f>
        <v>250.35</v>
      </c>
      <c r="N315" s="4">
        <f>IF(AND(M315&gt;=INDEX(Dim_Product!$C$2:$C$4,MATCH(F315,Dim_Product!$A$2:$A$4,0))-INDEX(Dim_Product!$D$2:$D$4,MATCH(F315,Dim_Product!$A$2:$A$4,0)),M315&lt;=INDEX(Dim_Product!$C$2:$C$4,MATCH(F315,Dim_Product!$A$2:$A$4,0))+INDEX(Dim_Product!$D$2:$D$4,MATCH(F315,Dim_Product!$A$2:$A$4,0))),G315-H315,G315-H315-1)</f>
        <v>23</v>
      </c>
      <c r="O315" s="4">
        <f t="shared" si="35"/>
        <v>1</v>
      </c>
      <c r="P315" s="4">
        <f>INDEX(Dim_Product!$G$2:$G$4,MATCH(F315,Dim_Product!$A$2:$A$4,0))+-0.14</f>
        <v>69.86</v>
      </c>
      <c r="Q315" s="4">
        <f>IF(AND(P315&gt;=INDEX(Dim_Product!$G$2:$G$4,MATCH(F315,Dim_Product!$A$2:$A$4,0))-INDEX(Dim_Product!$H$2:$H$4,MATCH(F315,Dim_Product!$A$2:$A$4,0)),P315&lt;=INDEX(Dim_Product!$G$2:$G$4,MATCH(F315,Dim_Product!$A$2:$A$4,0))+INDEX(Dim_Product!$H$2:$H$4,MATCH(F315,Dim_Product!$A$2:$A$4,0))),G315-H315,G315-H315-1)</f>
        <v>23</v>
      </c>
      <c r="R315" s="4">
        <f t="shared" si="36"/>
        <v>1</v>
      </c>
      <c r="S315" s="4">
        <f>INDEX(Dim_Product!$K$2:$K$4,MATCH(F315,Dim_Product!$A$2:$A$4,0))+0.39</f>
        <v>120.39</v>
      </c>
      <c r="T315" s="4">
        <f>IF(AND(S315&gt;=INDEX(Dim_Product!$K$2:$K$4,MATCH(F315,Dim_Product!$A$2:$A$4,0))-INDEX(Dim_Product!$L$2:$L$4,MATCH(F315,Dim_Product!$A$2:$A$4,0)),S315&lt;=INDEX(Dim_Product!$K$2:$K$4,MATCH(F315,Dim_Product!$A$2:$A$4,0))+INDEX(Dim_Product!$L$2:$L$4,MATCH(F315,Dim_Product!$A$2:$A$4,0))),G315-H315,G315-H315-1)</f>
        <v>23</v>
      </c>
      <c r="U315" s="4">
        <f t="shared" si="37"/>
        <v>1</v>
      </c>
      <c r="V315" s="4">
        <f t="shared" si="38"/>
        <v>4.1666666666666664E-2</v>
      </c>
      <c r="W315" s="16">
        <f t="shared" si="39"/>
        <v>0.95833333333333337</v>
      </c>
    </row>
    <row r="316" spans="1:23" x14ac:dyDescent="0.25">
      <c r="A316" s="15" t="s">
        <v>817</v>
      </c>
      <c r="B316" s="4">
        <f>Fact_Production_Hourly!B316</f>
        <v>20260702</v>
      </c>
      <c r="C316" s="4">
        <f>Fact_Production_Hourly!C316</f>
        <v>20</v>
      </c>
      <c r="D316" s="4" t="str">
        <f>Fact_Production_Hourly!D316</f>
        <v>M7</v>
      </c>
      <c r="E316" s="4" t="str">
        <f>Fact_Production_Hourly!E316</f>
        <v>B-PM</v>
      </c>
      <c r="F316" s="4" t="str">
        <f>Fact_Production_Hourly!F316</f>
        <v>C</v>
      </c>
      <c r="G316" s="4">
        <f>INDEX(Dim_Machine!$D$2:$D$8,MATCH(D316,Dim_Machine!$A$2:$A$8,0))*2</f>
        <v>48</v>
      </c>
      <c r="H316" s="4">
        <f>ROUND(G316*0.0119,0)</f>
        <v>1</v>
      </c>
      <c r="I316" s="4">
        <f t="shared" si="32"/>
        <v>0</v>
      </c>
      <c r="J316" s="4">
        <f t="shared" si="33"/>
        <v>0</v>
      </c>
      <c r="K316" s="4">
        <f t="shared" si="34"/>
        <v>1</v>
      </c>
      <c r="L316" s="4" t="s">
        <v>503</v>
      </c>
      <c r="M316" s="4">
        <f>INDEX(Dim_Product!$C$2:$C$4,MATCH(F316,Dim_Product!$A$2:$A$4,0))+0.71</f>
        <v>200.71</v>
      </c>
      <c r="N316" s="4">
        <f>IF(AND(M316&gt;=INDEX(Dim_Product!$C$2:$C$4,MATCH(F316,Dim_Product!$A$2:$A$4,0))-INDEX(Dim_Product!$D$2:$D$4,MATCH(F316,Dim_Product!$A$2:$A$4,0)),M316&lt;=INDEX(Dim_Product!$C$2:$C$4,MATCH(F316,Dim_Product!$A$2:$A$4,0))+INDEX(Dim_Product!$D$2:$D$4,MATCH(F316,Dim_Product!$A$2:$A$4,0))),G316-H316,G316-H316-1)</f>
        <v>47</v>
      </c>
      <c r="O316" s="4">
        <f t="shared" si="35"/>
        <v>1</v>
      </c>
      <c r="P316" s="4">
        <f>INDEX(Dim_Product!$G$2:$G$4,MATCH(F316,Dim_Product!$A$2:$A$4,0))+0.03</f>
        <v>65.03</v>
      </c>
      <c r="Q316" s="4">
        <f>IF(AND(P316&gt;=INDEX(Dim_Product!$G$2:$G$4,MATCH(F316,Dim_Product!$A$2:$A$4,0))-INDEX(Dim_Product!$H$2:$H$4,MATCH(F316,Dim_Product!$A$2:$A$4,0)),P316&lt;=INDEX(Dim_Product!$G$2:$G$4,MATCH(F316,Dim_Product!$A$2:$A$4,0))+INDEX(Dim_Product!$H$2:$H$4,MATCH(F316,Dim_Product!$A$2:$A$4,0))),G316-H316,G316-H316-1)</f>
        <v>47</v>
      </c>
      <c r="R316" s="4">
        <f t="shared" si="36"/>
        <v>1</v>
      </c>
      <c r="S316" s="4">
        <f>INDEX(Dim_Product!$K$2:$K$4,MATCH(F316,Dim_Product!$A$2:$A$4,0))+0.04</f>
        <v>110.04</v>
      </c>
      <c r="T316" s="4">
        <f>IF(AND(S316&gt;=INDEX(Dim_Product!$K$2:$K$4,MATCH(F316,Dim_Product!$A$2:$A$4,0))-INDEX(Dim_Product!$L$2:$L$4,MATCH(F316,Dim_Product!$A$2:$A$4,0)),S316&lt;=INDEX(Dim_Product!$K$2:$K$4,MATCH(F316,Dim_Product!$A$2:$A$4,0))+INDEX(Dim_Product!$L$2:$L$4,MATCH(F316,Dim_Product!$A$2:$A$4,0))),G316-H316,G316-H316-1)</f>
        <v>47</v>
      </c>
      <c r="U316" s="4">
        <f t="shared" si="37"/>
        <v>1</v>
      </c>
      <c r="V316" s="4">
        <f t="shared" si="38"/>
        <v>2.0833333333333332E-2</v>
      </c>
      <c r="W316" s="16">
        <f t="shared" si="39"/>
        <v>0.97916666666666663</v>
      </c>
    </row>
    <row r="317" spans="1:23" x14ac:dyDescent="0.25">
      <c r="A317" s="15" t="s">
        <v>818</v>
      </c>
      <c r="B317" s="4">
        <f>Fact_Production_Hourly!B317</f>
        <v>20260702</v>
      </c>
      <c r="C317" s="4">
        <f>Fact_Production_Hourly!C317</f>
        <v>21</v>
      </c>
      <c r="D317" s="4" t="str">
        <f>Fact_Production_Hourly!D317</f>
        <v>M1</v>
      </c>
      <c r="E317" s="4" t="str">
        <f>Fact_Production_Hourly!E317</f>
        <v>B-PM</v>
      </c>
      <c r="F317" s="4" t="str">
        <f>Fact_Production_Hourly!F317</f>
        <v>B</v>
      </c>
      <c r="G317" s="4">
        <f>INDEX(Dim_Machine!$D$2:$D$8,MATCH(D317,Dim_Machine!$A$2:$A$8,0))*2</f>
        <v>32</v>
      </c>
      <c r="H317" s="4">
        <f>ROUND(G317*0.0157,0)</f>
        <v>1</v>
      </c>
      <c r="I317" s="4">
        <f t="shared" si="32"/>
        <v>0</v>
      </c>
      <c r="J317" s="4">
        <f t="shared" si="33"/>
        <v>0</v>
      </c>
      <c r="K317" s="4">
        <f t="shared" si="34"/>
        <v>1</v>
      </c>
      <c r="L317" s="4" t="s">
        <v>498</v>
      </c>
      <c r="M317" s="4">
        <f>INDEX(Dim_Product!$C$2:$C$4,MATCH(F317,Dim_Product!$A$2:$A$4,0))+0.61</f>
        <v>300.61</v>
      </c>
      <c r="N317" s="4">
        <f>IF(AND(M317&gt;=INDEX(Dim_Product!$C$2:$C$4,MATCH(F317,Dim_Product!$A$2:$A$4,0))-INDEX(Dim_Product!$D$2:$D$4,MATCH(F317,Dim_Product!$A$2:$A$4,0)),M317&lt;=INDEX(Dim_Product!$C$2:$C$4,MATCH(F317,Dim_Product!$A$2:$A$4,0))+INDEX(Dim_Product!$D$2:$D$4,MATCH(F317,Dim_Product!$A$2:$A$4,0))),G317-H317,G317-H317-1)</f>
        <v>31</v>
      </c>
      <c r="O317" s="4">
        <f t="shared" si="35"/>
        <v>1</v>
      </c>
      <c r="P317" s="4">
        <f>INDEX(Dim_Product!$G$2:$G$4,MATCH(F317,Dim_Product!$A$2:$A$4,0))+-0.22</f>
        <v>74.78</v>
      </c>
      <c r="Q317" s="4">
        <f>IF(AND(P317&gt;=INDEX(Dim_Product!$G$2:$G$4,MATCH(F317,Dim_Product!$A$2:$A$4,0))-INDEX(Dim_Product!$H$2:$H$4,MATCH(F317,Dim_Product!$A$2:$A$4,0)),P317&lt;=INDEX(Dim_Product!$G$2:$G$4,MATCH(F317,Dim_Product!$A$2:$A$4,0))+INDEX(Dim_Product!$H$2:$H$4,MATCH(F317,Dim_Product!$A$2:$A$4,0))),G317-H317,G317-H317-1)</f>
        <v>31</v>
      </c>
      <c r="R317" s="4">
        <f t="shared" si="36"/>
        <v>1</v>
      </c>
      <c r="S317" s="4">
        <f>INDEX(Dim_Product!$K$2:$K$4,MATCH(F317,Dim_Product!$A$2:$A$4,0))+-0.39</f>
        <v>129.61000000000001</v>
      </c>
      <c r="T317" s="4">
        <f>IF(AND(S317&gt;=INDEX(Dim_Product!$K$2:$K$4,MATCH(F317,Dim_Product!$A$2:$A$4,0))-INDEX(Dim_Product!$L$2:$L$4,MATCH(F317,Dim_Product!$A$2:$A$4,0)),S317&lt;=INDEX(Dim_Product!$K$2:$K$4,MATCH(F317,Dim_Product!$A$2:$A$4,0))+INDEX(Dim_Product!$L$2:$L$4,MATCH(F317,Dim_Product!$A$2:$A$4,0))),G317-H317,G317-H317-1)</f>
        <v>31</v>
      </c>
      <c r="U317" s="4">
        <f t="shared" si="37"/>
        <v>1</v>
      </c>
      <c r="V317" s="4">
        <f t="shared" si="38"/>
        <v>3.125E-2</v>
      </c>
      <c r="W317" s="16">
        <f t="shared" si="39"/>
        <v>0.96875</v>
      </c>
    </row>
    <row r="318" spans="1:23" x14ac:dyDescent="0.25">
      <c r="A318" s="15" t="s">
        <v>819</v>
      </c>
      <c r="B318" s="4">
        <f>Fact_Production_Hourly!B318</f>
        <v>20260702</v>
      </c>
      <c r="C318" s="4">
        <f>Fact_Production_Hourly!C318</f>
        <v>21</v>
      </c>
      <c r="D318" s="4" t="str">
        <f>Fact_Production_Hourly!D318</f>
        <v>M2</v>
      </c>
      <c r="E318" s="4" t="str">
        <f>Fact_Production_Hourly!E318</f>
        <v>B-PM</v>
      </c>
      <c r="F318" s="4" t="str">
        <f>Fact_Production_Hourly!F318</f>
        <v>A</v>
      </c>
      <c r="G318" s="4">
        <f>INDEX(Dim_Machine!$D$2:$D$8,MATCH(D318,Dim_Machine!$A$2:$A$8,0))*2</f>
        <v>48</v>
      </c>
      <c r="H318" s="4">
        <f>ROUND(G318*0.0598,0)</f>
        <v>3</v>
      </c>
      <c r="I318" s="4">
        <f t="shared" si="32"/>
        <v>0</v>
      </c>
      <c r="J318" s="4">
        <f t="shared" si="33"/>
        <v>1</v>
      </c>
      <c r="K318" s="4">
        <f t="shared" si="34"/>
        <v>2</v>
      </c>
      <c r="L318" s="4" t="s">
        <v>500</v>
      </c>
      <c r="M318" s="4">
        <f>INDEX(Dim_Product!$C$2:$C$4,MATCH(F318,Dim_Product!$A$2:$A$4,0))+-0.74</f>
        <v>249.26</v>
      </c>
      <c r="N318" s="4">
        <f>IF(AND(M318&gt;=INDEX(Dim_Product!$C$2:$C$4,MATCH(F318,Dim_Product!$A$2:$A$4,0))-INDEX(Dim_Product!$D$2:$D$4,MATCH(F318,Dim_Product!$A$2:$A$4,0)),M318&lt;=INDEX(Dim_Product!$C$2:$C$4,MATCH(F318,Dim_Product!$A$2:$A$4,0))+INDEX(Dim_Product!$D$2:$D$4,MATCH(F318,Dim_Product!$A$2:$A$4,0))),G318-H318,G318-H318-1)</f>
        <v>45</v>
      </c>
      <c r="O318" s="4">
        <f t="shared" si="35"/>
        <v>3</v>
      </c>
      <c r="P318" s="4">
        <f>INDEX(Dim_Product!$G$2:$G$4,MATCH(F318,Dim_Product!$A$2:$A$4,0))+0.19</f>
        <v>70.19</v>
      </c>
      <c r="Q318" s="4">
        <f>IF(AND(P318&gt;=INDEX(Dim_Product!$G$2:$G$4,MATCH(F318,Dim_Product!$A$2:$A$4,0))-INDEX(Dim_Product!$H$2:$H$4,MATCH(F318,Dim_Product!$A$2:$A$4,0)),P318&lt;=INDEX(Dim_Product!$G$2:$G$4,MATCH(F318,Dim_Product!$A$2:$A$4,0))+INDEX(Dim_Product!$H$2:$H$4,MATCH(F318,Dim_Product!$A$2:$A$4,0))),G318-H318,G318-H318-1)</f>
        <v>45</v>
      </c>
      <c r="R318" s="4">
        <f t="shared" si="36"/>
        <v>3</v>
      </c>
      <c r="S318" s="4">
        <f>INDEX(Dim_Product!$K$2:$K$4,MATCH(F318,Dim_Product!$A$2:$A$4,0))+-0.1</f>
        <v>119.9</v>
      </c>
      <c r="T318" s="4">
        <f>IF(AND(S318&gt;=INDEX(Dim_Product!$K$2:$K$4,MATCH(F318,Dim_Product!$A$2:$A$4,0))-INDEX(Dim_Product!$L$2:$L$4,MATCH(F318,Dim_Product!$A$2:$A$4,0)),S318&lt;=INDEX(Dim_Product!$K$2:$K$4,MATCH(F318,Dim_Product!$A$2:$A$4,0))+INDEX(Dim_Product!$L$2:$L$4,MATCH(F318,Dim_Product!$A$2:$A$4,0))),G318-H318,G318-H318-1)</f>
        <v>45</v>
      </c>
      <c r="U318" s="4">
        <f t="shared" si="37"/>
        <v>3</v>
      </c>
      <c r="V318" s="4">
        <f t="shared" si="38"/>
        <v>6.25E-2</v>
      </c>
      <c r="W318" s="16">
        <f t="shared" si="39"/>
        <v>0.9375</v>
      </c>
    </row>
    <row r="319" spans="1:23" x14ac:dyDescent="0.25">
      <c r="A319" s="15" t="s">
        <v>820</v>
      </c>
      <c r="B319" s="4">
        <f>Fact_Production_Hourly!B319</f>
        <v>20260702</v>
      </c>
      <c r="C319" s="4">
        <f>Fact_Production_Hourly!C319</f>
        <v>21</v>
      </c>
      <c r="D319" s="4" t="str">
        <f>Fact_Production_Hourly!D319</f>
        <v>M3</v>
      </c>
      <c r="E319" s="4" t="str">
        <f>Fact_Production_Hourly!E319</f>
        <v>B-PM</v>
      </c>
      <c r="F319" s="4" t="str">
        <f>Fact_Production_Hourly!F319</f>
        <v>A</v>
      </c>
      <c r="G319" s="4">
        <f>INDEX(Dim_Machine!$D$2:$D$8,MATCH(D319,Dim_Machine!$A$2:$A$8,0))*2</f>
        <v>24</v>
      </c>
      <c r="H319" s="4">
        <f>ROUND(G319*0.0478,0)</f>
        <v>1</v>
      </c>
      <c r="I319" s="4">
        <f t="shared" si="32"/>
        <v>0</v>
      </c>
      <c r="J319" s="4">
        <f t="shared" si="33"/>
        <v>0</v>
      </c>
      <c r="K319" s="4">
        <f t="shared" si="34"/>
        <v>1</v>
      </c>
      <c r="L319" s="4" t="s">
        <v>520</v>
      </c>
      <c r="M319" s="4">
        <f>INDEX(Dim_Product!$C$2:$C$4,MATCH(F319,Dim_Product!$A$2:$A$4,0))+-0.83</f>
        <v>249.17</v>
      </c>
      <c r="N319" s="4">
        <f>IF(AND(M319&gt;=INDEX(Dim_Product!$C$2:$C$4,MATCH(F319,Dim_Product!$A$2:$A$4,0))-INDEX(Dim_Product!$D$2:$D$4,MATCH(F319,Dim_Product!$A$2:$A$4,0)),M319&lt;=INDEX(Dim_Product!$C$2:$C$4,MATCH(F319,Dim_Product!$A$2:$A$4,0))+INDEX(Dim_Product!$D$2:$D$4,MATCH(F319,Dim_Product!$A$2:$A$4,0))),G319-H319,G319-H319-1)</f>
        <v>23</v>
      </c>
      <c r="O319" s="4">
        <f t="shared" si="35"/>
        <v>1</v>
      </c>
      <c r="P319" s="4">
        <f>INDEX(Dim_Product!$G$2:$G$4,MATCH(F319,Dim_Product!$A$2:$A$4,0))+0.05</f>
        <v>70.05</v>
      </c>
      <c r="Q319" s="4">
        <f>IF(AND(P319&gt;=INDEX(Dim_Product!$G$2:$G$4,MATCH(F319,Dim_Product!$A$2:$A$4,0))-INDEX(Dim_Product!$H$2:$H$4,MATCH(F319,Dim_Product!$A$2:$A$4,0)),P319&lt;=INDEX(Dim_Product!$G$2:$G$4,MATCH(F319,Dim_Product!$A$2:$A$4,0))+INDEX(Dim_Product!$H$2:$H$4,MATCH(F319,Dim_Product!$A$2:$A$4,0))),G319-H319,G319-H319-1)</f>
        <v>23</v>
      </c>
      <c r="R319" s="4">
        <f t="shared" si="36"/>
        <v>1</v>
      </c>
      <c r="S319" s="4">
        <f>INDEX(Dim_Product!$K$2:$K$4,MATCH(F319,Dim_Product!$A$2:$A$4,0))+0.33</f>
        <v>120.33</v>
      </c>
      <c r="T319" s="4">
        <f>IF(AND(S319&gt;=INDEX(Dim_Product!$K$2:$K$4,MATCH(F319,Dim_Product!$A$2:$A$4,0))-INDEX(Dim_Product!$L$2:$L$4,MATCH(F319,Dim_Product!$A$2:$A$4,0)),S319&lt;=INDEX(Dim_Product!$K$2:$K$4,MATCH(F319,Dim_Product!$A$2:$A$4,0))+INDEX(Dim_Product!$L$2:$L$4,MATCH(F319,Dim_Product!$A$2:$A$4,0))),G319-H319,G319-H319-1)</f>
        <v>23</v>
      </c>
      <c r="U319" s="4">
        <f t="shared" si="37"/>
        <v>1</v>
      </c>
      <c r="V319" s="4">
        <f t="shared" si="38"/>
        <v>4.1666666666666664E-2</v>
      </c>
      <c r="W319" s="16">
        <f t="shared" si="39"/>
        <v>0.95833333333333337</v>
      </c>
    </row>
    <row r="320" spans="1:23" x14ac:dyDescent="0.25">
      <c r="A320" s="15" t="s">
        <v>821</v>
      </c>
      <c r="B320" s="4">
        <f>Fact_Production_Hourly!B320</f>
        <v>20260702</v>
      </c>
      <c r="C320" s="4">
        <f>Fact_Production_Hourly!C320</f>
        <v>21</v>
      </c>
      <c r="D320" s="4" t="str">
        <f>Fact_Production_Hourly!D320</f>
        <v>M4</v>
      </c>
      <c r="E320" s="4" t="str">
        <f>Fact_Production_Hourly!E320</f>
        <v>B-PM</v>
      </c>
      <c r="F320" s="4" t="str">
        <f>Fact_Production_Hourly!F320</f>
        <v>C</v>
      </c>
      <c r="G320" s="4">
        <f>INDEX(Dim_Machine!$D$2:$D$8,MATCH(D320,Dim_Machine!$A$2:$A$8,0))*2</f>
        <v>48</v>
      </c>
      <c r="H320" s="4">
        <f>ROUND(G320*0.0145,0)</f>
        <v>1</v>
      </c>
      <c r="I320" s="4">
        <f t="shared" si="32"/>
        <v>0</v>
      </c>
      <c r="J320" s="4">
        <f t="shared" si="33"/>
        <v>0</v>
      </c>
      <c r="K320" s="4">
        <f t="shared" si="34"/>
        <v>1</v>
      </c>
      <c r="L320" s="4" t="s">
        <v>498</v>
      </c>
      <c r="M320" s="4">
        <f>INDEX(Dim_Product!$C$2:$C$4,MATCH(F320,Dim_Product!$A$2:$A$4,0))+-0.6</f>
        <v>199.4</v>
      </c>
      <c r="N320" s="4">
        <f>IF(AND(M320&gt;=INDEX(Dim_Product!$C$2:$C$4,MATCH(F320,Dim_Product!$A$2:$A$4,0))-INDEX(Dim_Product!$D$2:$D$4,MATCH(F320,Dim_Product!$A$2:$A$4,0)),M320&lt;=INDEX(Dim_Product!$C$2:$C$4,MATCH(F320,Dim_Product!$A$2:$A$4,0))+INDEX(Dim_Product!$D$2:$D$4,MATCH(F320,Dim_Product!$A$2:$A$4,0))),G320-H320,G320-H320-1)</f>
        <v>47</v>
      </c>
      <c r="O320" s="4">
        <f t="shared" si="35"/>
        <v>1</v>
      </c>
      <c r="P320" s="4">
        <f>INDEX(Dim_Product!$G$2:$G$4,MATCH(F320,Dim_Product!$A$2:$A$4,0))+0.09</f>
        <v>65.09</v>
      </c>
      <c r="Q320" s="4">
        <f>IF(AND(P320&gt;=INDEX(Dim_Product!$G$2:$G$4,MATCH(F320,Dim_Product!$A$2:$A$4,0))-INDEX(Dim_Product!$H$2:$H$4,MATCH(F320,Dim_Product!$A$2:$A$4,0)),P320&lt;=INDEX(Dim_Product!$G$2:$G$4,MATCH(F320,Dim_Product!$A$2:$A$4,0))+INDEX(Dim_Product!$H$2:$H$4,MATCH(F320,Dim_Product!$A$2:$A$4,0))),G320-H320,G320-H320-1)</f>
        <v>47</v>
      </c>
      <c r="R320" s="4">
        <f t="shared" si="36"/>
        <v>1</v>
      </c>
      <c r="S320" s="4">
        <f>INDEX(Dim_Product!$K$2:$K$4,MATCH(F320,Dim_Product!$A$2:$A$4,0))+0.25</f>
        <v>110.25</v>
      </c>
      <c r="T320" s="4">
        <f>IF(AND(S320&gt;=INDEX(Dim_Product!$K$2:$K$4,MATCH(F320,Dim_Product!$A$2:$A$4,0))-INDEX(Dim_Product!$L$2:$L$4,MATCH(F320,Dim_Product!$A$2:$A$4,0)),S320&lt;=INDEX(Dim_Product!$K$2:$K$4,MATCH(F320,Dim_Product!$A$2:$A$4,0))+INDEX(Dim_Product!$L$2:$L$4,MATCH(F320,Dim_Product!$A$2:$A$4,0))),G320-H320,G320-H320-1)</f>
        <v>47</v>
      </c>
      <c r="U320" s="4">
        <f t="shared" si="37"/>
        <v>1</v>
      </c>
      <c r="V320" s="4">
        <f t="shared" si="38"/>
        <v>2.0833333333333332E-2</v>
      </c>
      <c r="W320" s="16">
        <f t="shared" si="39"/>
        <v>0.97916666666666663</v>
      </c>
    </row>
    <row r="321" spans="1:23" x14ac:dyDescent="0.25">
      <c r="A321" s="15" t="s">
        <v>822</v>
      </c>
      <c r="B321" s="4">
        <f>Fact_Production_Hourly!B321</f>
        <v>20260702</v>
      </c>
      <c r="C321" s="4">
        <f>Fact_Production_Hourly!C321</f>
        <v>21</v>
      </c>
      <c r="D321" s="4" t="str">
        <f>Fact_Production_Hourly!D321</f>
        <v>M5</v>
      </c>
      <c r="E321" s="4" t="str">
        <f>Fact_Production_Hourly!E321</f>
        <v>B-PM</v>
      </c>
      <c r="F321" s="4" t="str">
        <f>Fact_Production_Hourly!F321</f>
        <v>A</v>
      </c>
      <c r="G321" s="4">
        <f>INDEX(Dim_Machine!$D$2:$D$8,MATCH(D321,Dim_Machine!$A$2:$A$8,0))*2</f>
        <v>32</v>
      </c>
      <c r="H321" s="4">
        <f>ROUND(G321*0.0155,0)</f>
        <v>0</v>
      </c>
      <c r="I321" s="4">
        <f t="shared" si="32"/>
        <v>0</v>
      </c>
      <c r="J321" s="4">
        <f t="shared" si="33"/>
        <v>0</v>
      </c>
      <c r="K321" s="4">
        <f t="shared" si="34"/>
        <v>0</v>
      </c>
      <c r="L321" s="4" t="s">
        <v>517</v>
      </c>
      <c r="M321" s="4">
        <f>INDEX(Dim_Product!$C$2:$C$4,MATCH(F321,Dim_Product!$A$2:$A$4,0))+-0.75</f>
        <v>249.25</v>
      </c>
      <c r="N321" s="4">
        <f>IF(AND(M321&gt;=INDEX(Dim_Product!$C$2:$C$4,MATCH(F321,Dim_Product!$A$2:$A$4,0))-INDEX(Dim_Product!$D$2:$D$4,MATCH(F321,Dim_Product!$A$2:$A$4,0)),M321&lt;=INDEX(Dim_Product!$C$2:$C$4,MATCH(F321,Dim_Product!$A$2:$A$4,0))+INDEX(Dim_Product!$D$2:$D$4,MATCH(F321,Dim_Product!$A$2:$A$4,0))),G321-H321,G321-H321-1)</f>
        <v>32</v>
      </c>
      <c r="O321" s="4">
        <f t="shared" si="35"/>
        <v>0</v>
      </c>
      <c r="P321" s="4">
        <f>INDEX(Dim_Product!$G$2:$G$4,MATCH(F321,Dim_Product!$A$2:$A$4,0))+0.27</f>
        <v>70.27</v>
      </c>
      <c r="Q321" s="4">
        <f>IF(AND(P321&gt;=INDEX(Dim_Product!$G$2:$G$4,MATCH(F321,Dim_Product!$A$2:$A$4,0))-INDEX(Dim_Product!$H$2:$H$4,MATCH(F321,Dim_Product!$A$2:$A$4,0)),P321&lt;=INDEX(Dim_Product!$G$2:$G$4,MATCH(F321,Dim_Product!$A$2:$A$4,0))+INDEX(Dim_Product!$H$2:$H$4,MATCH(F321,Dim_Product!$A$2:$A$4,0))),G321-H321,G321-H321-1)</f>
        <v>32</v>
      </c>
      <c r="R321" s="4">
        <f t="shared" si="36"/>
        <v>0</v>
      </c>
      <c r="S321" s="4">
        <f>INDEX(Dim_Product!$K$2:$K$4,MATCH(F321,Dim_Product!$A$2:$A$4,0))+-0.36</f>
        <v>119.64</v>
      </c>
      <c r="T321" s="4">
        <f>IF(AND(S321&gt;=INDEX(Dim_Product!$K$2:$K$4,MATCH(F321,Dim_Product!$A$2:$A$4,0))-INDEX(Dim_Product!$L$2:$L$4,MATCH(F321,Dim_Product!$A$2:$A$4,0)),S321&lt;=INDEX(Dim_Product!$K$2:$K$4,MATCH(F321,Dim_Product!$A$2:$A$4,0))+INDEX(Dim_Product!$L$2:$L$4,MATCH(F321,Dim_Product!$A$2:$A$4,0))),G321-H321,G321-H321-1)</f>
        <v>32</v>
      </c>
      <c r="U321" s="4">
        <f t="shared" si="37"/>
        <v>0</v>
      </c>
      <c r="V321" s="4">
        <f t="shared" si="38"/>
        <v>0</v>
      </c>
      <c r="W321" s="16">
        <f t="shared" si="39"/>
        <v>1</v>
      </c>
    </row>
    <row r="322" spans="1:23" x14ac:dyDescent="0.25">
      <c r="A322" s="15" t="s">
        <v>823</v>
      </c>
      <c r="B322" s="4">
        <f>Fact_Production_Hourly!B322</f>
        <v>20260702</v>
      </c>
      <c r="C322" s="4">
        <f>Fact_Production_Hourly!C322</f>
        <v>21</v>
      </c>
      <c r="D322" s="4" t="str">
        <f>Fact_Production_Hourly!D322</f>
        <v>M6</v>
      </c>
      <c r="E322" s="4" t="str">
        <f>Fact_Production_Hourly!E322</f>
        <v>B-PM</v>
      </c>
      <c r="F322" s="4" t="str">
        <f>Fact_Production_Hourly!F322</f>
        <v>A</v>
      </c>
      <c r="G322" s="4">
        <f>INDEX(Dim_Machine!$D$2:$D$8,MATCH(D322,Dim_Machine!$A$2:$A$8,0))*2</f>
        <v>24</v>
      </c>
      <c r="H322" s="4">
        <f>ROUND(G322*0.0654,0)</f>
        <v>2</v>
      </c>
      <c r="I322" s="4">
        <f t="shared" ref="I322:I337" si="40">ROUND(H322*0.15,0)</f>
        <v>0</v>
      </c>
      <c r="J322" s="4">
        <f t="shared" ref="J322:J337" si="41">ROUND(H322*0.45,0)</f>
        <v>1</v>
      </c>
      <c r="K322" s="4">
        <f t="shared" ref="K322:K337" si="42">MAX(H322-I322-J322,0)</f>
        <v>1</v>
      </c>
      <c r="L322" s="4" t="s">
        <v>503</v>
      </c>
      <c r="M322" s="4">
        <f>INDEX(Dim_Product!$C$2:$C$4,MATCH(F322,Dim_Product!$A$2:$A$4,0))+0.64</f>
        <v>250.64</v>
      </c>
      <c r="N322" s="4">
        <f>IF(AND(M322&gt;=INDEX(Dim_Product!$C$2:$C$4,MATCH(F322,Dim_Product!$A$2:$A$4,0))-INDEX(Dim_Product!$D$2:$D$4,MATCH(F322,Dim_Product!$A$2:$A$4,0)),M322&lt;=INDEX(Dim_Product!$C$2:$C$4,MATCH(F322,Dim_Product!$A$2:$A$4,0))+INDEX(Dim_Product!$D$2:$D$4,MATCH(F322,Dim_Product!$A$2:$A$4,0))),G322-H322,G322-H322-1)</f>
        <v>22</v>
      </c>
      <c r="O322" s="4">
        <f t="shared" ref="O322:O337" si="43">G322-N322</f>
        <v>2</v>
      </c>
      <c r="P322" s="4">
        <f>INDEX(Dim_Product!$G$2:$G$4,MATCH(F322,Dim_Product!$A$2:$A$4,0))+-0.06</f>
        <v>69.94</v>
      </c>
      <c r="Q322" s="4">
        <f>IF(AND(P322&gt;=INDEX(Dim_Product!$G$2:$G$4,MATCH(F322,Dim_Product!$A$2:$A$4,0))-INDEX(Dim_Product!$H$2:$H$4,MATCH(F322,Dim_Product!$A$2:$A$4,0)),P322&lt;=INDEX(Dim_Product!$G$2:$G$4,MATCH(F322,Dim_Product!$A$2:$A$4,0))+INDEX(Dim_Product!$H$2:$H$4,MATCH(F322,Dim_Product!$A$2:$A$4,0))),G322-H322,G322-H322-1)</f>
        <v>22</v>
      </c>
      <c r="R322" s="4">
        <f t="shared" ref="R322:R337" si="44">G322-Q322</f>
        <v>2</v>
      </c>
      <c r="S322" s="4">
        <f>INDEX(Dim_Product!$K$2:$K$4,MATCH(F322,Dim_Product!$A$2:$A$4,0))+-0.38</f>
        <v>119.62</v>
      </c>
      <c r="T322" s="4">
        <f>IF(AND(S322&gt;=INDEX(Dim_Product!$K$2:$K$4,MATCH(F322,Dim_Product!$A$2:$A$4,0))-INDEX(Dim_Product!$L$2:$L$4,MATCH(F322,Dim_Product!$A$2:$A$4,0)),S322&lt;=INDEX(Dim_Product!$K$2:$K$4,MATCH(F322,Dim_Product!$A$2:$A$4,0))+INDEX(Dim_Product!$L$2:$L$4,MATCH(F322,Dim_Product!$A$2:$A$4,0))),G322-H322,G322-H322-1)</f>
        <v>22</v>
      </c>
      <c r="U322" s="4">
        <f t="shared" ref="U322:U337" si="45">G322-T322</f>
        <v>2</v>
      </c>
      <c r="V322" s="4">
        <f t="shared" ref="V322:V337" si="46">IFERROR(H322/G322,0)</f>
        <v>8.3333333333333329E-2</v>
      </c>
      <c r="W322" s="16">
        <f t="shared" ref="W322:W337" si="47">1-V322</f>
        <v>0.91666666666666663</v>
      </c>
    </row>
    <row r="323" spans="1:23" x14ac:dyDescent="0.25">
      <c r="A323" s="15" t="s">
        <v>824</v>
      </c>
      <c r="B323" s="4">
        <f>Fact_Production_Hourly!B323</f>
        <v>20260702</v>
      </c>
      <c r="C323" s="4">
        <f>Fact_Production_Hourly!C323</f>
        <v>21</v>
      </c>
      <c r="D323" s="4" t="str">
        <f>Fact_Production_Hourly!D323</f>
        <v>M7</v>
      </c>
      <c r="E323" s="4" t="str">
        <f>Fact_Production_Hourly!E323</f>
        <v>B-PM</v>
      </c>
      <c r="F323" s="4" t="str">
        <f>Fact_Production_Hourly!F323</f>
        <v>C</v>
      </c>
      <c r="G323" s="4">
        <f>INDEX(Dim_Machine!$D$2:$D$8,MATCH(D323,Dim_Machine!$A$2:$A$8,0))*2</f>
        <v>48</v>
      </c>
      <c r="H323" s="4">
        <f>ROUND(G323*0.051,0)</f>
        <v>2</v>
      </c>
      <c r="I323" s="4">
        <f t="shared" si="40"/>
        <v>0</v>
      </c>
      <c r="J323" s="4">
        <f t="shared" si="41"/>
        <v>1</v>
      </c>
      <c r="K323" s="4">
        <f t="shared" si="42"/>
        <v>1</v>
      </c>
      <c r="L323" s="4" t="s">
        <v>500</v>
      </c>
      <c r="M323" s="4">
        <f>INDEX(Dim_Product!$C$2:$C$4,MATCH(F323,Dim_Product!$A$2:$A$4,0))+-0.29</f>
        <v>199.71</v>
      </c>
      <c r="N323" s="4">
        <f>IF(AND(M323&gt;=INDEX(Dim_Product!$C$2:$C$4,MATCH(F323,Dim_Product!$A$2:$A$4,0))-INDEX(Dim_Product!$D$2:$D$4,MATCH(F323,Dim_Product!$A$2:$A$4,0)),M323&lt;=INDEX(Dim_Product!$C$2:$C$4,MATCH(F323,Dim_Product!$A$2:$A$4,0))+INDEX(Dim_Product!$D$2:$D$4,MATCH(F323,Dim_Product!$A$2:$A$4,0))),G323-H323,G323-H323-1)</f>
        <v>46</v>
      </c>
      <c r="O323" s="4">
        <f t="shared" si="43"/>
        <v>2</v>
      </c>
      <c r="P323" s="4">
        <f>INDEX(Dim_Product!$G$2:$G$4,MATCH(F323,Dim_Product!$A$2:$A$4,0))+0.24</f>
        <v>65.239999999999995</v>
      </c>
      <c r="Q323" s="4">
        <f>IF(AND(P323&gt;=INDEX(Dim_Product!$G$2:$G$4,MATCH(F323,Dim_Product!$A$2:$A$4,0))-INDEX(Dim_Product!$H$2:$H$4,MATCH(F323,Dim_Product!$A$2:$A$4,0)),P323&lt;=INDEX(Dim_Product!$G$2:$G$4,MATCH(F323,Dim_Product!$A$2:$A$4,0))+INDEX(Dim_Product!$H$2:$H$4,MATCH(F323,Dim_Product!$A$2:$A$4,0))),G323-H323,G323-H323-1)</f>
        <v>46</v>
      </c>
      <c r="R323" s="4">
        <f t="shared" si="44"/>
        <v>2</v>
      </c>
      <c r="S323" s="4">
        <f>INDEX(Dim_Product!$K$2:$K$4,MATCH(F323,Dim_Product!$A$2:$A$4,0))+-0.18</f>
        <v>109.82</v>
      </c>
      <c r="T323" s="4">
        <f>IF(AND(S323&gt;=INDEX(Dim_Product!$K$2:$K$4,MATCH(F323,Dim_Product!$A$2:$A$4,0))-INDEX(Dim_Product!$L$2:$L$4,MATCH(F323,Dim_Product!$A$2:$A$4,0)),S323&lt;=INDEX(Dim_Product!$K$2:$K$4,MATCH(F323,Dim_Product!$A$2:$A$4,0))+INDEX(Dim_Product!$L$2:$L$4,MATCH(F323,Dim_Product!$A$2:$A$4,0))),G323-H323,G323-H323-1)</f>
        <v>46</v>
      </c>
      <c r="U323" s="4">
        <f t="shared" si="45"/>
        <v>2</v>
      </c>
      <c r="V323" s="4">
        <f t="shared" si="46"/>
        <v>4.1666666666666664E-2</v>
      </c>
      <c r="W323" s="16">
        <f t="shared" si="47"/>
        <v>0.95833333333333337</v>
      </c>
    </row>
    <row r="324" spans="1:23" x14ac:dyDescent="0.25">
      <c r="A324" s="15" t="s">
        <v>825</v>
      </c>
      <c r="B324" s="4">
        <f>Fact_Production_Hourly!B324</f>
        <v>20260702</v>
      </c>
      <c r="C324" s="4">
        <f>Fact_Production_Hourly!C324</f>
        <v>22</v>
      </c>
      <c r="D324" s="4" t="str">
        <f>Fact_Production_Hourly!D324</f>
        <v>M1</v>
      </c>
      <c r="E324" s="4" t="str">
        <f>Fact_Production_Hourly!E324</f>
        <v>B-PM</v>
      </c>
      <c r="F324" s="4" t="str">
        <f>Fact_Production_Hourly!F324</f>
        <v>B</v>
      </c>
      <c r="G324" s="4">
        <f>INDEX(Dim_Machine!$D$2:$D$8,MATCH(D324,Dim_Machine!$A$2:$A$8,0))*2</f>
        <v>32</v>
      </c>
      <c r="H324" s="4">
        <f>ROUND(G324*0.0368,0)</f>
        <v>1</v>
      </c>
      <c r="I324" s="4">
        <f t="shared" si="40"/>
        <v>0</v>
      </c>
      <c r="J324" s="4">
        <f t="shared" si="41"/>
        <v>0</v>
      </c>
      <c r="K324" s="4">
        <f t="shared" si="42"/>
        <v>1</v>
      </c>
      <c r="L324" s="4" t="s">
        <v>500</v>
      </c>
      <c r="M324" s="4">
        <f>INDEX(Dim_Product!$C$2:$C$4,MATCH(F324,Dim_Product!$A$2:$A$4,0))+-0.93</f>
        <v>299.07</v>
      </c>
      <c r="N324" s="4">
        <f>IF(AND(M324&gt;=INDEX(Dim_Product!$C$2:$C$4,MATCH(F324,Dim_Product!$A$2:$A$4,0))-INDEX(Dim_Product!$D$2:$D$4,MATCH(F324,Dim_Product!$A$2:$A$4,0)),M324&lt;=INDEX(Dim_Product!$C$2:$C$4,MATCH(F324,Dim_Product!$A$2:$A$4,0))+INDEX(Dim_Product!$D$2:$D$4,MATCH(F324,Dim_Product!$A$2:$A$4,0))),G324-H324,G324-H324-1)</f>
        <v>31</v>
      </c>
      <c r="O324" s="4">
        <f t="shared" si="43"/>
        <v>1</v>
      </c>
      <c r="P324" s="4">
        <f>INDEX(Dim_Product!$G$2:$G$4,MATCH(F324,Dim_Product!$A$2:$A$4,0))+0.07</f>
        <v>75.069999999999993</v>
      </c>
      <c r="Q324" s="4">
        <f>IF(AND(P324&gt;=INDEX(Dim_Product!$G$2:$G$4,MATCH(F324,Dim_Product!$A$2:$A$4,0))-INDEX(Dim_Product!$H$2:$H$4,MATCH(F324,Dim_Product!$A$2:$A$4,0)),P324&lt;=INDEX(Dim_Product!$G$2:$G$4,MATCH(F324,Dim_Product!$A$2:$A$4,0))+INDEX(Dim_Product!$H$2:$H$4,MATCH(F324,Dim_Product!$A$2:$A$4,0))),G324-H324,G324-H324-1)</f>
        <v>31</v>
      </c>
      <c r="R324" s="4">
        <f t="shared" si="44"/>
        <v>1</v>
      </c>
      <c r="S324" s="4">
        <f>INDEX(Dim_Product!$K$2:$K$4,MATCH(F324,Dim_Product!$A$2:$A$4,0))+-0.2</f>
        <v>129.80000000000001</v>
      </c>
      <c r="T324" s="4">
        <f>IF(AND(S324&gt;=INDEX(Dim_Product!$K$2:$K$4,MATCH(F324,Dim_Product!$A$2:$A$4,0))-INDEX(Dim_Product!$L$2:$L$4,MATCH(F324,Dim_Product!$A$2:$A$4,0)),S324&lt;=INDEX(Dim_Product!$K$2:$K$4,MATCH(F324,Dim_Product!$A$2:$A$4,0))+INDEX(Dim_Product!$L$2:$L$4,MATCH(F324,Dim_Product!$A$2:$A$4,0))),G324-H324,G324-H324-1)</f>
        <v>31</v>
      </c>
      <c r="U324" s="4">
        <f t="shared" si="45"/>
        <v>1</v>
      </c>
      <c r="V324" s="4">
        <f t="shared" si="46"/>
        <v>3.125E-2</v>
      </c>
      <c r="W324" s="16">
        <f t="shared" si="47"/>
        <v>0.96875</v>
      </c>
    </row>
    <row r="325" spans="1:23" x14ac:dyDescent="0.25">
      <c r="A325" s="15" t="s">
        <v>826</v>
      </c>
      <c r="B325" s="4">
        <f>Fact_Production_Hourly!B325</f>
        <v>20260702</v>
      </c>
      <c r="C325" s="4">
        <f>Fact_Production_Hourly!C325</f>
        <v>22</v>
      </c>
      <c r="D325" s="4" t="str">
        <f>Fact_Production_Hourly!D325</f>
        <v>M2</v>
      </c>
      <c r="E325" s="4" t="str">
        <f>Fact_Production_Hourly!E325</f>
        <v>B-PM</v>
      </c>
      <c r="F325" s="4" t="str">
        <f>Fact_Production_Hourly!F325</f>
        <v>A</v>
      </c>
      <c r="G325" s="4">
        <f>INDEX(Dim_Machine!$D$2:$D$8,MATCH(D325,Dim_Machine!$A$2:$A$8,0))*2</f>
        <v>48</v>
      </c>
      <c r="H325" s="4">
        <f>ROUND(G325*0.0277,0)</f>
        <v>1</v>
      </c>
      <c r="I325" s="4">
        <f t="shared" si="40"/>
        <v>0</v>
      </c>
      <c r="J325" s="4">
        <f t="shared" si="41"/>
        <v>0</v>
      </c>
      <c r="K325" s="4">
        <f t="shared" si="42"/>
        <v>1</v>
      </c>
      <c r="L325" s="4" t="s">
        <v>503</v>
      </c>
      <c r="M325" s="4">
        <f>INDEX(Dim_Product!$C$2:$C$4,MATCH(F325,Dim_Product!$A$2:$A$4,0))+0.77</f>
        <v>250.77</v>
      </c>
      <c r="N325" s="4">
        <f>IF(AND(M325&gt;=INDEX(Dim_Product!$C$2:$C$4,MATCH(F325,Dim_Product!$A$2:$A$4,0))-INDEX(Dim_Product!$D$2:$D$4,MATCH(F325,Dim_Product!$A$2:$A$4,0)),M325&lt;=INDEX(Dim_Product!$C$2:$C$4,MATCH(F325,Dim_Product!$A$2:$A$4,0))+INDEX(Dim_Product!$D$2:$D$4,MATCH(F325,Dim_Product!$A$2:$A$4,0))),G325-H325,G325-H325-1)</f>
        <v>47</v>
      </c>
      <c r="O325" s="4">
        <f t="shared" si="43"/>
        <v>1</v>
      </c>
      <c r="P325" s="4">
        <f>INDEX(Dim_Product!$G$2:$G$4,MATCH(F325,Dim_Product!$A$2:$A$4,0))+-0.01</f>
        <v>69.989999999999995</v>
      </c>
      <c r="Q325" s="4">
        <f>IF(AND(P325&gt;=INDEX(Dim_Product!$G$2:$G$4,MATCH(F325,Dim_Product!$A$2:$A$4,0))-INDEX(Dim_Product!$H$2:$H$4,MATCH(F325,Dim_Product!$A$2:$A$4,0)),P325&lt;=INDEX(Dim_Product!$G$2:$G$4,MATCH(F325,Dim_Product!$A$2:$A$4,0))+INDEX(Dim_Product!$H$2:$H$4,MATCH(F325,Dim_Product!$A$2:$A$4,0))),G325-H325,G325-H325-1)</f>
        <v>47</v>
      </c>
      <c r="R325" s="4">
        <f t="shared" si="44"/>
        <v>1</v>
      </c>
      <c r="S325" s="4">
        <f>INDEX(Dim_Product!$K$2:$K$4,MATCH(F325,Dim_Product!$A$2:$A$4,0))+-0.33</f>
        <v>119.67</v>
      </c>
      <c r="T325" s="4">
        <f>IF(AND(S325&gt;=INDEX(Dim_Product!$K$2:$K$4,MATCH(F325,Dim_Product!$A$2:$A$4,0))-INDEX(Dim_Product!$L$2:$L$4,MATCH(F325,Dim_Product!$A$2:$A$4,0)),S325&lt;=INDEX(Dim_Product!$K$2:$K$4,MATCH(F325,Dim_Product!$A$2:$A$4,0))+INDEX(Dim_Product!$L$2:$L$4,MATCH(F325,Dim_Product!$A$2:$A$4,0))),G325-H325,G325-H325-1)</f>
        <v>47</v>
      </c>
      <c r="U325" s="4">
        <f t="shared" si="45"/>
        <v>1</v>
      </c>
      <c r="V325" s="4">
        <f t="shared" si="46"/>
        <v>2.0833333333333332E-2</v>
      </c>
      <c r="W325" s="16">
        <f t="shared" si="47"/>
        <v>0.97916666666666663</v>
      </c>
    </row>
    <row r="326" spans="1:23" x14ac:dyDescent="0.25">
      <c r="A326" s="15" t="s">
        <v>827</v>
      </c>
      <c r="B326" s="4">
        <f>Fact_Production_Hourly!B326</f>
        <v>20260702</v>
      </c>
      <c r="C326" s="4">
        <f>Fact_Production_Hourly!C326</f>
        <v>22</v>
      </c>
      <c r="D326" s="4" t="str">
        <f>Fact_Production_Hourly!D326</f>
        <v>M3</v>
      </c>
      <c r="E326" s="4" t="str">
        <f>Fact_Production_Hourly!E326</f>
        <v>B-PM</v>
      </c>
      <c r="F326" s="4" t="str">
        <f>Fact_Production_Hourly!F326</f>
        <v>A</v>
      </c>
      <c r="G326" s="4">
        <f>INDEX(Dim_Machine!$D$2:$D$8,MATCH(D326,Dim_Machine!$A$2:$A$8,0))*2</f>
        <v>24</v>
      </c>
      <c r="H326" s="4">
        <f>ROUND(G326*0.033,0)</f>
        <v>1</v>
      </c>
      <c r="I326" s="4">
        <f t="shared" si="40"/>
        <v>0</v>
      </c>
      <c r="J326" s="4">
        <f t="shared" si="41"/>
        <v>0</v>
      </c>
      <c r="K326" s="4">
        <f t="shared" si="42"/>
        <v>1</v>
      </c>
      <c r="L326" s="4" t="s">
        <v>503</v>
      </c>
      <c r="M326" s="4">
        <f>INDEX(Dim_Product!$C$2:$C$4,MATCH(F326,Dim_Product!$A$2:$A$4,0))+-0.6</f>
        <v>249.4</v>
      </c>
      <c r="N326" s="4">
        <f>IF(AND(M326&gt;=INDEX(Dim_Product!$C$2:$C$4,MATCH(F326,Dim_Product!$A$2:$A$4,0))-INDEX(Dim_Product!$D$2:$D$4,MATCH(F326,Dim_Product!$A$2:$A$4,0)),M326&lt;=INDEX(Dim_Product!$C$2:$C$4,MATCH(F326,Dim_Product!$A$2:$A$4,0))+INDEX(Dim_Product!$D$2:$D$4,MATCH(F326,Dim_Product!$A$2:$A$4,0))),G326-H326,G326-H326-1)</f>
        <v>23</v>
      </c>
      <c r="O326" s="4">
        <f t="shared" si="43"/>
        <v>1</v>
      </c>
      <c r="P326" s="4">
        <f>INDEX(Dim_Product!$G$2:$G$4,MATCH(F326,Dim_Product!$A$2:$A$4,0))+0.23</f>
        <v>70.23</v>
      </c>
      <c r="Q326" s="4">
        <f>IF(AND(P326&gt;=INDEX(Dim_Product!$G$2:$G$4,MATCH(F326,Dim_Product!$A$2:$A$4,0))-INDEX(Dim_Product!$H$2:$H$4,MATCH(F326,Dim_Product!$A$2:$A$4,0)),P326&lt;=INDEX(Dim_Product!$G$2:$G$4,MATCH(F326,Dim_Product!$A$2:$A$4,0))+INDEX(Dim_Product!$H$2:$H$4,MATCH(F326,Dim_Product!$A$2:$A$4,0))),G326-H326,G326-H326-1)</f>
        <v>23</v>
      </c>
      <c r="R326" s="4">
        <f t="shared" si="44"/>
        <v>1</v>
      </c>
      <c r="S326" s="4">
        <f>INDEX(Dim_Product!$K$2:$K$4,MATCH(F326,Dim_Product!$A$2:$A$4,0))+0.02</f>
        <v>120.02</v>
      </c>
      <c r="T326" s="4">
        <f>IF(AND(S326&gt;=INDEX(Dim_Product!$K$2:$K$4,MATCH(F326,Dim_Product!$A$2:$A$4,0))-INDEX(Dim_Product!$L$2:$L$4,MATCH(F326,Dim_Product!$A$2:$A$4,0)),S326&lt;=INDEX(Dim_Product!$K$2:$K$4,MATCH(F326,Dim_Product!$A$2:$A$4,0))+INDEX(Dim_Product!$L$2:$L$4,MATCH(F326,Dim_Product!$A$2:$A$4,0))),G326-H326,G326-H326-1)</f>
        <v>23</v>
      </c>
      <c r="U326" s="4">
        <f t="shared" si="45"/>
        <v>1</v>
      </c>
      <c r="V326" s="4">
        <f t="shared" si="46"/>
        <v>4.1666666666666664E-2</v>
      </c>
      <c r="W326" s="16">
        <f t="shared" si="47"/>
        <v>0.95833333333333337</v>
      </c>
    </row>
    <row r="327" spans="1:23" x14ac:dyDescent="0.25">
      <c r="A327" s="15" t="s">
        <v>828</v>
      </c>
      <c r="B327" s="4">
        <f>Fact_Production_Hourly!B327</f>
        <v>20260702</v>
      </c>
      <c r="C327" s="4">
        <f>Fact_Production_Hourly!C327</f>
        <v>22</v>
      </c>
      <c r="D327" s="4" t="str">
        <f>Fact_Production_Hourly!D327</f>
        <v>M4</v>
      </c>
      <c r="E327" s="4" t="str">
        <f>Fact_Production_Hourly!E327</f>
        <v>B-PM</v>
      </c>
      <c r="F327" s="4" t="str">
        <f>Fact_Production_Hourly!F327</f>
        <v>C</v>
      </c>
      <c r="G327" s="4">
        <f>INDEX(Dim_Machine!$D$2:$D$8,MATCH(D327,Dim_Machine!$A$2:$A$8,0))*2</f>
        <v>48</v>
      </c>
      <c r="H327" s="4">
        <f>ROUND(G327*0.0478,0)</f>
        <v>2</v>
      </c>
      <c r="I327" s="4">
        <f t="shared" si="40"/>
        <v>0</v>
      </c>
      <c r="J327" s="4">
        <f t="shared" si="41"/>
        <v>1</v>
      </c>
      <c r="K327" s="4">
        <f t="shared" si="42"/>
        <v>1</v>
      </c>
      <c r="L327" s="4" t="s">
        <v>509</v>
      </c>
      <c r="M327" s="4">
        <f>INDEX(Dim_Product!$C$2:$C$4,MATCH(F327,Dim_Product!$A$2:$A$4,0))+0.59</f>
        <v>200.59</v>
      </c>
      <c r="N327" s="4">
        <f>IF(AND(M327&gt;=INDEX(Dim_Product!$C$2:$C$4,MATCH(F327,Dim_Product!$A$2:$A$4,0))-INDEX(Dim_Product!$D$2:$D$4,MATCH(F327,Dim_Product!$A$2:$A$4,0)),M327&lt;=INDEX(Dim_Product!$C$2:$C$4,MATCH(F327,Dim_Product!$A$2:$A$4,0))+INDEX(Dim_Product!$D$2:$D$4,MATCH(F327,Dim_Product!$A$2:$A$4,0))),G327-H327,G327-H327-1)</f>
        <v>46</v>
      </c>
      <c r="O327" s="4">
        <f t="shared" si="43"/>
        <v>2</v>
      </c>
      <c r="P327" s="4">
        <f>INDEX(Dim_Product!$G$2:$G$4,MATCH(F327,Dim_Product!$A$2:$A$4,0))+0.29</f>
        <v>65.290000000000006</v>
      </c>
      <c r="Q327" s="4">
        <f>IF(AND(P327&gt;=INDEX(Dim_Product!$G$2:$G$4,MATCH(F327,Dim_Product!$A$2:$A$4,0))-INDEX(Dim_Product!$H$2:$H$4,MATCH(F327,Dim_Product!$A$2:$A$4,0)),P327&lt;=INDEX(Dim_Product!$G$2:$G$4,MATCH(F327,Dim_Product!$A$2:$A$4,0))+INDEX(Dim_Product!$H$2:$H$4,MATCH(F327,Dim_Product!$A$2:$A$4,0))),G327-H327,G327-H327-1)</f>
        <v>46</v>
      </c>
      <c r="R327" s="4">
        <f t="shared" si="44"/>
        <v>2</v>
      </c>
      <c r="S327" s="4">
        <f>INDEX(Dim_Product!$K$2:$K$4,MATCH(F327,Dim_Product!$A$2:$A$4,0))+0.23</f>
        <v>110.23</v>
      </c>
      <c r="T327" s="4">
        <f>IF(AND(S327&gt;=INDEX(Dim_Product!$K$2:$K$4,MATCH(F327,Dim_Product!$A$2:$A$4,0))-INDEX(Dim_Product!$L$2:$L$4,MATCH(F327,Dim_Product!$A$2:$A$4,0)),S327&lt;=INDEX(Dim_Product!$K$2:$K$4,MATCH(F327,Dim_Product!$A$2:$A$4,0))+INDEX(Dim_Product!$L$2:$L$4,MATCH(F327,Dim_Product!$A$2:$A$4,0))),G327-H327,G327-H327-1)</f>
        <v>46</v>
      </c>
      <c r="U327" s="4">
        <f t="shared" si="45"/>
        <v>2</v>
      </c>
      <c r="V327" s="4">
        <f t="shared" si="46"/>
        <v>4.1666666666666664E-2</v>
      </c>
      <c r="W327" s="16">
        <f t="shared" si="47"/>
        <v>0.95833333333333337</v>
      </c>
    </row>
    <row r="328" spans="1:23" x14ac:dyDescent="0.25">
      <c r="A328" s="15" t="s">
        <v>829</v>
      </c>
      <c r="B328" s="4">
        <f>Fact_Production_Hourly!B328</f>
        <v>20260702</v>
      </c>
      <c r="C328" s="4">
        <f>Fact_Production_Hourly!C328</f>
        <v>22</v>
      </c>
      <c r="D328" s="4" t="str">
        <f>Fact_Production_Hourly!D328</f>
        <v>M5</v>
      </c>
      <c r="E328" s="4" t="str">
        <f>Fact_Production_Hourly!E328</f>
        <v>B-PM</v>
      </c>
      <c r="F328" s="4" t="str">
        <f>Fact_Production_Hourly!F328</f>
        <v>A</v>
      </c>
      <c r="G328" s="4">
        <f>INDEX(Dim_Machine!$D$2:$D$8,MATCH(D328,Dim_Machine!$A$2:$A$8,0))*2</f>
        <v>32</v>
      </c>
      <c r="H328" s="4">
        <f>ROUND(G328*0.0315,0)</f>
        <v>1</v>
      </c>
      <c r="I328" s="4">
        <f t="shared" si="40"/>
        <v>0</v>
      </c>
      <c r="J328" s="4">
        <f t="shared" si="41"/>
        <v>0</v>
      </c>
      <c r="K328" s="4">
        <f t="shared" si="42"/>
        <v>1</v>
      </c>
      <c r="L328" s="4" t="s">
        <v>509</v>
      </c>
      <c r="M328" s="4">
        <f>INDEX(Dim_Product!$C$2:$C$4,MATCH(F328,Dim_Product!$A$2:$A$4,0))+0.56</f>
        <v>250.56</v>
      </c>
      <c r="N328" s="4">
        <f>IF(AND(M328&gt;=INDEX(Dim_Product!$C$2:$C$4,MATCH(F328,Dim_Product!$A$2:$A$4,0))-INDEX(Dim_Product!$D$2:$D$4,MATCH(F328,Dim_Product!$A$2:$A$4,0)),M328&lt;=INDEX(Dim_Product!$C$2:$C$4,MATCH(F328,Dim_Product!$A$2:$A$4,0))+INDEX(Dim_Product!$D$2:$D$4,MATCH(F328,Dim_Product!$A$2:$A$4,0))),G328-H328,G328-H328-1)</f>
        <v>31</v>
      </c>
      <c r="O328" s="4">
        <f t="shared" si="43"/>
        <v>1</v>
      </c>
      <c r="P328" s="4">
        <f>INDEX(Dim_Product!$G$2:$G$4,MATCH(F328,Dim_Product!$A$2:$A$4,0))+-0.09</f>
        <v>69.91</v>
      </c>
      <c r="Q328" s="4">
        <f>IF(AND(P328&gt;=INDEX(Dim_Product!$G$2:$G$4,MATCH(F328,Dim_Product!$A$2:$A$4,0))-INDEX(Dim_Product!$H$2:$H$4,MATCH(F328,Dim_Product!$A$2:$A$4,0)),P328&lt;=INDEX(Dim_Product!$G$2:$G$4,MATCH(F328,Dim_Product!$A$2:$A$4,0))+INDEX(Dim_Product!$H$2:$H$4,MATCH(F328,Dim_Product!$A$2:$A$4,0))),G328-H328,G328-H328-1)</f>
        <v>31</v>
      </c>
      <c r="R328" s="4">
        <f t="shared" si="44"/>
        <v>1</v>
      </c>
      <c r="S328" s="4">
        <f>INDEX(Dim_Product!$K$2:$K$4,MATCH(F328,Dim_Product!$A$2:$A$4,0))+0.05</f>
        <v>120.05</v>
      </c>
      <c r="T328" s="4">
        <f>IF(AND(S328&gt;=INDEX(Dim_Product!$K$2:$K$4,MATCH(F328,Dim_Product!$A$2:$A$4,0))-INDEX(Dim_Product!$L$2:$L$4,MATCH(F328,Dim_Product!$A$2:$A$4,0)),S328&lt;=INDEX(Dim_Product!$K$2:$K$4,MATCH(F328,Dim_Product!$A$2:$A$4,0))+INDEX(Dim_Product!$L$2:$L$4,MATCH(F328,Dim_Product!$A$2:$A$4,0))),G328-H328,G328-H328-1)</f>
        <v>31</v>
      </c>
      <c r="U328" s="4">
        <f t="shared" si="45"/>
        <v>1</v>
      </c>
      <c r="V328" s="4">
        <f t="shared" si="46"/>
        <v>3.125E-2</v>
      </c>
      <c r="W328" s="16">
        <f t="shared" si="47"/>
        <v>0.96875</v>
      </c>
    </row>
    <row r="329" spans="1:23" x14ac:dyDescent="0.25">
      <c r="A329" s="15" t="s">
        <v>830</v>
      </c>
      <c r="B329" s="4">
        <f>Fact_Production_Hourly!B329</f>
        <v>20260702</v>
      </c>
      <c r="C329" s="4">
        <f>Fact_Production_Hourly!C329</f>
        <v>22</v>
      </c>
      <c r="D329" s="4" t="str">
        <f>Fact_Production_Hourly!D329</f>
        <v>M6</v>
      </c>
      <c r="E329" s="4" t="str">
        <f>Fact_Production_Hourly!E329</f>
        <v>B-PM</v>
      </c>
      <c r="F329" s="4" t="str">
        <f>Fact_Production_Hourly!F329</f>
        <v>A</v>
      </c>
      <c r="G329" s="4">
        <f>INDEX(Dim_Machine!$D$2:$D$8,MATCH(D329,Dim_Machine!$A$2:$A$8,0))*2</f>
        <v>24</v>
      </c>
      <c r="H329" s="4">
        <f>ROUND(G329*0.0293,0)</f>
        <v>1</v>
      </c>
      <c r="I329" s="4">
        <f t="shared" si="40"/>
        <v>0</v>
      </c>
      <c r="J329" s="4">
        <f t="shared" si="41"/>
        <v>0</v>
      </c>
      <c r="K329" s="4">
        <f t="shared" si="42"/>
        <v>1</v>
      </c>
      <c r="L329" s="4" t="s">
        <v>517</v>
      </c>
      <c r="M329" s="4">
        <f>INDEX(Dim_Product!$C$2:$C$4,MATCH(F329,Dim_Product!$A$2:$A$4,0))+-0.64</f>
        <v>249.36</v>
      </c>
      <c r="N329" s="4">
        <f>IF(AND(M329&gt;=INDEX(Dim_Product!$C$2:$C$4,MATCH(F329,Dim_Product!$A$2:$A$4,0))-INDEX(Dim_Product!$D$2:$D$4,MATCH(F329,Dim_Product!$A$2:$A$4,0)),M329&lt;=INDEX(Dim_Product!$C$2:$C$4,MATCH(F329,Dim_Product!$A$2:$A$4,0))+INDEX(Dim_Product!$D$2:$D$4,MATCH(F329,Dim_Product!$A$2:$A$4,0))),G329-H329,G329-H329-1)</f>
        <v>23</v>
      </c>
      <c r="O329" s="4">
        <f t="shared" si="43"/>
        <v>1</v>
      </c>
      <c r="P329" s="4">
        <f>INDEX(Dim_Product!$G$2:$G$4,MATCH(F329,Dim_Product!$A$2:$A$4,0))+-0.11</f>
        <v>69.89</v>
      </c>
      <c r="Q329" s="4">
        <f>IF(AND(P329&gt;=INDEX(Dim_Product!$G$2:$G$4,MATCH(F329,Dim_Product!$A$2:$A$4,0))-INDEX(Dim_Product!$H$2:$H$4,MATCH(F329,Dim_Product!$A$2:$A$4,0)),P329&lt;=INDEX(Dim_Product!$G$2:$G$4,MATCH(F329,Dim_Product!$A$2:$A$4,0))+INDEX(Dim_Product!$H$2:$H$4,MATCH(F329,Dim_Product!$A$2:$A$4,0))),G329-H329,G329-H329-1)</f>
        <v>23</v>
      </c>
      <c r="R329" s="4">
        <f t="shared" si="44"/>
        <v>1</v>
      </c>
      <c r="S329" s="4">
        <f>INDEX(Dim_Product!$K$2:$K$4,MATCH(F329,Dim_Product!$A$2:$A$4,0))+-0.22</f>
        <v>119.78</v>
      </c>
      <c r="T329" s="4">
        <f>IF(AND(S329&gt;=INDEX(Dim_Product!$K$2:$K$4,MATCH(F329,Dim_Product!$A$2:$A$4,0))-INDEX(Dim_Product!$L$2:$L$4,MATCH(F329,Dim_Product!$A$2:$A$4,0)),S329&lt;=INDEX(Dim_Product!$K$2:$K$4,MATCH(F329,Dim_Product!$A$2:$A$4,0))+INDEX(Dim_Product!$L$2:$L$4,MATCH(F329,Dim_Product!$A$2:$A$4,0))),G329-H329,G329-H329-1)</f>
        <v>23</v>
      </c>
      <c r="U329" s="4">
        <f t="shared" si="45"/>
        <v>1</v>
      </c>
      <c r="V329" s="4">
        <f t="shared" si="46"/>
        <v>4.1666666666666664E-2</v>
      </c>
      <c r="W329" s="16">
        <f t="shared" si="47"/>
        <v>0.95833333333333337</v>
      </c>
    </row>
    <row r="330" spans="1:23" x14ac:dyDescent="0.25">
      <c r="A330" s="15" t="s">
        <v>831</v>
      </c>
      <c r="B330" s="4">
        <f>Fact_Production_Hourly!B330</f>
        <v>20260702</v>
      </c>
      <c r="C330" s="4">
        <f>Fact_Production_Hourly!C330</f>
        <v>22</v>
      </c>
      <c r="D330" s="4" t="str">
        <f>Fact_Production_Hourly!D330</f>
        <v>M7</v>
      </c>
      <c r="E330" s="4" t="str">
        <f>Fact_Production_Hourly!E330</f>
        <v>B-PM</v>
      </c>
      <c r="F330" s="4" t="str">
        <f>Fact_Production_Hourly!F330</f>
        <v>C</v>
      </c>
      <c r="G330" s="4">
        <f>INDEX(Dim_Machine!$D$2:$D$8,MATCH(D330,Dim_Machine!$A$2:$A$8,0))*2</f>
        <v>48</v>
      </c>
      <c r="H330" s="4">
        <f>ROUND(G330*0.0637,0)</f>
        <v>3</v>
      </c>
      <c r="I330" s="4">
        <f t="shared" si="40"/>
        <v>0</v>
      </c>
      <c r="J330" s="4">
        <f t="shared" si="41"/>
        <v>1</v>
      </c>
      <c r="K330" s="4">
        <f t="shared" si="42"/>
        <v>2</v>
      </c>
      <c r="L330" s="4" t="s">
        <v>517</v>
      </c>
      <c r="M330" s="4">
        <f>INDEX(Dim_Product!$C$2:$C$4,MATCH(F330,Dim_Product!$A$2:$A$4,0))+-0.88</f>
        <v>199.12</v>
      </c>
      <c r="N330" s="4">
        <f>IF(AND(M330&gt;=INDEX(Dim_Product!$C$2:$C$4,MATCH(F330,Dim_Product!$A$2:$A$4,0))-INDEX(Dim_Product!$D$2:$D$4,MATCH(F330,Dim_Product!$A$2:$A$4,0)),M330&lt;=INDEX(Dim_Product!$C$2:$C$4,MATCH(F330,Dim_Product!$A$2:$A$4,0))+INDEX(Dim_Product!$D$2:$D$4,MATCH(F330,Dim_Product!$A$2:$A$4,0))),G330-H330,G330-H330-1)</f>
        <v>45</v>
      </c>
      <c r="O330" s="4">
        <f t="shared" si="43"/>
        <v>3</v>
      </c>
      <c r="P330" s="4">
        <f>INDEX(Dim_Product!$G$2:$G$4,MATCH(F330,Dim_Product!$A$2:$A$4,0))+0.29</f>
        <v>65.290000000000006</v>
      </c>
      <c r="Q330" s="4">
        <f>IF(AND(P330&gt;=INDEX(Dim_Product!$G$2:$G$4,MATCH(F330,Dim_Product!$A$2:$A$4,0))-INDEX(Dim_Product!$H$2:$H$4,MATCH(F330,Dim_Product!$A$2:$A$4,0)),P330&lt;=INDEX(Dim_Product!$G$2:$G$4,MATCH(F330,Dim_Product!$A$2:$A$4,0))+INDEX(Dim_Product!$H$2:$H$4,MATCH(F330,Dim_Product!$A$2:$A$4,0))),G330-H330,G330-H330-1)</f>
        <v>45</v>
      </c>
      <c r="R330" s="4">
        <f t="shared" si="44"/>
        <v>3</v>
      </c>
      <c r="S330" s="4">
        <f>INDEX(Dim_Product!$K$2:$K$4,MATCH(F330,Dim_Product!$A$2:$A$4,0))+0.02</f>
        <v>110.02</v>
      </c>
      <c r="T330" s="4">
        <f>IF(AND(S330&gt;=INDEX(Dim_Product!$K$2:$K$4,MATCH(F330,Dim_Product!$A$2:$A$4,0))-INDEX(Dim_Product!$L$2:$L$4,MATCH(F330,Dim_Product!$A$2:$A$4,0)),S330&lt;=INDEX(Dim_Product!$K$2:$K$4,MATCH(F330,Dim_Product!$A$2:$A$4,0))+INDEX(Dim_Product!$L$2:$L$4,MATCH(F330,Dim_Product!$A$2:$A$4,0))),G330-H330,G330-H330-1)</f>
        <v>45</v>
      </c>
      <c r="U330" s="4">
        <f t="shared" si="45"/>
        <v>3</v>
      </c>
      <c r="V330" s="4">
        <f t="shared" si="46"/>
        <v>6.25E-2</v>
      </c>
      <c r="W330" s="16">
        <f t="shared" si="47"/>
        <v>0.9375</v>
      </c>
    </row>
    <row r="331" spans="1:23" x14ac:dyDescent="0.25">
      <c r="A331" s="15" t="s">
        <v>832</v>
      </c>
      <c r="B331" s="4">
        <f>Fact_Production_Hourly!B331</f>
        <v>20260702</v>
      </c>
      <c r="C331" s="4">
        <f>Fact_Production_Hourly!C331</f>
        <v>23</v>
      </c>
      <c r="D331" s="4" t="str">
        <f>Fact_Production_Hourly!D331</f>
        <v>M1</v>
      </c>
      <c r="E331" s="4" t="str">
        <f>Fact_Production_Hourly!E331</f>
        <v>B-PM</v>
      </c>
      <c r="F331" s="4" t="str">
        <f>Fact_Production_Hourly!F331</f>
        <v>B</v>
      </c>
      <c r="G331" s="4">
        <f>INDEX(Dim_Machine!$D$2:$D$8,MATCH(D331,Dim_Machine!$A$2:$A$8,0))*2</f>
        <v>32</v>
      </c>
      <c r="H331" s="4">
        <f>ROUND(G331*0.056,0)</f>
        <v>2</v>
      </c>
      <c r="I331" s="4">
        <f t="shared" si="40"/>
        <v>0</v>
      </c>
      <c r="J331" s="4">
        <f t="shared" si="41"/>
        <v>1</v>
      </c>
      <c r="K331" s="4">
        <f t="shared" si="42"/>
        <v>1</v>
      </c>
      <c r="L331" s="4" t="s">
        <v>500</v>
      </c>
      <c r="M331" s="4">
        <f>INDEX(Dim_Product!$C$2:$C$4,MATCH(F331,Dim_Product!$A$2:$A$4,0))+0.95</f>
        <v>300.95</v>
      </c>
      <c r="N331" s="4">
        <f>IF(AND(M331&gt;=INDEX(Dim_Product!$C$2:$C$4,MATCH(F331,Dim_Product!$A$2:$A$4,0))-INDEX(Dim_Product!$D$2:$D$4,MATCH(F331,Dim_Product!$A$2:$A$4,0)),M331&lt;=INDEX(Dim_Product!$C$2:$C$4,MATCH(F331,Dim_Product!$A$2:$A$4,0))+INDEX(Dim_Product!$D$2:$D$4,MATCH(F331,Dim_Product!$A$2:$A$4,0))),G331-H331,G331-H331-1)</f>
        <v>30</v>
      </c>
      <c r="O331" s="4">
        <f t="shared" si="43"/>
        <v>2</v>
      </c>
      <c r="P331" s="4">
        <f>INDEX(Dim_Product!$G$2:$G$4,MATCH(F331,Dim_Product!$A$2:$A$4,0))+-0.24</f>
        <v>74.760000000000005</v>
      </c>
      <c r="Q331" s="4">
        <f>IF(AND(P331&gt;=INDEX(Dim_Product!$G$2:$G$4,MATCH(F331,Dim_Product!$A$2:$A$4,0))-INDEX(Dim_Product!$H$2:$H$4,MATCH(F331,Dim_Product!$A$2:$A$4,0)),P331&lt;=INDEX(Dim_Product!$G$2:$G$4,MATCH(F331,Dim_Product!$A$2:$A$4,0))+INDEX(Dim_Product!$H$2:$H$4,MATCH(F331,Dim_Product!$A$2:$A$4,0))),G331-H331,G331-H331-1)</f>
        <v>30</v>
      </c>
      <c r="R331" s="4">
        <f t="shared" si="44"/>
        <v>2</v>
      </c>
      <c r="S331" s="4">
        <f>INDEX(Dim_Product!$K$2:$K$4,MATCH(F331,Dim_Product!$A$2:$A$4,0))+0.13</f>
        <v>130.13</v>
      </c>
      <c r="T331" s="4">
        <f>IF(AND(S331&gt;=INDEX(Dim_Product!$K$2:$K$4,MATCH(F331,Dim_Product!$A$2:$A$4,0))-INDEX(Dim_Product!$L$2:$L$4,MATCH(F331,Dim_Product!$A$2:$A$4,0)),S331&lt;=INDEX(Dim_Product!$K$2:$K$4,MATCH(F331,Dim_Product!$A$2:$A$4,0))+INDEX(Dim_Product!$L$2:$L$4,MATCH(F331,Dim_Product!$A$2:$A$4,0))),G331-H331,G331-H331-1)</f>
        <v>30</v>
      </c>
      <c r="U331" s="4">
        <f t="shared" si="45"/>
        <v>2</v>
      </c>
      <c r="V331" s="4">
        <f t="shared" si="46"/>
        <v>6.25E-2</v>
      </c>
      <c r="W331" s="16">
        <f t="shared" si="47"/>
        <v>0.9375</v>
      </c>
    </row>
    <row r="332" spans="1:23" x14ac:dyDescent="0.25">
      <c r="A332" s="15" t="s">
        <v>833</v>
      </c>
      <c r="B332" s="4">
        <f>Fact_Production_Hourly!B332</f>
        <v>20260702</v>
      </c>
      <c r="C332" s="4">
        <f>Fact_Production_Hourly!C332</f>
        <v>23</v>
      </c>
      <c r="D332" s="4" t="str">
        <f>Fact_Production_Hourly!D332</f>
        <v>M2</v>
      </c>
      <c r="E332" s="4" t="str">
        <f>Fact_Production_Hourly!E332</f>
        <v>B-PM</v>
      </c>
      <c r="F332" s="4" t="str">
        <f>Fact_Production_Hourly!F332</f>
        <v>A</v>
      </c>
      <c r="G332" s="4">
        <f>INDEX(Dim_Machine!$D$2:$D$8,MATCH(D332,Dim_Machine!$A$2:$A$8,0))*2</f>
        <v>48</v>
      </c>
      <c r="H332" s="4">
        <f>ROUND(G332*0.026,0)</f>
        <v>1</v>
      </c>
      <c r="I332" s="4">
        <f t="shared" si="40"/>
        <v>0</v>
      </c>
      <c r="J332" s="4">
        <f t="shared" si="41"/>
        <v>0</v>
      </c>
      <c r="K332" s="4">
        <f t="shared" si="42"/>
        <v>1</v>
      </c>
      <c r="L332" s="4" t="s">
        <v>520</v>
      </c>
      <c r="M332" s="4">
        <f>INDEX(Dim_Product!$C$2:$C$4,MATCH(F332,Dim_Product!$A$2:$A$4,0))+-0.89</f>
        <v>249.11</v>
      </c>
      <c r="N332" s="4">
        <f>IF(AND(M332&gt;=INDEX(Dim_Product!$C$2:$C$4,MATCH(F332,Dim_Product!$A$2:$A$4,0))-INDEX(Dim_Product!$D$2:$D$4,MATCH(F332,Dim_Product!$A$2:$A$4,0)),M332&lt;=INDEX(Dim_Product!$C$2:$C$4,MATCH(F332,Dim_Product!$A$2:$A$4,0))+INDEX(Dim_Product!$D$2:$D$4,MATCH(F332,Dim_Product!$A$2:$A$4,0))),G332-H332,G332-H332-1)</f>
        <v>47</v>
      </c>
      <c r="O332" s="4">
        <f t="shared" si="43"/>
        <v>1</v>
      </c>
      <c r="P332" s="4">
        <f>INDEX(Dim_Product!$G$2:$G$4,MATCH(F332,Dim_Product!$A$2:$A$4,0))+0.3</f>
        <v>70.3</v>
      </c>
      <c r="Q332" s="4">
        <f>IF(AND(P332&gt;=INDEX(Dim_Product!$G$2:$G$4,MATCH(F332,Dim_Product!$A$2:$A$4,0))-INDEX(Dim_Product!$H$2:$H$4,MATCH(F332,Dim_Product!$A$2:$A$4,0)),P332&lt;=INDEX(Dim_Product!$G$2:$G$4,MATCH(F332,Dim_Product!$A$2:$A$4,0))+INDEX(Dim_Product!$H$2:$H$4,MATCH(F332,Dim_Product!$A$2:$A$4,0))),G332-H332,G332-H332-1)</f>
        <v>47</v>
      </c>
      <c r="R332" s="4">
        <f t="shared" si="44"/>
        <v>1</v>
      </c>
      <c r="S332" s="4">
        <f>INDEX(Dim_Product!$K$2:$K$4,MATCH(F332,Dim_Product!$A$2:$A$4,0))+-0.22</f>
        <v>119.78</v>
      </c>
      <c r="T332" s="4">
        <f>IF(AND(S332&gt;=INDEX(Dim_Product!$K$2:$K$4,MATCH(F332,Dim_Product!$A$2:$A$4,0))-INDEX(Dim_Product!$L$2:$L$4,MATCH(F332,Dim_Product!$A$2:$A$4,0)),S332&lt;=INDEX(Dim_Product!$K$2:$K$4,MATCH(F332,Dim_Product!$A$2:$A$4,0))+INDEX(Dim_Product!$L$2:$L$4,MATCH(F332,Dim_Product!$A$2:$A$4,0))),G332-H332,G332-H332-1)</f>
        <v>47</v>
      </c>
      <c r="U332" s="4">
        <f t="shared" si="45"/>
        <v>1</v>
      </c>
      <c r="V332" s="4">
        <f t="shared" si="46"/>
        <v>2.0833333333333332E-2</v>
      </c>
      <c r="W332" s="16">
        <f t="shared" si="47"/>
        <v>0.97916666666666663</v>
      </c>
    </row>
    <row r="333" spans="1:23" x14ac:dyDescent="0.25">
      <c r="A333" s="15" t="s">
        <v>834</v>
      </c>
      <c r="B333" s="4">
        <f>Fact_Production_Hourly!B333</f>
        <v>20260702</v>
      </c>
      <c r="C333" s="4">
        <f>Fact_Production_Hourly!C333</f>
        <v>23</v>
      </c>
      <c r="D333" s="4" t="str">
        <f>Fact_Production_Hourly!D333</f>
        <v>M3</v>
      </c>
      <c r="E333" s="4" t="str">
        <f>Fact_Production_Hourly!E333</f>
        <v>B-PM</v>
      </c>
      <c r="F333" s="4" t="str">
        <f>Fact_Production_Hourly!F333</f>
        <v>A</v>
      </c>
      <c r="G333" s="4">
        <f>INDEX(Dim_Machine!$D$2:$D$8,MATCH(D333,Dim_Machine!$A$2:$A$8,0))*2</f>
        <v>24</v>
      </c>
      <c r="H333" s="4">
        <f>ROUND(G333*0.0608,0)</f>
        <v>1</v>
      </c>
      <c r="I333" s="4">
        <f t="shared" si="40"/>
        <v>0</v>
      </c>
      <c r="J333" s="4">
        <f t="shared" si="41"/>
        <v>0</v>
      </c>
      <c r="K333" s="4">
        <f t="shared" si="42"/>
        <v>1</v>
      </c>
      <c r="L333" s="4" t="s">
        <v>503</v>
      </c>
      <c r="M333" s="4">
        <f>INDEX(Dim_Product!$C$2:$C$4,MATCH(F333,Dim_Product!$A$2:$A$4,0))+-0.29</f>
        <v>249.71</v>
      </c>
      <c r="N333" s="4">
        <f>IF(AND(M333&gt;=INDEX(Dim_Product!$C$2:$C$4,MATCH(F333,Dim_Product!$A$2:$A$4,0))-INDEX(Dim_Product!$D$2:$D$4,MATCH(F333,Dim_Product!$A$2:$A$4,0)),M333&lt;=INDEX(Dim_Product!$C$2:$C$4,MATCH(F333,Dim_Product!$A$2:$A$4,0))+INDEX(Dim_Product!$D$2:$D$4,MATCH(F333,Dim_Product!$A$2:$A$4,0))),G333-H333,G333-H333-1)</f>
        <v>23</v>
      </c>
      <c r="O333" s="4">
        <f t="shared" si="43"/>
        <v>1</v>
      </c>
      <c r="P333" s="4">
        <f>INDEX(Dim_Product!$G$2:$G$4,MATCH(F333,Dim_Product!$A$2:$A$4,0))+0.2</f>
        <v>70.2</v>
      </c>
      <c r="Q333" s="4">
        <f>IF(AND(P333&gt;=INDEX(Dim_Product!$G$2:$G$4,MATCH(F333,Dim_Product!$A$2:$A$4,0))-INDEX(Dim_Product!$H$2:$H$4,MATCH(F333,Dim_Product!$A$2:$A$4,0)),P333&lt;=INDEX(Dim_Product!$G$2:$G$4,MATCH(F333,Dim_Product!$A$2:$A$4,0))+INDEX(Dim_Product!$H$2:$H$4,MATCH(F333,Dim_Product!$A$2:$A$4,0))),G333-H333,G333-H333-1)</f>
        <v>23</v>
      </c>
      <c r="R333" s="4">
        <f t="shared" si="44"/>
        <v>1</v>
      </c>
      <c r="S333" s="4">
        <f>INDEX(Dim_Product!$K$2:$K$4,MATCH(F333,Dim_Product!$A$2:$A$4,0))+0.28</f>
        <v>120.28</v>
      </c>
      <c r="T333" s="4">
        <f>IF(AND(S333&gt;=INDEX(Dim_Product!$K$2:$K$4,MATCH(F333,Dim_Product!$A$2:$A$4,0))-INDEX(Dim_Product!$L$2:$L$4,MATCH(F333,Dim_Product!$A$2:$A$4,0)),S333&lt;=INDEX(Dim_Product!$K$2:$K$4,MATCH(F333,Dim_Product!$A$2:$A$4,0))+INDEX(Dim_Product!$L$2:$L$4,MATCH(F333,Dim_Product!$A$2:$A$4,0))),G333-H333,G333-H333-1)</f>
        <v>23</v>
      </c>
      <c r="U333" s="4">
        <f t="shared" si="45"/>
        <v>1</v>
      </c>
      <c r="V333" s="4">
        <f t="shared" si="46"/>
        <v>4.1666666666666664E-2</v>
      </c>
      <c r="W333" s="16">
        <f t="shared" si="47"/>
        <v>0.95833333333333337</v>
      </c>
    </row>
    <row r="334" spans="1:23" x14ac:dyDescent="0.25">
      <c r="A334" s="15" t="s">
        <v>835</v>
      </c>
      <c r="B334" s="4">
        <f>Fact_Production_Hourly!B334</f>
        <v>20260702</v>
      </c>
      <c r="C334" s="4">
        <f>Fact_Production_Hourly!C334</f>
        <v>23</v>
      </c>
      <c r="D334" s="4" t="str">
        <f>Fact_Production_Hourly!D334</f>
        <v>M4</v>
      </c>
      <c r="E334" s="4" t="str">
        <f>Fact_Production_Hourly!E334</f>
        <v>B-PM</v>
      </c>
      <c r="F334" s="4" t="str">
        <f>Fact_Production_Hourly!F334</f>
        <v>C</v>
      </c>
      <c r="G334" s="4">
        <f>INDEX(Dim_Machine!$D$2:$D$8,MATCH(D334,Dim_Machine!$A$2:$A$8,0))*2</f>
        <v>48</v>
      </c>
      <c r="H334" s="4">
        <f>ROUND(G334*0.0206,0)</f>
        <v>1</v>
      </c>
      <c r="I334" s="4">
        <f t="shared" si="40"/>
        <v>0</v>
      </c>
      <c r="J334" s="4">
        <f t="shared" si="41"/>
        <v>0</v>
      </c>
      <c r="K334" s="4">
        <f t="shared" si="42"/>
        <v>1</v>
      </c>
      <c r="L334" s="4" t="s">
        <v>509</v>
      </c>
      <c r="M334" s="4">
        <f>INDEX(Dim_Product!$C$2:$C$4,MATCH(F334,Dim_Product!$A$2:$A$4,0))+-0.36</f>
        <v>199.64</v>
      </c>
      <c r="N334" s="4">
        <f>IF(AND(M334&gt;=INDEX(Dim_Product!$C$2:$C$4,MATCH(F334,Dim_Product!$A$2:$A$4,0))-INDEX(Dim_Product!$D$2:$D$4,MATCH(F334,Dim_Product!$A$2:$A$4,0)),M334&lt;=INDEX(Dim_Product!$C$2:$C$4,MATCH(F334,Dim_Product!$A$2:$A$4,0))+INDEX(Dim_Product!$D$2:$D$4,MATCH(F334,Dim_Product!$A$2:$A$4,0))),G334-H334,G334-H334-1)</f>
        <v>47</v>
      </c>
      <c r="O334" s="4">
        <f t="shared" si="43"/>
        <v>1</v>
      </c>
      <c r="P334" s="4">
        <f>INDEX(Dim_Product!$G$2:$G$4,MATCH(F334,Dim_Product!$A$2:$A$4,0))+0.14</f>
        <v>65.14</v>
      </c>
      <c r="Q334" s="4">
        <f>IF(AND(P334&gt;=INDEX(Dim_Product!$G$2:$G$4,MATCH(F334,Dim_Product!$A$2:$A$4,0))-INDEX(Dim_Product!$H$2:$H$4,MATCH(F334,Dim_Product!$A$2:$A$4,0)),P334&lt;=INDEX(Dim_Product!$G$2:$G$4,MATCH(F334,Dim_Product!$A$2:$A$4,0))+INDEX(Dim_Product!$H$2:$H$4,MATCH(F334,Dim_Product!$A$2:$A$4,0))),G334-H334,G334-H334-1)</f>
        <v>47</v>
      </c>
      <c r="R334" s="4">
        <f t="shared" si="44"/>
        <v>1</v>
      </c>
      <c r="S334" s="4">
        <f>INDEX(Dim_Product!$K$2:$K$4,MATCH(F334,Dim_Product!$A$2:$A$4,0))+-0.11</f>
        <v>109.89</v>
      </c>
      <c r="T334" s="4">
        <f>IF(AND(S334&gt;=INDEX(Dim_Product!$K$2:$K$4,MATCH(F334,Dim_Product!$A$2:$A$4,0))-INDEX(Dim_Product!$L$2:$L$4,MATCH(F334,Dim_Product!$A$2:$A$4,0)),S334&lt;=INDEX(Dim_Product!$K$2:$K$4,MATCH(F334,Dim_Product!$A$2:$A$4,0))+INDEX(Dim_Product!$L$2:$L$4,MATCH(F334,Dim_Product!$A$2:$A$4,0))),G334-H334,G334-H334-1)</f>
        <v>47</v>
      </c>
      <c r="U334" s="4">
        <f t="shared" si="45"/>
        <v>1</v>
      </c>
      <c r="V334" s="4">
        <f t="shared" si="46"/>
        <v>2.0833333333333332E-2</v>
      </c>
      <c r="W334" s="16">
        <f t="shared" si="47"/>
        <v>0.97916666666666663</v>
      </c>
    </row>
    <row r="335" spans="1:23" x14ac:dyDescent="0.25">
      <c r="A335" s="15" t="s">
        <v>836</v>
      </c>
      <c r="B335" s="4">
        <f>Fact_Production_Hourly!B335</f>
        <v>20260702</v>
      </c>
      <c r="C335" s="4">
        <f>Fact_Production_Hourly!C335</f>
        <v>23</v>
      </c>
      <c r="D335" s="4" t="str">
        <f>Fact_Production_Hourly!D335</f>
        <v>M5</v>
      </c>
      <c r="E335" s="4" t="str">
        <f>Fact_Production_Hourly!E335</f>
        <v>B-PM</v>
      </c>
      <c r="F335" s="4" t="str">
        <f>Fact_Production_Hourly!F335</f>
        <v>A</v>
      </c>
      <c r="G335" s="4">
        <f>INDEX(Dim_Machine!$D$2:$D$8,MATCH(D335,Dim_Machine!$A$2:$A$8,0))*2</f>
        <v>32</v>
      </c>
      <c r="H335" s="4">
        <f>ROUND(G335*0.0455,0)</f>
        <v>1</v>
      </c>
      <c r="I335" s="4">
        <f t="shared" si="40"/>
        <v>0</v>
      </c>
      <c r="J335" s="4">
        <f t="shared" si="41"/>
        <v>0</v>
      </c>
      <c r="K335" s="4">
        <f t="shared" si="42"/>
        <v>1</v>
      </c>
      <c r="L335" s="4" t="s">
        <v>520</v>
      </c>
      <c r="M335" s="4">
        <f>INDEX(Dim_Product!$C$2:$C$4,MATCH(F335,Dim_Product!$A$2:$A$4,0))+0.4</f>
        <v>250.4</v>
      </c>
      <c r="N335" s="4">
        <f>IF(AND(M335&gt;=INDEX(Dim_Product!$C$2:$C$4,MATCH(F335,Dim_Product!$A$2:$A$4,0))-INDEX(Dim_Product!$D$2:$D$4,MATCH(F335,Dim_Product!$A$2:$A$4,0)),M335&lt;=INDEX(Dim_Product!$C$2:$C$4,MATCH(F335,Dim_Product!$A$2:$A$4,0))+INDEX(Dim_Product!$D$2:$D$4,MATCH(F335,Dim_Product!$A$2:$A$4,0))),G335-H335,G335-H335-1)</f>
        <v>31</v>
      </c>
      <c r="O335" s="4">
        <f t="shared" si="43"/>
        <v>1</v>
      </c>
      <c r="P335" s="4">
        <f>INDEX(Dim_Product!$G$2:$G$4,MATCH(F335,Dim_Product!$A$2:$A$4,0))+0.27</f>
        <v>70.27</v>
      </c>
      <c r="Q335" s="4">
        <f>IF(AND(P335&gt;=INDEX(Dim_Product!$G$2:$G$4,MATCH(F335,Dim_Product!$A$2:$A$4,0))-INDEX(Dim_Product!$H$2:$H$4,MATCH(F335,Dim_Product!$A$2:$A$4,0)),P335&lt;=INDEX(Dim_Product!$G$2:$G$4,MATCH(F335,Dim_Product!$A$2:$A$4,0))+INDEX(Dim_Product!$H$2:$H$4,MATCH(F335,Dim_Product!$A$2:$A$4,0))),G335-H335,G335-H335-1)</f>
        <v>31</v>
      </c>
      <c r="R335" s="4">
        <f t="shared" si="44"/>
        <v>1</v>
      </c>
      <c r="S335" s="4">
        <f>INDEX(Dim_Product!$K$2:$K$4,MATCH(F335,Dim_Product!$A$2:$A$4,0))+0.05</f>
        <v>120.05</v>
      </c>
      <c r="T335" s="4">
        <f>IF(AND(S335&gt;=INDEX(Dim_Product!$K$2:$K$4,MATCH(F335,Dim_Product!$A$2:$A$4,0))-INDEX(Dim_Product!$L$2:$L$4,MATCH(F335,Dim_Product!$A$2:$A$4,0)),S335&lt;=INDEX(Dim_Product!$K$2:$K$4,MATCH(F335,Dim_Product!$A$2:$A$4,0))+INDEX(Dim_Product!$L$2:$L$4,MATCH(F335,Dim_Product!$A$2:$A$4,0))),G335-H335,G335-H335-1)</f>
        <v>31</v>
      </c>
      <c r="U335" s="4">
        <f t="shared" si="45"/>
        <v>1</v>
      </c>
      <c r="V335" s="4">
        <f t="shared" si="46"/>
        <v>3.125E-2</v>
      </c>
      <c r="W335" s="16">
        <f t="shared" si="47"/>
        <v>0.96875</v>
      </c>
    </row>
    <row r="336" spans="1:23" x14ac:dyDescent="0.25">
      <c r="A336" s="15" t="s">
        <v>837</v>
      </c>
      <c r="B336" s="4">
        <f>Fact_Production_Hourly!B336</f>
        <v>20260702</v>
      </c>
      <c r="C336" s="4">
        <f>Fact_Production_Hourly!C336</f>
        <v>23</v>
      </c>
      <c r="D336" s="4" t="str">
        <f>Fact_Production_Hourly!D336</f>
        <v>M6</v>
      </c>
      <c r="E336" s="4" t="str">
        <f>Fact_Production_Hourly!E336</f>
        <v>B-PM</v>
      </c>
      <c r="F336" s="4" t="str">
        <f>Fact_Production_Hourly!F336</f>
        <v>A</v>
      </c>
      <c r="G336" s="4">
        <f>INDEX(Dim_Machine!$D$2:$D$8,MATCH(D336,Dim_Machine!$A$2:$A$8,0))*2</f>
        <v>24</v>
      </c>
      <c r="H336" s="4">
        <f>ROUND(G336*0.0438,0)</f>
        <v>1</v>
      </c>
      <c r="I336" s="4">
        <f t="shared" si="40"/>
        <v>0</v>
      </c>
      <c r="J336" s="4">
        <f t="shared" si="41"/>
        <v>0</v>
      </c>
      <c r="K336" s="4">
        <f t="shared" si="42"/>
        <v>1</v>
      </c>
      <c r="L336" s="4" t="s">
        <v>500</v>
      </c>
      <c r="M336" s="4">
        <f>INDEX(Dim_Product!$C$2:$C$4,MATCH(F336,Dim_Product!$A$2:$A$4,0))+0.67</f>
        <v>250.67</v>
      </c>
      <c r="N336" s="4">
        <f>IF(AND(M336&gt;=INDEX(Dim_Product!$C$2:$C$4,MATCH(F336,Dim_Product!$A$2:$A$4,0))-INDEX(Dim_Product!$D$2:$D$4,MATCH(F336,Dim_Product!$A$2:$A$4,0)),M336&lt;=INDEX(Dim_Product!$C$2:$C$4,MATCH(F336,Dim_Product!$A$2:$A$4,0))+INDEX(Dim_Product!$D$2:$D$4,MATCH(F336,Dim_Product!$A$2:$A$4,0))),G336-H336,G336-H336-1)</f>
        <v>23</v>
      </c>
      <c r="O336" s="4">
        <f t="shared" si="43"/>
        <v>1</v>
      </c>
      <c r="P336" s="4">
        <f>INDEX(Dim_Product!$G$2:$G$4,MATCH(F336,Dim_Product!$A$2:$A$4,0))+0.19</f>
        <v>70.19</v>
      </c>
      <c r="Q336" s="4">
        <f>IF(AND(P336&gt;=INDEX(Dim_Product!$G$2:$G$4,MATCH(F336,Dim_Product!$A$2:$A$4,0))-INDEX(Dim_Product!$H$2:$H$4,MATCH(F336,Dim_Product!$A$2:$A$4,0)),P336&lt;=INDEX(Dim_Product!$G$2:$G$4,MATCH(F336,Dim_Product!$A$2:$A$4,0))+INDEX(Dim_Product!$H$2:$H$4,MATCH(F336,Dim_Product!$A$2:$A$4,0))),G336-H336,G336-H336-1)</f>
        <v>23</v>
      </c>
      <c r="R336" s="4">
        <f t="shared" si="44"/>
        <v>1</v>
      </c>
      <c r="S336" s="4">
        <f>INDEX(Dim_Product!$K$2:$K$4,MATCH(F336,Dim_Product!$A$2:$A$4,0))+0.38</f>
        <v>120.38</v>
      </c>
      <c r="T336" s="4">
        <f>IF(AND(S336&gt;=INDEX(Dim_Product!$K$2:$K$4,MATCH(F336,Dim_Product!$A$2:$A$4,0))-INDEX(Dim_Product!$L$2:$L$4,MATCH(F336,Dim_Product!$A$2:$A$4,0)),S336&lt;=INDEX(Dim_Product!$K$2:$K$4,MATCH(F336,Dim_Product!$A$2:$A$4,0))+INDEX(Dim_Product!$L$2:$L$4,MATCH(F336,Dim_Product!$A$2:$A$4,0))),G336-H336,G336-H336-1)</f>
        <v>23</v>
      </c>
      <c r="U336" s="4">
        <f t="shared" si="45"/>
        <v>1</v>
      </c>
      <c r="V336" s="4">
        <f t="shared" si="46"/>
        <v>4.1666666666666664E-2</v>
      </c>
      <c r="W336" s="16">
        <f t="shared" si="47"/>
        <v>0.95833333333333337</v>
      </c>
    </row>
    <row r="337" spans="1:23" x14ac:dyDescent="0.25">
      <c r="A337" s="20" t="s">
        <v>838</v>
      </c>
      <c r="B337" s="21">
        <f>Fact_Production_Hourly!B337</f>
        <v>20260702</v>
      </c>
      <c r="C337" s="21">
        <f>Fact_Production_Hourly!C337</f>
        <v>23</v>
      </c>
      <c r="D337" s="21" t="str">
        <f>Fact_Production_Hourly!D337</f>
        <v>M7</v>
      </c>
      <c r="E337" s="21" t="str">
        <f>Fact_Production_Hourly!E337</f>
        <v>B-PM</v>
      </c>
      <c r="F337" s="21" t="str">
        <f>Fact_Production_Hourly!F337</f>
        <v>C</v>
      </c>
      <c r="G337" s="21">
        <f>INDEX(Dim_Machine!$D$2:$D$8,MATCH(D337,Dim_Machine!$A$2:$A$8,0))*2</f>
        <v>48</v>
      </c>
      <c r="H337" s="21">
        <f>ROUND(G337*0.0425,0)</f>
        <v>2</v>
      </c>
      <c r="I337" s="21">
        <f t="shared" si="40"/>
        <v>0</v>
      </c>
      <c r="J337" s="21">
        <f t="shared" si="41"/>
        <v>1</v>
      </c>
      <c r="K337" s="21">
        <f t="shared" si="42"/>
        <v>1</v>
      </c>
      <c r="L337" s="21" t="s">
        <v>500</v>
      </c>
      <c r="M337" s="21">
        <f>INDEX(Dim_Product!$C$2:$C$4,MATCH(F337,Dim_Product!$A$2:$A$4,0))+-0.02</f>
        <v>199.98</v>
      </c>
      <c r="N337" s="21">
        <f>IF(AND(M337&gt;=INDEX(Dim_Product!$C$2:$C$4,MATCH(F337,Dim_Product!$A$2:$A$4,0))-INDEX(Dim_Product!$D$2:$D$4,MATCH(F337,Dim_Product!$A$2:$A$4,0)),M337&lt;=INDEX(Dim_Product!$C$2:$C$4,MATCH(F337,Dim_Product!$A$2:$A$4,0))+INDEX(Dim_Product!$D$2:$D$4,MATCH(F337,Dim_Product!$A$2:$A$4,0))),G337-H337,G337-H337-1)</f>
        <v>46</v>
      </c>
      <c r="O337" s="21">
        <f t="shared" si="43"/>
        <v>2</v>
      </c>
      <c r="P337" s="21">
        <f>INDEX(Dim_Product!$G$2:$G$4,MATCH(F337,Dim_Product!$A$2:$A$4,0))+-0.25</f>
        <v>64.75</v>
      </c>
      <c r="Q337" s="21">
        <f>IF(AND(P337&gt;=INDEX(Dim_Product!$G$2:$G$4,MATCH(F337,Dim_Product!$A$2:$A$4,0))-INDEX(Dim_Product!$H$2:$H$4,MATCH(F337,Dim_Product!$A$2:$A$4,0)),P337&lt;=INDEX(Dim_Product!$G$2:$G$4,MATCH(F337,Dim_Product!$A$2:$A$4,0))+INDEX(Dim_Product!$H$2:$H$4,MATCH(F337,Dim_Product!$A$2:$A$4,0))),G337-H337,G337-H337-1)</f>
        <v>46</v>
      </c>
      <c r="R337" s="21">
        <f t="shared" si="44"/>
        <v>2</v>
      </c>
      <c r="S337" s="21">
        <f>INDEX(Dim_Product!$K$2:$K$4,MATCH(F337,Dim_Product!$A$2:$A$4,0))+-0.21</f>
        <v>109.79</v>
      </c>
      <c r="T337" s="21">
        <f>IF(AND(S337&gt;=INDEX(Dim_Product!$K$2:$K$4,MATCH(F337,Dim_Product!$A$2:$A$4,0))-INDEX(Dim_Product!$L$2:$L$4,MATCH(F337,Dim_Product!$A$2:$A$4,0)),S337&lt;=INDEX(Dim_Product!$K$2:$K$4,MATCH(F337,Dim_Product!$A$2:$A$4,0))+INDEX(Dim_Product!$L$2:$L$4,MATCH(F337,Dim_Product!$A$2:$A$4,0))),G337-H337,G337-H337-1)</f>
        <v>46</v>
      </c>
      <c r="U337" s="21">
        <f t="shared" si="45"/>
        <v>2</v>
      </c>
      <c r="V337" s="21">
        <f t="shared" si="46"/>
        <v>4.1666666666666664E-2</v>
      </c>
      <c r="W337" s="22">
        <f t="shared" si="47"/>
        <v>0.95833333333333337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ColWidth="8.7109375" defaultRowHeight="15" x14ac:dyDescent="0.25"/>
  <cols>
    <col min="1" max="1" width="20.140625" customWidth="1"/>
    <col min="2" max="2" width="15.42578125" customWidth="1"/>
    <col min="3" max="3" width="19.28515625" customWidth="1"/>
    <col min="4" max="4" width="19" customWidth="1"/>
    <col min="5" max="5" width="15.5703125" customWidth="1"/>
    <col min="6" max="6" width="15" customWidth="1"/>
    <col min="7" max="7" width="14.85546875" customWidth="1"/>
    <col min="8" max="8" width="17.7109375" customWidth="1"/>
    <col min="9" max="9" width="20.42578125" customWidth="1"/>
    <col min="10" max="10" width="19.42578125" customWidth="1"/>
    <col min="11" max="11" width="18.7109375" customWidth="1"/>
    <col min="12" max="12" width="19.140625" customWidth="1"/>
    <col min="13" max="13" width="24" customWidth="1"/>
    <col min="14" max="14" width="21" customWidth="1"/>
    <col min="15" max="15" width="18" customWidth="1"/>
  </cols>
  <sheetData>
    <row r="1" spans="1:15" ht="30" customHeight="1" x14ac:dyDescent="0.25">
      <c r="A1" s="17" t="s">
        <v>839</v>
      </c>
      <c r="B1" s="18" t="s">
        <v>840</v>
      </c>
      <c r="C1" s="18" t="s">
        <v>841</v>
      </c>
      <c r="D1" s="18" t="s">
        <v>842</v>
      </c>
      <c r="E1" s="18" t="s">
        <v>843</v>
      </c>
      <c r="F1" s="18" t="s">
        <v>125</v>
      </c>
      <c r="G1" s="18" t="s">
        <v>122</v>
      </c>
      <c r="H1" s="18" t="s">
        <v>126</v>
      </c>
      <c r="I1" s="18" t="s">
        <v>844</v>
      </c>
      <c r="J1" s="18" t="s">
        <v>845</v>
      </c>
      <c r="K1" s="18" t="s">
        <v>846</v>
      </c>
      <c r="L1" s="18" t="s">
        <v>847</v>
      </c>
      <c r="M1" s="18" t="s">
        <v>848</v>
      </c>
      <c r="N1" s="18" t="s">
        <v>849</v>
      </c>
      <c r="O1" s="19" t="s">
        <v>850</v>
      </c>
    </row>
    <row r="2" spans="1:15" x14ac:dyDescent="0.25">
      <c r="A2" s="15" t="s">
        <v>851</v>
      </c>
      <c r="B2" s="4" t="s">
        <v>852</v>
      </c>
      <c r="C2" s="4" t="s">
        <v>853</v>
      </c>
      <c r="D2" s="4" t="s">
        <v>854</v>
      </c>
      <c r="E2" s="4" t="s">
        <v>855</v>
      </c>
      <c r="F2" s="4" t="s">
        <v>16</v>
      </c>
      <c r="G2" s="4">
        <v>20260701</v>
      </c>
      <c r="H2" s="4" t="s">
        <v>141</v>
      </c>
      <c r="I2" s="4">
        <v>12000</v>
      </c>
      <c r="J2" s="4">
        <v>600</v>
      </c>
      <c r="K2" s="4">
        <v>10</v>
      </c>
      <c r="L2" s="4">
        <f t="shared" ref="L2:L7" si="0">J2-K2</f>
        <v>590</v>
      </c>
      <c r="M2" s="4">
        <f t="shared" ref="M2:N7" si="1">IFERROR(J2/I2,0)</f>
        <v>0.05</v>
      </c>
      <c r="N2" s="4">
        <f t="shared" si="1"/>
        <v>1.6666666666666666E-2</v>
      </c>
      <c r="O2" s="16" t="str">
        <f t="shared" ref="O2:O7" si="2">IF(N2&lt;=0.03,"Pass",IF(N2&lt;=0.06,"Pass-Warning","Fail"))</f>
        <v>Pass</v>
      </c>
    </row>
    <row r="3" spans="1:15" x14ac:dyDescent="0.25">
      <c r="A3" s="15" t="s">
        <v>856</v>
      </c>
      <c r="B3" s="4" t="s">
        <v>857</v>
      </c>
      <c r="C3" s="4" t="s">
        <v>858</v>
      </c>
      <c r="D3" s="4" t="s">
        <v>859</v>
      </c>
      <c r="E3" s="4" t="s">
        <v>860</v>
      </c>
      <c r="F3" s="4" t="s">
        <v>20</v>
      </c>
      <c r="G3" s="4">
        <v>20260701</v>
      </c>
      <c r="H3" s="4" t="s">
        <v>187</v>
      </c>
      <c r="I3" s="4">
        <v>9000</v>
      </c>
      <c r="J3" s="4">
        <v>450</v>
      </c>
      <c r="K3" s="4">
        <v>3</v>
      </c>
      <c r="L3" s="4">
        <f t="shared" si="0"/>
        <v>447</v>
      </c>
      <c r="M3" s="4">
        <f t="shared" si="1"/>
        <v>0.05</v>
      </c>
      <c r="N3" s="4">
        <f t="shared" si="1"/>
        <v>6.6666666666666671E-3</v>
      </c>
      <c r="O3" s="16" t="str">
        <f t="shared" si="2"/>
        <v>Pass</v>
      </c>
    </row>
    <row r="4" spans="1:15" x14ac:dyDescent="0.25">
      <c r="A4" s="15" t="s">
        <v>861</v>
      </c>
      <c r="B4" s="4" t="s">
        <v>862</v>
      </c>
      <c r="C4" s="4" t="s">
        <v>863</v>
      </c>
      <c r="D4" s="4" t="s">
        <v>864</v>
      </c>
      <c r="E4" s="4" t="s">
        <v>865</v>
      </c>
      <c r="F4" s="4" t="s">
        <v>16</v>
      </c>
      <c r="G4" s="4">
        <v>20260702</v>
      </c>
      <c r="H4" s="4" t="s">
        <v>143</v>
      </c>
      <c r="I4" s="4">
        <v>15000</v>
      </c>
      <c r="J4" s="4">
        <v>750</v>
      </c>
      <c r="K4" s="4">
        <v>19</v>
      </c>
      <c r="L4" s="4">
        <f t="shared" si="0"/>
        <v>731</v>
      </c>
      <c r="M4" s="4">
        <f t="shared" si="1"/>
        <v>0.05</v>
      </c>
      <c r="N4" s="4">
        <f t="shared" si="1"/>
        <v>2.5333333333333333E-2</v>
      </c>
      <c r="O4" s="16" t="str">
        <f t="shared" si="2"/>
        <v>Pass</v>
      </c>
    </row>
    <row r="5" spans="1:15" x14ac:dyDescent="0.25">
      <c r="A5" s="15" t="s">
        <v>866</v>
      </c>
      <c r="B5" s="4" t="s">
        <v>867</v>
      </c>
      <c r="C5" s="4" t="s">
        <v>868</v>
      </c>
      <c r="D5" s="4" t="s">
        <v>854</v>
      </c>
      <c r="E5" s="4" t="s">
        <v>869</v>
      </c>
      <c r="F5" s="4" t="s">
        <v>20</v>
      </c>
      <c r="G5" s="4">
        <v>20260702</v>
      </c>
      <c r="H5" s="4" t="s">
        <v>141</v>
      </c>
      <c r="I5" s="4">
        <v>8000</v>
      </c>
      <c r="J5" s="4">
        <v>400</v>
      </c>
      <c r="K5" s="4">
        <v>18</v>
      </c>
      <c r="L5" s="4">
        <f t="shared" si="0"/>
        <v>382</v>
      </c>
      <c r="M5" s="4">
        <f t="shared" si="1"/>
        <v>0.05</v>
      </c>
      <c r="N5" s="4">
        <f t="shared" si="1"/>
        <v>4.4999999999999998E-2</v>
      </c>
      <c r="O5" s="16" t="str">
        <f t="shared" si="2"/>
        <v>Pass-Warning</v>
      </c>
    </row>
    <row r="6" spans="1:15" x14ac:dyDescent="0.25">
      <c r="A6" s="15" t="s">
        <v>870</v>
      </c>
      <c r="B6" s="4" t="s">
        <v>871</v>
      </c>
      <c r="C6" s="4" t="s">
        <v>872</v>
      </c>
      <c r="D6" s="4" t="s">
        <v>859</v>
      </c>
      <c r="E6" s="4" t="s">
        <v>873</v>
      </c>
      <c r="F6" s="4" t="s">
        <v>16</v>
      </c>
      <c r="G6" s="4">
        <v>20260701</v>
      </c>
      <c r="H6" s="4" t="s">
        <v>187</v>
      </c>
      <c r="I6" s="4">
        <v>10000</v>
      </c>
      <c r="J6" s="4">
        <v>500</v>
      </c>
      <c r="K6" s="4">
        <v>3</v>
      </c>
      <c r="L6" s="4">
        <f t="shared" si="0"/>
        <v>497</v>
      </c>
      <c r="M6" s="4">
        <f t="shared" si="1"/>
        <v>0.05</v>
      </c>
      <c r="N6" s="4">
        <f t="shared" si="1"/>
        <v>6.0000000000000001E-3</v>
      </c>
      <c r="O6" s="16" t="str">
        <f t="shared" si="2"/>
        <v>Pass</v>
      </c>
    </row>
    <row r="7" spans="1:15" x14ac:dyDescent="0.25">
      <c r="A7" s="20" t="s">
        <v>874</v>
      </c>
      <c r="B7" s="21" t="s">
        <v>875</v>
      </c>
      <c r="C7" s="21" t="s">
        <v>853</v>
      </c>
      <c r="D7" s="21" t="s">
        <v>864</v>
      </c>
      <c r="E7" s="21" t="s">
        <v>876</v>
      </c>
      <c r="F7" s="21" t="s">
        <v>20</v>
      </c>
      <c r="G7" s="21">
        <v>20260702</v>
      </c>
      <c r="H7" s="21" t="s">
        <v>143</v>
      </c>
      <c r="I7" s="21">
        <v>11000</v>
      </c>
      <c r="J7" s="21">
        <v>550</v>
      </c>
      <c r="K7" s="21">
        <v>13</v>
      </c>
      <c r="L7" s="21">
        <f t="shared" si="0"/>
        <v>537</v>
      </c>
      <c r="M7" s="21">
        <f t="shared" si="1"/>
        <v>0.05</v>
      </c>
      <c r="N7" s="21">
        <f t="shared" si="1"/>
        <v>2.3636363636363636E-2</v>
      </c>
      <c r="O7" s="22" t="str">
        <f t="shared" si="2"/>
        <v>Pass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zoomScaleNormal="100" workbookViewId="0">
      <pane ySplit="1" topLeftCell="A2" activePane="bottomLeft" state="frozen"/>
      <selection pane="bottomLeft" sqref="A1:F3"/>
    </sheetView>
  </sheetViews>
  <sheetFormatPr defaultColWidth="8.7109375" defaultRowHeight="15" x14ac:dyDescent="0.25"/>
  <cols>
    <col min="1" max="1" width="15" customWidth="1"/>
    <col min="2" max="2" width="13" customWidth="1"/>
    <col min="3" max="3" width="12" customWidth="1"/>
    <col min="4" max="4" width="15.42578125" customWidth="1"/>
    <col min="5" max="5" width="14" customWidth="1"/>
    <col min="6" max="6" width="12" customWidth="1"/>
  </cols>
  <sheetData>
    <row r="1" spans="1:6" ht="30" customHeight="1" x14ac:dyDescent="0.25">
      <c r="A1" s="17" t="s">
        <v>877</v>
      </c>
      <c r="B1" s="18" t="s">
        <v>878</v>
      </c>
      <c r="C1" s="18" t="s">
        <v>879</v>
      </c>
      <c r="D1" s="18" t="s">
        <v>880</v>
      </c>
      <c r="E1" s="18" t="s">
        <v>881</v>
      </c>
      <c r="F1" s="19" t="s">
        <v>882</v>
      </c>
    </row>
    <row r="2" spans="1:6" x14ac:dyDescent="0.25">
      <c r="A2" s="15">
        <v>20260701</v>
      </c>
      <c r="B2" s="4" t="s">
        <v>883</v>
      </c>
      <c r="C2" s="4" t="s">
        <v>884</v>
      </c>
      <c r="D2" s="4">
        <v>27</v>
      </c>
      <c r="E2" s="4" t="s">
        <v>885</v>
      </c>
      <c r="F2" s="16">
        <v>2026</v>
      </c>
    </row>
    <row r="3" spans="1:6" x14ac:dyDescent="0.25">
      <c r="A3" s="20">
        <v>20260702</v>
      </c>
      <c r="B3" s="21" t="s">
        <v>886</v>
      </c>
      <c r="C3" s="21" t="s">
        <v>887</v>
      </c>
      <c r="D3" s="21">
        <v>27</v>
      </c>
      <c r="E3" s="21" t="s">
        <v>885</v>
      </c>
      <c r="F3" s="22">
        <v>2026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zoomScaleNormal="100" workbookViewId="0">
      <pane ySplit="1" topLeftCell="A2" activePane="bottomLeft" state="frozen"/>
      <selection pane="bottomLeft" sqref="A1:C25"/>
    </sheetView>
  </sheetViews>
  <sheetFormatPr defaultColWidth="8.7109375" defaultRowHeight="15" x14ac:dyDescent="0.25"/>
  <cols>
    <col min="1" max="1" width="20" customWidth="1"/>
    <col min="2" max="2" width="14" customWidth="1"/>
    <col min="3" max="3" width="12" customWidth="1"/>
  </cols>
  <sheetData>
    <row r="1" spans="1:3" ht="30" customHeight="1" x14ac:dyDescent="0.25">
      <c r="A1" s="17" t="s">
        <v>888</v>
      </c>
      <c r="B1" s="18" t="s">
        <v>889</v>
      </c>
      <c r="C1" s="19" t="s">
        <v>890</v>
      </c>
    </row>
    <row r="2" spans="1:3" x14ac:dyDescent="0.25">
      <c r="A2" s="15">
        <v>0</v>
      </c>
      <c r="B2" s="4" t="s">
        <v>891</v>
      </c>
      <c r="C2" s="16" t="s">
        <v>892</v>
      </c>
    </row>
    <row r="3" spans="1:3" x14ac:dyDescent="0.25">
      <c r="A3" s="15">
        <v>1</v>
      </c>
      <c r="B3" s="4" t="s">
        <v>893</v>
      </c>
      <c r="C3" s="16" t="s">
        <v>892</v>
      </c>
    </row>
    <row r="4" spans="1:3" x14ac:dyDescent="0.25">
      <c r="A4" s="15">
        <v>2</v>
      </c>
      <c r="B4" s="4" t="s">
        <v>894</v>
      </c>
      <c r="C4" s="16" t="s">
        <v>892</v>
      </c>
    </row>
    <row r="5" spans="1:3" x14ac:dyDescent="0.25">
      <c r="A5" s="15">
        <v>3</v>
      </c>
      <c r="B5" s="4" t="s">
        <v>895</v>
      </c>
      <c r="C5" s="16" t="s">
        <v>892</v>
      </c>
    </row>
    <row r="6" spans="1:3" x14ac:dyDescent="0.25">
      <c r="A6" s="15">
        <v>4</v>
      </c>
      <c r="B6" s="4" t="s">
        <v>896</v>
      </c>
      <c r="C6" s="16" t="s">
        <v>892</v>
      </c>
    </row>
    <row r="7" spans="1:3" x14ac:dyDescent="0.25">
      <c r="A7" s="15">
        <v>5</v>
      </c>
      <c r="B7" s="4" t="s">
        <v>897</v>
      </c>
      <c r="C7" s="16" t="s">
        <v>892</v>
      </c>
    </row>
    <row r="8" spans="1:3" x14ac:dyDescent="0.25">
      <c r="A8" s="15">
        <v>6</v>
      </c>
      <c r="B8" s="4" t="s">
        <v>898</v>
      </c>
      <c r="C8" s="16" t="s">
        <v>899</v>
      </c>
    </row>
    <row r="9" spans="1:3" x14ac:dyDescent="0.25">
      <c r="A9" s="15">
        <v>7</v>
      </c>
      <c r="B9" s="4" t="s">
        <v>900</v>
      </c>
      <c r="C9" s="16" t="s">
        <v>899</v>
      </c>
    </row>
    <row r="10" spans="1:3" x14ac:dyDescent="0.25">
      <c r="A10" s="15">
        <v>8</v>
      </c>
      <c r="B10" s="4" t="s">
        <v>901</v>
      </c>
      <c r="C10" s="16" t="s">
        <v>899</v>
      </c>
    </row>
    <row r="11" spans="1:3" x14ac:dyDescent="0.25">
      <c r="A11" s="15">
        <v>9</v>
      </c>
      <c r="B11" s="4" t="s">
        <v>902</v>
      </c>
      <c r="C11" s="16" t="s">
        <v>899</v>
      </c>
    </row>
    <row r="12" spans="1:3" x14ac:dyDescent="0.25">
      <c r="A12" s="15">
        <v>10</v>
      </c>
      <c r="B12" s="4" t="s">
        <v>903</v>
      </c>
      <c r="C12" s="16" t="s">
        <v>899</v>
      </c>
    </row>
    <row r="13" spans="1:3" x14ac:dyDescent="0.25">
      <c r="A13" s="15">
        <v>11</v>
      </c>
      <c r="B13" s="4" t="s">
        <v>904</v>
      </c>
      <c r="C13" s="16" t="s">
        <v>899</v>
      </c>
    </row>
    <row r="14" spans="1:3" x14ac:dyDescent="0.25">
      <c r="A14" s="15">
        <v>12</v>
      </c>
      <c r="B14" s="4" t="s">
        <v>905</v>
      </c>
      <c r="C14" s="16" t="s">
        <v>899</v>
      </c>
    </row>
    <row r="15" spans="1:3" x14ac:dyDescent="0.25">
      <c r="A15" s="15">
        <v>13</v>
      </c>
      <c r="B15" s="4" t="s">
        <v>906</v>
      </c>
      <c r="C15" s="16" t="s">
        <v>899</v>
      </c>
    </row>
    <row r="16" spans="1:3" x14ac:dyDescent="0.25">
      <c r="A16" s="15">
        <v>14</v>
      </c>
      <c r="B16" s="4" t="s">
        <v>907</v>
      </c>
      <c r="C16" s="16" t="s">
        <v>899</v>
      </c>
    </row>
    <row r="17" spans="1:3" x14ac:dyDescent="0.25">
      <c r="A17" s="15">
        <v>15</v>
      </c>
      <c r="B17" s="4" t="s">
        <v>908</v>
      </c>
      <c r="C17" s="16" t="s">
        <v>899</v>
      </c>
    </row>
    <row r="18" spans="1:3" x14ac:dyDescent="0.25">
      <c r="A18" s="15">
        <v>16</v>
      </c>
      <c r="B18" s="4" t="s">
        <v>909</v>
      </c>
      <c r="C18" s="16" t="s">
        <v>899</v>
      </c>
    </row>
    <row r="19" spans="1:3" x14ac:dyDescent="0.25">
      <c r="A19" s="15">
        <v>17</v>
      </c>
      <c r="B19" s="4" t="s">
        <v>910</v>
      </c>
      <c r="C19" s="16" t="s">
        <v>899</v>
      </c>
    </row>
    <row r="20" spans="1:3" x14ac:dyDescent="0.25">
      <c r="A20" s="15">
        <v>18</v>
      </c>
      <c r="B20" s="4" t="s">
        <v>911</v>
      </c>
      <c r="C20" s="16" t="s">
        <v>892</v>
      </c>
    </row>
    <row r="21" spans="1:3" x14ac:dyDescent="0.25">
      <c r="A21" s="15">
        <v>19</v>
      </c>
      <c r="B21" s="4" t="s">
        <v>912</v>
      </c>
      <c r="C21" s="16" t="s">
        <v>892</v>
      </c>
    </row>
    <row r="22" spans="1:3" x14ac:dyDescent="0.25">
      <c r="A22" s="15">
        <v>20</v>
      </c>
      <c r="B22" s="4" t="s">
        <v>913</v>
      </c>
      <c r="C22" s="16" t="s">
        <v>892</v>
      </c>
    </row>
    <row r="23" spans="1:3" x14ac:dyDescent="0.25">
      <c r="A23" s="15">
        <v>21</v>
      </c>
      <c r="B23" s="4" t="s">
        <v>914</v>
      </c>
      <c r="C23" s="16" t="s">
        <v>892</v>
      </c>
    </row>
    <row r="24" spans="1:3" x14ac:dyDescent="0.25">
      <c r="A24" s="15">
        <v>22</v>
      </c>
      <c r="B24" s="4" t="s">
        <v>915</v>
      </c>
      <c r="C24" s="16" t="s">
        <v>892</v>
      </c>
    </row>
    <row r="25" spans="1:3" x14ac:dyDescent="0.25">
      <c r="A25" s="20">
        <v>23</v>
      </c>
      <c r="B25" s="21" t="s">
        <v>916</v>
      </c>
      <c r="C25" s="22" t="s">
        <v>892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7109375" defaultRowHeight="15" x14ac:dyDescent="0.25"/>
  <cols>
    <col min="1" max="1" width="18.5703125" customWidth="1"/>
    <col min="2" max="2" width="18" customWidth="1"/>
    <col min="3" max="3" width="15.28515625" customWidth="1"/>
    <col min="4" max="4" width="12" customWidth="1"/>
    <col min="5" max="5" width="22.28515625" customWidth="1"/>
  </cols>
  <sheetData>
    <row r="1" spans="1:5" ht="30" customHeight="1" x14ac:dyDescent="0.25">
      <c r="A1" s="17" t="s">
        <v>927</v>
      </c>
      <c r="B1" s="18" t="s">
        <v>928</v>
      </c>
      <c r="C1" s="18" t="s">
        <v>929</v>
      </c>
      <c r="D1" s="18" t="s">
        <v>930</v>
      </c>
      <c r="E1" s="19" t="s">
        <v>931</v>
      </c>
    </row>
    <row r="2" spans="1:5" x14ac:dyDescent="0.25">
      <c r="A2" s="15" t="s">
        <v>15</v>
      </c>
      <c r="B2" s="4" t="s">
        <v>932</v>
      </c>
      <c r="C2" s="4" t="s">
        <v>933</v>
      </c>
      <c r="D2" s="4">
        <v>16</v>
      </c>
      <c r="E2" s="16">
        <v>25</v>
      </c>
    </row>
    <row r="3" spans="1:5" x14ac:dyDescent="0.25">
      <c r="A3" s="15" t="s">
        <v>19</v>
      </c>
      <c r="B3" s="4" t="s">
        <v>934</v>
      </c>
      <c r="C3" s="4" t="s">
        <v>935</v>
      </c>
      <c r="D3" s="4">
        <v>24</v>
      </c>
      <c r="E3" s="16">
        <v>28</v>
      </c>
    </row>
    <row r="4" spans="1:5" x14ac:dyDescent="0.25">
      <c r="A4" s="15" t="s">
        <v>23</v>
      </c>
      <c r="B4" s="4" t="s">
        <v>936</v>
      </c>
      <c r="C4" s="4" t="s">
        <v>933</v>
      </c>
      <c r="D4" s="4">
        <v>12</v>
      </c>
      <c r="E4" s="16">
        <v>22</v>
      </c>
    </row>
    <row r="5" spans="1:5" x14ac:dyDescent="0.25">
      <c r="A5" s="15" t="s">
        <v>25</v>
      </c>
      <c r="B5" s="4" t="s">
        <v>937</v>
      </c>
      <c r="C5" s="4" t="s">
        <v>935</v>
      </c>
      <c r="D5" s="4">
        <v>24</v>
      </c>
      <c r="E5" s="16">
        <v>30</v>
      </c>
    </row>
    <row r="6" spans="1:5" x14ac:dyDescent="0.25">
      <c r="A6" s="15" t="s">
        <v>27</v>
      </c>
      <c r="B6" s="4" t="s">
        <v>938</v>
      </c>
      <c r="C6" s="4" t="s">
        <v>933</v>
      </c>
      <c r="D6" s="4">
        <v>16</v>
      </c>
      <c r="E6" s="16">
        <v>26</v>
      </c>
    </row>
    <row r="7" spans="1:5" x14ac:dyDescent="0.25">
      <c r="A7" s="15" t="s">
        <v>29</v>
      </c>
      <c r="B7" s="4" t="s">
        <v>939</v>
      </c>
      <c r="C7" s="4" t="s">
        <v>933</v>
      </c>
      <c r="D7" s="4">
        <v>12</v>
      </c>
      <c r="E7" s="16">
        <v>24</v>
      </c>
    </row>
    <row r="8" spans="1:5" x14ac:dyDescent="0.25">
      <c r="A8" s="20" t="s">
        <v>31</v>
      </c>
      <c r="B8" s="21" t="s">
        <v>940</v>
      </c>
      <c r="C8" s="21" t="s">
        <v>935</v>
      </c>
      <c r="D8" s="21">
        <v>24</v>
      </c>
      <c r="E8" s="22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"/>
  <sheetViews>
    <sheetView zoomScaleNormal="100" workbookViewId="0">
      <pane ySplit="1" topLeftCell="A2" activePane="bottomLeft" state="frozen"/>
      <selection pane="bottomLeft" sqref="A1:N4"/>
    </sheetView>
  </sheetViews>
  <sheetFormatPr defaultColWidth="8.7109375" defaultRowHeight="15" x14ac:dyDescent="0.25"/>
  <cols>
    <col min="1" max="1" width="17.85546875" customWidth="1"/>
    <col min="2" max="2" width="15.42578125" customWidth="1"/>
    <col min="3" max="3" width="17.85546875" customWidth="1"/>
    <col min="4" max="4" width="20.85546875" customWidth="1"/>
    <col min="5" max="5" width="15" customWidth="1"/>
    <col min="6" max="6" width="15.5703125" customWidth="1"/>
    <col min="7" max="7" width="22" customWidth="1"/>
    <col min="8" max="8" width="25" customWidth="1"/>
    <col min="9" max="9" width="19.140625" customWidth="1"/>
    <col min="10" max="10" width="19.7109375" customWidth="1"/>
    <col min="11" max="11" width="19.5703125" customWidth="1"/>
    <col min="12" max="12" width="22.5703125" customWidth="1"/>
    <col min="13" max="13" width="16.7109375" customWidth="1"/>
    <col min="14" max="14" width="17.28515625" customWidth="1"/>
  </cols>
  <sheetData>
    <row r="1" spans="1:14" ht="30" customHeight="1" x14ac:dyDescent="0.25">
      <c r="A1" s="17" t="s">
        <v>941</v>
      </c>
      <c r="B1" s="18" t="s">
        <v>942</v>
      </c>
      <c r="C1" s="18" t="s">
        <v>943</v>
      </c>
      <c r="D1" s="18" t="s">
        <v>944</v>
      </c>
      <c r="E1" s="18" t="s">
        <v>945</v>
      </c>
      <c r="F1" s="18" t="s">
        <v>946</v>
      </c>
      <c r="G1" s="18" t="s">
        <v>947</v>
      </c>
      <c r="H1" s="18" t="s">
        <v>948</v>
      </c>
      <c r="I1" s="18" t="s">
        <v>949</v>
      </c>
      <c r="J1" s="18" t="s">
        <v>950</v>
      </c>
      <c r="K1" s="18" t="s">
        <v>951</v>
      </c>
      <c r="L1" s="18" t="s">
        <v>952</v>
      </c>
      <c r="M1" s="18" t="s">
        <v>953</v>
      </c>
      <c r="N1" s="19" t="s">
        <v>954</v>
      </c>
    </row>
    <row r="2" spans="1:14" x14ac:dyDescent="0.25">
      <c r="A2" s="15" t="s">
        <v>141</v>
      </c>
      <c r="B2" s="4" t="s">
        <v>955</v>
      </c>
      <c r="C2" s="4">
        <v>250</v>
      </c>
      <c r="D2" s="4">
        <v>5</v>
      </c>
      <c r="E2" s="4">
        <f>C2-D2</f>
        <v>245</v>
      </c>
      <c r="F2" s="4">
        <f>C2+D2</f>
        <v>255</v>
      </c>
      <c r="G2" s="4">
        <v>70</v>
      </c>
      <c r="H2" s="4">
        <v>1</v>
      </c>
      <c r="I2" s="4">
        <f>G2-H2</f>
        <v>69</v>
      </c>
      <c r="J2" s="4">
        <f>G2+H2</f>
        <v>71</v>
      </c>
      <c r="K2" s="4">
        <v>120</v>
      </c>
      <c r="L2" s="4">
        <v>2</v>
      </c>
      <c r="M2" s="4">
        <f>K2-L2</f>
        <v>118</v>
      </c>
      <c r="N2" s="16">
        <f>K2+L2</f>
        <v>122</v>
      </c>
    </row>
    <row r="3" spans="1:14" x14ac:dyDescent="0.25">
      <c r="A3" s="15" t="s">
        <v>187</v>
      </c>
      <c r="B3" s="4" t="s">
        <v>956</v>
      </c>
      <c r="C3" s="4">
        <v>300</v>
      </c>
      <c r="D3" s="4">
        <v>6</v>
      </c>
      <c r="E3" s="4">
        <f>C3-D3</f>
        <v>294</v>
      </c>
      <c r="F3" s="4">
        <f>C3+D3</f>
        <v>306</v>
      </c>
      <c r="G3" s="4">
        <v>75</v>
      </c>
      <c r="H3" s="4">
        <v>1</v>
      </c>
      <c r="I3" s="4">
        <f>G3-H3</f>
        <v>74</v>
      </c>
      <c r="J3" s="4">
        <f>G3+H3</f>
        <v>76</v>
      </c>
      <c r="K3" s="4">
        <v>130</v>
      </c>
      <c r="L3" s="4">
        <v>2</v>
      </c>
      <c r="M3" s="4">
        <f>K3-L3</f>
        <v>128</v>
      </c>
      <c r="N3" s="16">
        <f>K3+L3</f>
        <v>132</v>
      </c>
    </row>
    <row r="4" spans="1:14" x14ac:dyDescent="0.25">
      <c r="A4" s="20" t="s">
        <v>143</v>
      </c>
      <c r="B4" s="21" t="s">
        <v>957</v>
      </c>
      <c r="C4" s="21">
        <v>200</v>
      </c>
      <c r="D4" s="21">
        <v>4</v>
      </c>
      <c r="E4" s="21">
        <f>C4-D4</f>
        <v>196</v>
      </c>
      <c r="F4" s="21">
        <f>C4+D4</f>
        <v>204</v>
      </c>
      <c r="G4" s="21">
        <v>65</v>
      </c>
      <c r="H4" s="21">
        <v>1</v>
      </c>
      <c r="I4" s="21">
        <f>G4-H4</f>
        <v>64</v>
      </c>
      <c r="J4" s="21">
        <f>G4+H4</f>
        <v>66</v>
      </c>
      <c r="K4" s="21">
        <v>110</v>
      </c>
      <c r="L4" s="21">
        <v>2</v>
      </c>
      <c r="M4" s="21">
        <f>K4-L4</f>
        <v>108</v>
      </c>
      <c r="N4" s="22">
        <f>K4+L4</f>
        <v>112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7109375" defaultRowHeight="15" x14ac:dyDescent="0.25"/>
  <cols>
    <col min="1" max="1" width="16" customWidth="1"/>
    <col min="2" max="3" width="12" customWidth="1"/>
    <col min="4" max="4" width="15.85546875" customWidth="1"/>
  </cols>
  <sheetData>
    <row r="1" spans="1:4" ht="30" customHeight="1" x14ac:dyDescent="0.25">
      <c r="A1" s="17" t="s">
        <v>917</v>
      </c>
      <c r="B1" s="18" t="s">
        <v>918</v>
      </c>
      <c r="C1" s="18" t="s">
        <v>890</v>
      </c>
      <c r="D1" s="19" t="s">
        <v>919</v>
      </c>
    </row>
    <row r="2" spans="1:4" x14ac:dyDescent="0.25">
      <c r="A2" s="15" t="s">
        <v>16</v>
      </c>
      <c r="B2" s="4" t="s">
        <v>141</v>
      </c>
      <c r="C2" s="4" t="s">
        <v>899</v>
      </c>
      <c r="D2" s="16" t="s">
        <v>920</v>
      </c>
    </row>
    <row r="3" spans="1:4" x14ac:dyDescent="0.25">
      <c r="A3" s="15" t="s">
        <v>20</v>
      </c>
      <c r="B3" s="4" t="s">
        <v>187</v>
      </c>
      <c r="C3" s="4" t="s">
        <v>892</v>
      </c>
      <c r="D3" s="16" t="s">
        <v>920</v>
      </c>
    </row>
    <row r="4" spans="1:4" x14ac:dyDescent="0.25">
      <c r="A4" s="15" t="s">
        <v>921</v>
      </c>
      <c r="B4" s="4" t="s">
        <v>187</v>
      </c>
      <c r="C4" s="4" t="s">
        <v>899</v>
      </c>
      <c r="D4" s="16" t="s">
        <v>922</v>
      </c>
    </row>
    <row r="5" spans="1:4" x14ac:dyDescent="0.25">
      <c r="A5" s="15" t="s">
        <v>923</v>
      </c>
      <c r="B5" s="4" t="s">
        <v>143</v>
      </c>
      <c r="C5" s="4" t="s">
        <v>892</v>
      </c>
      <c r="D5" s="16" t="s">
        <v>922</v>
      </c>
    </row>
    <row r="6" spans="1:4" x14ac:dyDescent="0.25">
      <c r="A6" s="15" t="s">
        <v>924</v>
      </c>
      <c r="B6" s="4" t="s">
        <v>143</v>
      </c>
      <c r="C6" s="4" t="s">
        <v>899</v>
      </c>
      <c r="D6" s="16" t="s">
        <v>925</v>
      </c>
    </row>
    <row r="7" spans="1:4" x14ac:dyDescent="0.25">
      <c r="A7" s="20" t="s">
        <v>926</v>
      </c>
      <c r="B7" s="21" t="s">
        <v>141</v>
      </c>
      <c r="C7" s="21" t="s">
        <v>892</v>
      </c>
      <c r="D7" s="22" t="s">
        <v>925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7109375" defaultRowHeight="15" x14ac:dyDescent="0.25"/>
  <cols>
    <col min="1" max="2" width="18" customWidth="1"/>
    <col min="3" max="3" width="17" customWidth="1"/>
  </cols>
  <sheetData>
    <row r="1" spans="1:3" ht="30" customHeight="1" x14ac:dyDescent="0.25">
      <c r="A1" s="17" t="s">
        <v>958</v>
      </c>
      <c r="B1" s="18" t="s">
        <v>959</v>
      </c>
      <c r="C1" s="19" t="s">
        <v>7</v>
      </c>
    </row>
    <row r="2" spans="1:3" x14ac:dyDescent="0.25">
      <c r="A2" s="15" t="s">
        <v>498</v>
      </c>
      <c r="B2" s="4" t="s">
        <v>960</v>
      </c>
      <c r="C2" s="16" t="s">
        <v>14</v>
      </c>
    </row>
    <row r="3" spans="1:3" x14ac:dyDescent="0.25">
      <c r="A3" s="15" t="s">
        <v>500</v>
      </c>
      <c r="B3" s="4" t="s">
        <v>961</v>
      </c>
      <c r="C3" s="16" t="s">
        <v>14</v>
      </c>
    </row>
    <row r="4" spans="1:3" x14ac:dyDescent="0.25">
      <c r="A4" s="15" t="s">
        <v>517</v>
      </c>
      <c r="B4" s="4" t="s">
        <v>962</v>
      </c>
      <c r="C4" s="16" t="s">
        <v>18</v>
      </c>
    </row>
    <row r="5" spans="1:3" x14ac:dyDescent="0.25">
      <c r="A5" s="15" t="s">
        <v>503</v>
      </c>
      <c r="B5" s="4" t="s">
        <v>963</v>
      </c>
      <c r="C5" s="16" t="s">
        <v>18</v>
      </c>
    </row>
    <row r="6" spans="1:3" x14ac:dyDescent="0.25">
      <c r="A6" s="15" t="s">
        <v>509</v>
      </c>
      <c r="B6" s="4" t="s">
        <v>964</v>
      </c>
      <c r="C6" s="16" t="s">
        <v>22</v>
      </c>
    </row>
    <row r="7" spans="1:3" x14ac:dyDescent="0.25">
      <c r="A7" s="20" t="s">
        <v>520</v>
      </c>
      <c r="B7" s="21" t="s">
        <v>965</v>
      </c>
      <c r="C7" s="22" t="s">
        <v>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zoomScaleNormal="100" workbookViewId="0">
      <pane ySplit="1" topLeftCell="A2" activePane="bottomLeft" state="frozen"/>
      <selection pane="bottomLeft" sqref="A1:B4"/>
    </sheetView>
  </sheetViews>
  <sheetFormatPr defaultColWidth="8.7109375" defaultRowHeight="15" x14ac:dyDescent="0.25"/>
  <cols>
    <col min="1" max="1" width="20" customWidth="1"/>
    <col min="2" max="2" width="16.7109375" customWidth="1"/>
  </cols>
  <sheetData>
    <row r="1" spans="1:2" ht="30" customHeight="1" x14ac:dyDescent="0.25">
      <c r="A1" s="17" t="s">
        <v>966</v>
      </c>
      <c r="B1" s="19" t="s">
        <v>967</v>
      </c>
    </row>
    <row r="2" spans="1:2" x14ac:dyDescent="0.25">
      <c r="A2" s="15" t="s">
        <v>854</v>
      </c>
      <c r="B2" s="16" t="s">
        <v>968</v>
      </c>
    </row>
    <row r="3" spans="1:2" x14ac:dyDescent="0.25">
      <c r="A3" s="15" t="s">
        <v>859</v>
      </c>
      <c r="B3" s="16" t="s">
        <v>969</v>
      </c>
    </row>
    <row r="4" spans="1:2" x14ac:dyDescent="0.25">
      <c r="A4" s="20" t="s">
        <v>864</v>
      </c>
      <c r="B4" s="22" t="s">
        <v>970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zoomScaleNormal="100" workbookViewId="0">
      <pane ySplit="1" topLeftCell="A2" activePane="bottomLeft" state="frozen"/>
      <selection pane="bottomLeft" activeCell="B6" sqref="B6"/>
    </sheetView>
  </sheetViews>
  <sheetFormatPr defaultColWidth="8.7109375" defaultRowHeight="15" x14ac:dyDescent="0.25"/>
  <cols>
    <col min="1" max="1" width="19.42578125" customWidth="1"/>
    <col min="2" max="2" width="22" customWidth="1"/>
  </cols>
  <sheetData>
    <row r="1" spans="1:2" ht="30" customHeight="1" x14ac:dyDescent="0.25">
      <c r="A1" s="17" t="s">
        <v>971</v>
      </c>
      <c r="B1" s="19" t="s">
        <v>972</v>
      </c>
    </row>
    <row r="2" spans="1:2" x14ac:dyDescent="0.25">
      <c r="A2" s="15" t="s">
        <v>853</v>
      </c>
      <c r="B2" s="16" t="s">
        <v>973</v>
      </c>
    </row>
    <row r="3" spans="1:2" x14ac:dyDescent="0.25">
      <c r="A3" s="15" t="s">
        <v>858</v>
      </c>
      <c r="B3" s="16" t="s">
        <v>974</v>
      </c>
    </row>
    <row r="4" spans="1:2" x14ac:dyDescent="0.25">
      <c r="A4" s="15" t="s">
        <v>863</v>
      </c>
      <c r="B4" s="16" t="s">
        <v>975</v>
      </c>
    </row>
    <row r="5" spans="1:2" x14ac:dyDescent="0.25">
      <c r="A5" s="15" t="s">
        <v>868</v>
      </c>
      <c r="B5" s="16" t="s">
        <v>976</v>
      </c>
    </row>
    <row r="6" spans="1:2" x14ac:dyDescent="0.25">
      <c r="A6" s="20" t="s">
        <v>872</v>
      </c>
      <c r="B6" s="22" t="s">
        <v>977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Dashboard_View</vt:lpstr>
      <vt:lpstr>Decision_Layer</vt:lpstr>
      <vt:lpstr>Data_Dictionary</vt:lpstr>
      <vt:lpstr>Fact_Production_Hourly</vt:lpstr>
      <vt:lpstr>Fact_Quality_Sampling</vt:lpstr>
      <vt:lpstr>Fact_Inspection</vt:lpstr>
      <vt:lpstr>Dim_Date</vt:lpstr>
      <vt:lpstr>Dim_Time</vt:lpstr>
      <vt:lpstr>Dim_Machine</vt:lpstr>
      <vt:lpstr>Dim_Product</vt:lpstr>
      <vt:lpstr>Dim_Shift</vt:lpstr>
      <vt:lpstr>Dim_Defect</vt:lpstr>
      <vt:lpstr>Dim_Inspector</vt:lpstr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Fergany</cp:lastModifiedBy>
  <cp:revision>1</cp:revision>
  <dcterms:created xsi:type="dcterms:W3CDTF">2026-07-12T07:29:36Z</dcterms:created>
  <dcterms:modified xsi:type="dcterms:W3CDTF">2026-07-13T08:26:24Z</dcterms:modified>
  <dc:language>en-US</dc:language>
</cp:coreProperties>
</file>