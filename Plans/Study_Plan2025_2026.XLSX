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y_Plan" sheetId="1" state="visible" r:id="rId2"/>
    <sheet name="OLD Plan" sheetId="2" state="hidden" r:id="rId3"/>
    <sheet name="Sheet4" sheetId="3" state="hidden" r:id="rId4"/>
  </sheets>
  <definedNames>
    <definedName function="false" hidden="true" localSheetId="0" name="_xlnm._FilterDatabase" vbProcedure="false">Study_Plan!$G$1:$G$1000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<sst xmlns="http://schemas.openxmlformats.org/spreadsheetml/2006/main" count="615" uniqueCount="293">
  <si>
    <t xml:space="preserve">Science</t>
  </si>
  <si>
    <t xml:space="preserve">Branch</t>
  </si>
  <si>
    <t xml:space="preserve">Course Title</t>
  </si>
  <si>
    <t xml:space="preserve">Course Link</t>
  </si>
  <si>
    <t xml:space="preserve">Platform</t>
  </si>
  <si>
    <t xml:space="preserve">Number of Hours</t>
  </si>
  <si>
    <t xml:space="preserve">Priority</t>
  </si>
  <si>
    <t xml:space="preserve">Owner</t>
  </si>
  <si>
    <t xml:space="preserve">Status</t>
  </si>
  <si>
    <t xml:space="preserve">Start date</t>
  </si>
  <si>
    <t xml:space="preserve">End date</t>
  </si>
  <si>
    <t xml:space="preserve">Milestone</t>
  </si>
  <si>
    <t xml:space="preserve">Deliverable</t>
  </si>
  <si>
    <t xml:space="preserve">Notes</t>
  </si>
  <si>
    <t xml:space="preserve">Name of diploma</t>
  </si>
  <si>
    <t xml:space="preserve">required course</t>
  </si>
  <si>
    <t xml:space="preserve">required hours</t>
  </si>
  <si>
    <t xml:space="preserve">completed</t>
  </si>
  <si>
    <t xml:space="preserve">percentage of completion</t>
  </si>
  <si>
    <t xml:space="preserve">Total completeion</t>
  </si>
  <si>
    <t xml:space="preserve">AI</t>
  </si>
  <si>
    <t xml:space="preserve">Computer Vision</t>
  </si>
  <si>
    <t xml:space="preserve">Deep Learning for Computer Vision with Python and TensorFlow</t>
  </si>
  <si>
    <t xml:space="preserve">https://www.youtube.com/watch?v=IA3WxTTPXqQ&amp;t=4909s</t>
  </si>
  <si>
    <t xml:space="preserve">Youtube</t>
  </si>
  <si>
    <t xml:space="preserve">37</t>
  </si>
  <si>
    <t xml:space="preserve">P0</t>
  </si>
  <si>
    <t xml:space="preserve">Ahmed Ferganey</t>
  </si>
  <si>
    <t xml:space="preserve">In progress</t>
  </si>
  <si>
    <t xml:space="preserve">Practical</t>
  </si>
  <si>
    <t xml:space="preserve">Autosar</t>
  </si>
  <si>
    <t xml:space="preserve">autosar diploma waleed esmail</t>
  </si>
  <si>
    <t xml:space="preserve">OpenCV Python</t>
  </si>
  <si>
    <t xml:space="preserve">https://www.youtube.com/watch?v=MVkny_XLK_U&amp;t=19s</t>
  </si>
  <si>
    <t xml:space="preserve">14</t>
  </si>
  <si>
    <t xml:space="preserve">P1</t>
  </si>
  <si>
    <t xml:space="preserve">Data science and Machine learning</t>
  </si>
  <si>
    <t xml:space="preserve">PythonLib_C++_DS_AL_OOP</t>
  </si>
  <si>
    <t xml:space="preserve">Computer Vision — Andreas Geiger</t>
  </si>
  <si>
    <t xml:space="preserve">https://www.youtube.com/playlist?list=PL05umP7R6ij35L2MHGzis8AEHz7mg381_</t>
  </si>
  <si>
    <t xml:space="preserve">22</t>
  </si>
  <si>
    <t xml:space="preserve">Theoritical</t>
  </si>
  <si>
    <t xml:space="preserve">linux admin and networking</t>
  </si>
  <si>
    <t xml:space="preserve">Python OpenCV</t>
  </si>
  <si>
    <t xml:space="preserve">https://www.youtube.com/watch?v=44xdiWLm4Xo</t>
  </si>
  <si>
    <t xml:space="preserve">10</t>
  </si>
  <si>
    <t xml:space="preserve">P3</t>
  </si>
  <si>
    <t xml:space="preserve">Not started</t>
  </si>
  <si>
    <t xml:space="preserve">SQL "ITI"</t>
  </si>
  <si>
    <t xml:space="preserve">APIs &amp; Microservices</t>
  </si>
  <si>
    <t xml:space="preserve">Python API Development</t>
  </si>
  <si>
    <t xml:space="preserve">https://www.youtube.com/watch?v=0sOvCWFmrtA</t>
  </si>
  <si>
    <t xml:space="preserve">19</t>
  </si>
  <si>
    <t xml:space="preserve">Machine learning "hesham asem"</t>
  </si>
  <si>
    <t xml:space="preserve">Microservice Architecture and System Design </t>
  </si>
  <si>
    <t xml:space="preserve">https://www.youtube.com/watch?v=hmkF77F9TLw</t>
  </si>
  <si>
    <t xml:space="preserve">5</t>
  </si>
  <si>
    <t xml:space="preserve">python and docker "Ahmed samy"</t>
  </si>
  <si>
    <t xml:space="preserve">Videos - Ahmed Ibrahim</t>
  </si>
  <si>
    <t xml:space="preserve">https://www.youtube.com/playlist?list=PLyhJeMedQd9RXCvFF-xzobJM6_8EV2aGS</t>
  </si>
  <si>
    <t xml:space="preserve">0.5</t>
  </si>
  <si>
    <t xml:space="preserve">Big data</t>
  </si>
  <si>
    <t xml:space="preserve">object detection ,counting and tracking - Ahmed Ibrahim</t>
  </si>
  <si>
    <t xml:space="preserve">https://www.youtube.com/playlist?list=PLyhJeMedQd9Rh7894oMCHqGcUu_xP7ToS</t>
  </si>
  <si>
    <t xml:space="preserve">4</t>
  </si>
  <si>
    <t xml:space="preserve">P2</t>
  </si>
  <si>
    <t xml:space="preserve">mysql</t>
  </si>
  <si>
    <t xml:space="preserve">object detection </t>
  </si>
  <si>
    <t xml:space="preserve">https://www.youtube.com/watch?v=WgPbbWmnXJ8</t>
  </si>
  <si>
    <t xml:space="preserve">mathimatics "ITI" "LA, ST, CAL, OP, NS"</t>
  </si>
  <si>
    <t xml:space="preserve">Advanced CV Projects</t>
  </si>
  <si>
    <t xml:space="preserve">https://www.youtube.com/watch?v=01sAkU_NvOY&amp;t=778s</t>
  </si>
  <si>
    <t xml:space="preserve">6</t>
  </si>
  <si>
    <t xml:space="preserve">Projects</t>
  </si>
  <si>
    <t xml:space="preserve">Playlist - Ahmed ibrahim</t>
  </si>
  <si>
    <t xml:space="preserve">https://www.youtube.com/playlist?list=PLyhJeMedQd9QrXtCspclJ9ace2urp05o0</t>
  </si>
  <si>
    <t xml:space="preserve">Deep Learning</t>
  </si>
  <si>
    <t xml:space="preserve">Theory_Framework</t>
  </si>
  <si>
    <t xml:space="preserve">Kubernetes</t>
  </si>
  <si>
    <t xml:space="preserve">https://www.youtube.com/watch?v=2T86xAtR6Fo</t>
  </si>
  <si>
    <t xml:space="preserve">Embedded Linux</t>
  </si>
  <si>
    <t xml:space="preserve">FastAPI Python</t>
  </si>
  <si>
    <t xml:space="preserve">https://www.youtube.com/watch?v=tiBeLLv5GJo</t>
  </si>
  <si>
    <t xml:space="preserve">NLP and Generative AI</t>
  </si>
  <si>
    <t xml:space="preserve">Build an AI/ML Basketball Analysis system with YOLO, OpenCV, and Python</t>
  </si>
  <si>
    <t xml:space="preserve">https://www.youtube.com/watch?v=QqVahw9tBfw&amp;t=20s</t>
  </si>
  <si>
    <t xml:space="preserve">8</t>
  </si>
  <si>
    <t xml:space="preserve">Cloud "AWS, GCP, Azure"</t>
  </si>
  <si>
    <t xml:space="preserve">Postman</t>
  </si>
  <si>
    <t xml:space="preserve">https://www.youtube.com/watch?v=zp5Jh2FIpF0</t>
  </si>
  <si>
    <t xml:space="preserve">to test and debug the APIs you create with Flask or FastAPI.</t>
  </si>
  <si>
    <t xml:space="preserve">Tech Stack</t>
  </si>
  <si>
    <t xml:space="preserve">MLflow, Kubeflow, Kubernates, </t>
  </si>
  <si>
    <t xml:space="preserve">Fast API</t>
  </si>
  <si>
    <t xml:space="preserve">https://www.youtube.com/watch?v=TO4aQ3ghFOc</t>
  </si>
  <si>
    <t xml:space="preserve">13</t>
  </si>
  <si>
    <t xml:space="preserve">Computer vision</t>
  </si>
  <si>
    <t xml:space="preserve">Embedded AI</t>
  </si>
  <si>
    <t xml:space="preserve">IOT</t>
  </si>
  <si>
    <t xml:space="preserve">https://www.youtube.com/playlist?list=PLYwpaL_SFmcB8fDd64B8SkJiPpEIzpCzC</t>
  </si>
  <si>
    <t xml:space="preserve">FastAPI, Flask, Postman,Mqtt,CoAP, Http</t>
  </si>
  <si>
    <t xml:space="preserve">mqtt and python</t>
  </si>
  <si>
    <t xml:space="preserve">https://www.youtube.com/playlist?list=PLk0D2S-fqJ7aXM3PG0cgXCVcfgbdMsl7-</t>
  </si>
  <si>
    <t xml:space="preserve">Design pattern</t>
  </si>
  <si>
    <t xml:space="preserve">Cloud</t>
  </si>
  <si>
    <t xml:space="preserve">AWS</t>
  </si>
  <si>
    <t xml:space="preserve">AWS Prationter</t>
  </si>
  <si>
    <t xml:space="preserve">https://www.youtube.com/watch?v=NhDYbskXRgc&amp;t=4052s</t>
  </si>
  <si>
    <t xml:space="preserve">15</t>
  </si>
  <si>
    <t xml:space="preserve">zephyr project</t>
  </si>
  <si>
    <t xml:space="preserve">MLOPS</t>
  </si>
  <si>
    <t xml:space="preserve">Build Machine Learning Production Grade Projects "MLFlow"</t>
  </si>
  <si>
    <t xml:space="preserve">https://www.youtube.com/watch?v=-dJPoLm_gtE</t>
  </si>
  <si>
    <t xml:space="preserve">3</t>
  </si>
  <si>
    <t xml:space="preserve">Threading &amp; Multiprocessing</t>
  </si>
  <si>
    <t xml:space="preserve">Python threading, multiprocessing, async, 
GIL, CUDA toolkit, Numba, PyCUDA, 
GPU-accelerated image processing</t>
  </si>
  <si>
    <t xml:space="preserve">SQL </t>
  </si>
  <si>
    <t xml:space="preserve">Data warehouse project</t>
  </si>
  <si>
    <t xml:space="preserve">https://www.youtube.com/watch?v=9GVqKuTVANE</t>
  </si>
  <si>
    <t xml:space="preserve">AOSP, java, kotlin,AAOS,C++</t>
  </si>
  <si>
    <t xml:space="preserve">Generative AI</t>
  </si>
  <si>
    <t xml:space="preserve">Generative AI On AWS</t>
  </si>
  <si>
    <t xml:space="preserve">https://www.youtube.com/playlist?list=PLZoTAELRMXVP5zpBfH7pab4aB1LbmCM1z</t>
  </si>
  <si>
    <t xml:space="preserve">CUDA Programming Course</t>
  </si>
  <si>
    <t xml:space="preserve">https://www.youtube.com/watch?v=86FAWCzIe_4</t>
  </si>
  <si>
    <t xml:space="preserve">12</t>
  </si>
  <si>
    <t xml:space="preserve">Kafka</t>
  </si>
  <si>
    <t xml:space="preserve">https://www.youtube.com/playlist?list=PLYmXYyXCMsfMMhiKPw4k1FF7KWxOEajsA</t>
  </si>
  <si>
    <t xml:space="preserve">Prometheus and Grafana for Monitoring and Observability</t>
  </si>
  <si>
    <t xml:space="preserve">https://www.youtube.com/watch?v=L-dDeZjZUiA</t>
  </si>
  <si>
    <t xml:space="preserve">MBA</t>
  </si>
  <si>
    <t xml:space="preserve">Learn Observability</t>
  </si>
  <si>
    <t xml:space="preserve">https://www.youtube.com/watch?v=cYAE0ZhT43c</t>
  </si>
  <si>
    <t xml:space="preserve">Deutsch</t>
  </si>
  <si>
    <t xml:space="preserve">https://www.youtube.com/watch?v=-LF0O8T5sOI&amp;t=16s</t>
  </si>
  <si>
    <t xml:space="preserve">English</t>
  </si>
  <si>
    <t xml:space="preserve">English and advvaned english</t>
  </si>
  <si>
    <t xml:space="preserve">Multithreading in python</t>
  </si>
  <si>
    <t xml:space="preserve">https://www.youtube.com/playlist?list=PLI4OVrCFuY57b_16D8xs7-hmABHncVD_w</t>
  </si>
  <si>
    <t xml:space="preserve">7</t>
  </si>
  <si>
    <t xml:space="preserve">Embedded System</t>
  </si>
  <si>
    <t xml:space="preserve">Embedded Android</t>
  </si>
  <si>
    <t xml:space="preserve">AOSP - Hazem khaled</t>
  </si>
  <si>
    <t xml:space="preserve">Offline</t>
  </si>
  <si>
    <t xml:space="preserve">200</t>
  </si>
  <si>
    <t xml:space="preserve">Hazem Khaled</t>
  </si>
  <si>
    <t xml:space="preserve">Theoritical&amp;Practical</t>
  </si>
  <si>
    <t xml:space="preserve">Deep seek</t>
  </si>
  <si>
    <t xml:space="preserve">https://www.youtube.com/watch?v=5avSMc79V-w</t>
  </si>
  <si>
    <t xml:space="preserve">Language</t>
  </si>
  <si>
    <t xml:space="preserve">Deutsch A1</t>
  </si>
  <si>
    <t xml:space="preserve">DKW</t>
  </si>
  <si>
    <t xml:space="preserve">24</t>
  </si>
  <si>
    <t xml:space="preserve">Deutsch A2</t>
  </si>
  <si>
    <t xml:space="preserve">Docker</t>
  </si>
  <si>
    <t xml:space="preserve">https://www.youtube.com/watch?v=RqTEHSBrYFw</t>
  </si>
  <si>
    <t xml:space="preserve">Cloud Computing</t>
  </si>
  <si>
    <t xml:space="preserve">https://www.youtube.com/watch?v=2LaAJq1lB1Q&amp;list=PL9ooVrP1hQOFtZ5oAAeOgi_nH-txMcDMu&amp;index=1</t>
  </si>
  <si>
    <t xml:space="preserve">11</t>
  </si>
  <si>
    <t xml:space="preserve">Date</t>
  </si>
  <si>
    <t xml:space="preserve">Salary</t>
  </si>
  <si>
    <t xml:space="preserve">Over time</t>
  </si>
  <si>
    <t xml:space="preserve">Value added cost</t>
  </si>
  <si>
    <t xml:space="preserve">Non value added cost</t>
  </si>
  <si>
    <t xml:space="preserve">Total losses</t>
  </si>
  <si>
    <t xml:space="preserve">Total savings</t>
  </si>
  <si>
    <t xml:space="preserve">Cum salary</t>
  </si>
  <si>
    <t xml:space="preserve">Cum overtime</t>
  </si>
  <si>
    <t xml:space="preserve">Cum NVA Losses</t>
  </si>
  <si>
    <t xml:space="preserve">Cum Losses</t>
  </si>
  <si>
    <t xml:space="preserve">Cum savings</t>
  </si>
  <si>
    <t xml:space="preserve">% Savings</t>
  </si>
  <si>
    <t xml:space="preserve">% Cum Savings</t>
  </si>
  <si>
    <t xml:space="preserve">Month</t>
  </si>
  <si>
    <t xml:space="preserve">In housing</t>
  </si>
  <si>
    <t xml:space="preserve">Occasions</t>
  </si>
  <si>
    <t xml:space="preserve">Mariam :D</t>
  </si>
  <si>
    <t xml:space="preserve">Gifts</t>
  </si>
  <si>
    <t xml:space="preserve">Oper</t>
  </si>
  <si>
    <t xml:space="preserve">Transportation</t>
  </si>
  <si>
    <t xml:space="preserve">Breakfast</t>
  </si>
  <si>
    <t xml:space="preserve">Losses</t>
  </si>
  <si>
    <t xml:space="preserve">Savings</t>
  </si>
  <si>
    <t xml:space="preserve">% savings</t>
  </si>
  <si>
    <t xml:space="preserve">30-12</t>
  </si>
  <si>
    <t xml:space="preserve">30-1</t>
  </si>
  <si>
    <t xml:space="preserve">30-2</t>
  </si>
  <si>
    <t xml:space="preserve">30-3</t>
  </si>
  <si>
    <t xml:space="preserve">30-4</t>
  </si>
  <si>
    <t xml:space="preserve">30-5</t>
  </si>
  <si>
    <t xml:space="preserve">30-6</t>
  </si>
  <si>
    <t xml:space="preserve">30-7</t>
  </si>
  <si>
    <t xml:space="preserve">30-8</t>
  </si>
  <si>
    <t xml:space="preserve">30-9</t>
  </si>
  <si>
    <t xml:space="preserve">30-10</t>
  </si>
  <si>
    <t xml:space="preserve">30-11</t>
  </si>
  <si>
    <t xml:space="preserve">ملابس</t>
  </si>
  <si>
    <t xml:space="preserve">الشبكه </t>
  </si>
  <si>
    <t xml:space="preserve">الفرح</t>
  </si>
  <si>
    <t xml:space="preserve">اعياد ميلاد </t>
  </si>
  <si>
    <t xml:space="preserve">الاجمالى</t>
  </si>
  <si>
    <t xml:space="preserve">ساعة</t>
  </si>
  <si>
    <t xml:space="preserve">الدهب</t>
  </si>
  <si>
    <t xml:space="preserve">القاعة والسيشن</t>
  </si>
  <si>
    <t xml:space="preserve">عيد ام </t>
  </si>
  <si>
    <t xml:space="preserve">برفيوم</t>
  </si>
  <si>
    <t xml:space="preserve">المصنعيه </t>
  </si>
  <si>
    <t xml:space="preserve">فستان العروسه </t>
  </si>
  <si>
    <t xml:space="preserve">عيد ميلاد اب وام </t>
  </si>
  <si>
    <t xml:space="preserve">طقم الخطوبة</t>
  </si>
  <si>
    <t xml:space="preserve">مصاريف جانبيه </t>
  </si>
  <si>
    <t xml:space="preserve">الميكاب عروسه وعريس</t>
  </si>
  <si>
    <t xml:space="preserve">عيدين فطر واضحي </t>
  </si>
  <si>
    <t xml:space="preserve">بدله الفرح </t>
  </si>
  <si>
    <t xml:space="preserve">مصاريف جانبيه للعروسه </t>
  </si>
  <si>
    <t xml:space="preserve">عيد ميلاد </t>
  </si>
  <si>
    <t xml:space="preserve">ملابس داخليه </t>
  </si>
  <si>
    <t xml:space="preserve">سفر</t>
  </si>
  <si>
    <t xml:space="preserve">خروجات </t>
  </si>
  <si>
    <t xml:space="preserve">ملابس صيفيه</t>
  </si>
  <si>
    <t xml:space="preserve">مصاريف جانبيه</t>
  </si>
  <si>
    <t xml:space="preserve">ملابس شتويه </t>
  </si>
  <si>
    <t xml:space="preserve">ملابس بيت </t>
  </si>
  <si>
    <t xml:space="preserve">الاجمالى </t>
  </si>
  <si>
    <t xml:space="preserve">المحقق </t>
  </si>
  <si>
    <t xml:space="preserve">المتبقي</t>
  </si>
  <si>
    <t xml:space="preserve">الشقة</t>
  </si>
  <si>
    <t xml:space="preserve">دور ابويا فى الشقه</t>
  </si>
  <si>
    <t xml:space="preserve">دورى فى الشقة</t>
  </si>
  <si>
    <t xml:space="preserve">دور ابويا فى العزال</t>
  </si>
  <si>
    <t xml:space="preserve">دورى فى العزال</t>
  </si>
  <si>
    <t xml:space="preserve">دورى فى الفرح </t>
  </si>
  <si>
    <t xml:space="preserve">المطلوب منهم</t>
  </si>
  <si>
    <t xml:space="preserve">المطلوب مني </t>
  </si>
  <si>
    <t xml:space="preserve">المطلوب الكلى</t>
  </si>
  <si>
    <t xml:space="preserve">البند العام </t>
  </si>
  <si>
    <t xml:space="preserve">البند الخاص</t>
  </si>
  <si>
    <t xml:space="preserve">التكلفه </t>
  </si>
  <si>
    <t xml:space="preserve">المحقق</t>
  </si>
  <si>
    <t xml:space="preserve">الدور </t>
  </si>
  <si>
    <t xml:space="preserve">تعديلات معماريه</t>
  </si>
  <si>
    <t xml:space="preserve">انا</t>
  </si>
  <si>
    <t xml:space="preserve">المحقق منهم </t>
  </si>
  <si>
    <t xml:space="preserve">السباكه</t>
  </si>
  <si>
    <t xml:space="preserve">التاسيس</t>
  </si>
  <si>
    <t xml:space="preserve">ابويا</t>
  </si>
  <si>
    <t xml:space="preserve">المحقق مني </t>
  </si>
  <si>
    <t xml:space="preserve">التشطيب</t>
  </si>
  <si>
    <t xml:space="preserve">الكهربا</t>
  </si>
  <si>
    <t xml:space="preserve">السيراميك </t>
  </si>
  <si>
    <t xml:space="preserve">الجيبسمبورد</t>
  </si>
  <si>
    <t xml:space="preserve">الالوميتال</t>
  </si>
  <si>
    <t xml:space="preserve">النقاشه</t>
  </si>
  <si>
    <t xml:space="preserve">المحاره </t>
  </si>
  <si>
    <t xml:space="preserve">النجاره</t>
  </si>
  <si>
    <t xml:space="preserve">Alarm</t>
  </si>
  <si>
    <t xml:space="preserve">العزال</t>
  </si>
  <si>
    <t xml:space="preserve">البند العام</t>
  </si>
  <si>
    <t xml:space="preserve">التكلفة</t>
  </si>
  <si>
    <t xml:space="preserve">الاوض</t>
  </si>
  <si>
    <t xml:space="preserve">اوضه النوم</t>
  </si>
  <si>
    <t xml:space="preserve">اوضه الصالون </t>
  </si>
  <si>
    <t xml:space="preserve">اوضه سفرة</t>
  </si>
  <si>
    <t xml:space="preserve">المكتب + living</t>
  </si>
  <si>
    <t xml:space="preserve">اوضه الاطفال</t>
  </si>
  <si>
    <t xml:space="preserve">هى </t>
  </si>
  <si>
    <t xml:space="preserve">المطبخ</t>
  </si>
  <si>
    <t xml:space="preserve">كماليات</t>
  </si>
  <si>
    <t xml:space="preserve">السجاد</t>
  </si>
  <si>
    <t xml:space="preserve">النجف</t>
  </si>
  <si>
    <t xml:space="preserve"> </t>
  </si>
  <si>
    <t xml:space="preserve">Target Date</t>
  </si>
  <si>
    <t xml:space="preserve">Non value added cost "Essential"</t>
  </si>
  <si>
    <t xml:space="preserve">Non value added cost "Non-Essential"        </t>
  </si>
  <si>
    <t xml:space="preserve">Personal</t>
  </si>
  <si>
    <t xml:space="preserve">Weekend</t>
  </si>
  <si>
    <t xml:space="preserve">30-12-2023</t>
  </si>
  <si>
    <t xml:space="preserve">30-12-2024</t>
  </si>
  <si>
    <t xml:space="preserve">Consumer Price Index CPI</t>
  </si>
  <si>
    <t xml:space="preserve"> Core Consumer Prices </t>
  </si>
  <si>
    <t xml:space="preserve">Core M/M</t>
  </si>
  <si>
    <t xml:space="preserve">Core Inflation Rate YoY </t>
  </si>
  <si>
    <t xml:space="preserve">CPI Housing Utilities </t>
  </si>
  <si>
    <t xml:space="preserve">CPI Transportation </t>
  </si>
  <si>
    <t xml:space="preserve">Food Inflation </t>
  </si>
  <si>
    <t xml:space="preserve">Inflation Rate YoY</t>
  </si>
  <si>
    <t xml:space="preserve"> Inflation Rate MoM</t>
  </si>
  <si>
    <t xml:space="preserve">OIL Price Egypt "92" $</t>
  </si>
  <si>
    <t xml:space="preserve">OIL Price brent $</t>
  </si>
  <si>
    <t xml:space="preserve">Currency</t>
  </si>
  <si>
    <t xml:space="preserve">Gold buying Global 31.1 $</t>
  </si>
  <si>
    <t xml:space="preserve">Gold buying Egyp 24 $</t>
  </si>
  <si>
    <t xml:space="preserve">Gold selling Egypt 24  $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</si>
</sst>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m/d/yyyy"/>
    <numFmt numFmtId="167" formatCode="0.00%"/>
    <numFmt numFmtId="168" formatCode="\$#,##0"/>
    <numFmt numFmtId="169" formatCode="0%"/>
    <numFmt numFmtId="170" formatCode="General"/>
    <numFmt numFmtId="171" formatCode="#,##0.00"/>
    <numFmt numFmtId="172" formatCode="\$#,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u val="single"/>
      <sz val="11"/>
      <color rgb="FF0000FF"/>
      <name val="Roboto"/>
      <family val="0"/>
      <charset val="1"/>
    </font>
    <font>
      <u val="single"/>
      <sz val="11"/>
      <color rgb="FF000000"/>
      <name val="Arial"/>
      <family val="0"/>
      <charset val="1"/>
    </font>
    <font>
      <sz val="11"/>
      <color rgb="FF000000"/>
      <name val="Robo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6D9EEB"/>
        <bgColor rgb="FF76A5AF"/>
      </patternFill>
    </fill>
    <fill>
      <patternFill patternType="solid">
        <fgColor rgb="FFCCCCC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4A853"/>
      </patternFill>
    </fill>
    <fill>
      <patternFill patternType="solid">
        <fgColor rgb="FFFFFFFF"/>
        <bgColor rgb="FFF6F8F9"/>
      </patternFill>
    </fill>
    <fill>
      <patternFill patternType="solid">
        <fgColor rgb="FFFF9900"/>
        <bgColor rgb="FFFF6D01"/>
      </patternFill>
    </fill>
    <fill>
      <patternFill patternType="solid">
        <fgColor rgb="FFCC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800080"/>
      </patternFill>
    </fill>
    <fill>
      <patternFill patternType="solid">
        <fgColor rgb="FFFF0000"/>
        <bgColor rgb="FFCC0000"/>
      </patternFill>
    </fill>
    <fill>
      <patternFill patternType="solid">
        <fgColor rgb="FF46BDC6"/>
        <bgColor rgb="FF76A5AF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EAD1DC"/>
      </patternFill>
    </fill>
    <fill>
      <patternFill patternType="solid">
        <fgColor rgb="FFF9CB9C"/>
        <bgColor rgb="FFEAD1DC"/>
      </patternFill>
    </fill>
    <fill>
      <patternFill patternType="solid">
        <fgColor rgb="FFD9EAD3"/>
        <bgColor rgb="FFFCE5CD"/>
      </patternFill>
    </fill>
    <fill>
      <patternFill patternType="solid">
        <fgColor rgb="FF76A5AF"/>
        <bgColor rgb="FF6D9EEB"/>
      </patternFill>
    </fill>
    <fill>
      <patternFill patternType="solid">
        <fgColor rgb="FFB6D7A8"/>
        <bgColor rgb="FFCCCCCC"/>
      </patternFill>
    </fill>
    <fill>
      <patternFill patternType="solid">
        <fgColor rgb="FF34A853"/>
        <bgColor rgb="FF46BDC6"/>
      </patternFill>
    </fill>
    <fill>
      <patternFill patternType="solid">
        <fgColor rgb="FF846100"/>
        <bgColor rgb="FFCC4125"/>
      </patternFill>
    </fill>
    <fill>
      <patternFill patternType="solid">
        <fgColor rgb="FFEAD1DC"/>
        <bgColor rgb="FFCCCCCC"/>
      </patternFill>
    </fill>
    <fill>
      <patternFill patternType="solid">
        <fgColor rgb="FFFF6D01"/>
        <bgColor rgb="FFFF9900"/>
      </patternFill>
    </fill>
    <fill>
      <patternFill patternType="solid">
        <fgColor rgb="FF990000"/>
        <bgColor rgb="FFCC0000"/>
      </patternFill>
    </fill>
    <fill>
      <patternFill patternType="solid">
        <fgColor rgb="FFCC4125"/>
        <bgColor rgb="FF993366"/>
      </patternFill>
    </fill>
    <fill>
      <patternFill patternType="solid">
        <fgColor rgb="FF93C47D"/>
        <bgColor rgb="FFB6D7A8"/>
      </patternFill>
    </fill>
    <fill>
      <patternFill patternType="solid">
        <fgColor rgb="FFC27BA0"/>
        <bgColor rgb="FF80808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n">
        <color rgb="FF2C5443"/>
      </left>
      <right style="thin">
        <color rgb="FF2C5443"/>
      </right>
      <top style="thin">
        <color rgb="FF2C5443"/>
      </top>
      <bottom style="thin">
        <color rgb="FF2C5443"/>
      </bottom>
      <diagonal/>
    </border>
    <border diagonalUp="false" diagonalDown="false">
      <left style="thick"/>
      <right style="thin">
        <color rgb="FFFFFFFF"/>
      </right>
      <top style="thin"/>
      <bottom style="thin"/>
      <diagonal/>
    </border>
    <border diagonalUp="false" diagonalDown="false">
      <left style="thick"/>
      <right style="thin">
        <color rgb="FFF6F8F9"/>
      </right>
      <top style="thin"/>
      <bottom style="thin"/>
      <diagonal/>
    </border>
    <border diagonalUp="false" diagonalDown="false">
      <left style="thin">
        <color rgb="FF2C5443"/>
      </left>
      <right style="thin">
        <color rgb="FFF6F8F9"/>
      </right>
      <top style="thin">
        <color rgb="FFF6F8F9"/>
      </top>
      <bottom style="thin">
        <color rgb="FF2C5443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2C5443"/>
      </bottom>
      <diagonal/>
    </border>
    <border diagonalUp="false" diagonalDown="false">
      <left style="thin">
        <color rgb="FFF6F8F9"/>
      </left>
      <right style="thin">
        <color rgb="FF2C5443"/>
      </right>
      <top style="thin">
        <color rgb="FFF6F8F9"/>
      </top>
      <bottom style="thin">
        <color rgb="FF2C5443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/>
      <top style="thick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1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9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D9EEB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46100"/>
      <rgbColor rgb="FF9900FF"/>
      <rgbColor rgb="FF008080"/>
      <rgbColor rgb="FFCCCCCC"/>
      <rgbColor rgb="FF808080"/>
      <rgbColor rgb="FF6D9EEB"/>
      <rgbColor rgb="FF993366"/>
      <rgbColor rgb="FFF6F8F9"/>
      <rgbColor rgb="FFCCFFFF"/>
      <rgbColor rgb="FF660066"/>
      <rgbColor rgb="FFC27BA0"/>
      <rgbColor rgb="FF0066CC"/>
      <rgbColor rgb="FFEAD1DC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D9EAD3"/>
      <rgbColor rgb="FFFCE5CD"/>
      <rgbColor rgb="FFB6D7A8"/>
      <rgbColor rgb="FFFF99CC"/>
      <rgbColor rgb="FFCC99FF"/>
      <rgbColor rgb="FFF9CB9C"/>
      <rgbColor rgb="FF3366FF"/>
      <rgbColor rgb="FF46BDC6"/>
      <rgbColor rgb="FF93C47D"/>
      <rgbColor rgb="FFFFCC00"/>
      <rgbColor rgb="FFFF9900"/>
      <rgbColor rgb="FFFF6D01"/>
      <rgbColor rgb="FF666699"/>
      <rgbColor rgb="FF76A5AF"/>
      <rgbColor rgb="FF003366"/>
      <rgbColor rgb="FF34A853"/>
      <rgbColor rgb="FF003300"/>
      <rgbColor rgb="FF333300"/>
      <rgbColor rgb="FFCC4125"/>
      <rgbColor rgb="FF993366"/>
      <rgbColor rgb="FF333399"/>
      <rgbColor rgb="FF2C54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IA3WxTTPXqQ&amp;t=4909s" TargetMode="External"/><Relationship Id="rId2" Type="http://schemas.openxmlformats.org/officeDocument/2006/relationships/hyperlink" Target="mailto:ahmed.ferganey707@gmail.com" TargetMode="External"/><Relationship Id="rId3" Type="http://schemas.openxmlformats.org/officeDocument/2006/relationships/hyperlink" Target="https://www.youtube.com/watch?v=MVkny_XLK_U&amp;t=19s" TargetMode="External"/><Relationship Id="rId4" Type="http://schemas.openxmlformats.org/officeDocument/2006/relationships/hyperlink" Target="mailto:ahmed.ferganey707@gmail.com" TargetMode="External"/><Relationship Id="rId5" Type="http://schemas.openxmlformats.org/officeDocument/2006/relationships/hyperlink" Target="https://www.youtube.com/playlist?list=PL05umP7R6ij35L2MHGzis8AEHz7mg381_" TargetMode="External"/><Relationship Id="rId6" Type="http://schemas.openxmlformats.org/officeDocument/2006/relationships/hyperlink" Target="mailto:ahmed.ferganey707@gmail.com" TargetMode="External"/><Relationship Id="rId7" Type="http://schemas.openxmlformats.org/officeDocument/2006/relationships/hyperlink" Target="https://www.youtube.com/watch?v=44xdiWLm4Xo" TargetMode="External"/><Relationship Id="rId8" Type="http://schemas.openxmlformats.org/officeDocument/2006/relationships/hyperlink" Target="mailto:ahmed.ferganey707@gmail.com" TargetMode="External"/><Relationship Id="rId9" Type="http://schemas.openxmlformats.org/officeDocument/2006/relationships/hyperlink" Target="https://www.youtube.com/watch?v=0sOvCWFmrtA" TargetMode="External"/><Relationship Id="rId10" Type="http://schemas.openxmlformats.org/officeDocument/2006/relationships/hyperlink" Target="mailto:ahmed.ferganey707@gmail.com" TargetMode="External"/><Relationship Id="rId11" Type="http://schemas.openxmlformats.org/officeDocument/2006/relationships/hyperlink" Target="https://www.youtube.com/watch?v=hmkF77F9TLw" TargetMode="External"/><Relationship Id="rId12" Type="http://schemas.openxmlformats.org/officeDocument/2006/relationships/hyperlink" Target="mailto:ahmed.ferganey707@gmail.com" TargetMode="External"/><Relationship Id="rId13" Type="http://schemas.openxmlformats.org/officeDocument/2006/relationships/hyperlink" Target="https://www.youtube.com/playlist?list=PLyhJeMedQd9RXCvFF-xzobJM6_8EV2aGS" TargetMode="External"/><Relationship Id="rId14" Type="http://schemas.openxmlformats.org/officeDocument/2006/relationships/hyperlink" Target="mailto:ahmed.ferganey707@gmail.com" TargetMode="External"/><Relationship Id="rId15" Type="http://schemas.openxmlformats.org/officeDocument/2006/relationships/hyperlink" Target="https://www.youtube.com/playlist?list=PLyhJeMedQd9Rh7894oMCHqGcUu_xP7ToS" TargetMode="External"/><Relationship Id="rId16" Type="http://schemas.openxmlformats.org/officeDocument/2006/relationships/hyperlink" Target="mailto:ahmed.ferganey707@gmail.com" TargetMode="External"/><Relationship Id="rId17" Type="http://schemas.openxmlformats.org/officeDocument/2006/relationships/hyperlink" Target="https://www.youtube.com/watch?v=WgPbbWmnXJ8" TargetMode="External"/><Relationship Id="rId18" Type="http://schemas.openxmlformats.org/officeDocument/2006/relationships/hyperlink" Target="mailto:ahmed.ferganey707@gmail.com" TargetMode="External"/><Relationship Id="rId19" Type="http://schemas.openxmlformats.org/officeDocument/2006/relationships/hyperlink" Target="https://www.youtube.com/watch?v=01sAkU_NvOY&amp;t=778s" TargetMode="External"/><Relationship Id="rId20" Type="http://schemas.openxmlformats.org/officeDocument/2006/relationships/hyperlink" Target="mailto:ahmed.ferganey707@gmail.com" TargetMode="External"/><Relationship Id="rId21" Type="http://schemas.openxmlformats.org/officeDocument/2006/relationships/hyperlink" Target="https://www.youtube.com/playlist?list=PLyhJeMedQd9QrXtCspclJ9ace2urp05o0" TargetMode="External"/><Relationship Id="rId22" Type="http://schemas.openxmlformats.org/officeDocument/2006/relationships/hyperlink" Target="mailto:ahmed.ferganey707@gmail.com" TargetMode="External"/><Relationship Id="rId23" Type="http://schemas.openxmlformats.org/officeDocument/2006/relationships/hyperlink" Target="https://www.youtube.com/watch?v=2T86xAtR6Fo" TargetMode="External"/><Relationship Id="rId24" Type="http://schemas.openxmlformats.org/officeDocument/2006/relationships/hyperlink" Target="mailto:ahmed.ferganey707@gmail.com" TargetMode="External"/><Relationship Id="rId25" Type="http://schemas.openxmlformats.org/officeDocument/2006/relationships/hyperlink" Target="https://www.youtube.com/watch?v=tiBeLLv5GJo" TargetMode="External"/><Relationship Id="rId26" Type="http://schemas.openxmlformats.org/officeDocument/2006/relationships/hyperlink" Target="mailto:ahmed.ferganey707@gmail.com" TargetMode="External"/><Relationship Id="rId27" Type="http://schemas.openxmlformats.org/officeDocument/2006/relationships/hyperlink" Target="https://www.youtube.com/watch?v=QqVahw9tBfw&amp;t=20s" TargetMode="External"/><Relationship Id="rId28" Type="http://schemas.openxmlformats.org/officeDocument/2006/relationships/hyperlink" Target="mailto:ahmed.ferganey707@gmail.com" TargetMode="External"/><Relationship Id="rId29" Type="http://schemas.openxmlformats.org/officeDocument/2006/relationships/hyperlink" Target="https://www.youtube.com/watch?v=zp5Jh2FIpF0" TargetMode="External"/><Relationship Id="rId30" Type="http://schemas.openxmlformats.org/officeDocument/2006/relationships/hyperlink" Target="mailto:ahmed.ferganey707@gmail.com" TargetMode="External"/><Relationship Id="rId31" Type="http://schemas.openxmlformats.org/officeDocument/2006/relationships/hyperlink" Target="https://www.youtube.com/watch?v=TO4aQ3ghFOc" TargetMode="External"/><Relationship Id="rId32" Type="http://schemas.openxmlformats.org/officeDocument/2006/relationships/hyperlink" Target="mailto:ahmed.ferganey707@gmail.com" TargetMode="External"/><Relationship Id="rId33" Type="http://schemas.openxmlformats.org/officeDocument/2006/relationships/hyperlink" Target="https://www.youtube.com/playlist?list=PLYwpaL_SFmcB8fDd64B8SkJiPpEIzpCzC" TargetMode="External"/><Relationship Id="rId34" Type="http://schemas.openxmlformats.org/officeDocument/2006/relationships/hyperlink" Target="mailto:ahmed.ferganey707@gmail.com" TargetMode="External"/><Relationship Id="rId35" Type="http://schemas.openxmlformats.org/officeDocument/2006/relationships/hyperlink" Target="https://www.youtube.com/playlist?list=PLk0D2S-fqJ7aXM3PG0cgXCVcfgbdMsl7-" TargetMode="External"/><Relationship Id="rId36" Type="http://schemas.openxmlformats.org/officeDocument/2006/relationships/hyperlink" Target="mailto:ahmed.ferganey707@gmail.com" TargetMode="External"/><Relationship Id="rId37" Type="http://schemas.openxmlformats.org/officeDocument/2006/relationships/hyperlink" Target="https://www.youtube.com/watch?v=NhDYbskXRgc&amp;t=4052s" TargetMode="External"/><Relationship Id="rId38" Type="http://schemas.openxmlformats.org/officeDocument/2006/relationships/hyperlink" Target="mailto:ahmed.ferganey707@gmail.com" TargetMode="External"/><Relationship Id="rId39" Type="http://schemas.openxmlformats.org/officeDocument/2006/relationships/hyperlink" Target="https://www.youtube.com/watch?v=-dJPoLm_gtE" TargetMode="External"/><Relationship Id="rId40" Type="http://schemas.openxmlformats.org/officeDocument/2006/relationships/hyperlink" Target="mailto:ahmed.ferganey707@gmail.com" TargetMode="External"/><Relationship Id="rId41" Type="http://schemas.openxmlformats.org/officeDocument/2006/relationships/hyperlink" Target="https://www.youtube.com/watch?v=9GVqKuTVANE" TargetMode="External"/><Relationship Id="rId42" Type="http://schemas.openxmlformats.org/officeDocument/2006/relationships/hyperlink" Target="mailto:ahmed.ferganey707@gmail.com" TargetMode="External"/><Relationship Id="rId43" Type="http://schemas.openxmlformats.org/officeDocument/2006/relationships/hyperlink" Target="https://www.youtube.com/playlist?list=PLZoTAELRMXVP5zpBfH7pab4aB1LbmCM1z" TargetMode="External"/><Relationship Id="rId44" Type="http://schemas.openxmlformats.org/officeDocument/2006/relationships/hyperlink" Target="mailto:ahmed.ferganey707@gmail.com" TargetMode="External"/><Relationship Id="rId45" Type="http://schemas.openxmlformats.org/officeDocument/2006/relationships/hyperlink" Target="https://www.youtube.com/watch?v=86FAWCzIe_4" TargetMode="External"/><Relationship Id="rId46" Type="http://schemas.openxmlformats.org/officeDocument/2006/relationships/hyperlink" Target="mailto:ahmed.ferganey707@gmail.com" TargetMode="External"/><Relationship Id="rId47" Type="http://schemas.openxmlformats.org/officeDocument/2006/relationships/hyperlink" Target="https://www.youtube.com/playlist?list=PLYmXYyXCMsfMMhiKPw4k1FF7KWxOEajsA" TargetMode="External"/><Relationship Id="rId48" Type="http://schemas.openxmlformats.org/officeDocument/2006/relationships/hyperlink" Target="mailto:ahmed.ferganey707@gmail.com" TargetMode="External"/><Relationship Id="rId49" Type="http://schemas.openxmlformats.org/officeDocument/2006/relationships/hyperlink" Target="https://www.youtube.com/watch?v=L-dDeZjZUiA" TargetMode="External"/><Relationship Id="rId50" Type="http://schemas.openxmlformats.org/officeDocument/2006/relationships/hyperlink" Target="mailto:ahmed.ferganey707@gmail.com" TargetMode="External"/><Relationship Id="rId51" Type="http://schemas.openxmlformats.org/officeDocument/2006/relationships/hyperlink" Target="https://www.youtube.com/watch?v=cYAE0ZhT43c" TargetMode="External"/><Relationship Id="rId52" Type="http://schemas.openxmlformats.org/officeDocument/2006/relationships/hyperlink" Target="mailto:ahmed.ferganey707@gmail.com" TargetMode="External"/><Relationship Id="rId53" Type="http://schemas.openxmlformats.org/officeDocument/2006/relationships/hyperlink" Target="https://www.youtube.com/watch?v=-LF0O8T5sOI&amp;t=16s" TargetMode="External"/><Relationship Id="rId54" Type="http://schemas.openxmlformats.org/officeDocument/2006/relationships/hyperlink" Target="mailto:ahmed.ferganey707@gmail.com" TargetMode="External"/><Relationship Id="rId55" Type="http://schemas.openxmlformats.org/officeDocument/2006/relationships/hyperlink" Target="https://www.youtube.com/playlist?list=PLI4OVrCFuY57b_16D8xs7-hmABHncVD_w" TargetMode="External"/><Relationship Id="rId56" Type="http://schemas.openxmlformats.org/officeDocument/2006/relationships/hyperlink" Target="mailto:ahmed.ferganey707@gmail.com" TargetMode="External"/><Relationship Id="rId57" Type="http://schemas.openxmlformats.org/officeDocument/2006/relationships/hyperlink" Target="https://www.youtube.com/watch?v=5avSMc79V-w" TargetMode="External"/><Relationship Id="rId58" Type="http://schemas.openxmlformats.org/officeDocument/2006/relationships/hyperlink" Target="https://www.youtube.com/watch?v=RqTEHSBrYFw" TargetMode="External"/><Relationship Id="rId59" Type="http://schemas.openxmlformats.org/officeDocument/2006/relationships/hyperlink" Target="https://www.youtube.com/watch?v=2LaAJq1lB1Q&amp;list=PL9ooVrP1hQOFtZ5oAAeOgi_nH-txMcDMu&amp;index=1" TargetMode="External"/><Relationship Id="rId6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0.13"/>
    <col collapsed="false" customWidth="true" hidden="false" outlineLevel="0" max="2" min="2" style="0" width="24.26"/>
    <col collapsed="false" customWidth="true" hidden="false" outlineLevel="0" max="3" min="3" style="0" width="62.99"/>
    <col collapsed="false" customWidth="true" hidden="false" outlineLevel="0" max="4" min="4" style="0" width="69.63"/>
    <col collapsed="false" customWidth="true" hidden="false" outlineLevel="0" max="6" min="5" style="0" width="20.13"/>
    <col collapsed="false" customWidth="true" hidden="false" outlineLevel="0" max="9" min="7" style="0" width="15.13"/>
    <col collapsed="false" customWidth="true" hidden="false" outlineLevel="0" max="12" min="10" style="0" width="20.13"/>
    <col collapsed="false" customWidth="true" hidden="false" outlineLevel="0" max="13" min="13" style="0" width="22.62"/>
    <col collapsed="false" customWidth="true" hidden="false" outlineLevel="0" max="14" min="14" style="0" width="50.13"/>
    <col collapsed="false" customWidth="true" hidden="false" outlineLevel="0" max="17" min="17" style="0" width="36.25"/>
    <col collapsed="false" customWidth="true" hidden="false" outlineLevel="0" max="18" min="18" style="0" width="43.38"/>
    <col collapsed="false" customWidth="true" hidden="false" outlineLevel="0" max="19" min="19" style="0" width="16.87"/>
    <col collapsed="false" customWidth="true" hidden="false" outlineLevel="0" max="20" min="20" style="0" width="12.37"/>
    <col collapsed="false" customWidth="true" hidden="false" outlineLevel="0" max="21" min="21" style="0" width="15.75"/>
    <col collapsed="false" customWidth="true" hidden="false" outlineLevel="0" max="22" min="22" style="0" width="15.63"/>
    <col collapsed="false" customWidth="true" hidden="false" outlineLevel="0" max="23" min="23" style="0" width="19.88"/>
    <col collapsed="false" customWidth="true" hidden="false" outlineLevel="0" max="26" min="24" style="0" width="8.6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4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/>
      <c r="W1" s="5" t="s">
        <v>19</v>
      </c>
    </row>
    <row r="2" customFormat="false" ht="15" hidden="false" customHeight="false" outlineLevel="0" collapsed="false">
      <c r="A2" s="6" t="s">
        <v>20</v>
      </c>
      <c r="B2" s="7" t="s">
        <v>21</v>
      </c>
      <c r="C2" s="7" t="s">
        <v>22</v>
      </c>
      <c r="D2" s="8" t="s">
        <v>23</v>
      </c>
      <c r="E2" s="9" t="s">
        <v>24</v>
      </c>
      <c r="F2" s="9" t="s">
        <v>25</v>
      </c>
      <c r="G2" s="10" t="s">
        <v>26</v>
      </c>
      <c r="H2" s="11" t="s">
        <v>27</v>
      </c>
      <c r="I2" s="12" t="s">
        <v>28</v>
      </c>
      <c r="J2" s="13" t="n">
        <v>45778</v>
      </c>
      <c r="K2" s="13" t="n">
        <v>45807</v>
      </c>
      <c r="L2" s="9"/>
      <c r="M2" s="9"/>
      <c r="N2" s="14" t="s">
        <v>29</v>
      </c>
      <c r="Q2" s="15" t="s">
        <v>30</v>
      </c>
      <c r="R2" s="15" t="s">
        <v>31</v>
      </c>
      <c r="S2" s="16" t="n">
        <v>45</v>
      </c>
      <c r="T2" s="16" t="n">
        <v>45</v>
      </c>
      <c r="U2" s="17" t="n">
        <f aca="false">T2/S2</f>
        <v>1</v>
      </c>
      <c r="V2" s="17"/>
      <c r="W2" s="17" t="n">
        <f aca="false">((SUM(T2:T28)/(SUM(S2:S28))))</f>
        <v>0.455150554675119</v>
      </c>
    </row>
    <row r="3" customFormat="false" ht="15" hidden="false" customHeight="false" outlineLevel="0" collapsed="false">
      <c r="A3" s="18" t="s">
        <v>20</v>
      </c>
      <c r="B3" s="19" t="s">
        <v>21</v>
      </c>
      <c r="C3" s="19" t="s">
        <v>32</v>
      </c>
      <c r="D3" s="20" t="s">
        <v>33</v>
      </c>
      <c r="E3" s="21" t="s">
        <v>24</v>
      </c>
      <c r="F3" s="21" t="s">
        <v>34</v>
      </c>
      <c r="G3" s="22" t="s">
        <v>35</v>
      </c>
      <c r="H3" s="23" t="s">
        <v>27</v>
      </c>
      <c r="I3" s="24" t="s">
        <v>28</v>
      </c>
      <c r="J3" s="25"/>
      <c r="K3" s="25"/>
      <c r="L3" s="21"/>
      <c r="M3" s="21"/>
      <c r="N3" s="26" t="s">
        <v>29</v>
      </c>
      <c r="Q3" s="15" t="s">
        <v>36</v>
      </c>
      <c r="R3" s="15" t="s">
        <v>37</v>
      </c>
      <c r="S3" s="16" t="n">
        <v>210</v>
      </c>
      <c r="T3" s="16" t="n">
        <v>210</v>
      </c>
      <c r="U3" s="17" t="n">
        <f aca="false">T3/S3</f>
        <v>1</v>
      </c>
      <c r="V3" s="17"/>
      <c r="W3" s="17"/>
    </row>
    <row r="4" customFormat="false" ht="15" hidden="false" customHeight="false" outlineLevel="0" collapsed="false">
      <c r="A4" s="18" t="s">
        <v>20</v>
      </c>
      <c r="B4" s="19" t="s">
        <v>21</v>
      </c>
      <c r="C4" s="19" t="s">
        <v>38</v>
      </c>
      <c r="D4" s="20" t="s">
        <v>39</v>
      </c>
      <c r="E4" s="21" t="s">
        <v>24</v>
      </c>
      <c r="F4" s="21" t="s">
        <v>40</v>
      </c>
      <c r="G4" s="22" t="s">
        <v>26</v>
      </c>
      <c r="H4" s="23" t="s">
        <v>27</v>
      </c>
      <c r="I4" s="24" t="s">
        <v>28</v>
      </c>
      <c r="J4" s="13" t="n">
        <v>45778</v>
      </c>
      <c r="K4" s="13" t="n">
        <v>45807</v>
      </c>
      <c r="L4" s="21"/>
      <c r="M4" s="21"/>
      <c r="N4" s="26" t="s">
        <v>41</v>
      </c>
      <c r="Q4" s="15"/>
      <c r="R4" s="15" t="s">
        <v>42</v>
      </c>
      <c r="S4" s="22" t="n">
        <v>70</v>
      </c>
      <c r="T4" s="22" t="n">
        <v>36</v>
      </c>
      <c r="U4" s="17" t="n">
        <f aca="false">T4/S4</f>
        <v>0.514285714285714</v>
      </c>
      <c r="V4" s="17"/>
      <c r="W4" s="17"/>
    </row>
    <row r="5" customFormat="false" ht="15" hidden="false" customHeight="false" outlineLevel="0" collapsed="false">
      <c r="A5" s="18" t="s">
        <v>20</v>
      </c>
      <c r="B5" s="19" t="s">
        <v>21</v>
      </c>
      <c r="C5" s="19" t="s">
        <v>43</v>
      </c>
      <c r="D5" s="20" t="s">
        <v>44</v>
      </c>
      <c r="E5" s="21" t="s">
        <v>24</v>
      </c>
      <c r="F5" s="21" t="s">
        <v>45</v>
      </c>
      <c r="G5" s="22" t="s">
        <v>46</v>
      </c>
      <c r="H5" s="23" t="s">
        <v>27</v>
      </c>
      <c r="I5" s="22" t="s">
        <v>47</v>
      </c>
      <c r="J5" s="25"/>
      <c r="K5" s="25"/>
      <c r="L5" s="21"/>
      <c r="M5" s="21"/>
      <c r="N5" s="26" t="s">
        <v>29</v>
      </c>
      <c r="Q5" s="15"/>
      <c r="R5" s="15" t="s">
        <v>48</v>
      </c>
      <c r="S5" s="16" t="n">
        <v>27</v>
      </c>
      <c r="T5" s="16" t="n">
        <v>27</v>
      </c>
      <c r="U5" s="17" t="n">
        <f aca="false">T5/S5</f>
        <v>1</v>
      </c>
      <c r="V5" s="17"/>
      <c r="W5" s="17"/>
    </row>
    <row r="6" customFormat="false" ht="15" hidden="false" customHeight="false" outlineLevel="0" collapsed="false">
      <c r="A6" s="18" t="s">
        <v>20</v>
      </c>
      <c r="B6" s="19" t="s">
        <v>49</v>
      </c>
      <c r="C6" s="19" t="s">
        <v>50</v>
      </c>
      <c r="D6" s="20" t="s">
        <v>51</v>
      </c>
      <c r="E6" s="21" t="s">
        <v>24</v>
      </c>
      <c r="F6" s="21" t="s">
        <v>52</v>
      </c>
      <c r="G6" s="22" t="s">
        <v>26</v>
      </c>
      <c r="H6" s="23" t="s">
        <v>27</v>
      </c>
      <c r="I6" s="24" t="s">
        <v>28</v>
      </c>
      <c r="J6" s="13" t="n">
        <v>45778</v>
      </c>
      <c r="K6" s="13" t="n">
        <v>45807</v>
      </c>
      <c r="L6" s="21"/>
      <c r="M6" s="21"/>
      <c r="N6" s="14" t="s">
        <v>29</v>
      </c>
      <c r="Q6" s="15"/>
      <c r="R6" s="15" t="s">
        <v>53</v>
      </c>
      <c r="S6" s="16" t="n">
        <v>120</v>
      </c>
      <c r="T6" s="16" t="n">
        <v>120</v>
      </c>
      <c r="U6" s="17" t="n">
        <f aca="false">T6/S6</f>
        <v>1</v>
      </c>
      <c r="V6" s="17"/>
      <c r="W6" s="17"/>
    </row>
    <row r="7" customFormat="false" ht="15" hidden="false" customHeight="false" outlineLevel="0" collapsed="false">
      <c r="A7" s="18" t="s">
        <v>20</v>
      </c>
      <c r="B7" s="19" t="s">
        <v>49</v>
      </c>
      <c r="C7" s="19" t="s">
        <v>54</v>
      </c>
      <c r="D7" s="20" t="s">
        <v>55</v>
      </c>
      <c r="E7" s="21" t="s">
        <v>24</v>
      </c>
      <c r="F7" s="21" t="s">
        <v>56</v>
      </c>
      <c r="G7" s="22" t="s">
        <v>35</v>
      </c>
      <c r="H7" s="23" t="s">
        <v>27</v>
      </c>
      <c r="I7" s="22" t="s">
        <v>47</v>
      </c>
      <c r="J7" s="25"/>
      <c r="K7" s="25"/>
      <c r="L7" s="21"/>
      <c r="M7" s="21"/>
      <c r="N7" s="26"/>
      <c r="Q7" s="15"/>
      <c r="R7" s="15" t="s">
        <v>57</v>
      </c>
      <c r="S7" s="16" t="n">
        <v>25</v>
      </c>
      <c r="T7" s="16" t="n">
        <v>25</v>
      </c>
      <c r="U7" s="17" t="n">
        <f aca="false">T7/S7</f>
        <v>1</v>
      </c>
      <c r="V7" s="17"/>
      <c r="W7" s="17"/>
    </row>
    <row r="8" customFormat="false" ht="15" hidden="false" customHeight="false" outlineLevel="0" collapsed="false">
      <c r="A8" s="18" t="s">
        <v>20</v>
      </c>
      <c r="B8" s="19" t="s">
        <v>21</v>
      </c>
      <c r="C8" s="19" t="s">
        <v>58</v>
      </c>
      <c r="D8" s="20" t="s">
        <v>59</v>
      </c>
      <c r="E8" s="21" t="s">
        <v>24</v>
      </c>
      <c r="F8" s="21" t="s">
        <v>60</v>
      </c>
      <c r="G8" s="22" t="s">
        <v>46</v>
      </c>
      <c r="H8" s="23" t="s">
        <v>27</v>
      </c>
      <c r="I8" s="22" t="s">
        <v>47</v>
      </c>
      <c r="J8" s="25"/>
      <c r="K8" s="25"/>
      <c r="L8" s="21"/>
      <c r="M8" s="21"/>
      <c r="N8" s="26"/>
      <c r="Q8" s="15"/>
      <c r="R8" s="15" t="s">
        <v>61</v>
      </c>
      <c r="S8" s="22" t="n">
        <v>120</v>
      </c>
      <c r="T8" s="22" t="n">
        <v>20</v>
      </c>
      <c r="U8" s="17" t="n">
        <f aca="false">T8/S8</f>
        <v>0.166666666666667</v>
      </c>
      <c r="V8" s="17"/>
      <c r="W8" s="17"/>
    </row>
    <row r="9" customFormat="false" ht="15" hidden="false" customHeight="false" outlineLevel="0" collapsed="false">
      <c r="A9" s="18" t="s">
        <v>20</v>
      </c>
      <c r="B9" s="19" t="s">
        <v>21</v>
      </c>
      <c r="C9" s="19" t="s">
        <v>62</v>
      </c>
      <c r="D9" s="20" t="s">
        <v>63</v>
      </c>
      <c r="E9" s="21" t="s">
        <v>24</v>
      </c>
      <c r="F9" s="21" t="s">
        <v>64</v>
      </c>
      <c r="G9" s="22" t="s">
        <v>65</v>
      </c>
      <c r="H9" s="23" t="s">
        <v>27</v>
      </c>
      <c r="I9" s="22" t="s">
        <v>47</v>
      </c>
      <c r="J9" s="25"/>
      <c r="K9" s="25"/>
      <c r="L9" s="21"/>
      <c r="M9" s="21"/>
      <c r="N9" s="26"/>
      <c r="Q9" s="15"/>
      <c r="R9" s="15" t="s">
        <v>66</v>
      </c>
      <c r="S9" s="16" t="n">
        <v>10</v>
      </c>
      <c r="T9" s="16" t="n">
        <v>10</v>
      </c>
      <c r="U9" s="17" t="n">
        <f aca="false">T9/S9</f>
        <v>1</v>
      </c>
      <c r="V9" s="17"/>
      <c r="W9" s="17"/>
    </row>
    <row r="10" customFormat="false" ht="15" hidden="false" customHeight="false" outlineLevel="0" collapsed="false">
      <c r="A10" s="18" t="s">
        <v>20</v>
      </c>
      <c r="B10" s="19" t="s">
        <v>21</v>
      </c>
      <c r="C10" s="19" t="s">
        <v>67</v>
      </c>
      <c r="D10" s="20" t="s">
        <v>68</v>
      </c>
      <c r="E10" s="21" t="s">
        <v>24</v>
      </c>
      <c r="F10" s="21" t="s">
        <v>56</v>
      </c>
      <c r="G10" s="22" t="s">
        <v>65</v>
      </c>
      <c r="H10" s="23" t="s">
        <v>27</v>
      </c>
      <c r="I10" s="22" t="s">
        <v>47</v>
      </c>
      <c r="J10" s="25"/>
      <c r="K10" s="25"/>
      <c r="L10" s="21"/>
      <c r="M10" s="21"/>
      <c r="N10" s="26"/>
      <c r="Q10" s="15"/>
      <c r="R10" s="15" t="s">
        <v>69</v>
      </c>
      <c r="S10" s="16" t="n">
        <v>88</v>
      </c>
      <c r="T10" s="16" t="n">
        <v>88</v>
      </c>
      <c r="U10" s="17" t="n">
        <f aca="false">T10/S10</f>
        <v>1</v>
      </c>
      <c r="V10" s="17"/>
      <c r="W10" s="17"/>
    </row>
    <row r="11" customFormat="false" ht="15" hidden="false" customHeight="false" outlineLevel="0" collapsed="false">
      <c r="A11" s="18" t="s">
        <v>20</v>
      </c>
      <c r="B11" s="19" t="s">
        <v>21</v>
      </c>
      <c r="C11" s="19" t="s">
        <v>70</v>
      </c>
      <c r="D11" s="20" t="s">
        <v>71</v>
      </c>
      <c r="E11" s="21" t="s">
        <v>24</v>
      </c>
      <c r="F11" s="21" t="s">
        <v>72</v>
      </c>
      <c r="G11" s="22" t="s">
        <v>65</v>
      </c>
      <c r="H11" s="23" t="s">
        <v>27</v>
      </c>
      <c r="I11" s="22" t="s">
        <v>47</v>
      </c>
      <c r="J11" s="25"/>
      <c r="K11" s="25"/>
      <c r="L11" s="21"/>
      <c r="M11" s="21"/>
      <c r="N11" s="26"/>
      <c r="Q11" s="15" t="s">
        <v>73</v>
      </c>
      <c r="R11" s="15"/>
      <c r="S11" s="16" t="n">
        <v>300</v>
      </c>
      <c r="T11" s="16" t="n">
        <v>300</v>
      </c>
      <c r="U11" s="17" t="n">
        <f aca="false">T11/S11</f>
        <v>1</v>
      </c>
      <c r="V11" s="17"/>
      <c r="W11" s="17"/>
    </row>
    <row r="12" customFormat="false" ht="15" hidden="false" customHeight="false" outlineLevel="0" collapsed="false">
      <c r="A12" s="18" t="s">
        <v>20</v>
      </c>
      <c r="B12" s="19" t="s">
        <v>21</v>
      </c>
      <c r="C12" s="19" t="s">
        <v>74</v>
      </c>
      <c r="D12" s="20" t="s">
        <v>75</v>
      </c>
      <c r="E12" s="21" t="s">
        <v>24</v>
      </c>
      <c r="F12" s="21" t="s">
        <v>45</v>
      </c>
      <c r="G12" s="22" t="s">
        <v>35</v>
      </c>
      <c r="H12" s="23" t="s">
        <v>27</v>
      </c>
      <c r="I12" s="22" t="s">
        <v>47</v>
      </c>
      <c r="J12" s="25"/>
      <c r="K12" s="25"/>
      <c r="L12" s="21"/>
      <c r="M12" s="21"/>
      <c r="N12" s="26"/>
      <c r="Q12" s="15" t="s">
        <v>76</v>
      </c>
      <c r="R12" s="15" t="s">
        <v>77</v>
      </c>
      <c r="S12" s="16" t="n">
        <v>170</v>
      </c>
      <c r="T12" s="16" t="n">
        <v>170</v>
      </c>
      <c r="U12" s="17" t="n">
        <f aca="false">T12/S12</f>
        <v>1</v>
      </c>
      <c r="V12" s="17"/>
      <c r="W12" s="17"/>
    </row>
    <row r="13" customFormat="false" ht="15" hidden="false" customHeight="false" outlineLevel="0" collapsed="false">
      <c r="A13" s="18" t="s">
        <v>20</v>
      </c>
      <c r="B13" s="19" t="s">
        <v>49</v>
      </c>
      <c r="C13" s="19" t="s">
        <v>78</v>
      </c>
      <c r="D13" s="20" t="s">
        <v>79</v>
      </c>
      <c r="E13" s="21" t="s">
        <v>24</v>
      </c>
      <c r="F13" s="21" t="s">
        <v>72</v>
      </c>
      <c r="G13" s="22" t="s">
        <v>26</v>
      </c>
      <c r="H13" s="23" t="s">
        <v>27</v>
      </c>
      <c r="I13" s="24" t="s">
        <v>28</v>
      </c>
      <c r="J13" s="13" t="n">
        <v>45778</v>
      </c>
      <c r="K13" s="13" t="n">
        <v>45807</v>
      </c>
      <c r="L13" s="21"/>
      <c r="M13" s="21"/>
      <c r="N13" s="14" t="s">
        <v>29</v>
      </c>
      <c r="Q13" s="27" t="s">
        <v>80</v>
      </c>
      <c r="R13" s="27"/>
      <c r="S13" s="28" t="n">
        <v>150</v>
      </c>
      <c r="T13" s="28" t="n">
        <v>150</v>
      </c>
      <c r="U13" s="17" t="n">
        <f aca="false">T13/S13</f>
        <v>1</v>
      </c>
      <c r="V13" s="17"/>
      <c r="W13" s="17"/>
    </row>
    <row r="14" customFormat="false" ht="15" hidden="false" customHeight="false" outlineLevel="0" collapsed="false">
      <c r="A14" s="18" t="s">
        <v>20</v>
      </c>
      <c r="B14" s="19" t="s">
        <v>49</v>
      </c>
      <c r="C14" s="19" t="s">
        <v>81</v>
      </c>
      <c r="D14" s="20" t="s">
        <v>82</v>
      </c>
      <c r="E14" s="21" t="s">
        <v>24</v>
      </c>
      <c r="F14" s="21" t="s">
        <v>56</v>
      </c>
      <c r="G14" s="22" t="s">
        <v>35</v>
      </c>
      <c r="H14" s="23" t="s">
        <v>27</v>
      </c>
      <c r="I14" s="22" t="s">
        <v>47</v>
      </c>
      <c r="J14" s="25"/>
      <c r="K14" s="25"/>
      <c r="L14" s="21"/>
      <c r="M14" s="21"/>
      <c r="N14" s="26"/>
      <c r="Q14" s="15" t="s">
        <v>83</v>
      </c>
      <c r="R14" s="15"/>
      <c r="S14" s="22" t="n">
        <v>100</v>
      </c>
      <c r="T14" s="22" t="n">
        <v>20</v>
      </c>
      <c r="U14" s="17" t="n">
        <f aca="false">T14/S14</f>
        <v>0.2</v>
      </c>
      <c r="V14" s="17"/>
      <c r="W14" s="17"/>
    </row>
    <row r="15" customFormat="false" ht="15" hidden="false" customHeight="false" outlineLevel="0" collapsed="false">
      <c r="A15" s="18" t="s">
        <v>20</v>
      </c>
      <c r="B15" s="19" t="s">
        <v>21</v>
      </c>
      <c r="C15" s="19" t="s">
        <v>84</v>
      </c>
      <c r="D15" s="20" t="s">
        <v>85</v>
      </c>
      <c r="E15" s="21" t="s">
        <v>24</v>
      </c>
      <c r="F15" s="21" t="s">
        <v>86</v>
      </c>
      <c r="G15" s="22" t="s">
        <v>35</v>
      </c>
      <c r="H15" s="23" t="s">
        <v>27</v>
      </c>
      <c r="I15" s="22" t="s">
        <v>47</v>
      </c>
      <c r="J15" s="25"/>
      <c r="K15" s="25"/>
      <c r="L15" s="21"/>
      <c r="M15" s="21"/>
      <c r="N15" s="26"/>
      <c r="Q15" s="29" t="s">
        <v>87</v>
      </c>
      <c r="R15" s="15"/>
      <c r="S15" s="22" t="n">
        <v>80</v>
      </c>
      <c r="T15" s="22" t="n">
        <v>15</v>
      </c>
      <c r="U15" s="17" t="n">
        <f aca="false">T15/S15</f>
        <v>0.1875</v>
      </c>
      <c r="V15" s="17"/>
      <c r="W15" s="17"/>
    </row>
    <row r="16" customFormat="false" ht="15" hidden="false" customHeight="false" outlineLevel="0" collapsed="false">
      <c r="A16" s="18" t="s">
        <v>20</v>
      </c>
      <c r="B16" s="19" t="s">
        <v>49</v>
      </c>
      <c r="C16" s="19" t="s">
        <v>88</v>
      </c>
      <c r="D16" s="20" t="s">
        <v>89</v>
      </c>
      <c r="E16" s="21" t="s">
        <v>24</v>
      </c>
      <c r="F16" s="21" t="s">
        <v>64</v>
      </c>
      <c r="G16" s="22" t="s">
        <v>65</v>
      </c>
      <c r="H16" s="23" t="s">
        <v>27</v>
      </c>
      <c r="I16" s="22" t="s">
        <v>47</v>
      </c>
      <c r="J16" s="25"/>
      <c r="K16" s="25"/>
      <c r="L16" s="21"/>
      <c r="M16" s="21"/>
      <c r="N16" s="26" t="s">
        <v>90</v>
      </c>
      <c r="Q16" s="15" t="s">
        <v>91</v>
      </c>
      <c r="R16" s="15" t="s">
        <v>92</v>
      </c>
      <c r="S16" s="30" t="n">
        <v>50</v>
      </c>
      <c r="T16" s="30" t="n">
        <v>0</v>
      </c>
      <c r="U16" s="17" t="n">
        <f aca="false">T16/S16</f>
        <v>0</v>
      </c>
      <c r="V16" s="17"/>
      <c r="W16" s="17"/>
    </row>
    <row r="17" customFormat="false" ht="15" hidden="false" customHeight="false" outlineLevel="0" collapsed="false">
      <c r="A17" s="18" t="s">
        <v>20</v>
      </c>
      <c r="B17" s="19" t="s">
        <v>49</v>
      </c>
      <c r="C17" s="19" t="s">
        <v>93</v>
      </c>
      <c r="D17" s="20" t="s">
        <v>94</v>
      </c>
      <c r="E17" s="21" t="s">
        <v>24</v>
      </c>
      <c r="F17" s="21" t="s">
        <v>95</v>
      </c>
      <c r="G17" s="22" t="s">
        <v>35</v>
      </c>
      <c r="H17" s="23" t="s">
        <v>27</v>
      </c>
      <c r="I17" s="22" t="s">
        <v>47</v>
      </c>
      <c r="J17" s="25"/>
      <c r="K17" s="25"/>
      <c r="L17" s="21"/>
      <c r="M17" s="21"/>
      <c r="N17" s="26"/>
      <c r="Q17" s="29" t="s">
        <v>96</v>
      </c>
      <c r="R17" s="15"/>
      <c r="S17" s="22" t="n">
        <v>200</v>
      </c>
      <c r="T17" s="22" t="n">
        <v>60</v>
      </c>
      <c r="U17" s="17" t="n">
        <f aca="false">T17/S17</f>
        <v>0.3</v>
      </c>
      <c r="V17" s="17"/>
      <c r="W17" s="17"/>
    </row>
    <row r="18" customFormat="false" ht="15" hidden="false" customHeight="false" outlineLevel="0" collapsed="false">
      <c r="A18" s="18" t="s">
        <v>97</v>
      </c>
      <c r="B18" s="19" t="s">
        <v>98</v>
      </c>
      <c r="C18" s="19" t="s">
        <v>98</v>
      </c>
      <c r="D18" s="20" t="s">
        <v>99</v>
      </c>
      <c r="E18" s="21" t="s">
        <v>24</v>
      </c>
      <c r="F18" s="21" t="s">
        <v>64</v>
      </c>
      <c r="G18" s="22" t="s">
        <v>35</v>
      </c>
      <c r="H18" s="23" t="s">
        <v>27</v>
      </c>
      <c r="I18" s="22" t="s">
        <v>47</v>
      </c>
      <c r="J18" s="25"/>
      <c r="K18" s="25"/>
      <c r="L18" s="21"/>
      <c r="M18" s="21"/>
      <c r="N18" s="26"/>
      <c r="Q18" s="27" t="s">
        <v>49</v>
      </c>
      <c r="R18" s="27" t="s">
        <v>100</v>
      </c>
      <c r="S18" s="31" t="n">
        <v>100</v>
      </c>
      <c r="T18" s="31" t="n">
        <v>0</v>
      </c>
      <c r="U18" s="17" t="n">
        <f aca="false">T18/S18</f>
        <v>0</v>
      </c>
      <c r="V18" s="17"/>
      <c r="W18" s="17"/>
    </row>
    <row r="19" customFormat="false" ht="15" hidden="false" customHeight="false" outlineLevel="0" collapsed="false">
      <c r="A19" s="18" t="s">
        <v>20</v>
      </c>
      <c r="B19" s="19" t="s">
        <v>98</v>
      </c>
      <c r="C19" s="19" t="s">
        <v>101</v>
      </c>
      <c r="D19" s="20" t="s">
        <v>102</v>
      </c>
      <c r="E19" s="21" t="s">
        <v>24</v>
      </c>
      <c r="F19" s="21" t="n">
        <f aca="false">240/60</f>
        <v>4</v>
      </c>
      <c r="G19" s="22" t="s">
        <v>65</v>
      </c>
      <c r="H19" s="23" t="s">
        <v>27</v>
      </c>
      <c r="I19" s="22" t="s">
        <v>47</v>
      </c>
      <c r="J19" s="25"/>
      <c r="K19" s="25"/>
      <c r="L19" s="21"/>
      <c r="M19" s="21"/>
      <c r="N19" s="26"/>
      <c r="Q19" s="15" t="s">
        <v>103</v>
      </c>
      <c r="R19" s="15"/>
      <c r="S19" s="22" t="n">
        <v>100</v>
      </c>
      <c r="T19" s="22" t="n">
        <v>0</v>
      </c>
      <c r="U19" s="17" t="n">
        <f aca="false">T19/S19</f>
        <v>0</v>
      </c>
      <c r="V19" s="17"/>
      <c r="W19" s="17"/>
    </row>
    <row r="20" customFormat="false" ht="15" hidden="false" customHeight="false" outlineLevel="0" collapsed="false">
      <c r="A20" s="18" t="s">
        <v>104</v>
      </c>
      <c r="B20" s="19" t="s">
        <v>105</v>
      </c>
      <c r="C20" s="19" t="s">
        <v>106</v>
      </c>
      <c r="D20" s="20" t="s">
        <v>107</v>
      </c>
      <c r="E20" s="21" t="s">
        <v>24</v>
      </c>
      <c r="F20" s="21" t="s">
        <v>108</v>
      </c>
      <c r="G20" s="22" t="s">
        <v>65</v>
      </c>
      <c r="H20" s="23" t="s">
        <v>27</v>
      </c>
      <c r="I20" s="22" t="s">
        <v>47</v>
      </c>
      <c r="J20" s="25"/>
      <c r="K20" s="25"/>
      <c r="L20" s="21"/>
      <c r="M20" s="21"/>
      <c r="N20" s="26"/>
      <c r="Q20" s="29" t="s">
        <v>109</v>
      </c>
      <c r="R20" s="15"/>
      <c r="S20" s="22" t="n">
        <v>100</v>
      </c>
      <c r="T20" s="22" t="n">
        <v>0</v>
      </c>
      <c r="U20" s="17" t="n">
        <f aca="false">T20/S20</f>
        <v>0</v>
      </c>
      <c r="V20" s="17"/>
      <c r="W20" s="17"/>
    </row>
    <row r="21" customFormat="false" ht="15" hidden="false" customHeight="false" outlineLevel="0" collapsed="false">
      <c r="A21" s="18" t="s">
        <v>20</v>
      </c>
      <c r="B21" s="19" t="s">
        <v>110</v>
      </c>
      <c r="C21" s="19" t="s">
        <v>111</v>
      </c>
      <c r="D21" s="20" t="s">
        <v>112</v>
      </c>
      <c r="E21" s="21" t="s">
        <v>24</v>
      </c>
      <c r="F21" s="21" t="s">
        <v>113</v>
      </c>
      <c r="G21" s="22" t="s">
        <v>65</v>
      </c>
      <c r="H21" s="23" t="s">
        <v>27</v>
      </c>
      <c r="I21" s="22" t="s">
        <v>47</v>
      </c>
      <c r="J21" s="25"/>
      <c r="K21" s="25"/>
      <c r="L21" s="21"/>
      <c r="M21" s="21"/>
      <c r="N21" s="26"/>
      <c r="Q21" s="29" t="s">
        <v>114</v>
      </c>
      <c r="R21" s="32" t="s">
        <v>115</v>
      </c>
      <c r="S21" s="22" t="n">
        <v>100</v>
      </c>
      <c r="T21" s="22" t="n">
        <v>0</v>
      </c>
      <c r="U21" s="17" t="n">
        <f aca="false">T21/S21</f>
        <v>0</v>
      </c>
      <c r="V21" s="17"/>
      <c r="W21" s="17"/>
    </row>
    <row r="22" customFormat="false" ht="15.75" hidden="false" customHeight="true" outlineLevel="0" collapsed="false">
      <c r="A22" s="18" t="s">
        <v>20</v>
      </c>
      <c r="B22" s="19" t="s">
        <v>116</v>
      </c>
      <c r="C22" s="19" t="s">
        <v>117</v>
      </c>
      <c r="D22" s="20" t="s">
        <v>118</v>
      </c>
      <c r="E22" s="21" t="s">
        <v>24</v>
      </c>
      <c r="F22" s="21" t="s">
        <v>56</v>
      </c>
      <c r="G22" s="22" t="s">
        <v>35</v>
      </c>
      <c r="H22" s="23" t="s">
        <v>27</v>
      </c>
      <c r="I22" s="22" t="s">
        <v>47</v>
      </c>
      <c r="J22" s="25"/>
      <c r="K22" s="25"/>
      <c r="L22" s="21"/>
      <c r="M22" s="21"/>
      <c r="N22" s="26"/>
      <c r="Q22" s="29" t="s">
        <v>119</v>
      </c>
      <c r="R22" s="15"/>
      <c r="S22" s="22" t="n">
        <v>200</v>
      </c>
      <c r="T22" s="22" t="n">
        <v>0</v>
      </c>
      <c r="U22" s="17" t="n">
        <f aca="false">T22/S22</f>
        <v>0</v>
      </c>
      <c r="V22" s="17"/>
      <c r="W22" s="17"/>
    </row>
    <row r="23" customFormat="false" ht="15.75" hidden="false" customHeight="true" outlineLevel="0" collapsed="false">
      <c r="A23" s="18" t="s">
        <v>20</v>
      </c>
      <c r="B23" s="19" t="s">
        <v>120</v>
      </c>
      <c r="C23" s="19" t="s">
        <v>121</v>
      </c>
      <c r="D23" s="20" t="s">
        <v>122</v>
      </c>
      <c r="E23" s="21" t="s">
        <v>24</v>
      </c>
      <c r="F23" s="21" t="s">
        <v>113</v>
      </c>
      <c r="G23" s="22" t="s">
        <v>46</v>
      </c>
      <c r="H23" s="23" t="s">
        <v>27</v>
      </c>
      <c r="I23" s="22" t="s">
        <v>47</v>
      </c>
      <c r="J23" s="25"/>
      <c r="K23" s="25"/>
      <c r="L23" s="21"/>
      <c r="M23" s="21"/>
      <c r="N23" s="26"/>
      <c r="Q23" s="29"/>
      <c r="R23" s="15"/>
      <c r="S23" s="22"/>
      <c r="T23" s="22"/>
      <c r="U23" s="17" t="e">
        <f aca="false">T23/S23</f>
        <v>#DIV/0!</v>
      </c>
      <c r="V23" s="17"/>
      <c r="W23" s="17"/>
    </row>
    <row r="24" customFormat="false" ht="15.75" hidden="false" customHeight="true" outlineLevel="0" collapsed="false">
      <c r="A24" s="18" t="s">
        <v>20</v>
      </c>
      <c r="B24" s="19" t="s">
        <v>76</v>
      </c>
      <c r="C24" s="19" t="s">
        <v>123</v>
      </c>
      <c r="D24" s="20" t="s">
        <v>124</v>
      </c>
      <c r="E24" s="21" t="s">
        <v>24</v>
      </c>
      <c r="F24" s="21" t="s">
        <v>125</v>
      </c>
      <c r="G24" s="22" t="s">
        <v>46</v>
      </c>
      <c r="H24" s="23" t="s">
        <v>27</v>
      </c>
      <c r="I24" s="22" t="s">
        <v>47</v>
      </c>
      <c r="J24" s="25"/>
      <c r="K24" s="25"/>
      <c r="L24" s="21"/>
      <c r="M24" s="21"/>
      <c r="N24" s="26"/>
      <c r="Q24" s="29"/>
      <c r="R24" s="15"/>
      <c r="S24" s="22"/>
      <c r="T24" s="22"/>
      <c r="U24" s="17" t="e">
        <f aca="false">T24/S24</f>
        <v>#DIV/0!</v>
      </c>
      <c r="V24" s="17"/>
      <c r="W24" s="17"/>
    </row>
    <row r="25" customFormat="false" ht="15.75" hidden="false" customHeight="true" outlineLevel="0" collapsed="false">
      <c r="A25" s="18" t="s">
        <v>20</v>
      </c>
      <c r="B25" s="19" t="s">
        <v>21</v>
      </c>
      <c r="C25" s="19" t="s">
        <v>126</v>
      </c>
      <c r="D25" s="20" t="s">
        <v>127</v>
      </c>
      <c r="E25" s="21" t="s">
        <v>24</v>
      </c>
      <c r="F25" s="21" t="s">
        <v>113</v>
      </c>
      <c r="G25" s="22" t="s">
        <v>65</v>
      </c>
      <c r="H25" s="23" t="s">
        <v>27</v>
      </c>
      <c r="I25" s="22" t="s">
        <v>47</v>
      </c>
      <c r="J25" s="25"/>
      <c r="K25" s="25"/>
      <c r="L25" s="21"/>
      <c r="M25" s="21"/>
      <c r="N25" s="26"/>
      <c r="Q25" s="29"/>
      <c r="R25" s="15"/>
      <c r="S25" s="22"/>
      <c r="T25" s="22"/>
      <c r="U25" s="17" t="e">
        <f aca="false">T25/S25</f>
        <v>#DIV/0!</v>
      </c>
      <c r="V25" s="17"/>
      <c r="W25" s="17"/>
    </row>
    <row r="26" customFormat="false" ht="15.75" hidden="false" customHeight="true" outlineLevel="0" collapsed="false">
      <c r="A26" s="18" t="s">
        <v>20</v>
      </c>
      <c r="B26" s="19" t="s">
        <v>21</v>
      </c>
      <c r="C26" s="19" t="s">
        <v>128</v>
      </c>
      <c r="D26" s="20" t="s">
        <v>129</v>
      </c>
      <c r="E26" s="21" t="s">
        <v>24</v>
      </c>
      <c r="F26" s="21" t="s">
        <v>113</v>
      </c>
      <c r="G26" s="22" t="s">
        <v>65</v>
      </c>
      <c r="H26" s="23" t="s">
        <v>27</v>
      </c>
      <c r="I26" s="22" t="s">
        <v>47</v>
      </c>
      <c r="J26" s="25"/>
      <c r="K26" s="25"/>
      <c r="L26" s="21"/>
      <c r="M26" s="21"/>
      <c r="N26" s="26"/>
      <c r="Q26" s="29" t="s">
        <v>130</v>
      </c>
      <c r="R26" s="15"/>
      <c r="S26" s="22" t="n">
        <v>400</v>
      </c>
      <c r="T26" s="22" t="n">
        <v>0</v>
      </c>
      <c r="U26" s="17" t="n">
        <f aca="false">T26/S26</f>
        <v>0</v>
      </c>
      <c r="V26" s="17"/>
      <c r="W26" s="17"/>
    </row>
    <row r="27" customFormat="false" ht="15.75" hidden="false" customHeight="true" outlineLevel="0" collapsed="false">
      <c r="A27" s="18" t="s">
        <v>20</v>
      </c>
      <c r="B27" s="19" t="s">
        <v>21</v>
      </c>
      <c r="C27" s="19" t="s">
        <v>131</v>
      </c>
      <c r="D27" s="20" t="s">
        <v>132</v>
      </c>
      <c r="E27" s="21" t="s">
        <v>24</v>
      </c>
      <c r="F27" s="21" t="s">
        <v>56</v>
      </c>
      <c r="G27" s="22" t="s">
        <v>35</v>
      </c>
      <c r="H27" s="23" t="s">
        <v>27</v>
      </c>
      <c r="I27" s="22" t="s">
        <v>47</v>
      </c>
      <c r="J27" s="25"/>
      <c r="K27" s="25"/>
      <c r="L27" s="21"/>
      <c r="M27" s="21"/>
      <c r="N27" s="26"/>
      <c r="Q27" s="29" t="s">
        <v>133</v>
      </c>
      <c r="R27" s="15"/>
      <c r="S27" s="22" t="n">
        <v>250</v>
      </c>
      <c r="T27" s="22" t="n">
        <v>0</v>
      </c>
      <c r="U27" s="17" t="n">
        <f aca="false">T27/S27</f>
        <v>0</v>
      </c>
      <c r="V27" s="17"/>
      <c r="W27" s="17"/>
    </row>
    <row r="28" customFormat="false" ht="15.75" hidden="false" customHeight="true" outlineLevel="0" collapsed="false">
      <c r="A28" s="18" t="s">
        <v>20</v>
      </c>
      <c r="B28" s="19" t="s">
        <v>49</v>
      </c>
      <c r="C28" s="19" t="s">
        <v>78</v>
      </c>
      <c r="D28" s="20" t="s">
        <v>134</v>
      </c>
      <c r="E28" s="21" t="s">
        <v>24</v>
      </c>
      <c r="F28" s="21" t="s">
        <v>56</v>
      </c>
      <c r="G28" s="22" t="s">
        <v>35</v>
      </c>
      <c r="H28" s="23" t="s">
        <v>27</v>
      </c>
      <c r="I28" s="22" t="s">
        <v>47</v>
      </c>
      <c r="J28" s="25"/>
      <c r="K28" s="25"/>
      <c r="L28" s="21"/>
      <c r="M28" s="21"/>
      <c r="N28" s="26"/>
      <c r="Q28" s="15" t="s">
        <v>135</v>
      </c>
      <c r="R28" s="15" t="s">
        <v>136</v>
      </c>
      <c r="S28" s="16" t="n">
        <v>140</v>
      </c>
      <c r="T28" s="16" t="n">
        <v>140</v>
      </c>
      <c r="U28" s="17" t="n">
        <f aca="false">T28/S28</f>
        <v>1</v>
      </c>
      <c r="V28" s="17"/>
      <c r="W28" s="17"/>
    </row>
    <row r="29" customFormat="false" ht="15.75" hidden="false" customHeight="true" outlineLevel="0" collapsed="false">
      <c r="A29" s="18" t="s">
        <v>20</v>
      </c>
      <c r="B29" s="19" t="s">
        <v>114</v>
      </c>
      <c r="C29" s="19" t="s">
        <v>137</v>
      </c>
      <c r="D29" s="20" t="s">
        <v>138</v>
      </c>
      <c r="E29" s="21" t="s">
        <v>24</v>
      </c>
      <c r="F29" s="21" t="s">
        <v>139</v>
      </c>
      <c r="G29" s="22" t="s">
        <v>65</v>
      </c>
      <c r="H29" s="23" t="s">
        <v>27</v>
      </c>
      <c r="I29" s="22" t="s">
        <v>47</v>
      </c>
      <c r="J29" s="25"/>
      <c r="K29" s="25"/>
      <c r="L29" s="21"/>
      <c r="M29" s="21"/>
      <c r="N29" s="26"/>
    </row>
    <row r="30" customFormat="false" ht="15.75" hidden="false" customHeight="true" outlineLevel="0" collapsed="false">
      <c r="A30" s="18" t="s">
        <v>140</v>
      </c>
      <c r="B30" s="19" t="s">
        <v>141</v>
      </c>
      <c r="C30" s="19" t="s">
        <v>142</v>
      </c>
      <c r="D30" s="33" t="s">
        <v>143</v>
      </c>
      <c r="E30" s="21" t="s">
        <v>143</v>
      </c>
      <c r="F30" s="21" t="s">
        <v>144</v>
      </c>
      <c r="G30" s="22" t="s">
        <v>26</v>
      </c>
      <c r="H30" s="21" t="s">
        <v>145</v>
      </c>
      <c r="I30" s="24" t="s">
        <v>28</v>
      </c>
      <c r="J30" s="25"/>
      <c r="K30" s="25"/>
      <c r="L30" s="21"/>
      <c r="M30" s="21"/>
      <c r="N30" s="26" t="s">
        <v>146</v>
      </c>
    </row>
    <row r="31" customFormat="false" ht="15.75" hidden="false" customHeight="true" outlineLevel="0" collapsed="false">
      <c r="A31" s="18" t="s">
        <v>20</v>
      </c>
      <c r="B31" s="19" t="s">
        <v>76</v>
      </c>
      <c r="C31" s="19" t="s">
        <v>147</v>
      </c>
      <c r="D31" s="20" t="s">
        <v>148</v>
      </c>
      <c r="E31" s="21" t="s">
        <v>24</v>
      </c>
      <c r="F31" s="21" t="s">
        <v>64</v>
      </c>
      <c r="G31" s="22" t="s">
        <v>46</v>
      </c>
      <c r="H31" s="21" t="s">
        <v>27</v>
      </c>
      <c r="I31" s="22" t="s">
        <v>47</v>
      </c>
      <c r="J31" s="25"/>
      <c r="K31" s="25"/>
      <c r="L31" s="21"/>
      <c r="M31" s="21"/>
      <c r="N31" s="26"/>
    </row>
    <row r="32" customFormat="false" ht="15.75" hidden="false" customHeight="true" outlineLevel="0" collapsed="false">
      <c r="A32" s="18" t="s">
        <v>149</v>
      </c>
      <c r="B32" s="19" t="s">
        <v>133</v>
      </c>
      <c r="C32" s="19" t="s">
        <v>150</v>
      </c>
      <c r="D32" s="33" t="s">
        <v>143</v>
      </c>
      <c r="E32" s="21" t="s">
        <v>151</v>
      </c>
      <c r="F32" s="21" t="s">
        <v>152</v>
      </c>
      <c r="G32" s="22" t="s">
        <v>26</v>
      </c>
      <c r="H32" s="21" t="s">
        <v>27</v>
      </c>
      <c r="I32" s="24" t="s">
        <v>28</v>
      </c>
      <c r="J32" s="13" t="n">
        <v>45778</v>
      </c>
      <c r="K32" s="13" t="n">
        <v>45807</v>
      </c>
      <c r="L32" s="21"/>
      <c r="M32" s="21"/>
      <c r="N32" s="14" t="s">
        <v>29</v>
      </c>
    </row>
    <row r="33" customFormat="false" ht="15.75" hidden="false" customHeight="true" outlineLevel="0" collapsed="false">
      <c r="A33" s="18" t="s">
        <v>149</v>
      </c>
      <c r="B33" s="19" t="s">
        <v>133</v>
      </c>
      <c r="C33" s="19" t="s">
        <v>153</v>
      </c>
      <c r="D33" s="19" t="s">
        <v>143</v>
      </c>
      <c r="E33" s="21" t="s">
        <v>151</v>
      </c>
      <c r="F33" s="21" t="s">
        <v>152</v>
      </c>
      <c r="G33" s="22" t="s">
        <v>35</v>
      </c>
      <c r="H33" s="21" t="s">
        <v>27</v>
      </c>
      <c r="I33" s="22" t="s">
        <v>47</v>
      </c>
      <c r="J33" s="25"/>
      <c r="K33" s="25"/>
      <c r="L33" s="21"/>
      <c r="M33" s="21"/>
      <c r="N33" s="26"/>
    </row>
    <row r="34" customFormat="false" ht="15.75" hidden="false" customHeight="true" outlineLevel="0" collapsed="false">
      <c r="A34" s="18" t="s">
        <v>20</v>
      </c>
      <c r="B34" s="19" t="s">
        <v>49</v>
      </c>
      <c r="C34" s="19" t="s">
        <v>154</v>
      </c>
      <c r="D34" s="20" t="s">
        <v>155</v>
      </c>
      <c r="E34" s="21" t="s">
        <v>24</v>
      </c>
      <c r="F34" s="21" t="s">
        <v>56</v>
      </c>
      <c r="G34" s="22" t="s">
        <v>26</v>
      </c>
      <c r="H34" s="21" t="s">
        <v>27</v>
      </c>
      <c r="I34" s="24" t="s">
        <v>28</v>
      </c>
      <c r="J34" s="13" t="n">
        <v>45778</v>
      </c>
      <c r="K34" s="13" t="n">
        <v>45807</v>
      </c>
      <c r="L34" s="21"/>
      <c r="M34" s="21"/>
      <c r="N34" s="26"/>
    </row>
    <row r="35" customFormat="false" ht="15.75" hidden="false" customHeight="true" outlineLevel="0" collapsed="false">
      <c r="A35" s="18" t="s">
        <v>20</v>
      </c>
      <c r="B35" s="19" t="s">
        <v>110</v>
      </c>
      <c r="C35" s="19" t="s">
        <v>156</v>
      </c>
      <c r="D35" s="20" t="s">
        <v>157</v>
      </c>
      <c r="E35" s="21" t="s">
        <v>24</v>
      </c>
      <c r="F35" s="21" t="s">
        <v>158</v>
      </c>
      <c r="G35" s="22" t="s">
        <v>35</v>
      </c>
      <c r="H35" s="21" t="s">
        <v>27</v>
      </c>
      <c r="I35" s="24" t="s">
        <v>28</v>
      </c>
      <c r="J35" s="13" t="n">
        <v>45778</v>
      </c>
      <c r="K35" s="13" t="n">
        <v>45823</v>
      </c>
      <c r="L35" s="21"/>
      <c r="M35" s="21"/>
      <c r="N35" s="26"/>
    </row>
    <row r="36" customFormat="false" ht="15.75" hidden="false" customHeight="true" outlineLevel="0" collapsed="false">
      <c r="A36" s="18"/>
      <c r="B36" s="19"/>
      <c r="C36" s="19"/>
      <c r="D36" s="19"/>
      <c r="E36" s="21"/>
      <c r="F36" s="21"/>
      <c r="G36" s="22"/>
      <c r="H36" s="21"/>
      <c r="I36" s="22"/>
      <c r="J36" s="25"/>
      <c r="K36" s="25"/>
      <c r="L36" s="21"/>
      <c r="M36" s="21"/>
      <c r="N36" s="26"/>
    </row>
    <row r="37" customFormat="false" ht="15.75" hidden="false" customHeight="true" outlineLevel="0" collapsed="false">
      <c r="A37" s="18"/>
      <c r="B37" s="19"/>
      <c r="C37" s="19"/>
      <c r="D37" s="19"/>
      <c r="E37" s="21"/>
      <c r="F37" s="21"/>
      <c r="G37" s="22"/>
      <c r="H37" s="21"/>
      <c r="I37" s="22"/>
      <c r="J37" s="25"/>
      <c r="K37" s="25"/>
      <c r="L37" s="21"/>
      <c r="M37" s="21"/>
      <c r="N37" s="26"/>
    </row>
    <row r="38" customFormat="false" ht="15.75" hidden="false" customHeight="true" outlineLevel="0" collapsed="false">
      <c r="A38" s="18"/>
      <c r="B38" s="19"/>
      <c r="C38" s="19"/>
      <c r="D38" s="19"/>
      <c r="E38" s="21"/>
      <c r="F38" s="21"/>
      <c r="G38" s="22"/>
      <c r="H38" s="21"/>
      <c r="I38" s="22"/>
      <c r="J38" s="25"/>
      <c r="K38" s="25"/>
      <c r="L38" s="21"/>
      <c r="M38" s="21"/>
      <c r="N38" s="26"/>
    </row>
    <row r="39" customFormat="false" ht="15.75" hidden="false" customHeight="true" outlineLevel="0" collapsed="false">
      <c r="A39" s="18"/>
      <c r="B39" s="19"/>
      <c r="C39" s="19"/>
      <c r="D39" s="19"/>
      <c r="E39" s="21"/>
      <c r="F39" s="21"/>
      <c r="G39" s="22"/>
      <c r="H39" s="21"/>
      <c r="I39" s="22"/>
      <c r="J39" s="25"/>
      <c r="K39" s="25"/>
      <c r="L39" s="21"/>
      <c r="M39" s="21"/>
      <c r="N39" s="26"/>
    </row>
    <row r="40" customFormat="false" ht="15.75" hidden="false" customHeight="true" outlineLevel="0" collapsed="false">
      <c r="A40" s="18"/>
      <c r="B40" s="19"/>
      <c r="C40" s="19"/>
      <c r="D40" s="19"/>
      <c r="E40" s="21"/>
      <c r="F40" s="21"/>
      <c r="G40" s="22"/>
      <c r="H40" s="21"/>
      <c r="I40" s="22"/>
      <c r="J40" s="25"/>
      <c r="K40" s="25"/>
      <c r="L40" s="21"/>
      <c r="M40" s="21"/>
      <c r="N40" s="26"/>
    </row>
    <row r="41" customFormat="false" ht="15.75" hidden="false" customHeight="true" outlineLevel="0" collapsed="false">
      <c r="A41" s="18"/>
      <c r="B41" s="19"/>
      <c r="C41" s="19"/>
      <c r="D41" s="19"/>
      <c r="E41" s="21"/>
      <c r="F41" s="21"/>
      <c r="G41" s="22"/>
      <c r="H41" s="21"/>
      <c r="I41" s="22"/>
      <c r="J41" s="25"/>
      <c r="K41" s="25"/>
      <c r="L41" s="21"/>
      <c r="M41" s="21"/>
      <c r="N41" s="26"/>
    </row>
    <row r="42" customFormat="false" ht="15.75" hidden="false" customHeight="true" outlineLevel="0" collapsed="false">
      <c r="A42" s="18"/>
      <c r="B42" s="19"/>
      <c r="C42" s="19"/>
      <c r="D42" s="19"/>
      <c r="E42" s="21"/>
      <c r="F42" s="21"/>
      <c r="G42" s="22"/>
      <c r="H42" s="21"/>
      <c r="I42" s="22"/>
      <c r="J42" s="25"/>
      <c r="K42" s="25"/>
      <c r="L42" s="21"/>
      <c r="M42" s="21"/>
      <c r="N42" s="26"/>
    </row>
    <row r="43" customFormat="false" ht="15.75" hidden="false" customHeight="true" outlineLevel="0" collapsed="false">
      <c r="A43" s="18"/>
      <c r="B43" s="19"/>
      <c r="C43" s="19"/>
      <c r="D43" s="19"/>
      <c r="E43" s="21"/>
      <c r="F43" s="21"/>
      <c r="G43" s="22"/>
      <c r="H43" s="21"/>
      <c r="I43" s="22"/>
      <c r="J43" s="25"/>
      <c r="K43" s="25"/>
      <c r="L43" s="21"/>
      <c r="M43" s="21"/>
      <c r="N43" s="26"/>
    </row>
    <row r="44" customFormat="false" ht="15.75" hidden="false" customHeight="true" outlineLevel="0" collapsed="false">
      <c r="A44" s="18"/>
      <c r="B44" s="19"/>
      <c r="C44" s="19"/>
      <c r="D44" s="19"/>
      <c r="E44" s="21"/>
      <c r="F44" s="21"/>
      <c r="G44" s="22"/>
      <c r="H44" s="21"/>
      <c r="I44" s="22"/>
      <c r="J44" s="25"/>
      <c r="K44" s="25"/>
      <c r="L44" s="21"/>
      <c r="M44" s="21"/>
      <c r="N44" s="26"/>
    </row>
    <row r="45" customFormat="false" ht="15.75" hidden="false" customHeight="true" outlineLevel="0" collapsed="false">
      <c r="A45" s="18"/>
      <c r="B45" s="19"/>
      <c r="C45" s="19"/>
      <c r="D45" s="19"/>
      <c r="E45" s="21"/>
      <c r="F45" s="21"/>
      <c r="G45" s="22"/>
      <c r="H45" s="21"/>
      <c r="I45" s="22"/>
      <c r="J45" s="25"/>
      <c r="K45" s="25"/>
      <c r="L45" s="21"/>
      <c r="M45" s="21"/>
      <c r="N45" s="26"/>
    </row>
    <row r="46" customFormat="false" ht="15.75" hidden="false" customHeight="true" outlineLevel="0" collapsed="false">
      <c r="A46" s="18"/>
      <c r="B46" s="19"/>
      <c r="C46" s="19"/>
      <c r="D46" s="19"/>
      <c r="E46" s="21"/>
      <c r="F46" s="21"/>
      <c r="G46" s="22"/>
      <c r="H46" s="21"/>
      <c r="I46" s="22"/>
      <c r="J46" s="25"/>
      <c r="K46" s="25"/>
      <c r="L46" s="21"/>
      <c r="M46" s="21"/>
      <c r="N46" s="26"/>
    </row>
    <row r="47" customFormat="false" ht="15.75" hidden="false" customHeight="true" outlineLevel="0" collapsed="false">
      <c r="A47" s="18"/>
      <c r="B47" s="19"/>
      <c r="C47" s="19"/>
      <c r="D47" s="19"/>
      <c r="E47" s="21"/>
      <c r="F47" s="21"/>
      <c r="G47" s="22"/>
      <c r="H47" s="21"/>
      <c r="I47" s="22"/>
      <c r="J47" s="25"/>
      <c r="K47" s="25"/>
      <c r="L47" s="21"/>
      <c r="M47" s="21"/>
      <c r="N47" s="26"/>
    </row>
    <row r="48" customFormat="false" ht="15.75" hidden="false" customHeight="true" outlineLevel="0" collapsed="false">
      <c r="A48" s="18"/>
      <c r="B48" s="19"/>
      <c r="C48" s="19"/>
      <c r="D48" s="19"/>
      <c r="E48" s="21"/>
      <c r="F48" s="21"/>
      <c r="G48" s="22"/>
      <c r="H48" s="21"/>
      <c r="I48" s="22"/>
      <c r="J48" s="25"/>
      <c r="K48" s="25"/>
      <c r="L48" s="21"/>
      <c r="M48" s="21"/>
      <c r="N48" s="26"/>
    </row>
    <row r="49" customFormat="false" ht="15.75" hidden="false" customHeight="true" outlineLevel="0" collapsed="false">
      <c r="A49" s="18"/>
      <c r="B49" s="19"/>
      <c r="C49" s="19"/>
      <c r="D49" s="19"/>
      <c r="E49" s="21"/>
      <c r="F49" s="21"/>
      <c r="G49" s="22"/>
      <c r="H49" s="21"/>
      <c r="I49" s="22"/>
      <c r="J49" s="25"/>
      <c r="K49" s="25"/>
      <c r="L49" s="21"/>
      <c r="M49" s="21"/>
      <c r="N49" s="26"/>
    </row>
    <row r="50" customFormat="false" ht="15.75" hidden="false" customHeight="true" outlineLevel="0" collapsed="false">
      <c r="A50" s="18"/>
      <c r="B50" s="19"/>
      <c r="C50" s="19"/>
      <c r="D50" s="19"/>
      <c r="E50" s="21"/>
      <c r="F50" s="21"/>
      <c r="G50" s="22"/>
      <c r="H50" s="21"/>
      <c r="I50" s="22"/>
      <c r="J50" s="25"/>
      <c r="K50" s="25"/>
      <c r="L50" s="21"/>
      <c r="M50" s="21"/>
      <c r="N50" s="26"/>
    </row>
    <row r="51" customFormat="false" ht="15.75" hidden="false" customHeight="true" outlineLevel="0" collapsed="false">
      <c r="A51" s="18"/>
      <c r="B51" s="19"/>
      <c r="C51" s="19"/>
      <c r="D51" s="19"/>
      <c r="E51" s="21"/>
      <c r="F51" s="21"/>
      <c r="G51" s="22"/>
      <c r="H51" s="21"/>
      <c r="I51" s="22"/>
      <c r="J51" s="25"/>
      <c r="K51" s="25"/>
      <c r="L51" s="21"/>
      <c r="M51" s="21"/>
      <c r="N51" s="26"/>
    </row>
    <row r="52" customFormat="false" ht="15.75" hidden="false" customHeight="true" outlineLevel="0" collapsed="false">
      <c r="A52" s="18"/>
      <c r="B52" s="19"/>
      <c r="C52" s="19"/>
      <c r="D52" s="19"/>
      <c r="E52" s="21"/>
      <c r="F52" s="21"/>
      <c r="G52" s="22"/>
      <c r="H52" s="21"/>
      <c r="I52" s="22"/>
      <c r="J52" s="25"/>
      <c r="K52" s="25"/>
      <c r="L52" s="21"/>
      <c r="M52" s="21"/>
      <c r="N52" s="26"/>
    </row>
    <row r="53" customFormat="false" ht="15.75" hidden="false" customHeight="true" outlineLevel="0" collapsed="false">
      <c r="A53" s="18"/>
      <c r="B53" s="19"/>
      <c r="C53" s="19"/>
      <c r="D53" s="19"/>
      <c r="E53" s="21"/>
      <c r="F53" s="21"/>
      <c r="G53" s="22"/>
      <c r="H53" s="21"/>
      <c r="I53" s="22"/>
      <c r="J53" s="25"/>
      <c r="K53" s="25"/>
      <c r="L53" s="21"/>
      <c r="M53" s="21"/>
      <c r="N53" s="26"/>
    </row>
    <row r="54" customFormat="false" ht="15.75" hidden="false" customHeight="true" outlineLevel="0" collapsed="false">
      <c r="A54" s="18"/>
      <c r="B54" s="19"/>
      <c r="C54" s="19"/>
      <c r="D54" s="19"/>
      <c r="E54" s="21"/>
      <c r="F54" s="21"/>
      <c r="G54" s="22"/>
      <c r="H54" s="21"/>
      <c r="I54" s="22"/>
      <c r="J54" s="25"/>
      <c r="K54" s="25"/>
      <c r="L54" s="21"/>
      <c r="M54" s="21"/>
      <c r="N54" s="26"/>
    </row>
    <row r="55" customFormat="false" ht="15.75" hidden="false" customHeight="true" outlineLevel="0" collapsed="false">
      <c r="A55" s="18"/>
      <c r="B55" s="19"/>
      <c r="C55" s="19"/>
      <c r="D55" s="19"/>
      <c r="E55" s="21"/>
      <c r="F55" s="21"/>
      <c r="G55" s="22"/>
      <c r="H55" s="21"/>
      <c r="I55" s="22"/>
      <c r="J55" s="25"/>
      <c r="K55" s="25"/>
      <c r="L55" s="21"/>
      <c r="M55" s="21"/>
      <c r="N55" s="26"/>
    </row>
    <row r="56" customFormat="false" ht="15.75" hidden="false" customHeight="true" outlineLevel="0" collapsed="false">
      <c r="A56" s="18"/>
      <c r="B56" s="19"/>
      <c r="C56" s="19"/>
      <c r="D56" s="19"/>
      <c r="E56" s="21"/>
      <c r="F56" s="21"/>
      <c r="G56" s="22"/>
      <c r="H56" s="21"/>
      <c r="I56" s="22"/>
      <c r="J56" s="25"/>
      <c r="K56" s="25"/>
      <c r="L56" s="21"/>
      <c r="M56" s="21"/>
      <c r="N56" s="26"/>
    </row>
    <row r="57" customFormat="false" ht="15.75" hidden="false" customHeight="true" outlineLevel="0" collapsed="false">
      <c r="A57" s="18"/>
      <c r="B57" s="19"/>
      <c r="C57" s="19"/>
      <c r="D57" s="19"/>
      <c r="E57" s="21"/>
      <c r="F57" s="21"/>
      <c r="G57" s="22"/>
      <c r="H57" s="21"/>
      <c r="I57" s="22"/>
      <c r="J57" s="25"/>
      <c r="K57" s="25"/>
      <c r="L57" s="21"/>
      <c r="M57" s="21"/>
      <c r="N57" s="26"/>
    </row>
    <row r="58" customFormat="false" ht="15.75" hidden="false" customHeight="true" outlineLevel="0" collapsed="false">
      <c r="A58" s="18"/>
      <c r="B58" s="19"/>
      <c r="C58" s="19"/>
      <c r="D58" s="19"/>
      <c r="E58" s="21"/>
      <c r="F58" s="21"/>
      <c r="G58" s="22"/>
      <c r="H58" s="21"/>
      <c r="I58" s="22"/>
      <c r="J58" s="25"/>
      <c r="K58" s="25"/>
      <c r="L58" s="21"/>
      <c r="M58" s="21"/>
      <c r="N58" s="26"/>
    </row>
    <row r="59" customFormat="false" ht="15.75" hidden="false" customHeight="true" outlineLevel="0" collapsed="false">
      <c r="A59" s="18"/>
      <c r="B59" s="19"/>
      <c r="C59" s="19"/>
      <c r="D59" s="19"/>
      <c r="E59" s="21"/>
      <c r="F59" s="21"/>
      <c r="G59" s="22"/>
      <c r="H59" s="21"/>
      <c r="I59" s="22"/>
      <c r="J59" s="25"/>
      <c r="K59" s="25"/>
      <c r="L59" s="21"/>
      <c r="M59" s="21"/>
      <c r="N59" s="26"/>
    </row>
    <row r="60" customFormat="false" ht="15.75" hidden="false" customHeight="true" outlineLevel="0" collapsed="false">
      <c r="A60" s="18"/>
      <c r="B60" s="19"/>
      <c r="C60" s="19"/>
      <c r="D60" s="19"/>
      <c r="E60" s="21"/>
      <c r="F60" s="21"/>
      <c r="G60" s="22"/>
      <c r="H60" s="21"/>
      <c r="I60" s="22"/>
      <c r="J60" s="25"/>
      <c r="K60" s="25"/>
      <c r="L60" s="21"/>
      <c r="M60" s="21"/>
      <c r="N60" s="26"/>
    </row>
    <row r="61" customFormat="false" ht="15.75" hidden="false" customHeight="true" outlineLevel="0" collapsed="false">
      <c r="A61" s="18"/>
      <c r="B61" s="19"/>
      <c r="C61" s="19"/>
      <c r="D61" s="19"/>
      <c r="E61" s="21"/>
      <c r="F61" s="21"/>
      <c r="G61" s="22"/>
      <c r="H61" s="21"/>
      <c r="I61" s="22"/>
      <c r="J61" s="25"/>
      <c r="K61" s="25"/>
      <c r="L61" s="21"/>
      <c r="M61" s="21"/>
      <c r="N61" s="26"/>
    </row>
    <row r="62" customFormat="false" ht="15.75" hidden="false" customHeight="true" outlineLevel="0" collapsed="false">
      <c r="A62" s="18"/>
      <c r="B62" s="19"/>
      <c r="C62" s="19"/>
      <c r="D62" s="19"/>
      <c r="E62" s="21"/>
      <c r="F62" s="21"/>
      <c r="G62" s="22"/>
      <c r="H62" s="21"/>
      <c r="I62" s="22"/>
      <c r="J62" s="25"/>
      <c r="K62" s="25"/>
      <c r="L62" s="21"/>
      <c r="M62" s="21"/>
      <c r="N62" s="26"/>
    </row>
    <row r="63" customFormat="false" ht="15.75" hidden="false" customHeight="true" outlineLevel="0" collapsed="false">
      <c r="A63" s="18"/>
      <c r="B63" s="19"/>
      <c r="C63" s="19"/>
      <c r="D63" s="19"/>
      <c r="E63" s="21"/>
      <c r="F63" s="21"/>
      <c r="G63" s="22"/>
      <c r="H63" s="21"/>
      <c r="I63" s="22"/>
      <c r="J63" s="25"/>
      <c r="K63" s="25"/>
      <c r="L63" s="21"/>
      <c r="M63" s="21"/>
      <c r="N63" s="26"/>
    </row>
    <row r="64" customFormat="false" ht="15.75" hidden="false" customHeight="true" outlineLevel="0" collapsed="false">
      <c r="A64" s="18"/>
      <c r="B64" s="19"/>
      <c r="C64" s="19"/>
      <c r="D64" s="19"/>
      <c r="E64" s="21"/>
      <c r="F64" s="21"/>
      <c r="G64" s="22"/>
      <c r="H64" s="21"/>
      <c r="I64" s="22"/>
      <c r="J64" s="25"/>
      <c r="K64" s="25"/>
      <c r="L64" s="21"/>
      <c r="M64" s="21"/>
      <c r="N64" s="26"/>
    </row>
    <row r="65" customFormat="false" ht="15.75" hidden="false" customHeight="true" outlineLevel="0" collapsed="false">
      <c r="A65" s="18"/>
      <c r="B65" s="19"/>
      <c r="C65" s="19"/>
      <c r="D65" s="19"/>
      <c r="E65" s="21"/>
      <c r="F65" s="21"/>
      <c r="G65" s="22"/>
      <c r="H65" s="21"/>
      <c r="I65" s="22"/>
      <c r="J65" s="25"/>
      <c r="K65" s="25"/>
      <c r="L65" s="21"/>
      <c r="M65" s="21"/>
      <c r="N65" s="26"/>
    </row>
    <row r="66" customFormat="false" ht="15.75" hidden="false" customHeight="true" outlineLevel="0" collapsed="false">
      <c r="A66" s="18"/>
      <c r="B66" s="19"/>
      <c r="C66" s="19"/>
      <c r="D66" s="19"/>
      <c r="E66" s="21"/>
      <c r="F66" s="21"/>
      <c r="G66" s="22"/>
      <c r="H66" s="21"/>
      <c r="I66" s="22"/>
      <c r="J66" s="25"/>
      <c r="K66" s="25"/>
      <c r="L66" s="21"/>
      <c r="M66" s="21"/>
      <c r="N66" s="26"/>
    </row>
    <row r="67" customFormat="false" ht="15.75" hidden="false" customHeight="true" outlineLevel="0" collapsed="false">
      <c r="A67" s="18"/>
      <c r="B67" s="19"/>
      <c r="C67" s="19"/>
      <c r="D67" s="19"/>
      <c r="E67" s="21"/>
      <c r="F67" s="21"/>
      <c r="G67" s="22"/>
      <c r="H67" s="21"/>
      <c r="I67" s="22"/>
      <c r="J67" s="25"/>
      <c r="K67" s="25"/>
      <c r="L67" s="21"/>
      <c r="M67" s="21"/>
      <c r="N67" s="26"/>
    </row>
    <row r="68" customFormat="false" ht="15.75" hidden="false" customHeight="true" outlineLevel="0" collapsed="false">
      <c r="A68" s="18"/>
      <c r="B68" s="19"/>
      <c r="C68" s="19"/>
      <c r="D68" s="19"/>
      <c r="E68" s="21"/>
      <c r="F68" s="21"/>
      <c r="G68" s="22"/>
      <c r="H68" s="21"/>
      <c r="I68" s="22"/>
      <c r="J68" s="25"/>
      <c r="K68" s="25"/>
      <c r="L68" s="21"/>
      <c r="M68" s="21"/>
      <c r="N68" s="26"/>
    </row>
    <row r="69" customFormat="false" ht="15.75" hidden="false" customHeight="true" outlineLevel="0" collapsed="false">
      <c r="A69" s="18"/>
      <c r="B69" s="19"/>
      <c r="C69" s="19"/>
      <c r="D69" s="19"/>
      <c r="E69" s="21"/>
      <c r="F69" s="21"/>
      <c r="G69" s="22"/>
      <c r="H69" s="21"/>
      <c r="I69" s="22"/>
      <c r="J69" s="25"/>
      <c r="K69" s="25"/>
      <c r="L69" s="21"/>
      <c r="M69" s="21"/>
      <c r="N69" s="26"/>
    </row>
    <row r="70" customFormat="false" ht="15.75" hidden="false" customHeight="true" outlineLevel="0" collapsed="false">
      <c r="A70" s="18"/>
      <c r="B70" s="19"/>
      <c r="C70" s="19"/>
      <c r="D70" s="19"/>
      <c r="E70" s="21"/>
      <c r="F70" s="21"/>
      <c r="G70" s="22"/>
      <c r="H70" s="21"/>
      <c r="I70" s="22"/>
      <c r="J70" s="25"/>
      <c r="K70" s="25"/>
      <c r="L70" s="21"/>
      <c r="M70" s="21"/>
      <c r="N70" s="26"/>
    </row>
    <row r="71" customFormat="false" ht="15.75" hidden="false" customHeight="true" outlineLevel="0" collapsed="false">
      <c r="A71" s="18"/>
      <c r="B71" s="19"/>
      <c r="C71" s="19"/>
      <c r="D71" s="19"/>
      <c r="E71" s="21"/>
      <c r="F71" s="21"/>
      <c r="G71" s="22"/>
      <c r="H71" s="21"/>
      <c r="I71" s="22"/>
      <c r="J71" s="25"/>
      <c r="K71" s="25"/>
      <c r="L71" s="21"/>
      <c r="M71" s="21"/>
      <c r="N71" s="26"/>
    </row>
    <row r="72" customFormat="false" ht="15.75" hidden="false" customHeight="true" outlineLevel="0" collapsed="false">
      <c r="A72" s="18"/>
      <c r="B72" s="19"/>
      <c r="C72" s="19"/>
      <c r="D72" s="19"/>
      <c r="E72" s="21"/>
      <c r="F72" s="21"/>
      <c r="G72" s="22"/>
      <c r="H72" s="21"/>
      <c r="I72" s="22"/>
      <c r="J72" s="25"/>
      <c r="K72" s="25"/>
      <c r="L72" s="21"/>
      <c r="M72" s="21"/>
      <c r="N72" s="26"/>
    </row>
    <row r="73" customFormat="false" ht="15.75" hidden="false" customHeight="true" outlineLevel="0" collapsed="false">
      <c r="A73" s="18"/>
      <c r="B73" s="19"/>
      <c r="C73" s="19"/>
      <c r="D73" s="19"/>
      <c r="E73" s="21"/>
      <c r="F73" s="21"/>
      <c r="G73" s="22"/>
      <c r="H73" s="21"/>
      <c r="I73" s="22"/>
      <c r="J73" s="25"/>
      <c r="K73" s="25"/>
      <c r="L73" s="21"/>
      <c r="M73" s="21"/>
      <c r="N73" s="26"/>
    </row>
    <row r="74" customFormat="false" ht="15.75" hidden="false" customHeight="true" outlineLevel="0" collapsed="false">
      <c r="A74" s="18"/>
      <c r="B74" s="19"/>
      <c r="C74" s="19"/>
      <c r="D74" s="19"/>
      <c r="E74" s="21"/>
      <c r="F74" s="21"/>
      <c r="G74" s="22"/>
      <c r="H74" s="21"/>
      <c r="I74" s="22"/>
      <c r="J74" s="25"/>
      <c r="K74" s="25"/>
      <c r="L74" s="21"/>
      <c r="M74" s="21"/>
      <c r="N74" s="26"/>
    </row>
    <row r="75" customFormat="false" ht="15.75" hidden="false" customHeight="true" outlineLevel="0" collapsed="false">
      <c r="A75" s="18"/>
      <c r="B75" s="19"/>
      <c r="C75" s="19"/>
      <c r="D75" s="19"/>
      <c r="E75" s="21"/>
      <c r="F75" s="21"/>
      <c r="G75" s="22"/>
      <c r="H75" s="21"/>
      <c r="I75" s="22"/>
      <c r="J75" s="25"/>
      <c r="K75" s="25"/>
      <c r="L75" s="21"/>
      <c r="M75" s="21"/>
      <c r="N75" s="26"/>
    </row>
    <row r="76" customFormat="false" ht="15.75" hidden="false" customHeight="true" outlineLevel="0" collapsed="false">
      <c r="A76" s="18"/>
      <c r="B76" s="19"/>
      <c r="C76" s="19"/>
      <c r="D76" s="19"/>
      <c r="E76" s="21"/>
      <c r="F76" s="21"/>
      <c r="G76" s="22"/>
      <c r="H76" s="21"/>
      <c r="I76" s="22"/>
      <c r="J76" s="25"/>
      <c r="K76" s="25"/>
      <c r="L76" s="21"/>
      <c r="M76" s="21"/>
      <c r="N76" s="26"/>
    </row>
    <row r="77" customFormat="false" ht="15.75" hidden="false" customHeight="true" outlineLevel="0" collapsed="false">
      <c r="A77" s="18"/>
      <c r="B77" s="19"/>
      <c r="C77" s="19"/>
      <c r="D77" s="19"/>
      <c r="E77" s="21"/>
      <c r="F77" s="21"/>
      <c r="G77" s="22"/>
      <c r="H77" s="21"/>
      <c r="I77" s="22"/>
      <c r="J77" s="25"/>
      <c r="K77" s="25"/>
      <c r="L77" s="21"/>
      <c r="M77" s="21"/>
      <c r="N77" s="26"/>
    </row>
    <row r="78" customFormat="false" ht="15.75" hidden="false" customHeight="true" outlineLevel="0" collapsed="false">
      <c r="A78" s="18"/>
      <c r="B78" s="19"/>
      <c r="C78" s="19"/>
      <c r="D78" s="19"/>
      <c r="E78" s="21"/>
      <c r="F78" s="21"/>
      <c r="G78" s="22"/>
      <c r="H78" s="21"/>
      <c r="I78" s="22"/>
      <c r="J78" s="25"/>
      <c r="K78" s="25"/>
      <c r="L78" s="21"/>
      <c r="M78" s="21"/>
      <c r="N78" s="26"/>
    </row>
    <row r="79" customFormat="false" ht="15.75" hidden="false" customHeight="true" outlineLevel="0" collapsed="false">
      <c r="A79" s="18"/>
      <c r="B79" s="19"/>
      <c r="C79" s="19"/>
      <c r="D79" s="19"/>
      <c r="E79" s="21"/>
      <c r="F79" s="21"/>
      <c r="G79" s="22"/>
      <c r="H79" s="21"/>
      <c r="I79" s="22"/>
      <c r="J79" s="25"/>
      <c r="K79" s="25"/>
      <c r="L79" s="21"/>
      <c r="M79" s="21"/>
      <c r="N79" s="26"/>
    </row>
    <row r="80" customFormat="false" ht="15.75" hidden="false" customHeight="true" outlineLevel="0" collapsed="false">
      <c r="A80" s="18"/>
      <c r="B80" s="19"/>
      <c r="C80" s="19"/>
      <c r="D80" s="19"/>
      <c r="E80" s="21"/>
      <c r="F80" s="21"/>
      <c r="G80" s="22"/>
      <c r="H80" s="21"/>
      <c r="I80" s="22"/>
      <c r="J80" s="25"/>
      <c r="K80" s="25"/>
      <c r="L80" s="21"/>
      <c r="M80" s="21"/>
      <c r="N80" s="26"/>
    </row>
    <row r="81" customFormat="false" ht="15.75" hidden="false" customHeight="true" outlineLevel="0" collapsed="false">
      <c r="A81" s="18"/>
      <c r="B81" s="19"/>
      <c r="C81" s="19"/>
      <c r="D81" s="19"/>
      <c r="E81" s="21"/>
      <c r="F81" s="21"/>
      <c r="G81" s="22"/>
      <c r="H81" s="21"/>
      <c r="I81" s="22"/>
      <c r="J81" s="25"/>
      <c r="K81" s="25"/>
      <c r="L81" s="21"/>
      <c r="M81" s="21"/>
      <c r="N81" s="26"/>
    </row>
    <row r="82" customFormat="false" ht="15.75" hidden="false" customHeight="true" outlineLevel="0" collapsed="false">
      <c r="A82" s="18"/>
      <c r="B82" s="19"/>
      <c r="C82" s="19"/>
      <c r="D82" s="19"/>
      <c r="E82" s="21"/>
      <c r="F82" s="21"/>
      <c r="G82" s="22"/>
      <c r="H82" s="21"/>
      <c r="I82" s="22"/>
      <c r="J82" s="25"/>
      <c r="K82" s="25"/>
      <c r="L82" s="21"/>
      <c r="M82" s="21"/>
      <c r="N82" s="26"/>
    </row>
    <row r="83" customFormat="false" ht="15.75" hidden="false" customHeight="true" outlineLevel="0" collapsed="false">
      <c r="A83" s="18"/>
      <c r="B83" s="19"/>
      <c r="C83" s="19"/>
      <c r="D83" s="19"/>
      <c r="E83" s="21"/>
      <c r="F83" s="21"/>
      <c r="G83" s="22"/>
      <c r="H83" s="21"/>
      <c r="I83" s="22"/>
      <c r="J83" s="25"/>
      <c r="K83" s="25"/>
      <c r="L83" s="21"/>
      <c r="M83" s="21"/>
      <c r="N83" s="26"/>
    </row>
    <row r="84" customFormat="false" ht="15.75" hidden="false" customHeight="true" outlineLevel="0" collapsed="false">
      <c r="A84" s="18"/>
      <c r="B84" s="19"/>
      <c r="C84" s="19"/>
      <c r="D84" s="19"/>
      <c r="E84" s="21"/>
      <c r="F84" s="21"/>
      <c r="G84" s="22"/>
      <c r="H84" s="21"/>
      <c r="I84" s="22"/>
      <c r="J84" s="25"/>
      <c r="K84" s="25"/>
      <c r="L84" s="21"/>
      <c r="M84" s="21"/>
      <c r="N84" s="26"/>
    </row>
    <row r="85" customFormat="false" ht="15.75" hidden="false" customHeight="true" outlineLevel="0" collapsed="false">
      <c r="A85" s="18"/>
      <c r="B85" s="19"/>
      <c r="C85" s="19"/>
      <c r="D85" s="19"/>
      <c r="E85" s="21"/>
      <c r="F85" s="21"/>
      <c r="G85" s="22"/>
      <c r="H85" s="21"/>
      <c r="I85" s="22"/>
      <c r="J85" s="25"/>
      <c r="K85" s="25"/>
      <c r="L85" s="21"/>
      <c r="M85" s="21"/>
      <c r="N85" s="26"/>
    </row>
    <row r="86" customFormat="false" ht="15.75" hidden="false" customHeight="true" outlineLevel="0" collapsed="false">
      <c r="A86" s="18"/>
      <c r="B86" s="19"/>
      <c r="C86" s="19"/>
      <c r="D86" s="19"/>
      <c r="E86" s="21"/>
      <c r="F86" s="21"/>
      <c r="G86" s="22"/>
      <c r="H86" s="21"/>
      <c r="I86" s="22"/>
      <c r="J86" s="25"/>
      <c r="K86" s="25"/>
      <c r="L86" s="21"/>
      <c r="M86" s="21"/>
      <c r="N86" s="26"/>
    </row>
    <row r="87" customFormat="false" ht="15.75" hidden="false" customHeight="true" outlineLevel="0" collapsed="false">
      <c r="A87" s="18"/>
      <c r="B87" s="19"/>
      <c r="C87" s="19"/>
      <c r="D87" s="19"/>
      <c r="E87" s="21"/>
      <c r="F87" s="21"/>
      <c r="G87" s="22"/>
      <c r="H87" s="21"/>
      <c r="I87" s="22"/>
      <c r="J87" s="25"/>
      <c r="K87" s="25"/>
      <c r="L87" s="21"/>
      <c r="M87" s="21"/>
      <c r="N87" s="26"/>
    </row>
    <row r="88" customFormat="false" ht="15.75" hidden="false" customHeight="true" outlineLevel="0" collapsed="false">
      <c r="A88" s="18"/>
      <c r="B88" s="19"/>
      <c r="C88" s="19"/>
      <c r="D88" s="19"/>
      <c r="E88" s="21"/>
      <c r="F88" s="21"/>
      <c r="G88" s="22"/>
      <c r="H88" s="21"/>
      <c r="I88" s="22"/>
      <c r="J88" s="25"/>
      <c r="K88" s="25"/>
      <c r="L88" s="21"/>
      <c r="M88" s="21"/>
      <c r="N88" s="26"/>
    </row>
    <row r="89" customFormat="false" ht="15.75" hidden="false" customHeight="true" outlineLevel="0" collapsed="false">
      <c r="A89" s="18"/>
      <c r="B89" s="19"/>
      <c r="C89" s="19"/>
      <c r="D89" s="19"/>
      <c r="E89" s="21"/>
      <c r="F89" s="21"/>
      <c r="G89" s="22"/>
      <c r="H89" s="21"/>
      <c r="I89" s="22"/>
      <c r="J89" s="25"/>
      <c r="K89" s="25"/>
      <c r="L89" s="21"/>
      <c r="M89" s="21"/>
      <c r="N89" s="26"/>
    </row>
    <row r="90" customFormat="false" ht="15.75" hidden="false" customHeight="true" outlineLevel="0" collapsed="false">
      <c r="A90" s="18"/>
      <c r="B90" s="19"/>
      <c r="C90" s="19"/>
      <c r="D90" s="19"/>
      <c r="E90" s="21"/>
      <c r="F90" s="21"/>
      <c r="G90" s="22"/>
      <c r="H90" s="21"/>
      <c r="I90" s="22"/>
      <c r="J90" s="25"/>
      <c r="K90" s="25"/>
      <c r="L90" s="21"/>
      <c r="M90" s="21"/>
      <c r="N90" s="26"/>
    </row>
    <row r="91" customFormat="false" ht="15.75" hidden="false" customHeight="true" outlineLevel="0" collapsed="false">
      <c r="A91" s="18"/>
      <c r="B91" s="19"/>
      <c r="C91" s="19"/>
      <c r="D91" s="19"/>
      <c r="E91" s="21"/>
      <c r="F91" s="21"/>
      <c r="G91" s="22"/>
      <c r="H91" s="21"/>
      <c r="I91" s="22"/>
      <c r="J91" s="25"/>
      <c r="K91" s="25"/>
      <c r="L91" s="21"/>
      <c r="M91" s="21"/>
      <c r="N91" s="26"/>
    </row>
    <row r="92" customFormat="false" ht="15.75" hidden="false" customHeight="true" outlineLevel="0" collapsed="false">
      <c r="A92" s="18"/>
      <c r="B92" s="19"/>
      <c r="C92" s="19"/>
      <c r="D92" s="19"/>
      <c r="E92" s="21"/>
      <c r="F92" s="21"/>
      <c r="G92" s="22"/>
      <c r="H92" s="21"/>
      <c r="I92" s="22"/>
      <c r="J92" s="25"/>
      <c r="K92" s="25"/>
      <c r="L92" s="21"/>
      <c r="M92" s="21"/>
      <c r="N92" s="26"/>
    </row>
    <row r="93" customFormat="false" ht="15.75" hidden="false" customHeight="true" outlineLevel="0" collapsed="false">
      <c r="A93" s="18"/>
      <c r="B93" s="19"/>
      <c r="C93" s="19"/>
      <c r="D93" s="19"/>
      <c r="E93" s="21"/>
      <c r="F93" s="21"/>
      <c r="G93" s="22"/>
      <c r="H93" s="21"/>
      <c r="I93" s="22"/>
      <c r="J93" s="25"/>
      <c r="K93" s="25"/>
      <c r="L93" s="21"/>
      <c r="M93" s="21"/>
      <c r="N93" s="26"/>
    </row>
    <row r="94" customFormat="false" ht="15.75" hidden="false" customHeight="true" outlineLevel="0" collapsed="false">
      <c r="A94" s="18"/>
      <c r="B94" s="19"/>
      <c r="C94" s="19"/>
      <c r="D94" s="19"/>
      <c r="E94" s="21"/>
      <c r="F94" s="21"/>
      <c r="G94" s="22"/>
      <c r="H94" s="21"/>
      <c r="I94" s="22"/>
      <c r="J94" s="25"/>
      <c r="K94" s="25"/>
      <c r="L94" s="21"/>
      <c r="M94" s="21"/>
      <c r="N94" s="26"/>
    </row>
    <row r="95" customFormat="false" ht="15.75" hidden="false" customHeight="true" outlineLevel="0" collapsed="false">
      <c r="A95" s="18"/>
      <c r="B95" s="19"/>
      <c r="C95" s="19"/>
      <c r="D95" s="19"/>
      <c r="E95" s="21"/>
      <c r="F95" s="21"/>
      <c r="G95" s="22"/>
      <c r="H95" s="21"/>
      <c r="I95" s="22"/>
      <c r="J95" s="25"/>
      <c r="K95" s="25"/>
      <c r="L95" s="21"/>
      <c r="M95" s="21"/>
      <c r="N95" s="26"/>
    </row>
    <row r="96" customFormat="false" ht="15.75" hidden="false" customHeight="true" outlineLevel="0" collapsed="false">
      <c r="A96" s="18"/>
      <c r="B96" s="19"/>
      <c r="C96" s="19"/>
      <c r="D96" s="19"/>
      <c r="E96" s="21"/>
      <c r="F96" s="21"/>
      <c r="G96" s="22"/>
      <c r="H96" s="21"/>
      <c r="I96" s="22"/>
      <c r="J96" s="25"/>
      <c r="K96" s="25"/>
      <c r="L96" s="21"/>
      <c r="M96" s="21"/>
      <c r="N96" s="26"/>
    </row>
    <row r="97" customFormat="false" ht="15.75" hidden="false" customHeight="true" outlineLevel="0" collapsed="false">
      <c r="A97" s="18"/>
      <c r="B97" s="19"/>
      <c r="C97" s="19"/>
      <c r="D97" s="19"/>
      <c r="E97" s="21"/>
      <c r="F97" s="21"/>
      <c r="G97" s="22"/>
      <c r="H97" s="21"/>
      <c r="I97" s="22"/>
      <c r="J97" s="25"/>
      <c r="K97" s="25"/>
      <c r="L97" s="21"/>
      <c r="M97" s="21"/>
      <c r="N97" s="26"/>
    </row>
    <row r="98" customFormat="false" ht="15.75" hidden="false" customHeight="true" outlineLevel="0" collapsed="false">
      <c r="A98" s="18"/>
      <c r="B98" s="19"/>
      <c r="C98" s="19"/>
      <c r="D98" s="19"/>
      <c r="E98" s="21"/>
      <c r="F98" s="21"/>
      <c r="G98" s="22"/>
      <c r="H98" s="21"/>
      <c r="I98" s="22"/>
      <c r="J98" s="25"/>
      <c r="K98" s="25"/>
      <c r="L98" s="21"/>
      <c r="M98" s="21"/>
      <c r="N98" s="26"/>
    </row>
    <row r="99" customFormat="false" ht="15.75" hidden="false" customHeight="true" outlineLevel="0" collapsed="false">
      <c r="A99" s="18"/>
      <c r="B99" s="19"/>
      <c r="C99" s="19"/>
      <c r="D99" s="19"/>
      <c r="E99" s="21"/>
      <c r="F99" s="21"/>
      <c r="G99" s="22"/>
      <c r="H99" s="21"/>
      <c r="I99" s="22"/>
      <c r="J99" s="25"/>
      <c r="K99" s="25"/>
      <c r="L99" s="21"/>
      <c r="M99" s="21"/>
      <c r="N99" s="26"/>
    </row>
    <row r="100" customFormat="false" ht="15.75" hidden="false" customHeight="true" outlineLevel="0" collapsed="false">
      <c r="A100" s="18"/>
      <c r="B100" s="19"/>
      <c r="C100" s="19"/>
      <c r="D100" s="19"/>
      <c r="E100" s="21"/>
      <c r="F100" s="21"/>
      <c r="G100" s="22"/>
      <c r="H100" s="21"/>
      <c r="I100" s="22"/>
      <c r="J100" s="25"/>
      <c r="K100" s="25"/>
      <c r="L100" s="21"/>
      <c r="M100" s="21"/>
      <c r="N100" s="26"/>
    </row>
    <row r="101" customFormat="false" ht="15.75" hidden="false" customHeight="true" outlineLevel="0" collapsed="false">
      <c r="A101" s="18"/>
      <c r="B101" s="19"/>
      <c r="C101" s="19"/>
      <c r="D101" s="19"/>
      <c r="E101" s="21"/>
      <c r="F101" s="21"/>
      <c r="G101" s="22"/>
      <c r="H101" s="21"/>
      <c r="I101" s="22"/>
      <c r="J101" s="25"/>
      <c r="K101" s="25"/>
      <c r="L101" s="21"/>
      <c r="M101" s="21"/>
      <c r="N101" s="26"/>
    </row>
    <row r="102" customFormat="false" ht="15.75" hidden="false" customHeight="true" outlineLevel="0" collapsed="false">
      <c r="A102" s="18"/>
      <c r="B102" s="19"/>
      <c r="C102" s="19"/>
      <c r="D102" s="19"/>
      <c r="E102" s="21"/>
      <c r="F102" s="21"/>
      <c r="G102" s="22"/>
      <c r="H102" s="21"/>
      <c r="I102" s="22"/>
      <c r="J102" s="25"/>
      <c r="K102" s="25"/>
      <c r="L102" s="21"/>
      <c r="M102" s="21"/>
      <c r="N102" s="26"/>
    </row>
    <row r="103" customFormat="false" ht="15.75" hidden="false" customHeight="true" outlineLevel="0" collapsed="false">
      <c r="A103" s="18"/>
      <c r="B103" s="19"/>
      <c r="C103" s="19"/>
      <c r="D103" s="19"/>
      <c r="E103" s="21"/>
      <c r="F103" s="21"/>
      <c r="G103" s="22"/>
      <c r="H103" s="21"/>
      <c r="I103" s="22"/>
      <c r="J103" s="25"/>
      <c r="K103" s="25"/>
      <c r="L103" s="21"/>
      <c r="M103" s="21"/>
      <c r="N103" s="26"/>
    </row>
    <row r="104" customFormat="false" ht="15.75" hidden="false" customHeight="true" outlineLevel="0" collapsed="false">
      <c r="A104" s="18"/>
      <c r="B104" s="19"/>
      <c r="C104" s="19"/>
      <c r="D104" s="19"/>
      <c r="E104" s="21"/>
      <c r="F104" s="21"/>
      <c r="G104" s="22"/>
      <c r="H104" s="21"/>
      <c r="I104" s="22"/>
      <c r="J104" s="25"/>
      <c r="K104" s="25"/>
      <c r="L104" s="21"/>
      <c r="M104" s="21"/>
      <c r="N104" s="26"/>
    </row>
    <row r="105" customFormat="false" ht="15.75" hidden="false" customHeight="true" outlineLevel="0" collapsed="false">
      <c r="A105" s="18"/>
      <c r="B105" s="19"/>
      <c r="C105" s="19"/>
      <c r="D105" s="19"/>
      <c r="E105" s="21"/>
      <c r="F105" s="21"/>
      <c r="G105" s="22"/>
      <c r="H105" s="21"/>
      <c r="I105" s="22"/>
      <c r="J105" s="25"/>
      <c r="K105" s="25"/>
      <c r="L105" s="21"/>
      <c r="M105" s="21"/>
      <c r="N105" s="26"/>
    </row>
    <row r="106" customFormat="false" ht="15.75" hidden="false" customHeight="true" outlineLevel="0" collapsed="false">
      <c r="A106" s="18"/>
      <c r="B106" s="19"/>
      <c r="C106" s="19"/>
      <c r="D106" s="19"/>
      <c r="E106" s="21"/>
      <c r="F106" s="21"/>
      <c r="G106" s="22"/>
      <c r="H106" s="21"/>
      <c r="I106" s="22"/>
      <c r="J106" s="25"/>
      <c r="K106" s="25"/>
      <c r="L106" s="21"/>
      <c r="M106" s="21"/>
      <c r="N106" s="26"/>
    </row>
    <row r="107" customFormat="false" ht="15.75" hidden="false" customHeight="true" outlineLevel="0" collapsed="false">
      <c r="A107" s="18"/>
      <c r="B107" s="19"/>
      <c r="C107" s="19"/>
      <c r="D107" s="19"/>
      <c r="E107" s="21"/>
      <c r="F107" s="21"/>
      <c r="G107" s="22"/>
      <c r="H107" s="21"/>
      <c r="I107" s="22"/>
      <c r="J107" s="25"/>
      <c r="K107" s="25"/>
      <c r="L107" s="21"/>
      <c r="M107" s="21"/>
      <c r="N107" s="26"/>
    </row>
    <row r="108" customFormat="false" ht="15.75" hidden="false" customHeight="true" outlineLevel="0" collapsed="false">
      <c r="A108" s="18"/>
      <c r="B108" s="19"/>
      <c r="C108" s="19"/>
      <c r="D108" s="19"/>
      <c r="E108" s="21"/>
      <c r="F108" s="21"/>
      <c r="G108" s="22"/>
      <c r="H108" s="21"/>
      <c r="I108" s="22"/>
      <c r="J108" s="25"/>
      <c r="K108" s="25"/>
      <c r="L108" s="21"/>
      <c r="M108" s="21"/>
      <c r="N108" s="26"/>
    </row>
    <row r="109" customFormat="false" ht="15.75" hidden="false" customHeight="true" outlineLevel="0" collapsed="false">
      <c r="A109" s="18"/>
      <c r="B109" s="19"/>
      <c r="C109" s="19"/>
      <c r="D109" s="19"/>
      <c r="E109" s="21"/>
      <c r="F109" s="21"/>
      <c r="G109" s="22"/>
      <c r="H109" s="21"/>
      <c r="I109" s="22"/>
      <c r="J109" s="25"/>
      <c r="K109" s="25"/>
      <c r="L109" s="21"/>
      <c r="M109" s="21"/>
      <c r="N109" s="26"/>
    </row>
    <row r="110" customFormat="false" ht="15.75" hidden="false" customHeight="true" outlineLevel="0" collapsed="false">
      <c r="A110" s="18"/>
      <c r="B110" s="19"/>
      <c r="C110" s="19"/>
      <c r="D110" s="19"/>
      <c r="E110" s="21"/>
      <c r="F110" s="21"/>
      <c r="G110" s="22"/>
      <c r="H110" s="21"/>
      <c r="I110" s="22"/>
      <c r="J110" s="25"/>
      <c r="K110" s="25"/>
      <c r="L110" s="21"/>
      <c r="M110" s="21"/>
      <c r="N110" s="26"/>
    </row>
    <row r="111" customFormat="false" ht="15.75" hidden="false" customHeight="true" outlineLevel="0" collapsed="false">
      <c r="A111" s="18"/>
      <c r="B111" s="19"/>
      <c r="C111" s="19"/>
      <c r="D111" s="19"/>
      <c r="E111" s="21"/>
      <c r="F111" s="21"/>
      <c r="G111" s="22"/>
      <c r="H111" s="21"/>
      <c r="I111" s="22"/>
      <c r="J111" s="25"/>
      <c r="K111" s="25"/>
      <c r="L111" s="21"/>
      <c r="M111" s="21"/>
      <c r="N111" s="26"/>
    </row>
    <row r="112" customFormat="false" ht="15.75" hidden="false" customHeight="true" outlineLevel="0" collapsed="false">
      <c r="A112" s="18"/>
      <c r="B112" s="19"/>
      <c r="C112" s="19"/>
      <c r="D112" s="19"/>
      <c r="E112" s="21"/>
      <c r="F112" s="21"/>
      <c r="G112" s="22"/>
      <c r="H112" s="21"/>
      <c r="I112" s="22"/>
      <c r="J112" s="25"/>
      <c r="K112" s="25"/>
      <c r="L112" s="21"/>
      <c r="M112" s="21"/>
      <c r="N112" s="26"/>
    </row>
    <row r="113" customFormat="false" ht="15.75" hidden="false" customHeight="true" outlineLevel="0" collapsed="false">
      <c r="A113" s="18"/>
      <c r="B113" s="19"/>
      <c r="C113" s="19"/>
      <c r="D113" s="19"/>
      <c r="E113" s="21"/>
      <c r="F113" s="21"/>
      <c r="G113" s="22"/>
      <c r="H113" s="21"/>
      <c r="I113" s="22"/>
      <c r="J113" s="25"/>
      <c r="K113" s="25"/>
      <c r="L113" s="21"/>
      <c r="M113" s="21"/>
      <c r="N113" s="26"/>
    </row>
    <row r="114" customFormat="false" ht="15.75" hidden="false" customHeight="true" outlineLevel="0" collapsed="false">
      <c r="A114" s="18"/>
      <c r="B114" s="19"/>
      <c r="C114" s="19"/>
      <c r="D114" s="19"/>
      <c r="E114" s="21"/>
      <c r="F114" s="21"/>
      <c r="G114" s="22"/>
      <c r="H114" s="21"/>
      <c r="I114" s="22"/>
      <c r="J114" s="25"/>
      <c r="K114" s="25"/>
      <c r="L114" s="21"/>
      <c r="M114" s="21"/>
      <c r="N114" s="26"/>
    </row>
    <row r="115" customFormat="false" ht="15.75" hidden="false" customHeight="true" outlineLevel="0" collapsed="false">
      <c r="A115" s="18"/>
      <c r="B115" s="19"/>
      <c r="C115" s="19"/>
      <c r="D115" s="19"/>
      <c r="E115" s="21"/>
      <c r="F115" s="21"/>
      <c r="G115" s="22"/>
      <c r="H115" s="21"/>
      <c r="I115" s="22"/>
      <c r="J115" s="25"/>
      <c r="K115" s="25"/>
      <c r="L115" s="21"/>
      <c r="M115" s="21"/>
      <c r="N115" s="26"/>
    </row>
    <row r="116" customFormat="false" ht="15.75" hidden="false" customHeight="true" outlineLevel="0" collapsed="false">
      <c r="A116" s="18"/>
      <c r="B116" s="19"/>
      <c r="C116" s="19"/>
      <c r="D116" s="19"/>
      <c r="E116" s="21"/>
      <c r="F116" s="21"/>
      <c r="G116" s="22"/>
      <c r="H116" s="21"/>
      <c r="I116" s="22"/>
      <c r="J116" s="25"/>
      <c r="K116" s="25"/>
      <c r="L116" s="21"/>
      <c r="M116" s="21"/>
      <c r="N116" s="26"/>
    </row>
    <row r="117" customFormat="false" ht="15.75" hidden="false" customHeight="true" outlineLevel="0" collapsed="false">
      <c r="A117" s="18"/>
      <c r="B117" s="19"/>
      <c r="C117" s="19"/>
      <c r="D117" s="19"/>
      <c r="E117" s="21"/>
      <c r="F117" s="21"/>
      <c r="G117" s="22"/>
      <c r="H117" s="21"/>
      <c r="I117" s="22"/>
      <c r="J117" s="25"/>
      <c r="K117" s="25"/>
      <c r="L117" s="21"/>
      <c r="M117" s="21"/>
      <c r="N117" s="26"/>
    </row>
    <row r="118" customFormat="false" ht="15.75" hidden="false" customHeight="true" outlineLevel="0" collapsed="false">
      <c r="A118" s="18"/>
      <c r="B118" s="19"/>
      <c r="C118" s="19"/>
      <c r="D118" s="19"/>
      <c r="E118" s="21"/>
      <c r="F118" s="21"/>
      <c r="G118" s="22"/>
      <c r="H118" s="21"/>
      <c r="I118" s="22"/>
      <c r="J118" s="25"/>
      <c r="K118" s="25"/>
      <c r="L118" s="21"/>
      <c r="M118" s="21"/>
      <c r="N118" s="26"/>
    </row>
    <row r="119" customFormat="false" ht="15.75" hidden="false" customHeight="true" outlineLevel="0" collapsed="false">
      <c r="A119" s="18"/>
      <c r="B119" s="19"/>
      <c r="C119" s="19"/>
      <c r="D119" s="19"/>
      <c r="E119" s="21"/>
      <c r="F119" s="21"/>
      <c r="G119" s="22"/>
      <c r="H119" s="21"/>
      <c r="I119" s="22"/>
      <c r="J119" s="25"/>
      <c r="K119" s="25"/>
      <c r="L119" s="21"/>
      <c r="M119" s="21"/>
      <c r="N119" s="26"/>
    </row>
    <row r="120" customFormat="false" ht="15.75" hidden="false" customHeight="true" outlineLevel="0" collapsed="false">
      <c r="A120" s="18"/>
      <c r="B120" s="19"/>
      <c r="C120" s="19"/>
      <c r="D120" s="19"/>
      <c r="E120" s="21"/>
      <c r="F120" s="21"/>
      <c r="G120" s="22"/>
      <c r="H120" s="21"/>
      <c r="I120" s="22"/>
      <c r="J120" s="25"/>
      <c r="K120" s="25"/>
      <c r="L120" s="21"/>
      <c r="M120" s="21"/>
      <c r="N120" s="26"/>
    </row>
    <row r="121" customFormat="false" ht="15.75" hidden="false" customHeight="true" outlineLevel="0" collapsed="false">
      <c r="A121" s="18"/>
      <c r="B121" s="19"/>
      <c r="C121" s="19"/>
      <c r="D121" s="19"/>
      <c r="E121" s="21"/>
      <c r="F121" s="21"/>
      <c r="G121" s="22"/>
      <c r="H121" s="21"/>
      <c r="I121" s="22"/>
      <c r="J121" s="25"/>
      <c r="K121" s="25"/>
      <c r="L121" s="21"/>
      <c r="M121" s="21"/>
      <c r="N121" s="26"/>
    </row>
    <row r="122" customFormat="false" ht="15.75" hidden="false" customHeight="true" outlineLevel="0" collapsed="false">
      <c r="A122" s="18"/>
      <c r="B122" s="19"/>
      <c r="C122" s="19"/>
      <c r="D122" s="19"/>
      <c r="E122" s="21"/>
      <c r="F122" s="21"/>
      <c r="G122" s="22"/>
      <c r="H122" s="21"/>
      <c r="I122" s="22"/>
      <c r="J122" s="25"/>
      <c r="K122" s="25"/>
      <c r="L122" s="21"/>
      <c r="M122" s="21"/>
      <c r="N122" s="26"/>
    </row>
    <row r="123" customFormat="false" ht="15.75" hidden="false" customHeight="true" outlineLevel="0" collapsed="false">
      <c r="A123" s="18"/>
      <c r="B123" s="19"/>
      <c r="C123" s="19"/>
      <c r="D123" s="19"/>
      <c r="E123" s="21"/>
      <c r="F123" s="21"/>
      <c r="G123" s="22"/>
      <c r="H123" s="21"/>
      <c r="I123" s="22"/>
      <c r="J123" s="25"/>
      <c r="K123" s="25"/>
      <c r="L123" s="21"/>
      <c r="M123" s="21"/>
      <c r="N123" s="26"/>
    </row>
    <row r="124" customFormat="false" ht="15.75" hidden="false" customHeight="true" outlineLevel="0" collapsed="false">
      <c r="A124" s="18"/>
      <c r="B124" s="19"/>
      <c r="C124" s="19"/>
      <c r="D124" s="19"/>
      <c r="E124" s="21"/>
      <c r="F124" s="21"/>
      <c r="G124" s="22"/>
      <c r="H124" s="21"/>
      <c r="I124" s="22"/>
      <c r="J124" s="25"/>
      <c r="K124" s="25"/>
      <c r="L124" s="21"/>
      <c r="M124" s="21"/>
      <c r="N124" s="26"/>
    </row>
    <row r="125" customFormat="false" ht="15.75" hidden="false" customHeight="true" outlineLevel="0" collapsed="false">
      <c r="A125" s="18"/>
      <c r="B125" s="19"/>
      <c r="C125" s="19"/>
      <c r="D125" s="19"/>
      <c r="E125" s="21"/>
      <c r="F125" s="21"/>
      <c r="G125" s="22"/>
      <c r="H125" s="21"/>
      <c r="I125" s="22"/>
      <c r="J125" s="25"/>
      <c r="K125" s="25"/>
      <c r="L125" s="21"/>
      <c r="M125" s="21"/>
      <c r="N125" s="26"/>
    </row>
    <row r="126" customFormat="false" ht="15.75" hidden="false" customHeight="true" outlineLevel="0" collapsed="false">
      <c r="A126" s="18"/>
      <c r="B126" s="19"/>
      <c r="C126" s="19"/>
      <c r="D126" s="19"/>
      <c r="E126" s="21"/>
      <c r="F126" s="21"/>
      <c r="G126" s="22"/>
      <c r="H126" s="21"/>
      <c r="I126" s="22"/>
      <c r="J126" s="25"/>
      <c r="K126" s="25"/>
      <c r="L126" s="21"/>
      <c r="M126" s="21"/>
      <c r="N126" s="26"/>
    </row>
    <row r="127" customFormat="false" ht="15.75" hidden="false" customHeight="true" outlineLevel="0" collapsed="false">
      <c r="A127" s="18"/>
      <c r="B127" s="19"/>
      <c r="C127" s="19"/>
      <c r="D127" s="19"/>
      <c r="E127" s="21"/>
      <c r="F127" s="21"/>
      <c r="G127" s="22"/>
      <c r="H127" s="21"/>
      <c r="I127" s="22"/>
      <c r="J127" s="25"/>
      <c r="K127" s="25"/>
      <c r="L127" s="21"/>
      <c r="M127" s="21"/>
      <c r="N127" s="26"/>
    </row>
    <row r="128" customFormat="false" ht="15.75" hidden="false" customHeight="true" outlineLevel="0" collapsed="false">
      <c r="A128" s="18"/>
      <c r="B128" s="19"/>
      <c r="C128" s="19"/>
      <c r="D128" s="19"/>
      <c r="E128" s="21"/>
      <c r="F128" s="21"/>
      <c r="G128" s="22"/>
      <c r="H128" s="21"/>
      <c r="I128" s="22"/>
      <c r="J128" s="25"/>
      <c r="K128" s="25"/>
      <c r="L128" s="21"/>
      <c r="M128" s="21"/>
      <c r="N128" s="26"/>
    </row>
    <row r="129" customFormat="false" ht="15.75" hidden="false" customHeight="true" outlineLevel="0" collapsed="false">
      <c r="A129" s="18"/>
      <c r="B129" s="19"/>
      <c r="C129" s="19"/>
      <c r="D129" s="19"/>
      <c r="E129" s="21"/>
      <c r="F129" s="21"/>
      <c r="G129" s="22"/>
      <c r="H129" s="21"/>
      <c r="I129" s="22"/>
      <c r="J129" s="25"/>
      <c r="K129" s="25"/>
      <c r="L129" s="21"/>
      <c r="M129" s="21"/>
      <c r="N129" s="26"/>
    </row>
    <row r="130" customFormat="false" ht="15.75" hidden="false" customHeight="true" outlineLevel="0" collapsed="false">
      <c r="A130" s="18"/>
      <c r="B130" s="19"/>
      <c r="C130" s="19"/>
      <c r="D130" s="19"/>
      <c r="E130" s="21"/>
      <c r="F130" s="21"/>
      <c r="G130" s="22"/>
      <c r="H130" s="21"/>
      <c r="I130" s="22"/>
      <c r="J130" s="25"/>
      <c r="K130" s="25"/>
      <c r="L130" s="21"/>
      <c r="M130" s="21"/>
      <c r="N130" s="26"/>
    </row>
    <row r="131" customFormat="false" ht="15.75" hidden="false" customHeight="true" outlineLevel="0" collapsed="false">
      <c r="A131" s="18"/>
      <c r="B131" s="19"/>
      <c r="C131" s="19"/>
      <c r="D131" s="19"/>
      <c r="E131" s="21"/>
      <c r="F131" s="21"/>
      <c r="G131" s="22"/>
      <c r="H131" s="21"/>
      <c r="I131" s="22"/>
      <c r="J131" s="25"/>
      <c r="K131" s="25"/>
      <c r="L131" s="21"/>
      <c r="M131" s="21"/>
      <c r="N131" s="26"/>
    </row>
    <row r="132" customFormat="false" ht="15.75" hidden="false" customHeight="true" outlineLevel="0" collapsed="false">
      <c r="A132" s="18"/>
      <c r="B132" s="19"/>
      <c r="C132" s="19"/>
      <c r="D132" s="19"/>
      <c r="E132" s="21"/>
      <c r="F132" s="21"/>
      <c r="G132" s="22"/>
      <c r="H132" s="21"/>
      <c r="I132" s="22"/>
      <c r="J132" s="25"/>
      <c r="K132" s="25"/>
      <c r="L132" s="21"/>
      <c r="M132" s="21"/>
      <c r="N132" s="26"/>
    </row>
    <row r="133" customFormat="false" ht="15.75" hidden="false" customHeight="true" outlineLevel="0" collapsed="false">
      <c r="A133" s="18"/>
      <c r="B133" s="19"/>
      <c r="C133" s="19"/>
      <c r="D133" s="19"/>
      <c r="E133" s="21"/>
      <c r="F133" s="21"/>
      <c r="G133" s="22"/>
      <c r="H133" s="21"/>
      <c r="I133" s="22"/>
      <c r="J133" s="25"/>
      <c r="K133" s="25"/>
      <c r="L133" s="21"/>
      <c r="M133" s="21"/>
      <c r="N133" s="26"/>
    </row>
    <row r="134" customFormat="false" ht="15.75" hidden="false" customHeight="true" outlineLevel="0" collapsed="false">
      <c r="A134" s="18"/>
      <c r="B134" s="19"/>
      <c r="C134" s="19"/>
      <c r="D134" s="19"/>
      <c r="E134" s="21"/>
      <c r="F134" s="21"/>
      <c r="G134" s="22"/>
      <c r="H134" s="21"/>
      <c r="I134" s="22"/>
      <c r="J134" s="25"/>
      <c r="K134" s="25"/>
      <c r="L134" s="21"/>
      <c r="M134" s="21"/>
      <c r="N134" s="26"/>
    </row>
    <row r="135" customFormat="false" ht="15.75" hidden="false" customHeight="true" outlineLevel="0" collapsed="false">
      <c r="A135" s="18"/>
      <c r="B135" s="19"/>
      <c r="C135" s="19"/>
      <c r="D135" s="19"/>
      <c r="E135" s="21"/>
      <c r="F135" s="21"/>
      <c r="G135" s="22"/>
      <c r="H135" s="21"/>
      <c r="I135" s="22"/>
      <c r="J135" s="25"/>
      <c r="K135" s="25"/>
      <c r="L135" s="21"/>
      <c r="M135" s="21"/>
      <c r="N135" s="26"/>
    </row>
    <row r="136" customFormat="false" ht="15.75" hidden="false" customHeight="true" outlineLevel="0" collapsed="false">
      <c r="A136" s="18"/>
      <c r="B136" s="19"/>
      <c r="C136" s="19"/>
      <c r="D136" s="19"/>
      <c r="E136" s="21"/>
      <c r="F136" s="21"/>
      <c r="G136" s="22"/>
      <c r="H136" s="21"/>
      <c r="I136" s="22"/>
      <c r="J136" s="25"/>
      <c r="K136" s="25"/>
      <c r="L136" s="21"/>
      <c r="M136" s="21"/>
      <c r="N136" s="26"/>
    </row>
    <row r="137" customFormat="false" ht="15.75" hidden="false" customHeight="true" outlineLevel="0" collapsed="false">
      <c r="A137" s="18"/>
      <c r="B137" s="19"/>
      <c r="C137" s="19"/>
      <c r="D137" s="19"/>
      <c r="E137" s="21"/>
      <c r="F137" s="21"/>
      <c r="G137" s="22"/>
      <c r="H137" s="21"/>
      <c r="I137" s="22"/>
      <c r="J137" s="25"/>
      <c r="K137" s="25"/>
      <c r="L137" s="21"/>
      <c r="M137" s="21"/>
      <c r="N137" s="26"/>
    </row>
    <row r="138" customFormat="false" ht="15.75" hidden="false" customHeight="true" outlineLevel="0" collapsed="false">
      <c r="A138" s="18"/>
      <c r="B138" s="19"/>
      <c r="C138" s="19"/>
      <c r="D138" s="19"/>
      <c r="E138" s="21"/>
      <c r="F138" s="21"/>
      <c r="G138" s="22"/>
      <c r="H138" s="21"/>
      <c r="I138" s="22"/>
      <c r="J138" s="25"/>
      <c r="K138" s="25"/>
      <c r="L138" s="21"/>
      <c r="M138" s="21"/>
      <c r="N138" s="26"/>
    </row>
    <row r="139" customFormat="false" ht="15.75" hidden="false" customHeight="true" outlineLevel="0" collapsed="false">
      <c r="A139" s="18"/>
      <c r="B139" s="19"/>
      <c r="C139" s="19"/>
      <c r="D139" s="19"/>
      <c r="E139" s="21"/>
      <c r="F139" s="21"/>
      <c r="G139" s="22"/>
      <c r="H139" s="21"/>
      <c r="I139" s="22"/>
      <c r="J139" s="25"/>
      <c r="K139" s="25"/>
      <c r="L139" s="21"/>
      <c r="M139" s="21"/>
      <c r="N139" s="26"/>
    </row>
    <row r="140" customFormat="false" ht="15.75" hidden="false" customHeight="true" outlineLevel="0" collapsed="false">
      <c r="A140" s="18"/>
      <c r="B140" s="19"/>
      <c r="C140" s="19"/>
      <c r="D140" s="19"/>
      <c r="E140" s="21"/>
      <c r="F140" s="21"/>
      <c r="G140" s="22"/>
      <c r="H140" s="21"/>
      <c r="I140" s="22"/>
      <c r="J140" s="25"/>
      <c r="K140" s="25"/>
      <c r="L140" s="21"/>
      <c r="M140" s="21"/>
      <c r="N140" s="26"/>
    </row>
    <row r="141" customFormat="false" ht="15.75" hidden="false" customHeight="true" outlineLevel="0" collapsed="false">
      <c r="A141" s="18"/>
      <c r="B141" s="19"/>
      <c r="C141" s="19"/>
      <c r="D141" s="19"/>
      <c r="E141" s="21"/>
      <c r="F141" s="21"/>
      <c r="G141" s="22"/>
      <c r="H141" s="21"/>
      <c r="I141" s="22"/>
      <c r="J141" s="25"/>
      <c r="K141" s="25"/>
      <c r="L141" s="21"/>
      <c r="M141" s="21"/>
      <c r="N141" s="26"/>
    </row>
    <row r="142" customFormat="false" ht="15.75" hidden="false" customHeight="true" outlineLevel="0" collapsed="false">
      <c r="A142" s="18"/>
      <c r="B142" s="19"/>
      <c r="C142" s="19"/>
      <c r="D142" s="19"/>
      <c r="E142" s="21"/>
      <c r="F142" s="21"/>
      <c r="G142" s="22"/>
      <c r="H142" s="21"/>
      <c r="I142" s="22"/>
      <c r="J142" s="25"/>
      <c r="K142" s="25"/>
      <c r="L142" s="21"/>
      <c r="M142" s="21"/>
      <c r="N142" s="26"/>
    </row>
    <row r="143" customFormat="false" ht="15.75" hidden="false" customHeight="true" outlineLevel="0" collapsed="false">
      <c r="A143" s="18"/>
      <c r="B143" s="19"/>
      <c r="C143" s="19"/>
      <c r="D143" s="19"/>
      <c r="E143" s="21"/>
      <c r="F143" s="21"/>
      <c r="G143" s="22"/>
      <c r="H143" s="21"/>
      <c r="I143" s="22"/>
      <c r="J143" s="25"/>
      <c r="K143" s="25"/>
      <c r="L143" s="21"/>
      <c r="M143" s="21"/>
      <c r="N143" s="26"/>
    </row>
    <row r="144" customFormat="false" ht="15.75" hidden="false" customHeight="true" outlineLevel="0" collapsed="false">
      <c r="A144" s="18"/>
      <c r="B144" s="19"/>
      <c r="C144" s="19"/>
      <c r="D144" s="19"/>
      <c r="E144" s="21"/>
      <c r="F144" s="21"/>
      <c r="G144" s="22"/>
      <c r="H144" s="21"/>
      <c r="I144" s="22"/>
      <c r="J144" s="25"/>
      <c r="K144" s="25"/>
      <c r="L144" s="21"/>
      <c r="M144" s="21"/>
      <c r="N144" s="26"/>
    </row>
    <row r="145" customFormat="false" ht="15.75" hidden="false" customHeight="true" outlineLevel="0" collapsed="false">
      <c r="A145" s="18"/>
      <c r="B145" s="19"/>
      <c r="C145" s="19"/>
      <c r="D145" s="19"/>
      <c r="E145" s="21"/>
      <c r="F145" s="21"/>
      <c r="G145" s="22"/>
      <c r="H145" s="21"/>
      <c r="I145" s="22"/>
      <c r="J145" s="25"/>
      <c r="K145" s="25"/>
      <c r="L145" s="21"/>
      <c r="M145" s="21"/>
      <c r="N145" s="26"/>
    </row>
    <row r="146" customFormat="false" ht="15.75" hidden="false" customHeight="true" outlineLevel="0" collapsed="false">
      <c r="A146" s="18"/>
      <c r="B146" s="19"/>
      <c r="C146" s="19"/>
      <c r="D146" s="19"/>
      <c r="E146" s="21"/>
      <c r="F146" s="21"/>
      <c r="G146" s="22"/>
      <c r="H146" s="21"/>
      <c r="I146" s="22"/>
      <c r="J146" s="25"/>
      <c r="K146" s="25"/>
      <c r="L146" s="21"/>
      <c r="M146" s="21"/>
      <c r="N146" s="26"/>
    </row>
    <row r="147" customFormat="false" ht="15.75" hidden="false" customHeight="true" outlineLevel="0" collapsed="false">
      <c r="A147" s="18"/>
      <c r="B147" s="19"/>
      <c r="C147" s="19"/>
      <c r="D147" s="19"/>
      <c r="E147" s="21"/>
      <c r="F147" s="21"/>
      <c r="G147" s="22"/>
      <c r="H147" s="21"/>
      <c r="I147" s="22"/>
      <c r="J147" s="25"/>
      <c r="K147" s="25"/>
      <c r="L147" s="21"/>
      <c r="M147" s="21"/>
      <c r="N147" s="26"/>
    </row>
    <row r="148" customFormat="false" ht="15.75" hidden="false" customHeight="true" outlineLevel="0" collapsed="false">
      <c r="A148" s="18"/>
      <c r="B148" s="19"/>
      <c r="C148" s="19"/>
      <c r="D148" s="19"/>
      <c r="E148" s="21"/>
      <c r="F148" s="21"/>
      <c r="G148" s="22"/>
      <c r="H148" s="21"/>
      <c r="I148" s="22"/>
      <c r="J148" s="25"/>
      <c r="K148" s="25"/>
      <c r="L148" s="21"/>
      <c r="M148" s="21"/>
      <c r="N148" s="26"/>
    </row>
    <row r="149" customFormat="false" ht="15.75" hidden="false" customHeight="true" outlineLevel="0" collapsed="false">
      <c r="A149" s="18"/>
      <c r="B149" s="19"/>
      <c r="C149" s="19"/>
      <c r="D149" s="19"/>
      <c r="E149" s="21"/>
      <c r="F149" s="21"/>
      <c r="G149" s="22"/>
      <c r="H149" s="21"/>
      <c r="I149" s="22"/>
      <c r="J149" s="25"/>
      <c r="K149" s="25"/>
      <c r="L149" s="21"/>
      <c r="M149" s="21"/>
      <c r="N149" s="26"/>
    </row>
    <row r="150" customFormat="false" ht="15.75" hidden="false" customHeight="true" outlineLevel="0" collapsed="false">
      <c r="A150" s="18"/>
      <c r="B150" s="19"/>
      <c r="C150" s="19"/>
      <c r="D150" s="19"/>
      <c r="E150" s="21"/>
      <c r="F150" s="21"/>
      <c r="G150" s="22"/>
      <c r="H150" s="21"/>
      <c r="I150" s="22"/>
      <c r="J150" s="25"/>
      <c r="K150" s="25"/>
      <c r="L150" s="21"/>
      <c r="M150" s="21"/>
      <c r="N150" s="26"/>
    </row>
    <row r="151" customFormat="false" ht="15.75" hidden="false" customHeight="true" outlineLevel="0" collapsed="false">
      <c r="A151" s="18"/>
      <c r="B151" s="19"/>
      <c r="C151" s="19"/>
      <c r="D151" s="19"/>
      <c r="E151" s="21"/>
      <c r="F151" s="21"/>
      <c r="G151" s="22"/>
      <c r="H151" s="21"/>
      <c r="I151" s="22"/>
      <c r="J151" s="25"/>
      <c r="K151" s="25"/>
      <c r="L151" s="21"/>
      <c r="M151" s="21"/>
      <c r="N151" s="26"/>
    </row>
    <row r="152" customFormat="false" ht="15.75" hidden="false" customHeight="true" outlineLevel="0" collapsed="false">
      <c r="A152" s="18"/>
      <c r="B152" s="19"/>
      <c r="C152" s="19"/>
      <c r="D152" s="19"/>
      <c r="E152" s="21"/>
      <c r="F152" s="21"/>
      <c r="G152" s="22"/>
      <c r="H152" s="21"/>
      <c r="I152" s="22"/>
      <c r="J152" s="25"/>
      <c r="K152" s="25"/>
      <c r="L152" s="21"/>
      <c r="M152" s="21"/>
      <c r="N152" s="26"/>
    </row>
    <row r="153" customFormat="false" ht="15.75" hidden="false" customHeight="true" outlineLevel="0" collapsed="false">
      <c r="A153" s="18"/>
      <c r="B153" s="19"/>
      <c r="C153" s="19"/>
      <c r="D153" s="19"/>
      <c r="E153" s="21"/>
      <c r="F153" s="21"/>
      <c r="G153" s="22"/>
      <c r="H153" s="21"/>
      <c r="I153" s="22"/>
      <c r="J153" s="25"/>
      <c r="K153" s="25"/>
      <c r="L153" s="21"/>
      <c r="M153" s="21"/>
      <c r="N153" s="26"/>
    </row>
    <row r="154" customFormat="false" ht="15.75" hidden="false" customHeight="true" outlineLevel="0" collapsed="false">
      <c r="A154" s="18"/>
      <c r="B154" s="19"/>
      <c r="C154" s="19"/>
      <c r="D154" s="19"/>
      <c r="E154" s="21"/>
      <c r="F154" s="21"/>
      <c r="G154" s="22"/>
      <c r="H154" s="21"/>
      <c r="I154" s="22"/>
      <c r="J154" s="25"/>
      <c r="K154" s="25"/>
      <c r="L154" s="21"/>
      <c r="M154" s="21"/>
      <c r="N154" s="26"/>
    </row>
    <row r="155" customFormat="false" ht="15.75" hidden="false" customHeight="true" outlineLevel="0" collapsed="false">
      <c r="A155" s="18"/>
      <c r="B155" s="19"/>
      <c r="C155" s="19"/>
      <c r="D155" s="19"/>
      <c r="E155" s="21"/>
      <c r="F155" s="21"/>
      <c r="G155" s="22"/>
      <c r="H155" s="21"/>
      <c r="I155" s="22"/>
      <c r="J155" s="25"/>
      <c r="K155" s="25"/>
      <c r="L155" s="21"/>
      <c r="M155" s="21"/>
      <c r="N155" s="26"/>
    </row>
    <row r="156" customFormat="false" ht="15.75" hidden="false" customHeight="true" outlineLevel="0" collapsed="false">
      <c r="A156" s="18"/>
      <c r="B156" s="19"/>
      <c r="C156" s="19"/>
      <c r="D156" s="19"/>
      <c r="E156" s="21"/>
      <c r="F156" s="21"/>
      <c r="G156" s="22"/>
      <c r="H156" s="21"/>
      <c r="I156" s="22"/>
      <c r="J156" s="25"/>
      <c r="K156" s="25"/>
      <c r="L156" s="21"/>
      <c r="M156" s="21"/>
      <c r="N156" s="26"/>
    </row>
    <row r="157" customFormat="false" ht="15.75" hidden="false" customHeight="true" outlineLevel="0" collapsed="false">
      <c r="A157" s="18"/>
      <c r="B157" s="19"/>
      <c r="C157" s="19"/>
      <c r="D157" s="19"/>
      <c r="E157" s="21"/>
      <c r="F157" s="21"/>
      <c r="G157" s="22"/>
      <c r="H157" s="21"/>
      <c r="I157" s="22"/>
      <c r="J157" s="25"/>
      <c r="K157" s="25"/>
      <c r="L157" s="21"/>
      <c r="M157" s="21"/>
      <c r="N157" s="26"/>
    </row>
    <row r="158" customFormat="false" ht="15.75" hidden="false" customHeight="true" outlineLevel="0" collapsed="false">
      <c r="A158" s="18"/>
      <c r="B158" s="19"/>
      <c r="C158" s="19"/>
      <c r="D158" s="19"/>
      <c r="E158" s="21"/>
      <c r="F158" s="21"/>
      <c r="G158" s="22"/>
      <c r="H158" s="21"/>
      <c r="I158" s="22"/>
      <c r="J158" s="25"/>
      <c r="K158" s="25"/>
      <c r="L158" s="21"/>
      <c r="M158" s="21"/>
      <c r="N158" s="26"/>
    </row>
    <row r="159" customFormat="false" ht="15.75" hidden="false" customHeight="true" outlineLevel="0" collapsed="false">
      <c r="A159" s="18"/>
      <c r="B159" s="19"/>
      <c r="C159" s="19"/>
      <c r="D159" s="19"/>
      <c r="E159" s="21"/>
      <c r="F159" s="21"/>
      <c r="G159" s="22"/>
      <c r="H159" s="21"/>
      <c r="I159" s="22"/>
      <c r="J159" s="25"/>
      <c r="K159" s="25"/>
      <c r="L159" s="21"/>
      <c r="M159" s="21"/>
      <c r="N159" s="26"/>
    </row>
    <row r="160" customFormat="false" ht="15.75" hidden="false" customHeight="true" outlineLevel="0" collapsed="false">
      <c r="A160" s="18"/>
      <c r="B160" s="19"/>
      <c r="C160" s="19"/>
      <c r="D160" s="19"/>
      <c r="E160" s="19"/>
      <c r="F160" s="19"/>
      <c r="G160" s="34"/>
      <c r="H160" s="19"/>
      <c r="I160" s="34"/>
      <c r="J160" s="35"/>
      <c r="K160" s="35"/>
      <c r="L160" s="19"/>
      <c r="M160" s="19"/>
      <c r="N160" s="36"/>
    </row>
    <row r="161" customFormat="false" ht="15.75" hidden="false" customHeight="true" outlineLevel="0" collapsed="false">
      <c r="A161" s="18"/>
      <c r="B161" s="19"/>
      <c r="C161" s="19"/>
      <c r="D161" s="19"/>
      <c r="E161" s="19"/>
      <c r="F161" s="19"/>
      <c r="G161" s="34"/>
      <c r="H161" s="19"/>
      <c r="I161" s="34"/>
      <c r="J161" s="35"/>
      <c r="K161" s="35"/>
      <c r="L161" s="19"/>
      <c r="M161" s="19"/>
      <c r="N161" s="36"/>
    </row>
    <row r="162" customFormat="false" ht="15.75" hidden="false" customHeight="true" outlineLevel="0" collapsed="false">
      <c r="A162" s="18"/>
      <c r="B162" s="19"/>
      <c r="C162" s="19"/>
      <c r="D162" s="19"/>
      <c r="E162" s="19"/>
      <c r="F162" s="19"/>
      <c r="G162" s="34"/>
      <c r="H162" s="19"/>
      <c r="I162" s="34"/>
      <c r="J162" s="35"/>
      <c r="K162" s="35"/>
      <c r="L162" s="19"/>
      <c r="M162" s="19"/>
      <c r="N162" s="36"/>
    </row>
    <row r="163" customFormat="false" ht="15.75" hidden="false" customHeight="true" outlineLevel="0" collapsed="false">
      <c r="A163" s="18"/>
      <c r="B163" s="19"/>
      <c r="C163" s="19"/>
      <c r="D163" s="19"/>
      <c r="E163" s="19"/>
      <c r="F163" s="19"/>
      <c r="G163" s="34"/>
      <c r="H163" s="19"/>
      <c r="I163" s="34"/>
      <c r="J163" s="35"/>
      <c r="K163" s="35"/>
      <c r="L163" s="19"/>
      <c r="M163" s="19"/>
      <c r="N163" s="36"/>
    </row>
    <row r="164" customFormat="false" ht="15.75" hidden="false" customHeight="true" outlineLevel="0" collapsed="false">
      <c r="A164" s="18"/>
      <c r="B164" s="19"/>
      <c r="C164" s="19"/>
      <c r="D164" s="19"/>
      <c r="E164" s="19"/>
      <c r="F164" s="19"/>
      <c r="G164" s="34"/>
      <c r="H164" s="19"/>
      <c r="I164" s="34"/>
      <c r="J164" s="35"/>
      <c r="K164" s="35"/>
      <c r="L164" s="19"/>
      <c r="M164" s="19"/>
      <c r="N164" s="36"/>
    </row>
    <row r="165" customFormat="false" ht="15.75" hidden="false" customHeight="true" outlineLevel="0" collapsed="false">
      <c r="A165" s="18"/>
      <c r="B165" s="19"/>
      <c r="C165" s="19"/>
      <c r="D165" s="19"/>
      <c r="E165" s="19"/>
      <c r="F165" s="19"/>
      <c r="G165" s="34"/>
      <c r="H165" s="19"/>
      <c r="I165" s="34"/>
      <c r="J165" s="35"/>
      <c r="K165" s="35"/>
      <c r="L165" s="19"/>
      <c r="M165" s="19"/>
      <c r="N165" s="36"/>
    </row>
    <row r="166" customFormat="false" ht="15.75" hidden="false" customHeight="true" outlineLevel="0" collapsed="false">
      <c r="A166" s="18"/>
      <c r="B166" s="19"/>
      <c r="C166" s="19"/>
      <c r="D166" s="19"/>
      <c r="E166" s="19"/>
      <c r="F166" s="19"/>
      <c r="G166" s="34"/>
      <c r="H166" s="19"/>
      <c r="I166" s="34"/>
      <c r="J166" s="35"/>
      <c r="K166" s="35"/>
      <c r="L166" s="19"/>
      <c r="M166" s="19"/>
      <c r="N166" s="36"/>
    </row>
    <row r="167" customFormat="false" ht="15.75" hidden="false" customHeight="true" outlineLevel="0" collapsed="false">
      <c r="A167" s="18"/>
      <c r="B167" s="19"/>
      <c r="C167" s="19"/>
      <c r="D167" s="19"/>
      <c r="E167" s="19"/>
      <c r="F167" s="19"/>
      <c r="G167" s="34"/>
      <c r="H167" s="19"/>
      <c r="I167" s="34"/>
      <c r="J167" s="35"/>
      <c r="K167" s="35"/>
      <c r="L167" s="19"/>
      <c r="M167" s="19"/>
      <c r="N167" s="36"/>
    </row>
    <row r="168" customFormat="false" ht="15.75" hidden="false" customHeight="true" outlineLevel="0" collapsed="false">
      <c r="A168" s="18"/>
      <c r="B168" s="19"/>
      <c r="C168" s="19"/>
      <c r="D168" s="19"/>
      <c r="E168" s="19"/>
      <c r="F168" s="19"/>
      <c r="G168" s="34"/>
      <c r="H168" s="19"/>
      <c r="I168" s="34"/>
      <c r="J168" s="35"/>
      <c r="K168" s="35"/>
      <c r="L168" s="19"/>
      <c r="M168" s="19"/>
      <c r="N168" s="36"/>
    </row>
    <row r="169" customFormat="false" ht="15.75" hidden="false" customHeight="true" outlineLevel="0" collapsed="false">
      <c r="A169" s="18"/>
      <c r="B169" s="19"/>
      <c r="C169" s="19"/>
      <c r="D169" s="19"/>
      <c r="E169" s="19"/>
      <c r="F169" s="19"/>
      <c r="G169" s="34"/>
      <c r="H169" s="19"/>
      <c r="I169" s="34"/>
      <c r="J169" s="35"/>
      <c r="K169" s="35"/>
      <c r="L169" s="19"/>
      <c r="M169" s="19"/>
      <c r="N169" s="36"/>
    </row>
    <row r="170" customFormat="false" ht="15.75" hidden="false" customHeight="true" outlineLevel="0" collapsed="false">
      <c r="A170" s="18"/>
      <c r="B170" s="19"/>
      <c r="C170" s="19"/>
      <c r="D170" s="19"/>
      <c r="E170" s="19"/>
      <c r="F170" s="19"/>
      <c r="G170" s="34"/>
      <c r="H170" s="19"/>
      <c r="I170" s="34"/>
      <c r="J170" s="35"/>
      <c r="K170" s="35"/>
      <c r="L170" s="19"/>
      <c r="M170" s="19"/>
      <c r="N170" s="36"/>
    </row>
    <row r="171" customFormat="false" ht="15.75" hidden="false" customHeight="true" outlineLevel="0" collapsed="false">
      <c r="A171" s="18"/>
      <c r="B171" s="19"/>
      <c r="C171" s="19"/>
      <c r="D171" s="19"/>
      <c r="E171" s="19"/>
      <c r="F171" s="19"/>
      <c r="G171" s="34"/>
      <c r="H171" s="19"/>
      <c r="I171" s="34"/>
      <c r="J171" s="35"/>
      <c r="K171" s="35"/>
      <c r="L171" s="19"/>
      <c r="M171" s="19"/>
      <c r="N171" s="36"/>
    </row>
    <row r="172" customFormat="false" ht="15.75" hidden="false" customHeight="true" outlineLevel="0" collapsed="false">
      <c r="A172" s="18"/>
      <c r="B172" s="19"/>
      <c r="C172" s="19"/>
      <c r="D172" s="19"/>
      <c r="E172" s="19"/>
      <c r="F172" s="19"/>
      <c r="G172" s="34"/>
      <c r="H172" s="19"/>
      <c r="I172" s="34"/>
      <c r="J172" s="35"/>
      <c r="K172" s="35"/>
      <c r="L172" s="19"/>
      <c r="M172" s="19"/>
      <c r="N172" s="36"/>
    </row>
    <row r="173" customFormat="false" ht="15.75" hidden="false" customHeight="true" outlineLevel="0" collapsed="false">
      <c r="A173" s="18"/>
      <c r="B173" s="19"/>
      <c r="C173" s="19"/>
      <c r="D173" s="19"/>
      <c r="E173" s="19"/>
      <c r="F173" s="19"/>
      <c r="G173" s="34"/>
      <c r="H173" s="19"/>
      <c r="I173" s="34"/>
      <c r="J173" s="35"/>
      <c r="K173" s="35"/>
      <c r="L173" s="19"/>
      <c r="M173" s="19"/>
      <c r="N173" s="36"/>
    </row>
    <row r="174" customFormat="false" ht="15.75" hidden="false" customHeight="true" outlineLevel="0" collapsed="false">
      <c r="A174" s="18"/>
      <c r="B174" s="19"/>
      <c r="C174" s="19"/>
      <c r="D174" s="19"/>
      <c r="E174" s="19"/>
      <c r="F174" s="19"/>
      <c r="G174" s="34"/>
      <c r="H174" s="19"/>
      <c r="I174" s="34"/>
      <c r="J174" s="35"/>
      <c r="K174" s="35"/>
      <c r="L174" s="19"/>
      <c r="M174" s="19"/>
      <c r="N174" s="36"/>
    </row>
    <row r="175" customFormat="false" ht="15.75" hidden="false" customHeight="true" outlineLevel="0" collapsed="false">
      <c r="A175" s="18"/>
      <c r="B175" s="19"/>
      <c r="C175" s="19"/>
      <c r="D175" s="19"/>
      <c r="E175" s="19"/>
      <c r="F175" s="19"/>
      <c r="G175" s="34"/>
      <c r="H175" s="19"/>
      <c r="I175" s="34"/>
      <c r="J175" s="35"/>
      <c r="K175" s="35"/>
      <c r="L175" s="19"/>
      <c r="M175" s="19"/>
      <c r="N175" s="36"/>
    </row>
    <row r="176" customFormat="false" ht="15.75" hidden="false" customHeight="true" outlineLevel="0" collapsed="false">
      <c r="A176" s="18"/>
      <c r="B176" s="19"/>
      <c r="C176" s="19"/>
      <c r="D176" s="19"/>
      <c r="E176" s="19"/>
      <c r="F176" s="19"/>
      <c r="G176" s="34"/>
      <c r="H176" s="19"/>
      <c r="I176" s="34"/>
      <c r="J176" s="35"/>
      <c r="K176" s="35"/>
      <c r="L176" s="19"/>
      <c r="M176" s="19"/>
      <c r="N176" s="36"/>
    </row>
    <row r="177" customFormat="false" ht="15.75" hidden="false" customHeight="true" outlineLevel="0" collapsed="false">
      <c r="A177" s="18"/>
      <c r="B177" s="19"/>
      <c r="C177" s="19"/>
      <c r="D177" s="19"/>
      <c r="E177" s="19"/>
      <c r="F177" s="19"/>
      <c r="G177" s="34"/>
      <c r="H177" s="19"/>
      <c r="I177" s="34"/>
      <c r="J177" s="35"/>
      <c r="K177" s="35"/>
      <c r="L177" s="19"/>
      <c r="M177" s="19"/>
      <c r="N177" s="36"/>
    </row>
    <row r="178" customFormat="false" ht="15.75" hidden="false" customHeight="true" outlineLevel="0" collapsed="false">
      <c r="A178" s="18"/>
      <c r="B178" s="19"/>
      <c r="C178" s="19"/>
      <c r="D178" s="19"/>
      <c r="E178" s="19"/>
      <c r="F178" s="19"/>
      <c r="G178" s="34"/>
      <c r="H178" s="19"/>
      <c r="I178" s="34"/>
      <c r="J178" s="35"/>
      <c r="K178" s="35"/>
      <c r="L178" s="19"/>
      <c r="M178" s="19"/>
      <c r="N178" s="36"/>
    </row>
    <row r="179" customFormat="false" ht="15.75" hidden="false" customHeight="true" outlineLevel="0" collapsed="false">
      <c r="A179" s="18"/>
      <c r="B179" s="19"/>
      <c r="C179" s="19"/>
      <c r="D179" s="19"/>
      <c r="E179" s="19"/>
      <c r="F179" s="19"/>
      <c r="G179" s="34"/>
      <c r="H179" s="19"/>
      <c r="I179" s="34"/>
      <c r="J179" s="35"/>
      <c r="K179" s="35"/>
      <c r="L179" s="19"/>
      <c r="M179" s="19"/>
      <c r="N179" s="36"/>
    </row>
    <row r="180" customFormat="false" ht="15.75" hidden="false" customHeight="true" outlineLevel="0" collapsed="false">
      <c r="A180" s="18"/>
      <c r="B180" s="19"/>
      <c r="C180" s="19"/>
      <c r="D180" s="19"/>
      <c r="E180" s="19"/>
      <c r="F180" s="19"/>
      <c r="G180" s="34"/>
      <c r="H180" s="19"/>
      <c r="I180" s="34"/>
      <c r="J180" s="35"/>
      <c r="K180" s="35"/>
      <c r="L180" s="19"/>
      <c r="M180" s="19"/>
      <c r="N180" s="36"/>
    </row>
    <row r="181" customFormat="false" ht="15.75" hidden="false" customHeight="true" outlineLevel="0" collapsed="false">
      <c r="A181" s="18"/>
      <c r="B181" s="19"/>
      <c r="C181" s="19"/>
      <c r="D181" s="19"/>
      <c r="E181" s="19"/>
      <c r="F181" s="19"/>
      <c r="G181" s="34"/>
      <c r="H181" s="19"/>
      <c r="I181" s="34"/>
      <c r="J181" s="35"/>
      <c r="K181" s="35"/>
      <c r="L181" s="19"/>
      <c r="M181" s="19"/>
      <c r="N181" s="36"/>
    </row>
    <row r="182" customFormat="false" ht="15.75" hidden="false" customHeight="true" outlineLevel="0" collapsed="false">
      <c r="A182" s="18"/>
      <c r="B182" s="19"/>
      <c r="C182" s="19"/>
      <c r="D182" s="19"/>
      <c r="E182" s="19"/>
      <c r="F182" s="19"/>
      <c r="G182" s="34"/>
      <c r="H182" s="19"/>
      <c r="I182" s="34"/>
      <c r="J182" s="35"/>
      <c r="K182" s="35"/>
      <c r="L182" s="19"/>
      <c r="M182" s="19"/>
      <c r="N182" s="36"/>
    </row>
    <row r="183" customFormat="false" ht="15.75" hidden="false" customHeight="true" outlineLevel="0" collapsed="false">
      <c r="A183" s="18"/>
      <c r="B183" s="19"/>
      <c r="C183" s="19"/>
      <c r="D183" s="19"/>
      <c r="E183" s="19"/>
      <c r="F183" s="19"/>
      <c r="G183" s="34"/>
      <c r="H183" s="19"/>
      <c r="I183" s="34"/>
      <c r="J183" s="35"/>
      <c r="K183" s="35"/>
      <c r="L183" s="19"/>
      <c r="M183" s="19"/>
      <c r="N183" s="36"/>
    </row>
    <row r="184" customFormat="false" ht="15.75" hidden="false" customHeight="true" outlineLevel="0" collapsed="false">
      <c r="A184" s="18"/>
      <c r="B184" s="19"/>
      <c r="C184" s="19"/>
      <c r="D184" s="19"/>
      <c r="E184" s="19"/>
      <c r="F184" s="19"/>
      <c r="G184" s="34"/>
      <c r="H184" s="19"/>
      <c r="I184" s="34"/>
      <c r="J184" s="35"/>
      <c r="K184" s="35"/>
      <c r="L184" s="19"/>
      <c r="M184" s="19"/>
      <c r="N184" s="36"/>
    </row>
    <row r="185" customFormat="false" ht="15.75" hidden="false" customHeight="true" outlineLevel="0" collapsed="false">
      <c r="A185" s="18"/>
      <c r="B185" s="19"/>
      <c r="C185" s="19"/>
      <c r="D185" s="19"/>
      <c r="E185" s="19"/>
      <c r="F185" s="19"/>
      <c r="G185" s="34"/>
      <c r="H185" s="19"/>
      <c r="I185" s="34"/>
      <c r="J185" s="35"/>
      <c r="K185" s="35"/>
      <c r="L185" s="19"/>
      <c r="M185" s="19"/>
      <c r="N185" s="36"/>
    </row>
    <row r="186" customFormat="false" ht="15.75" hidden="false" customHeight="true" outlineLevel="0" collapsed="false">
      <c r="A186" s="18"/>
      <c r="B186" s="19"/>
      <c r="C186" s="19"/>
      <c r="D186" s="19"/>
      <c r="E186" s="19"/>
      <c r="F186" s="19"/>
      <c r="G186" s="34"/>
      <c r="H186" s="19"/>
      <c r="I186" s="34"/>
      <c r="J186" s="35"/>
      <c r="K186" s="35"/>
      <c r="L186" s="19"/>
      <c r="M186" s="19"/>
      <c r="N186" s="36"/>
    </row>
    <row r="187" customFormat="false" ht="15.75" hidden="false" customHeight="true" outlineLevel="0" collapsed="false">
      <c r="A187" s="18"/>
      <c r="B187" s="19"/>
      <c r="C187" s="19"/>
      <c r="D187" s="19"/>
      <c r="E187" s="19"/>
      <c r="F187" s="19"/>
      <c r="G187" s="34"/>
      <c r="H187" s="19"/>
      <c r="I187" s="34"/>
      <c r="J187" s="35"/>
      <c r="K187" s="35"/>
      <c r="L187" s="19"/>
      <c r="M187" s="19"/>
      <c r="N187" s="36"/>
    </row>
    <row r="188" customFormat="false" ht="15.75" hidden="false" customHeight="true" outlineLevel="0" collapsed="false">
      <c r="A188" s="18"/>
      <c r="B188" s="19"/>
      <c r="C188" s="19"/>
      <c r="D188" s="19"/>
      <c r="E188" s="19"/>
      <c r="F188" s="19"/>
      <c r="G188" s="34"/>
      <c r="H188" s="19"/>
      <c r="I188" s="34"/>
      <c r="J188" s="35"/>
      <c r="K188" s="35"/>
      <c r="L188" s="19"/>
      <c r="M188" s="19"/>
      <c r="N188" s="36"/>
    </row>
    <row r="189" customFormat="false" ht="15.75" hidden="false" customHeight="true" outlineLevel="0" collapsed="false">
      <c r="A189" s="18"/>
      <c r="B189" s="19"/>
      <c r="C189" s="19"/>
      <c r="D189" s="19"/>
      <c r="E189" s="19"/>
      <c r="F189" s="19"/>
      <c r="G189" s="34"/>
      <c r="H189" s="19"/>
      <c r="I189" s="34"/>
      <c r="J189" s="35"/>
      <c r="K189" s="35"/>
      <c r="L189" s="19"/>
      <c r="M189" s="19"/>
      <c r="N189" s="36"/>
    </row>
    <row r="190" customFormat="false" ht="15.75" hidden="false" customHeight="true" outlineLevel="0" collapsed="false">
      <c r="A190" s="18"/>
      <c r="B190" s="19"/>
      <c r="C190" s="19"/>
      <c r="D190" s="19"/>
      <c r="E190" s="19"/>
      <c r="F190" s="19"/>
      <c r="G190" s="34"/>
      <c r="H190" s="19"/>
      <c r="I190" s="34"/>
      <c r="J190" s="35"/>
      <c r="K190" s="35"/>
      <c r="L190" s="19"/>
      <c r="M190" s="19"/>
      <c r="N190" s="36"/>
    </row>
    <row r="191" customFormat="false" ht="15.75" hidden="false" customHeight="true" outlineLevel="0" collapsed="false">
      <c r="A191" s="18"/>
      <c r="B191" s="19"/>
      <c r="C191" s="19"/>
      <c r="D191" s="19"/>
      <c r="E191" s="19"/>
      <c r="F191" s="19"/>
      <c r="G191" s="34"/>
      <c r="H191" s="19"/>
      <c r="I191" s="34"/>
      <c r="J191" s="35"/>
      <c r="K191" s="35"/>
      <c r="L191" s="19"/>
      <c r="M191" s="19"/>
      <c r="N191" s="36"/>
    </row>
    <row r="192" customFormat="false" ht="15.75" hidden="false" customHeight="true" outlineLevel="0" collapsed="false">
      <c r="A192" s="18"/>
      <c r="B192" s="19"/>
      <c r="C192" s="19"/>
      <c r="D192" s="19"/>
      <c r="E192" s="19"/>
      <c r="F192" s="19"/>
      <c r="G192" s="34"/>
      <c r="H192" s="19"/>
      <c r="I192" s="34"/>
      <c r="J192" s="35"/>
      <c r="K192" s="35"/>
      <c r="L192" s="19"/>
      <c r="M192" s="19"/>
      <c r="N192" s="36"/>
    </row>
    <row r="193" customFormat="false" ht="15.75" hidden="false" customHeight="true" outlineLevel="0" collapsed="false">
      <c r="A193" s="18"/>
      <c r="B193" s="19"/>
      <c r="C193" s="19"/>
      <c r="D193" s="19"/>
      <c r="E193" s="19"/>
      <c r="F193" s="19"/>
      <c r="G193" s="34"/>
      <c r="H193" s="19"/>
      <c r="I193" s="34"/>
      <c r="J193" s="35"/>
      <c r="K193" s="35"/>
      <c r="L193" s="19"/>
      <c r="M193" s="19"/>
      <c r="N193" s="36"/>
    </row>
    <row r="194" customFormat="false" ht="15.75" hidden="false" customHeight="true" outlineLevel="0" collapsed="false">
      <c r="A194" s="18"/>
      <c r="B194" s="19"/>
      <c r="C194" s="19"/>
      <c r="D194" s="19"/>
      <c r="E194" s="19"/>
      <c r="F194" s="19"/>
      <c r="G194" s="34"/>
      <c r="H194" s="19"/>
      <c r="I194" s="34"/>
      <c r="J194" s="35"/>
      <c r="K194" s="35"/>
      <c r="L194" s="19"/>
      <c r="M194" s="19"/>
      <c r="N194" s="36"/>
    </row>
    <row r="195" customFormat="false" ht="15.75" hidden="false" customHeight="true" outlineLevel="0" collapsed="false">
      <c r="A195" s="18"/>
      <c r="B195" s="19"/>
      <c r="C195" s="19"/>
      <c r="D195" s="19"/>
      <c r="E195" s="19"/>
      <c r="F195" s="19"/>
      <c r="G195" s="34"/>
      <c r="H195" s="19"/>
      <c r="I195" s="34"/>
      <c r="J195" s="35"/>
      <c r="K195" s="35"/>
      <c r="L195" s="19"/>
      <c r="M195" s="19"/>
      <c r="N195" s="36"/>
    </row>
    <row r="196" customFormat="false" ht="15.75" hidden="false" customHeight="true" outlineLevel="0" collapsed="false">
      <c r="A196" s="18"/>
      <c r="B196" s="19"/>
      <c r="C196" s="19"/>
      <c r="D196" s="19"/>
      <c r="E196" s="19"/>
      <c r="F196" s="19"/>
      <c r="G196" s="34"/>
      <c r="H196" s="19"/>
      <c r="I196" s="34"/>
      <c r="J196" s="35"/>
      <c r="K196" s="35"/>
      <c r="L196" s="19"/>
      <c r="M196" s="19"/>
      <c r="N196" s="36"/>
    </row>
    <row r="197" customFormat="false" ht="15.75" hidden="false" customHeight="true" outlineLevel="0" collapsed="false">
      <c r="A197" s="18"/>
      <c r="B197" s="19"/>
      <c r="C197" s="19"/>
      <c r="D197" s="19"/>
      <c r="E197" s="19"/>
      <c r="F197" s="19"/>
      <c r="G197" s="34"/>
      <c r="H197" s="19"/>
      <c r="I197" s="34"/>
      <c r="J197" s="35"/>
      <c r="K197" s="35"/>
      <c r="L197" s="19"/>
      <c r="M197" s="19"/>
      <c r="N197" s="36"/>
    </row>
    <row r="198" customFormat="false" ht="15.75" hidden="false" customHeight="true" outlineLevel="0" collapsed="false">
      <c r="A198" s="18"/>
      <c r="B198" s="19"/>
      <c r="C198" s="19"/>
      <c r="D198" s="19"/>
      <c r="E198" s="19"/>
      <c r="F198" s="19"/>
      <c r="G198" s="34"/>
      <c r="H198" s="19"/>
      <c r="I198" s="34"/>
      <c r="J198" s="35"/>
      <c r="K198" s="35"/>
      <c r="L198" s="19"/>
      <c r="M198" s="19"/>
      <c r="N198" s="36"/>
    </row>
    <row r="199" customFormat="false" ht="15.75" hidden="false" customHeight="true" outlineLevel="0" collapsed="false">
      <c r="A199" s="18"/>
      <c r="B199" s="19"/>
      <c r="C199" s="19"/>
      <c r="D199" s="19"/>
      <c r="E199" s="19"/>
      <c r="F199" s="19"/>
      <c r="G199" s="34"/>
      <c r="H199" s="19"/>
      <c r="I199" s="34"/>
      <c r="J199" s="35"/>
      <c r="K199" s="35"/>
      <c r="L199" s="19"/>
      <c r="M199" s="19"/>
      <c r="N199" s="36"/>
    </row>
    <row r="200" customFormat="false" ht="15.75" hidden="false" customHeight="true" outlineLevel="0" collapsed="false">
      <c r="A200" s="18"/>
      <c r="B200" s="19"/>
      <c r="C200" s="19"/>
      <c r="D200" s="19"/>
      <c r="E200" s="19"/>
      <c r="F200" s="19"/>
      <c r="G200" s="34"/>
      <c r="H200" s="19"/>
      <c r="I200" s="34"/>
      <c r="J200" s="35"/>
      <c r="K200" s="35"/>
      <c r="L200" s="19"/>
      <c r="M200" s="19"/>
      <c r="N200" s="36"/>
    </row>
    <row r="201" customFormat="false" ht="15.75" hidden="false" customHeight="true" outlineLevel="0" collapsed="false">
      <c r="A201" s="18"/>
      <c r="B201" s="19"/>
      <c r="C201" s="19"/>
      <c r="D201" s="19"/>
      <c r="E201" s="19"/>
      <c r="F201" s="19"/>
      <c r="G201" s="34"/>
      <c r="H201" s="19"/>
      <c r="I201" s="34"/>
      <c r="J201" s="35"/>
      <c r="K201" s="35"/>
      <c r="L201" s="19"/>
      <c r="M201" s="19"/>
      <c r="N201" s="36"/>
    </row>
    <row r="202" customFormat="false" ht="15.75" hidden="false" customHeight="true" outlineLevel="0" collapsed="false">
      <c r="A202" s="18"/>
      <c r="B202" s="19"/>
      <c r="C202" s="19"/>
      <c r="D202" s="19"/>
      <c r="E202" s="19"/>
      <c r="F202" s="19"/>
      <c r="G202" s="34"/>
      <c r="H202" s="19"/>
      <c r="I202" s="34"/>
      <c r="J202" s="35"/>
      <c r="K202" s="35"/>
      <c r="L202" s="19"/>
      <c r="M202" s="19"/>
      <c r="N202" s="36"/>
    </row>
    <row r="203" customFormat="false" ht="15.75" hidden="false" customHeight="true" outlineLevel="0" collapsed="false">
      <c r="A203" s="18"/>
      <c r="B203" s="19"/>
      <c r="C203" s="19"/>
      <c r="D203" s="19"/>
      <c r="E203" s="19"/>
      <c r="F203" s="19"/>
      <c r="G203" s="34"/>
      <c r="H203" s="19"/>
      <c r="I203" s="34"/>
      <c r="J203" s="35"/>
      <c r="K203" s="35"/>
      <c r="L203" s="19"/>
      <c r="M203" s="19"/>
      <c r="N203" s="36"/>
    </row>
    <row r="204" customFormat="false" ht="15.75" hidden="false" customHeight="true" outlineLevel="0" collapsed="false">
      <c r="A204" s="18"/>
      <c r="B204" s="19"/>
      <c r="C204" s="19"/>
      <c r="D204" s="19"/>
      <c r="E204" s="19"/>
      <c r="F204" s="19"/>
      <c r="G204" s="34"/>
      <c r="H204" s="19"/>
      <c r="I204" s="34"/>
      <c r="J204" s="35"/>
      <c r="K204" s="35"/>
      <c r="L204" s="19"/>
      <c r="M204" s="19"/>
      <c r="N204" s="36"/>
    </row>
    <row r="205" customFormat="false" ht="15.75" hidden="false" customHeight="true" outlineLevel="0" collapsed="false">
      <c r="A205" s="18"/>
      <c r="B205" s="19"/>
      <c r="C205" s="19"/>
      <c r="D205" s="19"/>
      <c r="E205" s="19"/>
      <c r="F205" s="19"/>
      <c r="G205" s="34"/>
      <c r="H205" s="19"/>
      <c r="I205" s="34"/>
      <c r="J205" s="35"/>
      <c r="K205" s="35"/>
      <c r="L205" s="19"/>
      <c r="M205" s="19"/>
      <c r="N205" s="36"/>
    </row>
    <row r="206" customFormat="false" ht="15.75" hidden="false" customHeight="true" outlineLevel="0" collapsed="false">
      <c r="A206" s="18"/>
      <c r="B206" s="19"/>
      <c r="C206" s="19"/>
      <c r="D206" s="19"/>
      <c r="E206" s="19"/>
      <c r="F206" s="19"/>
      <c r="G206" s="34"/>
      <c r="H206" s="19"/>
      <c r="I206" s="34"/>
      <c r="J206" s="35"/>
      <c r="K206" s="35"/>
      <c r="L206" s="19"/>
      <c r="M206" s="19"/>
      <c r="N206" s="36"/>
    </row>
    <row r="207" customFormat="false" ht="15.75" hidden="false" customHeight="true" outlineLevel="0" collapsed="false">
      <c r="A207" s="18"/>
      <c r="B207" s="19"/>
      <c r="C207" s="19"/>
      <c r="D207" s="19"/>
      <c r="E207" s="19"/>
      <c r="F207" s="19"/>
      <c r="G207" s="34"/>
      <c r="H207" s="19"/>
      <c r="I207" s="34"/>
      <c r="J207" s="35"/>
      <c r="K207" s="35"/>
      <c r="L207" s="19"/>
      <c r="M207" s="19"/>
      <c r="N207" s="36"/>
    </row>
    <row r="208" customFormat="false" ht="15.75" hidden="false" customHeight="true" outlineLevel="0" collapsed="false">
      <c r="A208" s="18"/>
      <c r="B208" s="19"/>
      <c r="C208" s="19"/>
      <c r="D208" s="19"/>
      <c r="E208" s="19"/>
      <c r="F208" s="19"/>
      <c r="G208" s="34"/>
      <c r="H208" s="19"/>
      <c r="I208" s="34"/>
      <c r="J208" s="35"/>
      <c r="K208" s="35"/>
      <c r="L208" s="19"/>
      <c r="M208" s="19"/>
      <c r="N208" s="36"/>
    </row>
    <row r="209" customFormat="false" ht="15.75" hidden="false" customHeight="true" outlineLevel="0" collapsed="false">
      <c r="A209" s="18"/>
      <c r="B209" s="19"/>
      <c r="C209" s="19"/>
      <c r="D209" s="19"/>
      <c r="E209" s="19"/>
      <c r="F209" s="19"/>
      <c r="G209" s="34"/>
      <c r="H209" s="19"/>
      <c r="I209" s="34"/>
      <c r="J209" s="35"/>
      <c r="K209" s="35"/>
      <c r="L209" s="19"/>
      <c r="M209" s="19"/>
      <c r="N209" s="36"/>
    </row>
    <row r="210" customFormat="false" ht="15.75" hidden="false" customHeight="true" outlineLevel="0" collapsed="false">
      <c r="A210" s="18"/>
      <c r="B210" s="19"/>
      <c r="C210" s="19"/>
      <c r="D210" s="19"/>
      <c r="E210" s="19"/>
      <c r="F210" s="19"/>
      <c r="G210" s="34"/>
      <c r="H210" s="19"/>
      <c r="I210" s="34"/>
      <c r="J210" s="35"/>
      <c r="K210" s="35"/>
      <c r="L210" s="19"/>
      <c r="M210" s="19"/>
      <c r="N210" s="36"/>
    </row>
    <row r="211" customFormat="false" ht="15.75" hidden="false" customHeight="true" outlineLevel="0" collapsed="false">
      <c r="A211" s="18"/>
      <c r="B211" s="19"/>
      <c r="C211" s="19"/>
      <c r="D211" s="19"/>
      <c r="E211" s="19"/>
      <c r="F211" s="19"/>
      <c r="G211" s="34"/>
      <c r="H211" s="19"/>
      <c r="I211" s="34"/>
      <c r="J211" s="35"/>
      <c r="K211" s="35"/>
      <c r="L211" s="19"/>
      <c r="M211" s="19"/>
      <c r="N211" s="36"/>
    </row>
    <row r="212" customFormat="false" ht="15.75" hidden="false" customHeight="true" outlineLevel="0" collapsed="false">
      <c r="A212" s="18"/>
      <c r="B212" s="19"/>
      <c r="C212" s="19"/>
      <c r="D212" s="19"/>
      <c r="E212" s="19"/>
      <c r="F212" s="19"/>
      <c r="G212" s="34"/>
      <c r="H212" s="19"/>
      <c r="I212" s="34"/>
      <c r="J212" s="35"/>
      <c r="K212" s="35"/>
      <c r="L212" s="19"/>
      <c r="M212" s="19"/>
      <c r="N212" s="36"/>
    </row>
    <row r="213" customFormat="false" ht="15.75" hidden="false" customHeight="true" outlineLevel="0" collapsed="false">
      <c r="A213" s="18"/>
      <c r="B213" s="19"/>
      <c r="C213" s="19"/>
      <c r="D213" s="19"/>
      <c r="E213" s="19"/>
      <c r="F213" s="19"/>
      <c r="G213" s="34"/>
      <c r="H213" s="19"/>
      <c r="I213" s="34"/>
      <c r="J213" s="35"/>
      <c r="K213" s="35"/>
      <c r="L213" s="19"/>
      <c r="M213" s="19"/>
      <c r="N213" s="36"/>
    </row>
    <row r="214" customFormat="false" ht="15.75" hidden="false" customHeight="true" outlineLevel="0" collapsed="false">
      <c r="A214" s="18"/>
      <c r="B214" s="19"/>
      <c r="C214" s="19"/>
      <c r="D214" s="19"/>
      <c r="E214" s="19"/>
      <c r="F214" s="19"/>
      <c r="G214" s="34"/>
      <c r="H214" s="19"/>
      <c r="I214" s="34"/>
      <c r="J214" s="35"/>
      <c r="K214" s="35"/>
      <c r="L214" s="19"/>
      <c r="M214" s="19"/>
      <c r="N214" s="36"/>
    </row>
    <row r="215" customFormat="false" ht="15.75" hidden="false" customHeight="true" outlineLevel="0" collapsed="false">
      <c r="A215" s="18"/>
      <c r="B215" s="19"/>
      <c r="C215" s="19"/>
      <c r="D215" s="19"/>
      <c r="E215" s="19"/>
      <c r="F215" s="19"/>
      <c r="G215" s="34"/>
      <c r="H215" s="19"/>
      <c r="I215" s="34"/>
      <c r="J215" s="35"/>
      <c r="K215" s="35"/>
      <c r="L215" s="19"/>
      <c r="M215" s="19"/>
      <c r="N215" s="36"/>
    </row>
    <row r="216" customFormat="false" ht="15.75" hidden="false" customHeight="true" outlineLevel="0" collapsed="false">
      <c r="A216" s="18"/>
      <c r="B216" s="19"/>
      <c r="C216" s="19"/>
      <c r="D216" s="19"/>
      <c r="E216" s="19"/>
      <c r="F216" s="19"/>
      <c r="G216" s="34"/>
      <c r="H216" s="19"/>
      <c r="I216" s="34"/>
      <c r="J216" s="35"/>
      <c r="K216" s="35"/>
      <c r="L216" s="19"/>
      <c r="M216" s="19"/>
      <c r="N216" s="36"/>
    </row>
    <row r="217" customFormat="false" ht="15.75" hidden="false" customHeight="true" outlineLevel="0" collapsed="false">
      <c r="A217" s="18"/>
      <c r="B217" s="19"/>
      <c r="C217" s="19"/>
      <c r="D217" s="19"/>
      <c r="E217" s="19"/>
      <c r="F217" s="19"/>
      <c r="G217" s="34"/>
      <c r="H217" s="19"/>
      <c r="I217" s="34"/>
      <c r="J217" s="35"/>
      <c r="K217" s="35"/>
      <c r="L217" s="19"/>
      <c r="M217" s="19"/>
      <c r="N217" s="36"/>
    </row>
    <row r="218" customFormat="false" ht="15.75" hidden="false" customHeight="true" outlineLevel="0" collapsed="false">
      <c r="A218" s="18"/>
      <c r="B218" s="19"/>
      <c r="C218" s="19"/>
      <c r="D218" s="19"/>
      <c r="E218" s="19"/>
      <c r="F218" s="19"/>
      <c r="G218" s="34"/>
      <c r="H218" s="19"/>
      <c r="I218" s="34"/>
      <c r="J218" s="35"/>
      <c r="K218" s="35"/>
      <c r="L218" s="19"/>
      <c r="M218" s="19"/>
      <c r="N218" s="36"/>
    </row>
    <row r="219" customFormat="false" ht="15.75" hidden="false" customHeight="true" outlineLevel="0" collapsed="false">
      <c r="A219" s="18"/>
      <c r="B219" s="19"/>
      <c r="C219" s="19"/>
      <c r="D219" s="19"/>
      <c r="E219" s="19"/>
      <c r="F219" s="19"/>
      <c r="G219" s="34"/>
      <c r="H219" s="19"/>
      <c r="I219" s="34"/>
      <c r="J219" s="35"/>
      <c r="K219" s="35"/>
      <c r="L219" s="19"/>
      <c r="M219" s="19"/>
      <c r="N219" s="36"/>
    </row>
    <row r="220" customFormat="false" ht="15.75" hidden="false" customHeight="true" outlineLevel="0" collapsed="false">
      <c r="A220" s="18"/>
      <c r="B220" s="19"/>
      <c r="C220" s="19"/>
      <c r="D220" s="19"/>
      <c r="E220" s="19"/>
      <c r="F220" s="19"/>
      <c r="G220" s="34"/>
      <c r="H220" s="19"/>
      <c r="I220" s="34"/>
      <c r="J220" s="35"/>
      <c r="K220" s="35"/>
      <c r="L220" s="19"/>
      <c r="M220" s="19"/>
      <c r="N220" s="36"/>
    </row>
    <row r="221" customFormat="false" ht="15.75" hidden="false" customHeight="true" outlineLevel="0" collapsed="false">
      <c r="A221" s="18"/>
      <c r="B221" s="19"/>
      <c r="C221" s="19"/>
      <c r="D221" s="19"/>
      <c r="E221" s="19"/>
      <c r="F221" s="19"/>
      <c r="G221" s="34"/>
      <c r="H221" s="19"/>
      <c r="I221" s="34"/>
      <c r="J221" s="35"/>
      <c r="K221" s="35"/>
      <c r="L221" s="19"/>
      <c r="M221" s="19"/>
      <c r="N221" s="36"/>
    </row>
    <row r="222" customFormat="false" ht="15.75" hidden="false" customHeight="true" outlineLevel="0" collapsed="false">
      <c r="A222" s="18"/>
      <c r="B222" s="19"/>
      <c r="C222" s="19"/>
      <c r="D222" s="19"/>
      <c r="E222" s="19"/>
      <c r="F222" s="19"/>
      <c r="G222" s="34"/>
      <c r="H222" s="19"/>
      <c r="I222" s="34"/>
      <c r="J222" s="35"/>
      <c r="K222" s="35"/>
      <c r="L222" s="19"/>
      <c r="M222" s="19"/>
      <c r="N222" s="36"/>
    </row>
    <row r="223" customFormat="false" ht="15.75" hidden="false" customHeight="true" outlineLevel="0" collapsed="false">
      <c r="A223" s="18"/>
      <c r="B223" s="19"/>
      <c r="C223" s="19"/>
      <c r="D223" s="19"/>
      <c r="E223" s="19"/>
      <c r="F223" s="19"/>
      <c r="G223" s="34"/>
      <c r="H223" s="19"/>
      <c r="I223" s="34"/>
      <c r="J223" s="35"/>
      <c r="K223" s="35"/>
      <c r="L223" s="19"/>
      <c r="M223" s="19"/>
      <c r="N223" s="36"/>
    </row>
    <row r="224" customFormat="false" ht="15.75" hidden="false" customHeight="true" outlineLevel="0" collapsed="false">
      <c r="A224" s="18"/>
      <c r="B224" s="19"/>
      <c r="C224" s="19"/>
      <c r="D224" s="19"/>
      <c r="E224" s="19"/>
      <c r="F224" s="19"/>
      <c r="G224" s="34"/>
      <c r="H224" s="19"/>
      <c r="I224" s="34"/>
      <c r="J224" s="35"/>
      <c r="K224" s="35"/>
      <c r="L224" s="19"/>
      <c r="M224" s="19"/>
      <c r="N224" s="36"/>
    </row>
    <row r="225" customFormat="false" ht="15.75" hidden="false" customHeight="true" outlineLevel="0" collapsed="false">
      <c r="A225" s="18"/>
      <c r="B225" s="19"/>
      <c r="C225" s="19"/>
      <c r="D225" s="19"/>
      <c r="E225" s="19"/>
      <c r="F225" s="19"/>
      <c r="G225" s="34"/>
      <c r="H225" s="19"/>
      <c r="I225" s="34"/>
      <c r="J225" s="35"/>
      <c r="K225" s="35"/>
      <c r="L225" s="19"/>
      <c r="M225" s="19"/>
      <c r="N225" s="36"/>
    </row>
    <row r="226" customFormat="false" ht="15.75" hidden="false" customHeight="true" outlineLevel="0" collapsed="false">
      <c r="A226" s="18"/>
      <c r="B226" s="19"/>
      <c r="C226" s="19"/>
      <c r="D226" s="19"/>
      <c r="E226" s="19"/>
      <c r="F226" s="19"/>
      <c r="G226" s="34"/>
      <c r="H226" s="19"/>
      <c r="I226" s="34"/>
      <c r="J226" s="35"/>
      <c r="K226" s="35"/>
      <c r="L226" s="19"/>
      <c r="M226" s="19"/>
      <c r="N226" s="36"/>
    </row>
    <row r="227" customFormat="false" ht="15.75" hidden="false" customHeight="true" outlineLevel="0" collapsed="false">
      <c r="A227" s="18"/>
      <c r="B227" s="19"/>
      <c r="C227" s="19"/>
      <c r="D227" s="19"/>
      <c r="E227" s="19"/>
      <c r="F227" s="19"/>
      <c r="G227" s="34"/>
      <c r="H227" s="19"/>
      <c r="I227" s="34"/>
      <c r="J227" s="35"/>
      <c r="K227" s="35"/>
      <c r="L227" s="19"/>
      <c r="M227" s="19"/>
      <c r="N227" s="36"/>
    </row>
    <row r="228" customFormat="false" ht="15.75" hidden="false" customHeight="true" outlineLevel="0" collapsed="false">
      <c r="A228" s="18"/>
      <c r="B228" s="19"/>
      <c r="C228" s="19"/>
      <c r="D228" s="19"/>
      <c r="E228" s="19"/>
      <c r="F228" s="19"/>
      <c r="G228" s="34"/>
      <c r="H228" s="19"/>
      <c r="I228" s="34"/>
      <c r="J228" s="35"/>
      <c r="K228" s="35"/>
      <c r="L228" s="19"/>
      <c r="M228" s="19"/>
      <c r="N228" s="36"/>
    </row>
    <row r="229" customFormat="false" ht="15.75" hidden="false" customHeight="true" outlineLevel="0" collapsed="false">
      <c r="A229" s="37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9"/>
    </row>
    <row r="230" customFormat="false" ht="15.75" hidden="false" customHeight="true" outlineLevel="0" collapsed="false">
      <c r="A230" s="37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9"/>
    </row>
    <row r="231" customFormat="false" ht="15.75" hidden="false" customHeight="true" outlineLevel="0" collapsed="false">
      <c r="A231" s="37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9"/>
    </row>
    <row r="232" customFormat="false" ht="15.75" hidden="false" customHeight="true" outlineLevel="0" collapsed="false">
      <c r="A232" s="37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9"/>
    </row>
    <row r="233" customFormat="false" ht="15.75" hidden="false" customHeight="true" outlineLevel="0" collapsed="false">
      <c r="A233" s="37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9"/>
    </row>
    <row r="234" customFormat="false" ht="15.75" hidden="false" customHeight="true" outlineLevel="0" collapsed="false">
      <c r="A234" s="37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9"/>
    </row>
    <row r="235" customFormat="false" ht="15.75" hidden="false" customHeight="true" outlineLevel="0" collapsed="false">
      <c r="A235" s="37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9"/>
    </row>
    <row r="236" customFormat="false" ht="15.75" hidden="false" customHeight="true" outlineLevel="0" collapsed="false">
      <c r="A236" s="37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9"/>
    </row>
    <row r="237" customFormat="false" ht="15.75" hidden="false" customHeight="true" outlineLevel="0" collapsed="false">
      <c r="A237" s="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9"/>
    </row>
    <row r="238" customFormat="false" ht="15.75" hidden="false" customHeight="true" outlineLevel="0" collapsed="false">
      <c r="A238" s="37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9"/>
    </row>
    <row r="239" customFormat="false" ht="15.75" hidden="false" customHeight="true" outlineLevel="0" collapsed="false">
      <c r="A239" s="37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9"/>
    </row>
    <row r="240" customFormat="false" ht="15.75" hidden="false" customHeight="true" outlineLevel="0" collapsed="false">
      <c r="A240" s="37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9"/>
    </row>
    <row r="241" customFormat="false" ht="15.75" hidden="false" customHeight="true" outlineLevel="0" collapsed="false">
      <c r="A241" s="37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9"/>
    </row>
    <row r="242" customFormat="false" ht="15.75" hidden="false" customHeight="true" outlineLevel="0" collapsed="false">
      <c r="A242" s="37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9"/>
    </row>
    <row r="243" customFormat="false" ht="15.75" hidden="false" customHeight="true" outlineLevel="0" collapsed="false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9"/>
    </row>
    <row r="244" customFormat="false" ht="15.75" hidden="false" customHeight="true" outlineLevel="0" collapsed="false">
      <c r="A244" s="37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9"/>
    </row>
    <row r="245" customFormat="false" ht="15.75" hidden="false" customHeight="true" outlineLevel="0" collapsed="false">
      <c r="A245" s="37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9"/>
    </row>
    <row r="246" customFormat="false" ht="15.75" hidden="false" customHeight="true" outlineLevel="0" collapsed="false">
      <c r="A246" s="37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9"/>
    </row>
    <row r="247" customFormat="false" ht="15.75" hidden="false" customHeight="true" outlineLevel="0" collapsed="false">
      <c r="A247" s="3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9"/>
    </row>
    <row r="248" customFormat="false" ht="15.75" hidden="false" customHeight="true" outlineLevel="0" collapsed="false">
      <c r="A248" s="37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9"/>
    </row>
    <row r="249" customFormat="false" ht="15.75" hidden="false" customHeight="true" outlineLevel="0" collapsed="false">
      <c r="A249" s="37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9"/>
    </row>
    <row r="250" customFormat="false" ht="15.75" hidden="false" customHeight="true" outlineLevel="0" collapsed="false">
      <c r="A250" s="37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9"/>
    </row>
    <row r="251" customFormat="false" ht="15.75" hidden="false" customHeight="true" outlineLevel="0" collapsed="false">
      <c r="A251" s="37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9"/>
    </row>
    <row r="252" customFormat="false" ht="15.75" hidden="false" customHeight="true" outlineLevel="0" collapsed="false">
      <c r="A252" s="37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9"/>
    </row>
    <row r="253" customFormat="false" ht="15.75" hidden="false" customHeight="true" outlineLevel="0" collapsed="false">
      <c r="A253" s="37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9"/>
    </row>
    <row r="254" customFormat="false" ht="15.75" hidden="false" customHeight="true" outlineLevel="0" collapsed="false">
      <c r="A254" s="37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9"/>
    </row>
    <row r="255" customFormat="false" ht="15.75" hidden="false" customHeight="true" outlineLevel="0" collapsed="false">
      <c r="A255" s="37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9"/>
    </row>
    <row r="256" customFormat="false" ht="15.75" hidden="false" customHeight="true" outlineLevel="0" collapsed="false">
      <c r="A256" s="37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9"/>
    </row>
    <row r="257" customFormat="false" ht="15.75" hidden="false" customHeight="true" outlineLevel="0" collapsed="false">
      <c r="A257" s="3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9"/>
    </row>
    <row r="258" customFormat="false" ht="15.75" hidden="false" customHeight="true" outlineLevel="0" collapsed="false">
      <c r="A258" s="37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9"/>
    </row>
    <row r="259" customFormat="false" ht="15.75" hidden="false" customHeight="true" outlineLevel="0" collapsed="false">
      <c r="A259" s="37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9"/>
    </row>
    <row r="260" customFormat="false" ht="15.75" hidden="false" customHeight="true" outlineLevel="0" collapsed="false">
      <c r="A260" s="37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9"/>
    </row>
    <row r="261" customFormat="false" ht="15.75" hidden="false" customHeight="true" outlineLevel="0" collapsed="false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9"/>
    </row>
    <row r="262" customFormat="false" ht="15.75" hidden="false" customHeight="true" outlineLevel="0" collapsed="false">
      <c r="A262" s="37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9"/>
    </row>
    <row r="263" customFormat="false" ht="15.75" hidden="false" customHeight="true" outlineLevel="0" collapsed="false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9"/>
    </row>
    <row r="264" customFormat="false" ht="15.75" hidden="false" customHeight="true" outlineLevel="0" collapsed="false">
      <c r="A264" s="37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9"/>
    </row>
    <row r="265" customFormat="false" ht="15.75" hidden="false" customHeight="true" outlineLevel="0" collapsed="false">
      <c r="A265" s="37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9"/>
    </row>
    <row r="266" customFormat="false" ht="15.75" hidden="false" customHeight="true" outlineLevel="0" collapsed="false">
      <c r="A266" s="37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9"/>
    </row>
    <row r="267" customFormat="false" ht="15.75" hidden="false" customHeight="true" outlineLevel="0" collapsed="false">
      <c r="A267" s="3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9"/>
    </row>
    <row r="268" customFormat="false" ht="15.75" hidden="false" customHeight="true" outlineLevel="0" collapsed="false">
      <c r="A268" s="37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9"/>
    </row>
    <row r="269" customFormat="false" ht="15.75" hidden="false" customHeight="true" outlineLevel="0" collapsed="false">
      <c r="A269" s="37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9"/>
    </row>
    <row r="270" customFormat="false" ht="15.75" hidden="false" customHeight="true" outlineLevel="0" collapsed="false">
      <c r="A270" s="37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9"/>
    </row>
    <row r="271" customFormat="false" ht="15.75" hidden="false" customHeight="true" outlineLevel="0" collapsed="false">
      <c r="A271" s="37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9"/>
    </row>
    <row r="272" customFormat="false" ht="15.75" hidden="false" customHeight="true" outlineLevel="0" collapsed="false">
      <c r="A272" s="37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9"/>
    </row>
    <row r="273" customFormat="false" ht="15.75" hidden="false" customHeight="true" outlineLevel="0" collapsed="false">
      <c r="A273" s="37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9"/>
    </row>
    <row r="274" customFormat="false" ht="15.75" hidden="false" customHeight="true" outlineLevel="0" collapsed="false">
      <c r="A274" s="37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9"/>
    </row>
    <row r="275" customFormat="false" ht="15.75" hidden="false" customHeight="true" outlineLevel="0" collapsed="false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9"/>
    </row>
    <row r="276" customFormat="false" ht="15.75" hidden="false" customHeight="true" outlineLevel="0" collapsed="false">
      <c r="A276" s="37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9"/>
    </row>
    <row r="277" customFormat="false" ht="15.75" hidden="false" customHeight="true" outlineLevel="0" collapsed="false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9"/>
    </row>
    <row r="278" customFormat="false" ht="15.75" hidden="false" customHeight="true" outlineLevel="0" collapsed="false">
      <c r="A278" s="37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9"/>
    </row>
    <row r="279" customFormat="false" ht="15.75" hidden="false" customHeight="true" outlineLevel="0" collapsed="false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9"/>
    </row>
    <row r="280" customFormat="false" ht="15.75" hidden="false" customHeight="true" outlineLevel="0" collapsed="false">
      <c r="A280" s="37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9"/>
    </row>
    <row r="281" customFormat="false" ht="15.75" hidden="false" customHeight="true" outlineLevel="0" collapsed="false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9"/>
    </row>
    <row r="282" customFormat="false" ht="15.75" hidden="false" customHeight="true" outlineLevel="0" collapsed="false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9"/>
    </row>
    <row r="283" customFormat="false" ht="15.75" hidden="false" customHeight="true" outlineLevel="0" collapsed="false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9"/>
    </row>
    <row r="284" customFormat="false" ht="15.75" hidden="false" customHeight="true" outlineLevel="0" collapsed="false">
      <c r="A284" s="37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9"/>
    </row>
    <row r="285" customFormat="false" ht="15.75" hidden="false" customHeight="true" outlineLevel="0" collapsed="false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9"/>
    </row>
    <row r="286" customFormat="false" ht="15.75" hidden="false" customHeight="true" outlineLevel="0" collapsed="false">
      <c r="A286" s="37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9"/>
    </row>
    <row r="287" customFormat="false" ht="15.75" hidden="false" customHeight="true" outlineLevel="0" collapsed="false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9"/>
    </row>
    <row r="288" customFormat="false" ht="15.75" hidden="false" customHeight="true" outlineLevel="0" collapsed="false">
      <c r="A288" s="37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9"/>
    </row>
    <row r="289" customFormat="false" ht="15.75" hidden="false" customHeight="true" outlineLevel="0" collapsed="false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9"/>
    </row>
    <row r="290" customFormat="false" ht="15.75" hidden="false" customHeight="true" outlineLevel="0" collapsed="false">
      <c r="A290" s="37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9"/>
    </row>
    <row r="291" customFormat="false" ht="15.75" hidden="false" customHeight="true" outlineLevel="0" collapsed="false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9"/>
    </row>
    <row r="292" customFormat="false" ht="15.75" hidden="false" customHeight="true" outlineLevel="0" collapsed="false">
      <c r="A292" s="37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9"/>
    </row>
    <row r="293" customFormat="false" ht="15.75" hidden="false" customHeight="true" outlineLevel="0" collapsed="false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9"/>
    </row>
    <row r="294" customFormat="false" ht="15.75" hidden="false" customHeight="true" outlineLevel="0" collapsed="false">
      <c r="A294" s="37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9"/>
    </row>
    <row r="295" customFormat="false" ht="15.75" hidden="false" customHeight="true" outlineLevel="0" collapsed="false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9"/>
    </row>
    <row r="296" customFormat="false" ht="15.75" hidden="false" customHeight="true" outlineLevel="0" collapsed="false">
      <c r="A296" s="37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9"/>
    </row>
    <row r="297" customFormat="false" ht="15.75" hidden="false" customHeight="true" outlineLevel="0" collapsed="false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9"/>
    </row>
    <row r="298" customFormat="false" ht="15.75" hidden="false" customHeight="true" outlineLevel="0" collapsed="false">
      <c r="A298" s="37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9"/>
    </row>
    <row r="299" customFormat="false" ht="15.75" hidden="false" customHeight="true" outlineLevel="0" collapsed="false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9"/>
    </row>
    <row r="300" customFormat="false" ht="15.75" hidden="false" customHeight="true" outlineLevel="0" collapsed="false">
      <c r="A300" s="37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9"/>
    </row>
    <row r="301" customFormat="false" ht="15.75" hidden="false" customHeight="true" outlineLevel="0" collapsed="false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9"/>
    </row>
    <row r="302" customFormat="false" ht="15.75" hidden="false" customHeight="true" outlineLevel="0" collapsed="false">
      <c r="A302" s="37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9"/>
    </row>
    <row r="303" customFormat="false" ht="15.75" hidden="false" customHeight="true" outlineLevel="0" collapsed="false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9"/>
    </row>
    <row r="304" customFormat="false" ht="15.75" hidden="false" customHeight="true" outlineLevel="0" collapsed="false">
      <c r="A304" s="37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9"/>
    </row>
    <row r="305" customFormat="false" ht="15.75" hidden="false" customHeight="true" outlineLevel="0" collapsed="false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9"/>
    </row>
    <row r="306" customFormat="false" ht="15.75" hidden="false" customHeight="true" outlineLevel="0" collapsed="false">
      <c r="A306" s="37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9"/>
    </row>
    <row r="307" customFormat="false" ht="15.75" hidden="false" customHeight="true" outlineLevel="0" collapsed="false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9"/>
    </row>
    <row r="308" customFormat="false" ht="15.75" hidden="false" customHeight="true" outlineLevel="0" collapsed="false">
      <c r="A308" s="37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9"/>
    </row>
    <row r="309" customFormat="false" ht="15.75" hidden="false" customHeight="true" outlineLevel="0" collapsed="false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9"/>
    </row>
    <row r="310" customFormat="false" ht="15.75" hidden="false" customHeight="true" outlineLevel="0" collapsed="false">
      <c r="A310" s="37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9"/>
    </row>
    <row r="311" customFormat="false" ht="15.75" hidden="false" customHeight="true" outlineLevel="0" collapsed="false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9"/>
    </row>
    <row r="312" customFormat="false" ht="15.75" hidden="false" customHeight="true" outlineLevel="0" collapsed="false">
      <c r="A312" s="37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9"/>
    </row>
    <row r="313" customFormat="false" ht="15.75" hidden="false" customHeight="true" outlineLevel="0" collapsed="false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9"/>
    </row>
    <row r="314" customFormat="false" ht="15.75" hidden="false" customHeight="true" outlineLevel="0" collapsed="false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9"/>
    </row>
    <row r="315" customFormat="false" ht="15.75" hidden="false" customHeight="true" outlineLevel="0" collapsed="false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9"/>
    </row>
    <row r="316" customFormat="false" ht="15.75" hidden="false" customHeight="true" outlineLevel="0" collapsed="false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9"/>
    </row>
    <row r="317" customFormat="false" ht="15.75" hidden="false" customHeight="true" outlineLevel="0" collapsed="false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9"/>
    </row>
    <row r="318" customFormat="false" ht="15.75" hidden="false" customHeight="true" outlineLevel="0" collapsed="false">
      <c r="A318" s="37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9"/>
    </row>
    <row r="319" customFormat="false" ht="15.75" hidden="false" customHeight="true" outlineLevel="0" collapsed="false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9"/>
    </row>
    <row r="320" customFormat="false" ht="15.75" hidden="false" customHeight="true" outlineLevel="0" collapsed="false">
      <c r="A320" s="37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9"/>
    </row>
    <row r="321" customFormat="false" ht="15.75" hidden="false" customHeight="true" outlineLevel="0" collapsed="false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9"/>
    </row>
    <row r="322" customFormat="false" ht="15.75" hidden="false" customHeight="true" outlineLevel="0" collapsed="false">
      <c r="A322" s="37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9"/>
    </row>
    <row r="323" customFormat="false" ht="15.75" hidden="false" customHeight="true" outlineLevel="0" collapsed="false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9"/>
    </row>
    <row r="324" customFormat="false" ht="15.75" hidden="false" customHeight="true" outlineLevel="0" collapsed="false">
      <c r="A324" s="37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9"/>
    </row>
    <row r="325" customFormat="false" ht="15.75" hidden="false" customHeight="true" outlineLevel="0" collapsed="false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9"/>
    </row>
    <row r="326" customFormat="false" ht="15.75" hidden="false" customHeight="true" outlineLevel="0" collapsed="false">
      <c r="A326" s="37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9"/>
    </row>
    <row r="327" customFormat="false" ht="15.75" hidden="false" customHeight="true" outlineLevel="0" collapsed="false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9"/>
    </row>
    <row r="328" customFormat="false" ht="15.75" hidden="false" customHeight="true" outlineLevel="0" collapsed="false">
      <c r="A328" s="37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9"/>
    </row>
    <row r="329" customFormat="false" ht="15.75" hidden="false" customHeight="true" outlineLevel="0" collapsed="false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9"/>
    </row>
    <row r="330" customFormat="false" ht="15.75" hidden="false" customHeight="true" outlineLevel="0" collapsed="false">
      <c r="A330" s="37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9"/>
    </row>
    <row r="331" customFormat="false" ht="15.75" hidden="false" customHeight="true" outlineLevel="0" collapsed="false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9"/>
    </row>
    <row r="332" customFormat="false" ht="15.75" hidden="false" customHeight="true" outlineLevel="0" collapsed="false">
      <c r="A332" s="37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9"/>
    </row>
    <row r="333" customFormat="false" ht="15.75" hidden="false" customHeight="true" outlineLevel="0" collapsed="false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9"/>
    </row>
    <row r="334" customFormat="false" ht="15.75" hidden="false" customHeight="true" outlineLevel="0" collapsed="false">
      <c r="A334" s="37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9"/>
    </row>
    <row r="335" customFormat="false" ht="15.75" hidden="false" customHeight="true" outlineLevel="0" collapsed="false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9"/>
    </row>
    <row r="336" customFormat="false" ht="15.75" hidden="false" customHeight="true" outlineLevel="0" collapsed="false">
      <c r="A336" s="37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9"/>
    </row>
    <row r="337" customFormat="false" ht="15.75" hidden="false" customHeight="true" outlineLevel="0" collapsed="false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9"/>
    </row>
    <row r="338" customFormat="false" ht="15.75" hidden="false" customHeight="true" outlineLevel="0" collapsed="false">
      <c r="A338" s="37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9"/>
    </row>
    <row r="339" customFormat="false" ht="15.75" hidden="false" customHeight="true" outlineLevel="0" collapsed="false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9"/>
    </row>
    <row r="340" customFormat="false" ht="15.75" hidden="false" customHeight="true" outlineLevel="0" collapsed="false">
      <c r="A340" s="37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9"/>
    </row>
    <row r="341" customFormat="false" ht="15.75" hidden="false" customHeight="true" outlineLevel="0" collapsed="false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9"/>
    </row>
    <row r="342" customFormat="false" ht="15.75" hidden="false" customHeight="true" outlineLevel="0" collapsed="false">
      <c r="A342" s="37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9"/>
    </row>
    <row r="343" customFormat="false" ht="15.75" hidden="false" customHeight="true" outlineLevel="0" collapsed="false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9"/>
    </row>
    <row r="344" customFormat="false" ht="15.75" hidden="false" customHeight="true" outlineLevel="0" collapsed="false">
      <c r="A344" s="37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9"/>
    </row>
    <row r="345" customFormat="false" ht="15.75" hidden="false" customHeight="true" outlineLevel="0" collapsed="false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9"/>
    </row>
    <row r="346" customFormat="false" ht="15.75" hidden="false" customHeight="true" outlineLevel="0" collapsed="false">
      <c r="A346" s="37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9"/>
    </row>
    <row r="347" customFormat="false" ht="15.75" hidden="false" customHeight="true" outlineLevel="0" collapsed="false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9"/>
    </row>
    <row r="348" customFormat="false" ht="15.75" hidden="false" customHeight="true" outlineLevel="0" collapsed="false">
      <c r="A348" s="37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9"/>
    </row>
    <row r="349" customFormat="false" ht="15.75" hidden="false" customHeight="true" outlineLevel="0" collapsed="false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9"/>
    </row>
    <row r="350" customFormat="false" ht="15.75" hidden="false" customHeight="true" outlineLevel="0" collapsed="false">
      <c r="A350" s="37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9"/>
    </row>
    <row r="351" customFormat="false" ht="15.75" hidden="false" customHeight="true" outlineLevel="0" collapsed="false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9"/>
    </row>
    <row r="352" customFormat="false" ht="15.75" hidden="false" customHeight="true" outlineLevel="0" collapsed="false">
      <c r="A352" s="37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9"/>
    </row>
    <row r="353" customFormat="false" ht="15.75" hidden="false" customHeight="true" outlineLevel="0" collapsed="false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9"/>
    </row>
    <row r="354" customFormat="false" ht="15.75" hidden="false" customHeight="true" outlineLevel="0" collapsed="false">
      <c r="A354" s="37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9"/>
    </row>
    <row r="355" customFormat="false" ht="15.75" hidden="false" customHeight="true" outlineLevel="0" collapsed="false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9"/>
    </row>
    <row r="356" customFormat="false" ht="15.75" hidden="false" customHeight="true" outlineLevel="0" collapsed="false">
      <c r="A356" s="37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9"/>
    </row>
    <row r="357" customFormat="false" ht="15.75" hidden="false" customHeight="true" outlineLevel="0" collapsed="false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9"/>
    </row>
    <row r="358" customFormat="false" ht="15.75" hidden="false" customHeight="true" outlineLevel="0" collapsed="false">
      <c r="A358" s="37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9"/>
    </row>
    <row r="359" customFormat="false" ht="15.75" hidden="false" customHeight="true" outlineLevel="0" collapsed="false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9"/>
    </row>
    <row r="360" customFormat="false" ht="15.75" hidden="false" customHeight="true" outlineLevel="0" collapsed="false">
      <c r="A360" s="37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9"/>
    </row>
    <row r="361" customFormat="false" ht="15.75" hidden="false" customHeight="true" outlineLevel="0" collapsed="false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9"/>
    </row>
    <row r="362" customFormat="false" ht="15.75" hidden="false" customHeight="true" outlineLevel="0" collapsed="false">
      <c r="A362" s="37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9"/>
    </row>
    <row r="363" customFormat="false" ht="15.75" hidden="false" customHeight="true" outlineLevel="0" collapsed="false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9"/>
    </row>
    <row r="364" customFormat="false" ht="15.75" hidden="false" customHeight="true" outlineLevel="0" collapsed="false">
      <c r="A364" s="37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9"/>
    </row>
    <row r="365" customFormat="false" ht="15.75" hidden="false" customHeight="true" outlineLevel="0" collapsed="false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9"/>
    </row>
    <row r="366" customFormat="false" ht="15.75" hidden="false" customHeight="true" outlineLevel="0" collapsed="false">
      <c r="A366" s="37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9"/>
    </row>
    <row r="367" customFormat="false" ht="15.75" hidden="false" customHeight="true" outlineLevel="0" collapsed="false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9"/>
    </row>
    <row r="368" customFormat="false" ht="15.75" hidden="false" customHeight="true" outlineLevel="0" collapsed="false">
      <c r="A368" s="37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9"/>
    </row>
    <row r="369" customFormat="false" ht="15.75" hidden="false" customHeight="true" outlineLevel="0" collapsed="false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9"/>
    </row>
    <row r="370" customFormat="false" ht="15.75" hidden="false" customHeight="true" outlineLevel="0" collapsed="false">
      <c r="A370" s="37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9"/>
    </row>
    <row r="371" customFormat="false" ht="15.75" hidden="false" customHeight="true" outlineLevel="0" collapsed="false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9"/>
    </row>
    <row r="372" customFormat="false" ht="15.75" hidden="false" customHeight="true" outlineLevel="0" collapsed="false">
      <c r="A372" s="37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9"/>
    </row>
    <row r="373" customFormat="false" ht="15.75" hidden="false" customHeight="true" outlineLevel="0" collapsed="false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9"/>
    </row>
    <row r="374" customFormat="false" ht="15.75" hidden="false" customHeight="true" outlineLevel="0" collapsed="false">
      <c r="A374" s="37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9"/>
    </row>
    <row r="375" customFormat="false" ht="15.75" hidden="false" customHeight="true" outlineLevel="0" collapsed="false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9"/>
    </row>
    <row r="376" customFormat="false" ht="15.75" hidden="false" customHeight="true" outlineLevel="0" collapsed="false">
      <c r="A376" s="37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9"/>
    </row>
    <row r="377" customFormat="false" ht="15.75" hidden="false" customHeight="true" outlineLevel="0" collapsed="false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9"/>
    </row>
    <row r="378" customFormat="false" ht="15.75" hidden="false" customHeight="true" outlineLevel="0" collapsed="false">
      <c r="A378" s="37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9"/>
    </row>
    <row r="379" customFormat="false" ht="15.75" hidden="false" customHeight="true" outlineLevel="0" collapsed="false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9"/>
    </row>
    <row r="380" customFormat="false" ht="15.75" hidden="false" customHeight="true" outlineLevel="0" collapsed="false">
      <c r="A380" s="37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9"/>
    </row>
    <row r="381" customFormat="false" ht="15.75" hidden="false" customHeight="true" outlineLevel="0" collapsed="false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9"/>
    </row>
    <row r="382" customFormat="false" ht="15.75" hidden="false" customHeight="true" outlineLevel="0" collapsed="false">
      <c r="A382" s="37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9"/>
    </row>
    <row r="383" customFormat="false" ht="15.75" hidden="false" customHeight="true" outlineLevel="0" collapsed="false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9"/>
    </row>
    <row r="384" customFormat="false" ht="15.75" hidden="false" customHeight="true" outlineLevel="0" collapsed="false">
      <c r="A384" s="37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9"/>
    </row>
    <row r="385" customFormat="false" ht="15.75" hidden="false" customHeight="true" outlineLevel="0" collapsed="false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9"/>
    </row>
    <row r="386" customFormat="false" ht="15.75" hidden="false" customHeight="true" outlineLevel="0" collapsed="false">
      <c r="A386" s="37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9"/>
    </row>
    <row r="387" customFormat="false" ht="15.75" hidden="false" customHeight="true" outlineLevel="0" collapsed="false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9"/>
    </row>
    <row r="388" customFormat="false" ht="15.75" hidden="false" customHeight="true" outlineLevel="0" collapsed="false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9"/>
    </row>
    <row r="389" customFormat="false" ht="15.75" hidden="false" customHeight="true" outlineLevel="0" collapsed="false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9"/>
    </row>
    <row r="390" customFormat="false" ht="15.75" hidden="false" customHeight="true" outlineLevel="0" collapsed="false">
      <c r="A390" s="37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9"/>
    </row>
    <row r="391" customFormat="false" ht="15.75" hidden="false" customHeight="true" outlineLevel="0" collapsed="false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9"/>
    </row>
    <row r="392" customFormat="false" ht="15.75" hidden="false" customHeight="true" outlineLevel="0" collapsed="false">
      <c r="A392" s="37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9"/>
    </row>
    <row r="393" customFormat="false" ht="15.75" hidden="false" customHeight="true" outlineLevel="0" collapsed="false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9"/>
    </row>
    <row r="394" customFormat="false" ht="15.75" hidden="false" customHeight="true" outlineLevel="0" collapsed="false">
      <c r="A394" s="37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9"/>
    </row>
    <row r="395" customFormat="false" ht="15.75" hidden="false" customHeight="true" outlineLevel="0" collapsed="false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9"/>
    </row>
    <row r="396" customFormat="false" ht="15.75" hidden="false" customHeight="true" outlineLevel="0" collapsed="false">
      <c r="A396" s="37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9"/>
    </row>
    <row r="397" customFormat="false" ht="15.75" hidden="false" customHeight="true" outlineLevel="0" collapsed="false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9"/>
    </row>
    <row r="398" customFormat="false" ht="15.75" hidden="false" customHeight="true" outlineLevel="0" collapsed="false">
      <c r="A398" s="37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9"/>
    </row>
    <row r="399" customFormat="false" ht="15.75" hidden="false" customHeight="true" outlineLevel="0" collapsed="false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9"/>
    </row>
    <row r="400" customFormat="false" ht="15.75" hidden="false" customHeight="true" outlineLevel="0" collapsed="false">
      <c r="A400" s="37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9"/>
    </row>
    <row r="401" customFormat="false" ht="15.75" hidden="false" customHeight="true" outlineLevel="0" collapsed="false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9"/>
    </row>
    <row r="402" customFormat="false" ht="15.75" hidden="false" customHeight="true" outlineLevel="0" collapsed="false">
      <c r="A402" s="37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9"/>
    </row>
    <row r="403" customFormat="false" ht="15.75" hidden="false" customHeight="true" outlineLevel="0" collapsed="false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9"/>
    </row>
    <row r="404" customFormat="false" ht="15.75" hidden="false" customHeight="true" outlineLevel="0" collapsed="false">
      <c r="A404" s="37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9"/>
    </row>
    <row r="405" customFormat="false" ht="15.75" hidden="false" customHeight="true" outlineLevel="0" collapsed="false">
      <c r="A405" s="37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9"/>
    </row>
    <row r="406" customFormat="false" ht="15.75" hidden="false" customHeight="true" outlineLevel="0" collapsed="false">
      <c r="A406" s="37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9"/>
    </row>
    <row r="407" customFormat="false" ht="15.75" hidden="false" customHeight="true" outlineLevel="0" collapsed="false">
      <c r="A407" s="37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9"/>
    </row>
    <row r="408" customFormat="false" ht="15.75" hidden="false" customHeight="true" outlineLevel="0" collapsed="false">
      <c r="A408" s="37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9"/>
    </row>
    <row r="409" customFormat="false" ht="15.75" hidden="false" customHeight="true" outlineLevel="0" collapsed="false">
      <c r="A409" s="37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9"/>
    </row>
    <row r="410" customFormat="false" ht="15.75" hidden="false" customHeight="true" outlineLevel="0" collapsed="false">
      <c r="A410" s="37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9"/>
    </row>
    <row r="411" customFormat="false" ht="15.75" hidden="false" customHeight="true" outlineLevel="0" collapsed="false">
      <c r="A411" s="37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9"/>
    </row>
    <row r="412" customFormat="false" ht="15.75" hidden="false" customHeight="true" outlineLevel="0" collapsed="false">
      <c r="A412" s="37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9"/>
    </row>
    <row r="413" customFormat="false" ht="15.75" hidden="false" customHeight="true" outlineLevel="0" collapsed="false">
      <c r="A413" s="37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9"/>
    </row>
    <row r="414" customFormat="false" ht="15.75" hidden="false" customHeight="true" outlineLevel="0" collapsed="false">
      <c r="A414" s="37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9"/>
    </row>
    <row r="415" customFormat="false" ht="15.75" hidden="false" customHeight="true" outlineLevel="0" collapsed="false">
      <c r="A415" s="37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9"/>
    </row>
    <row r="416" customFormat="false" ht="15.75" hidden="false" customHeight="true" outlineLevel="0" collapsed="false">
      <c r="A416" s="37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9"/>
    </row>
    <row r="417" customFormat="false" ht="15.75" hidden="false" customHeight="true" outlineLevel="0" collapsed="false">
      <c r="A417" s="37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9"/>
    </row>
    <row r="418" customFormat="false" ht="15.75" hidden="false" customHeight="true" outlineLevel="0" collapsed="false">
      <c r="A418" s="37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9"/>
    </row>
    <row r="419" customFormat="false" ht="15.75" hidden="false" customHeight="true" outlineLevel="0" collapsed="false">
      <c r="A419" s="37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9"/>
    </row>
    <row r="420" customFormat="false" ht="15.75" hidden="false" customHeight="true" outlineLevel="0" collapsed="false">
      <c r="A420" s="37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9"/>
    </row>
    <row r="421" customFormat="false" ht="15.75" hidden="false" customHeight="true" outlineLevel="0" collapsed="false">
      <c r="A421" s="37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9"/>
    </row>
    <row r="422" customFormat="false" ht="15.75" hidden="false" customHeight="true" outlineLevel="0" collapsed="false">
      <c r="A422" s="37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9"/>
    </row>
    <row r="423" customFormat="false" ht="15.75" hidden="false" customHeight="true" outlineLevel="0" collapsed="false">
      <c r="A423" s="37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9"/>
    </row>
    <row r="424" customFormat="false" ht="15.75" hidden="false" customHeight="true" outlineLevel="0" collapsed="false">
      <c r="A424" s="37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9"/>
    </row>
    <row r="425" customFormat="false" ht="15.75" hidden="false" customHeight="true" outlineLevel="0" collapsed="false">
      <c r="A425" s="37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9"/>
    </row>
    <row r="426" customFormat="false" ht="15.75" hidden="false" customHeight="true" outlineLevel="0" collapsed="false">
      <c r="A426" s="37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9"/>
    </row>
    <row r="427" customFormat="false" ht="15.75" hidden="false" customHeight="true" outlineLevel="0" collapsed="false">
      <c r="A427" s="37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9"/>
    </row>
    <row r="428" customFormat="false" ht="15.75" hidden="false" customHeight="true" outlineLevel="0" collapsed="false">
      <c r="A428" s="37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9"/>
    </row>
    <row r="429" customFormat="false" ht="15.75" hidden="false" customHeight="true" outlineLevel="0" collapsed="false">
      <c r="A429" s="37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9"/>
    </row>
    <row r="430" customFormat="false" ht="15.75" hidden="false" customHeight="true" outlineLevel="0" collapsed="false">
      <c r="A430" s="37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9"/>
    </row>
    <row r="431" customFormat="false" ht="15.75" hidden="false" customHeight="true" outlineLevel="0" collapsed="false">
      <c r="A431" s="37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9"/>
    </row>
    <row r="432" customFormat="false" ht="15.75" hidden="false" customHeight="true" outlineLevel="0" collapsed="false">
      <c r="A432" s="37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9"/>
    </row>
    <row r="433" customFormat="false" ht="15.75" hidden="false" customHeight="true" outlineLevel="0" collapsed="false">
      <c r="A433" s="37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9"/>
    </row>
    <row r="434" customFormat="false" ht="15.75" hidden="false" customHeight="true" outlineLevel="0" collapsed="false">
      <c r="A434" s="37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9"/>
    </row>
    <row r="435" customFormat="false" ht="15.75" hidden="false" customHeight="true" outlineLevel="0" collapsed="false">
      <c r="A435" s="37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9"/>
    </row>
    <row r="436" customFormat="false" ht="15.75" hidden="false" customHeight="true" outlineLevel="0" collapsed="false">
      <c r="A436" s="37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9"/>
    </row>
    <row r="437" customFormat="false" ht="15.75" hidden="false" customHeight="true" outlineLevel="0" collapsed="false">
      <c r="A437" s="37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9"/>
    </row>
    <row r="438" customFormat="false" ht="15.75" hidden="false" customHeight="true" outlineLevel="0" collapsed="false">
      <c r="A438" s="37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9"/>
    </row>
    <row r="439" customFormat="false" ht="15.75" hidden="false" customHeight="true" outlineLevel="0" collapsed="false">
      <c r="A439" s="37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9"/>
    </row>
    <row r="440" customFormat="false" ht="15.75" hidden="false" customHeight="true" outlineLevel="0" collapsed="false">
      <c r="A440" s="37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9"/>
    </row>
    <row r="441" customFormat="false" ht="15.75" hidden="false" customHeight="true" outlineLevel="0" collapsed="false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9"/>
    </row>
    <row r="442" customFormat="false" ht="15.75" hidden="false" customHeight="true" outlineLevel="0" collapsed="false">
      <c r="A442" s="37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9"/>
    </row>
    <row r="443" customFormat="false" ht="15.75" hidden="false" customHeight="true" outlineLevel="0" collapsed="false">
      <c r="A443" s="37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9"/>
    </row>
    <row r="444" customFormat="false" ht="15.75" hidden="false" customHeight="true" outlineLevel="0" collapsed="false">
      <c r="A444" s="37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9"/>
    </row>
    <row r="445" customFormat="false" ht="15.75" hidden="false" customHeight="true" outlineLevel="0" collapsed="false">
      <c r="A445" s="37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9"/>
    </row>
    <row r="446" customFormat="false" ht="15.75" hidden="false" customHeight="true" outlineLevel="0" collapsed="false">
      <c r="A446" s="37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9"/>
    </row>
    <row r="447" customFormat="false" ht="15.75" hidden="false" customHeight="true" outlineLevel="0" collapsed="false">
      <c r="A447" s="37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9"/>
    </row>
    <row r="448" customFormat="false" ht="15.75" hidden="false" customHeight="true" outlineLevel="0" collapsed="false">
      <c r="A448" s="37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9"/>
    </row>
    <row r="449" customFormat="false" ht="15.75" hidden="false" customHeight="true" outlineLevel="0" collapsed="false">
      <c r="A449" s="37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9"/>
    </row>
    <row r="450" customFormat="false" ht="15.75" hidden="false" customHeight="true" outlineLevel="0" collapsed="false">
      <c r="A450" s="37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9"/>
    </row>
    <row r="451" customFormat="false" ht="15.75" hidden="false" customHeight="true" outlineLevel="0" collapsed="false">
      <c r="A451" s="37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9"/>
    </row>
    <row r="452" customFormat="false" ht="15.75" hidden="false" customHeight="true" outlineLevel="0" collapsed="false">
      <c r="A452" s="37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9"/>
    </row>
    <row r="453" customFormat="false" ht="15.75" hidden="false" customHeight="true" outlineLevel="0" collapsed="false">
      <c r="A453" s="37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9"/>
    </row>
    <row r="454" customFormat="false" ht="15.75" hidden="false" customHeight="true" outlineLevel="0" collapsed="false">
      <c r="A454" s="37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9"/>
    </row>
    <row r="455" customFormat="false" ht="15.75" hidden="false" customHeight="true" outlineLevel="0" collapsed="false">
      <c r="A455" s="37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9"/>
    </row>
    <row r="456" customFormat="false" ht="15.75" hidden="false" customHeight="true" outlineLevel="0" collapsed="false">
      <c r="A456" s="37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9"/>
    </row>
    <row r="457" customFormat="false" ht="15.75" hidden="false" customHeight="true" outlineLevel="0" collapsed="false">
      <c r="A457" s="37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9"/>
    </row>
    <row r="458" customFormat="false" ht="15.75" hidden="false" customHeight="true" outlineLevel="0" collapsed="false">
      <c r="A458" s="37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9"/>
    </row>
    <row r="459" customFormat="false" ht="15.75" hidden="false" customHeight="true" outlineLevel="0" collapsed="false">
      <c r="A459" s="37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9"/>
    </row>
    <row r="460" customFormat="false" ht="15.75" hidden="false" customHeight="true" outlineLevel="0" collapsed="false">
      <c r="A460" s="37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9"/>
    </row>
    <row r="461" customFormat="false" ht="15.75" hidden="false" customHeight="true" outlineLevel="0" collapsed="false">
      <c r="A461" s="37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9"/>
    </row>
    <row r="462" customFormat="false" ht="15.75" hidden="false" customHeight="true" outlineLevel="0" collapsed="false">
      <c r="A462" s="37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9"/>
    </row>
    <row r="463" customFormat="false" ht="15.75" hidden="false" customHeight="true" outlineLevel="0" collapsed="false">
      <c r="A463" s="37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9"/>
    </row>
    <row r="464" customFormat="false" ht="15.75" hidden="false" customHeight="true" outlineLevel="0" collapsed="false">
      <c r="A464" s="37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9"/>
    </row>
    <row r="465" customFormat="false" ht="15.75" hidden="false" customHeight="true" outlineLevel="0" collapsed="false">
      <c r="A465" s="37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9"/>
    </row>
    <row r="466" customFormat="false" ht="15.75" hidden="false" customHeight="true" outlineLevel="0" collapsed="false">
      <c r="A466" s="37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9"/>
    </row>
    <row r="467" customFormat="false" ht="15.75" hidden="false" customHeight="true" outlineLevel="0" collapsed="false">
      <c r="A467" s="37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9"/>
    </row>
    <row r="468" customFormat="false" ht="15.75" hidden="false" customHeight="true" outlineLevel="0" collapsed="false">
      <c r="A468" s="37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9"/>
    </row>
    <row r="469" customFormat="false" ht="15.75" hidden="false" customHeight="true" outlineLevel="0" collapsed="false">
      <c r="A469" s="37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9"/>
    </row>
    <row r="470" customFormat="false" ht="15.75" hidden="false" customHeight="true" outlineLevel="0" collapsed="false">
      <c r="A470" s="37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9"/>
    </row>
    <row r="471" customFormat="false" ht="15.75" hidden="false" customHeight="true" outlineLevel="0" collapsed="false">
      <c r="A471" s="37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9"/>
    </row>
    <row r="472" customFormat="false" ht="15.75" hidden="false" customHeight="true" outlineLevel="0" collapsed="false">
      <c r="A472" s="37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9"/>
    </row>
    <row r="473" customFormat="false" ht="15.75" hidden="false" customHeight="true" outlineLevel="0" collapsed="false">
      <c r="A473" s="37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9"/>
    </row>
    <row r="474" customFormat="false" ht="15.75" hidden="false" customHeight="true" outlineLevel="0" collapsed="false">
      <c r="A474" s="37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9"/>
    </row>
    <row r="475" customFormat="false" ht="15.75" hidden="false" customHeight="true" outlineLevel="0" collapsed="false">
      <c r="A475" s="37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9"/>
    </row>
    <row r="476" customFormat="false" ht="15.75" hidden="false" customHeight="true" outlineLevel="0" collapsed="false">
      <c r="A476" s="37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9"/>
    </row>
    <row r="477" customFormat="false" ht="15.75" hidden="false" customHeight="true" outlineLevel="0" collapsed="false">
      <c r="A477" s="37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9"/>
    </row>
    <row r="478" customFormat="false" ht="15.75" hidden="false" customHeight="true" outlineLevel="0" collapsed="false">
      <c r="A478" s="37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9"/>
    </row>
    <row r="479" customFormat="false" ht="15.75" hidden="false" customHeight="true" outlineLevel="0" collapsed="false">
      <c r="A479" s="37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9"/>
    </row>
    <row r="480" customFormat="false" ht="15.75" hidden="false" customHeight="true" outlineLevel="0" collapsed="false">
      <c r="A480" s="37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9"/>
    </row>
    <row r="481" customFormat="false" ht="15.75" hidden="false" customHeight="true" outlineLevel="0" collapsed="false">
      <c r="A481" s="37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9"/>
    </row>
    <row r="482" customFormat="false" ht="15.75" hidden="false" customHeight="true" outlineLevel="0" collapsed="false">
      <c r="A482" s="37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9"/>
    </row>
    <row r="483" customFormat="false" ht="15.75" hidden="false" customHeight="true" outlineLevel="0" collapsed="false">
      <c r="A483" s="37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9"/>
    </row>
    <row r="484" customFormat="false" ht="15.75" hidden="false" customHeight="true" outlineLevel="0" collapsed="false">
      <c r="A484" s="37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9"/>
    </row>
    <row r="485" customFormat="false" ht="15.75" hidden="false" customHeight="true" outlineLevel="0" collapsed="false">
      <c r="A485" s="37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9"/>
    </row>
    <row r="486" customFormat="false" ht="15.75" hidden="false" customHeight="true" outlineLevel="0" collapsed="false">
      <c r="A486" s="37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9"/>
    </row>
    <row r="487" customFormat="false" ht="15.75" hidden="false" customHeight="true" outlineLevel="0" collapsed="false">
      <c r="A487" s="37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9"/>
    </row>
    <row r="488" customFormat="false" ht="15.75" hidden="false" customHeight="true" outlineLevel="0" collapsed="false">
      <c r="A488" s="37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9"/>
    </row>
    <row r="489" customFormat="false" ht="15.75" hidden="false" customHeight="true" outlineLevel="0" collapsed="false">
      <c r="A489" s="37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9"/>
    </row>
    <row r="490" customFormat="false" ht="15.75" hidden="false" customHeight="true" outlineLevel="0" collapsed="false">
      <c r="A490" s="37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9"/>
    </row>
    <row r="491" customFormat="false" ht="15.75" hidden="false" customHeight="true" outlineLevel="0" collapsed="false">
      <c r="A491" s="37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9"/>
    </row>
    <row r="492" customFormat="false" ht="15.75" hidden="false" customHeight="true" outlineLevel="0" collapsed="false">
      <c r="A492" s="37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9"/>
    </row>
    <row r="493" customFormat="false" ht="15.75" hidden="false" customHeight="true" outlineLevel="0" collapsed="false">
      <c r="A493" s="37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9"/>
    </row>
    <row r="494" customFormat="false" ht="15.75" hidden="false" customHeight="true" outlineLevel="0" collapsed="false">
      <c r="A494" s="37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9"/>
    </row>
    <row r="495" customFormat="false" ht="15.75" hidden="false" customHeight="true" outlineLevel="0" collapsed="false">
      <c r="A495" s="37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9"/>
    </row>
    <row r="496" customFormat="false" ht="15.75" hidden="false" customHeight="true" outlineLevel="0" collapsed="false">
      <c r="A496" s="37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9"/>
    </row>
    <row r="497" customFormat="false" ht="15.75" hidden="false" customHeight="true" outlineLevel="0" collapsed="false">
      <c r="A497" s="37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9"/>
    </row>
    <row r="498" customFormat="false" ht="15.75" hidden="false" customHeight="true" outlineLevel="0" collapsed="false">
      <c r="A498" s="37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9"/>
    </row>
    <row r="499" customFormat="false" ht="15.75" hidden="false" customHeight="true" outlineLevel="0" collapsed="false">
      <c r="A499" s="37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9"/>
    </row>
    <row r="500" customFormat="false" ht="15.75" hidden="false" customHeight="true" outlineLevel="0" collapsed="false">
      <c r="A500" s="37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9"/>
    </row>
    <row r="501" customFormat="false" ht="15.75" hidden="false" customHeight="true" outlineLevel="0" collapsed="false">
      <c r="A501" s="37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9"/>
    </row>
    <row r="502" customFormat="false" ht="15.75" hidden="false" customHeight="true" outlineLevel="0" collapsed="false">
      <c r="A502" s="37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9"/>
    </row>
    <row r="503" customFormat="false" ht="15.75" hidden="false" customHeight="true" outlineLevel="0" collapsed="false">
      <c r="A503" s="37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9"/>
    </row>
    <row r="504" customFormat="false" ht="15.75" hidden="false" customHeight="true" outlineLevel="0" collapsed="false">
      <c r="A504" s="37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9"/>
    </row>
    <row r="505" customFormat="false" ht="15.75" hidden="false" customHeight="true" outlineLevel="0" collapsed="false">
      <c r="A505" s="37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9"/>
    </row>
    <row r="506" customFormat="false" ht="15.75" hidden="false" customHeight="true" outlineLevel="0" collapsed="false">
      <c r="A506" s="37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9"/>
    </row>
    <row r="507" customFormat="false" ht="15.75" hidden="false" customHeight="true" outlineLevel="0" collapsed="false">
      <c r="A507" s="37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9"/>
    </row>
    <row r="508" customFormat="false" ht="15.75" hidden="false" customHeight="true" outlineLevel="0" collapsed="false">
      <c r="A508" s="37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9"/>
    </row>
    <row r="509" customFormat="false" ht="15.75" hidden="false" customHeight="true" outlineLevel="0" collapsed="false">
      <c r="A509" s="37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9"/>
    </row>
    <row r="510" customFormat="false" ht="15.75" hidden="false" customHeight="true" outlineLevel="0" collapsed="false">
      <c r="A510" s="37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9"/>
    </row>
    <row r="511" customFormat="false" ht="15.75" hidden="false" customHeight="true" outlineLevel="0" collapsed="false">
      <c r="A511" s="37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9"/>
    </row>
    <row r="512" customFormat="false" ht="15.75" hidden="false" customHeight="true" outlineLevel="0" collapsed="false">
      <c r="A512" s="37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9"/>
    </row>
    <row r="513" customFormat="false" ht="15.75" hidden="false" customHeight="true" outlineLevel="0" collapsed="false">
      <c r="A513" s="37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9"/>
    </row>
    <row r="514" customFormat="false" ht="15.75" hidden="false" customHeight="true" outlineLevel="0" collapsed="false">
      <c r="A514" s="37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9"/>
    </row>
    <row r="515" customFormat="false" ht="15.75" hidden="false" customHeight="true" outlineLevel="0" collapsed="false">
      <c r="A515" s="37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9"/>
    </row>
    <row r="516" customFormat="false" ht="15.75" hidden="false" customHeight="true" outlineLevel="0" collapsed="false">
      <c r="A516" s="37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9"/>
    </row>
    <row r="517" customFormat="false" ht="15.75" hidden="false" customHeight="true" outlineLevel="0" collapsed="false">
      <c r="A517" s="37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9"/>
    </row>
    <row r="518" customFormat="false" ht="15.75" hidden="false" customHeight="true" outlineLevel="0" collapsed="false">
      <c r="A518" s="37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9"/>
    </row>
    <row r="519" customFormat="false" ht="15.75" hidden="false" customHeight="true" outlineLevel="0" collapsed="false">
      <c r="A519" s="37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9"/>
    </row>
    <row r="520" customFormat="false" ht="15.75" hidden="false" customHeight="true" outlineLevel="0" collapsed="false">
      <c r="A520" s="37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9"/>
    </row>
    <row r="521" customFormat="false" ht="15.75" hidden="false" customHeight="true" outlineLevel="0" collapsed="false">
      <c r="A521" s="37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9"/>
    </row>
    <row r="522" customFormat="false" ht="15.75" hidden="false" customHeight="true" outlineLevel="0" collapsed="false">
      <c r="A522" s="37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9"/>
    </row>
    <row r="523" customFormat="false" ht="15.75" hidden="false" customHeight="true" outlineLevel="0" collapsed="false">
      <c r="A523" s="37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9"/>
    </row>
    <row r="524" customFormat="false" ht="15.75" hidden="false" customHeight="true" outlineLevel="0" collapsed="false">
      <c r="A524" s="37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9"/>
    </row>
    <row r="525" customFormat="false" ht="15.75" hidden="false" customHeight="true" outlineLevel="0" collapsed="false">
      <c r="A525" s="37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9"/>
    </row>
    <row r="526" customFormat="false" ht="15.75" hidden="false" customHeight="true" outlineLevel="0" collapsed="false">
      <c r="A526" s="37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9"/>
    </row>
    <row r="527" customFormat="false" ht="15.75" hidden="false" customHeight="true" outlineLevel="0" collapsed="false">
      <c r="A527" s="37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9"/>
    </row>
    <row r="528" customFormat="false" ht="15.75" hidden="false" customHeight="true" outlineLevel="0" collapsed="false">
      <c r="A528" s="37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9"/>
    </row>
    <row r="529" customFormat="false" ht="15.75" hidden="false" customHeight="true" outlineLevel="0" collapsed="false">
      <c r="A529" s="37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9"/>
    </row>
    <row r="530" customFormat="false" ht="15.75" hidden="false" customHeight="true" outlineLevel="0" collapsed="false">
      <c r="A530" s="37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9"/>
    </row>
    <row r="531" customFormat="false" ht="15.75" hidden="false" customHeight="true" outlineLevel="0" collapsed="false">
      <c r="A531" s="37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9"/>
    </row>
    <row r="532" customFormat="false" ht="15.75" hidden="false" customHeight="true" outlineLevel="0" collapsed="false">
      <c r="A532" s="37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9"/>
    </row>
    <row r="533" customFormat="false" ht="15.75" hidden="false" customHeight="true" outlineLevel="0" collapsed="false">
      <c r="A533" s="37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9"/>
    </row>
    <row r="534" customFormat="false" ht="15.75" hidden="false" customHeight="true" outlineLevel="0" collapsed="false">
      <c r="A534" s="37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9"/>
    </row>
    <row r="535" customFormat="false" ht="15.75" hidden="false" customHeight="true" outlineLevel="0" collapsed="false">
      <c r="A535" s="37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9"/>
    </row>
    <row r="536" customFormat="false" ht="15.75" hidden="false" customHeight="true" outlineLevel="0" collapsed="false">
      <c r="A536" s="37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9"/>
    </row>
    <row r="537" customFormat="false" ht="15.75" hidden="false" customHeight="true" outlineLevel="0" collapsed="false">
      <c r="A537" s="37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9"/>
    </row>
    <row r="538" customFormat="false" ht="15.75" hidden="false" customHeight="true" outlineLevel="0" collapsed="false">
      <c r="A538" s="37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9"/>
    </row>
    <row r="539" customFormat="false" ht="15.75" hidden="false" customHeight="true" outlineLevel="0" collapsed="false">
      <c r="A539" s="37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9"/>
    </row>
    <row r="540" customFormat="false" ht="15.75" hidden="false" customHeight="true" outlineLevel="0" collapsed="false">
      <c r="A540" s="37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9"/>
    </row>
    <row r="541" customFormat="false" ht="15.75" hidden="false" customHeight="true" outlineLevel="0" collapsed="false">
      <c r="A541" s="37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9"/>
    </row>
    <row r="542" customFormat="false" ht="15.75" hidden="false" customHeight="true" outlineLevel="0" collapsed="false">
      <c r="A542" s="37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9"/>
    </row>
    <row r="543" customFormat="false" ht="15.75" hidden="false" customHeight="true" outlineLevel="0" collapsed="false">
      <c r="A543" s="37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9"/>
    </row>
    <row r="544" customFormat="false" ht="15.75" hidden="false" customHeight="true" outlineLevel="0" collapsed="false">
      <c r="A544" s="37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9"/>
    </row>
    <row r="545" customFormat="false" ht="15.75" hidden="false" customHeight="true" outlineLevel="0" collapsed="false">
      <c r="A545" s="37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9"/>
    </row>
    <row r="546" customFormat="false" ht="15.75" hidden="false" customHeight="true" outlineLevel="0" collapsed="false">
      <c r="A546" s="37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9"/>
    </row>
    <row r="547" customFormat="false" ht="15.75" hidden="false" customHeight="true" outlineLevel="0" collapsed="false">
      <c r="A547" s="37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9"/>
    </row>
    <row r="548" customFormat="false" ht="15.75" hidden="false" customHeight="true" outlineLevel="0" collapsed="false">
      <c r="A548" s="37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9"/>
    </row>
    <row r="549" customFormat="false" ht="15.75" hidden="false" customHeight="true" outlineLevel="0" collapsed="false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9"/>
    </row>
    <row r="550" customFormat="false" ht="15.75" hidden="false" customHeight="true" outlineLevel="0" collapsed="false">
      <c r="A550" s="37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9"/>
    </row>
    <row r="551" customFormat="false" ht="15.75" hidden="false" customHeight="true" outlineLevel="0" collapsed="false">
      <c r="A551" s="37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9"/>
    </row>
    <row r="552" customFormat="false" ht="15.75" hidden="false" customHeight="true" outlineLevel="0" collapsed="false">
      <c r="A552" s="37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9"/>
    </row>
    <row r="553" customFormat="false" ht="15.75" hidden="false" customHeight="true" outlineLevel="0" collapsed="false">
      <c r="A553" s="37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9"/>
    </row>
    <row r="554" customFormat="false" ht="15.75" hidden="false" customHeight="true" outlineLevel="0" collapsed="false">
      <c r="A554" s="37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9"/>
    </row>
    <row r="555" customFormat="false" ht="15.75" hidden="false" customHeight="true" outlineLevel="0" collapsed="false">
      <c r="A555" s="37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9"/>
    </row>
    <row r="556" customFormat="false" ht="15.75" hidden="false" customHeight="true" outlineLevel="0" collapsed="false">
      <c r="A556" s="37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9"/>
    </row>
    <row r="557" customFormat="false" ht="15.75" hidden="false" customHeight="true" outlineLevel="0" collapsed="false">
      <c r="A557" s="37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9"/>
    </row>
    <row r="558" customFormat="false" ht="15.75" hidden="false" customHeight="true" outlineLevel="0" collapsed="false">
      <c r="A558" s="37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9"/>
    </row>
    <row r="559" customFormat="false" ht="15.75" hidden="false" customHeight="true" outlineLevel="0" collapsed="false">
      <c r="A559" s="37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9"/>
    </row>
    <row r="560" customFormat="false" ht="15.75" hidden="false" customHeight="true" outlineLevel="0" collapsed="false">
      <c r="A560" s="37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9"/>
    </row>
    <row r="561" customFormat="false" ht="15.75" hidden="false" customHeight="true" outlineLevel="0" collapsed="false">
      <c r="A561" s="37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9"/>
    </row>
    <row r="562" customFormat="false" ht="15.75" hidden="false" customHeight="true" outlineLevel="0" collapsed="false">
      <c r="A562" s="37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9"/>
    </row>
    <row r="563" customFormat="false" ht="15.75" hidden="false" customHeight="true" outlineLevel="0" collapsed="false">
      <c r="A563" s="37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9"/>
    </row>
    <row r="564" customFormat="false" ht="15.75" hidden="false" customHeight="true" outlineLevel="0" collapsed="false">
      <c r="A564" s="37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9"/>
    </row>
    <row r="565" customFormat="false" ht="15.75" hidden="false" customHeight="true" outlineLevel="0" collapsed="false">
      <c r="A565" s="37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9"/>
    </row>
    <row r="566" customFormat="false" ht="15.75" hidden="false" customHeight="true" outlineLevel="0" collapsed="false">
      <c r="A566" s="37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9"/>
    </row>
    <row r="567" customFormat="false" ht="15.75" hidden="false" customHeight="true" outlineLevel="0" collapsed="false">
      <c r="A567" s="37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9"/>
    </row>
    <row r="568" customFormat="false" ht="15.75" hidden="false" customHeight="true" outlineLevel="0" collapsed="false">
      <c r="A568" s="37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9"/>
    </row>
    <row r="569" customFormat="false" ht="15.75" hidden="false" customHeight="true" outlineLevel="0" collapsed="false">
      <c r="A569" s="37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9"/>
    </row>
    <row r="570" customFormat="false" ht="15.75" hidden="false" customHeight="true" outlineLevel="0" collapsed="false">
      <c r="A570" s="37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9"/>
    </row>
    <row r="571" customFormat="false" ht="15.75" hidden="false" customHeight="true" outlineLevel="0" collapsed="false">
      <c r="A571" s="37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9"/>
    </row>
    <row r="572" customFormat="false" ht="15.75" hidden="false" customHeight="true" outlineLevel="0" collapsed="false">
      <c r="A572" s="37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9"/>
    </row>
    <row r="573" customFormat="false" ht="15.75" hidden="false" customHeight="true" outlineLevel="0" collapsed="false">
      <c r="A573" s="37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9"/>
    </row>
    <row r="574" customFormat="false" ht="15.75" hidden="false" customHeight="true" outlineLevel="0" collapsed="false">
      <c r="A574" s="37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9"/>
    </row>
    <row r="575" customFormat="false" ht="15.75" hidden="false" customHeight="true" outlineLevel="0" collapsed="false">
      <c r="A575" s="37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9"/>
    </row>
    <row r="576" customFormat="false" ht="15.75" hidden="false" customHeight="true" outlineLevel="0" collapsed="false">
      <c r="A576" s="37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9"/>
    </row>
    <row r="577" customFormat="false" ht="15.75" hidden="false" customHeight="true" outlineLevel="0" collapsed="false">
      <c r="A577" s="37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9"/>
    </row>
    <row r="578" customFormat="false" ht="15.75" hidden="false" customHeight="true" outlineLevel="0" collapsed="false">
      <c r="A578" s="37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9"/>
    </row>
    <row r="579" customFormat="false" ht="15.75" hidden="false" customHeight="true" outlineLevel="0" collapsed="false">
      <c r="A579" s="37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9"/>
    </row>
    <row r="580" customFormat="false" ht="15.75" hidden="false" customHeight="true" outlineLevel="0" collapsed="false">
      <c r="A580" s="37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9"/>
    </row>
    <row r="581" customFormat="false" ht="15.75" hidden="false" customHeight="true" outlineLevel="0" collapsed="false">
      <c r="A581" s="37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9"/>
    </row>
    <row r="582" customFormat="false" ht="15.75" hidden="false" customHeight="true" outlineLevel="0" collapsed="false">
      <c r="A582" s="37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9"/>
    </row>
    <row r="583" customFormat="false" ht="15.75" hidden="false" customHeight="true" outlineLevel="0" collapsed="false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9"/>
    </row>
    <row r="584" customFormat="false" ht="15.75" hidden="false" customHeight="true" outlineLevel="0" collapsed="false">
      <c r="A584" s="37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9"/>
    </row>
    <row r="585" customFormat="false" ht="15.75" hidden="false" customHeight="true" outlineLevel="0" collapsed="false">
      <c r="A585" s="37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9"/>
    </row>
    <row r="586" customFormat="false" ht="15.75" hidden="false" customHeight="true" outlineLevel="0" collapsed="false">
      <c r="A586" s="37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9"/>
    </row>
    <row r="587" customFormat="false" ht="15.75" hidden="false" customHeight="true" outlineLevel="0" collapsed="false">
      <c r="A587" s="37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9"/>
    </row>
    <row r="588" customFormat="false" ht="15.75" hidden="false" customHeight="true" outlineLevel="0" collapsed="false">
      <c r="A588" s="37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9"/>
    </row>
    <row r="589" customFormat="false" ht="15.75" hidden="false" customHeight="true" outlineLevel="0" collapsed="false">
      <c r="A589" s="37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9"/>
    </row>
    <row r="590" customFormat="false" ht="15.75" hidden="false" customHeight="true" outlineLevel="0" collapsed="false">
      <c r="A590" s="37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9"/>
    </row>
    <row r="591" customFormat="false" ht="15.75" hidden="false" customHeight="true" outlineLevel="0" collapsed="false">
      <c r="A591" s="37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9"/>
    </row>
    <row r="592" customFormat="false" ht="15.75" hidden="false" customHeight="true" outlineLevel="0" collapsed="false">
      <c r="A592" s="37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9"/>
    </row>
    <row r="593" customFormat="false" ht="15.75" hidden="false" customHeight="true" outlineLevel="0" collapsed="false">
      <c r="A593" s="37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9"/>
    </row>
    <row r="594" customFormat="false" ht="15.75" hidden="false" customHeight="true" outlineLevel="0" collapsed="false">
      <c r="A594" s="37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9"/>
    </row>
    <row r="595" customFormat="false" ht="15.75" hidden="false" customHeight="true" outlineLevel="0" collapsed="false">
      <c r="A595" s="37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9"/>
    </row>
    <row r="596" customFormat="false" ht="15.75" hidden="false" customHeight="true" outlineLevel="0" collapsed="false">
      <c r="A596" s="37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9"/>
    </row>
    <row r="597" customFormat="false" ht="15.75" hidden="false" customHeight="true" outlineLevel="0" collapsed="false">
      <c r="A597" s="37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9"/>
    </row>
    <row r="598" customFormat="false" ht="15.75" hidden="false" customHeight="true" outlineLevel="0" collapsed="false">
      <c r="A598" s="37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9"/>
    </row>
    <row r="599" customFormat="false" ht="15.75" hidden="false" customHeight="true" outlineLevel="0" collapsed="false">
      <c r="A599" s="37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9"/>
    </row>
    <row r="600" customFormat="false" ht="15.75" hidden="false" customHeight="true" outlineLevel="0" collapsed="false">
      <c r="A600" s="37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9"/>
    </row>
    <row r="601" customFormat="false" ht="15.75" hidden="false" customHeight="true" outlineLevel="0" collapsed="false">
      <c r="A601" s="37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9"/>
    </row>
    <row r="602" customFormat="false" ht="15.75" hidden="false" customHeight="true" outlineLevel="0" collapsed="false">
      <c r="A602" s="37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9"/>
    </row>
    <row r="603" customFormat="false" ht="15.75" hidden="false" customHeight="true" outlineLevel="0" collapsed="false">
      <c r="A603" s="37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9"/>
    </row>
    <row r="604" customFormat="false" ht="15.75" hidden="false" customHeight="true" outlineLevel="0" collapsed="false">
      <c r="A604" s="37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9"/>
    </row>
    <row r="605" customFormat="false" ht="15.75" hidden="false" customHeight="true" outlineLevel="0" collapsed="false">
      <c r="A605" s="37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9"/>
    </row>
    <row r="606" customFormat="false" ht="15.75" hidden="false" customHeight="true" outlineLevel="0" collapsed="false">
      <c r="A606" s="37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9"/>
    </row>
    <row r="607" customFormat="false" ht="15.75" hidden="false" customHeight="true" outlineLevel="0" collapsed="false">
      <c r="A607" s="37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9"/>
    </row>
    <row r="608" customFormat="false" ht="15.75" hidden="false" customHeight="true" outlineLevel="0" collapsed="false">
      <c r="A608" s="37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9"/>
    </row>
    <row r="609" customFormat="false" ht="15.75" hidden="false" customHeight="true" outlineLevel="0" collapsed="false">
      <c r="A609" s="37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9"/>
    </row>
    <row r="610" customFormat="false" ht="15.75" hidden="false" customHeight="true" outlineLevel="0" collapsed="false">
      <c r="A610" s="37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9"/>
    </row>
    <row r="611" customFormat="false" ht="15.75" hidden="false" customHeight="true" outlineLevel="0" collapsed="false">
      <c r="A611" s="37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9"/>
    </row>
    <row r="612" customFormat="false" ht="15.75" hidden="false" customHeight="true" outlineLevel="0" collapsed="false">
      <c r="A612" s="37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9"/>
    </row>
    <row r="613" customFormat="false" ht="15.75" hidden="false" customHeight="true" outlineLevel="0" collapsed="false">
      <c r="A613" s="37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9"/>
    </row>
    <row r="614" customFormat="false" ht="15.75" hidden="false" customHeight="true" outlineLevel="0" collapsed="false">
      <c r="A614" s="37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9"/>
    </row>
    <row r="615" customFormat="false" ht="15.75" hidden="false" customHeight="true" outlineLevel="0" collapsed="false">
      <c r="A615" s="37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9"/>
    </row>
    <row r="616" customFormat="false" ht="15.75" hidden="false" customHeight="true" outlineLevel="0" collapsed="false">
      <c r="A616" s="37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9"/>
    </row>
    <row r="617" customFormat="false" ht="15.75" hidden="false" customHeight="true" outlineLevel="0" collapsed="false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9"/>
    </row>
    <row r="618" customFormat="false" ht="15.75" hidden="false" customHeight="true" outlineLevel="0" collapsed="false">
      <c r="A618" s="37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9"/>
    </row>
    <row r="619" customFormat="false" ht="15.75" hidden="false" customHeight="true" outlineLevel="0" collapsed="false">
      <c r="A619" s="37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9"/>
    </row>
    <row r="620" customFormat="false" ht="15.75" hidden="false" customHeight="true" outlineLevel="0" collapsed="false">
      <c r="A620" s="37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9"/>
    </row>
    <row r="621" customFormat="false" ht="15.75" hidden="false" customHeight="true" outlineLevel="0" collapsed="false">
      <c r="A621" s="37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9"/>
    </row>
    <row r="622" customFormat="false" ht="15.75" hidden="false" customHeight="true" outlineLevel="0" collapsed="false">
      <c r="A622" s="37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9"/>
    </row>
    <row r="623" customFormat="false" ht="15.75" hidden="false" customHeight="true" outlineLevel="0" collapsed="false">
      <c r="A623" s="37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9"/>
    </row>
    <row r="624" customFormat="false" ht="15.75" hidden="false" customHeight="true" outlineLevel="0" collapsed="false">
      <c r="A624" s="37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9"/>
    </row>
    <row r="625" customFormat="false" ht="15.75" hidden="false" customHeight="true" outlineLevel="0" collapsed="false">
      <c r="A625" s="37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9"/>
    </row>
    <row r="626" customFormat="false" ht="15.75" hidden="false" customHeight="true" outlineLevel="0" collapsed="false">
      <c r="A626" s="37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9"/>
    </row>
    <row r="627" customFormat="false" ht="15.75" hidden="false" customHeight="true" outlineLevel="0" collapsed="false">
      <c r="A627" s="37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9"/>
    </row>
    <row r="628" customFormat="false" ht="15.75" hidden="false" customHeight="true" outlineLevel="0" collapsed="false">
      <c r="A628" s="37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9"/>
    </row>
    <row r="629" customFormat="false" ht="15.75" hidden="false" customHeight="true" outlineLevel="0" collapsed="false">
      <c r="A629" s="37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9"/>
    </row>
    <row r="630" customFormat="false" ht="15.75" hidden="false" customHeight="true" outlineLevel="0" collapsed="false">
      <c r="A630" s="37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9"/>
    </row>
    <row r="631" customFormat="false" ht="15.75" hidden="false" customHeight="true" outlineLevel="0" collapsed="false">
      <c r="A631" s="37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9"/>
    </row>
    <row r="632" customFormat="false" ht="15.75" hidden="false" customHeight="true" outlineLevel="0" collapsed="false">
      <c r="A632" s="37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9"/>
    </row>
    <row r="633" customFormat="false" ht="15.75" hidden="false" customHeight="true" outlineLevel="0" collapsed="false">
      <c r="A633" s="37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9"/>
    </row>
    <row r="634" customFormat="false" ht="15.75" hidden="false" customHeight="true" outlineLevel="0" collapsed="false">
      <c r="A634" s="37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9"/>
    </row>
    <row r="635" customFormat="false" ht="15.75" hidden="false" customHeight="true" outlineLevel="0" collapsed="false">
      <c r="A635" s="37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9"/>
    </row>
    <row r="636" customFormat="false" ht="15.75" hidden="false" customHeight="true" outlineLevel="0" collapsed="false">
      <c r="A636" s="37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9"/>
    </row>
    <row r="637" customFormat="false" ht="15.75" hidden="false" customHeight="true" outlineLevel="0" collapsed="false">
      <c r="A637" s="37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9"/>
    </row>
    <row r="638" customFormat="false" ht="15.75" hidden="false" customHeight="true" outlineLevel="0" collapsed="false">
      <c r="A638" s="37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9"/>
    </row>
    <row r="639" customFormat="false" ht="15.75" hidden="false" customHeight="true" outlineLevel="0" collapsed="false">
      <c r="A639" s="37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9"/>
    </row>
    <row r="640" customFormat="false" ht="15.75" hidden="false" customHeight="true" outlineLevel="0" collapsed="false">
      <c r="A640" s="37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9"/>
    </row>
    <row r="641" customFormat="false" ht="15.75" hidden="false" customHeight="true" outlineLevel="0" collapsed="false">
      <c r="A641" s="37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9"/>
    </row>
    <row r="642" customFormat="false" ht="15.75" hidden="false" customHeight="true" outlineLevel="0" collapsed="false">
      <c r="A642" s="37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9"/>
    </row>
    <row r="643" customFormat="false" ht="15.75" hidden="false" customHeight="true" outlineLevel="0" collapsed="false">
      <c r="A643" s="37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9"/>
    </row>
    <row r="644" customFormat="false" ht="15.75" hidden="false" customHeight="true" outlineLevel="0" collapsed="false">
      <c r="A644" s="37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9"/>
    </row>
    <row r="645" customFormat="false" ht="15.75" hidden="false" customHeight="true" outlineLevel="0" collapsed="false">
      <c r="A645" s="37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9"/>
    </row>
    <row r="646" customFormat="false" ht="15.75" hidden="false" customHeight="true" outlineLevel="0" collapsed="false">
      <c r="A646" s="37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9"/>
    </row>
    <row r="647" customFormat="false" ht="15.75" hidden="false" customHeight="true" outlineLevel="0" collapsed="false">
      <c r="A647" s="37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9"/>
    </row>
    <row r="648" customFormat="false" ht="15.75" hidden="false" customHeight="true" outlineLevel="0" collapsed="false">
      <c r="A648" s="37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9"/>
    </row>
    <row r="649" customFormat="false" ht="15.75" hidden="false" customHeight="true" outlineLevel="0" collapsed="false">
      <c r="A649" s="37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9"/>
    </row>
    <row r="650" customFormat="false" ht="15.75" hidden="false" customHeight="true" outlineLevel="0" collapsed="false">
      <c r="A650" s="37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9"/>
    </row>
    <row r="651" customFormat="false" ht="15.75" hidden="false" customHeight="true" outlineLevel="0" collapsed="false">
      <c r="A651" s="37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9"/>
    </row>
    <row r="652" customFormat="false" ht="15.75" hidden="false" customHeight="true" outlineLevel="0" collapsed="false">
      <c r="A652" s="37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9"/>
    </row>
    <row r="653" customFormat="false" ht="15.75" hidden="false" customHeight="true" outlineLevel="0" collapsed="false">
      <c r="A653" s="37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9"/>
    </row>
    <row r="654" customFormat="false" ht="15.75" hidden="false" customHeight="true" outlineLevel="0" collapsed="false">
      <c r="A654" s="37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9"/>
    </row>
    <row r="655" customFormat="false" ht="15.75" hidden="false" customHeight="true" outlineLevel="0" collapsed="false">
      <c r="A655" s="37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9"/>
    </row>
    <row r="656" customFormat="false" ht="15.75" hidden="false" customHeight="true" outlineLevel="0" collapsed="false">
      <c r="A656" s="37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9"/>
    </row>
    <row r="657" customFormat="false" ht="15.75" hidden="false" customHeight="true" outlineLevel="0" collapsed="false">
      <c r="A657" s="37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9"/>
    </row>
    <row r="658" customFormat="false" ht="15.75" hidden="false" customHeight="true" outlineLevel="0" collapsed="false">
      <c r="A658" s="37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9"/>
    </row>
    <row r="659" customFormat="false" ht="15.75" hidden="false" customHeight="true" outlineLevel="0" collapsed="false">
      <c r="A659" s="37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9"/>
    </row>
    <row r="660" customFormat="false" ht="15.75" hidden="false" customHeight="true" outlineLevel="0" collapsed="false">
      <c r="A660" s="37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9"/>
    </row>
    <row r="661" customFormat="false" ht="15.75" hidden="false" customHeight="true" outlineLevel="0" collapsed="false">
      <c r="A661" s="37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9"/>
    </row>
    <row r="662" customFormat="false" ht="15.75" hidden="false" customHeight="true" outlineLevel="0" collapsed="false">
      <c r="A662" s="37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9"/>
    </row>
    <row r="663" customFormat="false" ht="15.75" hidden="false" customHeight="true" outlineLevel="0" collapsed="false">
      <c r="A663" s="37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9"/>
    </row>
    <row r="664" customFormat="false" ht="15.75" hidden="false" customHeight="true" outlineLevel="0" collapsed="false">
      <c r="A664" s="37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9"/>
    </row>
    <row r="665" customFormat="false" ht="15.75" hidden="false" customHeight="true" outlineLevel="0" collapsed="false">
      <c r="A665" s="37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9"/>
    </row>
    <row r="666" customFormat="false" ht="15.75" hidden="false" customHeight="true" outlineLevel="0" collapsed="false">
      <c r="A666" s="37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9"/>
    </row>
    <row r="667" customFormat="false" ht="15.75" hidden="false" customHeight="true" outlineLevel="0" collapsed="false">
      <c r="A667" s="37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9"/>
    </row>
    <row r="668" customFormat="false" ht="15.75" hidden="false" customHeight="true" outlineLevel="0" collapsed="false">
      <c r="A668" s="37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9"/>
    </row>
    <row r="669" customFormat="false" ht="15.75" hidden="false" customHeight="true" outlineLevel="0" collapsed="false">
      <c r="A669" s="37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9"/>
    </row>
    <row r="670" customFormat="false" ht="15.75" hidden="false" customHeight="true" outlineLevel="0" collapsed="false">
      <c r="A670" s="37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9"/>
    </row>
    <row r="671" customFormat="false" ht="15.75" hidden="false" customHeight="true" outlineLevel="0" collapsed="false">
      <c r="A671" s="37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9"/>
    </row>
    <row r="672" customFormat="false" ht="15.75" hidden="false" customHeight="true" outlineLevel="0" collapsed="false">
      <c r="A672" s="37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9"/>
    </row>
    <row r="673" customFormat="false" ht="15.75" hidden="false" customHeight="true" outlineLevel="0" collapsed="false">
      <c r="A673" s="37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9"/>
    </row>
    <row r="674" customFormat="false" ht="15.75" hidden="false" customHeight="true" outlineLevel="0" collapsed="false">
      <c r="A674" s="37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9"/>
    </row>
    <row r="675" customFormat="false" ht="15.75" hidden="false" customHeight="true" outlineLevel="0" collapsed="false">
      <c r="A675" s="37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9"/>
    </row>
    <row r="676" customFormat="false" ht="15.75" hidden="false" customHeight="true" outlineLevel="0" collapsed="false">
      <c r="A676" s="37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9"/>
    </row>
    <row r="677" customFormat="false" ht="15.75" hidden="false" customHeight="true" outlineLevel="0" collapsed="false">
      <c r="A677" s="37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9"/>
    </row>
    <row r="678" customFormat="false" ht="15.75" hidden="false" customHeight="true" outlineLevel="0" collapsed="false">
      <c r="A678" s="37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9"/>
    </row>
    <row r="679" customFormat="false" ht="15.75" hidden="false" customHeight="true" outlineLevel="0" collapsed="false">
      <c r="A679" s="37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9"/>
    </row>
    <row r="680" customFormat="false" ht="15.75" hidden="false" customHeight="true" outlineLevel="0" collapsed="false">
      <c r="A680" s="37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9"/>
    </row>
    <row r="681" customFormat="false" ht="15.75" hidden="false" customHeight="true" outlineLevel="0" collapsed="false">
      <c r="A681" s="37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9"/>
    </row>
    <row r="682" customFormat="false" ht="15.75" hidden="false" customHeight="true" outlineLevel="0" collapsed="false">
      <c r="A682" s="37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9"/>
    </row>
    <row r="683" customFormat="false" ht="15.75" hidden="false" customHeight="true" outlineLevel="0" collapsed="false">
      <c r="A683" s="37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9"/>
    </row>
    <row r="684" customFormat="false" ht="15.75" hidden="false" customHeight="true" outlineLevel="0" collapsed="false">
      <c r="A684" s="37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9"/>
    </row>
    <row r="685" customFormat="false" ht="15.75" hidden="false" customHeight="true" outlineLevel="0" collapsed="false">
      <c r="A685" s="37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9"/>
    </row>
    <row r="686" customFormat="false" ht="15.75" hidden="false" customHeight="true" outlineLevel="0" collapsed="false">
      <c r="A686" s="37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9"/>
    </row>
    <row r="687" customFormat="false" ht="15.75" hidden="false" customHeight="true" outlineLevel="0" collapsed="false">
      <c r="A687" s="37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9"/>
    </row>
    <row r="688" customFormat="false" ht="15.75" hidden="false" customHeight="true" outlineLevel="0" collapsed="false">
      <c r="A688" s="37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9"/>
    </row>
    <row r="689" customFormat="false" ht="15.75" hidden="false" customHeight="true" outlineLevel="0" collapsed="false">
      <c r="A689" s="37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9"/>
    </row>
    <row r="690" customFormat="false" ht="15.75" hidden="false" customHeight="true" outlineLevel="0" collapsed="false">
      <c r="A690" s="37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9"/>
    </row>
    <row r="691" customFormat="false" ht="15.75" hidden="false" customHeight="true" outlineLevel="0" collapsed="false">
      <c r="A691" s="37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9"/>
    </row>
    <row r="692" customFormat="false" ht="15.75" hidden="false" customHeight="true" outlineLevel="0" collapsed="false">
      <c r="A692" s="37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9"/>
    </row>
    <row r="693" customFormat="false" ht="15.75" hidden="false" customHeight="true" outlineLevel="0" collapsed="false">
      <c r="A693" s="37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9"/>
    </row>
    <row r="694" customFormat="false" ht="15.75" hidden="false" customHeight="true" outlineLevel="0" collapsed="false">
      <c r="A694" s="37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9"/>
    </row>
    <row r="695" customFormat="false" ht="15.75" hidden="false" customHeight="true" outlineLevel="0" collapsed="false">
      <c r="A695" s="37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9"/>
    </row>
    <row r="696" customFormat="false" ht="15.75" hidden="false" customHeight="true" outlineLevel="0" collapsed="false">
      <c r="A696" s="37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9"/>
    </row>
    <row r="697" customFormat="false" ht="15.75" hidden="false" customHeight="true" outlineLevel="0" collapsed="false">
      <c r="A697" s="37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9"/>
    </row>
    <row r="698" customFormat="false" ht="15.75" hidden="false" customHeight="true" outlineLevel="0" collapsed="false">
      <c r="A698" s="37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9"/>
    </row>
    <row r="699" customFormat="false" ht="15.75" hidden="false" customHeight="true" outlineLevel="0" collapsed="false">
      <c r="A699" s="37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9"/>
    </row>
    <row r="700" customFormat="false" ht="15.75" hidden="false" customHeight="true" outlineLevel="0" collapsed="false">
      <c r="A700" s="37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9"/>
    </row>
    <row r="701" customFormat="false" ht="15.75" hidden="false" customHeight="true" outlineLevel="0" collapsed="false">
      <c r="A701" s="37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9"/>
    </row>
    <row r="702" customFormat="false" ht="15.75" hidden="false" customHeight="true" outlineLevel="0" collapsed="false">
      <c r="A702" s="37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9"/>
    </row>
    <row r="703" customFormat="false" ht="15.75" hidden="false" customHeight="true" outlineLevel="0" collapsed="false">
      <c r="A703" s="37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9"/>
    </row>
    <row r="704" customFormat="false" ht="15.75" hidden="false" customHeight="true" outlineLevel="0" collapsed="false">
      <c r="A704" s="37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9"/>
    </row>
    <row r="705" customFormat="false" ht="15.75" hidden="false" customHeight="true" outlineLevel="0" collapsed="false">
      <c r="A705" s="37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9"/>
    </row>
    <row r="706" customFormat="false" ht="15.75" hidden="false" customHeight="true" outlineLevel="0" collapsed="false">
      <c r="A706" s="37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9"/>
    </row>
    <row r="707" customFormat="false" ht="15.75" hidden="false" customHeight="true" outlineLevel="0" collapsed="false">
      <c r="A707" s="37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9"/>
    </row>
    <row r="708" customFormat="false" ht="15.75" hidden="false" customHeight="true" outlineLevel="0" collapsed="false">
      <c r="A708" s="37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9"/>
    </row>
    <row r="709" customFormat="false" ht="15.75" hidden="false" customHeight="true" outlineLevel="0" collapsed="false">
      <c r="A709" s="37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9"/>
    </row>
    <row r="710" customFormat="false" ht="15.75" hidden="false" customHeight="true" outlineLevel="0" collapsed="false">
      <c r="A710" s="37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9"/>
    </row>
    <row r="711" customFormat="false" ht="15.75" hidden="false" customHeight="true" outlineLevel="0" collapsed="false">
      <c r="A711" s="37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9"/>
    </row>
    <row r="712" customFormat="false" ht="15.75" hidden="false" customHeight="true" outlineLevel="0" collapsed="false">
      <c r="A712" s="37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9"/>
    </row>
    <row r="713" customFormat="false" ht="15.75" hidden="false" customHeight="true" outlineLevel="0" collapsed="false">
      <c r="A713" s="37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9"/>
    </row>
    <row r="714" customFormat="false" ht="15.75" hidden="false" customHeight="true" outlineLevel="0" collapsed="false">
      <c r="A714" s="37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9"/>
    </row>
    <row r="715" customFormat="false" ht="15.75" hidden="false" customHeight="true" outlineLevel="0" collapsed="false">
      <c r="A715" s="37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9"/>
    </row>
    <row r="716" customFormat="false" ht="15.75" hidden="false" customHeight="true" outlineLevel="0" collapsed="false">
      <c r="A716" s="37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9"/>
    </row>
    <row r="717" customFormat="false" ht="15.75" hidden="false" customHeight="true" outlineLevel="0" collapsed="false">
      <c r="A717" s="37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9"/>
    </row>
    <row r="718" customFormat="false" ht="15.75" hidden="false" customHeight="true" outlineLevel="0" collapsed="false">
      <c r="A718" s="37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9"/>
    </row>
    <row r="719" customFormat="false" ht="15.75" hidden="false" customHeight="true" outlineLevel="0" collapsed="false">
      <c r="A719" s="37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9"/>
    </row>
    <row r="720" customFormat="false" ht="15.75" hidden="false" customHeight="true" outlineLevel="0" collapsed="false">
      <c r="A720" s="37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9"/>
    </row>
    <row r="721" customFormat="false" ht="15.75" hidden="false" customHeight="true" outlineLevel="0" collapsed="false">
      <c r="A721" s="37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9"/>
    </row>
    <row r="722" customFormat="false" ht="15.75" hidden="false" customHeight="true" outlineLevel="0" collapsed="false">
      <c r="A722" s="37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9"/>
    </row>
    <row r="723" customFormat="false" ht="15.75" hidden="false" customHeight="true" outlineLevel="0" collapsed="false">
      <c r="A723" s="37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9"/>
    </row>
    <row r="724" customFormat="false" ht="15.75" hidden="false" customHeight="true" outlineLevel="0" collapsed="false">
      <c r="A724" s="37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9"/>
    </row>
    <row r="725" customFormat="false" ht="15.75" hidden="false" customHeight="true" outlineLevel="0" collapsed="false">
      <c r="A725" s="37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9"/>
    </row>
    <row r="726" customFormat="false" ht="15.75" hidden="false" customHeight="true" outlineLevel="0" collapsed="false">
      <c r="A726" s="37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9"/>
    </row>
    <row r="727" customFormat="false" ht="15.75" hidden="false" customHeight="true" outlineLevel="0" collapsed="false">
      <c r="A727" s="37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9"/>
    </row>
    <row r="728" customFormat="false" ht="15.75" hidden="false" customHeight="true" outlineLevel="0" collapsed="false">
      <c r="A728" s="37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9"/>
    </row>
    <row r="729" customFormat="false" ht="15.75" hidden="false" customHeight="true" outlineLevel="0" collapsed="false">
      <c r="A729" s="37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9"/>
    </row>
    <row r="730" customFormat="false" ht="15.75" hidden="false" customHeight="true" outlineLevel="0" collapsed="false">
      <c r="A730" s="37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9"/>
    </row>
    <row r="731" customFormat="false" ht="15.75" hidden="false" customHeight="true" outlineLevel="0" collapsed="false">
      <c r="A731" s="37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9"/>
    </row>
    <row r="732" customFormat="false" ht="15.75" hidden="false" customHeight="true" outlineLevel="0" collapsed="false">
      <c r="A732" s="37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9"/>
    </row>
    <row r="733" customFormat="false" ht="15.75" hidden="false" customHeight="true" outlineLevel="0" collapsed="false">
      <c r="A733" s="37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9"/>
    </row>
    <row r="734" customFormat="false" ht="15.75" hidden="false" customHeight="true" outlineLevel="0" collapsed="false">
      <c r="A734" s="37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9"/>
    </row>
    <row r="735" customFormat="false" ht="15.75" hidden="false" customHeight="true" outlineLevel="0" collapsed="false">
      <c r="A735" s="37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9"/>
    </row>
    <row r="736" customFormat="false" ht="15.75" hidden="false" customHeight="true" outlineLevel="0" collapsed="false">
      <c r="A736" s="37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9"/>
    </row>
    <row r="737" customFormat="false" ht="15.75" hidden="false" customHeight="true" outlineLevel="0" collapsed="false">
      <c r="A737" s="37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9"/>
    </row>
    <row r="738" customFormat="false" ht="15.75" hidden="false" customHeight="true" outlineLevel="0" collapsed="false">
      <c r="A738" s="37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9"/>
    </row>
    <row r="739" customFormat="false" ht="15.75" hidden="false" customHeight="true" outlineLevel="0" collapsed="false">
      <c r="A739" s="37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9"/>
    </row>
    <row r="740" customFormat="false" ht="15.75" hidden="false" customHeight="true" outlineLevel="0" collapsed="false">
      <c r="A740" s="37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9"/>
    </row>
    <row r="741" customFormat="false" ht="15.75" hidden="false" customHeight="true" outlineLevel="0" collapsed="false">
      <c r="A741" s="37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9"/>
    </row>
    <row r="742" customFormat="false" ht="15.75" hidden="false" customHeight="true" outlineLevel="0" collapsed="false">
      <c r="A742" s="37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9"/>
    </row>
    <row r="743" customFormat="false" ht="15.75" hidden="false" customHeight="true" outlineLevel="0" collapsed="false">
      <c r="A743" s="37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9"/>
    </row>
    <row r="744" customFormat="false" ht="15.75" hidden="false" customHeight="true" outlineLevel="0" collapsed="false">
      <c r="A744" s="37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9"/>
    </row>
    <row r="745" customFormat="false" ht="15.75" hidden="false" customHeight="true" outlineLevel="0" collapsed="false">
      <c r="A745" s="37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9"/>
    </row>
    <row r="746" customFormat="false" ht="15.75" hidden="false" customHeight="true" outlineLevel="0" collapsed="false">
      <c r="A746" s="37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9"/>
    </row>
    <row r="747" customFormat="false" ht="15.75" hidden="false" customHeight="true" outlineLevel="0" collapsed="false">
      <c r="A747" s="37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9"/>
    </row>
    <row r="748" customFormat="false" ht="15.75" hidden="false" customHeight="true" outlineLevel="0" collapsed="false">
      <c r="A748" s="37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9"/>
    </row>
    <row r="749" customFormat="false" ht="15.75" hidden="false" customHeight="true" outlineLevel="0" collapsed="false">
      <c r="A749" s="37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9"/>
    </row>
    <row r="750" customFormat="false" ht="15.75" hidden="false" customHeight="true" outlineLevel="0" collapsed="false">
      <c r="A750" s="37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9"/>
    </row>
    <row r="751" customFormat="false" ht="15.75" hidden="false" customHeight="true" outlineLevel="0" collapsed="false">
      <c r="A751" s="37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9"/>
    </row>
    <row r="752" customFormat="false" ht="15.75" hidden="false" customHeight="true" outlineLevel="0" collapsed="false">
      <c r="A752" s="37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9"/>
    </row>
    <row r="753" customFormat="false" ht="15.75" hidden="false" customHeight="true" outlineLevel="0" collapsed="false">
      <c r="A753" s="37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9"/>
    </row>
    <row r="754" customFormat="false" ht="15.75" hidden="false" customHeight="true" outlineLevel="0" collapsed="false">
      <c r="A754" s="37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9"/>
    </row>
    <row r="755" customFormat="false" ht="15.75" hidden="false" customHeight="true" outlineLevel="0" collapsed="false">
      <c r="A755" s="37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9"/>
    </row>
    <row r="756" customFormat="false" ht="15.75" hidden="false" customHeight="true" outlineLevel="0" collapsed="false">
      <c r="A756" s="37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9"/>
    </row>
    <row r="757" customFormat="false" ht="15.75" hidden="false" customHeight="true" outlineLevel="0" collapsed="false">
      <c r="A757" s="37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9"/>
    </row>
    <row r="758" customFormat="false" ht="15.75" hidden="false" customHeight="true" outlineLevel="0" collapsed="false">
      <c r="A758" s="37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9"/>
    </row>
    <row r="759" customFormat="false" ht="15.75" hidden="false" customHeight="true" outlineLevel="0" collapsed="false">
      <c r="A759" s="37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9"/>
    </row>
    <row r="760" customFormat="false" ht="15.75" hidden="false" customHeight="true" outlineLevel="0" collapsed="false">
      <c r="A760" s="37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9"/>
    </row>
    <row r="761" customFormat="false" ht="15.75" hidden="false" customHeight="true" outlineLevel="0" collapsed="false">
      <c r="A761" s="37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9"/>
    </row>
    <row r="762" customFormat="false" ht="15.75" hidden="false" customHeight="true" outlineLevel="0" collapsed="false">
      <c r="A762" s="37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9"/>
    </row>
    <row r="763" customFormat="false" ht="15.75" hidden="false" customHeight="true" outlineLevel="0" collapsed="false">
      <c r="A763" s="37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9"/>
    </row>
    <row r="764" customFormat="false" ht="15.75" hidden="false" customHeight="true" outlineLevel="0" collapsed="false">
      <c r="A764" s="37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9"/>
    </row>
    <row r="765" customFormat="false" ht="15.75" hidden="false" customHeight="true" outlineLevel="0" collapsed="false">
      <c r="A765" s="37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9"/>
    </row>
    <row r="766" customFormat="false" ht="15.75" hidden="false" customHeight="true" outlineLevel="0" collapsed="false">
      <c r="A766" s="37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9"/>
    </row>
    <row r="767" customFormat="false" ht="15.75" hidden="false" customHeight="true" outlineLevel="0" collapsed="false">
      <c r="A767" s="37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9"/>
    </row>
    <row r="768" customFormat="false" ht="15.75" hidden="false" customHeight="true" outlineLevel="0" collapsed="false">
      <c r="A768" s="37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9"/>
    </row>
    <row r="769" customFormat="false" ht="15.75" hidden="false" customHeight="true" outlineLevel="0" collapsed="false">
      <c r="A769" s="37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9"/>
    </row>
    <row r="770" customFormat="false" ht="15.75" hidden="false" customHeight="true" outlineLevel="0" collapsed="false">
      <c r="A770" s="37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9"/>
    </row>
    <row r="771" customFormat="false" ht="15.75" hidden="false" customHeight="true" outlineLevel="0" collapsed="false">
      <c r="A771" s="37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9"/>
    </row>
    <row r="772" customFormat="false" ht="15.75" hidden="false" customHeight="true" outlineLevel="0" collapsed="false">
      <c r="A772" s="37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9"/>
    </row>
    <row r="773" customFormat="false" ht="15.75" hidden="false" customHeight="true" outlineLevel="0" collapsed="false">
      <c r="A773" s="37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9"/>
    </row>
    <row r="774" customFormat="false" ht="15.75" hidden="false" customHeight="true" outlineLevel="0" collapsed="false">
      <c r="A774" s="37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9"/>
    </row>
    <row r="775" customFormat="false" ht="15.75" hidden="false" customHeight="true" outlineLevel="0" collapsed="false">
      <c r="A775" s="37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9"/>
    </row>
    <row r="776" customFormat="false" ht="15.75" hidden="false" customHeight="true" outlineLevel="0" collapsed="false">
      <c r="A776" s="37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9"/>
    </row>
    <row r="777" customFormat="false" ht="15.75" hidden="false" customHeight="true" outlineLevel="0" collapsed="false">
      <c r="A777" s="37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9"/>
    </row>
    <row r="778" customFormat="false" ht="15.75" hidden="false" customHeight="true" outlineLevel="0" collapsed="false">
      <c r="A778" s="37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9"/>
    </row>
    <row r="779" customFormat="false" ht="15.75" hidden="false" customHeight="true" outlineLevel="0" collapsed="false">
      <c r="A779" s="37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9"/>
    </row>
    <row r="780" customFormat="false" ht="15.75" hidden="false" customHeight="true" outlineLevel="0" collapsed="false">
      <c r="A780" s="37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9"/>
    </row>
    <row r="781" customFormat="false" ht="15.75" hidden="false" customHeight="true" outlineLevel="0" collapsed="false">
      <c r="A781" s="37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9"/>
    </row>
    <row r="782" customFormat="false" ht="15.75" hidden="false" customHeight="true" outlineLevel="0" collapsed="false">
      <c r="A782" s="37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9"/>
    </row>
    <row r="783" customFormat="false" ht="15.75" hidden="false" customHeight="true" outlineLevel="0" collapsed="false">
      <c r="A783" s="37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9"/>
    </row>
    <row r="784" customFormat="false" ht="15.75" hidden="false" customHeight="true" outlineLevel="0" collapsed="false">
      <c r="A784" s="37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9"/>
    </row>
    <row r="785" customFormat="false" ht="15.75" hidden="false" customHeight="true" outlineLevel="0" collapsed="false">
      <c r="A785" s="37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9"/>
    </row>
    <row r="786" customFormat="false" ht="15.75" hidden="false" customHeight="true" outlineLevel="0" collapsed="false">
      <c r="A786" s="37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9"/>
    </row>
    <row r="787" customFormat="false" ht="15.75" hidden="false" customHeight="true" outlineLevel="0" collapsed="false">
      <c r="A787" s="37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9"/>
    </row>
    <row r="788" customFormat="false" ht="15.75" hidden="false" customHeight="true" outlineLevel="0" collapsed="false">
      <c r="A788" s="37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9"/>
    </row>
    <row r="789" customFormat="false" ht="15.75" hidden="false" customHeight="true" outlineLevel="0" collapsed="false">
      <c r="A789" s="37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9"/>
    </row>
    <row r="790" customFormat="false" ht="15.75" hidden="false" customHeight="true" outlineLevel="0" collapsed="false">
      <c r="A790" s="37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9"/>
    </row>
    <row r="791" customFormat="false" ht="15.75" hidden="false" customHeight="true" outlineLevel="0" collapsed="false">
      <c r="A791" s="37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9"/>
    </row>
    <row r="792" customFormat="false" ht="15.75" hidden="false" customHeight="true" outlineLevel="0" collapsed="false">
      <c r="A792" s="37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9"/>
    </row>
    <row r="793" customFormat="false" ht="15.75" hidden="false" customHeight="true" outlineLevel="0" collapsed="false">
      <c r="A793" s="37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9"/>
    </row>
    <row r="794" customFormat="false" ht="15.75" hidden="false" customHeight="true" outlineLevel="0" collapsed="false">
      <c r="A794" s="37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9"/>
    </row>
    <row r="795" customFormat="false" ht="15.75" hidden="false" customHeight="true" outlineLevel="0" collapsed="false">
      <c r="A795" s="37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9"/>
    </row>
    <row r="796" customFormat="false" ht="15.75" hidden="false" customHeight="true" outlineLevel="0" collapsed="false">
      <c r="A796" s="37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9"/>
    </row>
    <row r="797" customFormat="false" ht="15.75" hidden="false" customHeight="true" outlineLevel="0" collapsed="false">
      <c r="A797" s="37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9"/>
    </row>
    <row r="798" customFormat="false" ht="15.75" hidden="false" customHeight="true" outlineLevel="0" collapsed="false">
      <c r="A798" s="37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9"/>
    </row>
    <row r="799" customFormat="false" ht="15.75" hidden="false" customHeight="true" outlineLevel="0" collapsed="false">
      <c r="A799" s="37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9"/>
    </row>
    <row r="800" customFormat="false" ht="15.75" hidden="false" customHeight="true" outlineLevel="0" collapsed="false">
      <c r="A800" s="37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9"/>
    </row>
    <row r="801" customFormat="false" ht="15.75" hidden="false" customHeight="true" outlineLevel="0" collapsed="false">
      <c r="A801" s="37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9"/>
    </row>
    <row r="802" customFormat="false" ht="15.75" hidden="false" customHeight="true" outlineLevel="0" collapsed="false">
      <c r="A802" s="37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9"/>
    </row>
    <row r="803" customFormat="false" ht="15.75" hidden="false" customHeight="true" outlineLevel="0" collapsed="false">
      <c r="A803" s="37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9"/>
    </row>
    <row r="804" customFormat="false" ht="15.75" hidden="false" customHeight="true" outlineLevel="0" collapsed="false">
      <c r="A804" s="37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9"/>
    </row>
    <row r="805" customFormat="false" ht="15.75" hidden="false" customHeight="true" outlineLevel="0" collapsed="false">
      <c r="A805" s="37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9"/>
    </row>
    <row r="806" customFormat="false" ht="15.75" hidden="false" customHeight="true" outlineLevel="0" collapsed="false">
      <c r="A806" s="37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9"/>
    </row>
    <row r="807" customFormat="false" ht="15.75" hidden="false" customHeight="true" outlineLevel="0" collapsed="false">
      <c r="A807" s="37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9"/>
    </row>
    <row r="808" customFormat="false" ht="15.75" hidden="false" customHeight="true" outlineLevel="0" collapsed="false">
      <c r="A808" s="37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9"/>
    </row>
    <row r="809" customFormat="false" ht="15.75" hidden="false" customHeight="true" outlineLevel="0" collapsed="false">
      <c r="A809" s="37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9"/>
    </row>
    <row r="810" customFormat="false" ht="15.75" hidden="false" customHeight="true" outlineLevel="0" collapsed="false">
      <c r="A810" s="37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9"/>
    </row>
    <row r="811" customFormat="false" ht="15.75" hidden="false" customHeight="true" outlineLevel="0" collapsed="false">
      <c r="A811" s="37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9"/>
    </row>
    <row r="812" customFormat="false" ht="15.75" hidden="false" customHeight="true" outlineLevel="0" collapsed="false">
      <c r="A812" s="37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9"/>
    </row>
    <row r="813" customFormat="false" ht="15.75" hidden="false" customHeight="true" outlineLevel="0" collapsed="false">
      <c r="A813" s="37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9"/>
    </row>
    <row r="814" customFormat="false" ht="15.75" hidden="false" customHeight="true" outlineLevel="0" collapsed="false">
      <c r="A814" s="37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9"/>
    </row>
    <row r="815" customFormat="false" ht="15.75" hidden="false" customHeight="true" outlineLevel="0" collapsed="false">
      <c r="A815" s="37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9"/>
    </row>
    <row r="816" customFormat="false" ht="15.75" hidden="false" customHeight="true" outlineLevel="0" collapsed="false">
      <c r="A816" s="37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9"/>
    </row>
    <row r="817" customFormat="false" ht="15.75" hidden="false" customHeight="true" outlineLevel="0" collapsed="false">
      <c r="A817" s="37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9"/>
    </row>
    <row r="818" customFormat="false" ht="15.75" hidden="false" customHeight="true" outlineLevel="0" collapsed="false">
      <c r="A818" s="37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9"/>
    </row>
    <row r="819" customFormat="false" ht="15.75" hidden="false" customHeight="true" outlineLevel="0" collapsed="false">
      <c r="A819" s="37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9"/>
    </row>
    <row r="820" customFormat="false" ht="15.75" hidden="false" customHeight="true" outlineLevel="0" collapsed="false">
      <c r="A820" s="37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9"/>
    </row>
    <row r="821" customFormat="false" ht="15.75" hidden="false" customHeight="true" outlineLevel="0" collapsed="false">
      <c r="A821" s="37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9"/>
    </row>
    <row r="822" customFormat="false" ht="15.75" hidden="false" customHeight="true" outlineLevel="0" collapsed="false">
      <c r="A822" s="37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9"/>
    </row>
    <row r="823" customFormat="false" ht="15.75" hidden="false" customHeight="true" outlineLevel="0" collapsed="false">
      <c r="A823" s="37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9"/>
    </row>
    <row r="824" customFormat="false" ht="15.75" hidden="false" customHeight="true" outlineLevel="0" collapsed="false">
      <c r="A824" s="37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9"/>
    </row>
    <row r="825" customFormat="false" ht="15.75" hidden="false" customHeight="true" outlineLevel="0" collapsed="false">
      <c r="A825" s="37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9"/>
    </row>
    <row r="826" customFormat="false" ht="15.75" hidden="false" customHeight="true" outlineLevel="0" collapsed="false">
      <c r="A826" s="37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9"/>
    </row>
    <row r="827" customFormat="false" ht="15.75" hidden="false" customHeight="true" outlineLevel="0" collapsed="false">
      <c r="A827" s="37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9"/>
    </row>
    <row r="828" customFormat="false" ht="15.75" hidden="false" customHeight="true" outlineLevel="0" collapsed="false">
      <c r="A828" s="37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9"/>
    </row>
    <row r="829" customFormat="false" ht="15.75" hidden="false" customHeight="true" outlineLevel="0" collapsed="false">
      <c r="A829" s="37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9"/>
    </row>
    <row r="830" customFormat="false" ht="15.75" hidden="false" customHeight="true" outlineLevel="0" collapsed="false">
      <c r="A830" s="37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9"/>
    </row>
    <row r="831" customFormat="false" ht="15.75" hidden="false" customHeight="true" outlineLevel="0" collapsed="false">
      <c r="A831" s="37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9"/>
    </row>
    <row r="832" customFormat="false" ht="15.75" hidden="false" customHeight="true" outlineLevel="0" collapsed="false">
      <c r="A832" s="37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9"/>
    </row>
    <row r="833" customFormat="false" ht="15.75" hidden="false" customHeight="true" outlineLevel="0" collapsed="false">
      <c r="A833" s="37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9"/>
    </row>
    <row r="834" customFormat="false" ht="15.75" hidden="false" customHeight="true" outlineLevel="0" collapsed="false">
      <c r="A834" s="37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9"/>
    </row>
    <row r="835" customFormat="false" ht="15.75" hidden="false" customHeight="true" outlineLevel="0" collapsed="false">
      <c r="A835" s="37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9"/>
    </row>
    <row r="836" customFormat="false" ht="15.75" hidden="false" customHeight="true" outlineLevel="0" collapsed="false">
      <c r="A836" s="37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9"/>
    </row>
    <row r="837" customFormat="false" ht="15.75" hidden="false" customHeight="true" outlineLevel="0" collapsed="false">
      <c r="A837" s="37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9"/>
    </row>
    <row r="838" customFormat="false" ht="15.75" hidden="false" customHeight="true" outlineLevel="0" collapsed="false">
      <c r="A838" s="37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9"/>
    </row>
    <row r="839" customFormat="false" ht="15.75" hidden="false" customHeight="true" outlineLevel="0" collapsed="false">
      <c r="A839" s="37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9"/>
    </row>
    <row r="840" customFormat="false" ht="15.75" hidden="false" customHeight="true" outlineLevel="0" collapsed="false">
      <c r="A840" s="37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9"/>
    </row>
    <row r="841" customFormat="false" ht="15.75" hidden="false" customHeight="true" outlineLevel="0" collapsed="false">
      <c r="A841" s="37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9"/>
    </row>
    <row r="842" customFormat="false" ht="15.75" hidden="false" customHeight="true" outlineLevel="0" collapsed="false">
      <c r="A842" s="37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9"/>
    </row>
    <row r="843" customFormat="false" ht="15.75" hidden="false" customHeight="true" outlineLevel="0" collapsed="false">
      <c r="A843" s="37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9"/>
    </row>
    <row r="844" customFormat="false" ht="15.75" hidden="false" customHeight="true" outlineLevel="0" collapsed="false">
      <c r="A844" s="37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9"/>
    </row>
    <row r="845" customFormat="false" ht="15.75" hidden="false" customHeight="true" outlineLevel="0" collapsed="false">
      <c r="A845" s="37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9"/>
    </row>
    <row r="846" customFormat="false" ht="15.75" hidden="false" customHeight="true" outlineLevel="0" collapsed="false">
      <c r="A846" s="37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9"/>
    </row>
    <row r="847" customFormat="false" ht="15.75" hidden="false" customHeight="true" outlineLevel="0" collapsed="false">
      <c r="A847" s="37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9"/>
    </row>
    <row r="848" customFormat="false" ht="15.75" hidden="false" customHeight="true" outlineLevel="0" collapsed="false">
      <c r="A848" s="37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9"/>
    </row>
    <row r="849" customFormat="false" ht="15.75" hidden="false" customHeight="true" outlineLevel="0" collapsed="false">
      <c r="A849" s="37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9"/>
    </row>
    <row r="850" customFormat="false" ht="15.75" hidden="false" customHeight="true" outlineLevel="0" collapsed="false">
      <c r="A850" s="37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9"/>
    </row>
    <row r="851" customFormat="false" ht="15.75" hidden="false" customHeight="true" outlineLevel="0" collapsed="false">
      <c r="A851" s="37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9"/>
    </row>
    <row r="852" customFormat="false" ht="15.75" hidden="false" customHeight="true" outlineLevel="0" collapsed="false">
      <c r="A852" s="37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9"/>
    </row>
    <row r="853" customFormat="false" ht="15.75" hidden="false" customHeight="true" outlineLevel="0" collapsed="false">
      <c r="A853" s="37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9"/>
    </row>
    <row r="854" customFormat="false" ht="15.75" hidden="false" customHeight="true" outlineLevel="0" collapsed="false">
      <c r="A854" s="37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9"/>
    </row>
    <row r="855" customFormat="false" ht="15.75" hidden="false" customHeight="true" outlineLevel="0" collapsed="false">
      <c r="A855" s="37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9"/>
    </row>
    <row r="856" customFormat="false" ht="15.75" hidden="false" customHeight="true" outlineLevel="0" collapsed="false">
      <c r="A856" s="37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9"/>
    </row>
    <row r="857" customFormat="false" ht="15.75" hidden="false" customHeight="true" outlineLevel="0" collapsed="false">
      <c r="A857" s="37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9"/>
    </row>
    <row r="858" customFormat="false" ht="15.75" hidden="false" customHeight="true" outlineLevel="0" collapsed="false">
      <c r="A858" s="37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9"/>
    </row>
    <row r="859" customFormat="false" ht="15.75" hidden="false" customHeight="true" outlineLevel="0" collapsed="false">
      <c r="A859" s="37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9"/>
    </row>
    <row r="860" customFormat="false" ht="15.75" hidden="false" customHeight="true" outlineLevel="0" collapsed="false">
      <c r="A860" s="37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9"/>
    </row>
    <row r="861" customFormat="false" ht="15.75" hidden="false" customHeight="true" outlineLevel="0" collapsed="false">
      <c r="A861" s="37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9"/>
    </row>
    <row r="862" customFormat="false" ht="15.75" hidden="false" customHeight="true" outlineLevel="0" collapsed="false">
      <c r="A862" s="37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9"/>
    </row>
    <row r="863" customFormat="false" ht="15.75" hidden="false" customHeight="true" outlineLevel="0" collapsed="false">
      <c r="A863" s="37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9"/>
    </row>
    <row r="864" customFormat="false" ht="15.75" hidden="false" customHeight="true" outlineLevel="0" collapsed="false">
      <c r="A864" s="37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9"/>
    </row>
    <row r="865" customFormat="false" ht="15.75" hidden="false" customHeight="true" outlineLevel="0" collapsed="false">
      <c r="A865" s="37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9"/>
    </row>
    <row r="866" customFormat="false" ht="15.75" hidden="false" customHeight="true" outlineLevel="0" collapsed="false">
      <c r="A866" s="37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9"/>
    </row>
    <row r="867" customFormat="false" ht="15.75" hidden="false" customHeight="true" outlineLevel="0" collapsed="false">
      <c r="A867" s="37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9"/>
    </row>
    <row r="868" customFormat="false" ht="15.75" hidden="false" customHeight="true" outlineLevel="0" collapsed="false">
      <c r="A868" s="37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9"/>
    </row>
    <row r="869" customFormat="false" ht="15.75" hidden="false" customHeight="true" outlineLevel="0" collapsed="false">
      <c r="A869" s="37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9"/>
    </row>
    <row r="870" customFormat="false" ht="15.75" hidden="false" customHeight="true" outlineLevel="0" collapsed="false">
      <c r="A870" s="37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9"/>
    </row>
    <row r="871" customFormat="false" ht="15.75" hidden="false" customHeight="true" outlineLevel="0" collapsed="false">
      <c r="A871" s="37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9"/>
    </row>
    <row r="872" customFormat="false" ht="15.75" hidden="false" customHeight="true" outlineLevel="0" collapsed="false">
      <c r="A872" s="37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9"/>
    </row>
    <row r="873" customFormat="false" ht="15.75" hidden="false" customHeight="true" outlineLevel="0" collapsed="false">
      <c r="A873" s="37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9"/>
    </row>
    <row r="874" customFormat="false" ht="15.75" hidden="false" customHeight="true" outlineLevel="0" collapsed="false">
      <c r="A874" s="37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9"/>
    </row>
    <row r="875" customFormat="false" ht="15.75" hidden="false" customHeight="true" outlineLevel="0" collapsed="false">
      <c r="A875" s="37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9"/>
    </row>
    <row r="876" customFormat="false" ht="15.75" hidden="false" customHeight="true" outlineLevel="0" collapsed="false">
      <c r="A876" s="37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9"/>
    </row>
    <row r="877" customFormat="false" ht="15.75" hidden="false" customHeight="true" outlineLevel="0" collapsed="false">
      <c r="A877" s="37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9"/>
    </row>
    <row r="878" customFormat="false" ht="15.75" hidden="false" customHeight="true" outlineLevel="0" collapsed="false">
      <c r="A878" s="37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9"/>
    </row>
    <row r="879" customFormat="false" ht="15.75" hidden="false" customHeight="true" outlineLevel="0" collapsed="false">
      <c r="A879" s="37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9"/>
    </row>
    <row r="880" customFormat="false" ht="15.75" hidden="false" customHeight="true" outlineLevel="0" collapsed="false">
      <c r="A880" s="37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9"/>
    </row>
    <row r="881" customFormat="false" ht="15.75" hidden="false" customHeight="true" outlineLevel="0" collapsed="false">
      <c r="A881" s="37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9"/>
    </row>
    <row r="882" customFormat="false" ht="15.75" hidden="false" customHeight="true" outlineLevel="0" collapsed="false">
      <c r="A882" s="37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9"/>
    </row>
    <row r="883" customFormat="false" ht="15.75" hidden="false" customHeight="true" outlineLevel="0" collapsed="false">
      <c r="A883" s="37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9"/>
    </row>
    <row r="884" customFormat="false" ht="15.75" hidden="false" customHeight="true" outlineLevel="0" collapsed="false">
      <c r="A884" s="37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9"/>
    </row>
    <row r="885" customFormat="false" ht="15.75" hidden="false" customHeight="true" outlineLevel="0" collapsed="false">
      <c r="A885" s="37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9"/>
    </row>
    <row r="886" customFormat="false" ht="15.75" hidden="false" customHeight="true" outlineLevel="0" collapsed="false">
      <c r="A886" s="37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9"/>
    </row>
    <row r="887" customFormat="false" ht="15.75" hidden="false" customHeight="true" outlineLevel="0" collapsed="false">
      <c r="A887" s="37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9"/>
    </row>
    <row r="888" customFormat="false" ht="15.75" hidden="false" customHeight="true" outlineLevel="0" collapsed="false">
      <c r="A888" s="37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9"/>
    </row>
    <row r="889" customFormat="false" ht="15.75" hidden="false" customHeight="true" outlineLevel="0" collapsed="false">
      <c r="A889" s="37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9"/>
    </row>
    <row r="890" customFormat="false" ht="15.75" hidden="false" customHeight="true" outlineLevel="0" collapsed="false">
      <c r="A890" s="37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9"/>
    </row>
    <row r="891" customFormat="false" ht="15.75" hidden="false" customHeight="true" outlineLevel="0" collapsed="false">
      <c r="A891" s="37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9"/>
    </row>
    <row r="892" customFormat="false" ht="15.75" hidden="false" customHeight="true" outlineLevel="0" collapsed="false">
      <c r="A892" s="37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9"/>
    </row>
    <row r="893" customFormat="false" ht="15.75" hidden="false" customHeight="true" outlineLevel="0" collapsed="false">
      <c r="A893" s="37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9"/>
    </row>
    <row r="894" customFormat="false" ht="15.75" hidden="false" customHeight="true" outlineLevel="0" collapsed="false">
      <c r="A894" s="37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9"/>
    </row>
    <row r="895" customFormat="false" ht="15.75" hidden="false" customHeight="true" outlineLevel="0" collapsed="false">
      <c r="A895" s="37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9"/>
    </row>
    <row r="896" customFormat="false" ht="15.75" hidden="false" customHeight="true" outlineLevel="0" collapsed="false">
      <c r="A896" s="37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9"/>
    </row>
    <row r="897" customFormat="false" ht="15.75" hidden="false" customHeight="true" outlineLevel="0" collapsed="false">
      <c r="A897" s="37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9"/>
    </row>
    <row r="898" customFormat="false" ht="15.75" hidden="false" customHeight="true" outlineLevel="0" collapsed="false">
      <c r="A898" s="37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9"/>
    </row>
    <row r="899" customFormat="false" ht="15.75" hidden="false" customHeight="true" outlineLevel="0" collapsed="false">
      <c r="A899" s="37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9"/>
    </row>
    <row r="900" customFormat="false" ht="15.75" hidden="false" customHeight="true" outlineLevel="0" collapsed="false">
      <c r="A900" s="37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9"/>
    </row>
    <row r="901" customFormat="false" ht="15.75" hidden="false" customHeight="true" outlineLevel="0" collapsed="false">
      <c r="A901" s="37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9"/>
    </row>
    <row r="902" customFormat="false" ht="15.75" hidden="false" customHeight="true" outlineLevel="0" collapsed="false">
      <c r="A902" s="37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9"/>
    </row>
    <row r="903" customFormat="false" ht="15.75" hidden="false" customHeight="true" outlineLevel="0" collapsed="false">
      <c r="A903" s="37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9"/>
    </row>
    <row r="904" customFormat="false" ht="15.75" hidden="false" customHeight="true" outlineLevel="0" collapsed="false">
      <c r="A904" s="37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9"/>
    </row>
    <row r="905" customFormat="false" ht="15.75" hidden="false" customHeight="true" outlineLevel="0" collapsed="false">
      <c r="A905" s="37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9"/>
    </row>
    <row r="906" customFormat="false" ht="15.75" hidden="false" customHeight="true" outlineLevel="0" collapsed="false">
      <c r="A906" s="37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9"/>
    </row>
    <row r="907" customFormat="false" ht="15.75" hidden="false" customHeight="true" outlineLevel="0" collapsed="false">
      <c r="A907" s="37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9"/>
    </row>
    <row r="908" customFormat="false" ht="15.75" hidden="false" customHeight="true" outlineLevel="0" collapsed="false">
      <c r="A908" s="37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9"/>
    </row>
    <row r="909" customFormat="false" ht="15.75" hidden="false" customHeight="true" outlineLevel="0" collapsed="false">
      <c r="A909" s="37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9"/>
    </row>
    <row r="910" customFormat="false" ht="15.75" hidden="false" customHeight="true" outlineLevel="0" collapsed="false">
      <c r="A910" s="37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9"/>
    </row>
    <row r="911" customFormat="false" ht="15.75" hidden="false" customHeight="true" outlineLevel="0" collapsed="false">
      <c r="A911" s="37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9"/>
    </row>
    <row r="912" customFormat="false" ht="15.75" hidden="false" customHeight="true" outlineLevel="0" collapsed="false">
      <c r="A912" s="37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9"/>
    </row>
    <row r="913" customFormat="false" ht="15.75" hidden="false" customHeight="true" outlineLevel="0" collapsed="false">
      <c r="A913" s="37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9"/>
    </row>
    <row r="914" customFormat="false" ht="15.75" hidden="false" customHeight="true" outlineLevel="0" collapsed="false">
      <c r="A914" s="37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9"/>
    </row>
    <row r="915" customFormat="false" ht="15.75" hidden="false" customHeight="true" outlineLevel="0" collapsed="false">
      <c r="A915" s="37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9"/>
    </row>
    <row r="916" customFormat="false" ht="15.75" hidden="false" customHeight="true" outlineLevel="0" collapsed="false">
      <c r="A916" s="37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9"/>
    </row>
    <row r="917" customFormat="false" ht="15.75" hidden="false" customHeight="true" outlineLevel="0" collapsed="false">
      <c r="A917" s="37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9"/>
    </row>
    <row r="918" customFormat="false" ht="15.75" hidden="false" customHeight="true" outlineLevel="0" collapsed="false">
      <c r="A918" s="37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9"/>
    </row>
    <row r="919" customFormat="false" ht="15.75" hidden="false" customHeight="true" outlineLevel="0" collapsed="false">
      <c r="A919" s="37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9"/>
    </row>
    <row r="920" customFormat="false" ht="15.75" hidden="false" customHeight="true" outlineLevel="0" collapsed="false">
      <c r="A920" s="37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9"/>
    </row>
    <row r="921" customFormat="false" ht="15.75" hidden="false" customHeight="true" outlineLevel="0" collapsed="false">
      <c r="A921" s="37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9"/>
    </row>
    <row r="922" customFormat="false" ht="15.75" hidden="false" customHeight="true" outlineLevel="0" collapsed="false">
      <c r="A922" s="37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9"/>
    </row>
    <row r="923" customFormat="false" ht="15.75" hidden="false" customHeight="true" outlineLevel="0" collapsed="false">
      <c r="A923" s="37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9"/>
    </row>
    <row r="924" customFormat="false" ht="15.75" hidden="false" customHeight="true" outlineLevel="0" collapsed="false">
      <c r="A924" s="37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9"/>
    </row>
    <row r="925" customFormat="false" ht="15.75" hidden="false" customHeight="true" outlineLevel="0" collapsed="false">
      <c r="A925" s="37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9"/>
    </row>
    <row r="926" customFormat="false" ht="15.75" hidden="false" customHeight="true" outlineLevel="0" collapsed="false">
      <c r="A926" s="37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9"/>
    </row>
    <row r="927" customFormat="false" ht="15.75" hidden="false" customHeight="true" outlineLevel="0" collapsed="false">
      <c r="A927" s="37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9"/>
    </row>
    <row r="928" customFormat="false" ht="15.75" hidden="false" customHeight="true" outlineLevel="0" collapsed="false">
      <c r="A928" s="37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9"/>
    </row>
    <row r="929" customFormat="false" ht="15.75" hidden="false" customHeight="true" outlineLevel="0" collapsed="false">
      <c r="A929" s="37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9"/>
    </row>
    <row r="930" customFormat="false" ht="15.75" hidden="false" customHeight="true" outlineLevel="0" collapsed="false">
      <c r="A930" s="37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9"/>
    </row>
    <row r="931" customFormat="false" ht="15.75" hidden="false" customHeight="true" outlineLevel="0" collapsed="false">
      <c r="A931" s="37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9"/>
    </row>
    <row r="932" customFormat="false" ht="15.75" hidden="false" customHeight="true" outlineLevel="0" collapsed="false">
      <c r="A932" s="37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9"/>
    </row>
    <row r="933" customFormat="false" ht="15.75" hidden="false" customHeight="true" outlineLevel="0" collapsed="false">
      <c r="A933" s="37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9"/>
    </row>
    <row r="934" customFormat="false" ht="15.75" hidden="false" customHeight="true" outlineLevel="0" collapsed="false">
      <c r="A934" s="37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9"/>
    </row>
    <row r="935" customFormat="false" ht="15.75" hidden="false" customHeight="true" outlineLevel="0" collapsed="false">
      <c r="A935" s="37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9"/>
    </row>
    <row r="936" customFormat="false" ht="15.75" hidden="false" customHeight="true" outlineLevel="0" collapsed="false">
      <c r="A936" s="37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9"/>
    </row>
    <row r="937" customFormat="false" ht="15.75" hidden="false" customHeight="true" outlineLevel="0" collapsed="false">
      <c r="A937" s="37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9"/>
    </row>
    <row r="938" customFormat="false" ht="15.75" hidden="false" customHeight="true" outlineLevel="0" collapsed="false">
      <c r="A938" s="37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9"/>
    </row>
    <row r="939" customFormat="false" ht="15.75" hidden="false" customHeight="true" outlineLevel="0" collapsed="false">
      <c r="A939" s="37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9"/>
    </row>
    <row r="940" customFormat="false" ht="15.75" hidden="false" customHeight="true" outlineLevel="0" collapsed="false">
      <c r="A940" s="37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9"/>
    </row>
    <row r="941" customFormat="false" ht="15.75" hidden="false" customHeight="true" outlineLevel="0" collapsed="false">
      <c r="A941" s="37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9"/>
    </row>
    <row r="942" customFormat="false" ht="15.75" hidden="false" customHeight="true" outlineLevel="0" collapsed="false">
      <c r="A942" s="37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9"/>
    </row>
    <row r="943" customFormat="false" ht="15.75" hidden="false" customHeight="true" outlineLevel="0" collapsed="false">
      <c r="A943" s="37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9"/>
    </row>
    <row r="944" customFormat="false" ht="15.75" hidden="false" customHeight="true" outlineLevel="0" collapsed="false">
      <c r="A944" s="37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9"/>
    </row>
    <row r="945" customFormat="false" ht="15.75" hidden="false" customHeight="true" outlineLevel="0" collapsed="false">
      <c r="A945" s="37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9"/>
    </row>
    <row r="946" customFormat="false" ht="15.75" hidden="false" customHeight="true" outlineLevel="0" collapsed="false">
      <c r="A946" s="37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9"/>
    </row>
    <row r="947" customFormat="false" ht="15.75" hidden="false" customHeight="true" outlineLevel="0" collapsed="false">
      <c r="A947" s="37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9"/>
    </row>
    <row r="948" customFormat="false" ht="15.75" hidden="false" customHeight="true" outlineLevel="0" collapsed="false">
      <c r="A948" s="37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9"/>
    </row>
    <row r="949" customFormat="false" ht="15.75" hidden="false" customHeight="true" outlineLevel="0" collapsed="false">
      <c r="A949" s="37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9"/>
    </row>
    <row r="950" customFormat="false" ht="15.75" hidden="false" customHeight="true" outlineLevel="0" collapsed="false">
      <c r="A950" s="37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9"/>
    </row>
    <row r="951" customFormat="false" ht="15.75" hidden="false" customHeight="true" outlineLevel="0" collapsed="false">
      <c r="A951" s="37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9"/>
    </row>
    <row r="952" customFormat="false" ht="15.75" hidden="false" customHeight="true" outlineLevel="0" collapsed="false">
      <c r="A952" s="37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9"/>
    </row>
    <row r="953" customFormat="false" ht="15.75" hidden="false" customHeight="true" outlineLevel="0" collapsed="false">
      <c r="A953" s="37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9"/>
    </row>
    <row r="954" customFormat="false" ht="15.75" hidden="false" customHeight="true" outlineLevel="0" collapsed="false">
      <c r="A954" s="37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9"/>
    </row>
    <row r="955" customFormat="false" ht="15.75" hidden="false" customHeight="true" outlineLevel="0" collapsed="false">
      <c r="A955" s="37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9"/>
    </row>
    <row r="956" customFormat="false" ht="15.75" hidden="false" customHeight="true" outlineLevel="0" collapsed="false">
      <c r="A956" s="37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9"/>
    </row>
    <row r="957" customFormat="false" ht="15.75" hidden="false" customHeight="true" outlineLevel="0" collapsed="false">
      <c r="A957" s="37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9"/>
    </row>
    <row r="958" customFormat="false" ht="15.75" hidden="false" customHeight="true" outlineLevel="0" collapsed="false">
      <c r="A958" s="37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9"/>
    </row>
    <row r="959" customFormat="false" ht="15.75" hidden="false" customHeight="true" outlineLevel="0" collapsed="false">
      <c r="A959" s="37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9"/>
    </row>
    <row r="960" customFormat="false" ht="15.75" hidden="false" customHeight="true" outlineLevel="0" collapsed="false">
      <c r="A960" s="37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9"/>
    </row>
    <row r="961" customFormat="false" ht="15.75" hidden="false" customHeight="true" outlineLevel="0" collapsed="false">
      <c r="A961" s="37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9"/>
    </row>
    <row r="962" customFormat="false" ht="15.75" hidden="false" customHeight="true" outlineLevel="0" collapsed="false">
      <c r="A962" s="37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9"/>
    </row>
    <row r="963" customFormat="false" ht="15.75" hidden="false" customHeight="true" outlineLevel="0" collapsed="false">
      <c r="A963" s="37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9"/>
    </row>
    <row r="964" customFormat="false" ht="15.75" hidden="false" customHeight="true" outlineLevel="0" collapsed="false">
      <c r="A964" s="37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9"/>
    </row>
    <row r="965" customFormat="false" ht="15.75" hidden="false" customHeight="true" outlineLevel="0" collapsed="false">
      <c r="A965" s="37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9"/>
    </row>
    <row r="966" customFormat="false" ht="15.75" hidden="false" customHeight="true" outlineLevel="0" collapsed="false">
      <c r="A966" s="37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9"/>
    </row>
    <row r="967" customFormat="false" ht="15.75" hidden="false" customHeight="true" outlineLevel="0" collapsed="false">
      <c r="A967" s="37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9"/>
    </row>
    <row r="968" customFormat="false" ht="15.75" hidden="false" customHeight="true" outlineLevel="0" collapsed="false">
      <c r="A968" s="37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9"/>
    </row>
    <row r="969" customFormat="false" ht="15.75" hidden="false" customHeight="true" outlineLevel="0" collapsed="false">
      <c r="A969" s="37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9"/>
    </row>
    <row r="970" customFormat="false" ht="15.75" hidden="false" customHeight="true" outlineLevel="0" collapsed="false">
      <c r="A970" s="37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9"/>
    </row>
    <row r="971" customFormat="false" ht="15.75" hidden="false" customHeight="true" outlineLevel="0" collapsed="false">
      <c r="A971" s="37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9"/>
    </row>
    <row r="972" customFormat="false" ht="15.75" hidden="false" customHeight="true" outlineLevel="0" collapsed="false">
      <c r="A972" s="37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9"/>
    </row>
    <row r="973" customFormat="false" ht="15.75" hidden="false" customHeight="true" outlineLevel="0" collapsed="false">
      <c r="A973" s="37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9"/>
    </row>
    <row r="974" customFormat="false" ht="15.75" hidden="false" customHeight="true" outlineLevel="0" collapsed="false">
      <c r="A974" s="37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9"/>
    </row>
    <row r="975" customFormat="false" ht="15.75" hidden="false" customHeight="true" outlineLevel="0" collapsed="false">
      <c r="A975" s="37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9"/>
    </row>
    <row r="976" customFormat="false" ht="15.75" hidden="false" customHeight="true" outlineLevel="0" collapsed="false">
      <c r="A976" s="37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9"/>
    </row>
    <row r="977" customFormat="false" ht="15.75" hidden="false" customHeight="true" outlineLevel="0" collapsed="false">
      <c r="A977" s="37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9"/>
    </row>
    <row r="978" customFormat="false" ht="15.75" hidden="false" customHeight="true" outlineLevel="0" collapsed="false">
      <c r="A978" s="37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9"/>
    </row>
    <row r="979" customFormat="false" ht="15.75" hidden="false" customHeight="true" outlineLevel="0" collapsed="false">
      <c r="A979" s="37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9"/>
    </row>
    <row r="980" customFormat="false" ht="15.75" hidden="false" customHeight="true" outlineLevel="0" collapsed="false">
      <c r="A980" s="37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9"/>
    </row>
    <row r="981" customFormat="false" ht="15.75" hidden="false" customHeight="true" outlineLevel="0" collapsed="false">
      <c r="A981" s="37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9"/>
    </row>
    <row r="982" customFormat="false" ht="15.75" hidden="false" customHeight="true" outlineLevel="0" collapsed="false">
      <c r="A982" s="37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9"/>
    </row>
    <row r="983" customFormat="false" ht="15.75" hidden="false" customHeight="true" outlineLevel="0" collapsed="false">
      <c r="A983" s="37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9"/>
    </row>
    <row r="984" customFormat="false" ht="15.75" hidden="false" customHeight="true" outlineLevel="0" collapsed="false">
      <c r="A984" s="37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9"/>
    </row>
    <row r="985" customFormat="false" ht="15.75" hidden="false" customHeight="true" outlineLevel="0" collapsed="false">
      <c r="A985" s="37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9"/>
    </row>
    <row r="986" customFormat="false" ht="15.75" hidden="false" customHeight="true" outlineLevel="0" collapsed="false">
      <c r="A986" s="37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9"/>
    </row>
    <row r="987" customFormat="false" ht="15.75" hidden="false" customHeight="true" outlineLevel="0" collapsed="false">
      <c r="A987" s="37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9"/>
    </row>
    <row r="988" customFormat="false" ht="15.75" hidden="false" customHeight="true" outlineLevel="0" collapsed="false">
      <c r="A988" s="37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9"/>
    </row>
    <row r="989" customFormat="false" ht="15.75" hidden="false" customHeight="true" outlineLevel="0" collapsed="false">
      <c r="A989" s="37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9"/>
    </row>
    <row r="990" customFormat="false" ht="15.75" hidden="false" customHeight="true" outlineLevel="0" collapsed="false">
      <c r="A990" s="37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9"/>
    </row>
    <row r="991" customFormat="false" ht="15.75" hidden="false" customHeight="true" outlineLevel="0" collapsed="false">
      <c r="A991" s="37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9"/>
    </row>
    <row r="992" customFormat="false" ht="15.75" hidden="false" customHeight="true" outlineLevel="0" collapsed="false">
      <c r="A992" s="37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9"/>
    </row>
    <row r="993" customFormat="false" ht="15.75" hidden="false" customHeight="true" outlineLevel="0" collapsed="false">
      <c r="A993" s="37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9"/>
    </row>
    <row r="994" customFormat="false" ht="15.75" hidden="false" customHeight="true" outlineLevel="0" collapsed="false">
      <c r="A994" s="37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9"/>
    </row>
    <row r="995" customFormat="false" ht="15.75" hidden="false" customHeight="true" outlineLevel="0" collapsed="false">
      <c r="A995" s="37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9"/>
    </row>
    <row r="996" customFormat="false" ht="15.75" hidden="false" customHeight="true" outlineLevel="0" collapsed="false">
      <c r="A996" s="37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9"/>
    </row>
    <row r="997" customFormat="false" ht="15.75" hidden="false" customHeight="true" outlineLevel="0" collapsed="false">
      <c r="A997" s="37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9"/>
    </row>
    <row r="998" customFormat="false" ht="15.75" hidden="false" customHeight="true" outlineLevel="0" collapsed="false">
      <c r="A998" s="37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9"/>
    </row>
    <row r="999" customFormat="false" ht="15.75" hidden="false" customHeight="true" outlineLevel="0" collapsed="false">
      <c r="A999" s="37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9"/>
    </row>
    <row r="1000" customFormat="false" ht="15.75" hidden="false" customHeight="true" outlineLevel="0" collapsed="false">
      <c r="A1000" s="40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2"/>
    </row>
    <row r="1001" customFormat="false" ht="15.75" hidden="false" customHeight="true" outlineLevel="0" collapsed="false">
      <c r="G1001" s="43"/>
      <c r="I1001" s="43"/>
    </row>
    <row r="1002" customFormat="false" ht="15.75" hidden="false" customHeight="true" outlineLevel="0" collapsed="false">
      <c r="G1002" s="43"/>
      <c r="I1002" s="43"/>
    </row>
    <row r="1003" customFormat="false" ht="15.75" hidden="false" customHeight="true" outlineLevel="0" collapsed="false">
      <c r="G1003" s="43"/>
      <c r="I1003" s="43"/>
    </row>
    <row r="1004" customFormat="false" ht="15.75" hidden="false" customHeight="true" outlineLevel="0" collapsed="false">
      <c r="G1004" s="43"/>
      <c r="I1004" s="43"/>
    </row>
    <row r="1005" customFormat="false" ht="15.75" hidden="false" customHeight="true" outlineLevel="0" collapsed="false">
      <c r="G1005" s="43"/>
      <c r="I1005" s="43"/>
    </row>
    <row r="1006" customFormat="false" ht="15.75" hidden="false" customHeight="true" outlineLevel="0" collapsed="false">
      <c r="G1006" s="43"/>
      <c r="I1006" s="43"/>
    </row>
    <row r="1007" customFormat="false" ht="15.75" hidden="false" customHeight="true" outlineLevel="0" collapsed="false">
      <c r="G1007" s="43"/>
      <c r="I1007" s="43"/>
    </row>
    <row r="1008" customFormat="false" ht="15.75" hidden="false" customHeight="true" outlineLevel="0" collapsed="false">
      <c r="G1008" s="43"/>
      <c r="I1008" s="43"/>
    </row>
    <row r="1009" customFormat="false" ht="15.75" hidden="false" customHeight="true" outlineLevel="0" collapsed="false">
      <c r="G1009" s="43"/>
      <c r="I1009" s="43"/>
    </row>
    <row r="1010" customFormat="false" ht="15.75" hidden="false" customHeight="true" outlineLevel="0" collapsed="false">
      <c r="G1010" s="43"/>
      <c r="I1010" s="43"/>
    </row>
    <row r="1011" customFormat="false" ht="15.75" hidden="false" customHeight="true" outlineLevel="0" collapsed="false">
      <c r="G1011" s="43"/>
      <c r="I1011" s="43"/>
    </row>
    <row r="1012" customFormat="false" ht="15.75" hidden="false" customHeight="true" outlineLevel="0" collapsed="false">
      <c r="G1012" s="43"/>
      <c r="I1012" s="43"/>
    </row>
    <row r="1013" customFormat="false" ht="15.75" hidden="false" customHeight="true" outlineLevel="0" collapsed="false">
      <c r="G1013" s="43"/>
      <c r="I1013" s="43"/>
    </row>
    <row r="1014" customFormat="false" ht="15.75" hidden="false" customHeight="true" outlineLevel="0" collapsed="false">
      <c r="G1014" s="43"/>
      <c r="I1014" s="43"/>
    </row>
    <row r="1015" customFormat="false" ht="15.75" hidden="false" customHeight="true" outlineLevel="0" collapsed="false">
      <c r="G1015" s="43"/>
      <c r="I1015" s="43"/>
    </row>
    <row r="1016" customFormat="false" ht="15.75" hidden="false" customHeight="true" outlineLevel="0" collapsed="false">
      <c r="G1016" s="43"/>
      <c r="I1016" s="43"/>
    </row>
    <row r="1017" customFormat="false" ht="15.75" hidden="false" customHeight="true" outlineLevel="0" collapsed="false">
      <c r="G1017" s="43"/>
      <c r="I1017" s="43"/>
    </row>
    <row r="1018" customFormat="false" ht="15.75" hidden="false" customHeight="true" outlineLevel="0" collapsed="false">
      <c r="G1018" s="43"/>
      <c r="I1018" s="43"/>
    </row>
    <row r="1019" customFormat="false" ht="15.75" hidden="false" customHeight="true" outlineLevel="0" collapsed="false">
      <c r="G1019" s="43"/>
      <c r="I1019" s="43"/>
    </row>
    <row r="1020" customFormat="false" ht="15.75" hidden="false" customHeight="true" outlineLevel="0" collapsed="false">
      <c r="G1020" s="43"/>
      <c r="I1020" s="43"/>
    </row>
    <row r="1021" customFormat="false" ht="15.75" hidden="false" customHeight="true" outlineLevel="0" collapsed="false">
      <c r="G1021" s="43"/>
      <c r="I1021" s="43"/>
    </row>
    <row r="1022" customFormat="false" ht="15.75" hidden="false" customHeight="true" outlineLevel="0" collapsed="false">
      <c r="G1022" s="43"/>
      <c r="I1022" s="43"/>
    </row>
    <row r="1023" customFormat="false" ht="15.75" hidden="false" customHeight="true" outlineLevel="0" collapsed="false">
      <c r="G1023" s="43"/>
      <c r="I1023" s="43"/>
    </row>
    <row r="1024" customFormat="false" ht="15.75" hidden="false" customHeight="true" outlineLevel="0" collapsed="false">
      <c r="G1024" s="43"/>
      <c r="I1024" s="43"/>
    </row>
    <row r="1025" customFormat="false" ht="15.75" hidden="false" customHeight="true" outlineLevel="0" collapsed="false">
      <c r="G1025" s="43"/>
      <c r="I1025" s="43"/>
    </row>
    <row r="1026" customFormat="false" ht="15.75" hidden="false" customHeight="true" outlineLevel="0" collapsed="false">
      <c r="G1026" s="43"/>
      <c r="I1026" s="43"/>
    </row>
    <row r="1027" customFormat="false" ht="15.75" hidden="false" customHeight="true" outlineLevel="0" collapsed="false">
      <c r="G1027" s="43"/>
      <c r="I1027" s="43"/>
    </row>
    <row r="1028" customFormat="false" ht="15.75" hidden="false" customHeight="true" outlineLevel="0" collapsed="false">
      <c r="G1028" s="43"/>
      <c r="I1028" s="43"/>
    </row>
    <row r="1029" customFormat="false" ht="15.75" hidden="false" customHeight="true" outlineLevel="0" collapsed="false">
      <c r="G1029" s="43"/>
      <c r="I1029" s="43"/>
    </row>
    <row r="1030" customFormat="false" ht="15.75" hidden="false" customHeight="true" outlineLevel="0" collapsed="false">
      <c r="G1030" s="43"/>
      <c r="I1030" s="43"/>
    </row>
    <row r="1031" customFormat="false" ht="15.75" hidden="false" customHeight="true" outlineLevel="0" collapsed="false">
      <c r="G1031" s="43"/>
      <c r="I1031" s="43"/>
    </row>
    <row r="1032" customFormat="false" ht="15.75" hidden="false" customHeight="true" outlineLevel="0" collapsed="false">
      <c r="G1032" s="43"/>
      <c r="I1032" s="43"/>
    </row>
    <row r="1033" customFormat="false" ht="15.75" hidden="false" customHeight="true" outlineLevel="0" collapsed="false">
      <c r="G1033" s="43"/>
      <c r="I1033" s="43"/>
    </row>
    <row r="1034" customFormat="false" ht="15.75" hidden="false" customHeight="true" outlineLevel="0" collapsed="false">
      <c r="G1034" s="43"/>
      <c r="I1034" s="43"/>
    </row>
    <row r="1035" customFormat="false" ht="15.75" hidden="false" customHeight="true" outlineLevel="0" collapsed="false">
      <c r="G1035" s="43"/>
      <c r="I1035" s="43"/>
    </row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</sheetData>
  <autoFilter ref="G1:G1000"/>
  <mergeCells count="29">
    <mergeCell ref="U1:V1"/>
    <mergeCell ref="U2:V2"/>
    <mergeCell ref="W2:W28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</mergeCells>
  <dataValidations count="4">
    <dataValidation allowBlank="true" errorStyle="stop" operator="between" showDropDown="false" showErrorMessage="false" showInputMessage="false" sqref="I2:I1035" type="list">
      <formula1>"Not started,In progress,Blocked,Completed"</formula1>
      <formula2>0</formula2>
    </dataValidation>
    <dataValidation allowBlank="true" errorStyle="stop" operator="between" showDropDown="false" showErrorMessage="true" showInputMessage="false" sqref="A2:A35" type="list">
      <formula1>"AI,Embedded AI,Cloud,Embedded System,Language"</formula1>
      <formula2>0</formula2>
    </dataValidation>
    <dataValidation allowBlank="true" errorStyle="stop" operator="between" showDropDown="false" showErrorMessage="false" showInputMessage="false" sqref="G2:G1035" type="list">
      <formula1>"P0,P1,P2,P3"</formula1>
      <formula2>0</formula2>
    </dataValidation>
    <dataValidation allowBlank="true" errorStyle="stop" operator="between" showDropDown="false" showErrorMessage="true" showInputMessage="false" sqref="E2:E35" type="list">
      <formula1>"Youtube,Offline,DKW"</formula1>
      <formula2>0</formula2>
    </dataValidation>
  </dataValidations>
  <hyperlinks>
    <hyperlink ref="D2" r:id="rId1" display="https://www.youtube.com/watch?v=IA3WxTTPXqQ&amp;t=4909s"/>
    <hyperlink ref="H2" r:id="rId2" display="Ahmed Ferganey"/>
    <hyperlink ref="D3" r:id="rId3" display="https://www.youtube.com/watch?v=MVkny_XLK_U&amp;t=19s"/>
    <hyperlink ref="H3" r:id="rId4" display="Ahmed Ferganey"/>
    <hyperlink ref="D4" r:id="rId5" display="https://www.youtube.com/playlist?list=PL05umP7R6ij35L2MHGzis8AEHz7mg381_"/>
    <hyperlink ref="H4" r:id="rId6" display="Ahmed Ferganey"/>
    <hyperlink ref="D5" r:id="rId7" display="https://www.youtube.com/watch?v=44xdiWLm4Xo"/>
    <hyperlink ref="H5" r:id="rId8" display="Ahmed Ferganey"/>
    <hyperlink ref="D6" r:id="rId9" display="https://www.youtube.com/watch?v=0sOvCWFmrtA"/>
    <hyperlink ref="H6" r:id="rId10" display="Ahmed Ferganey"/>
    <hyperlink ref="D7" r:id="rId11" display="https://www.youtube.com/watch?v=hmkF77F9TLw"/>
    <hyperlink ref="H7" r:id="rId12" display="Ahmed Ferganey"/>
    <hyperlink ref="D8" r:id="rId13" display="https://www.youtube.com/playlist?list=PLyhJeMedQd9RXCvFF-xzobJM6_8EV2aGS"/>
    <hyperlink ref="H8" r:id="rId14" display="Ahmed Ferganey"/>
    <hyperlink ref="D9" r:id="rId15" display="https://www.youtube.com/playlist?list=PLyhJeMedQd9Rh7894oMCHqGcUu_xP7ToS"/>
    <hyperlink ref="H9" r:id="rId16" display="Ahmed Ferganey"/>
    <hyperlink ref="D10" r:id="rId17" display="https://www.youtube.com/watch?v=WgPbbWmnXJ8"/>
    <hyperlink ref="H10" r:id="rId18" display="Ahmed Ferganey"/>
    <hyperlink ref="D11" r:id="rId19" display="https://www.youtube.com/watch?v=01sAkU_NvOY&amp;t=778s"/>
    <hyperlink ref="H11" r:id="rId20" display="Ahmed Ferganey"/>
    <hyperlink ref="D12" r:id="rId21" display="https://www.youtube.com/playlist?list=PLyhJeMedQd9QrXtCspclJ9ace2urp05o0"/>
    <hyperlink ref="H12" r:id="rId22" display="Ahmed Ferganey"/>
    <hyperlink ref="D13" r:id="rId23" display="https://www.youtube.com/watch?v=2T86xAtR6Fo"/>
    <hyperlink ref="H13" r:id="rId24" display="Ahmed Ferganey"/>
    <hyperlink ref="D14" r:id="rId25" display="https://www.youtube.com/watch?v=tiBeLLv5GJo"/>
    <hyperlink ref="H14" r:id="rId26" display="Ahmed Ferganey"/>
    <hyperlink ref="D15" r:id="rId27" display="https://www.youtube.com/watch?v=QqVahw9tBfw&amp;t=20s"/>
    <hyperlink ref="H15" r:id="rId28" display="Ahmed Ferganey"/>
    <hyperlink ref="D16" r:id="rId29" display="https://www.youtube.com/watch?v=zp5Jh2FIpF0"/>
    <hyperlink ref="H16" r:id="rId30" display="Ahmed Ferganey"/>
    <hyperlink ref="D17" r:id="rId31" display="https://www.youtube.com/watch?v=TO4aQ3ghFOc"/>
    <hyperlink ref="H17" r:id="rId32" display="Ahmed Ferganey"/>
    <hyperlink ref="D18" r:id="rId33" display="https://www.youtube.com/playlist?list=PLYwpaL_SFmcB8fDd64B8SkJiPpEIzpCzC"/>
    <hyperlink ref="H18" r:id="rId34" display="Ahmed Ferganey"/>
    <hyperlink ref="D19" r:id="rId35" display="https://www.youtube.com/playlist?list=PLk0D2S-fqJ7aXM3PG0cgXCVcfgbdMsl7-"/>
    <hyperlink ref="H19" r:id="rId36" display="Ahmed Ferganey"/>
    <hyperlink ref="D20" r:id="rId37" display="https://www.youtube.com/watch?v=NhDYbskXRgc&amp;t=4052s"/>
    <hyperlink ref="H20" r:id="rId38" display="Ahmed Ferganey"/>
    <hyperlink ref="D21" r:id="rId39" display="https://www.youtube.com/watch?v=-dJPoLm_gtE"/>
    <hyperlink ref="H21" r:id="rId40" display="Ahmed Ferganey"/>
    <hyperlink ref="D22" r:id="rId41" display="https://www.youtube.com/watch?v=9GVqKuTVANE"/>
    <hyperlink ref="H22" r:id="rId42" display="Ahmed Ferganey"/>
    <hyperlink ref="D23" r:id="rId43" display="https://www.youtube.com/playlist?list=PLZoTAELRMXVP5zpBfH7pab4aB1LbmCM1z"/>
    <hyperlink ref="H23" r:id="rId44" display="Ahmed Ferganey"/>
    <hyperlink ref="D24" r:id="rId45" display="https://www.youtube.com/watch?v=86FAWCzIe_4"/>
    <hyperlink ref="H24" r:id="rId46" display="Ahmed Ferganey"/>
    <hyperlink ref="D25" r:id="rId47" display="https://www.youtube.com/playlist?list=PLYmXYyXCMsfMMhiKPw4k1FF7KWxOEajsA"/>
    <hyperlink ref="H25" r:id="rId48" display="Ahmed Ferganey"/>
    <hyperlink ref="D26" r:id="rId49" display="https://www.youtube.com/watch?v=L-dDeZjZUiA"/>
    <hyperlink ref="H26" r:id="rId50" display="Ahmed Ferganey"/>
    <hyperlink ref="D27" r:id="rId51" display="https://www.youtube.com/watch?v=cYAE0ZhT43c"/>
    <hyperlink ref="H27" r:id="rId52" display="Ahmed Ferganey"/>
    <hyperlink ref="D28" r:id="rId53" display="https://www.youtube.com/watch?v=-LF0O8T5sOI&amp;t=16s"/>
    <hyperlink ref="H28" r:id="rId54" display="Ahmed Ferganey"/>
    <hyperlink ref="D29" r:id="rId55" display="https://www.youtube.com/playlist?list=PLI4OVrCFuY57b_16D8xs7-hmABHncVD_w"/>
    <hyperlink ref="H29" r:id="rId56" display="Ahmed Ferganey"/>
    <hyperlink ref="D31" r:id="rId57" display="https://www.youtube.com/watch?v=5avSMc79V-w"/>
    <hyperlink ref="D34" r:id="rId58" display="https://www.youtube.com/watch?v=RqTEHSBrYFw"/>
    <hyperlink ref="D35" r:id="rId59" display="https://www.youtube.com/watch?v=2LaAJq1lB1Q&amp;list=PL9ooVrP1hQOFtZ5oAAeOgi_nH-txMcDMu&amp;index=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4" min="4" style="0" width="18.63"/>
    <col collapsed="false" customWidth="true" hidden="false" outlineLevel="0" max="5" min="5" style="0" width="21.5"/>
    <col collapsed="false" customWidth="true" hidden="false" outlineLevel="0" max="6" min="6" style="0" width="17.25"/>
    <col collapsed="false" customWidth="true" hidden="false" outlineLevel="0" max="7" min="7" style="0" width="19.99"/>
    <col collapsed="false" customWidth="true" hidden="false" outlineLevel="0" max="11" min="8" style="0" width="17.25"/>
    <col collapsed="false" customWidth="true" hidden="false" outlineLevel="0" max="12" min="12" style="0" width="15.63"/>
    <col collapsed="false" customWidth="true" hidden="false" outlineLevel="0" max="15" min="15" style="0" width="13.63"/>
    <col collapsed="false" customWidth="true" hidden="false" outlineLevel="0" max="17" min="16" style="0" width="13.24"/>
    <col collapsed="false" customWidth="true" hidden="false" outlineLevel="0" max="18" min="18" style="0" width="16.13"/>
    <col collapsed="false" customWidth="true" hidden="false" outlineLevel="0" max="20" min="20" style="0" width="15.63"/>
    <col collapsed="false" customWidth="true" hidden="false" outlineLevel="0" max="22" min="22" style="0" width="14.75"/>
    <col collapsed="false" customWidth="true" hidden="false" outlineLevel="0" max="28" min="28" style="0" width="15.26"/>
    <col collapsed="false" customWidth="true" hidden="false" outlineLevel="0" max="29" min="29" style="0" width="19.25"/>
    <col collapsed="false" customWidth="true" hidden="false" outlineLevel="0" max="31" min="31" style="0" width="15.49"/>
  </cols>
  <sheetData>
    <row r="1" customFormat="false" ht="15.75" hidden="false" customHeight="true" outlineLevel="0" collapsed="false">
      <c r="A1" s="44" t="s">
        <v>159</v>
      </c>
      <c r="B1" s="44" t="s">
        <v>160</v>
      </c>
      <c r="C1" s="44" t="s">
        <v>161</v>
      </c>
      <c r="D1" s="44" t="s">
        <v>162</v>
      </c>
      <c r="E1" s="44" t="s">
        <v>163</v>
      </c>
      <c r="F1" s="44"/>
      <c r="G1" s="44"/>
      <c r="H1" s="44"/>
      <c r="I1" s="44"/>
      <c r="J1" s="44"/>
      <c r="K1" s="44"/>
      <c r="L1" s="44"/>
      <c r="M1" s="44"/>
      <c r="N1" s="44" t="s">
        <v>164</v>
      </c>
      <c r="O1" s="44" t="s">
        <v>165</v>
      </c>
      <c r="P1" s="44" t="s">
        <v>166</v>
      </c>
      <c r="Q1" s="44" t="s">
        <v>167</v>
      </c>
      <c r="R1" s="44" t="s">
        <v>168</v>
      </c>
      <c r="S1" s="44" t="s">
        <v>169</v>
      </c>
      <c r="T1" s="44" t="s">
        <v>170</v>
      </c>
      <c r="U1" s="44" t="s">
        <v>171</v>
      </c>
      <c r="V1" s="44" t="s">
        <v>172</v>
      </c>
    </row>
    <row r="2" customFormat="false" ht="15.75" hidden="false" customHeight="true" outlineLevel="0" collapsed="false">
      <c r="A2" s="44" t="s">
        <v>173</v>
      </c>
      <c r="B2" s="44" t="s">
        <v>160</v>
      </c>
      <c r="C2" s="44" t="s">
        <v>161</v>
      </c>
      <c r="D2" s="44" t="s">
        <v>162</v>
      </c>
      <c r="E2" s="44" t="s">
        <v>163</v>
      </c>
      <c r="F2" s="44" t="s">
        <v>174</v>
      </c>
      <c r="G2" s="44" t="s">
        <v>175</v>
      </c>
      <c r="H2" s="44" t="s">
        <v>176</v>
      </c>
      <c r="I2" s="44" t="s">
        <v>177</v>
      </c>
      <c r="J2" s="44" t="s">
        <v>178</v>
      </c>
      <c r="K2" s="44" t="s">
        <v>179</v>
      </c>
      <c r="L2" s="44" t="s">
        <v>180</v>
      </c>
      <c r="M2" s="44" t="s">
        <v>181</v>
      </c>
      <c r="N2" s="44" t="s">
        <v>164</v>
      </c>
      <c r="O2" s="44" t="s">
        <v>182</v>
      </c>
      <c r="P2" s="44" t="s">
        <v>166</v>
      </c>
      <c r="Q2" s="45" t="s">
        <v>167</v>
      </c>
      <c r="R2" s="45" t="s">
        <v>168</v>
      </c>
      <c r="S2" s="44" t="s">
        <v>169</v>
      </c>
      <c r="T2" s="44" t="s">
        <v>170</v>
      </c>
      <c r="U2" s="44" t="s">
        <v>183</v>
      </c>
      <c r="V2" s="44" t="s">
        <v>172</v>
      </c>
    </row>
    <row r="3" customFormat="false" ht="15.75" hidden="false" customHeight="true" outlineLevel="0" collapsed="false">
      <c r="A3" s="31" t="s">
        <v>184</v>
      </c>
      <c r="B3" s="46" t="n">
        <v>6000</v>
      </c>
      <c r="C3" s="46" t="n">
        <v>6600</v>
      </c>
      <c r="D3" s="46" t="n">
        <v>500</v>
      </c>
      <c r="E3" s="46" t="n">
        <v>320</v>
      </c>
      <c r="F3" s="46" t="n">
        <v>0</v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664</v>
      </c>
      <c r="L3" s="46" t="n">
        <v>0</v>
      </c>
      <c r="M3" s="46" t="n">
        <v>816</v>
      </c>
      <c r="N3" s="46" t="n">
        <f aca="false">SUM(D3:M3)</f>
        <v>2300</v>
      </c>
      <c r="O3" s="46" t="n">
        <f aca="false">C3-N3</f>
        <v>4300</v>
      </c>
      <c r="P3" s="46" t="n">
        <f aca="false">B3</f>
        <v>6000</v>
      </c>
      <c r="Q3" s="46" t="n">
        <f aca="false">C3</f>
        <v>6600</v>
      </c>
      <c r="R3" s="46" t="n">
        <f aca="false">SUM(M3,L3,J3,G3,F3)</f>
        <v>816</v>
      </c>
      <c r="S3" s="46" t="n">
        <f aca="false">N3</f>
        <v>2300</v>
      </c>
      <c r="T3" s="46" t="n">
        <f aca="false">O3</f>
        <v>4300</v>
      </c>
      <c r="U3" s="47" t="n">
        <f aca="false">O3/C3</f>
        <v>0.651515151515152</v>
      </c>
      <c r="V3" s="48" t="n">
        <f aca="false">T3/Q3</f>
        <v>0.651515151515152</v>
      </c>
    </row>
    <row r="4" customFormat="false" ht="15.75" hidden="false" customHeight="true" outlineLevel="0" collapsed="false">
      <c r="A4" s="31" t="s">
        <v>185</v>
      </c>
      <c r="B4" s="46" t="n">
        <v>9000</v>
      </c>
      <c r="C4" s="46" t="n">
        <v>9600</v>
      </c>
      <c r="D4" s="46" t="n">
        <v>500</v>
      </c>
      <c r="E4" s="46" t="n">
        <v>320</v>
      </c>
      <c r="F4" s="46" t="n">
        <v>0</v>
      </c>
      <c r="G4" s="46" t="n">
        <v>0</v>
      </c>
      <c r="H4" s="46" t="n">
        <v>0</v>
      </c>
      <c r="I4" s="46" t="n">
        <v>0</v>
      </c>
      <c r="J4" s="46" t="n">
        <v>0</v>
      </c>
      <c r="K4" s="46" t="n">
        <v>664</v>
      </c>
      <c r="L4" s="46" t="n">
        <v>0</v>
      </c>
      <c r="M4" s="46" t="n">
        <v>816</v>
      </c>
      <c r="N4" s="46" t="n">
        <f aca="false">SUM(D4:M4)</f>
        <v>2300</v>
      </c>
      <c r="O4" s="46" t="n">
        <f aca="false">C4-N4</f>
        <v>7300</v>
      </c>
      <c r="P4" s="46" t="n">
        <f aca="false">P3+B4</f>
        <v>15000</v>
      </c>
      <c r="Q4" s="46" t="n">
        <f aca="false">Q3+C4</f>
        <v>16200</v>
      </c>
      <c r="R4" s="46" t="n">
        <f aca="false">SUM(M4,L4,J4,G4,F4)</f>
        <v>816</v>
      </c>
      <c r="S4" s="46" t="n">
        <f aca="false">S3+N4</f>
        <v>4600</v>
      </c>
      <c r="T4" s="46" t="n">
        <f aca="false">T3+O4</f>
        <v>11600</v>
      </c>
      <c r="U4" s="47" t="n">
        <f aca="false">O4/C4</f>
        <v>0.760416666666667</v>
      </c>
      <c r="V4" s="48" t="n">
        <f aca="false">T4/Q4</f>
        <v>0.716049382716049</v>
      </c>
    </row>
    <row r="5" customFormat="false" ht="15.75" hidden="false" customHeight="true" outlineLevel="0" collapsed="false">
      <c r="A5" s="31" t="s">
        <v>186</v>
      </c>
      <c r="B5" s="46" t="n">
        <v>9000</v>
      </c>
      <c r="C5" s="46" t="n">
        <v>9700</v>
      </c>
      <c r="D5" s="46" t="n">
        <v>500</v>
      </c>
      <c r="E5" s="46" t="n">
        <v>320</v>
      </c>
      <c r="F5" s="46" t="n">
        <v>0</v>
      </c>
      <c r="G5" s="46" t="n">
        <v>0</v>
      </c>
      <c r="H5" s="46" t="n">
        <v>0</v>
      </c>
      <c r="I5" s="46" t="n">
        <v>0</v>
      </c>
      <c r="J5" s="46" t="n">
        <v>0</v>
      </c>
      <c r="K5" s="46" t="n">
        <v>664</v>
      </c>
      <c r="L5" s="46" t="n">
        <v>0</v>
      </c>
      <c r="M5" s="46" t="n">
        <v>816</v>
      </c>
      <c r="N5" s="46" t="n">
        <f aca="false">SUM(D5:M5)</f>
        <v>2300</v>
      </c>
      <c r="O5" s="46" t="n">
        <f aca="false">C5-N5</f>
        <v>7400</v>
      </c>
      <c r="P5" s="46" t="n">
        <f aca="false">P4+B5</f>
        <v>24000</v>
      </c>
      <c r="Q5" s="46" t="n">
        <f aca="false">Q4+C5</f>
        <v>25900</v>
      </c>
      <c r="R5" s="46" t="n">
        <f aca="false">SUM(M5,L5,J5,G5,F5)</f>
        <v>816</v>
      </c>
      <c r="S5" s="46" t="n">
        <f aca="false">S4+N5</f>
        <v>6900</v>
      </c>
      <c r="T5" s="46" t="n">
        <f aca="false">T4+O5</f>
        <v>19000</v>
      </c>
      <c r="U5" s="47" t="n">
        <f aca="false">O5/C5</f>
        <v>0.762886597938144</v>
      </c>
      <c r="V5" s="48" t="n">
        <f aca="false">T5/Q5</f>
        <v>0.733590733590734</v>
      </c>
    </row>
    <row r="6" customFormat="false" ht="15.75" hidden="false" customHeight="true" outlineLevel="0" collapsed="false">
      <c r="A6" s="31" t="s">
        <v>187</v>
      </c>
      <c r="B6" s="46" t="n">
        <v>9000</v>
      </c>
      <c r="C6" s="46" t="n">
        <v>9800</v>
      </c>
      <c r="D6" s="46" t="n">
        <v>500</v>
      </c>
      <c r="E6" s="46" t="n">
        <v>320</v>
      </c>
      <c r="F6" s="46" t="n">
        <v>0</v>
      </c>
      <c r="G6" s="46" t="n">
        <v>0</v>
      </c>
      <c r="H6" s="46" t="n">
        <v>0</v>
      </c>
      <c r="I6" s="46" t="n">
        <v>0</v>
      </c>
      <c r="J6" s="46" t="n">
        <v>0</v>
      </c>
      <c r="K6" s="46" t="n">
        <v>664</v>
      </c>
      <c r="L6" s="46" t="n">
        <v>0</v>
      </c>
      <c r="M6" s="46" t="n">
        <v>816</v>
      </c>
      <c r="N6" s="46" t="n">
        <f aca="false">SUM(D6:M6)</f>
        <v>2300</v>
      </c>
      <c r="O6" s="46" t="n">
        <f aca="false">C6-N6</f>
        <v>7500</v>
      </c>
      <c r="P6" s="46" t="n">
        <f aca="false">P5+B6</f>
        <v>33000</v>
      </c>
      <c r="Q6" s="46" t="n">
        <f aca="false">Q5+C6</f>
        <v>35700</v>
      </c>
      <c r="R6" s="46" t="n">
        <f aca="false">SUM(M6,L6,J6,G6,F6)</f>
        <v>816</v>
      </c>
      <c r="S6" s="46" t="n">
        <f aca="false">S5+N6</f>
        <v>9200</v>
      </c>
      <c r="T6" s="46" t="n">
        <f aca="false">T5+O6</f>
        <v>26500</v>
      </c>
      <c r="U6" s="47" t="n">
        <f aca="false">O6/C6</f>
        <v>0.76530612244898</v>
      </c>
      <c r="V6" s="48" t="n">
        <f aca="false">T6/Q6</f>
        <v>0.742296918767507</v>
      </c>
    </row>
    <row r="7" customFormat="false" ht="15.75" hidden="false" customHeight="true" outlineLevel="0" collapsed="false">
      <c r="A7" s="31" t="s">
        <v>188</v>
      </c>
      <c r="B7" s="46" t="n">
        <v>9000</v>
      </c>
      <c r="C7" s="46" t="n">
        <v>10950</v>
      </c>
      <c r="D7" s="46" t="n">
        <v>500</v>
      </c>
      <c r="E7" s="46" t="n">
        <v>320</v>
      </c>
      <c r="F7" s="46" t="n">
        <v>0</v>
      </c>
      <c r="G7" s="46" t="n">
        <v>0</v>
      </c>
      <c r="H7" s="46" t="n">
        <v>0</v>
      </c>
      <c r="I7" s="46" t="n">
        <v>0</v>
      </c>
      <c r="J7" s="46" t="n">
        <v>200</v>
      </c>
      <c r="K7" s="46" t="n">
        <v>664</v>
      </c>
      <c r="L7" s="46" t="n">
        <v>200</v>
      </c>
      <c r="M7" s="46" t="n">
        <v>816</v>
      </c>
      <c r="N7" s="46" t="n">
        <f aca="false">SUM(D7:M7)</f>
        <v>2700</v>
      </c>
      <c r="O7" s="46" t="n">
        <f aca="false">C7-N7</f>
        <v>8250</v>
      </c>
      <c r="P7" s="46" t="n">
        <f aca="false">P6+B7</f>
        <v>42000</v>
      </c>
      <c r="Q7" s="46" t="n">
        <f aca="false">Q6+C7</f>
        <v>46650</v>
      </c>
      <c r="R7" s="46" t="n">
        <f aca="false">SUM(M7,L7,J7,G7,F7)</f>
        <v>1216</v>
      </c>
      <c r="S7" s="46" t="n">
        <f aca="false">S6+N7</f>
        <v>11900</v>
      </c>
      <c r="T7" s="46" t="n">
        <f aca="false">T6+O7</f>
        <v>34750</v>
      </c>
      <c r="U7" s="47" t="n">
        <f aca="false">O7/C7</f>
        <v>0.753424657534247</v>
      </c>
      <c r="V7" s="48" t="n">
        <f aca="false">T7/Q7</f>
        <v>0.744908896034298</v>
      </c>
    </row>
    <row r="8" customFormat="false" ht="15.75" hidden="false" customHeight="true" outlineLevel="0" collapsed="false">
      <c r="A8" s="31" t="s">
        <v>189</v>
      </c>
      <c r="B8" s="46" t="n">
        <v>9000</v>
      </c>
      <c r="C8" s="46" t="n">
        <v>12450</v>
      </c>
      <c r="D8" s="46" t="n">
        <v>600</v>
      </c>
      <c r="E8" s="46" t="n">
        <v>500</v>
      </c>
      <c r="F8" s="46" t="n">
        <v>515</v>
      </c>
      <c r="G8" s="46" t="n">
        <v>935</v>
      </c>
      <c r="H8" s="46" t="n">
        <v>0</v>
      </c>
      <c r="I8" s="46" t="n">
        <v>0</v>
      </c>
      <c r="J8" s="46" t="n">
        <v>120</v>
      </c>
      <c r="K8" s="46" t="n">
        <v>750</v>
      </c>
      <c r="L8" s="46" t="n">
        <v>620</v>
      </c>
      <c r="M8" s="46" t="n">
        <v>580</v>
      </c>
      <c r="N8" s="46" t="n">
        <f aca="false">SUM(D8:M8)</f>
        <v>4620</v>
      </c>
      <c r="O8" s="46" t="n">
        <f aca="false">C8-N8</f>
        <v>7830</v>
      </c>
      <c r="P8" s="46" t="n">
        <f aca="false">P7+B8</f>
        <v>51000</v>
      </c>
      <c r="Q8" s="46" t="n">
        <f aca="false">Q7+C8</f>
        <v>59100</v>
      </c>
      <c r="R8" s="46" t="n">
        <f aca="false">SUM(M8,L8,J8,G8,F8)</f>
        <v>2770</v>
      </c>
      <c r="S8" s="46" t="n">
        <f aca="false">S7+N8</f>
        <v>16520</v>
      </c>
      <c r="T8" s="46" t="n">
        <f aca="false">T7+O8</f>
        <v>42580</v>
      </c>
      <c r="U8" s="47" t="n">
        <f aca="false">O8/C8</f>
        <v>0.628915662650602</v>
      </c>
      <c r="V8" s="48" t="n">
        <f aca="false">T8/Q8</f>
        <v>0.720473773265651</v>
      </c>
    </row>
    <row r="9" customFormat="false" ht="15.75" hidden="false" customHeight="true" outlineLevel="0" collapsed="false">
      <c r="A9" s="31" t="s">
        <v>190</v>
      </c>
      <c r="B9" s="46" t="n">
        <v>9000</v>
      </c>
      <c r="C9" s="46" t="n">
        <v>10000</v>
      </c>
      <c r="D9" s="46" t="n">
        <v>0</v>
      </c>
      <c r="E9" s="46" t="n">
        <v>0</v>
      </c>
      <c r="F9" s="46" t="n">
        <v>0</v>
      </c>
      <c r="G9" s="46" t="n">
        <v>0</v>
      </c>
      <c r="H9" s="46" t="n">
        <v>0</v>
      </c>
      <c r="I9" s="46" t="n">
        <v>0</v>
      </c>
      <c r="J9" s="46" t="n">
        <v>0</v>
      </c>
      <c r="K9" s="46" t="n">
        <v>300</v>
      </c>
      <c r="L9" s="46" t="n">
        <v>80</v>
      </c>
      <c r="M9" s="46" t="n">
        <v>50</v>
      </c>
      <c r="N9" s="46" t="n">
        <f aca="false">SUM(D9:M9)</f>
        <v>430</v>
      </c>
      <c r="O9" s="46" t="n">
        <f aca="false">C9-N9</f>
        <v>9570</v>
      </c>
      <c r="P9" s="46" t="n">
        <f aca="false">P8+B9</f>
        <v>60000</v>
      </c>
      <c r="Q9" s="46" t="n">
        <f aca="false">Q8+C9</f>
        <v>69100</v>
      </c>
      <c r="R9" s="46" t="n">
        <f aca="false">SUM(M9,L9,J9,G9,F9)</f>
        <v>130</v>
      </c>
      <c r="S9" s="46" t="n">
        <f aca="false">S8+N9</f>
        <v>16950</v>
      </c>
      <c r="T9" s="46" t="n">
        <f aca="false">T8+O9</f>
        <v>52150</v>
      </c>
      <c r="U9" s="47" t="n">
        <f aca="false">O9/C9</f>
        <v>0.957</v>
      </c>
      <c r="V9" s="48" t="n">
        <f aca="false">T9/Q9</f>
        <v>0.754703328509407</v>
      </c>
    </row>
    <row r="10" customFormat="false" ht="15.75" hidden="false" customHeight="true" outlineLevel="0" collapsed="false">
      <c r="A10" s="31" t="s">
        <v>191</v>
      </c>
      <c r="B10" s="46" t="n">
        <v>9000</v>
      </c>
      <c r="C10" s="46" t="n">
        <v>10000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 t="n">
        <f aca="false">AVERAGE(N3:N8)</f>
        <v>2753.33333333333</v>
      </c>
      <c r="O10" s="46" t="n">
        <f aca="false">C10-N10</f>
        <v>7246.66666666667</v>
      </c>
      <c r="P10" s="46" t="n">
        <f aca="false">P9+B10</f>
        <v>69000</v>
      </c>
      <c r="Q10" s="46" t="n">
        <f aca="false">Q9+C10</f>
        <v>79100</v>
      </c>
      <c r="R10" s="46" t="n">
        <f aca="false">SUM(M10,L10,J10,G10,F10)</f>
        <v>0</v>
      </c>
      <c r="S10" s="46" t="n">
        <f aca="false">S9+N10</f>
        <v>19703.3333333333</v>
      </c>
      <c r="T10" s="46" t="n">
        <f aca="false">T9+O10</f>
        <v>59396.6666666667</v>
      </c>
      <c r="U10" s="47" t="n">
        <f aca="false">O10/C10</f>
        <v>0.724666666666667</v>
      </c>
      <c r="V10" s="48" t="n">
        <f aca="false">T10/Q10</f>
        <v>0.750906026127265</v>
      </c>
    </row>
    <row r="11" customFormat="false" ht="15.75" hidden="false" customHeight="true" outlineLevel="0" collapsed="false">
      <c r="A11" s="31" t="s">
        <v>192</v>
      </c>
      <c r="B11" s="46" t="n">
        <v>9000</v>
      </c>
      <c r="C11" s="46" t="n">
        <v>10000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 t="n">
        <f aca="false">AVERAGE(N3:N8)</f>
        <v>2753.33333333333</v>
      </c>
      <c r="O11" s="46" t="n">
        <f aca="false">C11-N11</f>
        <v>7246.66666666667</v>
      </c>
      <c r="P11" s="46" t="n">
        <f aca="false">P10+B11</f>
        <v>78000</v>
      </c>
      <c r="Q11" s="46" t="n">
        <f aca="false">Q10+C11</f>
        <v>89100</v>
      </c>
      <c r="R11" s="46" t="n">
        <f aca="false">SUM(M11,L11,J11,G11,F11)</f>
        <v>0</v>
      </c>
      <c r="S11" s="46" t="n">
        <f aca="false">S10+N11</f>
        <v>22456.6666666667</v>
      </c>
      <c r="T11" s="46" t="n">
        <f aca="false">T10+O11</f>
        <v>66643.3333333333</v>
      </c>
      <c r="U11" s="47" t="n">
        <f aca="false">O11/C11</f>
        <v>0.724666666666667</v>
      </c>
      <c r="V11" s="48" t="n">
        <f aca="false">T11/Q11</f>
        <v>0.747961092405537</v>
      </c>
    </row>
    <row r="12" customFormat="false" ht="15.75" hidden="false" customHeight="true" outlineLevel="0" collapsed="false">
      <c r="A12" s="31" t="s">
        <v>193</v>
      </c>
      <c r="B12" s="46" t="n">
        <v>9000</v>
      </c>
      <c r="C12" s="46" t="n">
        <v>10000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 t="n">
        <f aca="false">AVERAGE(N3:N8)</f>
        <v>2753.33333333333</v>
      </c>
      <c r="O12" s="46" t="n">
        <f aca="false">C12-N12</f>
        <v>7246.66666666667</v>
      </c>
      <c r="P12" s="46" t="n">
        <f aca="false">P11+B12</f>
        <v>87000</v>
      </c>
      <c r="Q12" s="46" t="n">
        <f aca="false">Q11+C12</f>
        <v>99100</v>
      </c>
      <c r="R12" s="46" t="n">
        <f aca="false">SUM(M12,L12,J12,G12,F12)</f>
        <v>0</v>
      </c>
      <c r="S12" s="46" t="n">
        <f aca="false">S11+N12</f>
        <v>25210</v>
      </c>
      <c r="T12" s="46" t="n">
        <f aca="false">T11+O12</f>
        <v>73890</v>
      </c>
      <c r="U12" s="47" t="n">
        <f aca="false">O12/C12</f>
        <v>0.724666666666667</v>
      </c>
      <c r="V12" s="48" t="n">
        <f aca="false">T12/Q12</f>
        <v>0.74561049445005</v>
      </c>
    </row>
    <row r="13" customFormat="false" ht="15.75" hidden="false" customHeight="true" outlineLevel="0" collapsed="false">
      <c r="A13" s="31" t="s">
        <v>194</v>
      </c>
      <c r="B13" s="46" t="n">
        <v>9000</v>
      </c>
      <c r="C13" s="46" t="n">
        <v>10000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 t="n">
        <f aca="false">AVERAGE(N3:N8,N10:N12)</f>
        <v>2753.33333333333</v>
      </c>
      <c r="O13" s="46" t="n">
        <f aca="false">C13-N13</f>
        <v>7246.66666666667</v>
      </c>
      <c r="P13" s="46" t="n">
        <f aca="false">P12+B13</f>
        <v>96000</v>
      </c>
      <c r="Q13" s="46" t="n">
        <f aca="false">Q12+C13</f>
        <v>109100</v>
      </c>
      <c r="R13" s="46" t="n">
        <f aca="false">SUM(M13,L13,J13,G13,F13)</f>
        <v>0</v>
      </c>
      <c r="S13" s="46" t="n">
        <f aca="false">S12+N13</f>
        <v>27963.3333333333</v>
      </c>
      <c r="T13" s="46" t="n">
        <f aca="false">T12+O13</f>
        <v>81136.6666666667</v>
      </c>
      <c r="U13" s="47" t="n">
        <f aca="false">O13/C13</f>
        <v>0.724666666666667</v>
      </c>
      <c r="V13" s="48" t="n">
        <f aca="false">T13/Q13</f>
        <v>0.743690803544149</v>
      </c>
    </row>
    <row r="14" customFormat="false" ht="15.75" hidden="false" customHeight="true" outlineLevel="0" collapsed="false">
      <c r="A14" s="31" t="s">
        <v>195</v>
      </c>
      <c r="B14" s="46" t="n">
        <v>9000</v>
      </c>
      <c r="C14" s="46" t="n">
        <v>10000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 t="n">
        <f aca="false">AVERAGE(N10:N13)</f>
        <v>2753.33333333333</v>
      </c>
      <c r="O14" s="46" t="n">
        <f aca="false">C14-N14</f>
        <v>7246.66666666667</v>
      </c>
      <c r="P14" s="46" t="n">
        <f aca="false">P13+B14</f>
        <v>105000</v>
      </c>
      <c r="Q14" s="46" t="n">
        <f aca="false">Q13+C14</f>
        <v>119100</v>
      </c>
      <c r="R14" s="46" t="n">
        <f aca="false">SUM(M14,L14,J14,G14,F14)</f>
        <v>0</v>
      </c>
      <c r="S14" s="46" t="n">
        <f aca="false">S13+N14</f>
        <v>30716.6666666667</v>
      </c>
      <c r="T14" s="46" t="n">
        <f aca="false">T13+O14</f>
        <v>88383.3333333334</v>
      </c>
      <c r="U14" s="47" t="n">
        <f aca="false">O14/C14</f>
        <v>0.724666666666667</v>
      </c>
      <c r="V14" s="48" t="n">
        <f aca="false">T14/Q14</f>
        <v>0.742093478869298</v>
      </c>
    </row>
    <row r="15" customFormat="false" ht="15.75" hidden="false" customHeight="true" outlineLevel="0" collapsed="false">
      <c r="A15" s="31" t="s">
        <v>184</v>
      </c>
      <c r="B15" s="46" t="n">
        <v>9000</v>
      </c>
      <c r="C15" s="46" t="n">
        <v>10000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 t="n">
        <f aca="false">AVERAGE(N11:N14)</f>
        <v>2753.33333333333</v>
      </c>
      <c r="O15" s="46" t="n">
        <f aca="false">C15-N15</f>
        <v>7246.66666666667</v>
      </c>
      <c r="P15" s="46" t="n">
        <f aca="false">P14+B15</f>
        <v>114000</v>
      </c>
      <c r="Q15" s="46" t="n">
        <f aca="false">Q14+C15</f>
        <v>129100</v>
      </c>
      <c r="R15" s="46" t="n">
        <f aca="false">SUM(M15,L15,J15,G15,F15)</f>
        <v>0</v>
      </c>
      <c r="S15" s="46" t="n">
        <f aca="false">S14+N15</f>
        <v>33470</v>
      </c>
      <c r="T15" s="46" t="n">
        <f aca="false">T14+O15</f>
        <v>95630</v>
      </c>
      <c r="U15" s="47" t="n">
        <f aca="false">O15/C15</f>
        <v>0.724666666666667</v>
      </c>
      <c r="V15" s="48" t="n">
        <f aca="false">T15/Q15</f>
        <v>0.740743609604958</v>
      </c>
    </row>
    <row r="16" customFormat="false" ht="15.75" hidden="false" customHeight="true" outlineLevel="0" collapsed="false">
      <c r="A16" s="31" t="s">
        <v>185</v>
      </c>
      <c r="B16" s="46" t="n">
        <v>9000</v>
      </c>
      <c r="C16" s="46" t="n">
        <v>20000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 t="n">
        <f aca="false">AVERAGE(N12:N15)</f>
        <v>2753.33333333333</v>
      </c>
      <c r="O16" s="46" t="n">
        <f aca="false">C16-N16</f>
        <v>17246.6666666667</v>
      </c>
      <c r="P16" s="46" t="n">
        <f aca="false">P15+B16</f>
        <v>123000</v>
      </c>
      <c r="Q16" s="46" t="n">
        <f aca="false">Q15+C16</f>
        <v>149100</v>
      </c>
      <c r="R16" s="46" t="n">
        <f aca="false">SUM(M16,L16,J16,G16,F16)</f>
        <v>0</v>
      </c>
      <c r="S16" s="46" t="n">
        <f aca="false">S15+N16</f>
        <v>36223.3333333333</v>
      </c>
      <c r="T16" s="46" t="n">
        <f aca="false">T15+O16</f>
        <v>112876.666666667</v>
      </c>
      <c r="U16" s="47" t="n">
        <f aca="false">O16/C16</f>
        <v>0.862333333333333</v>
      </c>
      <c r="V16" s="48" t="n">
        <f aca="false">T16/Q16</f>
        <v>0.757053431701319</v>
      </c>
    </row>
    <row r="17" customFormat="false" ht="15.75" hidden="false" customHeight="true" outlineLevel="0" collapsed="false">
      <c r="A17" s="31" t="s">
        <v>186</v>
      </c>
      <c r="B17" s="46" t="n">
        <v>9000</v>
      </c>
      <c r="C17" s="46" t="n">
        <v>20000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 t="n">
        <f aca="false">AVERAGE(N13:N16)</f>
        <v>2753.33333333333</v>
      </c>
      <c r="O17" s="46" t="n">
        <f aca="false">C17-N17</f>
        <v>17246.6666666667</v>
      </c>
      <c r="P17" s="46" t="n">
        <f aca="false">P16+B17</f>
        <v>132000</v>
      </c>
      <c r="Q17" s="46" t="n">
        <f aca="false">Q16+C17</f>
        <v>169100</v>
      </c>
      <c r="R17" s="46" t="n">
        <f aca="false">SUM(M17,L17,J17,G17,F17)</f>
        <v>0</v>
      </c>
      <c r="S17" s="46" t="n">
        <f aca="false">S16+N17</f>
        <v>38976.6666666667</v>
      </c>
      <c r="T17" s="46" t="n">
        <f aca="false">T16+O17</f>
        <v>130123.333333333</v>
      </c>
      <c r="U17" s="47" t="n">
        <f aca="false">O17/C17</f>
        <v>0.862333333333333</v>
      </c>
      <c r="V17" s="48" t="n">
        <f aca="false">T17/Q17</f>
        <v>0.769505223733491</v>
      </c>
    </row>
    <row r="18" customFormat="false" ht="15.75" hidden="false" customHeight="true" outlineLevel="0" collapsed="false">
      <c r="A18" s="31" t="s">
        <v>187</v>
      </c>
      <c r="B18" s="46" t="n">
        <v>9000</v>
      </c>
      <c r="C18" s="46" t="n">
        <v>20000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 t="n">
        <f aca="false">AVERAGE(N14:N17)</f>
        <v>2753.33333333333</v>
      </c>
      <c r="O18" s="46" t="n">
        <f aca="false">C18-N18</f>
        <v>17246.6666666667</v>
      </c>
      <c r="P18" s="46" t="n">
        <f aca="false">P17+B18</f>
        <v>141000</v>
      </c>
      <c r="Q18" s="46" t="n">
        <f aca="false">Q17+C18</f>
        <v>189100</v>
      </c>
      <c r="R18" s="46" t="n">
        <f aca="false">SUM(M18,L18,J18,G18,F18)</f>
        <v>0</v>
      </c>
      <c r="S18" s="46" t="n">
        <f aca="false">S17+N18</f>
        <v>41730</v>
      </c>
      <c r="T18" s="46" t="n">
        <f aca="false">T17+O18</f>
        <v>147370</v>
      </c>
      <c r="U18" s="47" t="n">
        <f aca="false">O18/C18</f>
        <v>0.862333333333333</v>
      </c>
      <c r="V18" s="48" t="n">
        <f aca="false">T18/Q18</f>
        <v>0.779323109465891</v>
      </c>
    </row>
    <row r="19" customFormat="false" ht="15.75" hidden="false" customHeight="true" outlineLevel="0" collapsed="false">
      <c r="A19" s="31" t="s">
        <v>188</v>
      </c>
      <c r="B19" s="46" t="n">
        <v>9000</v>
      </c>
      <c r="C19" s="46" t="n">
        <v>20000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 t="n">
        <f aca="false">AVERAGE(N15:N18)</f>
        <v>2753.33333333333</v>
      </c>
      <c r="O19" s="46" t="n">
        <f aca="false">C19-N19</f>
        <v>17246.6666666667</v>
      </c>
      <c r="P19" s="46" t="n">
        <f aca="false">P18+B19</f>
        <v>150000</v>
      </c>
      <c r="Q19" s="46" t="n">
        <f aca="false">Q18+C19</f>
        <v>209100</v>
      </c>
      <c r="R19" s="46" t="n">
        <f aca="false">SUM(M19,L19,J19,G19,F19)</f>
        <v>0</v>
      </c>
      <c r="S19" s="46" t="n">
        <f aca="false">S18+N19</f>
        <v>44483.3333333333</v>
      </c>
      <c r="T19" s="46" t="n">
        <f aca="false">T18+O19</f>
        <v>164616.666666667</v>
      </c>
      <c r="U19" s="47" t="n">
        <f aca="false">O19/C19</f>
        <v>0.862333333333333</v>
      </c>
      <c r="V19" s="48" t="n">
        <f aca="false">T19/Q19</f>
        <v>0.787262872628726</v>
      </c>
    </row>
    <row r="20" customFormat="false" ht="15.75" hidden="false" customHeight="true" outlineLevel="0" collapsed="false">
      <c r="A20" s="31" t="s">
        <v>189</v>
      </c>
      <c r="B20" s="46" t="n">
        <v>9000</v>
      </c>
      <c r="C20" s="46" t="n">
        <v>20000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 t="n">
        <f aca="false">AVERAGE(N16:N19)</f>
        <v>2753.33333333333</v>
      </c>
      <c r="O20" s="46" t="n">
        <f aca="false">C20-N20</f>
        <v>17246.6666666667</v>
      </c>
      <c r="P20" s="46" t="n">
        <f aca="false">P19+B20</f>
        <v>159000</v>
      </c>
      <c r="Q20" s="46" t="n">
        <f aca="false">Q19+C20</f>
        <v>229100</v>
      </c>
      <c r="R20" s="46" t="n">
        <f aca="false">SUM(M20,L20,J20,G20,F20)</f>
        <v>0</v>
      </c>
      <c r="S20" s="46" t="n">
        <f aca="false">S19+N20</f>
        <v>47236.6666666667</v>
      </c>
      <c r="T20" s="46" t="n">
        <f aca="false">T19+O20</f>
        <v>181863.333333333</v>
      </c>
      <c r="U20" s="47" t="n">
        <f aca="false">O20/C20</f>
        <v>0.862333333333333</v>
      </c>
      <c r="V20" s="48" t="n">
        <f aca="false">T20/Q20</f>
        <v>0.793816382947767</v>
      </c>
    </row>
    <row r="21" customFormat="false" ht="15.75" hidden="false" customHeight="true" outlineLevel="0" collapsed="false">
      <c r="A21" s="31" t="s">
        <v>190</v>
      </c>
      <c r="B21" s="46" t="n">
        <v>9000</v>
      </c>
      <c r="C21" s="46" t="n">
        <v>20000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 t="n">
        <f aca="false">AVERAGE(N17:N20)</f>
        <v>2753.33333333333</v>
      </c>
      <c r="O21" s="46" t="n">
        <f aca="false">C21-N21</f>
        <v>17246.6666666667</v>
      </c>
      <c r="P21" s="46" t="n">
        <f aca="false">P20+B21</f>
        <v>168000</v>
      </c>
      <c r="Q21" s="46" t="n">
        <f aca="false">Q20+C21</f>
        <v>249100</v>
      </c>
      <c r="R21" s="46" t="n">
        <f aca="false">SUM(M21,L21,J21,G21,F21)</f>
        <v>0</v>
      </c>
      <c r="S21" s="46" t="n">
        <f aca="false">S20+N21</f>
        <v>49990</v>
      </c>
      <c r="T21" s="46" t="n">
        <f aca="false">T20+O21</f>
        <v>199110</v>
      </c>
      <c r="U21" s="47" t="n">
        <f aca="false">O21/C21</f>
        <v>0.862333333333333</v>
      </c>
      <c r="V21" s="48" t="n">
        <f aca="false">T21/Q21</f>
        <v>0.799317543155359</v>
      </c>
    </row>
    <row r="22" customFormat="false" ht="15.75" hidden="false" customHeight="true" outlineLevel="0" collapsed="false">
      <c r="A22" s="31" t="s">
        <v>191</v>
      </c>
      <c r="B22" s="46" t="n">
        <v>9000</v>
      </c>
      <c r="C22" s="46" t="n">
        <v>20000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 t="n">
        <f aca="false">AVERAGE(N18:N21)</f>
        <v>2753.33333333333</v>
      </c>
      <c r="O22" s="46" t="n">
        <f aca="false">C22-N22</f>
        <v>17246.6666666667</v>
      </c>
      <c r="P22" s="46" t="n">
        <f aca="false">P21+B22</f>
        <v>177000</v>
      </c>
      <c r="Q22" s="46" t="n">
        <f aca="false">Q21+C22</f>
        <v>269100</v>
      </c>
      <c r="R22" s="46" t="n">
        <f aca="false">SUM(M22,L22,J22,G22,F22)</f>
        <v>0</v>
      </c>
      <c r="S22" s="46" t="n">
        <f aca="false">S21+N22</f>
        <v>52743.3333333333</v>
      </c>
      <c r="T22" s="46" t="n">
        <f aca="false">T21+O22</f>
        <v>216356.666666667</v>
      </c>
      <c r="U22" s="47" t="n">
        <f aca="false">O22/C22</f>
        <v>0.862333333333333</v>
      </c>
      <c r="V22" s="48" t="n">
        <f aca="false">T22/Q22</f>
        <v>0.804000990957513</v>
      </c>
    </row>
    <row r="23" customFormat="false" ht="15.75" hidden="false" customHeight="true" outlineLevel="0" collapsed="false">
      <c r="A23" s="31" t="s">
        <v>192</v>
      </c>
      <c r="B23" s="46" t="n">
        <v>9000</v>
      </c>
      <c r="C23" s="46" t="n">
        <v>20000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 t="n">
        <f aca="false">AVERAGE(N19:N22)</f>
        <v>2753.33333333333</v>
      </c>
      <c r="O23" s="46" t="n">
        <f aca="false">C23-N23</f>
        <v>17246.6666666667</v>
      </c>
      <c r="P23" s="46" t="n">
        <f aca="false">P22+B23</f>
        <v>186000</v>
      </c>
      <c r="Q23" s="46" t="n">
        <f aca="false">Q22+C23</f>
        <v>289100</v>
      </c>
      <c r="R23" s="46" t="n">
        <f aca="false">SUM(M23,L23,J23,G23,F23)</f>
        <v>0</v>
      </c>
      <c r="S23" s="46" t="n">
        <f aca="false">S22+N23</f>
        <v>55496.6666666667</v>
      </c>
      <c r="T23" s="46" t="n">
        <f aca="false">T22+O23</f>
        <v>233603.333333333</v>
      </c>
      <c r="U23" s="47" t="n">
        <f aca="false">O23/C23</f>
        <v>0.862333333333333</v>
      </c>
      <c r="V23" s="48" t="n">
        <f aca="false">T23/Q23</f>
        <v>0.808036434912948</v>
      </c>
    </row>
    <row r="24" customFormat="false" ht="15.75" hidden="false" customHeight="true" outlineLevel="0" collapsed="false">
      <c r="A24" s="31" t="s">
        <v>193</v>
      </c>
      <c r="B24" s="46" t="n">
        <v>9000</v>
      </c>
      <c r="C24" s="46" t="n">
        <v>20000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 t="n">
        <f aca="false">AVERAGE(N20:N23)</f>
        <v>2753.33333333333</v>
      </c>
      <c r="O24" s="46" t="n">
        <f aca="false">C24-N24</f>
        <v>17246.6666666667</v>
      </c>
      <c r="P24" s="46" t="n">
        <f aca="false">P23+B24</f>
        <v>195000</v>
      </c>
      <c r="Q24" s="46" t="n">
        <f aca="false">Q23+C24</f>
        <v>309100</v>
      </c>
      <c r="R24" s="46" t="n">
        <f aca="false">SUM(M24,L24,J24,G24,F24)</f>
        <v>0</v>
      </c>
      <c r="S24" s="46" t="n">
        <f aca="false">S23+N24</f>
        <v>58250</v>
      </c>
      <c r="T24" s="46" t="n">
        <f aca="false">T23+O24</f>
        <v>250850</v>
      </c>
      <c r="U24" s="47" t="n">
        <f aca="false">O24/C24</f>
        <v>0.862333333333333</v>
      </c>
      <c r="V24" s="48" t="n">
        <f aca="false">T24/Q24</f>
        <v>0.811549660304109</v>
      </c>
    </row>
    <row r="25" customFormat="false" ht="15.75" hidden="false" customHeight="true" outlineLevel="0" collapsed="false">
      <c r="A25" s="31" t="s">
        <v>194</v>
      </c>
      <c r="B25" s="46" t="n">
        <v>9000</v>
      </c>
      <c r="C25" s="46" t="n">
        <v>20000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 t="n">
        <f aca="false">AVERAGE(N21:N24)</f>
        <v>2753.33333333333</v>
      </c>
      <c r="O25" s="46" t="n">
        <f aca="false">C25-N25</f>
        <v>17246.6666666667</v>
      </c>
      <c r="P25" s="46" t="n">
        <f aca="false">P24+B25</f>
        <v>204000</v>
      </c>
      <c r="Q25" s="46" t="n">
        <f aca="false">Q24+C25</f>
        <v>329100</v>
      </c>
      <c r="R25" s="46" t="n">
        <f aca="false">SUM(M25,L25,J25,G25,F25)</f>
        <v>0</v>
      </c>
      <c r="S25" s="46" t="n">
        <f aca="false">S24+N25</f>
        <v>61003.3333333334</v>
      </c>
      <c r="T25" s="46" t="n">
        <f aca="false">T24+O25</f>
        <v>268096.666666667</v>
      </c>
      <c r="U25" s="47" t="n">
        <f aca="false">O25/C25</f>
        <v>0.862333333333333</v>
      </c>
      <c r="V25" s="48" t="n">
        <f aca="false">T25/Q25</f>
        <v>0.814635875620379</v>
      </c>
    </row>
    <row r="26" customFormat="false" ht="15.75" hidden="false" customHeight="true" outlineLevel="0" collapsed="false">
      <c r="A26" s="31" t="s">
        <v>195</v>
      </c>
      <c r="B26" s="46" t="n">
        <v>9000</v>
      </c>
      <c r="C26" s="46" t="n">
        <v>20000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 t="n">
        <f aca="false">AVERAGE(N22:N25)</f>
        <v>2753.33333333333</v>
      </c>
      <c r="O26" s="46" t="n">
        <f aca="false">C26-N26</f>
        <v>17246.6666666667</v>
      </c>
      <c r="P26" s="46" t="n">
        <f aca="false">P25+B26</f>
        <v>213000</v>
      </c>
      <c r="Q26" s="46" t="n">
        <f aca="false">Q25+C26</f>
        <v>349100</v>
      </c>
      <c r="R26" s="46" t="n">
        <f aca="false">SUM(M26,L26,J26,G26,F26)</f>
        <v>0</v>
      </c>
      <c r="S26" s="46" t="n">
        <f aca="false">S25+N26</f>
        <v>63756.6666666667</v>
      </c>
      <c r="T26" s="46" t="n">
        <f aca="false">T25+O26</f>
        <v>285343.333333333</v>
      </c>
      <c r="U26" s="47" t="n">
        <f aca="false">O26/C26</f>
        <v>0.862333333333333</v>
      </c>
      <c r="V26" s="48" t="n">
        <f aca="false">T26/Q26</f>
        <v>0.817368471307171</v>
      </c>
    </row>
    <row r="27" customFormat="false" ht="15.75" hidden="false" customHeight="true" outlineLevel="0" collapsed="false">
      <c r="A27" s="31" t="s">
        <v>184</v>
      </c>
      <c r="B27" s="46" t="n">
        <v>9000</v>
      </c>
      <c r="C27" s="46" t="n">
        <v>20000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 t="n">
        <f aca="false">AVERAGE(N23:N26)</f>
        <v>2753.33333333333</v>
      </c>
      <c r="O27" s="46" t="n">
        <f aca="false">C27-N27</f>
        <v>17246.6666666667</v>
      </c>
      <c r="P27" s="46" t="n">
        <f aca="false">P26+B27</f>
        <v>222000</v>
      </c>
      <c r="Q27" s="46" t="n">
        <f aca="false">Q26+C27</f>
        <v>369100</v>
      </c>
      <c r="R27" s="46" t="n">
        <f aca="false">SUM(M27,L27,J27,G27,F27)</f>
        <v>0</v>
      </c>
      <c r="S27" s="46" t="n">
        <f aca="false">S26+N27</f>
        <v>66510</v>
      </c>
      <c r="T27" s="46" t="n">
        <f aca="false">T26+O27</f>
        <v>302590</v>
      </c>
      <c r="U27" s="47" t="n">
        <f aca="false">O27/C27</f>
        <v>0.862333333333333</v>
      </c>
      <c r="V27" s="48" t="n">
        <f aca="false">T27/Q27</f>
        <v>0.819804930913032</v>
      </c>
    </row>
    <row r="28" customFormat="false" ht="15.75" hidden="false" customHeight="true" outlineLevel="0" collapsed="false">
      <c r="A28" s="31" t="s">
        <v>185</v>
      </c>
      <c r="B28" s="46" t="n">
        <v>9000</v>
      </c>
      <c r="C28" s="46" t="n">
        <v>20000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 t="n">
        <f aca="false">AVERAGE(N24:N27)</f>
        <v>2753.33333333333</v>
      </c>
      <c r="O28" s="46" t="n">
        <f aca="false">C28-N28</f>
        <v>17246.6666666667</v>
      </c>
      <c r="P28" s="46" t="n">
        <f aca="false">P27+B28</f>
        <v>231000</v>
      </c>
      <c r="Q28" s="46" t="n">
        <f aca="false">Q27+C28</f>
        <v>389100</v>
      </c>
      <c r="R28" s="46" t="n">
        <f aca="false">SUM(M28,L28,J28,G28,F28)</f>
        <v>0</v>
      </c>
      <c r="S28" s="46" t="n">
        <f aca="false">S27+N28</f>
        <v>69263.3333333333</v>
      </c>
      <c r="T28" s="46" t="n">
        <f aca="false">T27+O28</f>
        <v>319836.666666667</v>
      </c>
      <c r="U28" s="47" t="n">
        <f aca="false">O28/C28</f>
        <v>0.862333333333333</v>
      </c>
      <c r="V28" s="48" t="n">
        <f aca="false">T28/Q28</f>
        <v>0.821990919215283</v>
      </c>
    </row>
    <row r="29" customFormat="false" ht="15.75" hidden="false" customHeight="true" outlineLevel="0" collapsed="false">
      <c r="A29" s="31" t="s">
        <v>186</v>
      </c>
      <c r="B29" s="46" t="n">
        <v>9000</v>
      </c>
      <c r="C29" s="46" t="n">
        <v>20000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 t="n">
        <f aca="false">AVERAGE(N25:N28)</f>
        <v>2753.33333333333</v>
      </c>
      <c r="O29" s="46" t="n">
        <f aca="false">C29-N29</f>
        <v>17246.6666666667</v>
      </c>
      <c r="P29" s="46" t="n">
        <f aca="false">P28+B29</f>
        <v>240000</v>
      </c>
      <c r="Q29" s="46" t="n">
        <f aca="false">Q28+C29</f>
        <v>409100</v>
      </c>
      <c r="R29" s="46" t="n">
        <f aca="false">SUM(M29,L29,J29,G29,F29)</f>
        <v>0</v>
      </c>
      <c r="S29" s="46" t="n">
        <f aca="false">S28+N29</f>
        <v>72016.6666666667</v>
      </c>
      <c r="T29" s="46" t="n">
        <f aca="false">T28+O29</f>
        <v>337083.333333333</v>
      </c>
      <c r="U29" s="47" t="n">
        <f aca="false">O29/C29</f>
        <v>0.862333333333333</v>
      </c>
      <c r="V29" s="48" t="n">
        <f aca="false">T29/Q29</f>
        <v>0.823963171188789</v>
      </c>
    </row>
    <row r="30" customFormat="false" ht="15.75" hidden="false" customHeight="true" outlineLevel="0" collapsed="false">
      <c r="A30" s="31" t="s">
        <v>187</v>
      </c>
      <c r="B30" s="46" t="n">
        <v>9000</v>
      </c>
      <c r="C30" s="46" t="n">
        <v>20000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 t="n">
        <f aca="false">AVERAGE(N26:N29)</f>
        <v>2753.33333333333</v>
      </c>
      <c r="O30" s="46" t="n">
        <f aca="false">C30-N30</f>
        <v>17246.6666666667</v>
      </c>
      <c r="P30" s="46" t="n">
        <f aca="false">P29+B30</f>
        <v>249000</v>
      </c>
      <c r="Q30" s="46" t="n">
        <f aca="false">Q29+C30</f>
        <v>429100</v>
      </c>
      <c r="R30" s="46" t="n">
        <f aca="false">SUM(M30,L30,J30,G30,F30)</f>
        <v>0</v>
      </c>
      <c r="S30" s="46" t="n">
        <f aca="false">S29+N30</f>
        <v>74770</v>
      </c>
      <c r="T30" s="46" t="n">
        <f aca="false">T29+O30</f>
        <v>354330</v>
      </c>
      <c r="U30" s="47" t="n">
        <f aca="false">O30/C30</f>
        <v>0.862333333333333</v>
      </c>
      <c r="V30" s="48" t="n">
        <f aca="false">T30/Q30</f>
        <v>0.825751573059893</v>
      </c>
    </row>
    <row r="31" customFormat="false" ht="15.75" hidden="false" customHeight="true" outlineLevel="0" collapsed="false">
      <c r="A31" s="31" t="s">
        <v>188</v>
      </c>
      <c r="B31" s="46" t="n">
        <v>9000</v>
      </c>
      <c r="C31" s="46" t="n">
        <v>20000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 t="n">
        <f aca="false">AVERAGE(N27:N30)</f>
        <v>2753.33333333333</v>
      </c>
      <c r="O31" s="46" t="n">
        <f aca="false">C31-N31</f>
        <v>17246.6666666667</v>
      </c>
      <c r="P31" s="46" t="n">
        <f aca="false">P30+B31</f>
        <v>258000</v>
      </c>
      <c r="Q31" s="46" t="n">
        <f aca="false">Q30+C31</f>
        <v>449100</v>
      </c>
      <c r="R31" s="46" t="n">
        <f aca="false">SUM(M31,L31,J31,G31,F31)</f>
        <v>0</v>
      </c>
      <c r="S31" s="46" t="n">
        <f aca="false">S30+N31</f>
        <v>77523.3333333333</v>
      </c>
      <c r="T31" s="46" t="n">
        <f aca="false">T30+O31</f>
        <v>371576.666666667</v>
      </c>
      <c r="U31" s="47" t="n">
        <f aca="false">O31/C31</f>
        <v>0.862333333333333</v>
      </c>
      <c r="V31" s="48" t="n">
        <f aca="false">T31/Q31</f>
        <v>0.827380687300527</v>
      </c>
    </row>
    <row r="32" customFormat="false" ht="15.75" hidden="false" customHeight="true" outlineLevel="0" collapsed="false">
      <c r="A32" s="31" t="s">
        <v>189</v>
      </c>
      <c r="B32" s="46" t="n">
        <v>9000</v>
      </c>
      <c r="C32" s="46" t="n">
        <v>20000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 t="n">
        <f aca="false">AVERAGE(N28:N31)</f>
        <v>2753.33333333333</v>
      </c>
      <c r="O32" s="46" t="n">
        <f aca="false">C32-N32</f>
        <v>17246.6666666667</v>
      </c>
      <c r="P32" s="46" t="n">
        <f aca="false">P31+B32</f>
        <v>267000</v>
      </c>
      <c r="Q32" s="46" t="n">
        <f aca="false">Q31+C32</f>
        <v>469100</v>
      </c>
      <c r="R32" s="46" t="n">
        <f aca="false">SUM(M32,L32,J32,G32,F32)</f>
        <v>0</v>
      </c>
      <c r="S32" s="46" t="n">
        <f aca="false">S31+N32</f>
        <v>80276.6666666667</v>
      </c>
      <c r="T32" s="46" t="n">
        <f aca="false">T31+O32</f>
        <v>388823.333333333</v>
      </c>
      <c r="U32" s="47" t="n">
        <f aca="false">O32/C32</f>
        <v>0.862333333333333</v>
      </c>
      <c r="V32" s="48" t="n">
        <f aca="false">T32/Q32</f>
        <v>0.8288708875151</v>
      </c>
    </row>
    <row r="33" customFormat="false" ht="15.75" hidden="false" customHeight="true" outlineLevel="0" collapsed="false">
      <c r="A33" s="49" t="s">
        <v>190</v>
      </c>
      <c r="B33" s="46" t="n">
        <v>9000</v>
      </c>
      <c r="C33" s="46" t="n">
        <v>20000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 t="n">
        <f aca="false">AVERAGE(N29:N32)</f>
        <v>2753.33333333333</v>
      </c>
      <c r="O33" s="46" t="n">
        <f aca="false">C33-N33</f>
        <v>17246.6666666667</v>
      </c>
      <c r="P33" s="46" t="n">
        <f aca="false">P32+B33</f>
        <v>276000</v>
      </c>
      <c r="Q33" s="46" t="n">
        <f aca="false">Q32+C33</f>
        <v>489100</v>
      </c>
      <c r="R33" s="46" t="n">
        <f aca="false">SUM(M33,L33,J33,G33,F33)</f>
        <v>0</v>
      </c>
      <c r="S33" s="46" t="n">
        <f aca="false">S32+N33</f>
        <v>83030</v>
      </c>
      <c r="T33" s="50" t="n">
        <f aca="false">T32+O33</f>
        <v>406070</v>
      </c>
      <c r="U33" s="47" t="n">
        <f aca="false">O33/C33</f>
        <v>0.862333333333333</v>
      </c>
      <c r="V33" s="48" t="n">
        <f aca="false">T33/Q33</f>
        <v>0.830239214884482</v>
      </c>
    </row>
    <row r="34" customFormat="false" ht="15.75" hidden="false" customHeight="true" outlineLevel="0" collapsed="false">
      <c r="A34" s="31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31"/>
      <c r="P34" s="31"/>
      <c r="Q34" s="31"/>
      <c r="R34" s="46" t="n">
        <f aca="false">SUM(M34,L34,J34,G34,F34)</f>
        <v>0</v>
      </c>
      <c r="S34" s="31"/>
      <c r="T34" s="31"/>
      <c r="U34" s="47"/>
      <c r="V34" s="48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>
      <c r="A37" s="51"/>
      <c r="B37" s="52"/>
      <c r="C37" s="53" t="s">
        <v>196</v>
      </c>
      <c r="D37" s="52"/>
      <c r="E37" s="54" t="s">
        <v>197</v>
      </c>
      <c r="F37" s="52"/>
      <c r="G37" s="55" t="s">
        <v>198</v>
      </c>
      <c r="H37" s="52"/>
      <c r="I37" s="52"/>
      <c r="J37" s="56" t="s">
        <v>199</v>
      </c>
      <c r="K37" s="52"/>
      <c r="L37" s="52"/>
      <c r="M37" s="52"/>
      <c r="N37" s="57" t="s">
        <v>200</v>
      </c>
      <c r="O37" s="57"/>
    </row>
    <row r="38" customFormat="false" ht="15.75" hidden="false" customHeight="true" outlineLevel="0" collapsed="false">
      <c r="A38" s="51"/>
      <c r="B38" s="58"/>
      <c r="C38" s="59" t="s">
        <v>201</v>
      </c>
      <c r="D38" s="59" t="n">
        <v>3000</v>
      </c>
      <c r="E38" s="59" t="s">
        <v>202</v>
      </c>
      <c r="F38" s="60" t="n">
        <v>30000</v>
      </c>
      <c r="G38" s="59" t="s">
        <v>203</v>
      </c>
      <c r="H38" s="59"/>
      <c r="I38" s="59" t="n">
        <v>50000</v>
      </c>
      <c r="J38" s="59" t="s">
        <v>204</v>
      </c>
      <c r="K38" s="59" t="n">
        <v>3000</v>
      </c>
      <c r="L38" s="31"/>
      <c r="M38" s="58"/>
      <c r="N38" s="58"/>
      <c r="O38" s="58"/>
    </row>
    <row r="39" customFormat="false" ht="15.75" hidden="false" customHeight="true" outlineLevel="0" collapsed="false">
      <c r="A39" s="51"/>
      <c r="B39" s="58"/>
      <c r="C39" s="59" t="s">
        <v>205</v>
      </c>
      <c r="D39" s="59" t="n">
        <v>2000</v>
      </c>
      <c r="E39" s="59" t="s">
        <v>206</v>
      </c>
      <c r="F39" s="60" t="n">
        <v>2000</v>
      </c>
      <c r="G39" s="59" t="s">
        <v>207</v>
      </c>
      <c r="H39" s="59"/>
      <c r="I39" s="59" t="n">
        <v>10000</v>
      </c>
      <c r="J39" s="59" t="s">
        <v>208</v>
      </c>
      <c r="K39" s="59" t="n">
        <v>3000</v>
      </c>
      <c r="L39" s="31"/>
      <c r="M39" s="58"/>
      <c r="N39" s="58"/>
      <c r="O39" s="58"/>
    </row>
    <row r="40" customFormat="false" ht="15.75" hidden="false" customHeight="true" outlineLevel="0" collapsed="false">
      <c r="A40" s="51"/>
      <c r="B40" s="58"/>
      <c r="C40" s="59" t="s">
        <v>209</v>
      </c>
      <c r="D40" s="60" t="n">
        <v>3000</v>
      </c>
      <c r="E40" s="59" t="s">
        <v>210</v>
      </c>
      <c r="F40" s="60" t="n">
        <v>5000</v>
      </c>
      <c r="G40" s="59" t="s">
        <v>211</v>
      </c>
      <c r="H40" s="59"/>
      <c r="I40" s="59" t="n">
        <v>11000</v>
      </c>
      <c r="J40" s="59" t="s">
        <v>212</v>
      </c>
      <c r="K40" s="59" t="n">
        <v>3000</v>
      </c>
      <c r="L40" s="31"/>
      <c r="M40" s="58"/>
      <c r="N40" s="58"/>
      <c r="O40" s="58"/>
    </row>
    <row r="41" customFormat="false" ht="15.75" hidden="false" customHeight="true" outlineLevel="0" collapsed="false">
      <c r="A41" s="51"/>
      <c r="B41" s="58"/>
      <c r="C41" s="59" t="s">
        <v>213</v>
      </c>
      <c r="D41" s="59" t="n">
        <v>5000</v>
      </c>
      <c r="E41" s="59" t="s">
        <v>202</v>
      </c>
      <c r="F41" s="59" t="n">
        <v>20000</v>
      </c>
      <c r="G41" s="59" t="s">
        <v>214</v>
      </c>
      <c r="H41" s="59"/>
      <c r="I41" s="59" t="n">
        <v>4000</v>
      </c>
      <c r="J41" s="59" t="s">
        <v>215</v>
      </c>
      <c r="K41" s="59" t="n">
        <v>2000</v>
      </c>
      <c r="L41" s="58"/>
      <c r="M41" s="58"/>
      <c r="N41" s="58"/>
      <c r="O41" s="58"/>
    </row>
    <row r="42" customFormat="false" ht="15.75" hidden="false" customHeight="true" outlineLevel="0" collapsed="false">
      <c r="A42" s="51"/>
      <c r="B42" s="58"/>
      <c r="C42" s="59" t="s">
        <v>216</v>
      </c>
      <c r="D42" s="59" t="n">
        <v>3000</v>
      </c>
      <c r="E42" s="58"/>
      <c r="F42" s="58"/>
      <c r="G42" s="59" t="s">
        <v>217</v>
      </c>
      <c r="H42" s="59"/>
      <c r="I42" s="59" t="n">
        <v>15000</v>
      </c>
      <c r="J42" s="59" t="s">
        <v>218</v>
      </c>
      <c r="K42" s="59" t="n">
        <v>6000</v>
      </c>
      <c r="L42" s="58"/>
      <c r="M42" s="58"/>
      <c r="N42" s="58"/>
      <c r="O42" s="58"/>
      <c r="AC42" s="61"/>
      <c r="AD42" s="61"/>
      <c r="AE42" s="61"/>
    </row>
    <row r="43" customFormat="false" ht="15.75" hidden="false" customHeight="true" outlineLevel="0" collapsed="false">
      <c r="A43" s="51"/>
      <c r="B43" s="58"/>
      <c r="C43" s="59" t="s">
        <v>219</v>
      </c>
      <c r="D43" s="59" t="n">
        <v>2000</v>
      </c>
      <c r="E43" s="58"/>
      <c r="F43" s="58"/>
      <c r="G43" s="58"/>
      <c r="H43" s="58"/>
      <c r="I43" s="58"/>
      <c r="J43" s="59" t="s">
        <v>220</v>
      </c>
      <c r="K43" s="59" t="n">
        <v>4000</v>
      </c>
      <c r="L43" s="58"/>
      <c r="M43" s="58"/>
      <c r="N43" s="58"/>
      <c r="O43" s="58"/>
      <c r="AC43" s="61"/>
      <c r="AD43" s="61"/>
      <c r="AE43" s="61"/>
    </row>
    <row r="44" customFormat="false" ht="15.75" hidden="false" customHeight="true" outlineLevel="0" collapsed="false">
      <c r="A44" s="51"/>
      <c r="B44" s="58"/>
      <c r="C44" s="59" t="s">
        <v>221</v>
      </c>
      <c r="D44" s="59" t="n">
        <v>4000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AC44" s="61"/>
      <c r="AD44" s="61"/>
      <c r="AE44" s="61"/>
    </row>
    <row r="45" customFormat="false" ht="15.75" hidden="false" customHeight="true" outlineLevel="0" collapsed="false">
      <c r="A45" s="51"/>
      <c r="B45" s="58"/>
      <c r="C45" s="59" t="s">
        <v>222</v>
      </c>
      <c r="D45" s="59" t="n">
        <v>3000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AC45" s="61"/>
      <c r="AD45" s="61"/>
      <c r="AE45" s="61"/>
    </row>
    <row r="46" customFormat="false" ht="15.75" hidden="false" customHeight="true" outlineLevel="0" collapsed="false">
      <c r="A46" s="51"/>
      <c r="B46" s="62" t="s">
        <v>223</v>
      </c>
      <c r="C46" s="63"/>
      <c r="D46" s="64" t="n">
        <f aca="false">SUM(D38:D45)</f>
        <v>25000</v>
      </c>
      <c r="E46" s="63"/>
      <c r="F46" s="64" t="n">
        <f aca="false">SUM(F38:F45)</f>
        <v>57000</v>
      </c>
      <c r="G46" s="63"/>
      <c r="H46" s="64"/>
      <c r="I46" s="64" t="n">
        <f aca="false">SUM(I38:I45)</f>
        <v>90000</v>
      </c>
      <c r="J46" s="63"/>
      <c r="K46" s="64" t="n">
        <f aca="false">SUM(K38:K45)</f>
        <v>21000</v>
      </c>
      <c r="L46" s="63"/>
      <c r="M46" s="64"/>
      <c r="N46" s="57" t="n">
        <f aca="false">SUM(D46:M46)</f>
        <v>193000</v>
      </c>
      <c r="O46" s="57"/>
    </row>
    <row r="47" customFormat="false" ht="15.75" hidden="false" customHeight="true" outlineLevel="0" collapsed="false">
      <c r="A47" s="51"/>
      <c r="B47" s="62" t="s">
        <v>224</v>
      </c>
      <c r="C47" s="63"/>
      <c r="D47" s="64" t="n">
        <v>3000</v>
      </c>
      <c r="E47" s="63"/>
      <c r="F47" s="64" t="n">
        <v>37000</v>
      </c>
      <c r="G47" s="63"/>
      <c r="H47" s="64"/>
      <c r="I47" s="64" t="n">
        <v>0</v>
      </c>
      <c r="J47" s="63"/>
      <c r="K47" s="64" t="n">
        <v>0</v>
      </c>
      <c r="L47" s="63"/>
      <c r="M47" s="64"/>
      <c r="N47" s="57" t="n">
        <f aca="false">SUM(D47,F47,I47,K47,M47)</f>
        <v>40000</v>
      </c>
      <c r="O47" s="57"/>
    </row>
    <row r="48" customFormat="false" ht="15.75" hidden="false" customHeight="true" outlineLevel="0" collapsed="false">
      <c r="A48" s="51"/>
      <c r="B48" s="62" t="s">
        <v>225</v>
      </c>
      <c r="C48" s="63"/>
      <c r="D48" s="64" t="n">
        <f aca="false">D46-D47</f>
        <v>22000</v>
      </c>
      <c r="E48" s="63"/>
      <c r="F48" s="64" t="n">
        <f aca="false">F46-F47</f>
        <v>20000</v>
      </c>
      <c r="G48" s="63"/>
      <c r="H48" s="64"/>
      <c r="I48" s="64" t="n">
        <f aca="false">I46-I47</f>
        <v>90000</v>
      </c>
      <c r="J48" s="63"/>
      <c r="K48" s="64" t="n">
        <f aca="false">K46-K47</f>
        <v>21000</v>
      </c>
      <c r="L48" s="63"/>
      <c r="M48" s="64"/>
      <c r="N48" s="57" t="n">
        <f aca="false">N46-N47</f>
        <v>153000</v>
      </c>
      <c r="O48" s="57"/>
    </row>
    <row r="49" customFormat="false" ht="15.75" hidden="false" customHeight="true" outlineLevel="0" collapsed="false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customFormat="false" ht="15.75" hidden="false" customHeight="true" outlineLevel="0" collapsed="false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customFormat="false" ht="15.75" hidden="false" customHeight="true" outlineLevel="0" collapsed="false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customFormat="false" ht="15.75" hidden="false" customHeight="true" outlineLevel="0" collapsed="false">
      <c r="A52" s="65"/>
      <c r="B52" s="66" t="s">
        <v>226</v>
      </c>
      <c r="C52" s="66"/>
      <c r="D52" s="66"/>
      <c r="E52" s="66"/>
      <c r="F52" s="66"/>
      <c r="G52" s="65"/>
      <c r="I52" s="61"/>
      <c r="J52" s="67" t="s">
        <v>227</v>
      </c>
      <c r="K52" s="67"/>
      <c r="L52" s="67" t="s">
        <v>228</v>
      </c>
      <c r="M52" s="67"/>
      <c r="N52" s="67" t="s">
        <v>229</v>
      </c>
      <c r="O52" s="67"/>
      <c r="P52" s="67" t="s">
        <v>230</v>
      </c>
      <c r="Q52" s="67"/>
      <c r="R52" s="67"/>
      <c r="S52" s="67" t="s">
        <v>231</v>
      </c>
      <c r="T52" s="67"/>
      <c r="U52" s="68" t="s">
        <v>232</v>
      </c>
      <c r="V52" s="68"/>
      <c r="W52" s="68" t="s">
        <v>233</v>
      </c>
      <c r="X52" s="68"/>
      <c r="Y52" s="68" t="s">
        <v>234</v>
      </c>
      <c r="Z52" s="68"/>
    </row>
    <row r="53" customFormat="false" ht="15.75" hidden="false" customHeight="true" outlineLevel="0" collapsed="false">
      <c r="B53" s="69" t="s">
        <v>235</v>
      </c>
      <c r="C53" s="70" t="s">
        <v>236</v>
      </c>
      <c r="D53" s="70" t="s">
        <v>237</v>
      </c>
      <c r="E53" s="70" t="s">
        <v>238</v>
      </c>
      <c r="F53" s="70" t="s">
        <v>239</v>
      </c>
      <c r="I53" s="68" t="s">
        <v>223</v>
      </c>
      <c r="J53" s="71" t="n">
        <f aca="false">SUM(D55,D57,D64)</f>
        <v>38000</v>
      </c>
      <c r="K53" s="71"/>
      <c r="L53" s="71" t="n">
        <f aca="false">SUM(D54,D56,D58:D63)</f>
        <v>174000</v>
      </c>
      <c r="M53" s="71"/>
      <c r="N53" s="71" t="n">
        <f aca="false">SUM(D71:D73)</f>
        <v>125000</v>
      </c>
      <c r="O53" s="71"/>
      <c r="P53" s="71" t="n">
        <f aca="false">D74+D77+D78</f>
        <v>48000</v>
      </c>
      <c r="Q53" s="71"/>
      <c r="R53" s="72"/>
      <c r="S53" s="71" t="n">
        <f aca="false">N46</f>
        <v>193000</v>
      </c>
      <c r="T53" s="71"/>
      <c r="U53" s="73" t="n">
        <f aca="false">J53+N53</f>
        <v>163000</v>
      </c>
      <c r="V53" s="73"/>
      <c r="W53" s="73" t="n">
        <f aca="false">S53+P53+L53</f>
        <v>415000</v>
      </c>
      <c r="X53" s="73"/>
      <c r="Y53" s="73" t="n">
        <f aca="false">U53+W53</f>
        <v>578000</v>
      </c>
      <c r="Z53" s="73"/>
    </row>
    <row r="54" customFormat="false" ht="15.75" hidden="false" customHeight="true" outlineLevel="0" collapsed="false">
      <c r="B54" s="74" t="s">
        <v>240</v>
      </c>
      <c r="C54" s="75" t="s">
        <v>240</v>
      </c>
      <c r="D54" s="75" t="n">
        <v>6000</v>
      </c>
      <c r="E54" s="76" t="n">
        <v>0</v>
      </c>
      <c r="F54" s="77" t="s">
        <v>241</v>
      </c>
      <c r="I54" s="68" t="s">
        <v>242</v>
      </c>
      <c r="J54" s="71" t="n">
        <f aca="false">SUM(E55,E57)</f>
        <v>10000</v>
      </c>
      <c r="K54" s="71"/>
      <c r="L54" s="71" t="n">
        <v>0</v>
      </c>
      <c r="M54" s="71"/>
      <c r="N54" s="71" t="n">
        <f aca="false">E71+E72+E73</f>
        <v>125000</v>
      </c>
      <c r="O54" s="71"/>
      <c r="P54" s="71" t="n">
        <v>0</v>
      </c>
      <c r="Q54" s="71"/>
      <c r="R54" s="72"/>
      <c r="S54" s="71" t="n">
        <v>0</v>
      </c>
      <c r="T54" s="71"/>
      <c r="U54" s="73" t="n">
        <f aca="false">SUM(J54:T54)</f>
        <v>135000</v>
      </c>
      <c r="V54" s="73"/>
      <c r="W54" s="73" t="n">
        <v>0</v>
      </c>
      <c r="X54" s="73"/>
      <c r="Y54" s="73" t="n">
        <f aca="false">U54+W54</f>
        <v>135000</v>
      </c>
      <c r="Z54" s="73"/>
    </row>
    <row r="55" customFormat="false" ht="15.75" hidden="false" customHeight="true" outlineLevel="0" collapsed="false">
      <c r="B55" s="78" t="s">
        <v>243</v>
      </c>
      <c r="C55" s="79" t="s">
        <v>244</v>
      </c>
      <c r="D55" s="79" t="n">
        <v>10000</v>
      </c>
      <c r="E55" s="76" t="n">
        <v>1000</v>
      </c>
      <c r="F55" s="80" t="s">
        <v>245</v>
      </c>
      <c r="I55" s="68" t="s">
        <v>246</v>
      </c>
      <c r="J55" s="71" t="n">
        <v>0</v>
      </c>
      <c r="K55" s="71"/>
      <c r="L55" s="71" t="n">
        <f aca="false">SUM(E54,E56,E58:E63)</f>
        <v>25000</v>
      </c>
      <c r="M55" s="71"/>
      <c r="N55" s="71" t="n">
        <v>0</v>
      </c>
      <c r="O55" s="71"/>
      <c r="P55" s="71" t="n">
        <f aca="false">E74+E77+E78</f>
        <v>0</v>
      </c>
      <c r="Q55" s="71"/>
      <c r="R55" s="72"/>
      <c r="S55" s="71" t="n">
        <f aca="false">N47</f>
        <v>40000</v>
      </c>
      <c r="T55" s="71"/>
      <c r="U55" s="73" t="n">
        <v>0</v>
      </c>
      <c r="V55" s="73"/>
      <c r="W55" s="73" t="n">
        <f aca="false">SUM(J55:T55)</f>
        <v>65000</v>
      </c>
      <c r="X55" s="73"/>
      <c r="Y55" s="73" t="n">
        <f aca="false">U55+W55</f>
        <v>65000</v>
      </c>
      <c r="Z55" s="73"/>
    </row>
    <row r="56" customFormat="false" ht="15.75" hidden="false" customHeight="true" outlineLevel="0" collapsed="false">
      <c r="B56" s="81"/>
      <c r="C56" s="79" t="s">
        <v>247</v>
      </c>
      <c r="D56" s="79" t="n">
        <v>25000</v>
      </c>
      <c r="E56" s="76" t="n">
        <v>0</v>
      </c>
      <c r="F56" s="77" t="s">
        <v>241</v>
      </c>
      <c r="I56" s="68" t="s">
        <v>225</v>
      </c>
      <c r="J56" s="71" t="n">
        <f aca="false">J53-J54</f>
        <v>28000</v>
      </c>
      <c r="K56" s="71"/>
      <c r="L56" s="71" t="n">
        <f aca="false">L53-L55</f>
        <v>149000</v>
      </c>
      <c r="M56" s="71"/>
      <c r="N56" s="71" t="n">
        <f aca="false">N53-N54</f>
        <v>0</v>
      </c>
      <c r="O56" s="71"/>
      <c r="P56" s="71" t="n">
        <f aca="false">P53-P55</f>
        <v>48000</v>
      </c>
      <c r="Q56" s="71"/>
      <c r="R56" s="72"/>
      <c r="S56" s="71" t="n">
        <f aca="false">N48</f>
        <v>153000</v>
      </c>
      <c r="T56" s="71"/>
      <c r="U56" s="73" t="n">
        <f aca="false">U53-U54</f>
        <v>28000</v>
      </c>
      <c r="V56" s="73"/>
      <c r="W56" s="82" t="n">
        <f aca="false">W53-W55</f>
        <v>350000</v>
      </c>
      <c r="X56" s="82"/>
      <c r="Y56" s="73" t="n">
        <f aca="false">U56+W56</f>
        <v>378000</v>
      </c>
      <c r="Z56" s="73"/>
    </row>
    <row r="57" customFormat="false" ht="15.75" hidden="false" customHeight="true" outlineLevel="0" collapsed="false">
      <c r="B57" s="83" t="s">
        <v>248</v>
      </c>
      <c r="C57" s="84" t="s">
        <v>244</v>
      </c>
      <c r="D57" s="84" t="n">
        <v>14000</v>
      </c>
      <c r="E57" s="76" t="n">
        <v>9000</v>
      </c>
      <c r="F57" s="80" t="s">
        <v>245</v>
      </c>
    </row>
    <row r="58" customFormat="false" ht="15.75" hidden="false" customHeight="true" outlineLevel="0" collapsed="false">
      <c r="B58" s="81"/>
      <c r="C58" s="84" t="s">
        <v>247</v>
      </c>
      <c r="D58" s="84" t="n">
        <v>18000</v>
      </c>
      <c r="E58" s="76" t="n">
        <v>0</v>
      </c>
      <c r="F58" s="77" t="s">
        <v>241</v>
      </c>
    </row>
    <row r="59" customFormat="false" ht="15.75" hidden="false" customHeight="true" outlineLevel="0" collapsed="false">
      <c r="B59" s="85" t="s">
        <v>249</v>
      </c>
      <c r="C59" s="86" t="s">
        <v>249</v>
      </c>
      <c r="D59" s="86" t="n">
        <v>50000</v>
      </c>
      <c r="E59" s="76" t="n">
        <v>0</v>
      </c>
      <c r="F59" s="77" t="s">
        <v>241</v>
      </c>
    </row>
    <row r="60" customFormat="false" ht="15.75" hidden="false" customHeight="true" outlineLevel="0" collapsed="false">
      <c r="B60" s="87" t="s">
        <v>250</v>
      </c>
      <c r="C60" s="88" t="s">
        <v>250</v>
      </c>
      <c r="D60" s="88" t="n">
        <v>10000</v>
      </c>
      <c r="E60" s="76" t="n">
        <v>0</v>
      </c>
      <c r="F60" s="77" t="s">
        <v>241</v>
      </c>
      <c r="K60" s="65"/>
      <c r="L60" s="65"/>
      <c r="M60" s="65"/>
    </row>
    <row r="61" customFormat="false" ht="15.75" hidden="false" customHeight="true" outlineLevel="0" collapsed="false">
      <c r="B61" s="89" t="s">
        <v>251</v>
      </c>
      <c r="C61" s="90" t="s">
        <v>251</v>
      </c>
      <c r="D61" s="90" t="n">
        <v>10000</v>
      </c>
      <c r="E61" s="76" t="n">
        <v>0</v>
      </c>
      <c r="F61" s="77" t="s">
        <v>241</v>
      </c>
      <c r="K61" s="65"/>
      <c r="L61" s="65"/>
      <c r="M61" s="65"/>
    </row>
    <row r="62" customFormat="false" ht="15.75" hidden="false" customHeight="true" outlineLevel="0" collapsed="false">
      <c r="B62" s="91" t="s">
        <v>252</v>
      </c>
      <c r="C62" s="92" t="s">
        <v>252</v>
      </c>
      <c r="D62" s="92" t="n">
        <v>30000</v>
      </c>
      <c r="E62" s="76" t="n">
        <v>0</v>
      </c>
      <c r="F62" s="77" t="s">
        <v>241</v>
      </c>
      <c r="K62" s="65"/>
      <c r="L62" s="65"/>
      <c r="M62" s="65"/>
    </row>
    <row r="63" customFormat="false" ht="15.75" hidden="false" customHeight="true" outlineLevel="0" collapsed="false">
      <c r="B63" s="93" t="s">
        <v>253</v>
      </c>
      <c r="C63" s="94" t="s">
        <v>253</v>
      </c>
      <c r="D63" s="94" t="n">
        <v>25000</v>
      </c>
      <c r="E63" s="76" t="n">
        <v>25000</v>
      </c>
      <c r="F63" s="77" t="s">
        <v>241</v>
      </c>
      <c r="T63" s="65"/>
      <c r="U63" s="65"/>
      <c r="V63" s="65"/>
      <c r="W63" s="65"/>
    </row>
    <row r="64" customFormat="false" ht="15.75" hidden="false" customHeight="true" outlineLevel="0" collapsed="false">
      <c r="B64" s="95" t="s">
        <v>254</v>
      </c>
      <c r="C64" s="96" t="s">
        <v>254</v>
      </c>
      <c r="D64" s="96" t="n">
        <v>14000</v>
      </c>
      <c r="E64" s="76" t="n">
        <v>0</v>
      </c>
      <c r="F64" s="80" t="s">
        <v>245</v>
      </c>
      <c r="T64" s="65"/>
      <c r="U64" s="65"/>
      <c r="V64" s="65"/>
      <c r="W64" s="65"/>
    </row>
    <row r="65" customFormat="false" ht="15.75" hidden="false" customHeight="true" outlineLevel="0" collapsed="false">
      <c r="B65" s="97" t="s">
        <v>200</v>
      </c>
      <c r="C65" s="97"/>
      <c r="D65" s="70" t="n">
        <f aca="false">SUM(D54:D64)</f>
        <v>212000</v>
      </c>
    </row>
    <row r="66" customFormat="false" ht="15.75" hidden="false" customHeight="true" outlineLevel="0" collapsed="false">
      <c r="B66" s="97" t="s">
        <v>238</v>
      </c>
      <c r="C66" s="97"/>
      <c r="D66" s="70" t="n">
        <f aca="false">SUM(E54:E64)</f>
        <v>35000</v>
      </c>
    </row>
    <row r="67" customFormat="false" ht="15.75" hidden="false" customHeight="true" outlineLevel="0" collapsed="false">
      <c r="B67" s="97" t="s">
        <v>225</v>
      </c>
      <c r="C67" s="97"/>
      <c r="D67" s="70" t="n">
        <f aca="false">D65-D66</f>
        <v>177000</v>
      </c>
    </row>
    <row r="68" customFormat="false" ht="15.75" hidden="false" customHeight="true" outlineLevel="0" collapsed="false">
      <c r="B68" s="98"/>
      <c r="C68" s="98"/>
      <c r="D68" s="98"/>
      <c r="I68" s="99" t="s">
        <v>255</v>
      </c>
      <c r="J68" s="99"/>
      <c r="K68" s="99"/>
      <c r="L68" s="99"/>
      <c r="M68" s="99"/>
      <c r="N68" s="99"/>
    </row>
    <row r="69" customFormat="false" ht="15.75" hidden="false" customHeight="true" outlineLevel="0" collapsed="false">
      <c r="B69" s="66" t="s">
        <v>256</v>
      </c>
      <c r="C69" s="66"/>
      <c r="D69" s="66"/>
      <c r="E69" s="66"/>
      <c r="F69" s="66"/>
      <c r="I69" s="100"/>
      <c r="J69" s="100"/>
      <c r="K69" s="100"/>
      <c r="L69" s="100"/>
      <c r="M69" s="100"/>
      <c r="N69" s="100"/>
    </row>
    <row r="70" customFormat="false" ht="15.75" hidden="false" customHeight="true" outlineLevel="0" collapsed="false">
      <c r="B70" s="101" t="s">
        <v>257</v>
      </c>
      <c r="C70" s="101" t="s">
        <v>236</v>
      </c>
      <c r="D70" s="101" t="s">
        <v>258</v>
      </c>
      <c r="E70" s="70" t="s">
        <v>238</v>
      </c>
      <c r="F70" s="70" t="s">
        <v>239</v>
      </c>
      <c r="I70" s="100"/>
      <c r="J70" s="100"/>
      <c r="K70" s="100"/>
      <c r="L70" s="100"/>
      <c r="M70" s="100"/>
      <c r="N70" s="100"/>
    </row>
    <row r="71" customFormat="false" ht="15.75" hidden="false" customHeight="true" outlineLevel="0" collapsed="false">
      <c r="B71" s="31" t="s">
        <v>259</v>
      </c>
      <c r="C71" s="31" t="s">
        <v>260</v>
      </c>
      <c r="D71" s="31" t="n">
        <v>45000</v>
      </c>
      <c r="E71" s="80" t="n">
        <v>45000</v>
      </c>
      <c r="F71" s="80" t="s">
        <v>245</v>
      </c>
      <c r="I71" s="100"/>
      <c r="J71" s="100"/>
      <c r="K71" s="100"/>
      <c r="L71" s="100"/>
      <c r="M71" s="100"/>
      <c r="N71" s="100"/>
    </row>
    <row r="72" customFormat="false" ht="15.75" hidden="false" customHeight="true" outlineLevel="0" collapsed="false">
      <c r="B72" s="31"/>
      <c r="C72" s="31" t="s">
        <v>261</v>
      </c>
      <c r="D72" s="31" t="n">
        <v>40000</v>
      </c>
      <c r="E72" s="80" t="n">
        <v>40000</v>
      </c>
      <c r="F72" s="80" t="s">
        <v>245</v>
      </c>
      <c r="I72" s="100"/>
      <c r="J72" s="100"/>
      <c r="K72" s="100"/>
      <c r="L72" s="100"/>
      <c r="M72" s="100"/>
      <c r="N72" s="100"/>
    </row>
    <row r="73" customFormat="false" ht="15.75" hidden="false" customHeight="true" outlineLevel="0" collapsed="false">
      <c r="B73" s="31"/>
      <c r="C73" s="31" t="s">
        <v>262</v>
      </c>
      <c r="D73" s="31" t="n">
        <v>40000</v>
      </c>
      <c r="E73" s="80" t="n">
        <v>40000</v>
      </c>
      <c r="F73" s="80" t="s">
        <v>245</v>
      </c>
      <c r="I73" s="100"/>
      <c r="J73" s="100"/>
      <c r="K73" s="100"/>
      <c r="L73" s="100"/>
      <c r="M73" s="100"/>
      <c r="N73" s="100"/>
    </row>
    <row r="74" customFormat="false" ht="15.75" hidden="false" customHeight="true" outlineLevel="0" collapsed="false">
      <c r="B74" s="31"/>
      <c r="C74" s="31" t="s">
        <v>263</v>
      </c>
      <c r="D74" s="31" t="n">
        <v>25000</v>
      </c>
      <c r="E74" s="77" t="n">
        <v>0</v>
      </c>
      <c r="F74" s="77" t="s">
        <v>241</v>
      </c>
      <c r="I74" s="100"/>
      <c r="J74" s="100"/>
      <c r="K74" s="100"/>
      <c r="L74" s="100"/>
      <c r="M74" s="100"/>
      <c r="N74" s="100"/>
    </row>
    <row r="75" customFormat="false" ht="15.75" hidden="false" customHeight="true" outlineLevel="0" collapsed="false">
      <c r="B75" s="31"/>
      <c r="C75" s="31" t="s">
        <v>264</v>
      </c>
      <c r="D75" s="31" t="n">
        <v>25000</v>
      </c>
      <c r="E75" s="72" t="n">
        <v>0</v>
      </c>
      <c r="F75" s="72" t="s">
        <v>265</v>
      </c>
      <c r="I75" s="100"/>
      <c r="J75" s="100"/>
      <c r="K75" s="100"/>
      <c r="L75" s="100"/>
      <c r="M75" s="100"/>
      <c r="N75" s="100"/>
    </row>
    <row r="76" customFormat="false" ht="15.75" hidden="false" customHeight="true" outlineLevel="0" collapsed="false">
      <c r="B76" s="31"/>
      <c r="C76" s="31" t="s">
        <v>266</v>
      </c>
      <c r="D76" s="31" t="n">
        <v>35000</v>
      </c>
      <c r="E76" s="72" t="n">
        <v>0</v>
      </c>
      <c r="F76" s="72" t="s">
        <v>265</v>
      </c>
      <c r="I76" s="100"/>
      <c r="J76" s="100"/>
      <c r="K76" s="100"/>
      <c r="L76" s="100"/>
      <c r="M76" s="100"/>
      <c r="N76" s="100"/>
    </row>
    <row r="77" customFormat="false" ht="15.75" hidden="false" customHeight="true" outlineLevel="0" collapsed="false">
      <c r="B77" s="31" t="s">
        <v>267</v>
      </c>
      <c r="C77" s="31" t="s">
        <v>268</v>
      </c>
      <c r="D77" s="31" t="n">
        <v>18000</v>
      </c>
      <c r="E77" s="77" t="n">
        <v>0</v>
      </c>
      <c r="F77" s="77" t="s">
        <v>241</v>
      </c>
      <c r="I77" s="100"/>
      <c r="J77" s="100"/>
      <c r="K77" s="100"/>
      <c r="L77" s="100"/>
      <c r="M77" s="100"/>
      <c r="N77" s="100"/>
    </row>
    <row r="78" customFormat="false" ht="15.75" hidden="false" customHeight="true" outlineLevel="0" collapsed="false">
      <c r="B78" s="31"/>
      <c r="C78" s="31" t="s">
        <v>269</v>
      </c>
      <c r="D78" s="31" t="n">
        <v>5000</v>
      </c>
      <c r="E78" s="77" t="n">
        <v>0</v>
      </c>
      <c r="F78" s="77" t="s">
        <v>241</v>
      </c>
      <c r="I78" s="100"/>
      <c r="J78" s="100"/>
      <c r="K78" s="100"/>
      <c r="L78" s="100"/>
      <c r="M78" s="100"/>
      <c r="N78" s="100"/>
    </row>
    <row r="79" customFormat="false" ht="15.75" hidden="false" customHeight="true" outlineLevel="0" collapsed="false">
      <c r="B79" s="97" t="s">
        <v>200</v>
      </c>
      <c r="C79" s="97"/>
      <c r="D79" s="70" t="n">
        <f aca="false">SUM(D71:D74,D77:D78)</f>
        <v>173000</v>
      </c>
      <c r="I79" s="100"/>
      <c r="J79" s="100"/>
      <c r="K79" s="100"/>
      <c r="L79" s="100"/>
      <c r="M79" s="100"/>
      <c r="N79" s="100"/>
    </row>
    <row r="80" customFormat="false" ht="15.75" hidden="false" customHeight="true" outlineLevel="0" collapsed="false">
      <c r="B80" s="97" t="s">
        <v>238</v>
      </c>
      <c r="C80" s="97"/>
      <c r="D80" s="70" t="n">
        <f aca="false">SUM(E71:E74,E77:E78)</f>
        <v>125000</v>
      </c>
      <c r="I80" s="100"/>
      <c r="J80" s="100"/>
      <c r="K80" s="100"/>
      <c r="L80" s="100"/>
      <c r="M80" s="100"/>
      <c r="N80" s="100"/>
    </row>
    <row r="81" customFormat="false" ht="15.75" hidden="false" customHeight="true" outlineLevel="0" collapsed="false">
      <c r="B81" s="97" t="s">
        <v>225</v>
      </c>
      <c r="C81" s="97"/>
      <c r="D81" s="70" t="n">
        <f aca="false">D79-D80</f>
        <v>48000</v>
      </c>
      <c r="I81" s="100"/>
      <c r="J81" s="100"/>
      <c r="K81" s="100"/>
      <c r="L81" s="100"/>
      <c r="M81" s="100"/>
      <c r="N81" s="100"/>
    </row>
    <row r="82" customFormat="false" ht="15.75" hidden="false" customHeight="true" outlineLevel="0" collapsed="false"/>
    <row r="83" customFormat="false" ht="15.75" hidden="false" customHeight="true" outlineLevel="0" collapsed="false">
      <c r="I83" s="65" t="s">
        <v>270</v>
      </c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3">
    <mergeCell ref="E1:M1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B52:F52"/>
    <mergeCell ref="J52:K52"/>
    <mergeCell ref="L52:M52"/>
    <mergeCell ref="N52:O52"/>
    <mergeCell ref="P52:Q52"/>
    <mergeCell ref="S52:T52"/>
    <mergeCell ref="U52:V52"/>
    <mergeCell ref="W52:X52"/>
    <mergeCell ref="Y52:Z52"/>
    <mergeCell ref="J53:K53"/>
    <mergeCell ref="L53:M53"/>
    <mergeCell ref="N53:O53"/>
    <mergeCell ref="P53:Q53"/>
    <mergeCell ref="S53:T53"/>
    <mergeCell ref="U53:V53"/>
    <mergeCell ref="W53:X53"/>
    <mergeCell ref="Y53:Z53"/>
    <mergeCell ref="J54:K54"/>
    <mergeCell ref="L54:M54"/>
    <mergeCell ref="N54:O54"/>
    <mergeCell ref="P54:Q54"/>
    <mergeCell ref="S54:T54"/>
    <mergeCell ref="U54:V54"/>
    <mergeCell ref="W54:X54"/>
    <mergeCell ref="Y54:Z54"/>
    <mergeCell ref="J55:K55"/>
    <mergeCell ref="L55:M55"/>
    <mergeCell ref="N55:O55"/>
    <mergeCell ref="P55:Q55"/>
    <mergeCell ref="S55:T55"/>
    <mergeCell ref="U55:V55"/>
    <mergeCell ref="W55:X55"/>
    <mergeCell ref="Y55:Z55"/>
    <mergeCell ref="J56:K56"/>
    <mergeCell ref="L56:M56"/>
    <mergeCell ref="N56:O56"/>
    <mergeCell ref="P56:Q56"/>
    <mergeCell ref="S56:T56"/>
    <mergeCell ref="U56:V56"/>
    <mergeCell ref="W56:X56"/>
    <mergeCell ref="Y56:Z56"/>
    <mergeCell ref="B65:C65"/>
    <mergeCell ref="B66:C66"/>
    <mergeCell ref="B67:C67"/>
    <mergeCell ref="I68:N68"/>
    <mergeCell ref="B69:F69"/>
    <mergeCell ref="I69:N81"/>
    <mergeCell ref="B79:C79"/>
    <mergeCell ref="B80:C80"/>
    <mergeCell ref="B81:C8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23.75"/>
    <col collapsed="false" customWidth="true" hidden="false" outlineLevel="0" max="3" min="3" style="0" width="16.49"/>
    <col collapsed="false" customWidth="true" hidden="false" outlineLevel="0" max="4" min="4" style="0" width="17.63"/>
    <col collapsed="false" customWidth="true" hidden="false" outlineLevel="0" max="5" min="5" style="0" width="21.63"/>
    <col collapsed="false" customWidth="true" hidden="false" outlineLevel="0" max="7" min="6" style="0" width="18"/>
    <col collapsed="false" customWidth="true" hidden="false" outlineLevel="0" max="8" min="8" style="0" width="17.13"/>
    <col collapsed="false" customWidth="true" hidden="false" outlineLevel="0" max="9" min="9" style="0" width="13.01"/>
    <col collapsed="false" customWidth="true" hidden="false" outlineLevel="0" max="10" min="10" style="0" width="15.13"/>
    <col collapsed="false" customWidth="true" hidden="false" outlineLevel="0" max="11" min="11" style="0" width="16.75"/>
    <col collapsed="false" customWidth="true" hidden="false" outlineLevel="0" max="26" min="21" style="0" width="8.63"/>
  </cols>
  <sheetData>
    <row r="1" customFormat="false" ht="15" hidden="false" customHeight="false" outlineLevel="0" collapsed="false">
      <c r="A1" s="102" t="s">
        <v>271</v>
      </c>
      <c r="B1" s="103" t="s">
        <v>162</v>
      </c>
      <c r="C1" s="104" t="s">
        <v>272</v>
      </c>
      <c r="D1" s="104"/>
      <c r="E1" s="104"/>
      <c r="F1" s="105" t="s">
        <v>273</v>
      </c>
      <c r="G1" s="105"/>
      <c r="H1" s="105"/>
      <c r="I1" s="105"/>
      <c r="J1" s="105"/>
      <c r="K1" s="105"/>
    </row>
    <row r="2" customFormat="false" ht="15" hidden="false" customHeight="false" outlineLevel="0" collapsed="false">
      <c r="A2" s="106" t="s">
        <v>173</v>
      </c>
      <c r="B2" s="107" t="s">
        <v>162</v>
      </c>
      <c r="C2" s="107" t="s">
        <v>274</v>
      </c>
      <c r="D2" s="107" t="s">
        <v>176</v>
      </c>
      <c r="E2" s="107" t="s">
        <v>179</v>
      </c>
      <c r="F2" s="107" t="s">
        <v>174</v>
      </c>
      <c r="G2" s="107" t="s">
        <v>175</v>
      </c>
      <c r="H2" s="107" t="s">
        <v>180</v>
      </c>
      <c r="I2" s="107" t="s">
        <v>178</v>
      </c>
      <c r="J2" s="107" t="s">
        <v>181</v>
      </c>
      <c r="K2" s="107" t="s">
        <v>275</v>
      </c>
    </row>
    <row r="3" customFormat="false" ht="15" hidden="false" customHeight="false" outlineLevel="0" collapsed="false">
      <c r="A3" s="108" t="s">
        <v>276</v>
      </c>
      <c r="B3" s="109" t="n">
        <v>500</v>
      </c>
      <c r="C3" s="110" t="n">
        <v>320</v>
      </c>
      <c r="D3" s="110" t="n">
        <v>0</v>
      </c>
      <c r="E3" s="110" t="n">
        <v>664</v>
      </c>
      <c r="F3" s="110" t="n">
        <v>0</v>
      </c>
      <c r="G3" s="110" t="n">
        <v>0</v>
      </c>
      <c r="H3" s="110" t="n">
        <v>0</v>
      </c>
      <c r="I3" s="110" t="n">
        <v>0</v>
      </c>
      <c r="J3" s="110" t="n">
        <v>816</v>
      </c>
      <c r="K3" s="110" t="n">
        <v>0</v>
      </c>
    </row>
    <row r="4" customFormat="false" ht="15" hidden="false" customHeight="false" outlineLevel="0" collapsed="false">
      <c r="A4" s="111" t="s">
        <v>185</v>
      </c>
      <c r="B4" s="109" t="n">
        <v>500</v>
      </c>
      <c r="C4" s="110" t="n">
        <v>320</v>
      </c>
      <c r="D4" s="110" t="n">
        <v>0</v>
      </c>
      <c r="E4" s="110" t="n">
        <v>664</v>
      </c>
      <c r="F4" s="110" t="n">
        <v>0</v>
      </c>
      <c r="G4" s="110" t="n">
        <v>0</v>
      </c>
      <c r="H4" s="110" t="n">
        <v>0</v>
      </c>
      <c r="I4" s="110" t="n">
        <v>0</v>
      </c>
      <c r="J4" s="110" t="n">
        <v>816</v>
      </c>
      <c r="K4" s="110" t="n">
        <v>0</v>
      </c>
    </row>
    <row r="5" customFormat="false" ht="15" hidden="false" customHeight="false" outlineLevel="0" collapsed="false">
      <c r="A5" s="108" t="s">
        <v>186</v>
      </c>
      <c r="B5" s="109" t="n">
        <v>500</v>
      </c>
      <c r="C5" s="110" t="n">
        <v>320</v>
      </c>
      <c r="D5" s="110" t="n">
        <v>0</v>
      </c>
      <c r="E5" s="110" t="n">
        <v>664</v>
      </c>
      <c r="F5" s="110" t="n">
        <v>0</v>
      </c>
      <c r="G5" s="110" t="n">
        <v>0</v>
      </c>
      <c r="H5" s="110" t="n">
        <v>0</v>
      </c>
      <c r="I5" s="110" t="n">
        <v>0</v>
      </c>
      <c r="J5" s="110" t="n">
        <v>816</v>
      </c>
      <c r="K5" s="110" t="n">
        <v>0</v>
      </c>
    </row>
    <row r="6" customFormat="false" ht="15" hidden="false" customHeight="false" outlineLevel="0" collapsed="false">
      <c r="A6" s="111" t="s">
        <v>187</v>
      </c>
      <c r="B6" s="109" t="n">
        <v>500</v>
      </c>
      <c r="C6" s="110" t="n">
        <v>320</v>
      </c>
      <c r="D6" s="110" t="n">
        <v>0</v>
      </c>
      <c r="E6" s="110" t="n">
        <v>664</v>
      </c>
      <c r="F6" s="110" t="n">
        <v>0</v>
      </c>
      <c r="G6" s="110" t="n">
        <v>0</v>
      </c>
      <c r="H6" s="110" t="n">
        <v>0</v>
      </c>
      <c r="I6" s="110" t="n">
        <v>0</v>
      </c>
      <c r="J6" s="110" t="n">
        <v>816</v>
      </c>
      <c r="K6" s="110" t="n">
        <v>0</v>
      </c>
    </row>
    <row r="7" customFormat="false" ht="15" hidden="false" customHeight="false" outlineLevel="0" collapsed="false">
      <c r="A7" s="108" t="s">
        <v>188</v>
      </c>
      <c r="B7" s="109" t="n">
        <v>500</v>
      </c>
      <c r="C7" s="110" t="n">
        <v>320</v>
      </c>
      <c r="D7" s="110" t="n">
        <v>0</v>
      </c>
      <c r="E7" s="110" t="n">
        <v>664</v>
      </c>
      <c r="F7" s="110" t="n">
        <v>0</v>
      </c>
      <c r="G7" s="110" t="n">
        <v>0</v>
      </c>
      <c r="H7" s="110" t="n">
        <v>200</v>
      </c>
      <c r="I7" s="110" t="n">
        <v>200</v>
      </c>
      <c r="J7" s="110" t="n">
        <v>816</v>
      </c>
      <c r="K7" s="110" t="n">
        <v>0</v>
      </c>
    </row>
    <row r="8" customFormat="false" ht="15" hidden="false" customHeight="false" outlineLevel="0" collapsed="false">
      <c r="A8" s="111" t="s">
        <v>189</v>
      </c>
      <c r="B8" s="109" t="n">
        <v>600</v>
      </c>
      <c r="C8" s="110" t="n">
        <v>500</v>
      </c>
      <c r="D8" s="110" t="n">
        <v>0</v>
      </c>
      <c r="E8" s="110" t="n">
        <v>750</v>
      </c>
      <c r="F8" s="110" t="n">
        <v>500</v>
      </c>
      <c r="G8" s="110" t="n">
        <v>950</v>
      </c>
      <c r="H8" s="110" t="n">
        <v>620</v>
      </c>
      <c r="I8" s="110" t="n">
        <v>120</v>
      </c>
      <c r="J8" s="110" t="n">
        <v>580</v>
      </c>
      <c r="K8" s="110" t="n">
        <v>0</v>
      </c>
    </row>
    <row r="9" customFormat="false" ht="15" hidden="false" customHeight="false" outlineLevel="0" collapsed="false">
      <c r="A9" s="108" t="s">
        <v>190</v>
      </c>
      <c r="B9" s="109" t="n">
        <v>0</v>
      </c>
      <c r="C9" s="110" t="n">
        <v>0</v>
      </c>
      <c r="D9" s="110" t="n">
        <v>1000</v>
      </c>
      <c r="E9" s="110" t="n">
        <v>735</v>
      </c>
      <c r="F9" s="110" t="n">
        <v>500</v>
      </c>
      <c r="G9" s="110" t="n">
        <v>325</v>
      </c>
      <c r="H9" s="110" t="n">
        <v>205</v>
      </c>
      <c r="I9" s="110" t="n">
        <v>30</v>
      </c>
      <c r="J9" s="110" t="n">
        <v>265</v>
      </c>
      <c r="K9" s="110" t="n">
        <v>215</v>
      </c>
    </row>
    <row r="10" customFormat="false" ht="15" hidden="false" customHeight="false" outlineLevel="0" collapsed="false">
      <c r="A10" s="111" t="s">
        <v>191</v>
      </c>
      <c r="B10" s="109" t="n">
        <v>0</v>
      </c>
      <c r="C10" s="110" t="n">
        <v>115</v>
      </c>
      <c r="D10" s="110" t="n">
        <v>0</v>
      </c>
      <c r="E10" s="110" t="n">
        <v>800</v>
      </c>
      <c r="F10" s="110" t="n">
        <v>135</v>
      </c>
      <c r="G10" s="110" t="n">
        <v>0</v>
      </c>
      <c r="H10" s="110" t="n">
        <v>125</v>
      </c>
      <c r="I10" s="110" t="n">
        <v>70</v>
      </c>
      <c r="J10" s="110" t="n">
        <v>680</v>
      </c>
      <c r="K10" s="110" t="n">
        <v>220</v>
      </c>
    </row>
    <row r="11" customFormat="false" ht="15" hidden="false" customHeight="false" outlineLevel="0" collapsed="false">
      <c r="A11" s="108" t="s">
        <v>192</v>
      </c>
      <c r="B11" s="109" t="n">
        <v>0</v>
      </c>
      <c r="C11" s="110" t="n">
        <v>2000</v>
      </c>
      <c r="D11" s="110" t="n">
        <v>0</v>
      </c>
      <c r="E11" s="110" t="n">
        <v>535</v>
      </c>
      <c r="F11" s="110" t="n">
        <v>725</v>
      </c>
      <c r="G11" s="110" t="n">
        <v>0</v>
      </c>
      <c r="H11" s="110" t="n">
        <v>150</v>
      </c>
      <c r="I11" s="110" t="n">
        <v>0</v>
      </c>
      <c r="J11" s="110" t="n">
        <v>475</v>
      </c>
      <c r="K11" s="110" t="n">
        <v>205</v>
      </c>
    </row>
    <row r="12" customFormat="false" ht="15" hidden="false" customHeight="false" outlineLevel="0" collapsed="false">
      <c r="A12" s="111" t="s">
        <v>193</v>
      </c>
      <c r="B12" s="109" t="n">
        <v>0</v>
      </c>
      <c r="C12" s="110" t="n">
        <v>130</v>
      </c>
      <c r="D12" s="110" t="n">
        <v>0</v>
      </c>
      <c r="E12" s="110" t="n">
        <v>140</v>
      </c>
      <c r="F12" s="110" t="n">
        <v>550</v>
      </c>
      <c r="G12" s="110" t="n">
        <v>0</v>
      </c>
      <c r="H12" s="110" t="n">
        <v>95</v>
      </c>
      <c r="I12" s="110" t="n">
        <v>0</v>
      </c>
      <c r="J12" s="110" t="n">
        <v>510</v>
      </c>
      <c r="K12" s="110" t="n">
        <v>275</v>
      </c>
    </row>
    <row r="13" customFormat="false" ht="15" hidden="false" customHeight="false" outlineLevel="0" collapsed="false">
      <c r="A13" s="108" t="s">
        <v>194</v>
      </c>
      <c r="B13" s="109" t="n">
        <v>2250</v>
      </c>
      <c r="C13" s="110" t="n">
        <v>160</v>
      </c>
      <c r="D13" s="110" t="n">
        <v>0</v>
      </c>
      <c r="E13" s="110" t="n">
        <v>155</v>
      </c>
      <c r="F13" s="110" t="n">
        <v>400</v>
      </c>
      <c r="G13" s="110" t="n">
        <v>500</v>
      </c>
      <c r="H13" s="110" t="n">
        <v>250</v>
      </c>
      <c r="I13" s="110" t="n">
        <v>0</v>
      </c>
      <c r="J13" s="110" t="n">
        <v>600</v>
      </c>
      <c r="K13" s="110" t="n">
        <v>215</v>
      </c>
    </row>
    <row r="14" customFormat="false" ht="15" hidden="false" customHeight="false" outlineLevel="0" collapsed="false">
      <c r="A14" s="111" t="s">
        <v>195</v>
      </c>
      <c r="B14" s="109" t="n">
        <v>0</v>
      </c>
      <c r="C14" s="110" t="n">
        <v>270</v>
      </c>
      <c r="D14" s="110" t="n">
        <v>0</v>
      </c>
      <c r="E14" s="110" t="n">
        <v>0</v>
      </c>
      <c r="F14" s="110" t="n">
        <v>1070</v>
      </c>
      <c r="G14" s="110" t="n">
        <v>0</v>
      </c>
      <c r="H14" s="110" t="n">
        <v>0</v>
      </c>
      <c r="I14" s="110" t="n">
        <v>0</v>
      </c>
      <c r="J14" s="110" t="n">
        <v>400</v>
      </c>
      <c r="K14" s="110" t="n">
        <v>180</v>
      </c>
    </row>
    <row r="15" customFormat="false" ht="15" hidden="false" customHeight="false" outlineLevel="0" collapsed="false">
      <c r="A15" s="108" t="s">
        <v>277</v>
      </c>
      <c r="B15" s="109" t="n">
        <v>1000</v>
      </c>
      <c r="C15" s="110" t="n">
        <v>100</v>
      </c>
      <c r="D15" s="110" t="n">
        <v>0</v>
      </c>
      <c r="E15" s="110" t="n">
        <v>0</v>
      </c>
      <c r="F15" s="110" t="n">
        <v>230</v>
      </c>
      <c r="G15" s="110" t="n">
        <v>0</v>
      </c>
      <c r="H15" s="110" t="n">
        <v>190</v>
      </c>
      <c r="I15" s="110" t="n">
        <v>0</v>
      </c>
      <c r="J15" s="110" t="n">
        <v>520</v>
      </c>
      <c r="K15" s="110" t="n">
        <v>70</v>
      </c>
    </row>
    <row r="16" customFormat="false" ht="15" hidden="false" customHeight="false" outlineLevel="0" collapsed="false">
      <c r="A16" s="111" t="s">
        <v>185</v>
      </c>
      <c r="B16" s="109" t="n">
        <v>0</v>
      </c>
      <c r="C16" s="110" t="n">
        <v>100</v>
      </c>
      <c r="D16" s="110" t="n">
        <v>0</v>
      </c>
      <c r="E16" s="110" t="n">
        <v>0</v>
      </c>
      <c r="F16" s="110" t="n">
        <v>400</v>
      </c>
      <c r="G16" s="110" t="n">
        <v>0</v>
      </c>
      <c r="H16" s="110" t="n">
        <v>100</v>
      </c>
      <c r="I16" s="110" t="n">
        <v>0</v>
      </c>
      <c r="J16" s="110" t="n">
        <v>420</v>
      </c>
      <c r="K16" s="110" t="n">
        <v>230</v>
      </c>
    </row>
    <row r="17" customFormat="false" ht="15" hidden="false" customHeight="false" outlineLevel="0" collapsed="false">
      <c r="A17" s="108" t="s">
        <v>186</v>
      </c>
      <c r="B17" s="109" t="n">
        <v>5300</v>
      </c>
      <c r="C17" s="110" t="n">
        <f aca="false">180+1050</f>
        <v>1230</v>
      </c>
      <c r="D17" s="110" t="n">
        <v>0</v>
      </c>
      <c r="E17" s="110" t="n">
        <v>400</v>
      </c>
      <c r="F17" s="110" t="n">
        <v>240</v>
      </c>
      <c r="G17" s="110" t="n">
        <v>4200</v>
      </c>
      <c r="H17" s="110" t="n">
        <v>200</v>
      </c>
      <c r="I17" s="110" t="n">
        <v>0</v>
      </c>
      <c r="J17" s="110" t="n">
        <v>500</v>
      </c>
      <c r="K17" s="110" t="n">
        <v>250</v>
      </c>
    </row>
    <row r="18" customFormat="false" ht="15" hidden="false" customHeight="false" outlineLevel="0" collapsed="false">
      <c r="A18" s="112"/>
      <c r="B18" s="113"/>
      <c r="C18" s="113"/>
      <c r="D18" s="113"/>
      <c r="E18" s="114"/>
      <c r="F18" s="113"/>
      <c r="G18" s="113"/>
      <c r="H18" s="113"/>
      <c r="I18" s="113"/>
      <c r="J18" s="113"/>
      <c r="K18" s="11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>
      <c r="A28" s="116" t="s">
        <v>278</v>
      </c>
      <c r="B28" s="116" t="s">
        <v>279</v>
      </c>
      <c r="C28" s="116" t="s">
        <v>280</v>
      </c>
      <c r="D28" s="116" t="s">
        <v>281</v>
      </c>
      <c r="E28" s="116" t="s">
        <v>282</v>
      </c>
      <c r="F28" s="116" t="s">
        <v>283</v>
      </c>
      <c r="G28" s="116" t="s">
        <v>284</v>
      </c>
      <c r="H28" s="116" t="s">
        <v>285</v>
      </c>
      <c r="I28" s="116" t="s">
        <v>286</v>
      </c>
      <c r="J28" s="116" t="s">
        <v>287</v>
      </c>
      <c r="K28" s="116" t="s">
        <v>288</v>
      </c>
      <c r="L28" s="116" t="s">
        <v>289</v>
      </c>
      <c r="M28" s="116" t="s">
        <v>290</v>
      </c>
      <c r="N28" s="116" t="s">
        <v>291</v>
      </c>
      <c r="O28" s="116" t="s">
        <v>292</v>
      </c>
    </row>
    <row r="29" customFormat="false" ht="15.75" hidden="false" customHeight="true" outlineLevel="0" collapsed="false">
      <c r="A29" s="117" t="n">
        <v>222.1</v>
      </c>
      <c r="B29" s="117" t="n">
        <v>220</v>
      </c>
      <c r="C29" s="118" t="n">
        <v>-0.0049</v>
      </c>
      <c r="D29" s="117" t="n">
        <v>24.4</v>
      </c>
      <c r="E29" s="117" t="n">
        <v>139.26</v>
      </c>
      <c r="F29" s="117" t="n">
        <v>194.17</v>
      </c>
      <c r="G29" s="117" t="n">
        <v>29.7</v>
      </c>
      <c r="H29" s="118" t="n">
        <v>0.257</v>
      </c>
      <c r="I29" s="118" t="n">
        <v>0.004</v>
      </c>
      <c r="J29" s="119" t="n">
        <v>12.5</v>
      </c>
      <c r="K29" s="119" t="n">
        <v>82.36</v>
      </c>
      <c r="L29" s="119" t="n">
        <v>48.26</v>
      </c>
      <c r="M29" s="119" t="n">
        <v>2455</v>
      </c>
      <c r="N29" s="119" t="n">
        <v>3794</v>
      </c>
      <c r="O29" s="119" t="n">
        <v>3771</v>
      </c>
    </row>
    <row r="30" customFormat="false" ht="15.75" hidden="false" customHeight="true" outlineLevel="0" collapsed="false">
      <c r="A30" s="117" t="n">
        <v>226.6</v>
      </c>
      <c r="B30" s="117" t="n">
        <v>222.1</v>
      </c>
      <c r="C30" s="118" t="n">
        <v>0.00938</v>
      </c>
      <c r="D30" s="117" t="n">
        <v>25.1</v>
      </c>
      <c r="E30" s="117" t="n">
        <v>139.8</v>
      </c>
      <c r="F30" s="117" t="n">
        <v>217.1</v>
      </c>
      <c r="G30" s="117" t="n">
        <v>29</v>
      </c>
      <c r="H30" s="118" t="n">
        <v>0.262</v>
      </c>
      <c r="I30" s="118" t="n">
        <v>0.021</v>
      </c>
      <c r="J30" s="120" t="n">
        <v>13.75</v>
      </c>
      <c r="K30" s="120" t="n">
        <v>77.88</v>
      </c>
      <c r="L30" s="120" t="n">
        <v>49.26</v>
      </c>
      <c r="M30" s="120" t="n">
        <v>2507</v>
      </c>
      <c r="N30" s="120" t="n">
        <v>3971</v>
      </c>
      <c r="O30" s="120" t="n">
        <v>3953</v>
      </c>
    </row>
    <row r="31" customFormat="false" ht="15.75" hidden="false" customHeight="true" outlineLevel="0" collapsed="false">
      <c r="A31" s="117" t="n">
        <v>231.4</v>
      </c>
      <c r="B31" s="117" t="n">
        <v>224.1</v>
      </c>
      <c r="C31" s="118" t="n">
        <v>0.0096</v>
      </c>
      <c r="D31" s="117" t="n">
        <v>25</v>
      </c>
      <c r="E31" s="117" t="n">
        <v>146.1</v>
      </c>
      <c r="F31" s="117" t="n">
        <v>219</v>
      </c>
      <c r="G31" s="117" t="n">
        <v>27.7</v>
      </c>
      <c r="H31" s="118" t="n">
        <v>0.264</v>
      </c>
      <c r="I31" s="118" t="n">
        <v>0.021</v>
      </c>
      <c r="J31" s="120" t="n">
        <v>13.75</v>
      </c>
      <c r="K31" s="120" t="n">
        <v>75</v>
      </c>
      <c r="L31" s="120" t="n">
        <v>48.04</v>
      </c>
      <c r="M31" s="120" t="n">
        <v>2600</v>
      </c>
      <c r="N31" s="120" t="n">
        <v>4012</v>
      </c>
      <c r="O31" s="120" t="n">
        <v>4000</v>
      </c>
    </row>
    <row r="32" customFormat="false" ht="15.75" hidden="false" customHeight="true" outlineLevel="0" collapsed="false">
      <c r="A32" s="117" t="n">
        <v>233.9</v>
      </c>
      <c r="B32" s="117" t="n">
        <v>227.1</v>
      </c>
      <c r="C32" s="118" t="n">
        <v>0.013</v>
      </c>
      <c r="D32" s="117" t="n">
        <v>24.4</v>
      </c>
      <c r="E32" s="121" t="n">
        <v>148.5</v>
      </c>
      <c r="F32" s="117" t="n">
        <v>219.2</v>
      </c>
      <c r="G32" s="117" t="n">
        <v>27.3</v>
      </c>
      <c r="H32" s="118" t="n">
        <v>0.265</v>
      </c>
      <c r="I32" s="118" t="n">
        <v>0.011</v>
      </c>
      <c r="J32" s="120" t="n">
        <v>15.25</v>
      </c>
      <c r="K32" s="120" t="n">
        <v>74.22</v>
      </c>
      <c r="L32" s="120" t="n">
        <v>48.11</v>
      </c>
      <c r="M32" s="120" t="n">
        <v>2713</v>
      </c>
      <c r="N32" s="120" t="n">
        <v>4200</v>
      </c>
      <c r="O32" s="120" t="n">
        <v>4190</v>
      </c>
    </row>
    <row r="33" customFormat="false" ht="15.75" hidden="false" customHeight="true" outlineLevel="0" collapsed="false">
      <c r="A33" s="117" t="n">
        <v>235.1</v>
      </c>
      <c r="B33" s="117" t="n">
        <v>228.1</v>
      </c>
      <c r="C33" s="118" t="n">
        <v>0.0042</v>
      </c>
      <c r="D33" s="117" t="n">
        <v>23.7</v>
      </c>
      <c r="E33" s="117" t="n">
        <v>150.5</v>
      </c>
      <c r="F33" s="117" t="n">
        <v>235.5</v>
      </c>
      <c r="G33" s="117" t="n">
        <v>24.6</v>
      </c>
      <c r="H33" s="118" t="n">
        <v>0.255</v>
      </c>
      <c r="I33" s="118" t="n">
        <v>0.005</v>
      </c>
      <c r="J33" s="120" t="n">
        <v>15.25</v>
      </c>
      <c r="K33" s="120" t="n">
        <v>74</v>
      </c>
      <c r="L33" s="120" t="n">
        <v>49.92</v>
      </c>
      <c r="M33" s="120" t="n">
        <v>2789</v>
      </c>
      <c r="N33" s="120" t="n">
        <v>4400</v>
      </c>
      <c r="O33" s="120" t="n">
        <v>4377</v>
      </c>
    </row>
    <row r="34" customFormat="false" ht="15.75" hidden="false" customHeight="true" outlineLevel="0" collapsed="false">
      <c r="A34" s="117" t="n">
        <v>235.6</v>
      </c>
      <c r="B34" s="117" t="n">
        <v>230.14</v>
      </c>
      <c r="C34" s="118" t="n">
        <v>0.0091</v>
      </c>
      <c r="D34" s="117" t="n">
        <v>23.22</v>
      </c>
      <c r="E34" s="117" t="n">
        <v>151.5</v>
      </c>
      <c r="F34" s="117" t="n">
        <v>236.5</v>
      </c>
      <c r="G34" s="117" t="n">
        <v>20.3</v>
      </c>
      <c r="H34" s="118" t="n">
        <v>0.241</v>
      </c>
      <c r="I34" s="118" t="n">
        <v>0.002</v>
      </c>
      <c r="J34" s="120" t="n">
        <v>15.25</v>
      </c>
      <c r="K34" s="120" t="n">
        <v>73.61</v>
      </c>
      <c r="L34" s="120" t="n">
        <v>50.9</v>
      </c>
      <c r="M34" s="120" t="n">
        <v>2715</v>
      </c>
      <c r="N34" s="120" t="n">
        <v>4368</v>
      </c>
      <c r="O34" s="120" t="n">
        <v>4348</v>
      </c>
    </row>
    <row r="35" customFormat="false" ht="15.75" hidden="false" customHeight="true" outlineLevel="0" collapsed="false">
      <c r="A35" s="117" t="n">
        <v>239.2</v>
      </c>
      <c r="B35" s="117" t="n">
        <v>233.9</v>
      </c>
      <c r="C35" s="118" t="n">
        <v>0.0196</v>
      </c>
      <c r="D35" s="117" t="n">
        <v>22.6</v>
      </c>
      <c r="E35" s="117" t="n">
        <v>152.7</v>
      </c>
      <c r="F35" s="117" t="n">
        <v>238.2</v>
      </c>
      <c r="G35" s="117" t="n">
        <v>20.8</v>
      </c>
      <c r="H35" s="118" t="n">
        <v>0.24</v>
      </c>
      <c r="I35" s="118" t="n">
        <v>0.015</v>
      </c>
      <c r="J35" s="120" t="n">
        <v>15.25</v>
      </c>
      <c r="K35" s="120" t="n">
        <v>81</v>
      </c>
      <c r="L35" s="120" t="n">
        <v>50.28</v>
      </c>
      <c r="M35" s="120" t="n">
        <v>2760</v>
      </c>
      <c r="N35" s="120" t="n">
        <v>4400</v>
      </c>
      <c r="O35" s="120" t="n">
        <v>4348</v>
      </c>
    </row>
    <row r="36" customFormat="false" ht="15.75" hidden="false" customHeight="true" outlineLevel="0" collapsed="false">
      <c r="A36" s="117" t="n">
        <v>242.5</v>
      </c>
      <c r="B36" s="117" t="n">
        <v>237.66</v>
      </c>
      <c r="C36" s="118" t="n">
        <v>0.0163</v>
      </c>
      <c r="D36" s="117" t="n">
        <v>10</v>
      </c>
      <c r="E36" s="117" t="n">
        <v>153.4</v>
      </c>
      <c r="F36" s="117" t="n">
        <v>238.7</v>
      </c>
      <c r="G36" s="117" t="n">
        <v>3.7</v>
      </c>
      <c r="H36" s="118" t="n">
        <v>0.128</v>
      </c>
      <c r="I36" s="118" t="n">
        <v>0.014</v>
      </c>
      <c r="J36" s="120" t="n">
        <v>15.25</v>
      </c>
      <c r="K36" s="120" t="n">
        <v>75.2</v>
      </c>
      <c r="L36" s="120" t="n">
        <v>50.4</v>
      </c>
      <c r="M36" s="120" t="n">
        <v>2940</v>
      </c>
      <c r="N36" s="120" t="n">
        <v>4700</v>
      </c>
      <c r="O36" s="120" t="n">
        <v>4670</v>
      </c>
    </row>
    <row r="37" customFormat="false" ht="15.75" hidden="false" customHeight="true" outlineLevel="0" collapsed="false">
      <c r="A37" s="117"/>
      <c r="B37" s="117"/>
      <c r="C37" s="118"/>
      <c r="D37" s="117"/>
      <c r="E37" s="117"/>
      <c r="F37" s="117"/>
      <c r="G37" s="117"/>
      <c r="H37" s="118"/>
      <c r="I37" s="118"/>
      <c r="J37" s="120" t="n">
        <v>15.25</v>
      </c>
      <c r="K37" s="120" t="n">
        <v>75.2</v>
      </c>
      <c r="L37" s="120" t="n">
        <v>50.7</v>
      </c>
      <c r="M37" s="120" t="n">
        <v>3000</v>
      </c>
      <c r="N37" s="120" t="n">
        <v>4816</v>
      </c>
      <c r="O37" s="120" t="n">
        <v>4800</v>
      </c>
    </row>
    <row r="38" customFormat="false" ht="15.75" hidden="false" customHeight="true" outlineLevel="0" collapsed="false">
      <c r="A38" s="117"/>
      <c r="B38" s="117"/>
      <c r="C38" s="118"/>
      <c r="D38" s="117"/>
      <c r="E38" s="117"/>
      <c r="F38" s="117"/>
      <c r="G38" s="117"/>
      <c r="H38" s="118"/>
      <c r="I38" s="118"/>
      <c r="J38" s="120" t="n">
        <v>17.5</v>
      </c>
      <c r="K38" s="120" t="n">
        <v>73.4</v>
      </c>
      <c r="L38" s="120" t="n">
        <v>50.7</v>
      </c>
      <c r="M38" s="120" t="n">
        <v>3085</v>
      </c>
      <c r="N38" s="120" t="n">
        <v>4975</v>
      </c>
      <c r="O38" s="120" t="n">
        <v>4990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>
      <c r="E43" s="116" t="s">
        <v>159</v>
      </c>
      <c r="F43" s="116" t="s">
        <v>278</v>
      </c>
      <c r="G43" s="116" t="s">
        <v>279</v>
      </c>
      <c r="H43" s="116" t="s">
        <v>280</v>
      </c>
      <c r="I43" s="116" t="s">
        <v>281</v>
      </c>
      <c r="J43" s="116" t="s">
        <v>282</v>
      </c>
      <c r="K43" s="116" t="s">
        <v>283</v>
      </c>
      <c r="L43" s="116" t="s">
        <v>284</v>
      </c>
      <c r="M43" s="116" t="s">
        <v>285</v>
      </c>
      <c r="N43" s="116" t="s">
        <v>286</v>
      </c>
      <c r="O43" s="116" t="s">
        <v>287</v>
      </c>
      <c r="P43" s="116" t="s">
        <v>288</v>
      </c>
      <c r="Q43" s="116" t="s">
        <v>289</v>
      </c>
      <c r="R43" s="116" t="s">
        <v>290</v>
      </c>
      <c r="S43" s="116" t="s">
        <v>291</v>
      </c>
      <c r="T43" s="116" t="s">
        <v>292</v>
      </c>
    </row>
    <row r="44" customFormat="false" ht="15.75" hidden="false" customHeight="true" outlineLevel="0" collapsed="false">
      <c r="E44" s="122" t="s">
        <v>191</v>
      </c>
      <c r="F44" s="117" t="n">
        <v>222.1</v>
      </c>
      <c r="G44" s="117" t="n">
        <v>220</v>
      </c>
      <c r="H44" s="118" t="n">
        <v>-0.0049</v>
      </c>
      <c r="I44" s="117" t="n">
        <v>24.4</v>
      </c>
      <c r="J44" s="117" t="n">
        <v>139.26</v>
      </c>
      <c r="K44" s="117" t="n">
        <v>194.17</v>
      </c>
      <c r="L44" s="117" t="n">
        <v>29.7</v>
      </c>
      <c r="M44" s="118" t="n">
        <v>0.257</v>
      </c>
      <c r="N44" s="118" t="n">
        <v>0.004</v>
      </c>
      <c r="O44" s="119" t="n">
        <v>12.5</v>
      </c>
      <c r="P44" s="119" t="n">
        <v>82.36</v>
      </c>
      <c r="Q44" s="119" t="n">
        <v>48.26</v>
      </c>
      <c r="R44" s="119" t="n">
        <v>2455</v>
      </c>
      <c r="S44" s="119" t="n">
        <v>3794</v>
      </c>
      <c r="T44" s="119" t="n">
        <v>3771</v>
      </c>
    </row>
    <row r="45" customFormat="false" ht="15.75" hidden="false" customHeight="true" outlineLevel="0" collapsed="false">
      <c r="E45" s="123" t="s">
        <v>192</v>
      </c>
      <c r="F45" s="117" t="n">
        <v>226.6</v>
      </c>
      <c r="G45" s="117" t="n">
        <v>222.1</v>
      </c>
      <c r="H45" s="118" t="n">
        <v>0.00938</v>
      </c>
      <c r="I45" s="117" t="n">
        <v>25.1</v>
      </c>
      <c r="J45" s="117" t="n">
        <v>139.8</v>
      </c>
      <c r="K45" s="117" t="n">
        <v>217.1</v>
      </c>
      <c r="L45" s="117" t="n">
        <v>29</v>
      </c>
      <c r="M45" s="118" t="n">
        <v>0.262</v>
      </c>
      <c r="N45" s="118" t="n">
        <v>0.021</v>
      </c>
      <c r="O45" s="120" t="n">
        <v>13.75</v>
      </c>
      <c r="P45" s="120" t="n">
        <v>77.88</v>
      </c>
      <c r="Q45" s="120" t="n">
        <v>49.26</v>
      </c>
      <c r="R45" s="120" t="n">
        <v>2507</v>
      </c>
      <c r="S45" s="120" t="n">
        <v>3971</v>
      </c>
      <c r="T45" s="120" t="n">
        <v>3953</v>
      </c>
    </row>
    <row r="46" customFormat="false" ht="15.75" hidden="false" customHeight="true" outlineLevel="0" collapsed="false">
      <c r="E46" s="123" t="s">
        <v>193</v>
      </c>
      <c r="F46" s="117" t="n">
        <v>231.4</v>
      </c>
      <c r="G46" s="117" t="n">
        <v>224.1</v>
      </c>
      <c r="H46" s="118" t="n">
        <v>0.0096</v>
      </c>
      <c r="I46" s="117" t="n">
        <v>25</v>
      </c>
      <c r="J46" s="117" t="n">
        <v>146.1</v>
      </c>
      <c r="K46" s="117" t="n">
        <v>219</v>
      </c>
      <c r="L46" s="117" t="n">
        <v>27.7</v>
      </c>
      <c r="M46" s="118" t="n">
        <v>0.264</v>
      </c>
      <c r="N46" s="118" t="n">
        <v>0.021</v>
      </c>
      <c r="O46" s="120" t="n">
        <v>13.75</v>
      </c>
      <c r="P46" s="120" t="n">
        <v>75</v>
      </c>
      <c r="Q46" s="120" t="n">
        <v>48.04</v>
      </c>
      <c r="R46" s="120" t="n">
        <v>2600</v>
      </c>
      <c r="S46" s="120" t="n">
        <v>4012</v>
      </c>
      <c r="T46" s="120" t="n">
        <v>4000</v>
      </c>
    </row>
    <row r="47" customFormat="false" ht="15.75" hidden="false" customHeight="true" outlineLevel="0" collapsed="false">
      <c r="E47" s="123" t="s">
        <v>194</v>
      </c>
      <c r="F47" s="117" t="n">
        <v>233.9</v>
      </c>
      <c r="G47" s="117" t="n">
        <v>227.1</v>
      </c>
      <c r="H47" s="118" t="n">
        <v>0.013</v>
      </c>
      <c r="I47" s="117" t="n">
        <v>24.4</v>
      </c>
      <c r="J47" s="121" t="n">
        <v>148.5</v>
      </c>
      <c r="K47" s="117" t="n">
        <v>219.2</v>
      </c>
      <c r="L47" s="117" t="n">
        <v>27.3</v>
      </c>
      <c r="M47" s="118" t="n">
        <v>0.265</v>
      </c>
      <c r="N47" s="118" t="n">
        <v>0.011</v>
      </c>
      <c r="O47" s="120" t="n">
        <v>15.25</v>
      </c>
      <c r="P47" s="120" t="n">
        <v>74.22</v>
      </c>
      <c r="Q47" s="120" t="n">
        <v>48.11</v>
      </c>
      <c r="R47" s="120" t="n">
        <v>2713</v>
      </c>
      <c r="S47" s="120" t="n">
        <v>4200</v>
      </c>
      <c r="T47" s="120" t="n">
        <v>4190</v>
      </c>
    </row>
    <row r="48" customFormat="false" ht="15.75" hidden="false" customHeight="true" outlineLevel="0" collapsed="false">
      <c r="E48" s="123" t="s">
        <v>195</v>
      </c>
      <c r="F48" s="117" t="n">
        <v>235.1</v>
      </c>
      <c r="G48" s="117" t="n">
        <v>228.1</v>
      </c>
      <c r="H48" s="118" t="n">
        <v>0.0042</v>
      </c>
      <c r="I48" s="117" t="n">
        <v>23.7</v>
      </c>
      <c r="J48" s="117" t="n">
        <v>150.5</v>
      </c>
      <c r="K48" s="117" t="n">
        <v>235.5</v>
      </c>
      <c r="L48" s="117" t="n">
        <v>24.6</v>
      </c>
      <c r="M48" s="118" t="n">
        <v>0.255</v>
      </c>
      <c r="N48" s="118" t="n">
        <v>0.005</v>
      </c>
      <c r="O48" s="120" t="n">
        <v>15.25</v>
      </c>
      <c r="P48" s="120" t="n">
        <v>74</v>
      </c>
      <c r="Q48" s="120" t="n">
        <v>49.92</v>
      </c>
      <c r="R48" s="120" t="n">
        <v>2789</v>
      </c>
      <c r="S48" s="120" t="n">
        <v>4400</v>
      </c>
      <c r="T48" s="120" t="n">
        <v>4377</v>
      </c>
    </row>
    <row r="49" customFormat="false" ht="15.75" hidden="false" customHeight="true" outlineLevel="0" collapsed="false">
      <c r="E49" s="123" t="s">
        <v>277</v>
      </c>
      <c r="F49" s="117" t="n">
        <v>235.6</v>
      </c>
      <c r="G49" s="117" t="n">
        <v>230.14</v>
      </c>
      <c r="H49" s="118" t="n">
        <v>0.0091</v>
      </c>
      <c r="I49" s="117" t="n">
        <v>23.22</v>
      </c>
      <c r="J49" s="117" t="n">
        <v>151.5</v>
      </c>
      <c r="K49" s="117" t="n">
        <v>236.5</v>
      </c>
      <c r="L49" s="117" t="n">
        <v>20.3</v>
      </c>
      <c r="M49" s="118" t="n">
        <v>0.241</v>
      </c>
      <c r="N49" s="118" t="n">
        <v>0.002</v>
      </c>
      <c r="O49" s="120" t="n">
        <v>15.25</v>
      </c>
      <c r="P49" s="120" t="n">
        <v>73.61</v>
      </c>
      <c r="Q49" s="120" t="n">
        <v>50.9</v>
      </c>
      <c r="R49" s="120" t="n">
        <v>2715</v>
      </c>
      <c r="S49" s="120" t="n">
        <v>4368</v>
      </c>
      <c r="T49" s="120" t="n">
        <v>4348</v>
      </c>
    </row>
    <row r="50" customFormat="false" ht="15.75" hidden="false" customHeight="true" outlineLevel="0" collapsed="false">
      <c r="E50" s="123" t="s">
        <v>185</v>
      </c>
      <c r="F50" s="117" t="n">
        <v>239.2</v>
      </c>
      <c r="G50" s="117" t="n">
        <v>233.9</v>
      </c>
      <c r="H50" s="118" t="n">
        <v>0.0196</v>
      </c>
      <c r="I50" s="117" t="n">
        <v>22.6</v>
      </c>
      <c r="J50" s="117" t="n">
        <v>152.7</v>
      </c>
      <c r="K50" s="117" t="n">
        <v>238.2</v>
      </c>
      <c r="L50" s="117" t="n">
        <v>20.8</v>
      </c>
      <c r="M50" s="118" t="n">
        <v>0.24</v>
      </c>
      <c r="N50" s="118" t="n">
        <v>0.015</v>
      </c>
      <c r="O50" s="120" t="n">
        <v>15.25</v>
      </c>
      <c r="P50" s="120" t="n">
        <v>81</v>
      </c>
      <c r="Q50" s="120" t="n">
        <v>50.28</v>
      </c>
      <c r="R50" s="120" t="n">
        <v>2760</v>
      </c>
      <c r="S50" s="120" t="n">
        <v>4400</v>
      </c>
      <c r="T50" s="120" t="n">
        <v>4348</v>
      </c>
    </row>
    <row r="51" customFormat="false" ht="15.75" hidden="false" customHeight="true" outlineLevel="0" collapsed="false">
      <c r="E51" s="123" t="s">
        <v>186</v>
      </c>
      <c r="F51" s="117" t="n">
        <v>242.5</v>
      </c>
      <c r="G51" s="117" t="n">
        <v>237.66</v>
      </c>
      <c r="H51" s="118" t="n">
        <v>0.0163</v>
      </c>
      <c r="I51" s="117" t="n">
        <v>10</v>
      </c>
      <c r="J51" s="117" t="n">
        <v>153.4</v>
      </c>
      <c r="K51" s="117" t="n">
        <v>238.7</v>
      </c>
      <c r="L51" s="117" t="n">
        <v>3.7</v>
      </c>
      <c r="M51" s="118" t="n">
        <v>0.128</v>
      </c>
      <c r="N51" s="118" t="n">
        <v>0.014</v>
      </c>
      <c r="O51" s="120" t="n">
        <v>15.25</v>
      </c>
      <c r="P51" s="120" t="n">
        <v>75.2</v>
      </c>
      <c r="Q51" s="120" t="n">
        <v>50.4</v>
      </c>
      <c r="R51" s="120" t="n">
        <v>2940</v>
      </c>
      <c r="S51" s="120" t="n">
        <v>4700</v>
      </c>
      <c r="T51" s="120" t="n">
        <v>4670</v>
      </c>
    </row>
    <row r="52" customFormat="false" ht="15.75" hidden="false" customHeight="true" outlineLevel="0" collapsed="false">
      <c r="E52" s="123" t="s">
        <v>187</v>
      </c>
      <c r="F52" s="117"/>
      <c r="G52" s="117"/>
      <c r="H52" s="118"/>
      <c r="I52" s="117"/>
      <c r="J52" s="117"/>
      <c r="K52" s="117"/>
      <c r="L52" s="117"/>
      <c r="M52" s="118"/>
      <c r="N52" s="118"/>
      <c r="O52" s="120" t="n">
        <v>15.25</v>
      </c>
      <c r="P52" s="120" t="n">
        <v>75.2</v>
      </c>
      <c r="Q52" s="120" t="n">
        <v>50.7</v>
      </c>
      <c r="R52" s="120" t="n">
        <v>3000</v>
      </c>
      <c r="S52" s="120" t="n">
        <v>4816</v>
      </c>
      <c r="T52" s="120" t="n">
        <v>4800</v>
      </c>
    </row>
    <row r="53" customFormat="false" ht="15.75" hidden="false" customHeight="true" outlineLevel="0" collapsed="false">
      <c r="E53" s="123" t="s">
        <v>188</v>
      </c>
      <c r="F53" s="117"/>
      <c r="G53" s="117"/>
      <c r="H53" s="118"/>
      <c r="I53" s="117"/>
      <c r="J53" s="117"/>
      <c r="K53" s="117"/>
      <c r="L53" s="117"/>
      <c r="M53" s="118"/>
      <c r="N53" s="118"/>
      <c r="O53" s="120" t="n">
        <v>17.5</v>
      </c>
      <c r="P53" s="120" t="n">
        <v>73.4</v>
      </c>
      <c r="Q53" s="120" t="n">
        <v>50.7</v>
      </c>
      <c r="R53" s="120" t="n">
        <v>3085</v>
      </c>
      <c r="S53" s="120" t="n">
        <v>4975</v>
      </c>
      <c r="T53" s="120" t="n">
        <v>4990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C1:E1"/>
    <mergeCell ref="F1:K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2025-05-12T21:36:43Z</dcterms:modified>
  <cp:revision>1</cp:revision>
  <dc:subject/>
  <dc:title/>
</cp:coreProperties>
</file>